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6"/>
  <sheetViews>
    <sheetView workbookViewId="0">
      <selection activeCell="A1" sqref="A1"/>
    </sheetView>
  </sheetViews>
  <sheetFormatPr baseColWidth="8" defaultRowHeight="15"/>
  <cols>
    <col width="39" customWidth="1" min="1" max="1"/>
    <col width="27" customWidth="1" min="2" max="2"/>
    <col width="22" customWidth="1" min="3" max="3"/>
    <col width="42"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ADIPATI KARYA NUSANTARA</t>
        </is>
      </c>
      <c r="B2" t="inlineStr">
        <is>
          <t>Kota Adm. Jakarta Timur</t>
        </is>
      </c>
      <c r="C2" t="inlineStr">
        <is>
          <t>02129368920</t>
        </is>
      </c>
      <c r="D2" t="inlineStr">
        <is>
          <t>ptadipatikaryanusantara@gmail.com</t>
        </is>
      </c>
      <c r="E2" t="inlineStr">
        <is>
          <t>https://lpjk.pu.go.id/search-badan-usaha-detail/WXZ1QzNCMW9Jcllta1crcU9maFZadz09</t>
        </is>
      </c>
      <c r="F2" t="n">
        <v>1</v>
      </c>
      <c r="G2" t="inlineStr">
        <is>
          <t>BS001</t>
        </is>
      </c>
      <c r="H2" t="inlineStr">
        <is>
          <t>21 Juni 2016</t>
        </is>
      </c>
      <c r="I2" s="2" t="n">
        <v>46313</v>
      </c>
      <c r="J2" t="inlineStr">
        <is>
          <t>Disetujui</t>
        </is>
      </c>
      <c r="K2" t="n">
        <v>90</v>
      </c>
      <c r="L2" t="inlineStr">
        <is>
          <t>18 Oktober 2026</t>
        </is>
      </c>
      <c r="M2" t="inlineStr">
        <is>
          <t>Konstruksi Bangunan Sipil Jalan</t>
        </is>
      </c>
      <c r="N2" t="inlineStr">
        <is>
          <t>K</t>
        </is>
      </c>
      <c r="O2" t="inlineStr">
        <is>
          <t>20231018</t>
        </is>
      </c>
      <c r="P2" t="inlineStr">
        <is>
          <t>DKI Jakarta</t>
        </is>
      </c>
      <c r="Q2" t="inlineStr"/>
    </row>
    <row r="3">
      <c r="A3" t="inlineStr">
        <is>
          <t>AKSARA BANJU MAS</t>
        </is>
      </c>
      <c r="B3" t="inlineStr">
        <is>
          <t>Kota Bekasi</t>
        </is>
      </c>
      <c r="C3" t="inlineStr">
        <is>
          <t>02184999094</t>
        </is>
      </c>
      <c r="D3" t="inlineStr">
        <is>
          <t>aksra.banjumas@gmail.com</t>
        </is>
      </c>
      <c r="E3" t="inlineStr">
        <is>
          <t>https://lpjk.pu.go.id/search-badan-usaha-detail/dG5jeHJFUUVSWlFUakg2RHRSVGU5Zz09</t>
        </is>
      </c>
      <c r="F3" t="n">
        <v>8</v>
      </c>
      <c r="G3" t="inlineStr">
        <is>
          <t>BG001, BG003, BG006, BG009</t>
        </is>
      </c>
      <c r="H3" t="inlineStr">
        <is>
          <t>13 Februari 2012</t>
        </is>
      </c>
      <c r="I3" s="2" t="n">
        <v>46313</v>
      </c>
      <c r="J3" t="inlineStr">
        <is>
          <t>Disetujui</t>
        </is>
      </c>
      <c r="K3" t="n">
        <v>90</v>
      </c>
      <c r="L3" t="inlineStr">
        <is>
          <t>18 Oktober 2026</t>
        </is>
      </c>
      <c r="M3" t="inlineStr">
        <is>
          <t>Konstruksi Gedung Hunian, Konstruksi Gedung Industri, Konstruksi Gedung Lainnya, Konstruksi Gedung Pendidikan</t>
        </is>
      </c>
      <c r="N3" t="inlineStr">
        <is>
          <t>K</t>
        </is>
      </c>
      <c r="O3" t="inlineStr">
        <is>
          <t>20230922, 20231018</t>
        </is>
      </c>
      <c r="P3" t="inlineStr">
        <is>
          <t>Jawa Barat</t>
        </is>
      </c>
      <c r="Q3" t="inlineStr"/>
    </row>
    <row r="4">
      <c r="A4" t="inlineStr">
        <is>
          <t>ALTAMAYA TEKNIK MANDIRI</t>
        </is>
      </c>
      <c r="B4" t="inlineStr">
        <is>
          <t>Kab. Bogor</t>
        </is>
      </c>
      <c r="C4" t="inlineStr">
        <is>
          <t>02518615933</t>
        </is>
      </c>
      <c r="D4" t="inlineStr">
        <is>
          <t>suhaidihs@yahoo.com</t>
        </is>
      </c>
      <c r="E4" t="inlineStr">
        <is>
          <t>https://lpjk.pu.go.id/search-badan-usaha-detail/UTFKcjdsOGQ5NVAxR2xUVXRNNjU5dz09</t>
        </is>
      </c>
      <c r="F4" t="n">
        <v>4</v>
      </c>
      <c r="G4" t="inlineStr">
        <is>
          <t>IN007, IN008</t>
        </is>
      </c>
      <c r="H4" t="inlineStr">
        <is>
          <t>6 September 2013</t>
        </is>
      </c>
      <c r="I4" s="2" t="n">
        <v>46313</v>
      </c>
      <c r="J4" t="inlineStr">
        <is>
          <t>Pembekuan</t>
        </is>
      </c>
      <c r="K4" t="n">
        <v>90</v>
      </c>
      <c r="L4" t="inlineStr">
        <is>
          <t>18 Oktober 2026</t>
        </is>
      </c>
      <c r="M4" t="inlineStr">
        <is>
          <t>Instalasi Pendingin Dan Ventilasi Udara, Instalasi Saluran Air (Plambing)</t>
        </is>
      </c>
      <c r="N4" t="inlineStr">
        <is>
          <t>Spesialis</t>
        </is>
      </c>
      <c r="O4" t="inlineStr">
        <is>
          <t>20231013</t>
        </is>
      </c>
      <c r="P4" t="inlineStr">
        <is>
          <t>Jawa Barat</t>
        </is>
      </c>
      <c r="Q4" s="3">
        <f>HYPERLINK("https://wa.me/622518615933?text=Selamat siang Bapak/Ibu pimpinan ALTAMAYA TEKNIK MANDIRI,%0A%0ASemoga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ANDI EDWIN AMEL</t>
        </is>
      </c>
      <c r="B5" t="inlineStr">
        <is>
          <t>Kab. Bekasi</t>
        </is>
      </c>
      <c r="C5" t="inlineStr">
        <is>
          <t>02182582220</t>
        </is>
      </c>
      <c r="D5" t="inlineStr">
        <is>
          <t>edwineliann@gmail.com</t>
        </is>
      </c>
      <c r="E5" t="inlineStr">
        <is>
          <t>https://lpjk.pu.go.id/search-badan-usaha-detail/MlVaN3I4aGhmZXNFTFZZWGRpY2Q2UT09</t>
        </is>
      </c>
      <c r="F5" t="n">
        <v>5</v>
      </c>
      <c r="G5" t="inlineStr">
        <is>
          <t>BG001, BG003, BG005, BS001, BS002</t>
        </is>
      </c>
      <c r="H5" t="inlineStr">
        <is>
          <t>14 September 2023</t>
        </is>
      </c>
      <c r="I5" s="2" t="n">
        <v>46313</v>
      </c>
      <c r="J5" t="inlineStr">
        <is>
          <t>Disetujui</t>
        </is>
      </c>
      <c r="K5" t="n">
        <v>90</v>
      </c>
      <c r="L5" t="inlineStr">
        <is>
          <t>18 Oktober 2026</t>
        </is>
      </c>
      <c r="M5" t="inlineStr">
        <is>
          <t>Bangunan Sipil Jembatan, Jalan Layang, Fly Over, dan Underpass, Konstruksi Bangunan Sipil Jalan, Konstruksi Gedung Hunian, Konstruksi Gedung Industri, Konstruksi Gedung Kesehatan</t>
        </is>
      </c>
      <c r="N5" t="inlineStr">
        <is>
          <t>K</t>
        </is>
      </c>
      <c r="O5" t="inlineStr">
        <is>
          <t>20231003, 20231015</t>
        </is>
      </c>
      <c r="P5" t="inlineStr">
        <is>
          <t>Jawa Barat</t>
        </is>
      </c>
      <c r="Q5" t="inlineStr"/>
    </row>
    <row r="6">
      <c r="A6" t="inlineStr">
        <is>
          <t>ANUGRAH ANANDA</t>
        </is>
      </c>
      <c r="B6" t="inlineStr">
        <is>
          <t>Kab. Bekasi</t>
        </is>
      </c>
      <c r="C6" t="inlineStr">
        <is>
          <t>0895372219444</t>
        </is>
      </c>
      <c r="D6" t="inlineStr">
        <is>
          <t>anugrahananda@emailsaya.com</t>
        </is>
      </c>
      <c r="E6" t="inlineStr">
        <is>
          <t>https://lpjk.pu.go.id/search-badan-usaha-detail/aGVxYjFjSFdub3VJZXB3UWsyRmRiQT09</t>
        </is>
      </c>
      <c r="F6" t="n">
        <v>2</v>
      </c>
      <c r="G6" t="inlineStr">
        <is>
          <t>BS004</t>
        </is>
      </c>
      <c r="H6" t="inlineStr">
        <is>
          <t>20 September 2002</t>
        </is>
      </c>
      <c r="I6" s="2" t="n">
        <v>46313</v>
      </c>
      <c r="J6" t="inlineStr">
        <is>
          <t>Disetujui</t>
        </is>
      </c>
      <c r="K6" t="n">
        <v>90</v>
      </c>
      <c r="L6" t="inlineStr">
        <is>
          <t>18 Oktober 2026</t>
        </is>
      </c>
      <c r="M6" t="inlineStr">
        <is>
          <t>Konstruksi Jaringan Irigasi dan Drainase</t>
        </is>
      </c>
      <c r="N6" t="inlineStr">
        <is>
          <t>K</t>
        </is>
      </c>
      <c r="O6" t="inlineStr">
        <is>
          <t>20231017</t>
        </is>
      </c>
      <c r="P6" t="inlineStr">
        <is>
          <t>Jawa Barat</t>
        </is>
      </c>
      <c r="Q6" s="3">
        <f>HYPERLINK("https://wa.me/62895372219444?text=Selamat siang Bapak/Ibu pimpinan ANUGRAH ANANDA,%0A%0ASemoga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ARIZNA JAYA</t>
        </is>
      </c>
      <c r="B7" t="inlineStr">
        <is>
          <t>Kota Depok</t>
        </is>
      </c>
      <c r="C7" t="inlineStr">
        <is>
          <t>081210066953</t>
        </is>
      </c>
      <c r="D7" t="inlineStr">
        <is>
          <t>jayaarizna@gmail.com</t>
        </is>
      </c>
      <c r="E7" t="inlineStr">
        <is>
          <t>https://lpjk.pu.go.id/search-badan-usaha-detail/YS9MMFJncGdZRWhEVEZCREgyKzZwUT09</t>
        </is>
      </c>
      <c r="F7" t="n">
        <v>1</v>
      </c>
      <c r="G7" t="inlineStr">
        <is>
          <t>BS001</t>
        </is>
      </c>
      <c r="H7" t="inlineStr">
        <is>
          <t>16 Oktober 2017</t>
        </is>
      </c>
      <c r="I7" s="2" t="n">
        <v>46313</v>
      </c>
      <c r="J7" t="inlineStr">
        <is>
          <t>Disetujui</t>
        </is>
      </c>
      <c r="K7" t="n">
        <v>90</v>
      </c>
      <c r="L7" t="inlineStr">
        <is>
          <t>18 Oktober 2026</t>
        </is>
      </c>
      <c r="M7" t="inlineStr">
        <is>
          <t>Konstruksi Bangunan Sipil Jalan</t>
        </is>
      </c>
      <c r="N7" t="inlineStr">
        <is>
          <t>K</t>
        </is>
      </c>
      <c r="O7" t="inlineStr">
        <is>
          <t>20231008</t>
        </is>
      </c>
      <c r="P7" t="inlineStr">
        <is>
          <t>Jawa Barat</t>
        </is>
      </c>
      <c r="Q7" s="3">
        <f>HYPERLINK("https://wa.me/6281210066953?text=Selamat siang Bapak/Ibu pimpinan ARIZNA JAYA,%0A%0ASemoga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BANGUN SUKSES BERKEMBANG</t>
        </is>
      </c>
      <c r="B8" t="inlineStr">
        <is>
          <t>Kab. Bekasi</t>
        </is>
      </c>
      <c r="C8" t="inlineStr">
        <is>
          <t>081386206879</t>
        </is>
      </c>
      <c r="D8" t="inlineStr">
        <is>
          <t>cvbangunsuksesberkembang@gmail.com</t>
        </is>
      </c>
      <c r="E8" t="inlineStr">
        <is>
          <t>https://lpjk.pu.go.id/search-badan-usaha-detail/VmF5QllQemJLK0pTSzhQNDB3cnJLZz09</t>
        </is>
      </c>
      <c r="F8" t="n">
        <v>2</v>
      </c>
      <c r="G8" t="inlineStr">
        <is>
          <t>BG006, BG009</t>
        </is>
      </c>
      <c r="H8" t="inlineStr">
        <is>
          <t>6 September 2023</t>
        </is>
      </c>
      <c r="I8" s="2" t="n">
        <v>46313</v>
      </c>
      <c r="J8" t="inlineStr">
        <is>
          <t>Disetujui</t>
        </is>
      </c>
      <c r="K8" t="n">
        <v>90</v>
      </c>
      <c r="L8" t="inlineStr">
        <is>
          <t>18 Oktober 2026</t>
        </is>
      </c>
      <c r="M8" t="inlineStr">
        <is>
          <t>Konstruksi Gedung Lainnya, Konstruksi Gedung Pendidikan</t>
        </is>
      </c>
      <c r="N8" t="inlineStr">
        <is>
          <t>K</t>
        </is>
      </c>
      <c r="O8" t="inlineStr">
        <is>
          <t>20231016</t>
        </is>
      </c>
      <c r="P8" t="inlineStr">
        <is>
          <t>Jawa Barat</t>
        </is>
      </c>
      <c r="Q8" s="3">
        <f>HYPERLINK("https://wa.me/6281386206879?text=Selamat siang Bapak/Ibu pimpinan BANGUN SUKSES BERKEMBANG,%0A%0ASemoga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CIPTAMA MITRA TATAGRAHA</t>
        </is>
      </c>
      <c r="B9" t="inlineStr">
        <is>
          <t>Kota Bekasi</t>
        </is>
      </c>
      <c r="C9" t="inlineStr">
        <is>
          <t>02182741529</t>
        </is>
      </c>
      <c r="D9" t="inlineStr">
        <is>
          <t>ciptama.mt@gmail.com</t>
        </is>
      </c>
      <c r="E9" t="inlineStr">
        <is>
          <t>https://lpjk.pu.go.id/search-badan-usaha-detail/c2o1NC9XeDA0N3BMaFNxV3Y4MDFkQT09</t>
        </is>
      </c>
      <c r="F9" t="n">
        <v>6</v>
      </c>
      <c r="G9" t="inlineStr">
        <is>
          <t>BG001, BG005</t>
        </is>
      </c>
      <c r="H9" t="inlineStr">
        <is>
          <t>27 September 2018</t>
        </is>
      </c>
      <c r="I9" s="2" t="n">
        <v>46313</v>
      </c>
      <c r="J9" t="inlineStr">
        <is>
          <t>Disetujui, Pencabutan</t>
        </is>
      </c>
      <c r="K9" t="n">
        <v>90</v>
      </c>
      <c r="L9" t="inlineStr">
        <is>
          <t>18 Oktober 2026</t>
        </is>
      </c>
      <c r="M9" t="inlineStr">
        <is>
          <t>Konstruksi Gedung Hunian, Konstruksi Gedung Kesehatan</t>
        </is>
      </c>
      <c r="N9" t="inlineStr">
        <is>
          <t>K</t>
        </is>
      </c>
      <c r="O9" t="inlineStr">
        <is>
          <t>20231004, 20231016</t>
        </is>
      </c>
      <c r="P9" t="inlineStr">
        <is>
          <t>Jawa Barat</t>
        </is>
      </c>
      <c r="Q9" t="inlineStr"/>
    </row>
    <row r="10">
      <c r="A10" t="inlineStr">
        <is>
          <t>GUNUNG NUSANTARA</t>
        </is>
      </c>
      <c r="B10" t="inlineStr">
        <is>
          <t>Kab. Bekasi</t>
        </is>
      </c>
      <c r="C10" t="inlineStr">
        <is>
          <t>081317107329</t>
        </is>
      </c>
      <c r="D10" t="inlineStr">
        <is>
          <t>cv.gunungnusantara@gmail.com</t>
        </is>
      </c>
      <c r="E10" t="inlineStr">
        <is>
          <t>https://lpjk.pu.go.id/search-badan-usaha-detail/cm80VUloSW5ndldVQVNOOS9JQzVpdz09</t>
        </is>
      </c>
      <c r="F10" t="n">
        <v>2</v>
      </c>
      <c r="G10" t="inlineStr">
        <is>
          <t>BS001, BS004</t>
        </is>
      </c>
      <c r="H10" t="inlineStr">
        <is>
          <t>7 Mei 2021</t>
        </is>
      </c>
      <c r="I10" s="2" t="n">
        <v>46313</v>
      </c>
      <c r="J10" t="inlineStr">
        <is>
          <t>Disetujui</t>
        </is>
      </c>
      <c r="K10" t="n">
        <v>90</v>
      </c>
      <c r="L10" t="inlineStr">
        <is>
          <t>18 Oktober 2026</t>
        </is>
      </c>
      <c r="M10" t="inlineStr">
        <is>
          <t>Konstruksi Bangunan Sipil Jalan, Konstruksi Jaringan Irigasi dan Drainase</t>
        </is>
      </c>
      <c r="N10" t="inlineStr">
        <is>
          <t>K</t>
        </is>
      </c>
      <c r="O10" t="inlineStr">
        <is>
          <t>20231016</t>
        </is>
      </c>
      <c r="P10" t="inlineStr">
        <is>
          <t>Jawa Barat</t>
        </is>
      </c>
      <c r="Q10" s="3">
        <f>HYPERLINK("https://wa.me/6281317107329?text=Selamat siang Bapak/Ibu pimpinan GUNUNG NUSANTARA,%0A%0ASemoga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HANDA TEKNOLOGI INDONESIA</t>
        </is>
      </c>
      <c r="B11" t="inlineStr">
        <is>
          <t>Kota Adm. Jakarta Timur</t>
        </is>
      </c>
      <c r="C11" t="inlineStr">
        <is>
          <t>02122096645</t>
        </is>
      </c>
      <c r="D11" t="inlineStr">
        <is>
          <t>business.development@handateknologi.com</t>
        </is>
      </c>
      <c r="E11" t="inlineStr">
        <is>
          <t>https://lpjk.pu.go.id/search-badan-usaha-detail/UncraERFT0FWTFhPOTk1YWNXUWZhQT09</t>
        </is>
      </c>
      <c r="F11" t="n">
        <v>2</v>
      </c>
      <c r="G11" t="inlineStr">
        <is>
          <t>BG003, BG009</t>
        </is>
      </c>
      <c r="H11" t="inlineStr">
        <is>
          <t>19 April 2013</t>
        </is>
      </c>
      <c r="I11" s="2" t="n">
        <v>46313</v>
      </c>
      <c r="J11" t="inlineStr">
        <is>
          <t>Disetujui</t>
        </is>
      </c>
      <c r="K11" t="n">
        <v>90</v>
      </c>
      <c r="L11" t="inlineStr">
        <is>
          <t>18 Oktober 2026</t>
        </is>
      </c>
      <c r="M11" t="inlineStr">
        <is>
          <t>Konstruksi Gedung Industri, Konstruksi Gedung Lainnya</t>
        </is>
      </c>
      <c r="N11" t="inlineStr">
        <is>
          <t>K</t>
        </is>
      </c>
      <c r="O11" t="inlineStr">
        <is>
          <t>20231009, 20231014</t>
        </is>
      </c>
      <c r="P11" t="inlineStr">
        <is>
          <t>DKI Jakarta</t>
        </is>
      </c>
      <c r="Q11" t="inlineStr"/>
    </row>
    <row r="12">
      <c r="A12" t="inlineStr">
        <is>
          <t>HASTA DAYA LESTARI</t>
        </is>
      </c>
      <c r="B12" t="inlineStr">
        <is>
          <t>Kota Adm. Jakarta Timur</t>
        </is>
      </c>
      <c r="C12" t="inlineStr">
        <is>
          <t>0218609842</t>
        </is>
      </c>
      <c r="D12" t="inlineStr">
        <is>
          <t>pt.hastadayalestari@gmail.com</t>
        </is>
      </c>
      <c r="E12" t="inlineStr">
        <is>
          <t>https://lpjk.pu.go.id/search-badan-usaha-detail/UWl0dmFzQjZyTWlMd09FQVRWeVhRQT09</t>
        </is>
      </c>
      <c r="F12" t="n">
        <v>2</v>
      </c>
      <c r="G12" t="inlineStr">
        <is>
          <t>PL003, PL004</t>
        </is>
      </c>
      <c r="H12" t="inlineStr">
        <is>
          <t>10 November 2008</t>
        </is>
      </c>
      <c r="I12" s="2" t="n">
        <v>46313</v>
      </c>
      <c r="J12" t="inlineStr">
        <is>
          <t>Disetujui</t>
        </is>
      </c>
      <c r="K12" t="n">
        <v>90</v>
      </c>
      <c r="L12" t="inlineStr">
        <is>
          <t>18 Oktober 2026</t>
        </is>
      </c>
      <c r="M12" t="inlineStr">
        <is>
          <t>Pekerjaan Tanah, Penyiapan Lahan Konstruksi</t>
        </is>
      </c>
      <c r="N12" t="inlineStr">
        <is>
          <t>Spesialis</t>
        </is>
      </c>
      <c r="O12" t="inlineStr">
        <is>
          <t>20231010</t>
        </is>
      </c>
      <c r="P12" t="inlineStr">
        <is>
          <t>DKI Jakarta</t>
        </is>
      </c>
      <c r="Q12" t="inlineStr"/>
    </row>
    <row r="13">
      <c r="A13" t="inlineStr">
        <is>
          <t>KEIRA SURYA KENCANA</t>
        </is>
      </c>
      <c r="B13" t="inlineStr">
        <is>
          <t>Kota Bekasi</t>
        </is>
      </c>
      <c r="C13" t="inlineStr">
        <is>
          <t>02129489709</t>
        </is>
      </c>
      <c r="D13" t="inlineStr">
        <is>
          <t>keirasuryakencana@gmail.com</t>
        </is>
      </c>
      <c r="E13" t="inlineStr">
        <is>
          <t>https://lpjk.pu.go.id/search-badan-usaha-detail/RmZkbFl1bkxLQm5ZQVN2KzRSaktPQT09</t>
        </is>
      </c>
      <c r="F13" t="n">
        <v>1</v>
      </c>
      <c r="G13" t="inlineStr">
        <is>
          <t>BS008</t>
        </is>
      </c>
      <c r="H13" t="inlineStr">
        <is>
          <t>24 Februari 2016</t>
        </is>
      </c>
      <c r="I13" s="2" t="n">
        <v>46313</v>
      </c>
      <c r="J13" t="inlineStr">
        <is>
          <t>Disetujui</t>
        </is>
      </c>
      <c r="K13" t="n">
        <v>90</v>
      </c>
      <c r="L13" t="inlineStr">
        <is>
          <t>18 Oktober 2026</t>
        </is>
      </c>
      <c r="M13" t="inlineStr">
        <is>
          <t>Konstruksi Bangunan Sipil Telekomunikasi untuk Prasarana Transportasi</t>
        </is>
      </c>
      <c r="N13" t="inlineStr">
        <is>
          <t>K</t>
        </is>
      </c>
      <c r="O13" t="inlineStr">
        <is>
          <t>20231016</t>
        </is>
      </c>
      <c r="P13" t="inlineStr">
        <is>
          <t>Jawa Barat</t>
        </is>
      </c>
      <c r="Q13" t="inlineStr"/>
    </row>
    <row r="14">
      <c r="A14" t="inlineStr">
        <is>
          <t>NAYAKA WISHAKA ADHINATHA</t>
        </is>
      </c>
      <c r="B14" t="inlineStr">
        <is>
          <t>Kota Adm. Jakarta Timur</t>
        </is>
      </c>
      <c r="C14" t="inlineStr">
        <is>
          <t>08122232356</t>
        </is>
      </c>
      <c r="D14" t="inlineStr">
        <is>
          <t>pt.nayakawhisakaadhinatha@gmail.com</t>
        </is>
      </c>
      <c r="E14" t="inlineStr">
        <is>
          <t>https://lpjk.pu.go.id/search-badan-usaha-detail/a0prVGNranJPL0o1Z2JZY09vM1IzUT09</t>
        </is>
      </c>
      <c r="F14" t="n">
        <v>1</v>
      </c>
      <c r="G14" t="inlineStr">
        <is>
          <t>BS002</t>
        </is>
      </c>
      <c r="H14" t="inlineStr">
        <is>
          <t>6 Januari 2022</t>
        </is>
      </c>
      <c r="I14" s="2" t="n">
        <v>46313</v>
      </c>
      <c r="J14" t="inlineStr">
        <is>
          <t>Disetujui</t>
        </is>
      </c>
      <c r="K14" t="n">
        <v>90</v>
      </c>
      <c r="L14" t="inlineStr">
        <is>
          <t>18 Oktober 2026</t>
        </is>
      </c>
      <c r="M14" t="inlineStr">
        <is>
          <t>Bangunan Sipil Jembatan, Jalan Layang, Fly Over, dan Underpass</t>
        </is>
      </c>
      <c r="N14" t="inlineStr">
        <is>
          <t>K</t>
        </is>
      </c>
      <c r="O14" t="inlineStr">
        <is>
          <t>20231013</t>
        </is>
      </c>
      <c r="P14" t="inlineStr">
        <is>
          <t>DKI Jakarta</t>
        </is>
      </c>
      <c r="Q14" s="3">
        <f>HYPERLINK("https://wa.me/628122232356?text=Selamat siang Bapak/Ibu pimpinan NAYAKA WISHAKA ADHINATHA,%0A%0ASemoga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5">
      <c r="A15" t="inlineStr">
        <is>
          <t>NUR ABADI PERKASA</t>
        </is>
      </c>
      <c r="B15" t="inlineStr">
        <is>
          <t>Kota Bekasi</t>
        </is>
      </c>
      <c r="C15" t="inlineStr">
        <is>
          <t>081285814912</t>
        </is>
      </c>
      <c r="D15" t="inlineStr">
        <is>
          <t>nurabadiperkasa@gmail.com</t>
        </is>
      </c>
      <c r="E15" t="inlineStr">
        <is>
          <t>https://lpjk.pu.go.id/search-badan-usaha-detail/N3FlSGdENGlaRjFjWHMwTXplZDRXdz09</t>
        </is>
      </c>
      <c r="F15" t="n">
        <v>1</v>
      </c>
      <c r="G15" t="inlineStr">
        <is>
          <t>BS001</t>
        </is>
      </c>
      <c r="H15" t="inlineStr">
        <is>
          <t>23 Januari 2020</t>
        </is>
      </c>
      <c r="I15" s="2" t="n">
        <v>46313</v>
      </c>
      <c r="J15" t="inlineStr">
        <is>
          <t>Disetujui</t>
        </is>
      </c>
      <c r="K15" t="n">
        <v>90</v>
      </c>
      <c r="L15" t="inlineStr">
        <is>
          <t>18 Oktober 2026</t>
        </is>
      </c>
      <c r="M15" t="inlineStr">
        <is>
          <t>Konstruksi Bangunan Sipil Jalan</t>
        </is>
      </c>
      <c r="N15" t="inlineStr">
        <is>
          <t>K</t>
        </is>
      </c>
      <c r="O15" t="inlineStr">
        <is>
          <t>20231011</t>
        </is>
      </c>
      <c r="P15" t="inlineStr">
        <is>
          <t>Jawa Barat</t>
        </is>
      </c>
      <c r="Q15" s="3">
        <f>HYPERLINK("https://wa.me/6281285814912?text=Selamat siang Bapak/Ibu pimpinan NUR ABADI PERKASA,%0A%0ASemoga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6">
      <c r="A16" t="inlineStr">
        <is>
          <t>RAYA JAYA ABADI</t>
        </is>
      </c>
      <c r="B16" t="inlineStr">
        <is>
          <t>Kota Bogor</t>
        </is>
      </c>
      <c r="C16" t="inlineStr">
        <is>
          <t>087711036880</t>
        </is>
      </c>
      <c r="D16" t="inlineStr">
        <is>
          <t>radenalpim@gmail.com</t>
        </is>
      </c>
      <c r="E16" t="inlineStr">
        <is>
          <t>https://lpjk.pu.go.id/search-badan-usaha-detail/VzN2bjl3NFVaUzM1Q3hTTGk2VzVpZz09</t>
        </is>
      </c>
      <c r="F16" t="n">
        <v>1</v>
      </c>
      <c r="G16" t="inlineStr">
        <is>
          <t>BG003</t>
        </is>
      </c>
      <c r="H16" t="inlineStr">
        <is>
          <t>1 Desember 2011</t>
        </is>
      </c>
      <c r="I16" s="2" t="n">
        <v>46313</v>
      </c>
      <c r="J16" t="inlineStr">
        <is>
          <t>Disetujui</t>
        </is>
      </c>
      <c r="K16" t="n">
        <v>90</v>
      </c>
      <c r="L16" t="inlineStr">
        <is>
          <t>18 Oktober 2026</t>
        </is>
      </c>
      <c r="M16" t="inlineStr">
        <is>
          <t>Konstruksi Gedung Industri</t>
        </is>
      </c>
      <c r="N16" t="inlineStr">
        <is>
          <t>K</t>
        </is>
      </c>
      <c r="O16" t="inlineStr">
        <is>
          <t>20231018</t>
        </is>
      </c>
      <c r="P16" t="inlineStr">
        <is>
          <t>Jawa Barat</t>
        </is>
      </c>
      <c r="Q16" s="3">
        <f>HYPERLINK("https://wa.me/6287711036880?text=Selamat siang Bapak/Ibu pimpinan RAYA JAYA ABADI,%0A%0ASemoga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7">
      <c r="A17" t="inlineStr">
        <is>
          <t>ABDI MULYA</t>
        </is>
      </c>
      <c r="B17" t="inlineStr">
        <is>
          <t>Kab. Tulungagung</t>
        </is>
      </c>
      <c r="C17" t="inlineStr">
        <is>
          <t>081335714899</t>
        </is>
      </c>
      <c r="D17" t="inlineStr">
        <is>
          <t>abdimulya_cv@yahoo.co.id</t>
        </is>
      </c>
      <c r="E17" t="inlineStr">
        <is>
          <t>https://lpjk.pu.go.id/search-badan-usaha-detail/U1Jkb09CUzRBV0QrbDRKdUNIN2paQT09</t>
        </is>
      </c>
      <c r="F17" t="n">
        <v>3</v>
      </c>
      <c r="G17" t="inlineStr">
        <is>
          <t>BG005, BG006, BG009</t>
        </is>
      </c>
      <c r="H17" t="inlineStr">
        <is>
          <t>27 November 1995</t>
        </is>
      </c>
      <c r="I17" s="2" t="n">
        <v>46313</v>
      </c>
      <c r="J17" t="inlineStr">
        <is>
          <t>Disetujui</t>
        </is>
      </c>
      <c r="K17" t="n">
        <v>90</v>
      </c>
      <c r="L17" t="inlineStr">
        <is>
          <t>18 Oktober 2026</t>
        </is>
      </c>
      <c r="M17" t="inlineStr">
        <is>
          <t>Konstruksi Gedung Kesehatan, Konstruksi Gedung Lainnya, Konstruksi Gedung Pendidikan</t>
        </is>
      </c>
      <c r="N17" t="inlineStr">
        <is>
          <t>K</t>
        </is>
      </c>
      <c r="O17" t="inlineStr">
        <is>
          <t>20231006, 20231010</t>
        </is>
      </c>
      <c r="P17" t="inlineStr">
        <is>
          <t>Jawa Timur</t>
        </is>
      </c>
      <c r="Q17" t="inlineStr"/>
    </row>
    <row r="18">
      <c r="A18" t="inlineStr">
        <is>
          <t>ADHIGANA JAYA SENTOSA</t>
        </is>
      </c>
      <c r="B18" t="inlineStr">
        <is>
          <t>Kota Tangerang Selatan</t>
        </is>
      </c>
      <c r="C18" t="inlineStr">
        <is>
          <t>02129030548</t>
        </is>
      </c>
      <c r="D18" t="inlineStr">
        <is>
          <t>adhigana.jaya.sentosa@gmail.com</t>
        </is>
      </c>
      <c r="E18" t="inlineStr">
        <is>
          <t>https://lpjk.pu.go.id/search-badan-usaha-detail/M01KWTREOGQvaEhGbHU5elkwaTZuQT09</t>
        </is>
      </c>
      <c r="F18" t="n">
        <v>10</v>
      </c>
      <c r="G18" t="inlineStr">
        <is>
          <t>BG001, BG002, BG003, BG005, BS001</t>
        </is>
      </c>
      <c r="H18" t="inlineStr">
        <is>
          <t>8 Desember 2014</t>
        </is>
      </c>
      <c r="I18" s="2" t="n">
        <v>46313</v>
      </c>
      <c r="J18" t="inlineStr">
        <is>
          <t>Disetujui</t>
        </is>
      </c>
      <c r="K18" t="n">
        <v>90</v>
      </c>
      <c r="L18" t="inlineStr">
        <is>
          <t>18 Oktober 2026</t>
        </is>
      </c>
      <c r="M18" t="inlineStr">
        <is>
          <t>Konstruksi Bangunan Sipil Jalan, Konstruksi Gedung Hunian, Konstruksi Gedung Industri, Konstruksi Gedung Kesehatan, Konstruksi Gedung Perkantoran</t>
        </is>
      </c>
      <c r="N18" t="inlineStr">
        <is>
          <t>K</t>
        </is>
      </c>
      <c r="O18" t="inlineStr">
        <is>
          <t>20230410, 20231011</t>
        </is>
      </c>
      <c r="P18" t="inlineStr">
        <is>
          <t>Banten</t>
        </is>
      </c>
      <c r="Q18" t="inlineStr"/>
    </row>
    <row r="19">
      <c r="A19" t="inlineStr">
        <is>
          <t>ADHIKARI RAYA</t>
        </is>
      </c>
      <c r="B19" t="inlineStr">
        <is>
          <t>Kab. Jember</t>
        </is>
      </c>
      <c r="C19" t="inlineStr">
        <is>
          <t>081332370919</t>
        </is>
      </c>
      <c r="D19" t="inlineStr">
        <is>
          <t>cv.adhikariraya@gmail.com</t>
        </is>
      </c>
      <c r="E19" t="inlineStr">
        <is>
          <t>https://lpjk.pu.go.id/search-badan-usaha-detail/MlJFRDVXak4xeXNYM3psMzlVVDFJZz09</t>
        </is>
      </c>
      <c r="F19" t="n">
        <v>2</v>
      </c>
      <c r="G19" t="inlineStr">
        <is>
          <t>BG009</t>
        </is>
      </c>
      <c r="H19" t="inlineStr">
        <is>
          <t>14 Desember 2022</t>
        </is>
      </c>
      <c r="I19" s="2" t="n">
        <v>46313</v>
      </c>
      <c r="J19" t="inlineStr">
        <is>
          <t>Disetujui</t>
        </is>
      </c>
      <c r="K19" t="n">
        <v>90</v>
      </c>
      <c r="L19" t="inlineStr">
        <is>
          <t>18 Oktober 2026</t>
        </is>
      </c>
      <c r="M19" t="inlineStr">
        <is>
          <t>Konstruksi Gedung Lainnya</t>
        </is>
      </c>
      <c r="N19" t="inlineStr">
        <is>
          <t>K</t>
        </is>
      </c>
      <c r="O19" t="inlineStr">
        <is>
          <t>20231018</t>
        </is>
      </c>
      <c r="P19" t="inlineStr">
        <is>
          <t>Jawa Timur</t>
        </is>
      </c>
      <c r="Q19" t="inlineStr"/>
    </row>
    <row r="20">
      <c r="A20" t="inlineStr">
        <is>
          <t>ADI PUTRA</t>
        </is>
      </c>
      <c r="B20" t="inlineStr">
        <is>
          <t>Kab. Buleleng</t>
        </is>
      </c>
      <c r="C20" t="inlineStr">
        <is>
          <t>087804639859</t>
        </is>
      </c>
      <c r="D20" t="inlineStr">
        <is>
          <t>cv.adiputra@gmail.com</t>
        </is>
      </c>
      <c r="E20" t="inlineStr">
        <is>
          <t>https://lpjk.pu.go.id/search-badan-usaha-detail/YUJ3WFBjaDBiS1NVZElxMFJiU0dzdz09</t>
        </is>
      </c>
      <c r="F20" t="n">
        <v>3</v>
      </c>
      <c r="G20" t="inlineStr">
        <is>
          <t>BG005, BG006, BG009</t>
        </is>
      </c>
      <c r="H20" t="inlineStr">
        <is>
          <t>16 Mei 2000</t>
        </is>
      </c>
      <c r="I20" s="2" t="n">
        <v>46313</v>
      </c>
      <c r="J20" t="inlineStr">
        <is>
          <t>Disetujui</t>
        </is>
      </c>
      <c r="K20" t="n">
        <v>90</v>
      </c>
      <c r="L20" t="inlineStr">
        <is>
          <t>18 Oktober 2026</t>
        </is>
      </c>
      <c r="M20" t="inlineStr">
        <is>
          <t>Konstruksi Gedung Kesehatan, Konstruksi Gedung Lainnya, Konstruksi Gedung Pendidikan</t>
        </is>
      </c>
      <c r="N20" t="inlineStr">
        <is>
          <t>K</t>
        </is>
      </c>
      <c r="O20" t="inlineStr">
        <is>
          <t>20231011</t>
        </is>
      </c>
      <c r="P20" t="inlineStr">
        <is>
          <t>Bali</t>
        </is>
      </c>
      <c r="Q20" t="inlineStr"/>
    </row>
    <row r="21">
      <c r="A21" t="inlineStr">
        <is>
          <t>ADISTARA SRIWIJAYA KONSTRUKSI</t>
        </is>
      </c>
      <c r="B21" t="inlineStr">
        <is>
          <t>Kab. Subang</t>
        </is>
      </c>
      <c r="C21" t="inlineStr">
        <is>
          <t>081220837761</t>
        </is>
      </c>
      <c r="D21" t="inlineStr">
        <is>
          <t>cvadistarasriwijayakonstruksi@gmail.com</t>
        </is>
      </c>
      <c r="E21" t="inlineStr">
        <is>
          <t>https://lpjk.pu.go.id/search-badan-usaha-detail/UEcxUHFGMVFDSVFlTjJHaUwweHpqZz09</t>
        </is>
      </c>
      <c r="F21" t="n">
        <v>2</v>
      </c>
      <c r="G21" t="inlineStr">
        <is>
          <t>BS004</t>
        </is>
      </c>
      <c r="H21" t="inlineStr">
        <is>
          <t>2 Agustus 2023</t>
        </is>
      </c>
      <c r="I21" s="2" t="n">
        <v>46313</v>
      </c>
      <c r="J21" t="inlineStr">
        <is>
          <t>Pencabutan</t>
        </is>
      </c>
      <c r="K21" t="n">
        <v>90</v>
      </c>
      <c r="L21" t="inlineStr">
        <is>
          <t>18 Oktober 2026</t>
        </is>
      </c>
      <c r="M21" t="inlineStr">
        <is>
          <t>Konstruksi Jaringan Irigasi dan Drainase</t>
        </is>
      </c>
      <c r="N21" t="inlineStr">
        <is>
          <t>K</t>
        </is>
      </c>
      <c r="O21" t="inlineStr">
        <is>
          <t>20231012</t>
        </is>
      </c>
      <c r="P21" t="inlineStr">
        <is>
          <t>Jawa Barat</t>
        </is>
      </c>
      <c r="Q21" t="inlineStr"/>
    </row>
    <row r="22">
      <c r="A22" t="inlineStr">
        <is>
          <t>ADJI MERTHA KARYA</t>
        </is>
      </c>
      <c r="B22" t="inlineStr">
        <is>
          <t>Kab. Pasuruan</t>
        </is>
      </c>
      <c r="C22" t="inlineStr">
        <is>
          <t>08125297937</t>
        </is>
      </c>
      <c r="D22" t="inlineStr">
        <is>
          <t>ajimerthakarya@gmail.com</t>
        </is>
      </c>
      <c r="E22" t="inlineStr">
        <is>
          <t>https://lpjk.pu.go.id/search-badan-usaha-detail/S1pYbHZXWElhVkoxdkxvOGI2anRlQT09</t>
        </is>
      </c>
      <c r="F22" t="n">
        <v>1</v>
      </c>
      <c r="G22" t="inlineStr">
        <is>
          <t>BS001</t>
        </is>
      </c>
      <c r="H22" t="inlineStr">
        <is>
          <t>6 Agustus 1982</t>
        </is>
      </c>
      <c r="I22" s="2" t="n">
        <v>46313</v>
      </c>
      <c r="J22" t="inlineStr">
        <is>
          <t>Disetujui</t>
        </is>
      </c>
      <c r="K22" t="n">
        <v>90</v>
      </c>
      <c r="L22" t="inlineStr">
        <is>
          <t>18 Oktober 2026</t>
        </is>
      </c>
      <c r="M22" t="inlineStr">
        <is>
          <t>Konstruksi Bangunan Sipil Jalan</t>
        </is>
      </c>
      <c r="N22" t="inlineStr">
        <is>
          <t>K</t>
        </is>
      </c>
      <c r="O22" t="inlineStr">
        <is>
          <t>20231006</t>
        </is>
      </c>
      <c r="P22" t="inlineStr">
        <is>
          <t>Jawa Timur</t>
        </is>
      </c>
      <c r="Q22" t="inlineStr"/>
    </row>
    <row r="23">
      <c r="A23" t="inlineStr">
        <is>
          <t>ADYATMA MAJU BERSAMA</t>
        </is>
      </c>
      <c r="B23" t="inlineStr">
        <is>
          <t>Kab. Lombok Barat</t>
        </is>
      </c>
      <c r="C23" t="inlineStr">
        <is>
          <t>081917449874</t>
        </is>
      </c>
      <c r="D23" t="inlineStr">
        <is>
          <t>junaidi79008@gmail.com</t>
        </is>
      </c>
      <c r="E23" t="inlineStr">
        <is>
          <t>https://lpjk.pu.go.id/search-badan-usaha-detail/WG9IWlZSWHJCUGVkR2dkREtwK1VzUT09</t>
        </is>
      </c>
      <c r="F23" t="n">
        <v>2</v>
      </c>
      <c r="G23" t="inlineStr">
        <is>
          <t>RK002</t>
        </is>
      </c>
      <c r="H23" t="inlineStr">
        <is>
          <t>27 Agustus 2012</t>
        </is>
      </c>
      <c r="I23" s="2" t="n">
        <v>46313</v>
      </c>
      <c r="J23" t="inlineStr">
        <is>
          <t>Disetujui</t>
        </is>
      </c>
      <c r="K23" t="n">
        <v>90</v>
      </c>
      <c r="L23" t="inlineStr">
        <is>
          <t>18 Oktober 2026</t>
        </is>
      </c>
      <c r="M23" t="inlineStr">
        <is>
          <t>Jasa Rekayasa Pekerjaan Teknik Sipil Sumber Daya Air</t>
        </is>
      </c>
      <c r="N23" t="inlineStr">
        <is>
          <t>K</t>
        </is>
      </c>
      <c r="O23" t="inlineStr">
        <is>
          <t>20230914</t>
        </is>
      </c>
      <c r="P23" t="inlineStr">
        <is>
          <t>Nusa Tenggara Barat</t>
        </is>
      </c>
      <c r="Q23" t="inlineStr"/>
    </row>
    <row r="24">
      <c r="A24" t="inlineStr">
        <is>
          <t>AGRO LESTARI</t>
        </is>
      </c>
      <c r="B24" t="inlineStr">
        <is>
          <t>Kota Pontianak</t>
        </is>
      </c>
      <c r="C24" t="inlineStr">
        <is>
          <t>081522631199</t>
        </is>
      </c>
      <c r="D24" t="inlineStr">
        <is>
          <t>cvagrolestari2019@gmail.com</t>
        </is>
      </c>
      <c r="E24" t="inlineStr">
        <is>
          <t>https://lpjk.pu.go.id/search-badan-usaha-detail/VFFGN2ErV2NHTzJpSXNTVUNTeVlMdz09</t>
        </is>
      </c>
      <c r="F24" t="n">
        <v>1</v>
      </c>
      <c r="G24" t="inlineStr">
        <is>
          <t>BS001</t>
        </is>
      </c>
      <c r="H24" t="inlineStr">
        <is>
          <t>1 Februari 2017</t>
        </is>
      </c>
      <c r="I24" s="2" t="n">
        <v>46313</v>
      </c>
      <c r="J24" t="inlineStr">
        <is>
          <t>Disetujui</t>
        </is>
      </c>
      <c r="K24" t="n">
        <v>90</v>
      </c>
      <c r="L24" t="inlineStr">
        <is>
          <t>18 Oktober 2026</t>
        </is>
      </c>
      <c r="M24" t="inlineStr">
        <is>
          <t>Konstruksi Bangunan Sipil Jalan</t>
        </is>
      </c>
      <c r="N24" t="inlineStr">
        <is>
          <t>K</t>
        </is>
      </c>
      <c r="O24" t="inlineStr">
        <is>
          <t>20231013</t>
        </is>
      </c>
      <c r="P24" t="inlineStr">
        <is>
          <t>Kalimantan Barat</t>
        </is>
      </c>
      <c r="Q24" t="inlineStr"/>
    </row>
    <row r="25">
      <c r="A25" t="inlineStr">
        <is>
          <t>ALFA QAYS PERDANA</t>
        </is>
      </c>
      <c r="B25" t="inlineStr">
        <is>
          <t>Kab. Bengkayang</t>
        </is>
      </c>
      <c r="C25" t="inlineStr">
        <is>
          <t>082252338328</t>
        </is>
      </c>
      <c r="D25" t="inlineStr">
        <is>
          <t>alfaqaysperdana21@gmail.com</t>
        </is>
      </c>
      <c r="E25" t="inlineStr">
        <is>
          <t>https://lpjk.pu.go.id/search-badan-usaha-detail/ZjlBWHpNR3lFTkl6aUllQ0tzK2VHZz09</t>
        </is>
      </c>
      <c r="F25" t="n">
        <v>1</v>
      </c>
      <c r="G25" t="inlineStr">
        <is>
          <t>BS010</t>
        </is>
      </c>
      <c r="H25" t="inlineStr">
        <is>
          <t>12 Januari 2023</t>
        </is>
      </c>
      <c r="I25" s="2" t="n">
        <v>46313</v>
      </c>
      <c r="J25" t="inlineStr">
        <is>
          <t>Pencabutan</t>
        </is>
      </c>
      <c r="K25" t="n">
        <v>90</v>
      </c>
      <c r="L25" t="inlineStr">
        <is>
          <t>18 Oktober 2026</t>
        </is>
      </c>
      <c r="M25" t="inlineStr">
        <is>
          <t>Konstruksi Bangunan Prasarana Sumber Daya Air</t>
        </is>
      </c>
      <c r="N25" t="inlineStr">
        <is>
          <t>K</t>
        </is>
      </c>
      <c r="O25" t="inlineStr">
        <is>
          <t>20230129</t>
        </is>
      </c>
      <c r="P25" t="inlineStr">
        <is>
          <t>Kalimantan Barat</t>
        </is>
      </c>
      <c r="Q25" t="inlineStr"/>
    </row>
    <row r="26">
      <c r="A26" t="inlineStr">
        <is>
          <t>ALIKA ARTHA PRIMA</t>
        </is>
      </c>
      <c r="B26" t="inlineStr">
        <is>
          <t>Kota Padang</t>
        </is>
      </c>
      <c r="C26" t="inlineStr">
        <is>
          <t>081266226013</t>
        </is>
      </c>
      <c r="D26" t="inlineStr">
        <is>
          <t>alikaarthaprima@gmail.com</t>
        </is>
      </c>
      <c r="E26" t="inlineStr">
        <is>
          <t>https://lpjk.pu.go.id/search-badan-usaha-detail/allvSk8zcXcxdXZtbzdlbzVTWWo4UT09</t>
        </is>
      </c>
      <c r="F26" t="n">
        <v>3</v>
      </c>
      <c r="G26" t="inlineStr">
        <is>
          <t>BG005, BG006, BG008</t>
        </is>
      </c>
      <c r="H26" t="inlineStr">
        <is>
          <t>15 November 2018</t>
        </is>
      </c>
      <c r="I26" s="2" t="n">
        <v>46313</v>
      </c>
      <c r="J26" t="inlineStr">
        <is>
          <t>Pencabutan</t>
        </is>
      </c>
      <c r="K26" t="n">
        <v>90</v>
      </c>
      <c r="L26" t="inlineStr">
        <is>
          <t>18 Oktober 2026</t>
        </is>
      </c>
      <c r="M26" t="inlineStr">
        <is>
          <t>Konstruksi Gedung Kesehatan, Konstruksi Gedung Pendidikan, Konstruksi Gedung Tempat Hiburan dan Olahraga</t>
        </is>
      </c>
      <c r="N26" t="inlineStr">
        <is>
          <t>K</t>
        </is>
      </c>
      <c r="O26" t="inlineStr">
        <is>
          <t>20231013</t>
        </is>
      </c>
      <c r="P26" t="inlineStr">
        <is>
          <t>Sumatera Barat</t>
        </is>
      </c>
      <c r="Q26" t="inlineStr"/>
    </row>
    <row r="27">
      <c r="A27" t="inlineStr">
        <is>
          <t>ALURA CONSULTING ENGINEERS</t>
        </is>
      </c>
      <c r="B27" t="inlineStr">
        <is>
          <t>Kab. Kutai Kartanegara</t>
        </is>
      </c>
      <c r="C27" t="inlineStr">
        <is>
          <t>081253379988</t>
        </is>
      </c>
      <c r="D27" t="inlineStr">
        <is>
          <t>cv.aluraconsultingengineers@gmail.com</t>
        </is>
      </c>
      <c r="E27" t="inlineStr">
        <is>
          <t>https://lpjk.pu.go.id/search-badan-usaha-detail/Z1R6VGd2bFpVOGw3bGxzSzZleHAwQT09</t>
        </is>
      </c>
      <c r="F27" t="n">
        <v>2</v>
      </c>
      <c r="G27" t="inlineStr">
        <is>
          <t>RK001, RK003</t>
        </is>
      </c>
      <c r="H27" t="inlineStr">
        <is>
          <t>5 September 2023</t>
        </is>
      </c>
      <c r="I27" s="2" t="n">
        <v>46313</v>
      </c>
      <c r="J27" t="inlineStr">
        <is>
          <t>Disetujui</t>
        </is>
      </c>
      <c r="K27" t="n">
        <v>90</v>
      </c>
      <c r="L27" t="inlineStr">
        <is>
          <t>18 Oktober 2026</t>
        </is>
      </c>
      <c r="M27" t="inlineStr">
        <is>
          <t>Jasa Rekayasa Konstruksi Bangunan Gedung Hunian dan Non Hunian, Jasa Rekayasa Pekerjaan Teknik Sipil Transportasi</t>
        </is>
      </c>
      <c r="N27" t="inlineStr">
        <is>
          <t>K</t>
        </is>
      </c>
      <c r="O27" t="inlineStr">
        <is>
          <t>20230927</t>
        </is>
      </c>
      <c r="P27" t="inlineStr">
        <is>
          <t>Kalimantan Timur</t>
        </is>
      </c>
      <c r="Q27" t="inlineStr"/>
    </row>
    <row r="28">
      <c r="A28" t="inlineStr">
        <is>
          <t>ANAGATA ABISATYA VISITAMA</t>
        </is>
      </c>
      <c r="B28" t="inlineStr">
        <is>
          <t>Kota Bandung</t>
        </is>
      </c>
      <c r="C28" t="inlineStr">
        <is>
          <t>08122004498</t>
        </is>
      </c>
      <c r="D28" t="inlineStr">
        <is>
          <t>anagataabivisitama.cv@gmail.com</t>
        </is>
      </c>
      <c r="E28" t="inlineStr">
        <is>
          <t>https://lpjk.pu.go.id/search-badan-usaha-detail/MDdLNmF4aTNWendHZEM1WUpDaGVyUT09</t>
        </is>
      </c>
      <c r="F28" t="n">
        <v>1</v>
      </c>
      <c r="G28" t="inlineStr">
        <is>
          <t>BG006</t>
        </is>
      </c>
      <c r="H28" t="inlineStr">
        <is>
          <t>11 November 2022</t>
        </is>
      </c>
      <c r="I28" s="2" t="n">
        <v>46313</v>
      </c>
      <c r="J28" t="inlineStr">
        <is>
          <t>Disetujui</t>
        </is>
      </c>
      <c r="K28" t="n">
        <v>90</v>
      </c>
      <c r="L28" t="inlineStr">
        <is>
          <t>18 Oktober 2026</t>
        </is>
      </c>
      <c r="M28" t="inlineStr">
        <is>
          <t>Konstruksi Gedung Pendidikan</t>
        </is>
      </c>
      <c r="N28" t="inlineStr">
        <is>
          <t>K</t>
        </is>
      </c>
      <c r="O28" t="inlineStr">
        <is>
          <t>20230829</t>
        </is>
      </c>
      <c r="P28" t="inlineStr">
        <is>
          <t>Jawa Barat</t>
        </is>
      </c>
      <c r="Q28" t="inlineStr"/>
    </row>
    <row r="29">
      <c r="A29" t="inlineStr">
        <is>
          <t>ANANTA KARYA</t>
        </is>
      </c>
      <c r="B29" t="inlineStr">
        <is>
          <t>Kab. Jember</t>
        </is>
      </c>
      <c r="C29" t="inlineStr">
        <is>
          <t>085236371240</t>
        </is>
      </c>
      <c r="D29" t="inlineStr">
        <is>
          <t>anantakaryajember@gmail.com</t>
        </is>
      </c>
      <c r="E29" t="inlineStr">
        <is>
          <t>https://lpjk.pu.go.id/search-badan-usaha-detail/UUUwRG44d2dyaG9OOE1uOXZhR0xsdz09</t>
        </is>
      </c>
      <c r="F29" t="n">
        <v>4</v>
      </c>
      <c r="G29" t="inlineStr">
        <is>
          <t>BG001, BG003, BG004, BG009</t>
        </is>
      </c>
      <c r="H29" t="inlineStr">
        <is>
          <t>11 November 2016</t>
        </is>
      </c>
      <c r="I29" s="2" t="n">
        <v>46313</v>
      </c>
      <c r="J29" t="inlineStr">
        <is>
          <t>Disetujui</t>
        </is>
      </c>
      <c r="K29" t="n">
        <v>90</v>
      </c>
      <c r="L29" t="inlineStr">
        <is>
          <t>18 Oktober 2026</t>
        </is>
      </c>
      <c r="M29" t="inlineStr">
        <is>
          <t>Konstruksi Gedung Hunian, Konstruksi Gedung Industri, Konstruksi Gedung Lainnya, Konstruksi Gedung Perbelanjaan</t>
        </is>
      </c>
      <c r="N29" t="inlineStr">
        <is>
          <t>K</t>
        </is>
      </c>
      <c r="O29" t="inlineStr">
        <is>
          <t>20231010</t>
        </is>
      </c>
      <c r="P29" t="inlineStr">
        <is>
          <t>Jawa Timur</t>
        </is>
      </c>
      <c r="Q29" t="inlineStr"/>
    </row>
    <row r="30">
      <c r="A30" t="inlineStr">
        <is>
          <t>ANEKA ADIJASA</t>
        </is>
      </c>
      <c r="B30" t="inlineStr">
        <is>
          <t>Kab. Sleman</t>
        </is>
      </c>
      <c r="C30" t="inlineStr">
        <is>
          <t>08179427326</t>
        </is>
      </c>
      <c r="D30" t="inlineStr">
        <is>
          <t>aneka.adijasa@gmail.com</t>
        </is>
      </c>
      <c r="E30" t="inlineStr">
        <is>
          <t>https://lpjk.pu.go.id/search-badan-usaha-detail/NUlXR2xrWTE0MFhmZFBvUTQyUWVtdz09</t>
        </is>
      </c>
      <c r="F30" t="n">
        <v>2</v>
      </c>
      <c r="G30" t="inlineStr">
        <is>
          <t>BS005</t>
        </is>
      </c>
      <c r="H30" t="inlineStr">
        <is>
          <t>13 Februari 2014</t>
        </is>
      </c>
      <c r="I30" s="2" t="n">
        <v>46313</v>
      </c>
      <c r="J30" t="inlineStr">
        <is>
          <t>Disetujui</t>
        </is>
      </c>
      <c r="K30" t="n">
        <v>90</v>
      </c>
      <c r="L30" t="inlineStr">
        <is>
          <t>18 Oktober 2026</t>
        </is>
      </c>
      <c r="M30" t="inlineStr">
        <is>
          <t>Konstruksi Bangunan Sipil Pengolahan Air Bersih</t>
        </is>
      </c>
      <c r="N30" t="inlineStr">
        <is>
          <t>K</t>
        </is>
      </c>
      <c r="O30" t="inlineStr">
        <is>
          <t>20231017</t>
        </is>
      </c>
      <c r="P30" t="inlineStr">
        <is>
          <t>DI Yogyakarta</t>
        </is>
      </c>
      <c r="Q30" t="inlineStr"/>
    </row>
    <row r="31">
      <c r="A31" t="inlineStr">
        <is>
          <t>ANEMEROUS DWI REKAYASA DIGITAL</t>
        </is>
      </c>
      <c r="B31" t="inlineStr">
        <is>
          <t>Kota Sukabumi</t>
        </is>
      </c>
      <c r="C31" t="inlineStr">
        <is>
          <t>082123735741</t>
        </is>
      </c>
      <c r="D31" t="inlineStr">
        <is>
          <t>cvadrd@gmail.com</t>
        </is>
      </c>
      <c r="E31" t="inlineStr">
        <is>
          <t>https://lpjk.pu.go.id/search-badan-usaha-detail/d1pVT2Y0bmVXV0ppWkx1dGVtY29xUT09</t>
        </is>
      </c>
      <c r="F31" t="n">
        <v>2</v>
      </c>
      <c r="G31" t="inlineStr">
        <is>
          <t>BS001</t>
        </is>
      </c>
      <c r="H31" t="inlineStr">
        <is>
          <t>2 Maret 2023</t>
        </is>
      </c>
      <c r="I31" s="2" t="n">
        <v>46313</v>
      </c>
      <c r="J31" t="inlineStr">
        <is>
          <t>Disetujui</t>
        </is>
      </c>
      <c r="K31" t="n">
        <v>90</v>
      </c>
      <c r="L31" t="inlineStr">
        <is>
          <t>18 Oktober 2026</t>
        </is>
      </c>
      <c r="M31" t="inlineStr">
        <is>
          <t>Konstruksi Bangunan Sipil Jalan</t>
        </is>
      </c>
      <c r="N31" t="inlineStr">
        <is>
          <t>K</t>
        </is>
      </c>
      <c r="O31" t="inlineStr">
        <is>
          <t>20231018</t>
        </is>
      </c>
      <c r="P31" t="inlineStr">
        <is>
          <t>Jawa Barat</t>
        </is>
      </c>
      <c r="Q31" t="inlineStr"/>
    </row>
    <row r="32">
      <c r="A32" t="inlineStr">
        <is>
          <t>ANUGERAH PUTRA UTAMA</t>
        </is>
      </c>
      <c r="B32" t="inlineStr">
        <is>
          <t>Kota Medan</t>
        </is>
      </c>
      <c r="C32" t="inlineStr">
        <is>
          <t>085275045123</t>
        </is>
      </c>
      <c r="D32" t="inlineStr">
        <is>
          <t>cvanugerahputrautama@gmail.com</t>
        </is>
      </c>
      <c r="E32" t="inlineStr">
        <is>
          <t>https://lpjk.pu.go.id/search-badan-usaha-detail/RXdVdlV4dmx3RVVvRm4zcERkWi9Ydz09</t>
        </is>
      </c>
      <c r="F32" t="n">
        <v>3</v>
      </c>
      <c r="G32" t="inlineStr">
        <is>
          <t>BG009, BS001, BS004</t>
        </is>
      </c>
      <c r="H32" t="inlineStr">
        <is>
          <t>11 Oktober 2011</t>
        </is>
      </c>
      <c r="I32" s="2" t="n">
        <v>46313</v>
      </c>
      <c r="J32" t="inlineStr">
        <is>
          <t>Disetujui</t>
        </is>
      </c>
      <c r="K32" t="n">
        <v>90</v>
      </c>
      <c r="L32" t="inlineStr">
        <is>
          <t>18 Oktober 2026</t>
        </is>
      </c>
      <c r="M32" t="inlineStr">
        <is>
          <t>Konstruksi Bangunan Sipil Jalan, Konstruksi Gedung Lainnya, Konstruksi Jaringan Irigasi dan Drainase</t>
        </is>
      </c>
      <c r="N32" t="inlineStr">
        <is>
          <t>K</t>
        </is>
      </c>
      <c r="O32" t="inlineStr">
        <is>
          <t>20231016, 20231017</t>
        </is>
      </c>
      <c r="P32" t="inlineStr">
        <is>
          <t>Sumatera Utara</t>
        </is>
      </c>
      <c r="Q32" t="inlineStr"/>
    </row>
    <row r="33">
      <c r="A33" t="inlineStr">
        <is>
          <t>ANUGRAH INVESTAMA CONSULTANT</t>
        </is>
      </c>
      <c r="B33" t="inlineStr">
        <is>
          <t>Kab. Batang</t>
        </is>
      </c>
      <c r="C33" t="inlineStr">
        <is>
          <t>081228829623</t>
        </is>
      </c>
      <c r="D33" t="inlineStr">
        <is>
          <t>anugrahinvestamacons.aic@gmail.com</t>
        </is>
      </c>
      <c r="E33" t="inlineStr">
        <is>
          <t>https://lpjk.pu.go.id/search-badan-usaha-detail/VWwvdDV2MFByOHBZVWxkYk1Sb0JqQT09</t>
        </is>
      </c>
      <c r="F33" t="n">
        <v>2</v>
      </c>
      <c r="G33" t="inlineStr">
        <is>
          <t>RK003</t>
        </is>
      </c>
      <c r="H33" t="inlineStr">
        <is>
          <t>22 Juni 2012</t>
        </is>
      </c>
      <c r="I33" s="2" t="n">
        <v>46313</v>
      </c>
      <c r="J33" t="inlineStr">
        <is>
          <t>Disetujui</t>
        </is>
      </c>
      <c r="K33" t="n">
        <v>90</v>
      </c>
      <c r="L33" t="inlineStr">
        <is>
          <t>18 Oktober 2026</t>
        </is>
      </c>
      <c r="M33" t="inlineStr">
        <is>
          <t>Jasa Rekayasa Pekerjaan Teknik Sipil Transportasi</t>
        </is>
      </c>
      <c r="N33" t="inlineStr">
        <is>
          <t>K</t>
        </is>
      </c>
      <c r="O33" t="inlineStr">
        <is>
          <t>20230410</t>
        </is>
      </c>
      <c r="P33" t="inlineStr">
        <is>
          <t>Jawa Tengah</t>
        </is>
      </c>
      <c r="Q33" t="inlineStr"/>
    </row>
    <row r="34">
      <c r="A34" t="inlineStr">
        <is>
          <t>ANUGRAH SATYA JAYA</t>
        </is>
      </c>
      <c r="B34" t="inlineStr">
        <is>
          <t>Kab. Toba Samosir</t>
        </is>
      </c>
      <c r="C34" t="inlineStr">
        <is>
          <t>08126330942</t>
        </is>
      </c>
      <c r="D34" t="inlineStr">
        <is>
          <t>panugrah16@gmail.com</t>
        </is>
      </c>
      <c r="E34" t="inlineStr">
        <is>
          <t>https://lpjk.pu.go.id/search-badan-usaha-detail/bFpMZGYvY3owNXhxT1JvVzJSNDFNZz09</t>
        </is>
      </c>
      <c r="F34" t="n">
        <v>2</v>
      </c>
      <c r="G34" t="inlineStr">
        <is>
          <t>BG006</t>
        </is>
      </c>
      <c r="H34" t="inlineStr">
        <is>
          <t>18 Januari 2017</t>
        </is>
      </c>
      <c r="I34" s="2" t="n">
        <v>46313</v>
      </c>
      <c r="J34" t="inlineStr">
        <is>
          <t>Disetujui</t>
        </is>
      </c>
      <c r="K34" t="n">
        <v>90</v>
      </c>
      <c r="L34" t="inlineStr">
        <is>
          <t>18 Oktober 2026</t>
        </is>
      </c>
      <c r="M34" t="inlineStr">
        <is>
          <t>Konstruksi Gedung Pendidikan</t>
        </is>
      </c>
      <c r="N34" t="inlineStr">
        <is>
          <t>K</t>
        </is>
      </c>
      <c r="O34" t="inlineStr">
        <is>
          <t>20231017</t>
        </is>
      </c>
      <c r="P34" t="inlineStr">
        <is>
          <t>Sumatera Utara</t>
        </is>
      </c>
      <c r="Q34" t="inlineStr"/>
    </row>
    <row r="35">
      <c r="A35" t="inlineStr">
        <is>
          <t>ARIES MUDA HUTAMA</t>
        </is>
      </c>
      <c r="B35" t="inlineStr">
        <is>
          <t>Kab. Sijunjung</t>
        </is>
      </c>
      <c r="C35" t="inlineStr">
        <is>
          <t>081266599852</t>
        </is>
      </c>
      <c r="D35" t="inlineStr">
        <is>
          <t>ariesmudahutama@gmail.com</t>
        </is>
      </c>
      <c r="E35" t="inlineStr">
        <is>
          <t>https://lpjk.pu.go.id/search-badan-usaha-detail/NlBiYTZ0VnNIUmo0REc0cVpHK0tXdz09</t>
        </is>
      </c>
      <c r="F35" t="n">
        <v>4</v>
      </c>
      <c r="G35" t="inlineStr">
        <is>
          <t>BG005, BG009</t>
        </is>
      </c>
      <c r="H35" t="inlineStr">
        <is>
          <t>5 Juni 2023</t>
        </is>
      </c>
      <c r="I35" s="2" t="n">
        <v>46313</v>
      </c>
      <c r="J35" t="inlineStr">
        <is>
          <t>Pencabutan</t>
        </is>
      </c>
      <c r="K35" t="n">
        <v>90</v>
      </c>
      <c r="L35" t="inlineStr">
        <is>
          <t>18 Oktober 2026</t>
        </is>
      </c>
      <c r="M35" t="inlineStr">
        <is>
          <t>Konstruksi Gedung Kesehatan, Konstruksi Gedung Lainnya</t>
        </is>
      </c>
      <c r="N35" t="inlineStr">
        <is>
          <t>K</t>
        </is>
      </c>
      <c r="O35" t="inlineStr">
        <is>
          <t>20231018</t>
        </is>
      </c>
      <c r="P35" t="inlineStr">
        <is>
          <t>Sumatera Barat</t>
        </is>
      </c>
      <c r="Q35" t="inlineStr"/>
    </row>
    <row r="36">
      <c r="A36" t="inlineStr">
        <is>
          <t>ARSINDO BAJA MANDIRI</t>
        </is>
      </c>
      <c r="B36" t="inlineStr">
        <is>
          <t>Kab. Tangerang</t>
        </is>
      </c>
      <c r="C36" t="inlineStr">
        <is>
          <t>082185249420</t>
        </is>
      </c>
      <c r="D36" t="inlineStr">
        <is>
          <t>wahyu.kbpi@gmail.com</t>
        </is>
      </c>
      <c r="E36" t="inlineStr">
        <is>
          <t>https://lpjk.pu.go.id/search-badan-usaha-detail/d205SXM0amJIakZIVjNnaitJQmpqZz09</t>
        </is>
      </c>
      <c r="F36" t="n">
        <v>1</v>
      </c>
      <c r="G36" t="inlineStr">
        <is>
          <t>BG003</t>
        </is>
      </c>
      <c r="H36" t="inlineStr">
        <is>
          <t>26 Februari 2020</t>
        </is>
      </c>
      <c r="I36" s="2" t="n">
        <v>46313</v>
      </c>
      <c r="J36" t="inlineStr">
        <is>
          <t>Disetujui</t>
        </is>
      </c>
      <c r="K36" t="n">
        <v>90</v>
      </c>
      <c r="L36" t="inlineStr">
        <is>
          <t>18 Oktober 2026</t>
        </is>
      </c>
      <c r="M36" t="inlineStr">
        <is>
          <t>Konstruksi Gedung Industri</t>
        </is>
      </c>
      <c r="N36" t="inlineStr">
        <is>
          <t>K</t>
        </is>
      </c>
      <c r="O36" t="inlineStr">
        <is>
          <t>20231018</t>
        </is>
      </c>
      <c r="P36" t="inlineStr">
        <is>
          <t>Banten</t>
        </is>
      </c>
      <c r="Q36" t="inlineStr"/>
    </row>
    <row r="37">
      <c r="A37" t="inlineStr">
        <is>
          <t>ARSITEKTUR DIRAJA PRATAMA</t>
        </is>
      </c>
      <c r="B37" t="inlineStr">
        <is>
          <t>Kota Pontianak</t>
        </is>
      </c>
      <c r="C37" t="inlineStr">
        <is>
          <t>081345877077</t>
        </is>
      </c>
      <c r="D37" t="inlineStr">
        <is>
          <t>diraja7077@gmail.com</t>
        </is>
      </c>
      <c r="E37" t="inlineStr">
        <is>
          <t>https://lpjk.pu.go.id/search-badan-usaha-detail/TUZuclZGenpXSmdBT2crRXdIUjQ1UT09</t>
        </is>
      </c>
      <c r="F37" t="n">
        <v>2</v>
      </c>
      <c r="G37" t="inlineStr">
        <is>
          <t>RK001, RK003</t>
        </is>
      </c>
      <c r="H37" t="inlineStr">
        <is>
          <t>23 November 2018</t>
        </is>
      </c>
      <c r="I37" s="2" t="n">
        <v>46313</v>
      </c>
      <c r="J37" t="inlineStr">
        <is>
          <t>Disetujui, Pencabutan</t>
        </is>
      </c>
      <c r="K37" t="n">
        <v>90</v>
      </c>
      <c r="L37" t="inlineStr">
        <is>
          <t>18 Oktober 2026</t>
        </is>
      </c>
      <c r="M37" t="inlineStr">
        <is>
          <t>Jasa Rekayasa Konstruksi Bangunan Gedung Hunian dan Non Hunian, Jasa Rekayasa Pekerjaan Teknik Sipil Transportasi</t>
        </is>
      </c>
      <c r="N37" t="inlineStr">
        <is>
          <t>K</t>
        </is>
      </c>
      <c r="O37" t="inlineStr">
        <is>
          <t>20231002, 20231003</t>
        </is>
      </c>
      <c r="P37" t="inlineStr">
        <is>
          <t>Kalimantan Barat</t>
        </is>
      </c>
      <c r="Q37" t="inlineStr"/>
    </row>
    <row r="38">
      <c r="A38" t="inlineStr">
        <is>
          <t>ARTHA WAHYU AGUNG</t>
        </is>
      </c>
      <c r="B38" t="inlineStr">
        <is>
          <t>Kab. Tulungagung</t>
        </is>
      </c>
      <c r="C38" t="inlineStr">
        <is>
          <t>082171688503</t>
        </is>
      </c>
      <c r="D38" t="inlineStr">
        <is>
          <t>arthawahyuagung_cv@yahoo.com</t>
        </is>
      </c>
      <c r="E38" t="inlineStr">
        <is>
          <t>https://lpjk.pu.go.id/search-badan-usaha-detail/NDZ2d0hicFpaaldzVEdCaFF1UU5XUT09</t>
        </is>
      </c>
      <c r="F38" t="n">
        <v>1</v>
      </c>
      <c r="G38" t="inlineStr">
        <is>
          <t>BG009</t>
        </is>
      </c>
      <c r="H38" t="inlineStr">
        <is>
          <t>26 Januari 2016</t>
        </is>
      </c>
      <c r="I38" s="2" t="n">
        <v>46313</v>
      </c>
      <c r="J38" t="inlineStr">
        <is>
          <t>Disetujui</t>
        </is>
      </c>
      <c r="K38" t="n">
        <v>90</v>
      </c>
      <c r="L38" t="inlineStr">
        <is>
          <t>18 Oktober 2026</t>
        </is>
      </c>
      <c r="M38" t="inlineStr">
        <is>
          <t>Konstruksi Gedung Lainnya</t>
        </is>
      </c>
      <c r="N38" t="inlineStr">
        <is>
          <t>K</t>
        </is>
      </c>
      <c r="O38" t="inlineStr">
        <is>
          <t>20231017</t>
        </is>
      </c>
      <c r="P38" t="inlineStr">
        <is>
          <t>Jawa Timur</t>
        </is>
      </c>
      <c r="Q38" t="inlineStr"/>
    </row>
    <row r="39">
      <c r="A39" t="inlineStr">
        <is>
          <t>ARUM DAYA SENTAUSA</t>
        </is>
      </c>
      <c r="B39" t="inlineStr">
        <is>
          <t>Kota Adm. Jakarta Selatan</t>
        </is>
      </c>
      <c r="C39" t="inlineStr">
        <is>
          <t>081287843669</t>
        </is>
      </c>
      <c r="D39" t="inlineStr">
        <is>
          <t>arumdwima96@gmail.com</t>
        </is>
      </c>
      <c r="E39" t="inlineStr">
        <is>
          <t>https://lpjk.pu.go.id/search-badan-usaha-detail/dVQwcHlVWjZCZ0J0T2RodnBYOXNhUT09</t>
        </is>
      </c>
      <c r="F39" t="n">
        <v>4</v>
      </c>
      <c r="G39" t="inlineStr">
        <is>
          <t>BG001, BG002, BG005, BG007</t>
        </is>
      </c>
      <c r="H39" t="inlineStr">
        <is>
          <t>22 Desember 2022</t>
        </is>
      </c>
      <c r="I39" s="2" t="n">
        <v>46313</v>
      </c>
      <c r="J39" t="inlineStr">
        <is>
          <t>Pencabutan</t>
        </is>
      </c>
      <c r="K39" t="n">
        <v>90</v>
      </c>
      <c r="L39" t="inlineStr">
        <is>
          <t>18 Oktober 2026</t>
        </is>
      </c>
      <c r="M39" t="inlineStr">
        <is>
          <t>Konstruksi Gedung Hunian, Konstruksi Gedung Kesehatan, Konstruksi Gedung Penginapan, Konstruksi Gedung Perkantoran</t>
        </is>
      </c>
      <c r="N39" t="inlineStr">
        <is>
          <t>K</t>
        </is>
      </c>
      <c r="O39" t="inlineStr">
        <is>
          <t>20231015</t>
        </is>
      </c>
      <c r="P39" t="inlineStr">
        <is>
          <t>DKI Jakarta</t>
        </is>
      </c>
      <c r="Q39" t="inlineStr"/>
    </row>
    <row r="40">
      <c r="A40" t="inlineStr">
        <is>
          <t>ARWANA CENDANA SRIWIJAYA</t>
        </is>
      </c>
      <c r="B40" t="inlineStr">
        <is>
          <t>Kota Palembang</t>
        </is>
      </c>
      <c r="C40" t="inlineStr">
        <is>
          <t>081366147800</t>
        </is>
      </c>
      <c r="D40" t="inlineStr">
        <is>
          <t>arwanacendanasriwijaya@gmail.com</t>
        </is>
      </c>
      <c r="E40" t="inlineStr">
        <is>
          <t>https://lpjk.pu.go.id/search-badan-usaha-detail/UTIyOW16bTFNUFRsdys3VU5kQm1wZz09</t>
        </is>
      </c>
      <c r="F40" t="n">
        <v>1</v>
      </c>
      <c r="G40" t="inlineStr">
        <is>
          <t>BG006</t>
        </is>
      </c>
      <c r="H40" t="inlineStr">
        <is>
          <t>15 Oktober 2019</t>
        </is>
      </c>
      <c r="I40" s="2" t="n">
        <v>46313</v>
      </c>
      <c r="J40" t="inlineStr">
        <is>
          <t>Disetujui</t>
        </is>
      </c>
      <c r="K40" t="n">
        <v>90</v>
      </c>
      <c r="L40" t="inlineStr">
        <is>
          <t>18 Oktober 2026</t>
        </is>
      </c>
      <c r="M40" t="inlineStr">
        <is>
          <t>Konstruksi Gedung Pendidikan</t>
        </is>
      </c>
      <c r="N40" t="inlineStr">
        <is>
          <t>K</t>
        </is>
      </c>
      <c r="O40" t="inlineStr">
        <is>
          <t>20231013</t>
        </is>
      </c>
      <c r="P40" t="inlineStr">
        <is>
          <t>Sumatera Selatan</t>
        </is>
      </c>
      <c r="Q40" t="inlineStr"/>
    </row>
    <row r="41">
      <c r="A41" t="inlineStr">
        <is>
          <t>ARYANDS UTAMA CONSULTAN</t>
        </is>
      </c>
      <c r="B41" t="inlineStr">
        <is>
          <t>Kab. Luwu Timur</t>
        </is>
      </c>
      <c r="C41" t="inlineStr">
        <is>
          <t>082290535077</t>
        </is>
      </c>
      <c r="D41" t="inlineStr">
        <is>
          <t>aryands@ymail.com</t>
        </is>
      </c>
      <c r="E41" t="inlineStr">
        <is>
          <t>https://lpjk.pu.go.id/search-badan-usaha-detail/YnZFYUl1YU5ocUFIM1kzR255a01CUT09</t>
        </is>
      </c>
      <c r="F41" t="n">
        <v>4</v>
      </c>
      <c r="G41" t="inlineStr">
        <is>
          <t>RK001, RK002, RK003, RK005</t>
        </is>
      </c>
      <c r="H41" t="inlineStr">
        <is>
          <t>21 September 2016</t>
        </is>
      </c>
      <c r="I41" s="2" t="n">
        <v>46313</v>
      </c>
      <c r="J41" t="inlineStr">
        <is>
          <t>Disetujui</t>
        </is>
      </c>
      <c r="K41" t="n">
        <v>90</v>
      </c>
      <c r="L41" t="inlineStr">
        <is>
          <t>18 Oktober 2026</t>
        </is>
      </c>
      <c r="M41" t="inlineStr">
        <is>
          <t>Jasa Rekayasa Konstruksi Bangunan Gedung Hunian dan Non Hunian, Jasa Rekayasa Lainnya, Jasa Rekayasa Pekerjaan Teknik Sipil Sumber Daya Air, Jasa Rekayasa Pekerjaan Teknik Sipil Transportasi</t>
        </is>
      </c>
      <c r="N41" t="inlineStr">
        <is>
          <t>K</t>
        </is>
      </c>
      <c r="O41" t="inlineStr">
        <is>
          <t>20230516, 20230627, 20231004</t>
        </is>
      </c>
      <c r="P41" t="inlineStr">
        <is>
          <t>Sulawesi Selatan</t>
        </is>
      </c>
      <c r="Q41" t="inlineStr"/>
    </row>
    <row r="42">
      <c r="A42" t="inlineStr">
        <is>
          <t>AWETTE</t>
        </is>
      </c>
      <c r="B42" t="inlineStr">
        <is>
          <t>Kab. Jember</t>
        </is>
      </c>
      <c r="C42" t="inlineStr">
        <is>
          <t>081234554355</t>
        </is>
      </c>
      <c r="D42" t="inlineStr">
        <is>
          <t>awettejember@yahoo.co.id</t>
        </is>
      </c>
      <c r="E42" t="inlineStr">
        <is>
          <t>https://lpjk.pu.go.id/search-badan-usaha-detail/NzdjdVdoZHpzWDI4d1E2K01YWkN4dz09</t>
        </is>
      </c>
      <c r="F42" t="n">
        <v>2</v>
      </c>
      <c r="G42" t="inlineStr">
        <is>
          <t>BS001, BS005</t>
        </is>
      </c>
      <c r="H42" t="inlineStr">
        <is>
          <t>7 April 2004</t>
        </is>
      </c>
      <c r="I42" s="2" t="n">
        <v>46313</v>
      </c>
      <c r="J42" t="inlineStr">
        <is>
          <t>Disetujui</t>
        </is>
      </c>
      <c r="K42" t="n">
        <v>90</v>
      </c>
      <c r="L42" t="inlineStr">
        <is>
          <t>18 Oktober 2026</t>
        </is>
      </c>
      <c r="M42" t="inlineStr">
        <is>
          <t>Konstruksi Bangunan Sipil Jalan, Konstruksi Bangunan Sipil Pengolahan Air Bersih</t>
        </is>
      </c>
      <c r="N42" t="inlineStr">
        <is>
          <t>K</t>
        </is>
      </c>
      <c r="O42" t="inlineStr">
        <is>
          <t>20231013</t>
        </is>
      </c>
      <c r="P42" t="inlineStr">
        <is>
          <t>Jawa Timur</t>
        </is>
      </c>
      <c r="Q42" t="inlineStr"/>
    </row>
    <row r="43">
      <c r="A43" t="inlineStr">
        <is>
          <t>BALONG AGUNG</t>
        </is>
      </c>
      <c r="B43" t="inlineStr">
        <is>
          <t>Kab. Nganjuk</t>
        </is>
      </c>
      <c r="C43" t="inlineStr">
        <is>
          <t>081336016667</t>
        </is>
      </c>
      <c r="D43" t="inlineStr">
        <is>
          <t>cvbalongagung@gmail.com</t>
        </is>
      </c>
      <c r="E43" t="inlineStr">
        <is>
          <t>https://lpjk.pu.go.id/search-badan-usaha-detail/RkNiYUhWTm94M3BvL1BJc0d2Znpkdz09</t>
        </is>
      </c>
      <c r="F43" t="n">
        <v>1</v>
      </c>
      <c r="G43" t="inlineStr">
        <is>
          <t>BG009</t>
        </is>
      </c>
      <c r="H43" t="inlineStr">
        <is>
          <t>11 Maret 1981</t>
        </is>
      </c>
      <c r="I43" s="2" t="n">
        <v>46313</v>
      </c>
      <c r="J43" t="inlineStr">
        <is>
          <t>Disetujui</t>
        </is>
      </c>
      <c r="K43" t="n">
        <v>90</v>
      </c>
      <c r="L43" t="inlineStr">
        <is>
          <t>18 Oktober 2026</t>
        </is>
      </c>
      <c r="M43" t="inlineStr">
        <is>
          <t>Konstruksi Gedung Lainnya</t>
        </is>
      </c>
      <c r="N43" t="inlineStr">
        <is>
          <t>K</t>
        </is>
      </c>
      <c r="O43" t="inlineStr">
        <is>
          <t>20231017</t>
        </is>
      </c>
      <c r="P43" t="inlineStr">
        <is>
          <t>Jawa Timur</t>
        </is>
      </c>
      <c r="Q43" t="inlineStr"/>
    </row>
    <row r="44">
      <c r="A44" t="inlineStr">
        <is>
          <t>BANGKIT SAPUTRA</t>
        </is>
      </c>
      <c r="B44" t="inlineStr">
        <is>
          <t>Kab. Brebes</t>
        </is>
      </c>
      <c r="C44" t="inlineStr">
        <is>
          <t>085866664547</t>
        </is>
      </c>
      <c r="D44" t="inlineStr">
        <is>
          <t>cvbangkit1@gmail.com</t>
        </is>
      </c>
      <c r="E44" t="inlineStr">
        <is>
          <t>https://lpjk.pu.go.id/search-badan-usaha-detail/UXNPeGxMaE9ISDkzZzUwSlo2bHRtUT09</t>
        </is>
      </c>
      <c r="F44" t="n">
        <v>2</v>
      </c>
      <c r="G44" t="inlineStr">
        <is>
          <t>BS001, BS004</t>
        </is>
      </c>
      <c r="H44" t="inlineStr">
        <is>
          <t>28 Maret 2003</t>
        </is>
      </c>
      <c r="I44" s="2" t="n">
        <v>46313</v>
      </c>
      <c r="J44" t="inlineStr">
        <is>
          <t>Disetujui</t>
        </is>
      </c>
      <c r="K44" t="n">
        <v>90</v>
      </c>
      <c r="L44" t="inlineStr">
        <is>
          <t>18 Oktober 2026</t>
        </is>
      </c>
      <c r="M44" t="inlineStr">
        <is>
          <t>Konstruksi Bangunan Sipil Jalan, Konstruksi Jaringan Irigasi dan Drainase</t>
        </is>
      </c>
      <c r="N44" t="inlineStr">
        <is>
          <t>K</t>
        </is>
      </c>
      <c r="O44" t="inlineStr">
        <is>
          <t>20231016</t>
        </is>
      </c>
      <c r="P44" t="inlineStr">
        <is>
          <t>Jawa Tengah</t>
        </is>
      </c>
      <c r="Q44" t="inlineStr"/>
    </row>
    <row r="45">
      <c r="A45" t="inlineStr">
        <is>
          <t>BANGKIT SENTOSA JAYA</t>
        </is>
      </c>
      <c r="B45" t="inlineStr">
        <is>
          <t>Kab. Bojonegoro</t>
        </is>
      </c>
      <c r="C45" t="inlineStr">
        <is>
          <t>081335271338</t>
        </is>
      </c>
      <c r="D45" t="inlineStr">
        <is>
          <t>cvbangkitsetosajaya@gmail.com</t>
        </is>
      </c>
      <c r="E45" t="inlineStr">
        <is>
          <t>https://lpjk.pu.go.id/search-badan-usaha-detail/S3ZHNTNOcWRjSUtzRVhla2Z6THNJZz09</t>
        </is>
      </c>
      <c r="F45" t="n">
        <v>2</v>
      </c>
      <c r="G45" t="inlineStr">
        <is>
          <t>BS002, BS010</t>
        </is>
      </c>
      <c r="H45" t="inlineStr">
        <is>
          <t>4 September 2023</t>
        </is>
      </c>
      <c r="I45" s="2" t="n">
        <v>46313</v>
      </c>
      <c r="J45" t="inlineStr">
        <is>
          <t>Disetujui</t>
        </is>
      </c>
      <c r="K45" t="n">
        <v>90</v>
      </c>
      <c r="L45" t="inlineStr">
        <is>
          <t>18 Oktober 2026</t>
        </is>
      </c>
      <c r="M45" t="inlineStr">
        <is>
          <t>Bangunan Sipil Jembatan, Jalan Layang, Fly Over, dan Underpass, Konstruksi Bangunan Prasarana Sumber Daya Air</t>
        </is>
      </c>
      <c r="N45" t="inlineStr">
        <is>
          <t>K</t>
        </is>
      </c>
      <c r="O45" t="inlineStr">
        <is>
          <t>20231016</t>
        </is>
      </c>
      <c r="P45" t="inlineStr">
        <is>
          <t>Jawa Timur</t>
        </is>
      </c>
      <c r="Q45" t="inlineStr"/>
    </row>
    <row r="46">
      <c r="A46" t="inlineStr">
        <is>
          <t>BANGUN CIPTA ATMAJA</t>
        </is>
      </c>
      <c r="B46" t="inlineStr">
        <is>
          <t>Kota Jambi</t>
        </is>
      </c>
      <c r="C46" t="inlineStr">
        <is>
          <t>081224611166</t>
        </is>
      </c>
      <c r="D46" t="inlineStr">
        <is>
          <t>bc.atmaja2@gmail.com</t>
        </is>
      </c>
      <c r="E46" t="inlineStr">
        <is>
          <t>https://lpjk.pu.go.id/search-badan-usaha-detail/bVgzU0d0MTBYRmxldW11UjQyVks1Zz09</t>
        </is>
      </c>
      <c r="F46" t="n">
        <v>1</v>
      </c>
      <c r="G46" t="inlineStr">
        <is>
          <t>BS001</t>
        </is>
      </c>
      <c r="H46" t="inlineStr">
        <is>
          <t>26 Juli 2017</t>
        </is>
      </c>
      <c r="I46" s="2" t="n">
        <v>46313</v>
      </c>
      <c r="J46" t="inlineStr">
        <is>
          <t>Disetujui</t>
        </is>
      </c>
      <c r="K46" t="n">
        <v>90</v>
      </c>
      <c r="L46" t="inlineStr">
        <is>
          <t>18 Oktober 2026</t>
        </is>
      </c>
      <c r="M46" t="inlineStr">
        <is>
          <t>Konstruksi Bangunan Sipil Jalan</t>
        </is>
      </c>
      <c r="N46" t="inlineStr">
        <is>
          <t>K</t>
        </is>
      </c>
      <c r="O46" t="inlineStr">
        <is>
          <t>20231016</t>
        </is>
      </c>
      <c r="P46" t="inlineStr">
        <is>
          <t>Jambi</t>
        </is>
      </c>
      <c r="Q46" t="inlineStr"/>
    </row>
    <row r="47">
      <c r="A47" t="inlineStr">
        <is>
          <t>BANGUN RUANG UTAMA</t>
        </is>
      </c>
      <c r="B47" t="inlineStr">
        <is>
          <t>Kota Adm. Jakarta Utara</t>
        </is>
      </c>
      <c r="C47" t="inlineStr">
        <is>
          <t>02156983345</t>
        </is>
      </c>
      <c r="D47" t="inlineStr">
        <is>
          <t>bangunruangutama@gmail.com</t>
        </is>
      </c>
      <c r="E47" t="inlineStr">
        <is>
          <t>https://lpjk.pu.go.id/search-badan-usaha-detail/ZFN6dTk2UWs4UUVtNi8rRmcyRW5SQT09</t>
        </is>
      </c>
      <c r="F47" t="n">
        <v>1</v>
      </c>
      <c r="G47" t="inlineStr">
        <is>
          <t>BG007</t>
        </is>
      </c>
      <c r="H47" t="inlineStr">
        <is>
          <t>4 April 2023</t>
        </is>
      </c>
      <c r="I47" s="2" t="n">
        <v>46313</v>
      </c>
      <c r="J47" t="inlineStr">
        <is>
          <t>Pencabutan</t>
        </is>
      </c>
      <c r="K47" t="n">
        <v>90</v>
      </c>
      <c r="L47" t="inlineStr">
        <is>
          <t>18 Oktober 2026</t>
        </is>
      </c>
      <c r="M47" t="inlineStr">
        <is>
          <t>Konstruksi Gedung Penginapan</t>
        </is>
      </c>
      <c r="N47" t="inlineStr">
        <is>
          <t>K</t>
        </is>
      </c>
      <c r="O47" t="inlineStr">
        <is>
          <t>20231013</t>
        </is>
      </c>
      <c r="P47" t="inlineStr">
        <is>
          <t>DKI Jakarta</t>
        </is>
      </c>
      <c r="Q47" t="inlineStr"/>
    </row>
    <row r="48">
      <c r="A48" t="inlineStr">
        <is>
          <t>BAROKAH BANGUN TECHNIK</t>
        </is>
      </c>
      <c r="B48" t="inlineStr">
        <is>
          <t>Kota Samarinda</t>
        </is>
      </c>
      <c r="C48" t="inlineStr">
        <is>
          <t>081350186400</t>
        </is>
      </c>
      <c r="D48" t="inlineStr">
        <is>
          <t>barokahbangun_technik@yahoo.com</t>
        </is>
      </c>
      <c r="E48" t="inlineStr">
        <is>
          <t>https://lpjk.pu.go.id/search-badan-usaha-detail/YUxuZURvRGY4OVNIS1UwUUJLTVRSdz09</t>
        </is>
      </c>
      <c r="F48" t="n">
        <v>2</v>
      </c>
      <c r="G48" t="inlineStr">
        <is>
          <t>BS017</t>
        </is>
      </c>
      <c r="H48" t="inlineStr">
        <is>
          <t>14 Oktober 2016</t>
        </is>
      </c>
      <c r="I48" s="2" t="n">
        <v>46313</v>
      </c>
      <c r="J48" t="inlineStr">
        <is>
          <t>Disetujui</t>
        </is>
      </c>
      <c r="K48" t="n">
        <v>90</v>
      </c>
      <c r="L48" t="inlineStr">
        <is>
          <t>18 Oktober 2026</t>
        </is>
      </c>
      <c r="M48" t="inlineStr">
        <is>
          <t>Konstruksi Bangunan Sipil Lainnya Ytdl</t>
        </is>
      </c>
      <c r="N48" t="inlineStr">
        <is>
          <t>K</t>
        </is>
      </c>
      <c r="O48" t="inlineStr">
        <is>
          <t>20231017</t>
        </is>
      </c>
      <c r="P48" t="inlineStr">
        <is>
          <t>Kalimantan Timur</t>
        </is>
      </c>
      <c r="Q48" t="inlineStr"/>
    </row>
    <row r="49">
      <c r="A49" t="inlineStr">
        <is>
          <t>BERKAH GAWI ABADI</t>
        </is>
      </c>
      <c r="B49" t="inlineStr">
        <is>
          <t>Kab. Barito Kuala</t>
        </is>
      </c>
      <c r="C49" t="inlineStr">
        <is>
          <t>081351357099</t>
        </is>
      </c>
      <c r="D49" t="inlineStr">
        <is>
          <t>abd.berkahgawi@yahoo.com</t>
        </is>
      </c>
      <c r="E49" t="inlineStr">
        <is>
          <t>https://lpjk.pu.go.id/search-badan-usaha-detail/WkNLNk5OaDVtK3dRb2dheGFnS0F3QT09</t>
        </is>
      </c>
      <c r="F49" t="n">
        <v>2</v>
      </c>
      <c r="G49" t="inlineStr">
        <is>
          <t>BG009</t>
        </is>
      </c>
      <c r="H49" t="inlineStr">
        <is>
          <t>1 September 2023</t>
        </is>
      </c>
      <c r="I49" s="2" t="n">
        <v>46313</v>
      </c>
      <c r="J49" t="inlineStr">
        <is>
          <t>Pencabutan</t>
        </is>
      </c>
      <c r="K49" t="n">
        <v>90</v>
      </c>
      <c r="L49" t="inlineStr">
        <is>
          <t>18 Oktober 2026</t>
        </is>
      </c>
      <c r="M49" t="inlineStr">
        <is>
          <t>Konstruksi Gedung Lainnya</t>
        </is>
      </c>
      <c r="N49" t="inlineStr">
        <is>
          <t>K</t>
        </is>
      </c>
      <c r="O49" t="inlineStr">
        <is>
          <t>20231019</t>
        </is>
      </c>
      <c r="P49" t="inlineStr">
        <is>
          <t>Kalimantan Selatan</t>
        </is>
      </c>
      <c r="Q49" t="inlineStr"/>
    </row>
    <row r="50">
      <c r="A50" t="inlineStr">
        <is>
          <t>BERKAH ILAHI JAYATAMA</t>
        </is>
      </c>
      <c r="B50" t="inlineStr">
        <is>
          <t>Kab. Banjar</t>
        </is>
      </c>
      <c r="C50" t="inlineStr">
        <is>
          <t>083159532475</t>
        </is>
      </c>
      <c r="D50" t="inlineStr">
        <is>
          <t>mustikajayaprestasi74@gmail.com</t>
        </is>
      </c>
      <c r="E50" t="inlineStr">
        <is>
          <t>https://lpjk.pu.go.id/search-badan-usaha-detail/K0N5c0Y3Vml2N0I5TmJyZ054VW5DZz09</t>
        </is>
      </c>
      <c r="F50" t="n">
        <v>2</v>
      </c>
      <c r="G50" t="inlineStr">
        <is>
          <t>BG001</t>
        </is>
      </c>
      <c r="H50" t="inlineStr">
        <is>
          <t>28 Maret 2023</t>
        </is>
      </c>
      <c r="I50" s="2" t="n">
        <v>46313</v>
      </c>
      <c r="J50" t="inlineStr">
        <is>
          <t>Disetujui</t>
        </is>
      </c>
      <c r="K50" t="n">
        <v>90</v>
      </c>
      <c r="L50" t="inlineStr">
        <is>
          <t>18 Oktober 2026</t>
        </is>
      </c>
      <c r="M50" t="inlineStr">
        <is>
          <t>Konstruksi Gedung Hunian</t>
        </is>
      </c>
      <c r="N50" t="inlineStr">
        <is>
          <t>K</t>
        </is>
      </c>
      <c r="O50" t="inlineStr">
        <is>
          <t>20231016</t>
        </is>
      </c>
      <c r="P50" t="inlineStr">
        <is>
          <t>Kalimantan Selatan</t>
        </is>
      </c>
      <c r="Q50" t="inlineStr"/>
    </row>
    <row r="51">
      <c r="A51" t="inlineStr">
        <is>
          <t>BERKAT ANUGERAH GRIYA USAHA SEJAHTERA</t>
        </is>
      </c>
      <c r="B51" t="inlineStr">
        <is>
          <t>Kota Makassar</t>
        </is>
      </c>
      <c r="C51" t="inlineStr">
        <is>
          <t>0811174478</t>
        </is>
      </c>
      <c r="D51" t="inlineStr">
        <is>
          <t>sanmarijj1208@yahoo.co.id</t>
        </is>
      </c>
      <c r="E51" t="inlineStr">
        <is>
          <t>https://lpjk.pu.go.id/search-badan-usaha-detail/dUlwM1JBdlhmaGNFWTF6RzAvOWJwZz09</t>
        </is>
      </c>
      <c r="F51" t="n">
        <v>2</v>
      </c>
      <c r="G51" t="inlineStr">
        <is>
          <t>BG001</t>
        </is>
      </c>
      <c r="H51" t="inlineStr">
        <is>
          <t>23 Mei 2014</t>
        </is>
      </c>
      <c r="I51" s="2" t="n">
        <v>46313</v>
      </c>
      <c r="J51" t="inlineStr">
        <is>
          <t>Disetujui</t>
        </is>
      </c>
      <c r="K51" t="n">
        <v>90</v>
      </c>
      <c r="L51" t="inlineStr">
        <is>
          <t>18 Oktober 2026</t>
        </is>
      </c>
      <c r="M51" t="inlineStr">
        <is>
          <t>Konstruksi Gedung Hunian</t>
        </is>
      </c>
      <c r="N51" t="inlineStr">
        <is>
          <t>K</t>
        </is>
      </c>
      <c r="O51" t="inlineStr">
        <is>
          <t>20230922</t>
        </is>
      </c>
      <c r="P51" t="inlineStr">
        <is>
          <t>Sulawesi Selatan</t>
        </is>
      </c>
      <c r="Q51" t="inlineStr"/>
    </row>
    <row r="52">
      <c r="A52" t="inlineStr">
        <is>
          <t>BINTANG CREATIVE ALUMINIUM</t>
        </is>
      </c>
      <c r="B52" t="inlineStr">
        <is>
          <t>Kab. Bulungan</t>
        </is>
      </c>
      <c r="C52" t="inlineStr">
        <is>
          <t>082350049605</t>
        </is>
      </c>
      <c r="D52" t="inlineStr">
        <is>
          <t>bintangcreativealuminium@gmail.com</t>
        </is>
      </c>
      <c r="E52" t="inlineStr">
        <is>
          <t>https://lpjk.pu.go.id/search-badan-usaha-detail/SkRyYXpxdXBnMG5qWG1WSFpxcTNBZz09</t>
        </is>
      </c>
      <c r="F52" t="n">
        <v>4</v>
      </c>
      <c r="G52" t="inlineStr">
        <is>
          <t>BG002, BG009</t>
        </is>
      </c>
      <c r="H52" t="inlineStr">
        <is>
          <t>16 Oktober 2015</t>
        </is>
      </c>
      <c r="I52" s="2" t="n">
        <v>46313</v>
      </c>
      <c r="J52" t="inlineStr">
        <is>
          <t>Disetujui</t>
        </is>
      </c>
      <c r="K52" t="n">
        <v>90</v>
      </c>
      <c r="L52" t="inlineStr">
        <is>
          <t>18 Oktober 2026</t>
        </is>
      </c>
      <c r="M52" t="inlineStr">
        <is>
          <t>Konstruksi Gedung Lainnya, Konstruksi Gedung Perkantoran</t>
        </is>
      </c>
      <c r="N52" t="inlineStr">
        <is>
          <t>K</t>
        </is>
      </c>
      <c r="O52" t="inlineStr">
        <is>
          <t>20231013, 20231017</t>
        </is>
      </c>
      <c r="P52" t="inlineStr">
        <is>
          <t>Kalimantan Utara</t>
        </is>
      </c>
      <c r="Q52" t="inlineStr"/>
    </row>
    <row r="53">
      <c r="A53" t="inlineStr">
        <is>
          <t>BINTANG PALAPA</t>
        </is>
      </c>
      <c r="B53" t="inlineStr">
        <is>
          <t>Kab. Nganjuk</t>
        </is>
      </c>
      <c r="C53" t="inlineStr">
        <is>
          <t>082139060994</t>
        </is>
      </c>
      <c r="D53" t="inlineStr">
        <is>
          <t>bintangpalapacv@gmail.com</t>
        </is>
      </c>
      <c r="E53" t="inlineStr">
        <is>
          <t>https://lpjk.pu.go.id/search-badan-usaha-detail/aXF1UktkMEM1NkNJS3FsemJpVkhhQT09</t>
        </is>
      </c>
      <c r="F53" t="n">
        <v>2</v>
      </c>
      <c r="G53" t="inlineStr">
        <is>
          <t>BG006</t>
        </is>
      </c>
      <c r="H53" t="inlineStr">
        <is>
          <t>1 Februari 1984</t>
        </is>
      </c>
      <c r="I53" s="2" t="n">
        <v>46313</v>
      </c>
      <c r="J53" t="inlineStr">
        <is>
          <t>Disetujui</t>
        </is>
      </c>
      <c r="K53" t="n">
        <v>90</v>
      </c>
      <c r="L53" t="inlineStr">
        <is>
          <t>18 Oktober 2026</t>
        </is>
      </c>
      <c r="M53" t="inlineStr">
        <is>
          <t>Konstruksi Gedung Pendidikan</t>
        </is>
      </c>
      <c r="N53" t="inlineStr">
        <is>
          <t>K</t>
        </is>
      </c>
      <c r="O53" t="inlineStr">
        <is>
          <t>20230919</t>
        </is>
      </c>
      <c r="P53" t="inlineStr">
        <is>
          <t>Jawa Timur</t>
        </is>
      </c>
      <c r="Q53" t="inlineStr"/>
    </row>
    <row r="54">
      <c r="A54" t="inlineStr">
        <is>
          <t>BINTANG SEJATI</t>
        </is>
      </c>
      <c r="B54" t="inlineStr">
        <is>
          <t>Kab. Wonogiri</t>
        </is>
      </c>
      <c r="C54" t="inlineStr">
        <is>
          <t>085290036000</t>
        </is>
      </c>
      <c r="D54" t="inlineStr">
        <is>
          <t>cv.bintangsejati23@gmail.com</t>
        </is>
      </c>
      <c r="E54" t="inlineStr">
        <is>
          <t>https://lpjk.pu.go.id/search-badan-usaha-detail/c2NYUU9aWXRVYnNMN21SdTNjck1kQT09</t>
        </is>
      </c>
      <c r="F54" t="n">
        <v>4</v>
      </c>
      <c r="G54" t="inlineStr">
        <is>
          <t>BG009, BS004</t>
        </is>
      </c>
      <c r="H54" t="inlineStr">
        <is>
          <t>30 Juni 2023</t>
        </is>
      </c>
      <c r="I54" s="2" t="n">
        <v>46313</v>
      </c>
      <c r="J54" t="inlineStr">
        <is>
          <t>Disetujui</t>
        </is>
      </c>
      <c r="K54" t="n">
        <v>90</v>
      </c>
      <c r="L54" t="inlineStr">
        <is>
          <t>18 Oktober 2026</t>
        </is>
      </c>
      <c r="M54" t="inlineStr">
        <is>
          <t>Konstruksi Gedung Lainnya, Konstruksi Jaringan Irigasi dan Drainase</t>
        </is>
      </c>
      <c r="N54" t="inlineStr">
        <is>
          <t>K</t>
        </is>
      </c>
      <c r="O54" t="inlineStr">
        <is>
          <t>20231016</t>
        </is>
      </c>
      <c r="P54" t="inlineStr">
        <is>
          <t>Jawa Tengah</t>
        </is>
      </c>
      <c r="Q54" t="inlineStr"/>
    </row>
    <row r="55">
      <c r="A55" t="inlineStr">
        <is>
          <t>BINTANG SIGIT JAYA</t>
        </is>
      </c>
      <c r="B55" t="inlineStr">
        <is>
          <t>Kab. Bandung</t>
        </is>
      </c>
      <c r="C55" t="inlineStr">
        <is>
          <t>082120053137</t>
        </is>
      </c>
      <c r="D55" t="inlineStr">
        <is>
          <t>bintangsigitjaya@gmail.com</t>
        </is>
      </c>
      <c r="E55" t="inlineStr">
        <is>
          <t>https://lpjk.pu.go.id/search-badan-usaha-detail/dmVoNmQ5NDk0aVV1WHg0SnBKMHRxQT09</t>
        </is>
      </c>
      <c r="F55" t="n">
        <v>2</v>
      </c>
      <c r="G55" t="inlineStr">
        <is>
          <t>BG003</t>
        </is>
      </c>
      <c r="H55" t="inlineStr">
        <is>
          <t>25 Agustus 2023</t>
        </is>
      </c>
      <c r="I55" s="2" t="n">
        <v>46313</v>
      </c>
      <c r="J55" t="inlineStr">
        <is>
          <t>Disetujui</t>
        </is>
      </c>
      <c r="K55" t="n">
        <v>90</v>
      </c>
      <c r="L55" t="inlineStr">
        <is>
          <t>18 Oktober 2026</t>
        </is>
      </c>
      <c r="M55" t="inlineStr">
        <is>
          <t>Konstruksi Gedung Industri</t>
        </is>
      </c>
      <c r="N55" t="inlineStr">
        <is>
          <t>K</t>
        </is>
      </c>
      <c r="O55" t="inlineStr">
        <is>
          <t>20231019</t>
        </is>
      </c>
      <c r="P55" t="inlineStr">
        <is>
          <t>Jawa Barat</t>
        </is>
      </c>
      <c r="Q55" t="inlineStr"/>
    </row>
    <row r="56">
      <c r="A56" t="inlineStr">
        <is>
          <t>BORNEO DZIBAN SEJAHTERA</t>
        </is>
      </c>
      <c r="B56" t="inlineStr">
        <is>
          <t>Kab. Kutai Timur</t>
        </is>
      </c>
      <c r="C56" t="inlineStr">
        <is>
          <t>081347400545</t>
        </is>
      </c>
      <c r="D56" t="inlineStr">
        <is>
          <t>cvborneods@gmail.com</t>
        </is>
      </c>
      <c r="E56" t="inlineStr">
        <is>
          <t>https://lpjk.pu.go.id/search-badan-usaha-detail/QkFIL0xLUFE4OE9ENjY1ZTE2R2JlZz09</t>
        </is>
      </c>
      <c r="F56" t="n">
        <v>1</v>
      </c>
      <c r="G56" t="inlineStr">
        <is>
          <t>BS001</t>
        </is>
      </c>
      <c r="H56" t="inlineStr">
        <is>
          <t>14 April 2023</t>
        </is>
      </c>
      <c r="I56" s="2" t="n">
        <v>46313</v>
      </c>
      <c r="J56" t="inlineStr">
        <is>
          <t>Disetujui</t>
        </is>
      </c>
      <c r="K56" t="n">
        <v>90</v>
      </c>
      <c r="L56" t="inlineStr">
        <is>
          <t>18 Oktober 2026</t>
        </is>
      </c>
      <c r="M56" t="inlineStr">
        <is>
          <t>Konstruksi Bangunan Sipil Jalan</t>
        </is>
      </c>
      <c r="N56" t="inlineStr">
        <is>
          <t>K</t>
        </is>
      </c>
      <c r="O56" t="inlineStr">
        <is>
          <t>20231016</t>
        </is>
      </c>
      <c r="P56" t="inlineStr">
        <is>
          <t>Kalimantan Timur</t>
        </is>
      </c>
      <c r="Q56" t="inlineStr"/>
    </row>
    <row r="57">
      <c r="A57" t="inlineStr">
        <is>
          <t>BORNEO KARYA KONSTRUKSI</t>
        </is>
      </c>
      <c r="B57" t="inlineStr">
        <is>
          <t>Kab. Kubu Raya</t>
        </is>
      </c>
      <c r="C57" t="inlineStr">
        <is>
          <t>08981331563</t>
        </is>
      </c>
      <c r="D57" t="inlineStr">
        <is>
          <t>borneokaryakonstruksi.2022@gmail.com</t>
        </is>
      </c>
      <c r="E57" t="inlineStr">
        <is>
          <t>https://lpjk.pu.go.id/search-badan-usaha-detail/ZjlXUFVIdlk5WHJKb2MrYkIxL0V3UT09</t>
        </is>
      </c>
      <c r="F57" t="n">
        <v>2</v>
      </c>
      <c r="G57" t="inlineStr">
        <is>
          <t>BG009, BS001</t>
        </is>
      </c>
      <c r="H57" t="inlineStr">
        <is>
          <t>23 Desember 2022</t>
        </is>
      </c>
      <c r="I57" s="2" t="n">
        <v>46313</v>
      </c>
      <c r="J57" t="inlineStr">
        <is>
          <t>Disetujui</t>
        </is>
      </c>
      <c r="K57" t="n">
        <v>90</v>
      </c>
      <c r="L57" t="inlineStr">
        <is>
          <t>18 Oktober 2026</t>
        </is>
      </c>
      <c r="M57" t="inlineStr">
        <is>
          <t>Konstruksi Bangunan Sipil Jalan, Konstruksi Gedung Lainnya</t>
        </is>
      </c>
      <c r="N57" t="inlineStr">
        <is>
          <t>K</t>
        </is>
      </c>
      <c r="O57" t="inlineStr">
        <is>
          <t>20231018</t>
        </is>
      </c>
      <c r="P57" t="inlineStr">
        <is>
          <t>Kalimantan Barat</t>
        </is>
      </c>
      <c r="Q57" t="inlineStr"/>
    </row>
    <row r="58">
      <c r="A58" t="inlineStr">
        <is>
          <t>BULAN PURNAMA</t>
        </is>
      </c>
      <c r="B58" t="inlineStr">
        <is>
          <t>Kab. Seruyan</t>
        </is>
      </c>
      <c r="C58" t="inlineStr">
        <is>
          <t>081225919662</t>
        </is>
      </c>
      <c r="D58" t="inlineStr">
        <is>
          <t>cvbulanpurnama18@gmail.com</t>
        </is>
      </c>
      <c r="E58" t="inlineStr">
        <is>
          <t>https://lpjk.pu.go.id/search-badan-usaha-detail/RStUbTMreDlPUUJwd0JjWENoRGNTQT09</t>
        </is>
      </c>
      <c r="F58" t="n">
        <v>1</v>
      </c>
      <c r="G58" t="inlineStr">
        <is>
          <t>BS001</t>
        </is>
      </c>
      <c r="H58" t="inlineStr">
        <is>
          <t>9 Oktober 2023</t>
        </is>
      </c>
      <c r="I58" s="2" t="n">
        <v>46313</v>
      </c>
      <c r="J58" t="inlineStr">
        <is>
          <t>Disetujui</t>
        </is>
      </c>
      <c r="K58" t="n">
        <v>90</v>
      </c>
      <c r="L58" t="inlineStr">
        <is>
          <t>18 Oktober 2026</t>
        </is>
      </c>
      <c r="M58" t="inlineStr">
        <is>
          <t>Konstruksi Bangunan Sipil Jalan</t>
        </is>
      </c>
      <c r="N58" t="inlineStr">
        <is>
          <t>K</t>
        </is>
      </c>
      <c r="O58" t="inlineStr">
        <is>
          <t>20231018</t>
        </is>
      </c>
      <c r="P58" t="inlineStr">
        <is>
          <t>Kalimantan Tengah</t>
        </is>
      </c>
      <c r="Q58" t="inlineStr"/>
    </row>
    <row r="59">
      <c r="A59" t="inlineStr">
        <is>
          <t>BUMI AMANTA WIJAYA</t>
        </is>
      </c>
      <c r="B59" t="inlineStr">
        <is>
          <t>Kab. Banyumas</t>
        </is>
      </c>
      <c r="C59" t="inlineStr">
        <is>
          <t>02816843205</t>
        </is>
      </c>
      <c r="D59" t="inlineStr">
        <is>
          <t>bumi_amanta@yahoo.com</t>
        </is>
      </c>
      <c r="E59" t="inlineStr">
        <is>
          <t>https://lpjk.pu.go.id/search-badan-usaha-detail/dXZ4cmwwV3NzN1p1OVE4SExtQXJ1QT09</t>
        </is>
      </c>
      <c r="F59" t="n">
        <v>1</v>
      </c>
      <c r="G59" t="inlineStr">
        <is>
          <t>BG005</t>
        </is>
      </c>
      <c r="H59" t="inlineStr">
        <is>
          <t>4 Februari 2009</t>
        </is>
      </c>
      <c r="I59" s="2" t="n">
        <v>46313</v>
      </c>
      <c r="J59" t="inlineStr">
        <is>
          <t>Disetujui</t>
        </is>
      </c>
      <c r="K59" t="n">
        <v>90</v>
      </c>
      <c r="L59" t="inlineStr">
        <is>
          <t>18 Oktober 2026</t>
        </is>
      </c>
      <c r="M59" t="inlineStr">
        <is>
          <t>Konstruksi Gedung Kesehatan</t>
        </is>
      </c>
      <c r="N59" t="inlineStr">
        <is>
          <t>K</t>
        </is>
      </c>
      <c r="O59" t="inlineStr">
        <is>
          <t>20231018</t>
        </is>
      </c>
      <c r="P59" t="inlineStr">
        <is>
          <t>Jawa Tengah</t>
        </is>
      </c>
      <c r="Q59" t="inlineStr"/>
    </row>
    <row r="60">
      <c r="A60" t="inlineStr">
        <is>
          <t>BUMI NUSANTARA HIJAU</t>
        </is>
      </c>
      <c r="B60" t="inlineStr">
        <is>
          <t>Kota Medan</t>
        </is>
      </c>
      <c r="C60" t="inlineStr">
        <is>
          <t>081361573845</t>
        </is>
      </c>
      <c r="D60" t="inlineStr">
        <is>
          <t>buminusantarahijaupt@gmail.com</t>
        </is>
      </c>
      <c r="E60" t="inlineStr">
        <is>
          <t>https://lpjk.pu.go.id/search-badan-usaha-detail/czZFTnF5QldqWHJXWS9rVEhYdlpHUT09</t>
        </is>
      </c>
      <c r="F60" t="n">
        <v>1</v>
      </c>
      <c r="G60" t="inlineStr">
        <is>
          <t>RK001</t>
        </is>
      </c>
      <c r="H60" t="inlineStr">
        <is>
          <t>23 Desember 2019</t>
        </is>
      </c>
      <c r="I60" s="2" t="n">
        <v>46313</v>
      </c>
      <c r="J60" t="inlineStr">
        <is>
          <t>Disetujui</t>
        </is>
      </c>
      <c r="K60" t="n">
        <v>90</v>
      </c>
      <c r="L60" t="inlineStr">
        <is>
          <t>18 Oktober 2026</t>
        </is>
      </c>
      <c r="M60" t="inlineStr">
        <is>
          <t>Jasa Rekayasa Konstruksi Bangunan Gedung Hunian dan Non Hunian</t>
        </is>
      </c>
      <c r="N60" t="inlineStr">
        <is>
          <t>K</t>
        </is>
      </c>
      <c r="O60" t="inlineStr">
        <is>
          <t>20231006</t>
        </is>
      </c>
      <c r="P60" t="inlineStr">
        <is>
          <t>Sumatera Utara</t>
        </is>
      </c>
      <c r="Q60" t="inlineStr"/>
    </row>
    <row r="61">
      <c r="A61" t="inlineStr">
        <is>
          <t>BUMI SEBIMBING SEKUNDANG</t>
        </is>
      </c>
      <c r="B61" t="inlineStr">
        <is>
          <t>Kab. Indragiri Hilir</t>
        </is>
      </c>
      <c r="C61" t="inlineStr">
        <is>
          <t>08124101085</t>
        </is>
      </c>
      <c r="D61" t="inlineStr">
        <is>
          <t>cvbss02@gmail.com</t>
        </is>
      </c>
      <c r="E61" t="inlineStr">
        <is>
          <t>https://lpjk.pu.go.id/search-badan-usaha-detail/NTR2R3FTeXhKa0o1bVFTUGowblo4QT09</t>
        </is>
      </c>
      <c r="F61" t="n">
        <v>2</v>
      </c>
      <c r="G61" t="inlineStr">
        <is>
          <t>BS001, BS004</t>
        </is>
      </c>
      <c r="H61" t="inlineStr">
        <is>
          <t>11 November 2021</t>
        </is>
      </c>
      <c r="I61" s="2" t="n">
        <v>46313</v>
      </c>
      <c r="J61" t="inlineStr">
        <is>
          <t>Pencabutan</t>
        </is>
      </c>
      <c r="K61" t="n">
        <v>90</v>
      </c>
      <c r="L61" t="inlineStr">
        <is>
          <t>18 Oktober 2026</t>
        </is>
      </c>
      <c r="M61" t="inlineStr">
        <is>
          <t>Konstruksi Bangunan Sipil Jalan, Konstruksi Jaringan Irigasi dan Drainase</t>
        </is>
      </c>
      <c r="N61" t="inlineStr">
        <is>
          <t>K</t>
        </is>
      </c>
      <c r="O61" t="inlineStr">
        <is>
          <t>20231018</t>
        </is>
      </c>
      <c r="P61" t="inlineStr">
        <is>
          <t>Riau</t>
        </is>
      </c>
      <c r="Q61" t="inlineStr"/>
    </row>
    <row r="62">
      <c r="A62" t="inlineStr">
        <is>
          <t>BUNGA KARYA KONSULTAN</t>
        </is>
      </c>
      <c r="B62" t="inlineStr">
        <is>
          <t>Kab. Bojonegoro</t>
        </is>
      </c>
      <c r="C62" t="inlineStr">
        <is>
          <t>08121606081</t>
        </is>
      </c>
      <c r="D62" t="inlineStr">
        <is>
          <t>bungakarya.konsultan01@gmail.com</t>
        </is>
      </c>
      <c r="E62" t="inlineStr">
        <is>
          <t>https://lpjk.pu.go.id/search-badan-usaha-detail/MStUWVpzZW1wTlp0Qmg3UU9wa1IyUT09</t>
        </is>
      </c>
      <c r="F62" t="n">
        <v>2</v>
      </c>
      <c r="G62" t="inlineStr">
        <is>
          <t>RK001, RK002</t>
        </is>
      </c>
      <c r="H62" t="inlineStr">
        <is>
          <t>27 Oktober 2022</t>
        </is>
      </c>
      <c r="I62" s="2" t="n">
        <v>46313</v>
      </c>
      <c r="J62" t="inlineStr">
        <is>
          <t>Disetujui</t>
        </is>
      </c>
      <c r="K62" t="n">
        <v>90</v>
      </c>
      <c r="L62" t="inlineStr">
        <is>
          <t>18 Oktober 2026</t>
        </is>
      </c>
      <c r="M62" t="inlineStr">
        <is>
          <t>Jasa Rekayasa Konstruksi Bangunan Gedung Hunian dan Non Hunian, Jasa Rekayasa Pekerjaan Teknik Sipil Sumber Daya Air</t>
        </is>
      </c>
      <c r="N62" t="inlineStr">
        <is>
          <t>K</t>
        </is>
      </c>
      <c r="O62" t="inlineStr">
        <is>
          <t>20231012</t>
        </is>
      </c>
      <c r="P62" t="inlineStr">
        <is>
          <t>Jawa Timur</t>
        </is>
      </c>
      <c r="Q62" t="inlineStr"/>
    </row>
    <row r="63">
      <c r="A63" t="inlineStr">
        <is>
          <t>CAHAYA ALAM JAYA MAKMUR</t>
        </is>
      </c>
      <c r="B63" t="inlineStr">
        <is>
          <t>Kota Bandar Lampung</t>
        </is>
      </c>
      <c r="C63" t="inlineStr">
        <is>
          <t>081369168686</t>
        </is>
      </c>
      <c r="D63" t="inlineStr">
        <is>
          <t>cvcahayaalamjayamakmur@gmail.com</t>
        </is>
      </c>
      <c r="E63" t="inlineStr">
        <is>
          <t>https://lpjk.pu.go.id/search-badan-usaha-detail/RGcxa3JyUGpVaGZmcmwrUDIyT3Jrdz09</t>
        </is>
      </c>
      <c r="F63" t="n">
        <v>1</v>
      </c>
      <c r="G63" t="inlineStr">
        <is>
          <t>BS005</t>
        </is>
      </c>
      <c r="H63" t="inlineStr">
        <is>
          <t>18 September 2023</t>
        </is>
      </c>
      <c r="I63" s="2" t="n">
        <v>46313</v>
      </c>
      <c r="J63" t="inlineStr">
        <is>
          <t>Disetujui</t>
        </is>
      </c>
      <c r="K63" t="n">
        <v>90</v>
      </c>
      <c r="L63" t="inlineStr">
        <is>
          <t>18 Oktober 2026</t>
        </is>
      </c>
      <c r="M63" t="inlineStr">
        <is>
          <t>Konstruksi Bangunan Sipil Pengolahan Air Bersih</t>
        </is>
      </c>
      <c r="N63" t="inlineStr">
        <is>
          <t>K</t>
        </is>
      </c>
      <c r="O63" t="inlineStr">
        <is>
          <t>20231017</t>
        </is>
      </c>
      <c r="P63" t="inlineStr">
        <is>
          <t>Lampung</t>
        </is>
      </c>
      <c r="Q63" t="inlineStr"/>
    </row>
    <row r="64">
      <c r="A64" t="inlineStr">
        <is>
          <t>CAHAYA AURORA</t>
        </is>
      </c>
      <c r="B64" t="inlineStr">
        <is>
          <t>Kota Solok</t>
        </is>
      </c>
      <c r="C64" t="inlineStr">
        <is>
          <t>082283594373</t>
        </is>
      </c>
      <c r="D64" t="inlineStr">
        <is>
          <t>auroracahaya05@gmail.com</t>
        </is>
      </c>
      <c r="E64" t="inlineStr">
        <is>
          <t>https://lpjk.pu.go.id/search-badan-usaha-detail/WkJaYk9pVWc5UjJmYkRXd1gvUXZEUT09</t>
        </is>
      </c>
      <c r="F64" t="n">
        <v>1</v>
      </c>
      <c r="G64" t="inlineStr">
        <is>
          <t>BG002</t>
        </is>
      </c>
      <c r="H64" t="inlineStr">
        <is>
          <t>29 Januari 2015</t>
        </is>
      </c>
      <c r="I64" s="2" t="n">
        <v>46313</v>
      </c>
      <c r="J64" t="inlineStr">
        <is>
          <t>Disetujui</t>
        </is>
      </c>
      <c r="K64" t="n">
        <v>90</v>
      </c>
      <c r="L64" t="inlineStr">
        <is>
          <t>18 Oktober 2026</t>
        </is>
      </c>
      <c r="M64" t="inlineStr">
        <is>
          <t>Konstruksi Gedung Perkantoran</t>
        </is>
      </c>
      <c r="N64" t="inlineStr">
        <is>
          <t>K</t>
        </is>
      </c>
      <c r="O64" t="inlineStr">
        <is>
          <t>20231019</t>
        </is>
      </c>
      <c r="P64" t="inlineStr">
        <is>
          <t>Sumatera Barat</t>
        </is>
      </c>
      <c r="Q64" t="inlineStr"/>
    </row>
    <row r="65">
      <c r="A65" t="inlineStr">
        <is>
          <t>CAHAYA INDAH</t>
        </is>
      </c>
      <c r="B65" t="inlineStr">
        <is>
          <t>Kab. Trenggalek</t>
        </is>
      </c>
      <c r="C65" t="inlineStr">
        <is>
          <t>081335852148</t>
        </is>
      </c>
      <c r="D65" t="inlineStr">
        <is>
          <t>cvcahayaindah2000@gmail.com</t>
        </is>
      </c>
      <c r="E65" t="inlineStr">
        <is>
          <t>https://lpjk.pu.go.id/search-badan-usaha-detail/Q1dHWTU0eE1hOGxRVVF1dTBpUHhrdz09</t>
        </is>
      </c>
      <c r="F65" t="n">
        <v>1</v>
      </c>
      <c r="G65" t="inlineStr">
        <is>
          <t>BS001</t>
        </is>
      </c>
      <c r="H65" t="inlineStr">
        <is>
          <t>1 April 2000</t>
        </is>
      </c>
      <c r="I65" s="2" t="n">
        <v>46313</v>
      </c>
      <c r="J65" t="inlineStr">
        <is>
          <t>Disetujui</t>
        </is>
      </c>
      <c r="K65" t="n">
        <v>90</v>
      </c>
      <c r="L65" t="inlineStr">
        <is>
          <t>18 Oktober 2026</t>
        </is>
      </c>
      <c r="M65" t="inlineStr">
        <is>
          <t>Konstruksi Bangunan Sipil Jalan</t>
        </is>
      </c>
      <c r="N65" t="inlineStr">
        <is>
          <t>K</t>
        </is>
      </c>
      <c r="O65" t="inlineStr">
        <is>
          <t>20230902</t>
        </is>
      </c>
      <c r="P65" t="inlineStr">
        <is>
          <t>Jawa Timur</t>
        </is>
      </c>
      <c r="Q65" t="inlineStr"/>
    </row>
    <row r="66">
      <c r="A66" t="inlineStr">
        <is>
          <t>CAHAYA KARTIKA</t>
        </is>
      </c>
      <c r="B66" t="inlineStr">
        <is>
          <t>Kab. Cilacap</t>
        </is>
      </c>
      <c r="C66" t="inlineStr">
        <is>
          <t>813027319575</t>
        </is>
      </c>
      <c r="D66" t="inlineStr">
        <is>
          <t>cahayakartika435@yahoo.co.id</t>
        </is>
      </c>
      <c r="E66" t="inlineStr">
        <is>
          <t>https://lpjk.pu.go.id/search-badan-usaha-detail/YVQxVTR5OFlYTmJiejVaNGpsdzN0dz09</t>
        </is>
      </c>
      <c r="F66" t="n">
        <v>1</v>
      </c>
      <c r="G66" t="inlineStr">
        <is>
          <t>BS001</t>
        </is>
      </c>
      <c r="H66" t="inlineStr">
        <is>
          <t>11 Februari 2005</t>
        </is>
      </c>
      <c r="I66" s="2" t="n">
        <v>46313</v>
      </c>
      <c r="J66" t="inlineStr">
        <is>
          <t>Disetujui</t>
        </is>
      </c>
      <c r="K66" t="n">
        <v>90</v>
      </c>
      <c r="L66" t="inlineStr">
        <is>
          <t>18 Oktober 2026</t>
        </is>
      </c>
      <c r="M66" t="inlineStr">
        <is>
          <t>Konstruksi Bangunan Sipil Jalan</t>
        </is>
      </c>
      <c r="N66" t="inlineStr">
        <is>
          <t>M</t>
        </is>
      </c>
      <c r="O66" t="inlineStr">
        <is>
          <t>20230919</t>
        </is>
      </c>
      <c r="P66" t="inlineStr">
        <is>
          <t>Jawa Tengah</t>
        </is>
      </c>
      <c r="Q66" t="inlineStr"/>
    </row>
    <row r="67">
      <c r="A67" t="inlineStr">
        <is>
          <t>CAHAYA SEMESTA</t>
        </is>
      </c>
      <c r="B67" t="inlineStr">
        <is>
          <t>Kota Surabaya</t>
        </is>
      </c>
      <c r="C67" t="inlineStr">
        <is>
          <t>085645012345</t>
        </is>
      </c>
      <c r="D67" t="inlineStr">
        <is>
          <t>cahayasemestarini2021@gmail.com</t>
        </is>
      </c>
      <c r="E67" t="inlineStr">
        <is>
          <t>https://lpjk.pu.go.id/search-badan-usaha-detail/WjYvVmFSM2ZPUXBaUE0rMy9nQmVIQT09</t>
        </is>
      </c>
      <c r="F67" t="n">
        <v>1</v>
      </c>
      <c r="G67" t="inlineStr">
        <is>
          <t>BG002</t>
        </is>
      </c>
      <c r="H67" t="inlineStr">
        <is>
          <t>8 April 2010</t>
        </is>
      </c>
      <c r="I67" s="2" t="n">
        <v>46313</v>
      </c>
      <c r="J67" t="inlineStr">
        <is>
          <t>Disetujui</t>
        </is>
      </c>
      <c r="K67" t="n">
        <v>90</v>
      </c>
      <c r="L67" t="inlineStr">
        <is>
          <t>18 Oktober 2026</t>
        </is>
      </c>
      <c r="M67" t="inlineStr">
        <is>
          <t>Konstruksi Gedung Perkantoran</t>
        </is>
      </c>
      <c r="N67" t="inlineStr">
        <is>
          <t>K</t>
        </is>
      </c>
      <c r="O67" t="inlineStr">
        <is>
          <t>20231003</t>
        </is>
      </c>
      <c r="P67" t="inlineStr">
        <is>
          <t>Jawa Timur</t>
        </is>
      </c>
      <c r="Q67" t="inlineStr"/>
    </row>
    <row r="68">
      <c r="A68" t="inlineStr">
        <is>
          <t>CIPTA BANGUN KAIRA</t>
        </is>
      </c>
      <c r="B68" t="inlineStr">
        <is>
          <t>Kota Adm. Jakarta Pusat</t>
        </is>
      </c>
      <c r="C68" t="inlineStr">
        <is>
          <t>0895383243551</t>
        </is>
      </c>
      <c r="D68" t="inlineStr">
        <is>
          <t>ciptabangunkaira@gmail.com</t>
        </is>
      </c>
      <c r="E68" t="inlineStr">
        <is>
          <t>https://lpjk.pu.go.id/search-badan-usaha-detail/c29zaWN2QlBpUWNOdkNJUzh1L2F2QT09</t>
        </is>
      </c>
      <c r="F68" t="n">
        <v>4</v>
      </c>
      <c r="G68" t="inlineStr">
        <is>
          <t>BG001, BG002</t>
        </is>
      </c>
      <c r="H68" t="inlineStr">
        <is>
          <t>11 Oktober 2023</t>
        </is>
      </c>
      <c r="I68" s="2" t="n">
        <v>46313</v>
      </c>
      <c r="J68" t="inlineStr">
        <is>
          <t>Disetujui, Pencabutan</t>
        </is>
      </c>
      <c r="K68" t="n">
        <v>90</v>
      </c>
      <c r="L68" t="inlineStr">
        <is>
          <t>18 Oktober 2026</t>
        </is>
      </c>
      <c r="M68" t="inlineStr">
        <is>
          <t>Konstruksi Gedung Hunian, Konstruksi Gedung Perkantoran</t>
        </is>
      </c>
      <c r="N68" t="inlineStr">
        <is>
          <t>K</t>
        </is>
      </c>
      <c r="O68" t="inlineStr">
        <is>
          <t>20231017</t>
        </is>
      </c>
      <c r="P68" t="inlineStr">
        <is>
          <t>DKI Jakarta</t>
        </is>
      </c>
      <c r="Q68" t="inlineStr"/>
    </row>
    <row r="69">
      <c r="A69" t="inlineStr">
        <is>
          <t>CIPTA TUNGGUL WILIS</t>
        </is>
      </c>
      <c r="B69" t="inlineStr">
        <is>
          <t>Kab. Nganjuk</t>
        </is>
      </c>
      <c r="C69" t="inlineStr">
        <is>
          <t>85649268460</t>
        </is>
      </c>
      <c r="D69" t="inlineStr">
        <is>
          <t>ciptatunggulwilis@gmail.com</t>
        </is>
      </c>
      <c r="E69" t="inlineStr">
        <is>
          <t>https://lpjk.pu.go.id/search-badan-usaha-detail/K2ppSjFoa2tlZStuQkFVdzJCbFd5QT09</t>
        </is>
      </c>
      <c r="F69" t="n">
        <v>4</v>
      </c>
      <c r="G69" t="inlineStr">
        <is>
          <t>BS004, BS010</t>
        </is>
      </c>
      <c r="H69" t="inlineStr">
        <is>
          <t>23 Oktober 2020</t>
        </is>
      </c>
      <c r="I69" s="2" t="n">
        <v>46313</v>
      </c>
      <c r="J69" t="inlineStr">
        <is>
          <t>Disetujui</t>
        </is>
      </c>
      <c r="K69" t="n">
        <v>90</v>
      </c>
      <c r="L69" t="inlineStr">
        <is>
          <t>18 Oktober 2026</t>
        </is>
      </c>
      <c r="M69" t="inlineStr">
        <is>
          <t>Konstruksi Bangunan Prasarana Sumber Daya Air, Konstruksi Jaringan Irigasi dan Drainase</t>
        </is>
      </c>
      <c r="N69" t="inlineStr">
        <is>
          <t>K</t>
        </is>
      </c>
      <c r="O69" t="inlineStr">
        <is>
          <t>20231018</t>
        </is>
      </c>
      <c r="P69" t="inlineStr">
        <is>
          <t>Jawa Timur</t>
        </is>
      </c>
      <c r="Q69" t="inlineStr"/>
    </row>
    <row r="70">
      <c r="A70" t="inlineStr">
        <is>
          <t>CITRA AGUNG</t>
        </is>
      </c>
      <c r="B70" t="inlineStr">
        <is>
          <t>Kab. Karawang</t>
        </is>
      </c>
      <c r="C70" t="inlineStr">
        <is>
          <t>081298470668</t>
        </is>
      </c>
      <c r="D70" t="inlineStr">
        <is>
          <t>cv.citraagung22@gmail.com</t>
        </is>
      </c>
      <c r="E70" t="inlineStr">
        <is>
          <t>https://lpjk.pu.go.id/search-badan-usaha-detail/YUtTWEorRkZUMmlmUDJxUUtQanNkQT09</t>
        </is>
      </c>
      <c r="F70" t="n">
        <v>8</v>
      </c>
      <c r="G70" t="inlineStr">
        <is>
          <t>BG002, BG005, BG006, BG009, BS001, BS002, BS004, BS005</t>
        </is>
      </c>
      <c r="H70" t="inlineStr">
        <is>
          <t>19 Juni 2000</t>
        </is>
      </c>
      <c r="I70" s="2" t="n">
        <v>46313</v>
      </c>
      <c r="J70" t="inlineStr">
        <is>
          <t>Disetujui</t>
        </is>
      </c>
      <c r="K70" t="n">
        <v>90</v>
      </c>
      <c r="L70" t="inlineStr">
        <is>
          <t>18 Oktober 2026</t>
        </is>
      </c>
      <c r="M70" t="inlineStr">
        <is>
          <t>Bangunan Sipil Jembatan, Jalan Layang, Fly Over, dan Underpass, Konstruksi Bangunan Sipil Jalan, Konstruksi Bangunan Sipil Pengolahan Air Bersih, Konstruksi Gedung Kesehatan, Konstruksi Gedung Lainnya, Konstruksi Gedung Pendidikan, Konstruksi Gedung Perkantoran, Konstruksi Jaringan Irigasi dan Drainase</t>
        </is>
      </c>
      <c r="N70" t="inlineStr">
        <is>
          <t>K</t>
        </is>
      </c>
      <c r="O70" t="inlineStr">
        <is>
          <t>20231016</t>
        </is>
      </c>
      <c r="P70" t="inlineStr">
        <is>
          <t>Jawa Barat</t>
        </is>
      </c>
      <c r="Q70" t="inlineStr"/>
    </row>
    <row r="71">
      <c r="A71" t="inlineStr">
        <is>
          <t>CITRA DWIDAYA CEMERLANG</t>
        </is>
      </c>
      <c r="B71" t="inlineStr">
        <is>
          <t>Kab. Blora</t>
        </is>
      </c>
      <c r="C71" t="inlineStr">
        <is>
          <t>02964271616</t>
        </is>
      </c>
      <c r="D71" t="inlineStr">
        <is>
          <t>cdc@petroce.com</t>
        </is>
      </c>
      <c r="E71" t="inlineStr">
        <is>
          <t>https://lpjk.pu.go.id/search-badan-usaha-detail/YzZzWVdkTVNjS2lHRnBjNjVvM3AwZz09</t>
        </is>
      </c>
      <c r="F71" t="n">
        <v>1</v>
      </c>
      <c r="G71" t="inlineStr">
        <is>
          <t>PL008</t>
        </is>
      </c>
      <c r="H71" t="inlineStr">
        <is>
          <t>9 Maret 2004</t>
        </is>
      </c>
      <c r="I71" s="2" t="n">
        <v>46313</v>
      </c>
      <c r="J71" t="inlineStr">
        <is>
          <t>Pembekuan</t>
        </is>
      </c>
      <c r="K71" t="n">
        <v>90</v>
      </c>
      <c r="L71" t="inlineStr">
        <is>
          <t>18 Oktober 2026</t>
        </is>
      </c>
      <c r="M71" t="inlineStr">
        <is>
          <t>Pemasangan Perancah (Steiger)</t>
        </is>
      </c>
      <c r="N71" t="inlineStr">
        <is>
          <t>Spesialis</t>
        </is>
      </c>
      <c r="O71" t="inlineStr">
        <is>
          <t>20231017</t>
        </is>
      </c>
      <c r="P71" t="inlineStr">
        <is>
          <t>Jawa Tengah</t>
        </is>
      </c>
      <c r="Q71" t="inlineStr"/>
    </row>
    <row r="72">
      <c r="A72" t="inlineStr">
        <is>
          <t>CITRA KARYA</t>
        </is>
      </c>
      <c r="B72" t="inlineStr">
        <is>
          <t>Kota Tanjung Pinang</t>
        </is>
      </c>
      <c r="C72" t="inlineStr">
        <is>
          <t>082363833698</t>
        </is>
      </c>
      <c r="D72" t="inlineStr">
        <is>
          <t>teguhgunawan33@yahoo.com</t>
        </is>
      </c>
      <c r="E72" t="inlineStr">
        <is>
          <t>https://lpjk.pu.go.id/search-badan-usaha-detail/ZGlWMFJYdytxeVpyelNLQ2FCcjBydz09</t>
        </is>
      </c>
      <c r="F72" t="n">
        <v>2</v>
      </c>
      <c r="G72" t="inlineStr">
        <is>
          <t>RK001, RK003</t>
        </is>
      </c>
      <c r="H72" t="inlineStr">
        <is>
          <t>22 Juni 2012</t>
        </is>
      </c>
      <c r="I72" s="2" t="n">
        <v>46313</v>
      </c>
      <c r="J72" t="inlineStr">
        <is>
          <t>Disetujui</t>
        </is>
      </c>
      <c r="K72" t="n">
        <v>90</v>
      </c>
      <c r="L72" t="inlineStr">
        <is>
          <t>18 Oktober 2026</t>
        </is>
      </c>
      <c r="M72" t="inlineStr">
        <is>
          <t>Jasa Rekayasa Konstruksi Bangunan Gedung Hunian dan Non Hunian, Jasa Rekayasa Pekerjaan Teknik Sipil Transportasi</t>
        </is>
      </c>
      <c r="N72" t="inlineStr">
        <is>
          <t>K</t>
        </is>
      </c>
      <c r="O72" t="inlineStr">
        <is>
          <t>20230927, 20231003</t>
        </is>
      </c>
      <c r="P72" t="inlineStr">
        <is>
          <t>Kepulauan Riau</t>
        </is>
      </c>
      <c r="Q72" t="inlineStr"/>
    </row>
    <row r="73">
      <c r="A73" t="inlineStr">
        <is>
          <t>CITRA SEJAHTERA MANDIRI</t>
        </is>
      </c>
      <c r="B73" t="inlineStr">
        <is>
          <t>Kota Medan</t>
        </is>
      </c>
      <c r="C73" t="inlineStr">
        <is>
          <t>08116391970</t>
        </is>
      </c>
      <c r="D73" t="inlineStr">
        <is>
          <t>citrasejahteramandiri_cv@yahoo.co.id</t>
        </is>
      </c>
      <c r="E73" t="inlineStr">
        <is>
          <t>https://lpjk.pu.go.id/search-badan-usaha-detail/S05OUS9kN2pKY3ZtSWdxVk92VTQ5Zz09</t>
        </is>
      </c>
      <c r="F73" t="n">
        <v>1</v>
      </c>
      <c r="G73" t="inlineStr">
        <is>
          <t>BG001</t>
        </is>
      </c>
      <c r="H73" t="inlineStr">
        <is>
          <t>15 Januari 2007</t>
        </is>
      </c>
      <c r="I73" s="2" t="n">
        <v>46313</v>
      </c>
      <c r="J73" t="inlineStr">
        <is>
          <t>Pencabutan</t>
        </is>
      </c>
      <c r="K73" t="n">
        <v>90</v>
      </c>
      <c r="L73" t="inlineStr">
        <is>
          <t>18 Oktober 2026</t>
        </is>
      </c>
      <c r="M73" t="inlineStr">
        <is>
          <t>Konstruksi Gedung Hunian</t>
        </is>
      </c>
      <c r="N73" t="inlineStr">
        <is>
          <t>K</t>
        </is>
      </c>
      <c r="O73" t="inlineStr">
        <is>
          <t>20231017</t>
        </is>
      </c>
      <c r="P73" t="inlineStr">
        <is>
          <t>Sumatera Utara</t>
        </is>
      </c>
      <c r="Q73" t="inlineStr"/>
    </row>
    <row r="74">
      <c r="A74" t="inlineStr">
        <is>
          <t>CITRA SEJAHTERA MANDIRI</t>
        </is>
      </c>
      <c r="B74" t="inlineStr">
        <is>
          <t>Kab. Kotabaru</t>
        </is>
      </c>
      <c r="C74" t="inlineStr">
        <is>
          <t>082154962879</t>
        </is>
      </c>
      <c r="D74" t="inlineStr">
        <is>
          <t>cv.citrasejahteramandiri@yahoo.co.id</t>
        </is>
      </c>
      <c r="E74" t="inlineStr">
        <is>
          <t>https://lpjk.pu.go.id/search-badan-usaha-detail/aEY2Uk5LZEFCZmM1TUdXeEk0SkR2UT09</t>
        </is>
      </c>
      <c r="F74" t="n">
        <v>2</v>
      </c>
      <c r="G74" t="inlineStr">
        <is>
          <t>BG004, BG008</t>
        </is>
      </c>
      <c r="H74" t="inlineStr">
        <is>
          <t>26 Desember 2000</t>
        </is>
      </c>
      <c r="I74" s="2" t="n">
        <v>46313</v>
      </c>
      <c r="J74" t="inlineStr">
        <is>
          <t>Disetujui</t>
        </is>
      </c>
      <c r="K74" t="n">
        <v>90</v>
      </c>
      <c r="L74" t="inlineStr">
        <is>
          <t>18 Oktober 2026</t>
        </is>
      </c>
      <c r="M74" t="inlineStr">
        <is>
          <t>Konstruksi Gedung Perbelanjaan, Konstruksi Gedung Tempat Hiburan dan Olahraga</t>
        </is>
      </c>
      <c r="N74" t="inlineStr">
        <is>
          <t>K</t>
        </is>
      </c>
      <c r="O74" t="inlineStr">
        <is>
          <t>20231014</t>
        </is>
      </c>
      <c r="P74" t="inlineStr">
        <is>
          <t>Kalimantan Selatan</t>
        </is>
      </c>
      <c r="Q74" t="inlineStr"/>
    </row>
    <row r="75">
      <c r="A75" t="inlineStr">
        <is>
          <t>CONSTRUCTION INDONESIA</t>
        </is>
      </c>
      <c r="B75" t="inlineStr">
        <is>
          <t>Kab. Musi Banyuasin</t>
        </is>
      </c>
      <c r="C75" t="inlineStr">
        <is>
          <t>082183583993</t>
        </is>
      </c>
      <c r="D75" t="inlineStr">
        <is>
          <t>cvcontructionindonesiacontruct@gmail.com</t>
        </is>
      </c>
      <c r="E75" t="inlineStr">
        <is>
          <t>https://lpjk.pu.go.id/search-badan-usaha-detail/SkpKVUxod1h0MWttK3NiQ0RuOTM5UT09</t>
        </is>
      </c>
      <c r="F75" t="n">
        <v>1</v>
      </c>
      <c r="G75" t="inlineStr">
        <is>
          <t>BG004</t>
        </is>
      </c>
      <c r="H75" t="inlineStr">
        <is>
          <t>11 Januari 2015</t>
        </is>
      </c>
      <c r="I75" s="2" t="n">
        <v>46313</v>
      </c>
      <c r="J75" t="inlineStr">
        <is>
          <t>Disetujui</t>
        </is>
      </c>
      <c r="K75" t="n">
        <v>90</v>
      </c>
      <c r="L75" t="inlineStr">
        <is>
          <t>18 Oktober 2026</t>
        </is>
      </c>
      <c r="M75" t="inlineStr">
        <is>
          <t>Konstruksi Gedung Perbelanjaan</t>
        </is>
      </c>
      <c r="N75" t="inlineStr">
        <is>
          <t>K</t>
        </is>
      </c>
      <c r="O75" t="inlineStr">
        <is>
          <t>20231017</t>
        </is>
      </c>
      <c r="P75" t="inlineStr">
        <is>
          <t>Sumatera Selatan</t>
        </is>
      </c>
      <c r="Q75" t="inlineStr"/>
    </row>
    <row r="76">
      <c r="A76" t="inlineStr">
        <is>
          <t>CV. HANISSA PRATAMA</t>
        </is>
      </c>
      <c r="B76" t="inlineStr">
        <is>
          <t>Kab. Cirebon</t>
        </is>
      </c>
      <c r="C76" t="inlineStr">
        <is>
          <t>081395704155</t>
        </is>
      </c>
      <c r="D76" t="inlineStr">
        <is>
          <t>HANISSA.PRATAM55@GMAIL.COM</t>
        </is>
      </c>
      <c r="E76" t="inlineStr">
        <is>
          <t>https://lpjk.pu.go.id/search-badan-usaha-detail/aUJMc3hHVE12MzFuSDhqbk5PWU9HUT09</t>
        </is>
      </c>
      <c r="F76" t="n">
        <v>2</v>
      </c>
      <c r="G76" t="inlineStr">
        <is>
          <t>RK001, RK003</t>
        </is>
      </c>
      <c r="H76" t="inlineStr">
        <is>
          <t>8 November 2019</t>
        </is>
      </c>
      <c r="I76" s="2" t="n">
        <v>46313</v>
      </c>
      <c r="J76" t="inlineStr">
        <is>
          <t>Disetujui</t>
        </is>
      </c>
      <c r="K76" t="n">
        <v>90</v>
      </c>
      <c r="L76" t="inlineStr">
        <is>
          <t>18 Oktober 2026</t>
        </is>
      </c>
      <c r="M76" t="inlineStr">
        <is>
          <t>Jasa Rekayasa Konstruksi Bangunan Gedung Hunian dan Non Hunian, Jasa Rekayasa Pekerjaan Teknik Sipil Transportasi</t>
        </is>
      </c>
      <c r="N76" t="inlineStr">
        <is>
          <t>K</t>
        </is>
      </c>
      <c r="O76" t="inlineStr">
        <is>
          <t>20231012</t>
        </is>
      </c>
      <c r="P76" t="inlineStr">
        <is>
          <t>Jawa Barat</t>
        </is>
      </c>
      <c r="Q76" t="inlineStr"/>
    </row>
    <row r="77">
      <c r="A77" t="inlineStr">
        <is>
          <t>DAMAR BIRAWA KARYA</t>
        </is>
      </c>
      <c r="B77" t="inlineStr">
        <is>
          <t>Kota Tangerang Selatan</t>
        </is>
      </c>
      <c r="C77" t="inlineStr">
        <is>
          <t>081291966737</t>
        </is>
      </c>
      <c r="D77" t="inlineStr">
        <is>
          <t>karyadamarbirawa@gmail.com</t>
        </is>
      </c>
      <c r="E77" t="inlineStr">
        <is>
          <t>https://lpjk.pu.go.id/search-badan-usaha-detail/bDkxaGVhRFlNeGJqUjhIdzlqQ1dvdz09</t>
        </is>
      </c>
      <c r="F77" t="n">
        <v>8</v>
      </c>
      <c r="G77" t="inlineStr">
        <is>
          <t>AR001, AR002, RK001, RK004</t>
        </is>
      </c>
      <c r="H77" t="inlineStr">
        <is>
          <t>14 Februari 2020</t>
        </is>
      </c>
      <c r="I77" s="2" t="n">
        <v>46313</v>
      </c>
      <c r="J77" t="inlineStr">
        <is>
          <t>Disetujui</t>
        </is>
      </c>
      <c r="K77" t="n">
        <v>90</v>
      </c>
      <c r="L77" t="inlineStr">
        <is>
          <t>18 Oktober 2026</t>
        </is>
      </c>
      <c r="M77" t="inlineStr">
        <is>
          <t>Jasa Arsitektural Bangunan Gedung Hunian dan Non Hunian, Jasa Arsitektural Lainnya, Jasa Rekayasa Konstruksi Bangunan Gedung Hunian dan Non Hunian, Jasa Rekayasa Pekerjaan Mekanikal Dalam Bangunan</t>
        </is>
      </c>
      <c r="N77" t="inlineStr">
        <is>
          <t>K</t>
        </is>
      </c>
      <c r="O77" t="inlineStr">
        <is>
          <t>20231012</t>
        </is>
      </c>
      <c r="P77" t="inlineStr">
        <is>
          <t>Banten</t>
        </is>
      </c>
      <c r="Q77" t="inlineStr"/>
    </row>
    <row r="78">
      <c r="A78" t="inlineStr">
        <is>
          <t>DAYARAYA KONSTRUKSI</t>
        </is>
      </c>
      <c r="B78" t="inlineStr">
        <is>
          <t>Kab. Kutai Kartanegara</t>
        </is>
      </c>
      <c r="C78" t="inlineStr">
        <is>
          <t>081347704347</t>
        </is>
      </c>
      <c r="D78" t="inlineStr">
        <is>
          <t>cvdayarayakonstruksi@gmail.com</t>
        </is>
      </c>
      <c r="E78" t="inlineStr">
        <is>
          <t>https://lpjk.pu.go.id/search-badan-usaha-detail/Y3RVQjJmaXNWaE4rcnl1ZnVuM2dKQT09</t>
        </is>
      </c>
      <c r="F78" t="n">
        <v>1</v>
      </c>
      <c r="G78" t="inlineStr">
        <is>
          <t>BS001</t>
        </is>
      </c>
      <c r="H78" t="inlineStr">
        <is>
          <t>1 September 2023</t>
        </is>
      </c>
      <c r="I78" s="2" t="n">
        <v>46313</v>
      </c>
      <c r="J78" t="inlineStr">
        <is>
          <t>Disetujui</t>
        </is>
      </c>
      <c r="K78" t="n">
        <v>90</v>
      </c>
      <c r="L78" t="inlineStr">
        <is>
          <t>18 Oktober 2026</t>
        </is>
      </c>
      <c r="M78" t="inlineStr">
        <is>
          <t>Konstruksi Bangunan Sipil Jalan</t>
        </is>
      </c>
      <c r="N78" t="inlineStr">
        <is>
          <t>K</t>
        </is>
      </c>
      <c r="O78" t="inlineStr">
        <is>
          <t>20231017</t>
        </is>
      </c>
      <c r="P78" t="inlineStr">
        <is>
          <t>Kalimantan Timur</t>
        </is>
      </c>
      <c r="Q78" t="inlineStr"/>
    </row>
    <row r="79">
      <c r="A79" t="inlineStr">
        <is>
          <t>DELAPAN PILAR INTI SOLUSI</t>
        </is>
      </c>
      <c r="B79" t="inlineStr">
        <is>
          <t>Kota Tangerang Selatan</t>
        </is>
      </c>
      <c r="C79" t="inlineStr">
        <is>
          <t>0215373178</t>
        </is>
      </c>
      <c r="D79" t="inlineStr">
        <is>
          <t>delapanpilarintisolusi@gmail.com</t>
        </is>
      </c>
      <c r="E79" t="inlineStr">
        <is>
          <t>https://lpjk.pu.go.id/search-badan-usaha-detail/d2oyTW0yUTQzdHQ1YkRaK1NFZ2hJdz09</t>
        </is>
      </c>
      <c r="F79" t="n">
        <v>2</v>
      </c>
      <c r="G79" t="inlineStr">
        <is>
          <t>BG003</t>
        </is>
      </c>
      <c r="H79" t="inlineStr">
        <is>
          <t>21 Agustus 2023</t>
        </is>
      </c>
      <c r="I79" s="2" t="n">
        <v>46313</v>
      </c>
      <c r="J79" t="inlineStr">
        <is>
          <t>Disetujui</t>
        </is>
      </c>
      <c r="K79" t="n">
        <v>90</v>
      </c>
      <c r="L79" t="inlineStr">
        <is>
          <t>18 Oktober 2026</t>
        </is>
      </c>
      <c r="M79" t="inlineStr">
        <is>
          <t>Konstruksi Gedung Industri</t>
        </is>
      </c>
      <c r="N79" t="inlineStr">
        <is>
          <t>K</t>
        </is>
      </c>
      <c r="O79" t="inlineStr">
        <is>
          <t>20231018</t>
        </is>
      </c>
      <c r="P79" t="inlineStr">
        <is>
          <t>Banten</t>
        </is>
      </c>
      <c r="Q79" t="inlineStr"/>
    </row>
    <row r="80">
      <c r="A80" t="inlineStr">
        <is>
          <t>DELINEASI RUPABUMI KONSULTAN</t>
        </is>
      </c>
      <c r="B80" t="inlineStr">
        <is>
          <t>Kota Makassar</t>
        </is>
      </c>
      <c r="C80" t="inlineStr">
        <is>
          <t>081355555976</t>
        </is>
      </c>
      <c r="D80" t="inlineStr">
        <is>
          <t>delineasirupabumikonsultan@yahoo.com</t>
        </is>
      </c>
      <c r="E80" t="inlineStr">
        <is>
          <t>https://lpjk.pu.go.id/search-badan-usaha-detail/bXk0T0t5Y29hbGNkUnNuYmJBMFBLUT09</t>
        </is>
      </c>
      <c r="F80" t="n">
        <v>1</v>
      </c>
      <c r="G80" t="inlineStr">
        <is>
          <t>AR001</t>
        </is>
      </c>
      <c r="H80" t="inlineStr">
        <is>
          <t>29 November 2016</t>
        </is>
      </c>
      <c r="I80" s="2" t="n">
        <v>46313</v>
      </c>
      <c r="J80" t="inlineStr">
        <is>
          <t>Disetujui</t>
        </is>
      </c>
      <c r="K80" t="n">
        <v>90</v>
      </c>
      <c r="L80" t="inlineStr">
        <is>
          <t>18 Oktober 2026</t>
        </is>
      </c>
      <c r="M80" t="inlineStr">
        <is>
          <t>Jasa Arsitektural Bangunan Gedung Hunian dan Non Hunian</t>
        </is>
      </c>
      <c r="N80" t="inlineStr">
        <is>
          <t>K</t>
        </is>
      </c>
      <c r="O80" t="inlineStr">
        <is>
          <t>20231009</t>
        </is>
      </c>
      <c r="P80" t="inlineStr">
        <is>
          <t>Sulawesi Selatan</t>
        </is>
      </c>
      <c r="Q80" t="inlineStr"/>
    </row>
    <row r="81">
      <c r="A81" t="inlineStr">
        <is>
          <t>DIAN KARYA PERDANA</t>
        </is>
      </c>
      <c r="B81" t="inlineStr">
        <is>
          <t>Kab. Kotawaringin Barat</t>
        </is>
      </c>
      <c r="C81" t="inlineStr">
        <is>
          <t>085332355200</t>
        </is>
      </c>
      <c r="D81" t="inlineStr">
        <is>
          <t>cvdiankaryaperdana@gmail.com</t>
        </is>
      </c>
      <c r="E81" t="inlineStr">
        <is>
          <t>https://lpjk.pu.go.id/search-badan-usaha-detail/N3VXTUs5OHVvdVB6a2VGeW54Z09nZz09</t>
        </is>
      </c>
      <c r="F81" t="n">
        <v>2</v>
      </c>
      <c r="G81" t="inlineStr">
        <is>
          <t>BG009, BS001</t>
        </is>
      </c>
      <c r="H81" t="inlineStr">
        <is>
          <t>26 Februari 2019</t>
        </is>
      </c>
      <c r="I81" s="2" t="n">
        <v>46313</v>
      </c>
      <c r="J81" t="inlineStr">
        <is>
          <t>Disetujui</t>
        </is>
      </c>
      <c r="K81" t="n">
        <v>90</v>
      </c>
      <c r="L81" t="inlineStr">
        <is>
          <t>18 Oktober 2026</t>
        </is>
      </c>
      <c r="M81" t="inlineStr">
        <is>
          <t>Konstruksi Bangunan Sipil Jalan, Konstruksi Gedung Lainnya</t>
        </is>
      </c>
      <c r="N81" t="inlineStr">
        <is>
          <t>K</t>
        </is>
      </c>
      <c r="O81" t="inlineStr">
        <is>
          <t>20231016</t>
        </is>
      </c>
      <c r="P81" t="inlineStr">
        <is>
          <t>Kalimantan Tengah</t>
        </is>
      </c>
      <c r="Q81" t="inlineStr"/>
    </row>
    <row r="82">
      <c r="A82" t="inlineStr">
        <is>
          <t>DIMENSI RUANG</t>
        </is>
      </c>
      <c r="B82" t="inlineStr">
        <is>
          <t>Kab. Toraja Utara</t>
        </is>
      </c>
      <c r="C82" t="inlineStr">
        <is>
          <t>081343945358</t>
        </is>
      </c>
      <c r="D82" t="inlineStr">
        <is>
          <t>dimensiruang2016@gmail.com</t>
        </is>
      </c>
      <c r="E82" t="inlineStr">
        <is>
          <t>https://lpjk.pu.go.id/search-badan-usaha-detail/ekZNQ0VRT3AwL3hsVkphNkVlSU9Edz09</t>
        </is>
      </c>
      <c r="F82" t="n">
        <v>1</v>
      </c>
      <c r="G82" t="inlineStr">
        <is>
          <t>AR002</t>
        </is>
      </c>
      <c r="H82" t="inlineStr">
        <is>
          <t>22 Juni 2012</t>
        </is>
      </c>
      <c r="I82" s="2" t="n">
        <v>46313</v>
      </c>
      <c r="J82" t="inlineStr">
        <is>
          <t>Disetujui</t>
        </is>
      </c>
      <c r="K82" t="n">
        <v>90</v>
      </c>
      <c r="L82" t="inlineStr">
        <is>
          <t>18 Oktober 2026</t>
        </is>
      </c>
      <c r="M82" t="inlineStr">
        <is>
          <t>Jasa Arsitektural Lainnya</t>
        </is>
      </c>
      <c r="N82" t="inlineStr">
        <is>
          <t>K</t>
        </is>
      </c>
      <c r="O82" t="inlineStr">
        <is>
          <t>20231004</t>
        </is>
      </c>
      <c r="P82" t="inlineStr">
        <is>
          <t>Sulawesi Selatan</t>
        </is>
      </c>
      <c r="Q82" t="inlineStr"/>
    </row>
    <row r="83">
      <c r="A83" t="inlineStr">
        <is>
          <t>DIMENSI STATIKA</t>
        </is>
      </c>
      <c r="B83" t="inlineStr">
        <is>
          <t>Kota Jambi</t>
        </is>
      </c>
      <c r="C83" t="inlineStr">
        <is>
          <t>081274797872</t>
        </is>
      </c>
      <c r="D83" t="inlineStr">
        <is>
          <t>statika.dimensi@gmail.com</t>
        </is>
      </c>
      <c r="E83" t="inlineStr">
        <is>
          <t>https://lpjk.pu.go.id/search-badan-usaha-detail/Q2JQRWJPeTBWNjBKdjZpWko2cVN1Zz09</t>
        </is>
      </c>
      <c r="F83" t="n">
        <v>1</v>
      </c>
      <c r="G83" t="inlineStr">
        <is>
          <t>RK005</t>
        </is>
      </c>
      <c r="H83" t="inlineStr">
        <is>
          <t>20 Oktober 2009</t>
        </is>
      </c>
      <c r="I83" s="2" t="n">
        <v>46313</v>
      </c>
      <c r="J83" t="inlineStr">
        <is>
          <t>Disetujui</t>
        </is>
      </c>
      <c r="K83" t="n">
        <v>90</v>
      </c>
      <c r="L83" t="inlineStr">
        <is>
          <t>18 Oktober 2026</t>
        </is>
      </c>
      <c r="M83" t="inlineStr">
        <is>
          <t>Jasa Rekayasa Lainnya</t>
        </is>
      </c>
      <c r="N83" t="inlineStr">
        <is>
          <t>K</t>
        </is>
      </c>
      <c r="O83" t="inlineStr">
        <is>
          <t>20231011</t>
        </is>
      </c>
      <c r="P83" t="inlineStr">
        <is>
          <t>Jambi</t>
        </is>
      </c>
      <c r="Q83" t="inlineStr"/>
    </row>
    <row r="84">
      <c r="A84" t="inlineStr">
        <is>
          <t>DUA MAHKOTA ABADI</t>
        </is>
      </c>
      <c r="B84" t="inlineStr">
        <is>
          <t>Kab. Kutai Timur</t>
        </is>
      </c>
      <c r="C84" t="inlineStr">
        <is>
          <t>082153830383</t>
        </is>
      </c>
      <c r="D84" t="inlineStr">
        <is>
          <t>duamahkotaabadi@gmail.com</t>
        </is>
      </c>
      <c r="E84" t="inlineStr">
        <is>
          <t>https://lpjk.pu.go.id/search-badan-usaha-detail/Y2RZY3dxK1BrZHNMekphTUo5MTU5dz09</t>
        </is>
      </c>
      <c r="F84" t="n">
        <v>4</v>
      </c>
      <c r="G84" t="inlineStr">
        <is>
          <t>BG001, BG002, BG006, BG009</t>
        </is>
      </c>
      <c r="H84" t="inlineStr">
        <is>
          <t>4 September 2023</t>
        </is>
      </c>
      <c r="I84" s="2" t="n">
        <v>46313</v>
      </c>
      <c r="J84" t="inlineStr">
        <is>
          <t>Disetujui</t>
        </is>
      </c>
      <c r="K84" t="n">
        <v>90</v>
      </c>
      <c r="L84" t="inlineStr">
        <is>
          <t>18 Oktober 2026</t>
        </is>
      </c>
      <c r="M84" t="inlineStr">
        <is>
          <t>Konstruksi Gedung Hunian, Konstruksi Gedung Lainnya, Konstruksi Gedung Pendidikan, Konstruksi Gedung Perkantoran</t>
        </is>
      </c>
      <c r="N84" t="inlineStr">
        <is>
          <t>K</t>
        </is>
      </c>
      <c r="O84" t="inlineStr">
        <is>
          <t>20231019</t>
        </is>
      </c>
      <c r="P84" t="inlineStr">
        <is>
          <t>Kalimantan Timur</t>
        </is>
      </c>
      <c r="Q84" t="inlineStr"/>
    </row>
    <row r="85">
      <c r="A85" t="inlineStr">
        <is>
          <t>DUTA DIWA MANDIRI</t>
        </is>
      </c>
      <c r="B85" t="inlineStr">
        <is>
          <t>Kota Tangerang Selatan</t>
        </is>
      </c>
      <c r="C85" t="inlineStr">
        <is>
          <t>02127598708</t>
        </is>
      </c>
      <c r="D85" t="inlineStr">
        <is>
          <t>dutadiwa@gmail.com</t>
        </is>
      </c>
      <c r="E85" t="inlineStr">
        <is>
          <t>https://lpjk.pu.go.id/search-badan-usaha-detail/b085Vmg4b3dndWY4NzJtQVAxR3lQQT09</t>
        </is>
      </c>
      <c r="F85" t="n">
        <v>1</v>
      </c>
      <c r="G85" t="inlineStr">
        <is>
          <t>BS001</t>
        </is>
      </c>
      <c r="H85" t="inlineStr">
        <is>
          <t>27 Januari 2016</t>
        </is>
      </c>
      <c r="I85" s="2" t="n">
        <v>46313</v>
      </c>
      <c r="J85" t="inlineStr">
        <is>
          <t>Disetujui</t>
        </is>
      </c>
      <c r="K85" t="n">
        <v>90</v>
      </c>
      <c r="L85" t="inlineStr">
        <is>
          <t>18 Oktober 2026</t>
        </is>
      </c>
      <c r="M85" t="inlineStr">
        <is>
          <t>Konstruksi Bangunan Sipil Jalan</t>
        </is>
      </c>
      <c r="N85" t="inlineStr">
        <is>
          <t>K</t>
        </is>
      </c>
      <c r="O85" t="inlineStr">
        <is>
          <t>20231005</t>
        </is>
      </c>
      <c r="P85" t="inlineStr">
        <is>
          <t>Banten</t>
        </is>
      </c>
      <c r="Q85" t="inlineStr"/>
    </row>
    <row r="86">
      <c r="A86" t="inlineStr">
        <is>
          <t>DUTAJAYA KONSTRUKSI</t>
        </is>
      </c>
      <c r="B86" t="inlineStr">
        <is>
          <t>Kab. Kutai Kartanegara</t>
        </is>
      </c>
      <c r="C86" t="inlineStr">
        <is>
          <t>082154316629</t>
        </is>
      </c>
      <c r="D86" t="inlineStr">
        <is>
          <t>cvdutajayakonstruksi@gmail.com</t>
        </is>
      </c>
      <c r="E86" t="inlineStr">
        <is>
          <t>https://lpjk.pu.go.id/search-badan-usaha-detail/VzBXemdxajNiaFRUVE9ySWdXd01qQT09</t>
        </is>
      </c>
      <c r="F86" t="n">
        <v>1</v>
      </c>
      <c r="G86" t="inlineStr">
        <is>
          <t>BS001</t>
        </is>
      </c>
      <c r="H86" t="inlineStr">
        <is>
          <t>1 September 2023</t>
        </is>
      </c>
      <c r="I86" s="2" t="n">
        <v>46313</v>
      </c>
      <c r="J86" t="inlineStr">
        <is>
          <t>Disetujui</t>
        </is>
      </c>
      <c r="K86" t="n">
        <v>90</v>
      </c>
      <c r="L86" t="inlineStr">
        <is>
          <t>18 Oktober 2026</t>
        </is>
      </c>
      <c r="M86" t="inlineStr">
        <is>
          <t>Konstruksi Bangunan Sipil Jalan</t>
        </is>
      </c>
      <c r="N86" t="inlineStr">
        <is>
          <t>K</t>
        </is>
      </c>
      <c r="O86" t="inlineStr">
        <is>
          <t>20231017</t>
        </is>
      </c>
      <c r="P86" t="inlineStr">
        <is>
          <t>Kalimantan Timur</t>
        </is>
      </c>
      <c r="Q86" t="inlineStr"/>
    </row>
    <row r="87">
      <c r="A87" t="inlineStr">
        <is>
          <t>EDI RANTI JAYA</t>
        </is>
      </c>
      <c r="B87" t="inlineStr">
        <is>
          <t>Kota Semarang</t>
        </is>
      </c>
      <c r="C87" t="inlineStr">
        <is>
          <t>085740797734</t>
        </is>
      </c>
      <c r="D87" t="inlineStr">
        <is>
          <t>ediranti18@gmail.com</t>
        </is>
      </c>
      <c r="E87" t="inlineStr">
        <is>
          <t>https://lpjk.pu.go.id/search-badan-usaha-detail/UEh3RWhqanVsZjl1c3ZhKzBzSnMxQT09</t>
        </is>
      </c>
      <c r="F87" t="n">
        <v>1</v>
      </c>
      <c r="G87" t="inlineStr">
        <is>
          <t>BS001</t>
        </is>
      </c>
      <c r="H87" t="inlineStr">
        <is>
          <t>4 Januari 2017</t>
        </is>
      </c>
      <c r="I87" s="2" t="n">
        <v>46313</v>
      </c>
      <c r="J87" t="inlineStr">
        <is>
          <t>Disetujui</t>
        </is>
      </c>
      <c r="K87" t="n">
        <v>90</v>
      </c>
      <c r="L87" t="inlineStr">
        <is>
          <t>18 Oktober 2026</t>
        </is>
      </c>
      <c r="M87" t="inlineStr">
        <is>
          <t>Konstruksi Bangunan Sipil Jalan</t>
        </is>
      </c>
      <c r="N87" t="inlineStr">
        <is>
          <t>K</t>
        </is>
      </c>
      <c r="O87" t="inlineStr">
        <is>
          <t>20230927</t>
        </is>
      </c>
      <c r="P87" t="inlineStr">
        <is>
          <t>Jawa Tengah</t>
        </is>
      </c>
      <c r="Q87" t="inlineStr"/>
    </row>
    <row r="88">
      <c r="A88" t="inlineStr">
        <is>
          <t>EKA WIJAYA SURYA</t>
        </is>
      </c>
      <c r="B88" t="inlineStr">
        <is>
          <t>Kab. Karawang</t>
        </is>
      </c>
      <c r="C88" t="inlineStr">
        <is>
          <t>081384788666</t>
        </is>
      </c>
      <c r="D88" t="inlineStr">
        <is>
          <t>ekawijayasuryacv@gmail.com</t>
        </is>
      </c>
      <c r="E88" t="inlineStr">
        <is>
          <t>https://lpjk.pu.go.id/search-badan-usaha-detail/NUdrNmd3cW9RRU1uamczUkxKV21LZz09</t>
        </is>
      </c>
      <c r="F88" t="n">
        <v>1</v>
      </c>
      <c r="G88" t="inlineStr">
        <is>
          <t>BG009</t>
        </is>
      </c>
      <c r="H88" t="inlineStr">
        <is>
          <t>26 Maret 2015</t>
        </is>
      </c>
      <c r="I88" s="2" t="n">
        <v>46313</v>
      </c>
      <c r="J88" t="inlineStr">
        <is>
          <t>Disetujui</t>
        </is>
      </c>
      <c r="K88" t="n">
        <v>90</v>
      </c>
      <c r="L88" t="inlineStr">
        <is>
          <t>18 Oktober 2026</t>
        </is>
      </c>
      <c r="M88" t="inlineStr">
        <is>
          <t>Konstruksi Gedung Lainnya</t>
        </is>
      </c>
      <c r="N88" t="inlineStr">
        <is>
          <t>K</t>
        </is>
      </c>
      <c r="O88" t="inlineStr">
        <is>
          <t>20231019</t>
        </is>
      </c>
      <c r="P88" t="inlineStr">
        <is>
          <t>Jawa Barat</t>
        </is>
      </c>
      <c r="Q88" t="inlineStr"/>
    </row>
    <row r="89">
      <c r="A89" t="inlineStr">
        <is>
          <t>ELSA NUREGA</t>
        </is>
      </c>
      <c r="B89" t="inlineStr">
        <is>
          <t>Kab. Gunungkidul</t>
        </is>
      </c>
      <c r="C89" t="inlineStr">
        <is>
          <t>0882008379708</t>
        </is>
      </c>
      <c r="D89" t="inlineStr">
        <is>
          <t>enurega@yahoo.com</t>
        </is>
      </c>
      <c r="E89" t="inlineStr">
        <is>
          <t>https://lpjk.pu.go.id/search-badan-usaha-detail/eGxiYVc0M0xFMEJEWVhpNnpRcjg1QT09</t>
        </is>
      </c>
      <c r="F89" t="n">
        <v>1</v>
      </c>
      <c r="G89" t="inlineStr">
        <is>
          <t>PL003</t>
        </is>
      </c>
      <c r="H89" t="inlineStr">
        <is>
          <t>1 Mei 2007</t>
        </is>
      </c>
      <c r="I89" s="2" t="n">
        <v>46313</v>
      </c>
      <c r="J89" t="inlineStr">
        <is>
          <t>Disetujui</t>
        </is>
      </c>
      <c r="K89" t="n">
        <v>90</v>
      </c>
      <c r="L89" t="inlineStr">
        <is>
          <t>18 Oktober 2026</t>
        </is>
      </c>
      <c r="M89" t="inlineStr">
        <is>
          <t>Penyiapan Lahan Konstruksi</t>
        </is>
      </c>
      <c r="N89" t="inlineStr">
        <is>
          <t>Spesialis</t>
        </is>
      </c>
      <c r="O89" t="inlineStr">
        <is>
          <t>20220413</t>
        </is>
      </c>
      <c r="P89" t="inlineStr">
        <is>
          <t>DI Yogyakarta</t>
        </is>
      </c>
      <c r="Q89" t="inlineStr"/>
    </row>
    <row r="90">
      <c r="A90" t="inlineStr">
        <is>
          <t>ENERGI TRADA NUSANTARA</t>
        </is>
      </c>
      <c r="B90" t="inlineStr">
        <is>
          <t>Kota Adm. Jakarta Pusat</t>
        </is>
      </c>
      <c r="C90" t="inlineStr">
        <is>
          <t>02122394907</t>
        </is>
      </c>
      <c r="D90" t="inlineStr">
        <is>
          <t>info@energitrans.com</t>
        </is>
      </c>
      <c r="E90" t="inlineStr">
        <is>
          <t>https://lpjk.pu.go.id/search-badan-usaha-detail/K0dPUkhWUFJTL1RlZWxpM25kK1hLZz09</t>
        </is>
      </c>
      <c r="F90" t="n">
        <v>1</v>
      </c>
      <c r="G90" t="inlineStr">
        <is>
          <t>IN007</t>
        </is>
      </c>
      <c r="H90" t="inlineStr">
        <is>
          <t>18 September 2012</t>
        </is>
      </c>
      <c r="I90" s="2" t="n">
        <v>46313</v>
      </c>
      <c r="J90" t="inlineStr">
        <is>
          <t>Disetujui</t>
        </is>
      </c>
      <c r="K90" t="n">
        <v>90</v>
      </c>
      <c r="L90" t="inlineStr">
        <is>
          <t>18 Oktober 2026</t>
        </is>
      </c>
      <c r="M90" t="inlineStr">
        <is>
          <t>Instalasi Saluran Air (Plambing)</t>
        </is>
      </c>
      <c r="N90" t="inlineStr">
        <is>
          <t>Spesialis</t>
        </is>
      </c>
      <c r="O90" t="inlineStr">
        <is>
          <t>20231010</t>
        </is>
      </c>
      <c r="P90" t="inlineStr">
        <is>
          <t>DKI Jakarta</t>
        </is>
      </c>
      <c r="Q90" t="inlineStr"/>
    </row>
    <row r="91">
      <c r="A91" t="inlineStr">
        <is>
          <t>ENVICON EKATAMA</t>
        </is>
      </c>
      <c r="B91" t="inlineStr">
        <is>
          <t>Kab. Karawang</t>
        </is>
      </c>
      <c r="C91" t="inlineStr">
        <is>
          <t>081514873003</t>
        </is>
      </c>
      <c r="D91" t="inlineStr">
        <is>
          <t>ndrtemas@gmail.com</t>
        </is>
      </c>
      <c r="E91" t="inlineStr">
        <is>
          <t>https://lpjk.pu.go.id/search-badan-usaha-detail/Ly9NYTlVenhsR2c2ZThoNmZPUklTQT09</t>
        </is>
      </c>
      <c r="F91" t="n">
        <v>2</v>
      </c>
      <c r="G91" t="inlineStr">
        <is>
          <t>IN001, IN004</t>
        </is>
      </c>
      <c r="H91" t="inlineStr">
        <is>
          <t>16 November 1990</t>
        </is>
      </c>
      <c r="I91" s="2" t="n">
        <v>46313</v>
      </c>
      <c r="J91" t="inlineStr">
        <is>
          <t>Disetujui</t>
        </is>
      </c>
      <c r="K91" t="n">
        <v>90</v>
      </c>
      <c r="L91" t="inlineStr">
        <is>
          <t>18 Oktober 2026</t>
        </is>
      </c>
      <c r="M91" t="inlineStr">
        <is>
          <t>Instalasi Mekanikal, Instalasi Minyak dan Gas</t>
        </is>
      </c>
      <c r="N91" t="inlineStr">
        <is>
          <t>Spesialis</t>
        </is>
      </c>
      <c r="O91" t="inlineStr">
        <is>
          <t>20231017</t>
        </is>
      </c>
      <c r="P91" t="inlineStr">
        <is>
          <t>Jawa Barat</t>
        </is>
      </c>
      <c r="Q91" t="inlineStr"/>
    </row>
    <row r="92">
      <c r="A92" t="inlineStr">
        <is>
          <t>ESA SWASTIKA SEMESTA</t>
        </is>
      </c>
      <c r="B92" t="inlineStr">
        <is>
          <t>Kota Denpasar</t>
        </is>
      </c>
      <c r="C92" t="inlineStr">
        <is>
          <t>0361487886</t>
        </is>
      </c>
      <c r="D92" t="inlineStr">
        <is>
          <t>ariekaryawati@gmail.com</t>
        </is>
      </c>
      <c r="E92" t="inlineStr">
        <is>
          <t>https://lpjk.pu.go.id/search-badan-usaha-detail/Ym53c2lUaGdFU09DSVd5K2xUdmlRQT09</t>
        </is>
      </c>
      <c r="F92" t="n">
        <v>1</v>
      </c>
      <c r="G92" t="inlineStr">
        <is>
          <t>AR001</t>
        </is>
      </c>
      <c r="H92" t="inlineStr">
        <is>
          <t>31 Mei 2022</t>
        </is>
      </c>
      <c r="I92" s="2" t="n">
        <v>46313</v>
      </c>
      <c r="J92" t="inlineStr">
        <is>
          <t>Disetujui</t>
        </is>
      </c>
      <c r="K92" t="n">
        <v>90</v>
      </c>
      <c r="L92" t="inlineStr">
        <is>
          <t>18 Oktober 2026</t>
        </is>
      </c>
      <c r="M92" t="inlineStr">
        <is>
          <t>Jasa Arsitektural Bangunan Gedung Hunian dan Non Hunian</t>
        </is>
      </c>
      <c r="N92" t="inlineStr">
        <is>
          <t>K</t>
        </is>
      </c>
      <c r="O92" t="inlineStr">
        <is>
          <t>20231010</t>
        </is>
      </c>
      <c r="P92" t="inlineStr">
        <is>
          <t>Bali</t>
        </is>
      </c>
      <c r="Q92" t="inlineStr"/>
    </row>
    <row r="93">
      <c r="A93" t="inlineStr">
        <is>
          <t>GENTAJAYA AGUNGKARYA</t>
        </is>
      </c>
      <c r="B93" t="inlineStr">
        <is>
          <t>Kota Adm. Jakarta Barat</t>
        </is>
      </c>
      <c r="C93" t="inlineStr">
        <is>
          <t>0215657738</t>
        </is>
      </c>
      <c r="D93" t="inlineStr">
        <is>
          <t>gentajayaagungkarya1@gmail.com</t>
        </is>
      </c>
      <c r="E93" t="inlineStr">
        <is>
          <t>https://lpjk.pu.go.id/search-badan-usaha-detail/MWttcXI4Tml6QlRKNGpqd2pCd20vdz09</t>
        </is>
      </c>
      <c r="F93" t="n">
        <v>1</v>
      </c>
      <c r="G93" t="inlineStr">
        <is>
          <t>BG002</t>
        </is>
      </c>
      <c r="H93" t="inlineStr">
        <is>
          <t>30 Juni 1992</t>
        </is>
      </c>
      <c r="I93" s="2" t="n">
        <v>46313</v>
      </c>
      <c r="J93" t="inlineStr">
        <is>
          <t>Disetujui</t>
        </is>
      </c>
      <c r="K93" t="n">
        <v>90</v>
      </c>
      <c r="L93" t="inlineStr">
        <is>
          <t>18 Oktober 2026</t>
        </is>
      </c>
      <c r="M93" t="inlineStr">
        <is>
          <t>Konstruksi Gedung Perkantoran</t>
        </is>
      </c>
      <c r="N93" t="inlineStr">
        <is>
          <t>K</t>
        </is>
      </c>
      <c r="O93" t="inlineStr">
        <is>
          <t>20231016</t>
        </is>
      </c>
      <c r="P93" t="inlineStr">
        <is>
          <t>DKI Jakarta</t>
        </is>
      </c>
      <c r="Q93" t="inlineStr"/>
    </row>
    <row r="94">
      <c r="A94" t="inlineStr">
        <is>
          <t>GLOBAL KREASI DEVELOPMENT</t>
        </is>
      </c>
      <c r="B94" t="inlineStr">
        <is>
          <t>Kab. Jember</t>
        </is>
      </c>
      <c r="C94" t="inlineStr">
        <is>
          <t>082264522616</t>
        </is>
      </c>
      <c r="D94" t="inlineStr">
        <is>
          <t>globalkreasidevelopmentpt@gmail.com</t>
        </is>
      </c>
      <c r="E94" t="inlineStr">
        <is>
          <t>https://lpjk.pu.go.id/search-badan-usaha-detail/VGNPVkNYem9NR1lzWG8wSFVleEYxUT09</t>
        </is>
      </c>
      <c r="F94" t="n">
        <v>1</v>
      </c>
      <c r="G94" t="inlineStr">
        <is>
          <t>BS004</t>
        </is>
      </c>
      <c r="H94" t="inlineStr">
        <is>
          <t>3 April 2023</t>
        </is>
      </c>
      <c r="I94" s="2" t="n">
        <v>46313</v>
      </c>
      <c r="J94" t="inlineStr">
        <is>
          <t>Disetujui</t>
        </is>
      </c>
      <c r="K94" t="n">
        <v>90</v>
      </c>
      <c r="L94" t="inlineStr">
        <is>
          <t>18 Oktober 2026</t>
        </is>
      </c>
      <c r="M94" t="inlineStr">
        <is>
          <t>Konstruksi Jaringan Irigasi dan Drainase</t>
        </is>
      </c>
      <c r="N94" t="inlineStr">
        <is>
          <t>K</t>
        </is>
      </c>
      <c r="O94" t="inlineStr">
        <is>
          <t>20231009</t>
        </is>
      </c>
      <c r="P94" t="inlineStr">
        <is>
          <t>Jawa Timur</t>
        </is>
      </c>
      <c r="Q94" t="inlineStr"/>
    </row>
    <row r="95">
      <c r="A95" t="inlineStr">
        <is>
          <t>GRAHA FATTA</t>
        </is>
      </c>
      <c r="B95" t="inlineStr">
        <is>
          <t>Kota Adm. Jakarta Selatan</t>
        </is>
      </c>
      <c r="C95" t="inlineStr">
        <is>
          <t>0217291368</t>
        </is>
      </c>
      <c r="D95" t="inlineStr">
        <is>
          <t>oss.indomatralestari@gmail.com</t>
        </is>
      </c>
      <c r="E95" t="inlineStr">
        <is>
          <t>https://lpjk.pu.go.id/search-badan-usaha-detail/Z2dyRnhSQzlpaHlWS2ZQbGZyNjFLdz09</t>
        </is>
      </c>
      <c r="F95" t="n">
        <v>1</v>
      </c>
      <c r="G95" t="inlineStr">
        <is>
          <t>BG008</t>
        </is>
      </c>
      <c r="H95" t="inlineStr">
        <is>
          <t>15 September 1999</t>
        </is>
      </c>
      <c r="I95" s="2" t="n">
        <v>46313</v>
      </c>
      <c r="J95" t="inlineStr">
        <is>
          <t>Pencabutan</t>
        </is>
      </c>
      <c r="K95" t="n">
        <v>90</v>
      </c>
      <c r="L95" t="inlineStr">
        <is>
          <t>18 Oktober 2026</t>
        </is>
      </c>
      <c r="M95" t="inlineStr">
        <is>
          <t>Konstruksi Gedung Tempat Hiburan dan Olahraga</t>
        </is>
      </c>
      <c r="N95" t="inlineStr">
        <is>
          <t>K</t>
        </is>
      </c>
      <c r="O95" t="inlineStr">
        <is>
          <t>20231013</t>
        </is>
      </c>
      <c r="P95" t="inlineStr">
        <is>
          <t>DKI Jakarta</t>
        </is>
      </c>
      <c r="Q95" t="inlineStr"/>
    </row>
    <row r="96">
      <c r="A96" t="inlineStr">
        <is>
          <t>GRAHASINDO PRATAMA</t>
        </is>
      </c>
      <c r="B96" t="inlineStr">
        <is>
          <t>Kab. Bondowoso</t>
        </is>
      </c>
      <c r="C96" t="inlineStr">
        <is>
          <t>082228783413</t>
        </is>
      </c>
      <c r="D96" t="inlineStr">
        <is>
          <t>grahasindopratama@yahoo.com</t>
        </is>
      </c>
      <c r="E96" t="inlineStr">
        <is>
          <t>https://lpjk.pu.go.id/search-badan-usaha-detail/aEJkbFFlTXplQzBtN1VuZGhvbDNPQT09</t>
        </is>
      </c>
      <c r="F96" t="n">
        <v>1</v>
      </c>
      <c r="G96" t="inlineStr">
        <is>
          <t>BS005</t>
        </is>
      </c>
      <c r="H96" t="inlineStr">
        <is>
          <t>18 Oktober 2002</t>
        </is>
      </c>
      <c r="I96" s="2" t="n">
        <v>46313</v>
      </c>
      <c r="J96" t="inlineStr">
        <is>
          <t>Pencabutan</t>
        </is>
      </c>
      <c r="K96" t="n">
        <v>90</v>
      </c>
      <c r="L96" t="inlineStr">
        <is>
          <t>18 Oktober 2026</t>
        </is>
      </c>
      <c r="M96" t="inlineStr">
        <is>
          <t>Konstruksi Bangunan Sipil Pengolahan Air Bersih</t>
        </is>
      </c>
      <c r="N96" t="inlineStr">
        <is>
          <t>K</t>
        </is>
      </c>
      <c r="O96" t="inlineStr">
        <is>
          <t>20231017</t>
        </is>
      </c>
      <c r="P96" t="inlineStr">
        <is>
          <t>Jawa Timur</t>
        </is>
      </c>
      <c r="Q96" t="inlineStr"/>
    </row>
    <row r="97">
      <c r="A97" t="inlineStr">
        <is>
          <t>GRAND TIRTA TEKNIK</t>
        </is>
      </c>
      <c r="B97" t="inlineStr">
        <is>
          <t>Kab. Bantul</t>
        </is>
      </c>
      <c r="C97" t="inlineStr">
        <is>
          <t>081225247350</t>
        </is>
      </c>
      <c r="D97" t="inlineStr">
        <is>
          <t>gtt.teknik3@gmail.com</t>
        </is>
      </c>
      <c r="E97" t="inlineStr">
        <is>
          <t>https://lpjk.pu.go.id/search-badan-usaha-detail/VUJNM3lDOUo1cG9rNmhUeUExdWZtdz09</t>
        </is>
      </c>
      <c r="F97" t="n">
        <v>1</v>
      </c>
      <c r="G97" t="inlineStr">
        <is>
          <t>BG009</t>
        </is>
      </c>
      <c r="H97" t="inlineStr">
        <is>
          <t>6 Februari 2023</t>
        </is>
      </c>
      <c r="I97" s="2" t="n">
        <v>46313</v>
      </c>
      <c r="J97" t="inlineStr">
        <is>
          <t>Pencabutan</t>
        </is>
      </c>
      <c r="K97" t="n">
        <v>90</v>
      </c>
      <c r="L97" t="inlineStr">
        <is>
          <t>18 Oktober 2026</t>
        </is>
      </c>
      <c r="M97" t="inlineStr">
        <is>
          <t>Konstruksi Gedung Lainnya</t>
        </is>
      </c>
      <c r="N97" t="inlineStr">
        <is>
          <t>K</t>
        </is>
      </c>
      <c r="O97" t="inlineStr">
        <is>
          <t>20231019</t>
        </is>
      </c>
      <c r="P97" t="inlineStr">
        <is>
          <t>DI Yogyakarta</t>
        </is>
      </c>
      <c r="Q97" t="inlineStr"/>
    </row>
    <row r="98">
      <c r="A98" t="inlineStr">
        <is>
          <t>GUNA KARYA MANDIRI</t>
        </is>
      </c>
      <c r="B98" t="inlineStr">
        <is>
          <t>Kab. Gianyar</t>
        </is>
      </c>
      <c r="C98" t="inlineStr">
        <is>
          <t>081246893060</t>
        </is>
      </c>
      <c r="D98" t="inlineStr">
        <is>
          <t>cv.gunakaryamandiri22@gmail.com</t>
        </is>
      </c>
      <c r="E98" t="inlineStr">
        <is>
          <t>https://lpjk.pu.go.id/search-badan-usaha-detail/N2JYSjBSV3JZRnhBVU53S0dpR0VTQT09</t>
        </is>
      </c>
      <c r="F98" t="n">
        <v>1</v>
      </c>
      <c r="G98" t="inlineStr">
        <is>
          <t>BG006</t>
        </is>
      </c>
      <c r="H98" t="inlineStr">
        <is>
          <t>16 Agustus 2007</t>
        </is>
      </c>
      <c r="I98" s="2" t="n">
        <v>46313</v>
      </c>
      <c r="J98" t="inlineStr">
        <is>
          <t>Disetujui</t>
        </is>
      </c>
      <c r="K98" t="n">
        <v>90</v>
      </c>
      <c r="L98" t="inlineStr">
        <is>
          <t>18 Oktober 2026</t>
        </is>
      </c>
      <c r="M98" t="inlineStr">
        <is>
          <t>Konstruksi Gedung Pendidikan</t>
        </is>
      </c>
      <c r="N98" t="inlineStr">
        <is>
          <t>K</t>
        </is>
      </c>
      <c r="O98" t="inlineStr">
        <is>
          <t>20231007</t>
        </is>
      </c>
      <c r="P98" t="inlineStr">
        <is>
          <t>Bali</t>
        </is>
      </c>
      <c r="Q98" t="inlineStr"/>
    </row>
    <row r="99">
      <c r="A99" t="inlineStr">
        <is>
          <t>HARAPAN KITA JAYA PERKASA</t>
        </is>
      </c>
      <c r="B99" t="inlineStr">
        <is>
          <t>Kota Surabaya</t>
        </is>
      </c>
      <c r="C99" t="inlineStr">
        <is>
          <t>0317388806</t>
        </is>
      </c>
      <c r="D99" t="inlineStr">
        <is>
          <t>harapankitajp@yahoo.com</t>
        </is>
      </c>
      <c r="E99" t="inlineStr">
        <is>
          <t>https://lpjk.pu.go.id/search-badan-usaha-detail/T01hZURLVWpYdzFVWlJ1Snovd0szZz09</t>
        </is>
      </c>
      <c r="F99" t="n">
        <v>2</v>
      </c>
      <c r="G99" t="inlineStr">
        <is>
          <t>BG002, BG007</t>
        </is>
      </c>
      <c r="H99" t="inlineStr">
        <is>
          <t>29 Oktober 2013</t>
        </is>
      </c>
      <c r="I99" s="2" t="n">
        <v>46313</v>
      </c>
      <c r="J99" t="inlineStr">
        <is>
          <t>Disetujui</t>
        </is>
      </c>
      <c r="K99" t="n">
        <v>90</v>
      </c>
      <c r="L99" t="inlineStr">
        <is>
          <t>18 Oktober 2026</t>
        </is>
      </c>
      <c r="M99" t="inlineStr">
        <is>
          <t>Konstruksi Gedung Penginapan, Konstruksi Gedung Perkantoran</t>
        </is>
      </c>
      <c r="N99" t="inlineStr">
        <is>
          <t>K</t>
        </is>
      </c>
      <c r="O99" t="inlineStr">
        <is>
          <t>20231019</t>
        </is>
      </c>
      <c r="P99" t="inlineStr">
        <is>
          <t>Jawa Timur</t>
        </is>
      </c>
      <c r="Q99" t="inlineStr"/>
    </row>
    <row r="100">
      <c r="A100" t="inlineStr">
        <is>
          <t>HARMONI BUMI NUSANTARA</t>
        </is>
      </c>
      <c r="B100" t="inlineStr">
        <is>
          <t>Kota Tangerang Selatan</t>
        </is>
      </c>
      <c r="C100" t="inlineStr">
        <is>
          <t>081284581011</t>
        </is>
      </c>
      <c r="D100" t="inlineStr">
        <is>
          <t>harmonibuminusantara@gmail.com</t>
        </is>
      </c>
      <c r="E100" t="inlineStr">
        <is>
          <t>https://lpjk.pu.go.id/search-badan-usaha-detail/cGdlMWR2UzdzbW93MTdhbHowdkl5UT09</t>
        </is>
      </c>
      <c r="F100" t="n">
        <v>1</v>
      </c>
      <c r="G100" t="inlineStr">
        <is>
          <t>BS001</t>
        </is>
      </c>
      <c r="H100" t="inlineStr">
        <is>
          <t>30 Maret 2020</t>
        </is>
      </c>
      <c r="I100" s="2" t="n">
        <v>46313</v>
      </c>
      <c r="J100" t="inlineStr">
        <is>
          <t>Pencabutan</t>
        </is>
      </c>
      <c r="K100" t="n">
        <v>90</v>
      </c>
      <c r="L100" t="inlineStr">
        <is>
          <t>18 Oktober 2026</t>
        </is>
      </c>
      <c r="M100" t="inlineStr">
        <is>
          <t>Konstruksi Bangunan Sipil Jalan</t>
        </is>
      </c>
      <c r="N100" t="inlineStr">
        <is>
          <t>K</t>
        </is>
      </c>
      <c r="O100" t="inlineStr">
        <is>
          <t>20231019</t>
        </is>
      </c>
      <c r="P100" t="inlineStr">
        <is>
          <t>Banten</t>
        </is>
      </c>
      <c r="Q100" t="inlineStr"/>
    </row>
    <row r="101">
      <c r="A101" t="inlineStr">
        <is>
          <t>HIKARI TEKNOLOGI INDONESIA</t>
        </is>
      </c>
      <c r="B101" t="inlineStr">
        <is>
          <t>Kab. Gresik</t>
        </is>
      </c>
      <c r="C101" t="inlineStr">
        <is>
          <t>081131141150</t>
        </is>
      </c>
      <c r="D101" t="inlineStr">
        <is>
          <t>hrd@pt-hikari.com</t>
        </is>
      </c>
      <c r="E101" t="inlineStr">
        <is>
          <t>https://lpjk.pu.go.id/search-badan-usaha-detail/WFpENFRXZFphaWJoTWtOa2ZRUm5VQT09</t>
        </is>
      </c>
      <c r="F101" t="n">
        <v>1</v>
      </c>
      <c r="G101" t="inlineStr">
        <is>
          <t>BG009</t>
        </is>
      </c>
      <c r="H101" t="inlineStr">
        <is>
          <t>6 November 2014</t>
        </is>
      </c>
      <c r="I101" s="2" t="n">
        <v>46313</v>
      </c>
      <c r="J101" t="inlineStr">
        <is>
          <t>Disetujui</t>
        </is>
      </c>
      <c r="K101" t="n">
        <v>90</v>
      </c>
      <c r="L101" t="inlineStr">
        <is>
          <t>18 Oktober 2026</t>
        </is>
      </c>
      <c r="M101" t="inlineStr">
        <is>
          <t>Konstruksi Gedung Lainnya</t>
        </is>
      </c>
      <c r="N101" t="inlineStr">
        <is>
          <t>M</t>
        </is>
      </c>
      <c r="O101" t="inlineStr">
        <is>
          <t>20231006</t>
        </is>
      </c>
      <c r="P101" t="inlineStr">
        <is>
          <t>Jawa Timur</t>
        </is>
      </c>
      <c r="Q101" t="inlineStr"/>
    </row>
    <row r="102">
      <c r="A102" t="inlineStr">
        <is>
          <t>IKHLAS</t>
        </is>
      </c>
      <c r="B102" t="inlineStr">
        <is>
          <t>Kota Langsa</t>
        </is>
      </c>
      <c r="C102" t="inlineStr">
        <is>
          <t>082165348683</t>
        </is>
      </c>
      <c r="D102" t="inlineStr">
        <is>
          <t>Ikhlas.cv123@gmail.com</t>
        </is>
      </c>
      <c r="E102" t="inlineStr">
        <is>
          <t>https://lpjk.pu.go.id/search-badan-usaha-detail/UjcvVDlpVzBNR3BWWXlFM0IzeDBuQT09</t>
        </is>
      </c>
      <c r="F102" t="n">
        <v>1</v>
      </c>
      <c r="G102" t="inlineStr">
        <is>
          <t>PL005</t>
        </is>
      </c>
      <c r="H102" t="inlineStr">
        <is>
          <t>30 Mei 2014</t>
        </is>
      </c>
      <c r="I102" s="2" t="n">
        <v>46313</v>
      </c>
      <c r="J102" t="inlineStr">
        <is>
          <t>Disetujui</t>
        </is>
      </c>
      <c r="K102" t="n">
        <v>90</v>
      </c>
      <c r="L102" t="inlineStr">
        <is>
          <t>18 Oktober 2026</t>
        </is>
      </c>
      <c r="M102" t="inlineStr">
        <is>
          <t>Pembuatan/Pengeboran Sumur Air Tanah</t>
        </is>
      </c>
      <c r="N102" t="inlineStr">
        <is>
          <t>Spesialis</t>
        </is>
      </c>
      <c r="O102" t="inlineStr">
        <is>
          <t>20231011</t>
        </is>
      </c>
      <c r="P102" t="inlineStr">
        <is>
          <t>Aceh</t>
        </is>
      </c>
      <c r="Q102" t="inlineStr"/>
    </row>
    <row r="103">
      <c r="A103" t="inlineStr">
        <is>
          <t>INDOKACA MITRA FORTUNA</t>
        </is>
      </c>
      <c r="B103" t="inlineStr">
        <is>
          <t>Kota Batam</t>
        </is>
      </c>
      <c r="C103" t="inlineStr">
        <is>
          <t>0778455582</t>
        </is>
      </c>
      <c r="D103" t="inlineStr">
        <is>
          <t>indokaca.batam@gmail.com</t>
        </is>
      </c>
      <c r="E103" t="inlineStr">
        <is>
          <t>https://lpjk.pu.go.id/search-badan-usaha-detail/VjJ4NFkyenVIdVdYcnpqNmEzbjFmUT09</t>
        </is>
      </c>
      <c r="F103" t="n">
        <v>1</v>
      </c>
      <c r="G103" t="inlineStr">
        <is>
          <t>BG003</t>
        </is>
      </c>
      <c r="H103" t="inlineStr">
        <is>
          <t>3 Mei 2013</t>
        </is>
      </c>
      <c r="I103" s="2" t="n">
        <v>46313</v>
      </c>
      <c r="J103" t="inlineStr">
        <is>
          <t>Disetujui</t>
        </is>
      </c>
      <c r="K103" t="n">
        <v>90</v>
      </c>
      <c r="L103" t="inlineStr">
        <is>
          <t>18 Oktober 2026</t>
        </is>
      </c>
      <c r="M103" t="inlineStr">
        <is>
          <t>Konstruksi Gedung Industri</t>
        </is>
      </c>
      <c r="N103" t="inlineStr">
        <is>
          <t>K</t>
        </is>
      </c>
      <c r="O103" t="inlineStr">
        <is>
          <t>20231016</t>
        </is>
      </c>
      <c r="P103" t="inlineStr">
        <is>
          <t>Kepulauan Riau</t>
        </is>
      </c>
      <c r="Q103" t="inlineStr"/>
    </row>
    <row r="104">
      <c r="A104" t="inlineStr">
        <is>
          <t>JASA</t>
        </is>
      </c>
      <c r="B104" t="inlineStr">
        <is>
          <t>Kab. Grobogan</t>
        </is>
      </c>
      <c r="C104" t="inlineStr">
        <is>
          <t>081390660517</t>
        </is>
      </c>
      <c r="D104" t="inlineStr">
        <is>
          <t>cv.jasa@yahoo.com</t>
        </is>
      </c>
      <c r="E104" t="inlineStr">
        <is>
          <t>https://lpjk.pu.go.id/search-badan-usaha-detail/ZWVyV2U5NE84K1czVWZ3bmRMdk1IZz09</t>
        </is>
      </c>
      <c r="F104" t="n">
        <v>4</v>
      </c>
      <c r="G104" t="inlineStr">
        <is>
          <t>BG002, BG006, BS001, BS010</t>
        </is>
      </c>
      <c r="H104" t="inlineStr">
        <is>
          <t>17 Oktober 2001</t>
        </is>
      </c>
      <c r="I104" s="2" t="n">
        <v>46313</v>
      </c>
      <c r="J104" t="inlineStr">
        <is>
          <t>Disetujui</t>
        </is>
      </c>
      <c r="K104" t="n">
        <v>90</v>
      </c>
      <c r="L104" t="inlineStr">
        <is>
          <t>18 Oktober 2026</t>
        </is>
      </c>
      <c r="M104" t="inlineStr">
        <is>
          <t>Konstruksi Bangunan Prasarana Sumber Daya Air, Konstruksi Bangunan Sipil Jalan, Konstruksi Gedung Pendidikan, Konstruksi Gedung Perkantoran</t>
        </is>
      </c>
      <c r="N104" t="inlineStr">
        <is>
          <t>K</t>
        </is>
      </c>
      <c r="O104" t="inlineStr">
        <is>
          <t>20230611, 20231017</t>
        </is>
      </c>
      <c r="P104" t="inlineStr">
        <is>
          <t>Jawa Tengah</t>
        </is>
      </c>
      <c r="Q104" t="inlineStr"/>
    </row>
    <row r="105">
      <c r="A105" t="inlineStr">
        <is>
          <t>JASA ARTIFICIA KONSULTAN</t>
        </is>
      </c>
      <c r="B105" t="inlineStr">
        <is>
          <t>Kab. Tanah Bumbu</t>
        </is>
      </c>
      <c r="C105" t="inlineStr">
        <is>
          <t>082152865803</t>
        </is>
      </c>
      <c r="D105" t="inlineStr">
        <is>
          <t>cvjasaartificiakonsultan@gmail.com</t>
        </is>
      </c>
      <c r="E105" t="inlineStr">
        <is>
          <t>https://lpjk.pu.go.id/search-badan-usaha-detail/Nk5maGR5d090SWZSc2xUaXNESVM5Zz09</t>
        </is>
      </c>
      <c r="F105" t="n">
        <v>3</v>
      </c>
      <c r="G105" t="inlineStr">
        <is>
          <t>RK001, RK002, RK003</t>
        </is>
      </c>
      <c r="H105" t="inlineStr">
        <is>
          <t>4 September 2023</t>
        </is>
      </c>
      <c r="I105" s="2" t="n">
        <v>46313</v>
      </c>
      <c r="J105" t="inlineStr">
        <is>
          <t>Disetujui</t>
        </is>
      </c>
      <c r="K105" t="n">
        <v>90</v>
      </c>
      <c r="L105" t="inlineStr">
        <is>
          <t>18 Oktober 2026</t>
        </is>
      </c>
      <c r="M105" t="inlineStr">
        <is>
          <t>Jasa Rekayasa Konstruksi Bangunan Gedung Hunian dan Non Hunian, Jasa Rekayasa Pekerjaan Teknik Sipil Sumber Daya Air, Jasa Rekayasa Pekerjaan Teknik Sipil Transportasi</t>
        </is>
      </c>
      <c r="N105" t="inlineStr">
        <is>
          <t>K</t>
        </is>
      </c>
      <c r="O105" t="inlineStr">
        <is>
          <t>20230929</t>
        </is>
      </c>
      <c r="P105" t="inlineStr">
        <is>
          <t>Kalimantan Selatan</t>
        </is>
      </c>
      <c r="Q105" t="inlineStr"/>
    </row>
    <row r="106">
      <c r="A106" t="inlineStr">
        <is>
          <t>JAYA UTAMA CILEGON</t>
        </is>
      </c>
      <c r="B106" t="inlineStr">
        <is>
          <t>Kota Cilegon</t>
        </is>
      </c>
      <c r="C106" t="inlineStr">
        <is>
          <t>081906445322</t>
        </is>
      </c>
      <c r="D106" t="inlineStr">
        <is>
          <t>jayautamacilegon@gmail.com</t>
        </is>
      </c>
      <c r="E106" t="inlineStr">
        <is>
          <t>https://lpjk.pu.go.id/search-badan-usaha-detail/eDhsS3gzbE8vZnF1ay96N3B1MTRuZz09</t>
        </is>
      </c>
      <c r="F106" t="n">
        <v>1</v>
      </c>
      <c r="G106" t="inlineStr">
        <is>
          <t>BG009</t>
        </is>
      </c>
      <c r="H106" t="inlineStr">
        <is>
          <t>18 Juli 2019</t>
        </is>
      </c>
      <c r="I106" s="2" t="n">
        <v>46313</v>
      </c>
      <c r="J106" t="inlineStr">
        <is>
          <t>Pencabutan</t>
        </is>
      </c>
      <c r="K106" t="n">
        <v>90</v>
      </c>
      <c r="L106" t="inlineStr">
        <is>
          <t>18 Oktober 2026</t>
        </is>
      </c>
      <c r="M106" t="inlineStr">
        <is>
          <t>Konstruksi Gedung Lainnya</t>
        </is>
      </c>
      <c r="N106" t="inlineStr">
        <is>
          <t>K</t>
        </is>
      </c>
      <c r="O106" t="inlineStr">
        <is>
          <t>20231018</t>
        </is>
      </c>
      <c r="P106" t="inlineStr">
        <is>
          <t>Banten</t>
        </is>
      </c>
      <c r="Q106" t="inlineStr"/>
    </row>
    <row r="107">
      <c r="A107" t="inlineStr">
        <is>
          <t>KANCA WALUYA INDONESIA</t>
        </is>
      </c>
      <c r="B107" t="inlineStr">
        <is>
          <t>Kab. Bandung Barat</t>
        </is>
      </c>
      <c r="C107" t="inlineStr">
        <is>
          <t>081395739252</t>
        </is>
      </c>
      <c r="D107" t="inlineStr">
        <is>
          <t>pt.kancawaluyaindonesia@hotmail.com</t>
        </is>
      </c>
      <c r="E107" t="inlineStr">
        <is>
          <t>https://lpjk.pu.go.id/search-badan-usaha-detail/VVJlVitwSE1lWWRLY0s4anUrTVd1Zz09</t>
        </is>
      </c>
      <c r="F107" t="n">
        <v>2</v>
      </c>
      <c r="G107" t="inlineStr">
        <is>
          <t>BG001, BS001</t>
        </is>
      </c>
      <c r="H107" t="inlineStr">
        <is>
          <t>10 April 2014</t>
        </is>
      </c>
      <c r="I107" s="2" t="n">
        <v>46313</v>
      </c>
      <c r="J107" t="inlineStr">
        <is>
          <t>Disetujui</t>
        </is>
      </c>
      <c r="K107" t="n">
        <v>90</v>
      </c>
      <c r="L107" t="inlineStr">
        <is>
          <t>18 Oktober 2026</t>
        </is>
      </c>
      <c r="M107" t="inlineStr">
        <is>
          <t>Konstruksi Bangunan Sipil Jalan, Konstruksi Gedung Hunian</t>
        </is>
      </c>
      <c r="N107" t="inlineStr">
        <is>
          <t>K</t>
        </is>
      </c>
      <c r="O107" t="inlineStr">
        <is>
          <t>20231016</t>
        </is>
      </c>
      <c r="P107" t="inlineStr">
        <is>
          <t>Jawa Barat</t>
        </is>
      </c>
      <c r="Q107" t="inlineStr"/>
    </row>
    <row r="108">
      <c r="A108" t="inlineStr">
        <is>
          <t>KARTA JAYA ABADI</t>
        </is>
      </c>
      <c r="B108" t="inlineStr">
        <is>
          <t>Kota Bandar Lampung</t>
        </is>
      </c>
      <c r="C108" t="inlineStr">
        <is>
          <t>085357266666</t>
        </is>
      </c>
      <c r="D108" t="inlineStr">
        <is>
          <t>kartajayaabadi.cv@yahoo.com</t>
        </is>
      </c>
      <c r="E108" t="inlineStr">
        <is>
          <t>https://lpjk.pu.go.id/search-badan-usaha-detail/RndEWlpWMm10eGJXN1lXYTFkMkkxUT09</t>
        </is>
      </c>
      <c r="F108" t="n">
        <v>2</v>
      </c>
      <c r="G108" t="inlineStr">
        <is>
          <t>BG005, BG006</t>
        </is>
      </c>
      <c r="H108" t="inlineStr">
        <is>
          <t>21 November 2016</t>
        </is>
      </c>
      <c r="I108" s="2" t="n">
        <v>46313</v>
      </c>
      <c r="J108" t="inlineStr">
        <is>
          <t>Disetujui</t>
        </is>
      </c>
      <c r="K108" t="n">
        <v>90</v>
      </c>
      <c r="L108" t="inlineStr">
        <is>
          <t>18 Oktober 2026</t>
        </is>
      </c>
      <c r="M108" t="inlineStr">
        <is>
          <t>Konstruksi Gedung Kesehatan, Konstruksi Gedung Pendidikan</t>
        </is>
      </c>
      <c r="N108" t="inlineStr">
        <is>
          <t>K</t>
        </is>
      </c>
      <c r="O108" t="inlineStr">
        <is>
          <t>20231016</t>
        </is>
      </c>
      <c r="P108" t="inlineStr">
        <is>
          <t>Lampung</t>
        </is>
      </c>
      <c r="Q108" t="inlineStr"/>
    </row>
    <row r="109">
      <c r="A109" t="inlineStr">
        <is>
          <t>KARTIKA RAHAYU</t>
        </is>
      </c>
      <c r="B109" t="inlineStr">
        <is>
          <t>Kab. Kubu Raya</t>
        </is>
      </c>
      <c r="C109" t="inlineStr">
        <is>
          <t>08125773622</t>
        </is>
      </c>
      <c r="D109" t="inlineStr">
        <is>
          <t>cvkartikarahayu@gmail.com</t>
        </is>
      </c>
      <c r="E109" t="inlineStr">
        <is>
          <t>https://lpjk.pu.go.id/search-badan-usaha-detail/VjkxRm5qY0wzL2hMSGQ5c1VIc0d0QT09</t>
        </is>
      </c>
      <c r="F109" t="n">
        <v>3</v>
      </c>
      <c r="G109" t="inlineStr">
        <is>
          <t>BG005, BS001, BS005</t>
        </is>
      </c>
      <c r="H109" t="inlineStr">
        <is>
          <t>5 November 2003</t>
        </is>
      </c>
      <c r="I109" s="2" t="n">
        <v>46313</v>
      </c>
      <c r="J109" t="inlineStr">
        <is>
          <t>Disetujui, Pencabutan</t>
        </is>
      </c>
      <c r="K109" t="n">
        <v>90</v>
      </c>
      <c r="L109" t="inlineStr">
        <is>
          <t>18 Oktober 2026</t>
        </is>
      </c>
      <c r="M109" t="inlineStr">
        <is>
          <t>Konstruksi Bangunan Sipil Jalan, Konstruksi Bangunan Sipil Pengolahan Air Bersih, Konstruksi Gedung Kesehatan</t>
        </is>
      </c>
      <c r="N109" t="inlineStr">
        <is>
          <t>K</t>
        </is>
      </c>
      <c r="O109" t="inlineStr">
        <is>
          <t>20231016</t>
        </is>
      </c>
      <c r="P109" t="inlineStr">
        <is>
          <t>Kalimantan Barat</t>
        </is>
      </c>
      <c r="Q109" t="inlineStr"/>
    </row>
    <row r="110">
      <c r="A110" t="inlineStr">
        <is>
          <t>KARUNIA LAND</t>
        </is>
      </c>
      <c r="B110" t="inlineStr">
        <is>
          <t>Kab. Sidoarjo</t>
        </is>
      </c>
      <c r="C110" t="inlineStr">
        <is>
          <t>0318674460</t>
        </is>
      </c>
      <c r="D110" t="inlineStr">
        <is>
          <t>karunialandlegal@gmail.com</t>
        </is>
      </c>
      <c r="E110" t="inlineStr">
        <is>
          <t>https://lpjk.pu.go.id/search-badan-usaha-detail/WGpxTXlBdjFlcktxZ1pxYTJTTzhIQT09</t>
        </is>
      </c>
      <c r="F110" t="n">
        <v>1</v>
      </c>
      <c r="G110" t="inlineStr">
        <is>
          <t>BG001</t>
        </is>
      </c>
      <c r="H110" t="inlineStr">
        <is>
          <t>18 Agustus 2021</t>
        </is>
      </c>
      <c r="I110" s="2" t="n">
        <v>46313</v>
      </c>
      <c r="J110" t="inlineStr">
        <is>
          <t>Disetujui</t>
        </is>
      </c>
      <c r="K110" t="n">
        <v>90</v>
      </c>
      <c r="L110" t="inlineStr">
        <is>
          <t>18 Oktober 2026</t>
        </is>
      </c>
      <c r="M110" t="inlineStr">
        <is>
          <t>Konstruksi Gedung Hunian</t>
        </is>
      </c>
      <c r="N110" t="inlineStr">
        <is>
          <t>K</t>
        </is>
      </c>
      <c r="O110" t="inlineStr">
        <is>
          <t>20231012</t>
        </is>
      </c>
      <c r="P110" t="inlineStr">
        <is>
          <t>Jawa Timur</t>
        </is>
      </c>
      <c r="Q110" t="inlineStr"/>
    </row>
    <row r="111">
      <c r="A111" t="inlineStr">
        <is>
          <t>KARYA BERSAUDARA</t>
        </is>
      </c>
      <c r="B111" t="inlineStr">
        <is>
          <t>Kab. Kolaka Timur</t>
        </is>
      </c>
      <c r="C111" t="inlineStr">
        <is>
          <t>085299343310</t>
        </is>
      </c>
      <c r="D111" t="inlineStr">
        <is>
          <t>karyabersaudara3@gmail.com</t>
        </is>
      </c>
      <c r="E111" t="inlineStr">
        <is>
          <t>https://lpjk.pu.go.id/search-badan-usaha-detail/VXJIdEFiTmlwK0k1Yk9iMDVKUmZ4dz09</t>
        </is>
      </c>
      <c r="F111" t="n">
        <v>1</v>
      </c>
      <c r="G111" t="inlineStr">
        <is>
          <t>BG008</t>
        </is>
      </c>
      <c r="H111" t="inlineStr">
        <is>
          <t>1 Januari 2018</t>
        </is>
      </c>
      <c r="I111" s="2" t="n">
        <v>46313</v>
      </c>
      <c r="J111" t="inlineStr">
        <is>
          <t>Disetujui</t>
        </is>
      </c>
      <c r="K111" t="n">
        <v>90</v>
      </c>
      <c r="L111" t="inlineStr">
        <is>
          <t>18 Oktober 2026</t>
        </is>
      </c>
      <c r="M111" t="inlineStr">
        <is>
          <t>Konstruksi Gedung Tempat Hiburan dan Olahraga</t>
        </is>
      </c>
      <c r="N111" t="inlineStr">
        <is>
          <t>K</t>
        </is>
      </c>
      <c r="O111" t="inlineStr">
        <is>
          <t>20231014</t>
        </is>
      </c>
      <c r="P111" t="inlineStr">
        <is>
          <t>Sulawesi Tenggara</t>
        </is>
      </c>
      <c r="Q111" t="inlineStr"/>
    </row>
    <row r="112">
      <c r="A112" t="inlineStr">
        <is>
          <t>KARYA MUKTI</t>
        </is>
      </c>
      <c r="B112" t="inlineStr">
        <is>
          <t>Kab. Bojonegoro</t>
        </is>
      </c>
      <c r="C112" t="inlineStr">
        <is>
          <t>082233729676</t>
        </is>
      </c>
      <c r="D112" t="inlineStr">
        <is>
          <t>karya_mukticv@yahoo.co.id</t>
        </is>
      </c>
      <c r="E112" t="inlineStr">
        <is>
          <t>https://lpjk.pu.go.id/search-badan-usaha-detail/SFVEdkVrYURScFd1ZXdQQzZiY2Mrdz09</t>
        </is>
      </c>
      <c r="F112" t="n">
        <v>1</v>
      </c>
      <c r="G112" t="inlineStr">
        <is>
          <t>BS001</t>
        </is>
      </c>
      <c r="H112" t="inlineStr">
        <is>
          <t>21 November 2012</t>
        </is>
      </c>
      <c r="I112" s="2" t="n">
        <v>46313</v>
      </c>
      <c r="J112" t="inlineStr">
        <is>
          <t>Disetujui</t>
        </is>
      </c>
      <c r="K112" t="n">
        <v>90</v>
      </c>
      <c r="L112" t="inlineStr">
        <is>
          <t>18 Oktober 2026</t>
        </is>
      </c>
      <c r="M112" t="inlineStr">
        <is>
          <t>Konstruksi Bangunan Sipil Jalan</t>
        </is>
      </c>
      <c r="N112" t="inlineStr">
        <is>
          <t>K</t>
        </is>
      </c>
      <c r="O112" t="inlineStr">
        <is>
          <t>20231019</t>
        </is>
      </c>
      <c r="P112" t="inlineStr">
        <is>
          <t>Jawa Timur</t>
        </is>
      </c>
      <c r="Q112" t="inlineStr"/>
    </row>
    <row r="113">
      <c r="A113" t="inlineStr">
        <is>
          <t>KHARISMAWIRA SURYAINTI</t>
        </is>
      </c>
      <c r="B113" t="inlineStr">
        <is>
          <t>Kota Adm. Jakarta Utara</t>
        </is>
      </c>
      <c r="C113" t="inlineStr">
        <is>
          <t>02145850709</t>
        </is>
      </c>
      <c r="D113" t="inlineStr">
        <is>
          <t>kharismawirasuryainti@gmail.com</t>
        </is>
      </c>
      <c r="E113" t="inlineStr">
        <is>
          <t>https://lpjk.pu.go.id/search-badan-usaha-detail/cWtLZ2k2NmZkcEFmR1h3WCtaWUM0dz09</t>
        </is>
      </c>
      <c r="F113" t="n">
        <v>2</v>
      </c>
      <c r="G113" t="inlineStr">
        <is>
          <t>BG004</t>
        </is>
      </c>
      <c r="H113" t="inlineStr">
        <is>
          <t>22 Desember 1990</t>
        </is>
      </c>
      <c r="I113" s="2" t="n">
        <v>46313</v>
      </c>
      <c r="J113" t="inlineStr">
        <is>
          <t>Disetujui</t>
        </is>
      </c>
      <c r="K113" t="n">
        <v>90</v>
      </c>
      <c r="L113" t="inlineStr">
        <is>
          <t>18 Oktober 2026</t>
        </is>
      </c>
      <c r="M113" t="inlineStr">
        <is>
          <t>Konstruksi Gedung Perbelanjaan</t>
        </is>
      </c>
      <c r="N113" t="inlineStr">
        <is>
          <t>K</t>
        </is>
      </c>
      <c r="O113" t="inlineStr">
        <is>
          <t>20230915</t>
        </is>
      </c>
      <c r="P113" t="inlineStr">
        <is>
          <t>DKI Jakarta</t>
        </is>
      </c>
      <c r="Q113" t="inlineStr"/>
    </row>
    <row r="114">
      <c r="A114" t="inlineStr">
        <is>
          <t>KIARA BERKAH MULIA</t>
        </is>
      </c>
      <c r="B114" t="inlineStr">
        <is>
          <t>Kab. Bandung</t>
        </is>
      </c>
      <c r="C114" t="inlineStr">
        <is>
          <t>085624324123</t>
        </is>
      </c>
      <c r="D114" t="inlineStr">
        <is>
          <t>kiaraberkahmulia@gmail.com</t>
        </is>
      </c>
      <c r="E114" t="inlineStr">
        <is>
          <t>https://lpjk.pu.go.id/search-badan-usaha-detail/OW0wQTAzK0xSOUJ1RTh4akNuakdjZz09</t>
        </is>
      </c>
      <c r="F114" t="n">
        <v>1</v>
      </c>
      <c r="G114" t="inlineStr">
        <is>
          <t>BS001</t>
        </is>
      </c>
      <c r="H114" t="inlineStr">
        <is>
          <t>29 Juni 2018</t>
        </is>
      </c>
      <c r="I114" s="2" t="n">
        <v>46313</v>
      </c>
      <c r="J114" t="inlineStr">
        <is>
          <t>Pencabutan</t>
        </is>
      </c>
      <c r="K114" t="n">
        <v>90</v>
      </c>
      <c r="L114" t="inlineStr">
        <is>
          <t>18 Oktober 2026</t>
        </is>
      </c>
      <c r="M114" t="inlineStr">
        <is>
          <t>Konstruksi Bangunan Sipil Jalan</t>
        </is>
      </c>
      <c r="N114" t="inlineStr">
        <is>
          <t>K</t>
        </is>
      </c>
      <c r="O114" t="inlineStr">
        <is>
          <t>20230824</t>
        </is>
      </c>
      <c r="P114" t="inlineStr">
        <is>
          <t>Jawa Barat</t>
        </is>
      </c>
      <c r="Q114" t="inlineStr"/>
    </row>
    <row r="115">
      <c r="A115" t="inlineStr">
        <is>
          <t>KREASI BANGUN SEJAHTERA</t>
        </is>
      </c>
      <c r="B115" t="inlineStr">
        <is>
          <t>Kota Kendari</t>
        </is>
      </c>
      <c r="C115" t="inlineStr">
        <is>
          <t>082367891442</t>
        </is>
      </c>
      <c r="D115" t="inlineStr">
        <is>
          <t>unifitland8@gmail.com</t>
        </is>
      </c>
      <c r="E115" t="inlineStr">
        <is>
          <t>https://lpjk.pu.go.id/search-badan-usaha-detail/VlZtNlFWOFJUN1cwSFlEcFhIc0t6Zz09</t>
        </is>
      </c>
      <c r="F115" t="n">
        <v>1</v>
      </c>
      <c r="G115" t="inlineStr">
        <is>
          <t>BS001</t>
        </is>
      </c>
      <c r="H115" t="inlineStr">
        <is>
          <t>3 Oktober 2023</t>
        </is>
      </c>
      <c r="I115" s="2" t="n">
        <v>46313</v>
      </c>
      <c r="J115" t="inlineStr">
        <is>
          <t>Disetujui</t>
        </is>
      </c>
      <c r="K115" t="n">
        <v>90</v>
      </c>
      <c r="L115" t="inlineStr">
        <is>
          <t>18 Oktober 2026</t>
        </is>
      </c>
      <c r="M115" t="inlineStr">
        <is>
          <t>Konstruksi Bangunan Sipil Jalan</t>
        </is>
      </c>
      <c r="N115" t="inlineStr">
        <is>
          <t>K</t>
        </is>
      </c>
      <c r="O115" t="inlineStr">
        <is>
          <t>20231011</t>
        </is>
      </c>
      <c r="P115" t="inlineStr">
        <is>
          <t>Sulawesi Tenggara</t>
        </is>
      </c>
      <c r="Q115" t="inlineStr"/>
    </row>
    <row r="116">
      <c r="A116" t="inlineStr">
        <is>
          <t>KREASI BARAHA UTAMA</t>
        </is>
      </c>
      <c r="B116" t="inlineStr">
        <is>
          <t>Kab. Tanah Bumbu</t>
        </is>
      </c>
      <c r="C116" t="inlineStr">
        <is>
          <t>085349994755</t>
        </is>
      </c>
      <c r="D116" t="inlineStr">
        <is>
          <t>kreasibarahautama@yahoo.co.id</t>
        </is>
      </c>
      <c r="E116" t="inlineStr">
        <is>
          <t>https://lpjk.pu.go.id/search-badan-usaha-detail/TGozNzZxZUpvYktYMDkzU1VsTlFIZz09</t>
        </is>
      </c>
      <c r="F116" t="n">
        <v>1</v>
      </c>
      <c r="G116" t="inlineStr">
        <is>
          <t>BG009</t>
        </is>
      </c>
      <c r="H116" t="inlineStr">
        <is>
          <t>18 Januari 2014</t>
        </is>
      </c>
      <c r="I116" s="2" t="n">
        <v>46313</v>
      </c>
      <c r="J116" t="inlineStr">
        <is>
          <t>Disetujui</t>
        </is>
      </c>
      <c r="K116" t="n">
        <v>90</v>
      </c>
      <c r="L116" t="inlineStr">
        <is>
          <t>18 Oktober 2026</t>
        </is>
      </c>
      <c r="M116" t="inlineStr">
        <is>
          <t>Konstruksi Gedung Lainnya</t>
        </is>
      </c>
      <c r="N116" t="inlineStr">
        <is>
          <t>K</t>
        </is>
      </c>
      <c r="O116" t="inlineStr">
        <is>
          <t>20231015</t>
        </is>
      </c>
      <c r="P116" t="inlineStr">
        <is>
          <t>Kalimantan Selatan</t>
        </is>
      </c>
      <c r="Q116" t="inlineStr"/>
    </row>
    <row r="117">
      <c r="A117" t="inlineStr">
        <is>
          <t>KRISNA</t>
        </is>
      </c>
      <c r="B117" t="inlineStr">
        <is>
          <t>Kab. Blora</t>
        </is>
      </c>
      <c r="C117" t="inlineStr">
        <is>
          <t>082137241199</t>
        </is>
      </c>
      <c r="D117" t="inlineStr">
        <is>
          <t>mah877161@gmail.com</t>
        </is>
      </c>
      <c r="E117" t="inlineStr">
        <is>
          <t>https://lpjk.pu.go.id/search-badan-usaha-detail/VVZtcEdyK1gwOWpwencvRWpmeUxWdz09</t>
        </is>
      </c>
      <c r="F117" t="n">
        <v>1</v>
      </c>
      <c r="G117" t="inlineStr">
        <is>
          <t>BS001</t>
        </is>
      </c>
      <c r="H117" t="inlineStr">
        <is>
          <t>5 Mei 2001</t>
        </is>
      </c>
      <c r="I117" s="2" t="n">
        <v>46313</v>
      </c>
      <c r="J117" t="inlineStr">
        <is>
          <t>Disetujui</t>
        </is>
      </c>
      <c r="K117" t="n">
        <v>90</v>
      </c>
      <c r="L117" t="inlineStr">
        <is>
          <t>18 Oktober 2026</t>
        </is>
      </c>
      <c r="M117" t="inlineStr">
        <is>
          <t>Konstruksi Bangunan Sipil Jalan</t>
        </is>
      </c>
      <c r="N117" t="inlineStr">
        <is>
          <t>K</t>
        </is>
      </c>
      <c r="O117" t="inlineStr">
        <is>
          <t>20231017</t>
        </is>
      </c>
      <c r="P117" t="inlineStr">
        <is>
          <t>Jawa Tengah</t>
        </is>
      </c>
      <c r="Q117" t="inlineStr"/>
    </row>
    <row r="118">
      <c r="A118" t="inlineStr">
        <is>
          <t>KUSUMA KARYA</t>
        </is>
      </c>
      <c r="B118" t="inlineStr">
        <is>
          <t>Kota Yogyakarta</t>
        </is>
      </c>
      <c r="C118" t="inlineStr">
        <is>
          <t>0274 566062/0274 514</t>
        </is>
      </c>
      <c r="D118" t="inlineStr">
        <is>
          <t>kusumakarya@yahoo.co.id</t>
        </is>
      </c>
      <c r="E118" t="inlineStr">
        <is>
          <t>https://lpjk.pu.go.id/search-badan-usaha-detail/YzRCS0FDREphLzA2TFo0QWF2SUVGdz09</t>
        </is>
      </c>
      <c r="F118" t="n">
        <v>2</v>
      </c>
      <c r="G118" t="inlineStr">
        <is>
          <t>IN001</t>
        </is>
      </c>
      <c r="H118" t="inlineStr">
        <is>
          <t>6 November 2003</t>
        </is>
      </c>
      <c r="I118" s="2" t="n">
        <v>46313</v>
      </c>
      <c r="J118" t="inlineStr">
        <is>
          <t>Disetujui</t>
        </is>
      </c>
      <c r="K118" t="n">
        <v>90</v>
      </c>
      <c r="L118" t="inlineStr">
        <is>
          <t>18 Oktober 2026</t>
        </is>
      </c>
      <c r="M118" t="inlineStr">
        <is>
          <t>Instalasi Mekanikal</t>
        </is>
      </c>
      <c r="N118" t="inlineStr">
        <is>
          <t>Spesialis</t>
        </is>
      </c>
      <c r="O118" t="inlineStr">
        <is>
          <t>20230907</t>
        </is>
      </c>
      <c r="P118" t="inlineStr">
        <is>
          <t>DI Yogyakarta</t>
        </is>
      </c>
      <c r="Q118" t="inlineStr"/>
    </row>
    <row r="119">
      <c r="A119" t="inlineStr">
        <is>
          <t>LAMPOH SAYANG</t>
        </is>
      </c>
      <c r="B119" t="inlineStr">
        <is>
          <t>Kab. Aceh Besar</t>
        </is>
      </c>
      <c r="C119" t="inlineStr">
        <is>
          <t>085260093361</t>
        </is>
      </c>
      <c r="D119" t="inlineStr">
        <is>
          <t>lampohsyg@yahoo.com</t>
        </is>
      </c>
      <c r="E119" t="inlineStr">
        <is>
          <t>https://lpjk.pu.go.id/search-badan-usaha-detail/UHBsQ3dUcVRqNkpqV1pyKzJueXJCZz09</t>
        </is>
      </c>
      <c r="F119" t="n">
        <v>1</v>
      </c>
      <c r="G119" t="inlineStr">
        <is>
          <t>BS001</t>
        </is>
      </c>
      <c r="H119" t="inlineStr">
        <is>
          <t>13 September 2013</t>
        </is>
      </c>
      <c r="I119" s="2" t="n">
        <v>46313</v>
      </c>
      <c r="J119" t="inlineStr">
        <is>
          <t>Disetujui</t>
        </is>
      </c>
      <c r="K119" t="n">
        <v>90</v>
      </c>
      <c r="L119" t="inlineStr">
        <is>
          <t>18 Oktober 2026</t>
        </is>
      </c>
      <c r="M119" t="inlineStr">
        <is>
          <t>Konstruksi Bangunan Sipil Jalan</t>
        </is>
      </c>
      <c r="N119" t="inlineStr">
        <is>
          <t>K</t>
        </is>
      </c>
      <c r="O119" t="inlineStr">
        <is>
          <t>20231019</t>
        </is>
      </c>
      <c r="P119" t="inlineStr">
        <is>
          <t>Aceh</t>
        </is>
      </c>
      <c r="Q119" t="inlineStr"/>
    </row>
    <row r="120">
      <c r="A120" t="inlineStr">
        <is>
          <t>MAHAKARYA</t>
        </is>
      </c>
      <c r="B120" t="inlineStr">
        <is>
          <t>Kab. Blitar</t>
        </is>
      </c>
      <c r="C120" t="inlineStr">
        <is>
          <t>08123359554</t>
        </is>
      </c>
      <c r="D120" t="inlineStr">
        <is>
          <t>didikbudifariadi@yahoo.co.id</t>
        </is>
      </c>
      <c r="E120" t="inlineStr">
        <is>
          <t>https://lpjk.pu.go.id/search-badan-usaha-detail/M3lTZlVPem5wci9uWWU1bUhLVFJIdz09</t>
        </is>
      </c>
      <c r="F120" t="n">
        <v>3</v>
      </c>
      <c r="G120" t="inlineStr">
        <is>
          <t>BS006</t>
        </is>
      </c>
      <c r="H120" t="inlineStr">
        <is>
          <t>9 September 1999</t>
        </is>
      </c>
      <c r="I120" s="2" t="n">
        <v>46313</v>
      </c>
      <c r="J120" t="inlineStr">
        <is>
          <t>Disetujui</t>
        </is>
      </c>
      <c r="K120" t="n">
        <v>90</v>
      </c>
      <c r="L120" t="inlineStr">
        <is>
          <t>18 Oktober 2026</t>
        </is>
      </c>
      <c r="M120" t="inlineStr">
        <is>
          <t>Konstruksi Bangunan Sipil Prasarana dan Sarana Sistem Pengolahan Limbah Padat, Cair, dan Gas</t>
        </is>
      </c>
      <c r="N120" t="inlineStr">
        <is>
          <t>K</t>
        </is>
      </c>
      <c r="O120" t="inlineStr">
        <is>
          <t>20231012</t>
        </is>
      </c>
      <c r="P120" t="inlineStr">
        <is>
          <t>Jawa Timur</t>
        </is>
      </c>
      <c r="Q120" t="inlineStr"/>
    </row>
    <row r="121">
      <c r="A121" t="inlineStr">
        <is>
          <t>MAHAPRAJA BANGUN PERSADA</t>
        </is>
      </c>
      <c r="B121" t="inlineStr">
        <is>
          <t>Kota Adm. Jakarta Selatan</t>
        </is>
      </c>
      <c r="C121" t="inlineStr">
        <is>
          <t>081299948482</t>
        </is>
      </c>
      <c r="D121" t="inlineStr">
        <is>
          <t>mahaprajabangunpersada@gmail.com</t>
        </is>
      </c>
      <c r="E121" t="inlineStr">
        <is>
          <t>https://lpjk.pu.go.id/search-badan-usaha-detail/ZXJ4bzRzclRRQlJDOEZtOE0zUzM0Zz09</t>
        </is>
      </c>
      <c r="F121" t="n">
        <v>4</v>
      </c>
      <c r="G121" t="inlineStr">
        <is>
          <t>BG002, BG005, BG006, BG009</t>
        </is>
      </c>
      <c r="H121" t="inlineStr">
        <is>
          <t>8 Maret 2023</t>
        </is>
      </c>
      <c r="I121" s="2" t="n">
        <v>46313</v>
      </c>
      <c r="J121" t="inlineStr">
        <is>
          <t>Disetujui</t>
        </is>
      </c>
      <c r="K121" t="n">
        <v>90</v>
      </c>
      <c r="L121" t="inlineStr">
        <is>
          <t>18 Oktober 2026</t>
        </is>
      </c>
      <c r="M121" t="inlineStr">
        <is>
          <t>Konstruksi Gedung Kesehatan, Konstruksi Gedung Lainnya, Konstruksi Gedung Pendidikan, Konstruksi Gedung Perkantoran</t>
        </is>
      </c>
      <c r="N121" t="inlineStr">
        <is>
          <t>K</t>
        </is>
      </c>
      <c r="O121" t="inlineStr">
        <is>
          <t>20231017</t>
        </is>
      </c>
      <c r="P121" t="inlineStr">
        <is>
          <t>DKI Jakarta</t>
        </is>
      </c>
      <c r="Q121" t="inlineStr"/>
    </row>
    <row r="122">
      <c r="A122" t="inlineStr">
        <is>
          <t>MAJU BERSAUDARA</t>
        </is>
      </c>
      <c r="B122" t="inlineStr">
        <is>
          <t>Kab. Lahat</t>
        </is>
      </c>
      <c r="C122" t="inlineStr">
        <is>
          <t>085378111134</t>
        </is>
      </c>
      <c r="D122" t="inlineStr">
        <is>
          <t>cv.majubersaudara@gmail.com</t>
        </is>
      </c>
      <c r="E122" t="inlineStr">
        <is>
          <t>https://lpjk.pu.go.id/search-badan-usaha-detail/RTFob1Yvbm1oYXlzUWtOV0NaZTlmQT09</t>
        </is>
      </c>
      <c r="F122" t="n">
        <v>2</v>
      </c>
      <c r="G122" t="inlineStr">
        <is>
          <t>BS001, BS004</t>
        </is>
      </c>
      <c r="H122" t="inlineStr">
        <is>
          <t>3 Oktober 2019</t>
        </is>
      </c>
      <c r="I122" s="2" t="n">
        <v>46313</v>
      </c>
      <c r="J122" t="inlineStr">
        <is>
          <t>Disetujui</t>
        </is>
      </c>
      <c r="K122" t="n">
        <v>90</v>
      </c>
      <c r="L122" t="inlineStr">
        <is>
          <t>18 Oktober 2026</t>
        </is>
      </c>
      <c r="M122" t="inlineStr">
        <is>
          <t>Konstruksi Bangunan Sipil Jalan, Konstruksi Jaringan Irigasi dan Drainase</t>
        </is>
      </c>
      <c r="N122" t="inlineStr">
        <is>
          <t>K</t>
        </is>
      </c>
      <c r="O122" t="inlineStr">
        <is>
          <t>20231016</t>
        </is>
      </c>
      <c r="P122" t="inlineStr">
        <is>
          <t>Sumatera Selatan</t>
        </is>
      </c>
      <c r="Q122" t="inlineStr"/>
    </row>
    <row r="123">
      <c r="A123" t="inlineStr">
        <is>
          <t>MAULANA ABADI</t>
        </is>
      </c>
      <c r="B123" t="inlineStr">
        <is>
          <t>Kota Palangkaraya</t>
        </is>
      </c>
      <c r="C123" t="inlineStr">
        <is>
          <t>081253677774</t>
        </is>
      </c>
      <c r="D123" t="inlineStr">
        <is>
          <t>maulanaabadi24@gmail.com</t>
        </is>
      </c>
      <c r="E123" t="inlineStr">
        <is>
          <t>https://lpjk.pu.go.id/search-badan-usaha-detail/TGJ6czU1NW1kOWw1MjZkWHRrbTVtQT09</t>
        </is>
      </c>
      <c r="F123" t="n">
        <v>6</v>
      </c>
      <c r="G123" t="inlineStr">
        <is>
          <t>BG002, BG005, BG009, BS004, BS005, BS006</t>
        </is>
      </c>
      <c r="H123" t="inlineStr">
        <is>
          <t>4 Januari 2009</t>
        </is>
      </c>
      <c r="I123" s="2" t="n">
        <v>46313</v>
      </c>
      <c r="J123" t="inlineStr">
        <is>
          <t>Disetujui</t>
        </is>
      </c>
      <c r="K123" t="n">
        <v>90</v>
      </c>
      <c r="L123" t="inlineStr">
        <is>
          <t>18 Oktober 2026</t>
        </is>
      </c>
      <c r="M123" t="inlineStr">
        <is>
          <t>Konstruksi Bangunan Sipil Pengolahan Air Bersih, Konstruksi Bangunan Sipil Prasarana dan Sarana Sistem Pengolahan Limbah Padat, Cair, dan Gas, Konstruksi Gedung Kesehatan, Konstruksi Gedung Lainnya, Konstruksi Gedung Perkantoran, Konstruksi Jaringan Irigasi dan Drainase</t>
        </is>
      </c>
      <c r="N123" t="inlineStr">
        <is>
          <t>K</t>
        </is>
      </c>
      <c r="O123" t="inlineStr">
        <is>
          <t>20231019</t>
        </is>
      </c>
      <c r="P123" t="inlineStr">
        <is>
          <t>Kalimantan Tengah</t>
        </is>
      </c>
      <c r="Q123" t="inlineStr"/>
    </row>
    <row r="124">
      <c r="A124" t="inlineStr">
        <is>
          <t>MEGAH SURYA</t>
        </is>
      </c>
      <c r="B124" t="inlineStr">
        <is>
          <t>Kab. Jombang</t>
        </is>
      </c>
      <c r="C124" t="inlineStr">
        <is>
          <t>085648744494</t>
        </is>
      </c>
      <c r="D124" t="inlineStr">
        <is>
          <t>izuhdimegahsurya@yahoo.com</t>
        </is>
      </c>
      <c r="E124" t="inlineStr">
        <is>
          <t>https://lpjk.pu.go.id/search-badan-usaha-detail/VVdWWUVMdzZYdzFyVU5tdUhBb2hkQT09</t>
        </is>
      </c>
      <c r="F124" t="n">
        <v>10</v>
      </c>
      <c r="G124" t="inlineStr">
        <is>
          <t>BG003, BG005, BG006, BG009</t>
        </is>
      </c>
      <c r="H124" t="inlineStr">
        <is>
          <t>22 Oktober 2009</t>
        </is>
      </c>
      <c r="I124" s="2" t="n">
        <v>46313</v>
      </c>
      <c r="J124" t="inlineStr">
        <is>
          <t>Disetujui</t>
        </is>
      </c>
      <c r="K124" t="n">
        <v>90</v>
      </c>
      <c r="L124" t="inlineStr">
        <is>
          <t>18 Oktober 2026</t>
        </is>
      </c>
      <c r="M124" t="inlineStr">
        <is>
          <t>Konstruksi Gedung Industri, Konstruksi Gedung Kesehatan, Konstruksi Gedung Lainnya, Konstruksi Gedung Pendidikan</t>
        </is>
      </c>
      <c r="N124" t="inlineStr">
        <is>
          <t>K</t>
        </is>
      </c>
      <c r="O124" t="inlineStr">
        <is>
          <t>20230911, 20231018</t>
        </is>
      </c>
      <c r="P124" t="inlineStr">
        <is>
          <t>Jawa Timur</t>
        </is>
      </c>
      <c r="Q124" t="inlineStr"/>
    </row>
    <row r="125">
      <c r="A125" t="inlineStr">
        <is>
          <t>MEKAR JAYA ANUGRAH</t>
        </is>
      </c>
      <c r="B125" t="inlineStr">
        <is>
          <t>Kota Pekanbaru</t>
        </is>
      </c>
      <c r="C125" t="inlineStr">
        <is>
          <t>082284383254</t>
        </is>
      </c>
      <c r="D125" t="inlineStr">
        <is>
          <t>jayacvmekar5@gmail.com</t>
        </is>
      </c>
      <c r="E125" t="inlineStr">
        <is>
          <t>https://lpjk.pu.go.id/search-badan-usaha-detail/djVMSWRVY2NFSWpOYkZtQSttaWZVUT09</t>
        </is>
      </c>
      <c r="F125" t="n">
        <v>2</v>
      </c>
      <c r="G125" t="inlineStr">
        <is>
          <t>BG005</t>
        </is>
      </c>
      <c r="H125" t="inlineStr">
        <is>
          <t>4 Juli 2023</t>
        </is>
      </c>
      <c r="I125" s="2" t="n">
        <v>46313</v>
      </c>
      <c r="J125" t="inlineStr">
        <is>
          <t>Disetujui</t>
        </is>
      </c>
      <c r="K125" t="n">
        <v>90</v>
      </c>
      <c r="L125" t="inlineStr">
        <is>
          <t>18 Oktober 2026</t>
        </is>
      </c>
      <c r="M125" t="inlineStr">
        <is>
          <t>Konstruksi Gedung Kesehatan</t>
        </is>
      </c>
      <c r="N125" t="inlineStr">
        <is>
          <t>K</t>
        </is>
      </c>
      <c r="O125" t="inlineStr">
        <is>
          <t>20231018</t>
        </is>
      </c>
      <c r="P125" t="inlineStr">
        <is>
          <t>Riau</t>
        </is>
      </c>
      <c r="Q125" t="inlineStr"/>
    </row>
    <row r="126">
      <c r="A126" t="inlineStr">
        <is>
          <t>MITRA RULISA</t>
        </is>
      </c>
      <c r="B126" t="inlineStr">
        <is>
          <t>Kota Pekalongan</t>
        </is>
      </c>
      <c r="C126" t="inlineStr">
        <is>
          <t>081542056842</t>
        </is>
      </c>
      <c r="D126" t="inlineStr">
        <is>
          <t>ira.santoso2022@gmail.com</t>
        </is>
      </c>
      <c r="E126" t="inlineStr">
        <is>
          <t>https://lpjk.pu.go.id/search-badan-usaha-detail/TXZjQ3Y4SE1GNFhxMXRJVGFGUEZSQT09</t>
        </is>
      </c>
      <c r="F126" t="n">
        <v>1</v>
      </c>
      <c r="G126" t="inlineStr">
        <is>
          <t>BG009</t>
        </is>
      </c>
      <c r="H126" t="inlineStr">
        <is>
          <t>16 September 2015</t>
        </is>
      </c>
      <c r="I126" s="2" t="n">
        <v>46313</v>
      </c>
      <c r="J126" t="inlineStr">
        <is>
          <t>Disetujui</t>
        </is>
      </c>
      <c r="K126" t="n">
        <v>90</v>
      </c>
      <c r="L126" t="inlineStr">
        <is>
          <t>18 Oktober 2026</t>
        </is>
      </c>
      <c r="M126" t="inlineStr">
        <is>
          <t>Konstruksi Gedung Lainnya</t>
        </is>
      </c>
      <c r="N126" t="inlineStr">
        <is>
          <t>K</t>
        </is>
      </c>
      <c r="O126" t="inlineStr">
        <is>
          <t>20231017</t>
        </is>
      </c>
      <c r="P126" t="inlineStr">
        <is>
          <t>Jawa Tengah</t>
        </is>
      </c>
      <c r="Q126" t="inlineStr"/>
    </row>
    <row r="127">
      <c r="A127" t="inlineStr">
        <is>
          <t>NAWASENA POWER PERKASA</t>
        </is>
      </c>
      <c r="B127" t="inlineStr">
        <is>
          <t>Kab. Tapanuli Tengah</t>
        </is>
      </c>
      <c r="C127" t="inlineStr">
        <is>
          <t>081262054877</t>
        </is>
      </c>
      <c r="D127" t="inlineStr">
        <is>
          <t>nawasenapowerperkasa@gmail.com</t>
        </is>
      </c>
      <c r="E127" t="inlineStr">
        <is>
          <t>https://lpjk.pu.go.id/search-badan-usaha-detail/TWFNbEZuZnZpbXNta2l0S3N6eVZxZz09</t>
        </is>
      </c>
      <c r="F127" t="n">
        <v>2</v>
      </c>
      <c r="G127" t="inlineStr">
        <is>
          <t>BS007</t>
        </is>
      </c>
      <c r="H127" t="inlineStr">
        <is>
          <t>9 Juni 2023</t>
        </is>
      </c>
      <c r="I127" s="2" t="n">
        <v>46313</v>
      </c>
      <c r="J127" t="inlineStr">
        <is>
          <t>Disetujui</t>
        </is>
      </c>
      <c r="K127" t="n">
        <v>90</v>
      </c>
      <c r="L127" t="inlineStr">
        <is>
          <t>18 Oktober 2026</t>
        </is>
      </c>
      <c r="M127" t="inlineStr">
        <is>
          <t>Konstruksi Bangunan Sipil Elektrikal</t>
        </is>
      </c>
      <c r="N127" t="inlineStr">
        <is>
          <t>K</t>
        </is>
      </c>
      <c r="O127" t="inlineStr">
        <is>
          <t>20231018</t>
        </is>
      </c>
      <c r="P127" t="inlineStr">
        <is>
          <t>Sumatera Utara</t>
        </is>
      </c>
      <c r="Q127" t="inlineStr"/>
    </row>
    <row r="128">
      <c r="A128" t="inlineStr">
        <is>
          <t>NIAGA NUSANTARA DIVA</t>
        </is>
      </c>
      <c r="B128" t="inlineStr">
        <is>
          <t>Kota Banda Aceh</t>
        </is>
      </c>
      <c r="C128" t="inlineStr">
        <is>
          <t>081260574744</t>
        </is>
      </c>
      <c r="D128" t="inlineStr">
        <is>
          <t>niaganusantaradiva@gmail.com</t>
        </is>
      </c>
      <c r="E128" t="inlineStr">
        <is>
          <t>https://lpjk.pu.go.id/search-badan-usaha-detail/SmhpOEtjaGV6ODBZbmtNQzBFdjNHdz09</t>
        </is>
      </c>
      <c r="F128" t="n">
        <v>1</v>
      </c>
      <c r="G128" t="inlineStr">
        <is>
          <t>BS009</t>
        </is>
      </c>
      <c r="H128" t="inlineStr">
        <is>
          <t>30 Januari 2020</t>
        </is>
      </c>
      <c r="I128" s="2" t="n">
        <v>46313</v>
      </c>
      <c r="J128" t="inlineStr">
        <is>
          <t>Disetujui</t>
        </is>
      </c>
      <c r="K128" t="n">
        <v>90</v>
      </c>
      <c r="L128" t="inlineStr">
        <is>
          <t>18 Oktober 2026</t>
        </is>
      </c>
      <c r="M128" t="inlineStr">
        <is>
          <t>Konstruksi Sentral Telekomunikasi</t>
        </is>
      </c>
      <c r="N128" t="inlineStr">
        <is>
          <t>K</t>
        </is>
      </c>
      <c r="O128" t="inlineStr">
        <is>
          <t>20231018</t>
        </is>
      </c>
      <c r="P128" t="inlineStr">
        <is>
          <t>Aceh</t>
        </is>
      </c>
      <c r="Q128" t="inlineStr"/>
    </row>
    <row r="129">
      <c r="A129" t="inlineStr">
        <is>
          <t>NISCALA INDO RAYA</t>
        </is>
      </c>
      <c r="B129" t="inlineStr">
        <is>
          <t>Kota Kendari</t>
        </is>
      </c>
      <c r="C129" t="inlineStr">
        <is>
          <t>082130000611</t>
        </is>
      </c>
      <c r="D129" t="inlineStr">
        <is>
          <t>cv.niscalaindoraya@gmail.com</t>
        </is>
      </c>
      <c r="E129" t="inlineStr">
        <is>
          <t>https://lpjk.pu.go.id/search-badan-usaha-detail/aFhSVndyYmpjZGorTjBhOWNZcStaQT09</t>
        </is>
      </c>
      <c r="F129" t="n">
        <v>1</v>
      </c>
      <c r="G129" t="inlineStr">
        <is>
          <t>BG006</t>
        </is>
      </c>
      <c r="H129" t="inlineStr">
        <is>
          <t>18 Januari 2022</t>
        </is>
      </c>
      <c r="I129" s="2" t="n">
        <v>46313</v>
      </c>
      <c r="J129" t="inlineStr">
        <is>
          <t>Disetujui</t>
        </is>
      </c>
      <c r="K129" t="n">
        <v>90</v>
      </c>
      <c r="L129" t="inlineStr">
        <is>
          <t>18 Oktober 2026</t>
        </is>
      </c>
      <c r="M129" t="inlineStr">
        <is>
          <t>Konstruksi Gedung Pendidikan</t>
        </is>
      </c>
      <c r="N129" t="inlineStr">
        <is>
          <t>K</t>
        </is>
      </c>
      <c r="O129" t="inlineStr">
        <is>
          <t>20231011</t>
        </is>
      </c>
      <c r="P129" t="inlineStr">
        <is>
          <t>Sulawesi Tenggara</t>
        </is>
      </c>
      <c r="Q129" t="inlineStr"/>
    </row>
    <row r="130">
      <c r="A130" t="inlineStr">
        <is>
          <t>NUSANTARA MEGAH</t>
        </is>
      </c>
      <c r="B130" t="inlineStr">
        <is>
          <t>Kab. Malang</t>
        </is>
      </c>
      <c r="C130" t="inlineStr">
        <is>
          <t>083834987465</t>
        </is>
      </c>
      <c r="D130" t="inlineStr">
        <is>
          <t>nusantara.megah01@gmail.com</t>
        </is>
      </c>
      <c r="E130" t="inlineStr">
        <is>
          <t>https://lpjk.pu.go.id/search-badan-usaha-detail/NVMrOWhycGtDdEsvQXpuZVhwY1I5UT09</t>
        </is>
      </c>
      <c r="F130" t="n">
        <v>1</v>
      </c>
      <c r="G130" t="inlineStr">
        <is>
          <t>BS001</t>
        </is>
      </c>
      <c r="H130" t="inlineStr">
        <is>
          <t>25 September 2023</t>
        </is>
      </c>
      <c r="I130" s="2" t="n">
        <v>46313</v>
      </c>
      <c r="J130" t="inlineStr">
        <is>
          <t>Disetujui</t>
        </is>
      </c>
      <c r="K130" t="n">
        <v>90</v>
      </c>
      <c r="L130" t="inlineStr">
        <is>
          <t>18 Oktober 2026</t>
        </is>
      </c>
      <c r="M130" t="inlineStr">
        <is>
          <t>Konstruksi Bangunan Sipil Jalan</t>
        </is>
      </c>
      <c r="N130" t="inlineStr">
        <is>
          <t>K</t>
        </is>
      </c>
      <c r="O130" t="inlineStr">
        <is>
          <t>20231012</t>
        </is>
      </c>
      <c r="P130" t="inlineStr">
        <is>
          <t>Jawa Timur</t>
        </is>
      </c>
      <c r="Q130" t="inlineStr"/>
    </row>
    <row r="131">
      <c r="A131" t="inlineStr">
        <is>
          <t>PEMBANGUNAN SEJATI PRIMA</t>
        </is>
      </c>
      <c r="B131" t="inlineStr">
        <is>
          <t>Kota Adm. Jakarta Barat</t>
        </is>
      </c>
      <c r="C131" t="inlineStr">
        <is>
          <t>0215607725</t>
        </is>
      </c>
      <c r="D131" t="inlineStr">
        <is>
          <t>pt_psp@yahoo.com</t>
        </is>
      </c>
      <c r="E131" t="inlineStr">
        <is>
          <t>https://lpjk.pu.go.id/search-badan-usaha-detail/Mm4wbW5rQ2xSdG9wRDFyY1lubVpnUT09</t>
        </is>
      </c>
      <c r="F131" t="n">
        <v>1</v>
      </c>
      <c r="G131" t="inlineStr">
        <is>
          <t>IN006</t>
        </is>
      </c>
      <c r="H131" t="inlineStr">
        <is>
          <t>8 Januari 1996</t>
        </is>
      </c>
      <c r="I131" s="2" t="n">
        <v>46313</v>
      </c>
      <c r="J131" t="inlineStr">
        <is>
          <t>Disetujui</t>
        </is>
      </c>
      <c r="K131" t="n">
        <v>90</v>
      </c>
      <c r="L131" t="inlineStr">
        <is>
          <t>18 Oktober 2026</t>
        </is>
      </c>
      <c r="M131" t="inlineStr">
        <is>
          <t>Instalasi Elektronika</t>
        </is>
      </c>
      <c r="N131" t="inlineStr">
        <is>
          <t>Spesialis</t>
        </is>
      </c>
      <c r="O131" t="inlineStr">
        <is>
          <t>20231017</t>
        </is>
      </c>
      <c r="P131" t="inlineStr">
        <is>
          <t>DKI Jakarta</t>
        </is>
      </c>
      <c r="Q131" t="inlineStr"/>
    </row>
    <row r="132">
      <c r="A132" t="inlineStr">
        <is>
          <t>PERMATA WAMBONA GROUP</t>
        </is>
      </c>
      <c r="B132" t="inlineStr">
        <is>
          <t>Kota Kendari</t>
        </is>
      </c>
      <c r="C132" t="inlineStr">
        <is>
          <t>082216375552</t>
        </is>
      </c>
      <c r="D132" t="inlineStr">
        <is>
          <t>Permatawambona@gmail.com</t>
        </is>
      </c>
      <c r="E132" t="inlineStr">
        <is>
          <t>https://lpjk.pu.go.id/search-badan-usaha-detail/ZVBLdjc2MUZlM0s4OUVyczFsUjAvZz09</t>
        </is>
      </c>
      <c r="F132" t="n">
        <v>1</v>
      </c>
      <c r="G132" t="inlineStr">
        <is>
          <t>BS004</t>
        </is>
      </c>
      <c r="H132" t="inlineStr">
        <is>
          <t>26 Desember 2022</t>
        </is>
      </c>
      <c r="I132" s="2" t="n">
        <v>46313</v>
      </c>
      <c r="J132" t="inlineStr">
        <is>
          <t>Disetujui</t>
        </is>
      </c>
      <c r="K132" t="n">
        <v>90</v>
      </c>
      <c r="L132" t="inlineStr">
        <is>
          <t>18 Oktober 2026</t>
        </is>
      </c>
      <c r="M132" t="inlineStr">
        <is>
          <t>Konstruksi Jaringan Irigasi dan Drainase</t>
        </is>
      </c>
      <c r="N132" t="inlineStr">
        <is>
          <t>K</t>
        </is>
      </c>
      <c r="O132" t="inlineStr">
        <is>
          <t>20231016</t>
        </is>
      </c>
      <c r="P132" t="inlineStr">
        <is>
          <t>Sulawesi Tenggara</t>
        </is>
      </c>
      <c r="Q132" t="inlineStr"/>
    </row>
    <row r="133">
      <c r="A133" t="inlineStr">
        <is>
          <t>PILAR BANGUN</t>
        </is>
      </c>
      <c r="B133" t="inlineStr">
        <is>
          <t>Kab. Trenggalek</t>
        </is>
      </c>
      <c r="C133" t="inlineStr">
        <is>
          <t>081335337337</t>
        </is>
      </c>
      <c r="D133" t="inlineStr">
        <is>
          <t>ridwanpilar1980@gmail.com</t>
        </is>
      </c>
      <c r="E133" t="inlineStr">
        <is>
          <t>https://lpjk.pu.go.id/search-badan-usaha-detail/SGVDZHFzQVR0aC9jdThtUCtlbW42Zz09</t>
        </is>
      </c>
      <c r="F133" t="n">
        <v>1</v>
      </c>
      <c r="G133" t="inlineStr">
        <is>
          <t>BG006</t>
        </is>
      </c>
      <c r="H133" t="inlineStr">
        <is>
          <t>15 Januari 2018</t>
        </is>
      </c>
      <c r="I133" s="2" t="n">
        <v>46313</v>
      </c>
      <c r="J133" t="inlineStr">
        <is>
          <t>Disetujui</t>
        </is>
      </c>
      <c r="K133" t="n">
        <v>90</v>
      </c>
      <c r="L133" t="inlineStr">
        <is>
          <t>18 Oktober 2026</t>
        </is>
      </c>
      <c r="M133" t="inlineStr">
        <is>
          <t>Konstruksi Gedung Pendidikan</t>
        </is>
      </c>
      <c r="N133" t="inlineStr">
        <is>
          <t>K</t>
        </is>
      </c>
      <c r="O133" t="inlineStr">
        <is>
          <t>20231011</t>
        </is>
      </c>
      <c r="P133" t="inlineStr">
        <is>
          <t>Jawa Timur</t>
        </is>
      </c>
      <c r="Q133" t="inlineStr"/>
    </row>
    <row r="134">
      <c r="A134" t="inlineStr">
        <is>
          <t>PIRA KONSULTAN ENJINIRING</t>
        </is>
      </c>
      <c r="B134" t="inlineStr">
        <is>
          <t>Kota Bandung</t>
        </is>
      </c>
      <c r="C134" t="inlineStr">
        <is>
          <t>081919231082</t>
        </is>
      </c>
      <c r="D134" t="inlineStr">
        <is>
          <t>pirakonsultan@gmail.com</t>
        </is>
      </c>
      <c r="E134" t="inlineStr">
        <is>
          <t>https://lpjk.pu.go.id/search-badan-usaha-detail/Ui9CNEVoUlRjQnljUzJiTFZVcHhzUT09</t>
        </is>
      </c>
      <c r="F134" t="n">
        <v>1</v>
      </c>
      <c r="G134" t="inlineStr">
        <is>
          <t>AR001</t>
        </is>
      </c>
      <c r="H134" t="inlineStr">
        <is>
          <t>15 September 2021</t>
        </is>
      </c>
      <c r="I134" s="2" t="n">
        <v>46313</v>
      </c>
      <c r="J134" t="inlineStr">
        <is>
          <t>Pencabutan</t>
        </is>
      </c>
      <c r="K134" t="n">
        <v>90</v>
      </c>
      <c r="L134" t="inlineStr">
        <is>
          <t>18 Oktober 2026</t>
        </is>
      </c>
      <c r="M134" t="inlineStr">
        <is>
          <t>Jasa Arsitektural Bangunan Gedung Hunian dan Non Hunian</t>
        </is>
      </c>
      <c r="N134" t="inlineStr">
        <is>
          <t>K</t>
        </is>
      </c>
      <c r="O134" t="inlineStr">
        <is>
          <t>20221018</t>
        </is>
      </c>
      <c r="P134" t="inlineStr">
        <is>
          <t>Jawa Barat</t>
        </is>
      </c>
      <c r="Q134" t="inlineStr"/>
    </row>
    <row r="135">
      <c r="A135" t="inlineStr">
        <is>
          <t>PUTRA DINAMIS</t>
        </is>
      </c>
      <c r="B135" t="inlineStr">
        <is>
          <t>Kota Bandung</t>
        </is>
      </c>
      <c r="C135" t="inlineStr">
        <is>
          <t>082127011918</t>
        </is>
      </c>
      <c r="D135" t="inlineStr">
        <is>
          <t>putradinamis68@gmail.com</t>
        </is>
      </c>
      <c r="E135" t="inlineStr">
        <is>
          <t>https://lpjk.pu.go.id/search-badan-usaha-detail/b25waWN3SVhQNHl0bFNIclZRMjZwQT09</t>
        </is>
      </c>
      <c r="F135" t="n">
        <v>5</v>
      </c>
      <c r="G135" t="inlineStr">
        <is>
          <t>BG001, BG002, BG005, BG006, BG009</t>
        </is>
      </c>
      <c r="H135" t="inlineStr">
        <is>
          <t>30 November 2010</t>
        </is>
      </c>
      <c r="I135" s="2" t="n">
        <v>46313</v>
      </c>
      <c r="J135" t="inlineStr">
        <is>
          <t>Disetujui</t>
        </is>
      </c>
      <c r="K135" t="n">
        <v>90</v>
      </c>
      <c r="L135" t="inlineStr">
        <is>
          <t>18 Oktober 2026</t>
        </is>
      </c>
      <c r="M135" t="inlineStr">
        <is>
          <t>Konstruksi Gedung Hunian, Konstruksi Gedung Kesehatan, Konstruksi Gedung Lainnya, Konstruksi Gedung Pendidikan, Konstruksi Gedung Perkantoran</t>
        </is>
      </c>
      <c r="N135" t="inlineStr">
        <is>
          <t>K</t>
        </is>
      </c>
      <c r="O135" t="inlineStr">
        <is>
          <t>20231017</t>
        </is>
      </c>
      <c r="P135" t="inlineStr">
        <is>
          <t>Jawa Barat</t>
        </is>
      </c>
      <c r="Q135" t="inlineStr"/>
    </row>
    <row r="136">
      <c r="A136" t="inlineStr">
        <is>
          <t>PUTRA DIVRADJA</t>
        </is>
      </c>
      <c r="B136" t="inlineStr">
        <is>
          <t>Kab. Garut</t>
        </is>
      </c>
      <c r="C136" t="inlineStr">
        <is>
          <t>0262</t>
        </is>
      </c>
      <c r="D136" t="inlineStr">
        <is>
          <t>divradja_cv@yahoo.com</t>
        </is>
      </c>
      <c r="E136" t="inlineStr">
        <is>
          <t>https://lpjk.pu.go.id/search-badan-usaha-detail/bG9DZjF5dnF2cHlaa1VYcVhHTFFNQT09</t>
        </is>
      </c>
      <c r="F136" t="n">
        <v>1</v>
      </c>
      <c r="G136" t="inlineStr">
        <is>
          <t>BG009</t>
        </is>
      </c>
      <c r="H136" t="inlineStr">
        <is>
          <t>18 Desember 2012</t>
        </is>
      </c>
      <c r="I136" s="2" t="n">
        <v>46313</v>
      </c>
      <c r="J136" t="inlineStr">
        <is>
          <t>Disetujui</t>
        </is>
      </c>
      <c r="K136" t="n">
        <v>90</v>
      </c>
      <c r="L136" t="inlineStr">
        <is>
          <t>18 Oktober 2026</t>
        </is>
      </c>
      <c r="M136" t="inlineStr">
        <is>
          <t>Konstruksi Gedung Lainnya</t>
        </is>
      </c>
      <c r="N136" t="inlineStr">
        <is>
          <t>K</t>
        </is>
      </c>
      <c r="O136" t="inlineStr">
        <is>
          <t>20231010</t>
        </is>
      </c>
      <c r="P136" t="inlineStr">
        <is>
          <t>Jawa Barat</t>
        </is>
      </c>
      <c r="Q136" t="inlineStr"/>
    </row>
    <row r="137">
      <c r="A137" t="inlineStr">
        <is>
          <t>PUTRA DIWA ADYATAMA</t>
        </is>
      </c>
      <c r="B137" t="inlineStr">
        <is>
          <t>Kota Tangerang Selatan</t>
        </is>
      </c>
      <c r="C137" t="inlineStr">
        <is>
          <t>081322223421</t>
        </is>
      </c>
      <c r="D137" t="inlineStr">
        <is>
          <t>pd.adyatama@gmail.com</t>
        </is>
      </c>
      <c r="E137" t="inlineStr">
        <is>
          <t>https://lpjk.pu.go.id/search-badan-usaha-detail/M01oMzFQcStqa1FKSURmV3BGTEhRZz09</t>
        </is>
      </c>
      <c r="F137" t="n">
        <v>1</v>
      </c>
      <c r="G137" t="inlineStr">
        <is>
          <t>BS001</t>
        </is>
      </c>
      <c r="H137" t="inlineStr">
        <is>
          <t>27 Januari 2016</t>
        </is>
      </c>
      <c r="I137" s="2" t="n">
        <v>46313</v>
      </c>
      <c r="J137" t="inlineStr">
        <is>
          <t>Disetujui</t>
        </is>
      </c>
      <c r="K137" t="n">
        <v>90</v>
      </c>
      <c r="L137" t="inlineStr">
        <is>
          <t>18 Oktober 2026</t>
        </is>
      </c>
      <c r="M137" t="inlineStr">
        <is>
          <t>Konstruksi Bangunan Sipil Jalan</t>
        </is>
      </c>
      <c r="N137" t="inlineStr">
        <is>
          <t>K</t>
        </is>
      </c>
      <c r="O137" t="inlineStr">
        <is>
          <t>20231005</t>
        </is>
      </c>
      <c r="P137" t="inlineStr">
        <is>
          <t>Banten</t>
        </is>
      </c>
      <c r="Q137" t="inlineStr"/>
    </row>
    <row r="138">
      <c r="A138" t="inlineStr">
        <is>
          <t>PUTRA GUNUNG LESTARI</t>
        </is>
      </c>
      <c r="B138" t="inlineStr">
        <is>
          <t>Kab. Belitung Timur</t>
        </is>
      </c>
      <c r="C138" t="inlineStr">
        <is>
          <t>082280656266</t>
        </is>
      </c>
      <c r="D138" t="inlineStr">
        <is>
          <t>putralestaripgl@gmail.com</t>
        </is>
      </c>
      <c r="E138" t="inlineStr">
        <is>
          <t>https://lpjk.pu.go.id/search-badan-usaha-detail/MDVzRlEyNnhXR1JPWFR5QjBhamJ6Zz09</t>
        </is>
      </c>
      <c r="F138" t="n">
        <v>1</v>
      </c>
      <c r="G138" t="inlineStr">
        <is>
          <t>BS001</t>
        </is>
      </c>
      <c r="H138" t="inlineStr">
        <is>
          <t>6 Januari 2016</t>
        </is>
      </c>
      <c r="I138" s="2" t="n">
        <v>46313</v>
      </c>
      <c r="J138" t="inlineStr">
        <is>
          <t>Disetujui</t>
        </is>
      </c>
      <c r="K138" t="n">
        <v>90</v>
      </c>
      <c r="L138" t="inlineStr">
        <is>
          <t>18 Oktober 2026</t>
        </is>
      </c>
      <c r="M138" t="inlineStr">
        <is>
          <t>Konstruksi Bangunan Sipil Jalan</t>
        </is>
      </c>
      <c r="N138" t="inlineStr">
        <is>
          <t>K</t>
        </is>
      </c>
      <c r="O138" t="inlineStr">
        <is>
          <t>20230609</t>
        </is>
      </c>
      <c r="P138" t="inlineStr">
        <is>
          <t>Kepulauan Bangka Belitung</t>
        </is>
      </c>
      <c r="Q138" t="inlineStr"/>
    </row>
    <row r="139">
      <c r="A139" t="inlineStr">
        <is>
          <t>PUTRA MANDIRI</t>
        </is>
      </c>
      <c r="B139" t="inlineStr">
        <is>
          <t>Kab. Pamekasan</t>
        </is>
      </c>
      <c r="C139" t="inlineStr">
        <is>
          <t>0324324736</t>
        </is>
      </c>
      <c r="D139" t="inlineStr">
        <is>
          <t>putra_mandiri2007@yahoo.com</t>
        </is>
      </c>
      <c r="E139" t="inlineStr">
        <is>
          <t>https://lpjk.pu.go.id/search-badan-usaha-detail/QXA0YWhhWGpRdC94VnlmWVpiZkRZdz09</t>
        </is>
      </c>
      <c r="F139" t="n">
        <v>1</v>
      </c>
      <c r="G139" t="inlineStr">
        <is>
          <t>BS001</t>
        </is>
      </c>
      <c r="H139" t="inlineStr">
        <is>
          <t>12 Februari 2007</t>
        </is>
      </c>
      <c r="I139" s="2" t="n">
        <v>46313</v>
      </c>
      <c r="J139" t="inlineStr">
        <is>
          <t>Pencabutan</t>
        </is>
      </c>
      <c r="K139" t="n">
        <v>90</v>
      </c>
      <c r="L139" t="inlineStr">
        <is>
          <t>18 Oktober 2026</t>
        </is>
      </c>
      <c r="M139" t="inlineStr">
        <is>
          <t>Konstruksi Bangunan Sipil Jalan</t>
        </is>
      </c>
      <c r="N139" t="inlineStr">
        <is>
          <t>K</t>
        </is>
      </c>
      <c r="O139" t="inlineStr">
        <is>
          <t>20230617</t>
        </is>
      </c>
      <c r="P139" t="inlineStr">
        <is>
          <t>Jawa Timur</t>
        </is>
      </c>
      <c r="Q139" t="inlineStr"/>
    </row>
    <row r="140">
      <c r="A140" t="inlineStr">
        <is>
          <t>RAFA JAYA</t>
        </is>
      </c>
      <c r="B140" t="inlineStr">
        <is>
          <t>Kab. Tuban</t>
        </is>
      </c>
      <c r="C140" t="inlineStr">
        <is>
          <t>081235699934</t>
        </is>
      </c>
      <c r="D140" t="inlineStr">
        <is>
          <t>alif.rafandra27@gmail.com</t>
        </is>
      </c>
      <c r="E140" t="inlineStr">
        <is>
          <t>https://lpjk.pu.go.id/search-badan-usaha-detail/Z1hHdkxnV3p0V0FQd1A1a1hhQmxGdz09</t>
        </is>
      </c>
      <c r="F140" t="n">
        <v>4</v>
      </c>
      <c r="G140" t="inlineStr">
        <is>
          <t>BG005, BG006, BS001, BS004</t>
        </is>
      </c>
      <c r="H140" t="inlineStr">
        <is>
          <t>1 Januari 2018</t>
        </is>
      </c>
      <c r="I140" s="2" t="n">
        <v>46313</v>
      </c>
      <c r="J140" t="inlineStr">
        <is>
          <t>Disetujui</t>
        </is>
      </c>
      <c r="K140" t="n">
        <v>90</v>
      </c>
      <c r="L140" t="inlineStr">
        <is>
          <t>18 Oktober 2026</t>
        </is>
      </c>
      <c r="M140" t="inlineStr">
        <is>
          <t>Konstruksi Bangunan Sipil Jalan, Konstruksi Gedung Kesehatan, Konstruksi Gedung Pendidikan, Konstruksi Jaringan Irigasi dan Drainase</t>
        </is>
      </c>
      <c r="N140" t="inlineStr">
        <is>
          <t>K</t>
        </is>
      </c>
      <c r="O140" t="inlineStr">
        <is>
          <t>20231016</t>
        </is>
      </c>
      <c r="P140" t="inlineStr">
        <is>
          <t>Jawa Timur</t>
        </is>
      </c>
      <c r="Q140" t="inlineStr"/>
    </row>
    <row r="141">
      <c r="A141" t="inlineStr">
        <is>
          <t>RAIHAN PRIMA MANDIRI</t>
        </is>
      </c>
      <c r="B141" t="inlineStr">
        <is>
          <t>Kab. Kotawaringin Barat</t>
        </is>
      </c>
      <c r="C141" t="inlineStr">
        <is>
          <t>08125157941</t>
        </is>
      </c>
      <c r="D141" t="inlineStr">
        <is>
          <t>raihanprimamandiri@yahoo.co.id</t>
        </is>
      </c>
      <c r="E141" t="inlineStr">
        <is>
          <t>https://lpjk.pu.go.id/search-badan-usaha-detail/M1JjQVNWRDBJbW9DR0VMd1VIS1dUdz09</t>
        </is>
      </c>
      <c r="F141" t="n">
        <v>2</v>
      </c>
      <c r="G141" t="inlineStr">
        <is>
          <t>BG003</t>
        </is>
      </c>
      <c r="H141" t="inlineStr">
        <is>
          <t>21 Juni 2012</t>
        </is>
      </c>
      <c r="I141" s="2" t="n">
        <v>46313</v>
      </c>
      <c r="J141" t="inlineStr">
        <is>
          <t>Disetujui</t>
        </is>
      </c>
      <c r="K141" t="n">
        <v>90</v>
      </c>
      <c r="L141" t="inlineStr">
        <is>
          <t>18 Oktober 2026</t>
        </is>
      </c>
      <c r="M141" t="inlineStr">
        <is>
          <t>Konstruksi Gedung Industri</t>
        </is>
      </c>
      <c r="N141" t="inlineStr">
        <is>
          <t>K</t>
        </is>
      </c>
      <c r="O141" t="inlineStr">
        <is>
          <t>20231003</t>
        </is>
      </c>
      <c r="P141" t="inlineStr">
        <is>
          <t>Kalimantan Tengah</t>
        </is>
      </c>
      <c r="Q141" t="inlineStr"/>
    </row>
    <row r="142">
      <c r="A142" t="inlineStr">
        <is>
          <t>RAKA JAYA</t>
        </is>
      </c>
      <c r="B142" t="inlineStr">
        <is>
          <t>Kab. Sleman</t>
        </is>
      </c>
      <c r="C142" t="inlineStr">
        <is>
          <t>0817265163</t>
        </is>
      </c>
      <c r="D142" t="inlineStr">
        <is>
          <t>cv_rakajaya@yahoo.co.id</t>
        </is>
      </c>
      <c r="E142" t="inlineStr">
        <is>
          <t>https://lpjk.pu.go.id/search-badan-usaha-detail/V2dHZExoTGd5NWRqTDJ3VWVyR2IwQT09</t>
        </is>
      </c>
      <c r="F142" t="n">
        <v>3</v>
      </c>
      <c r="G142" t="inlineStr">
        <is>
          <t>BG002, BG006, BS004</t>
        </is>
      </c>
      <c r="H142" t="inlineStr">
        <is>
          <t>5 Oktober 2010</t>
        </is>
      </c>
      <c r="I142" s="2" t="n">
        <v>46313</v>
      </c>
      <c r="J142" t="inlineStr">
        <is>
          <t>Disetujui, Pencabutan</t>
        </is>
      </c>
      <c r="K142" t="n">
        <v>90</v>
      </c>
      <c r="L142" t="inlineStr">
        <is>
          <t>18 Oktober 2026</t>
        </is>
      </c>
      <c r="M142" t="inlineStr">
        <is>
          <t>Konstruksi Gedung Pendidikan, Konstruksi Gedung Perkantoran, Konstruksi Jaringan Irigasi dan Drainase</t>
        </is>
      </c>
      <c r="N142" t="inlineStr">
        <is>
          <t>K</t>
        </is>
      </c>
      <c r="O142" t="inlineStr">
        <is>
          <t>20231012</t>
        </is>
      </c>
      <c r="P142" t="inlineStr">
        <is>
          <t>DI Yogyakarta</t>
        </is>
      </c>
      <c r="Q142" t="inlineStr"/>
    </row>
    <row r="143">
      <c r="A143" t="inlineStr">
        <is>
          <t>RAMA PUTERA JAYA</t>
        </is>
      </c>
      <c r="B143" t="inlineStr">
        <is>
          <t>Kab. Majalengka</t>
        </is>
      </c>
      <c r="C143" t="inlineStr">
        <is>
          <t>081321927350</t>
        </is>
      </c>
      <c r="D143" t="inlineStr">
        <is>
          <t>ramaputrajaya09@gmail.com</t>
        </is>
      </c>
      <c r="E143" t="inlineStr">
        <is>
          <t>https://lpjk.pu.go.id/search-badan-usaha-detail/OGRPMy9tSGZNZllKWlNhYkJITXFWZz09</t>
        </is>
      </c>
      <c r="F143" t="n">
        <v>2</v>
      </c>
      <c r="G143" t="inlineStr">
        <is>
          <t>BS001, BS004</t>
        </is>
      </c>
      <c r="H143" t="inlineStr">
        <is>
          <t>24 Januari 1996</t>
        </is>
      </c>
      <c r="I143" s="2" t="n">
        <v>46313</v>
      </c>
      <c r="J143" t="inlineStr">
        <is>
          <t>Disetujui</t>
        </is>
      </c>
      <c r="K143" t="n">
        <v>90</v>
      </c>
      <c r="L143" t="inlineStr">
        <is>
          <t>18 Oktober 2026</t>
        </is>
      </c>
      <c r="M143" t="inlineStr">
        <is>
          <t>Konstruksi Bangunan Sipil Jalan, Konstruksi Jaringan Irigasi dan Drainase</t>
        </is>
      </c>
      <c r="N143" t="inlineStr">
        <is>
          <t>K</t>
        </is>
      </c>
      <c r="O143" t="inlineStr">
        <is>
          <t>20231016</t>
        </is>
      </c>
      <c r="P143" t="inlineStr">
        <is>
          <t>Jawa Barat</t>
        </is>
      </c>
      <c r="Q143" t="inlineStr"/>
    </row>
    <row r="144">
      <c r="A144" t="inlineStr">
        <is>
          <t>RATU SUMBER MAKMUR</t>
        </is>
      </c>
      <c r="B144" t="inlineStr">
        <is>
          <t>Kota Bandar Lampung</t>
        </is>
      </c>
      <c r="C144" t="inlineStr">
        <is>
          <t>082281337001</t>
        </is>
      </c>
      <c r="D144" t="inlineStr">
        <is>
          <t>makmurptratusumber@gmail.com</t>
        </is>
      </c>
      <c r="E144" t="inlineStr">
        <is>
          <t>https://lpjk.pu.go.id/search-badan-usaha-detail/eEEvbEd5MHNQK2ttaGo3TVdpZDZVdz09</t>
        </is>
      </c>
      <c r="F144" t="n">
        <v>1</v>
      </c>
      <c r="G144" t="inlineStr">
        <is>
          <t>BG002</t>
        </is>
      </c>
      <c r="H144" t="inlineStr">
        <is>
          <t>23 September 2023</t>
        </is>
      </c>
      <c r="I144" s="2" t="n">
        <v>46313</v>
      </c>
      <c r="J144" t="inlineStr">
        <is>
          <t>Disetujui</t>
        </is>
      </c>
      <c r="K144" t="n">
        <v>90</v>
      </c>
      <c r="L144" t="inlineStr">
        <is>
          <t>18 Oktober 2026</t>
        </is>
      </c>
      <c r="M144" t="inlineStr">
        <is>
          <t>Konstruksi Gedung Perkantoran</t>
        </is>
      </c>
      <c r="N144" t="inlineStr">
        <is>
          <t>K</t>
        </is>
      </c>
      <c r="O144" t="inlineStr">
        <is>
          <t>20231018</t>
        </is>
      </c>
      <c r="P144" t="inlineStr">
        <is>
          <t>Lampung</t>
        </is>
      </c>
      <c r="Q144" t="inlineStr"/>
    </row>
    <row r="145">
      <c r="A145" t="inlineStr">
        <is>
          <t>RAYA HASRI ABADI</t>
        </is>
      </c>
      <c r="B145" t="inlineStr">
        <is>
          <t>Kota Kendari</t>
        </is>
      </c>
      <c r="C145" t="inlineStr">
        <is>
          <t>082291572112</t>
        </is>
      </c>
      <c r="D145" t="inlineStr">
        <is>
          <t>rahasbadi.pt@gmail.com</t>
        </is>
      </c>
      <c r="E145" t="inlineStr">
        <is>
          <t>https://lpjk.pu.go.id/search-badan-usaha-detail/b3dCWUpUcUpmMDY4KzBwWm5HNU03Zz09</t>
        </is>
      </c>
      <c r="F145" t="n">
        <v>2</v>
      </c>
      <c r="G145" t="inlineStr">
        <is>
          <t>BS002, BS004</t>
        </is>
      </c>
      <c r="H145" t="inlineStr">
        <is>
          <t>19 Januari 1999</t>
        </is>
      </c>
      <c r="I145" s="2" t="n">
        <v>46313</v>
      </c>
      <c r="J145" t="inlineStr">
        <is>
          <t>Disetujui</t>
        </is>
      </c>
      <c r="K145" t="n">
        <v>90</v>
      </c>
      <c r="L145" t="inlineStr">
        <is>
          <t>18 Oktober 2026</t>
        </is>
      </c>
      <c r="M145" t="inlineStr">
        <is>
          <t>Bangunan Sipil Jembatan, Jalan Layang, Fly Over, dan Underpass, Konstruksi Jaringan Irigasi dan Drainase</t>
        </is>
      </c>
      <c r="N145" t="inlineStr">
        <is>
          <t>K</t>
        </is>
      </c>
      <c r="O145" t="inlineStr">
        <is>
          <t>20231016</t>
        </is>
      </c>
      <c r="P145" t="inlineStr">
        <is>
          <t>Sulawesi Tenggara</t>
        </is>
      </c>
      <c r="Q145" t="inlineStr"/>
    </row>
    <row r="146">
      <c r="A146" t="inlineStr">
        <is>
          <t>REKSA ABADI BERSAMA</t>
        </is>
      </c>
      <c r="B146" t="inlineStr">
        <is>
          <t>Kab. Sidoarjo</t>
        </is>
      </c>
      <c r="C146" t="inlineStr">
        <is>
          <t>081938400978</t>
        </is>
      </c>
      <c r="D146" t="inlineStr">
        <is>
          <t>reksaabadigroup@yahoo.co.id</t>
        </is>
      </c>
      <c r="E146" t="inlineStr">
        <is>
          <t>https://lpjk.pu.go.id/search-badan-usaha-detail/eDk2RkFBbVpvZ3VVc1IzRmFQRnh4Zz09</t>
        </is>
      </c>
      <c r="F146" t="n">
        <v>1</v>
      </c>
      <c r="G146" t="inlineStr">
        <is>
          <t>BS004</t>
        </is>
      </c>
      <c r="H146" t="inlineStr">
        <is>
          <t>6 Agustus 2014</t>
        </is>
      </c>
      <c r="I146" s="2" t="n">
        <v>46313</v>
      </c>
      <c r="J146" t="inlineStr">
        <is>
          <t>Disetujui</t>
        </is>
      </c>
      <c r="K146" t="n">
        <v>90</v>
      </c>
      <c r="L146" t="inlineStr">
        <is>
          <t>18 Oktober 2026</t>
        </is>
      </c>
      <c r="M146" t="inlineStr">
        <is>
          <t>Konstruksi Jaringan Irigasi dan Drainase</t>
        </is>
      </c>
      <c r="N146" t="inlineStr">
        <is>
          <t>K</t>
        </is>
      </c>
      <c r="O146" t="inlineStr">
        <is>
          <t>20231017</t>
        </is>
      </c>
      <c r="P146" t="inlineStr">
        <is>
          <t>Jawa Timur</t>
        </is>
      </c>
      <c r="Q146" t="inlineStr"/>
    </row>
    <row r="147">
      <c r="A147" t="inlineStr">
        <is>
          <t>SAKANEERING</t>
        </is>
      </c>
      <c r="B147" t="inlineStr">
        <is>
          <t>Kota Makassar</t>
        </is>
      </c>
      <c r="C147" t="inlineStr">
        <is>
          <t>08114604278</t>
        </is>
      </c>
      <c r="D147" t="inlineStr">
        <is>
          <t>sakaneering48@gmail.com</t>
        </is>
      </c>
      <c r="E147" t="inlineStr">
        <is>
          <t>https://lpjk.pu.go.id/search-badan-usaha-detail/TFhoYVoyTTJFYUNVWFJYR2M2bUxRUT09</t>
        </is>
      </c>
      <c r="F147" t="n">
        <v>2</v>
      </c>
      <c r="G147" t="inlineStr">
        <is>
          <t>BG002, BG009</t>
        </is>
      </c>
      <c r="H147" t="inlineStr">
        <is>
          <t>14 Juni 2019</t>
        </is>
      </c>
      <c r="I147" s="2" t="n">
        <v>46313</v>
      </c>
      <c r="J147" t="inlineStr">
        <is>
          <t>Disetujui</t>
        </is>
      </c>
      <c r="K147" t="n">
        <v>90</v>
      </c>
      <c r="L147" t="inlineStr">
        <is>
          <t>18 Oktober 2026</t>
        </is>
      </c>
      <c r="M147" t="inlineStr">
        <is>
          <t>Konstruksi Gedung Lainnya, Konstruksi Gedung Perkantoran</t>
        </is>
      </c>
      <c r="N147" t="inlineStr">
        <is>
          <t>K</t>
        </is>
      </c>
      <c r="O147" t="inlineStr">
        <is>
          <t>20230519, 20231012</t>
        </is>
      </c>
      <c r="P147" t="inlineStr">
        <is>
          <t>Sulawesi Selatan</t>
        </is>
      </c>
      <c r="Q147" t="inlineStr"/>
    </row>
    <row r="148">
      <c r="A148" t="inlineStr">
        <is>
          <t>SARANA GRIYA</t>
        </is>
      </c>
      <c r="B148" t="inlineStr">
        <is>
          <t>Kab. Karawang</t>
        </is>
      </c>
      <c r="C148" t="inlineStr">
        <is>
          <t>081232676163</t>
        </is>
      </c>
      <c r="D148" t="inlineStr">
        <is>
          <t>sarana.griya26@gmail.com</t>
        </is>
      </c>
      <c r="E148" t="inlineStr">
        <is>
          <t>https://lpjk.pu.go.id/search-badan-usaha-detail/dmJJczB4Y1phVFp4Z3J0NlkvRU94dz09</t>
        </is>
      </c>
      <c r="F148" t="n">
        <v>1</v>
      </c>
      <c r="G148" t="inlineStr">
        <is>
          <t>BG003</t>
        </is>
      </c>
      <c r="H148" t="inlineStr">
        <is>
          <t>21 September 2016</t>
        </is>
      </c>
      <c r="I148" s="2" t="n">
        <v>46313</v>
      </c>
      <c r="J148" t="inlineStr">
        <is>
          <t>Disetujui</t>
        </is>
      </c>
      <c r="K148" t="n">
        <v>90</v>
      </c>
      <c r="L148" t="inlineStr">
        <is>
          <t>18 Oktober 2026</t>
        </is>
      </c>
      <c r="M148" t="inlineStr">
        <is>
          <t>Konstruksi Gedung Industri</t>
        </is>
      </c>
      <c r="N148" t="inlineStr">
        <is>
          <t>K</t>
        </is>
      </c>
      <c r="O148" t="inlineStr">
        <is>
          <t>20231009</t>
        </is>
      </c>
      <c r="P148" t="inlineStr">
        <is>
          <t>Jawa Barat</t>
        </is>
      </c>
      <c r="Q148" t="inlineStr"/>
    </row>
    <row r="149">
      <c r="A149" t="inlineStr">
        <is>
          <t>SATRIAMAS KARYATAMA</t>
        </is>
      </c>
      <c r="B149" t="inlineStr">
        <is>
          <t>Kota Semarang</t>
        </is>
      </c>
      <c r="C149" t="inlineStr">
        <is>
          <t>0243580362</t>
        </is>
      </c>
      <c r="D149" t="inlineStr">
        <is>
          <t>satriamas.karyatama@yahoo.com</t>
        </is>
      </c>
      <c r="E149" t="inlineStr">
        <is>
          <t>https://lpjk.pu.go.id/search-badan-usaha-detail/UFVtb21rZWprZGlRNGtyMlgzZldzdz09</t>
        </is>
      </c>
      <c r="F149" t="n">
        <v>1</v>
      </c>
      <c r="G149" t="inlineStr">
        <is>
          <t>BG001</t>
        </is>
      </c>
      <c r="H149" t="inlineStr">
        <is>
          <t>21 Juni 2003</t>
        </is>
      </c>
      <c r="I149" s="2" t="n">
        <v>46313</v>
      </c>
      <c r="J149" t="inlineStr">
        <is>
          <t>Disetujui</t>
        </is>
      </c>
      <c r="K149" t="n">
        <v>90</v>
      </c>
      <c r="L149" t="inlineStr">
        <is>
          <t>18 Oktober 2026</t>
        </is>
      </c>
      <c r="M149" t="inlineStr">
        <is>
          <t>Konstruksi Gedung Hunian</t>
        </is>
      </c>
      <c r="N149" t="inlineStr">
        <is>
          <t>M</t>
        </is>
      </c>
      <c r="O149" t="inlineStr">
        <is>
          <t>20231013</t>
        </is>
      </c>
      <c r="P149" t="inlineStr">
        <is>
          <t>Jawa Tengah</t>
        </is>
      </c>
      <c r="Q149" t="inlineStr"/>
    </row>
    <row r="150">
      <c r="A150" t="inlineStr">
        <is>
          <t>SATRIO GIRI MULYO</t>
        </is>
      </c>
      <c r="B150" t="inlineStr">
        <is>
          <t>Kab. Grobogan</t>
        </is>
      </c>
      <c r="C150" t="inlineStr">
        <is>
          <t>082332138588</t>
        </is>
      </c>
      <c r="D150" t="inlineStr">
        <is>
          <t>CVSATRIOGIRIMULYO@GMAIL.COM</t>
        </is>
      </c>
      <c r="E150" t="inlineStr">
        <is>
          <t>https://lpjk.pu.go.id/search-badan-usaha-detail/WFBubkh5MlAreVR3ZElpMFZ5ZEt1QT09</t>
        </is>
      </c>
      <c r="F150" t="n">
        <v>1</v>
      </c>
      <c r="G150" t="inlineStr">
        <is>
          <t>PL003</t>
        </is>
      </c>
      <c r="H150" t="inlineStr">
        <is>
          <t>29 Agustus 2023</t>
        </is>
      </c>
      <c r="I150" s="2" t="n">
        <v>46313</v>
      </c>
      <c r="J150" t="inlineStr">
        <is>
          <t>Pencabutan</t>
        </is>
      </c>
      <c r="K150" t="n">
        <v>90</v>
      </c>
      <c r="L150" t="inlineStr">
        <is>
          <t>18 Oktober 2026</t>
        </is>
      </c>
      <c r="M150" t="inlineStr">
        <is>
          <t>Penyiapan Lahan Konstruksi</t>
        </is>
      </c>
      <c r="N150" t="inlineStr">
        <is>
          <t>Spesialis</t>
        </is>
      </c>
      <c r="O150" t="inlineStr">
        <is>
          <t>20231018</t>
        </is>
      </c>
      <c r="P150" t="inlineStr">
        <is>
          <t>Jawa Tengah</t>
        </is>
      </c>
      <c r="Q150" t="inlineStr"/>
    </row>
    <row r="151">
      <c r="A151" t="inlineStr">
        <is>
          <t>SEKATA</t>
        </is>
      </c>
      <c r="B151" t="inlineStr">
        <is>
          <t>Kab. Labuhanbatu</t>
        </is>
      </c>
      <c r="C151" t="inlineStr">
        <is>
          <t>0812 6223 659_</t>
        </is>
      </c>
      <c r="D151" t="inlineStr">
        <is>
          <t>sekatakontraktor@yahoo.com</t>
        </is>
      </c>
      <c r="E151" t="inlineStr">
        <is>
          <t>https://lpjk.pu.go.id/search-badan-usaha-detail/Y1BYLzVvTkpvR2NzOXVWRmtIeFcyQT09</t>
        </is>
      </c>
      <c r="F151" t="n">
        <v>1</v>
      </c>
      <c r="G151" t="inlineStr">
        <is>
          <t>BG009</t>
        </is>
      </c>
      <c r="H151" t="inlineStr">
        <is>
          <t>17 November 1993</t>
        </is>
      </c>
      <c r="I151" s="2" t="n">
        <v>46313</v>
      </c>
      <c r="J151" t="inlineStr">
        <is>
          <t>Disetujui</t>
        </is>
      </c>
      <c r="K151" t="n">
        <v>90</v>
      </c>
      <c r="L151" t="inlineStr">
        <is>
          <t>18 Oktober 2026</t>
        </is>
      </c>
      <c r="M151" t="inlineStr">
        <is>
          <t>Konstruksi Gedung Lainnya</t>
        </is>
      </c>
      <c r="N151" t="inlineStr">
        <is>
          <t>K</t>
        </is>
      </c>
      <c r="O151" t="inlineStr">
        <is>
          <t>20231015</t>
        </is>
      </c>
      <c r="P151" t="inlineStr">
        <is>
          <t>Sumatera Utara</t>
        </is>
      </c>
      <c r="Q151" t="inlineStr"/>
    </row>
    <row r="152">
      <c r="A152" t="inlineStr">
        <is>
          <t>SEMOGA SENANTIASA BERKAH</t>
        </is>
      </c>
      <c r="B152" t="inlineStr">
        <is>
          <t>Kab. Pelalawan</t>
        </is>
      </c>
      <c r="C152" t="inlineStr">
        <is>
          <t>082288944488</t>
        </is>
      </c>
      <c r="D152" t="inlineStr">
        <is>
          <t>semogasenantiasa@gmail.com</t>
        </is>
      </c>
      <c r="E152" t="inlineStr">
        <is>
          <t>https://lpjk.pu.go.id/search-badan-usaha-detail/bmRnM1pKL1V0OC9ld0gxL3JjVGdJQT09</t>
        </is>
      </c>
      <c r="F152" t="n">
        <v>1</v>
      </c>
      <c r="G152" t="inlineStr">
        <is>
          <t>PB010</t>
        </is>
      </c>
      <c r="H152" t="inlineStr">
        <is>
          <t>23 November 2022</t>
        </is>
      </c>
      <c r="I152" s="2" t="n">
        <v>46313</v>
      </c>
      <c r="J152" t="inlineStr">
        <is>
          <t>Disetujui</t>
        </is>
      </c>
      <c r="K152" t="n">
        <v>90</v>
      </c>
      <c r="L152" t="inlineStr">
        <is>
          <t>18 Oktober 2026</t>
        </is>
      </c>
      <c r="M152" t="inlineStr">
        <is>
          <t>Pekerjaan Lanskap, Pertamanan, dan Penanaman Vegetasi</t>
        </is>
      </c>
      <c r="N152" t="inlineStr">
        <is>
          <t>Spesialis</t>
        </is>
      </c>
      <c r="O152" t="inlineStr">
        <is>
          <t>20231012</t>
        </is>
      </c>
      <c r="P152" t="inlineStr">
        <is>
          <t>Riau</t>
        </is>
      </c>
      <c r="Q152" t="inlineStr"/>
    </row>
    <row r="153">
      <c r="A153" t="inlineStr">
        <is>
          <t>SENJA KARYA AMARTA</t>
        </is>
      </c>
      <c r="B153" t="inlineStr">
        <is>
          <t>Kota Blitar</t>
        </is>
      </c>
      <c r="C153" t="inlineStr">
        <is>
          <t>082231159949</t>
        </is>
      </c>
      <c r="D153" t="inlineStr">
        <is>
          <t>senjakaryaamarta@gmail.com</t>
        </is>
      </c>
      <c r="E153" t="inlineStr">
        <is>
          <t>https://lpjk.pu.go.id/search-badan-usaha-detail/WHlSUzgzREVHbS9KNExmbGZwWVNPZz09</t>
        </is>
      </c>
      <c r="F153" t="n">
        <v>2</v>
      </c>
      <c r="G153" t="inlineStr">
        <is>
          <t>BG005, BG006</t>
        </is>
      </c>
      <c r="H153" t="inlineStr">
        <is>
          <t>14 Agustus 2023</t>
        </is>
      </c>
      <c r="I153" s="2" t="n">
        <v>46313</v>
      </c>
      <c r="J153" t="inlineStr">
        <is>
          <t>Pencabutan</t>
        </is>
      </c>
      <c r="K153" t="n">
        <v>90</v>
      </c>
      <c r="L153" t="inlineStr">
        <is>
          <t>18 Oktober 2026</t>
        </is>
      </c>
      <c r="M153" t="inlineStr">
        <is>
          <t>Konstruksi Gedung Kesehatan, Konstruksi Gedung Pendidikan</t>
        </is>
      </c>
      <c r="N153" t="inlineStr">
        <is>
          <t>K</t>
        </is>
      </c>
      <c r="O153" t="inlineStr">
        <is>
          <t>20231016</t>
        </is>
      </c>
      <c r="P153" t="inlineStr">
        <is>
          <t>Jawa Timur</t>
        </is>
      </c>
      <c r="Q153" t="inlineStr"/>
    </row>
    <row r="154">
      <c r="A154" t="inlineStr">
        <is>
          <t>SHINTA MAKMUR</t>
        </is>
      </c>
      <c r="B154" t="inlineStr">
        <is>
          <t>Kab. Bojonegoro</t>
        </is>
      </c>
      <c r="C154" t="inlineStr">
        <is>
          <t>085336633333</t>
        </is>
      </c>
      <c r="D154" t="inlineStr">
        <is>
          <t>shintamakmurcv@gmail.com</t>
        </is>
      </c>
      <c r="E154" t="inlineStr">
        <is>
          <t>https://lpjk.pu.go.id/search-badan-usaha-detail/d2VtOC92R0xlKzZ1N1VaWU1PMUNQZz09</t>
        </is>
      </c>
      <c r="F154" t="n">
        <v>2</v>
      </c>
      <c r="G154" t="inlineStr">
        <is>
          <t>BG001, BG006</t>
        </is>
      </c>
      <c r="H154" t="inlineStr">
        <is>
          <t>24 November 2014</t>
        </is>
      </c>
      <c r="I154" s="2" t="n">
        <v>46313</v>
      </c>
      <c r="J154" t="inlineStr">
        <is>
          <t>Disetujui</t>
        </is>
      </c>
      <c r="K154" t="n">
        <v>90</v>
      </c>
      <c r="L154" t="inlineStr">
        <is>
          <t>18 Oktober 2026</t>
        </is>
      </c>
      <c r="M154" t="inlineStr">
        <is>
          <t>Konstruksi Gedung Hunian, Konstruksi Gedung Pendidikan</t>
        </is>
      </c>
      <c r="N154" t="inlineStr">
        <is>
          <t>K</t>
        </is>
      </c>
      <c r="O154" t="inlineStr">
        <is>
          <t>20231017</t>
        </is>
      </c>
      <c r="P154" t="inlineStr">
        <is>
          <t>Jawa Timur</t>
        </is>
      </c>
      <c r="Q154" t="inlineStr"/>
    </row>
    <row r="155">
      <c r="A155" t="inlineStr">
        <is>
          <t>SIMANG SAKTI</t>
        </is>
      </c>
      <c r="B155" t="inlineStr">
        <is>
          <t>Kab. Barito Selatan</t>
        </is>
      </c>
      <c r="C155" t="inlineStr">
        <is>
          <t>085249999289</t>
        </is>
      </c>
      <c r="D155" t="inlineStr">
        <is>
          <t>cv.simangsakti@gmail.com</t>
        </is>
      </c>
      <c r="E155" t="inlineStr">
        <is>
          <t>https://lpjk.pu.go.id/search-badan-usaha-detail/UitUYW5OdHdoamJnckE5c20zTXkydz09</t>
        </is>
      </c>
      <c r="F155" t="n">
        <v>6</v>
      </c>
      <c r="G155" t="inlineStr">
        <is>
          <t>BG009</t>
        </is>
      </c>
      <c r="H155" t="inlineStr">
        <is>
          <t>28 Juni 2023</t>
        </is>
      </c>
      <c r="I155" s="2" t="n">
        <v>46313</v>
      </c>
      <c r="J155" t="inlineStr">
        <is>
          <t>Disetujui</t>
        </is>
      </c>
      <c r="K155" t="n">
        <v>90</v>
      </c>
      <c r="L155" t="inlineStr">
        <is>
          <t>18 Oktober 2026</t>
        </is>
      </c>
      <c r="M155" t="inlineStr">
        <is>
          <t>Konstruksi Gedung Lainnya</t>
        </is>
      </c>
      <c r="N155" t="inlineStr">
        <is>
          <t>K</t>
        </is>
      </c>
      <c r="O155" t="inlineStr">
        <is>
          <t>20231005</t>
        </is>
      </c>
      <c r="P155" t="inlineStr">
        <is>
          <t>Kalimantan Tengah</t>
        </is>
      </c>
      <c r="Q155" t="inlineStr"/>
    </row>
    <row r="156">
      <c r="A156" t="inlineStr">
        <is>
          <t>SIMPANG LIDO SENTOSA</t>
        </is>
      </c>
      <c r="B156" t="inlineStr">
        <is>
          <t>Kota Pontianak</t>
        </is>
      </c>
      <c r="C156" t="inlineStr">
        <is>
          <t>089520365354</t>
        </is>
      </c>
      <c r="D156" t="inlineStr">
        <is>
          <t>simpanglidosentosa@gmail.com</t>
        </is>
      </c>
      <c r="E156" t="inlineStr">
        <is>
          <t>https://lpjk.pu.go.id/search-badan-usaha-detail/WUFDdDhaOEYxM1dWZWxhRUlQSG9IZz09</t>
        </is>
      </c>
      <c r="F156" t="n">
        <v>5</v>
      </c>
      <c r="G156" t="inlineStr">
        <is>
          <t>BG002, BG005, BG006, BG008, BG009</t>
        </is>
      </c>
      <c r="H156" t="inlineStr">
        <is>
          <t>3 Agustus 2023</t>
        </is>
      </c>
      <c r="I156" s="2" t="n">
        <v>46313</v>
      </c>
      <c r="J156" t="inlineStr">
        <is>
          <t>Disetujui</t>
        </is>
      </c>
      <c r="K156" t="n">
        <v>90</v>
      </c>
      <c r="L156" t="inlineStr">
        <is>
          <t>18 Oktober 2026</t>
        </is>
      </c>
      <c r="M156" t="inlineStr">
        <is>
          <t>Konstruksi Gedung Kesehatan, Konstruksi Gedung Lainnya, Konstruksi Gedung Pendidikan, Konstruksi Gedung Perkantoran, Konstruksi Gedung Tempat Hiburan dan Olahraga</t>
        </is>
      </c>
      <c r="N156" t="inlineStr">
        <is>
          <t>K</t>
        </is>
      </c>
      <c r="O156" t="inlineStr">
        <is>
          <t>20231016</t>
        </is>
      </c>
      <c r="P156" t="inlineStr">
        <is>
          <t>Kalimantan Barat</t>
        </is>
      </c>
      <c r="Q156" t="inlineStr"/>
    </row>
    <row r="157">
      <c r="A157" t="inlineStr">
        <is>
          <t>SINAR LAWU</t>
        </is>
      </c>
      <c r="B157" t="inlineStr">
        <is>
          <t>Kab. Ngawi</t>
        </is>
      </c>
      <c r="C157" t="inlineStr">
        <is>
          <t>81335681849</t>
        </is>
      </c>
      <c r="D157" t="inlineStr">
        <is>
          <t>sinar.lawu@gmail.com</t>
        </is>
      </c>
      <c r="E157" t="inlineStr">
        <is>
          <t>https://lpjk.pu.go.id/search-badan-usaha-detail/cGljbHM2VWdocGlMR2hpV1pxanRDZz09</t>
        </is>
      </c>
      <c r="F157" t="n">
        <v>2</v>
      </c>
      <c r="G157" t="inlineStr">
        <is>
          <t>BG002, BG005</t>
        </is>
      </c>
      <c r="H157" t="inlineStr">
        <is>
          <t>2 November 1994</t>
        </is>
      </c>
      <c r="I157" s="2" t="n">
        <v>46313</v>
      </c>
      <c r="J157" t="inlineStr">
        <is>
          <t>Disetujui</t>
        </is>
      </c>
      <c r="K157" t="n">
        <v>90</v>
      </c>
      <c r="L157" t="inlineStr">
        <is>
          <t>18 Oktober 2026</t>
        </is>
      </c>
      <c r="M157" t="inlineStr">
        <is>
          <t>Konstruksi Gedung Kesehatan, Konstruksi Gedung Perkantoran</t>
        </is>
      </c>
      <c r="N157" t="inlineStr">
        <is>
          <t>K</t>
        </is>
      </c>
      <c r="O157" t="inlineStr">
        <is>
          <t>20231007, 20231008</t>
        </is>
      </c>
      <c r="P157" t="inlineStr">
        <is>
          <t>Jawa Timur</t>
        </is>
      </c>
      <c r="Q157" t="inlineStr"/>
    </row>
    <row r="158">
      <c r="A158" t="inlineStr">
        <is>
          <t>SINERGI LESTARI KARYA</t>
        </is>
      </c>
      <c r="B158" t="inlineStr">
        <is>
          <t>Kab. Siak</t>
        </is>
      </c>
      <c r="C158" t="inlineStr">
        <is>
          <t>082384386285</t>
        </is>
      </c>
      <c r="D158" t="inlineStr">
        <is>
          <t>sinergilestarikarya@gmail.com</t>
        </is>
      </c>
      <c r="E158" t="inlineStr">
        <is>
          <t>https://lpjk.pu.go.id/search-badan-usaha-detail/L0IwMlF6VzlkLyttWStNZlRiR1pIZz09</t>
        </is>
      </c>
      <c r="F158" t="n">
        <v>1</v>
      </c>
      <c r="G158" t="inlineStr">
        <is>
          <t>AR001</t>
        </is>
      </c>
      <c r="H158" t="inlineStr">
        <is>
          <t>6 Juli 2023</t>
        </is>
      </c>
      <c r="I158" s="2" t="n">
        <v>46313</v>
      </c>
      <c r="J158" t="inlineStr">
        <is>
          <t>Pencabutan</t>
        </is>
      </c>
      <c r="K158" t="n">
        <v>90</v>
      </c>
      <c r="L158" t="inlineStr">
        <is>
          <t>18 Oktober 2026</t>
        </is>
      </c>
      <c r="M158" t="inlineStr">
        <is>
          <t>Jasa Arsitektural Bangunan Gedung Hunian dan Non Hunian</t>
        </is>
      </c>
      <c r="N158" t="inlineStr">
        <is>
          <t>K</t>
        </is>
      </c>
      <c r="O158" t="inlineStr">
        <is>
          <t>20231013</t>
        </is>
      </c>
      <c r="P158" t="inlineStr">
        <is>
          <t>Riau</t>
        </is>
      </c>
      <c r="Q158" t="inlineStr"/>
    </row>
    <row r="159">
      <c r="A159" t="inlineStr">
        <is>
          <t>SINERGY BERSAMA MANDIRI</t>
        </is>
      </c>
      <c r="B159" t="inlineStr">
        <is>
          <t>Kab. Tangerang</t>
        </is>
      </c>
      <c r="C159" t="inlineStr">
        <is>
          <t>087772461717</t>
        </is>
      </c>
      <c r="D159" t="inlineStr">
        <is>
          <t>-</t>
        </is>
      </c>
      <c r="E159" t="inlineStr">
        <is>
          <t>https://lpjk.pu.go.id/search-badan-usaha-detail/UVhUS3Qrems1Sjh4MlBQNFdvTTArUT09</t>
        </is>
      </c>
      <c r="F159" t="n">
        <v>1</v>
      </c>
      <c r="G159" t="inlineStr">
        <is>
          <t>BS002</t>
        </is>
      </c>
      <c r="H159" t="inlineStr">
        <is>
          <t>24 Januari 2014</t>
        </is>
      </c>
      <c r="I159" s="2" t="n">
        <v>46313</v>
      </c>
      <c r="J159" t="inlineStr">
        <is>
          <t>Pencabutan</t>
        </is>
      </c>
      <c r="K159" t="n">
        <v>90</v>
      </c>
      <c r="L159" t="inlineStr">
        <is>
          <t>18 Oktober 2026</t>
        </is>
      </c>
      <c r="M159" t="inlineStr">
        <is>
          <t>Bangunan Sipil Jembatan, Jalan Layang, Fly Over, dan Underpass</t>
        </is>
      </c>
      <c r="N159" t="inlineStr">
        <is>
          <t>K</t>
        </is>
      </c>
      <c r="O159" t="inlineStr">
        <is>
          <t>20231018</t>
        </is>
      </c>
      <c r="P159" t="inlineStr">
        <is>
          <t>Banten</t>
        </is>
      </c>
      <c r="Q159" t="inlineStr"/>
    </row>
    <row r="160">
      <c r="A160" t="inlineStr">
        <is>
          <t>SINERGY JAYA</t>
        </is>
      </c>
      <c r="B160" t="inlineStr">
        <is>
          <t>Kab. Bojonegoro</t>
        </is>
      </c>
      <c r="C160" t="inlineStr">
        <is>
          <t>085236661793</t>
        </is>
      </c>
      <c r="D160" t="inlineStr">
        <is>
          <t>sinergyjaya@gmail.com</t>
        </is>
      </c>
      <c r="E160" t="inlineStr">
        <is>
          <t>https://lpjk.pu.go.id/search-badan-usaha-detail/bGJIUmlsVFFXMTF2eXVkV3hRTExVQT09</t>
        </is>
      </c>
      <c r="F160" t="n">
        <v>3</v>
      </c>
      <c r="G160" t="inlineStr">
        <is>
          <t>BG005, BG006, BG009</t>
        </is>
      </c>
      <c r="H160" t="inlineStr">
        <is>
          <t>24 Januari 2019</t>
        </is>
      </c>
      <c r="I160" s="2" t="n">
        <v>46313</v>
      </c>
      <c r="J160" t="inlineStr">
        <is>
          <t>Disetujui</t>
        </is>
      </c>
      <c r="K160" t="n">
        <v>90</v>
      </c>
      <c r="L160" t="inlineStr">
        <is>
          <t>18 Oktober 2026</t>
        </is>
      </c>
      <c r="M160" t="inlineStr">
        <is>
          <t>Konstruksi Gedung Kesehatan, Konstruksi Gedung Lainnya, Konstruksi Gedung Pendidikan</t>
        </is>
      </c>
      <c r="N160" t="inlineStr">
        <is>
          <t>K</t>
        </is>
      </c>
      <c r="O160" t="inlineStr">
        <is>
          <t>20231016, 20231017</t>
        </is>
      </c>
      <c r="P160" t="inlineStr">
        <is>
          <t>Jawa Timur</t>
        </is>
      </c>
      <c r="Q160" t="inlineStr"/>
    </row>
    <row r="161">
      <c r="A161" t="inlineStr">
        <is>
          <t>SUMBER ANUGRAH MANDIRI</t>
        </is>
      </c>
      <c r="B161" t="inlineStr">
        <is>
          <t>Kab. Magetan</t>
        </is>
      </c>
      <c r="C161" t="inlineStr">
        <is>
          <t>081235598057</t>
        </is>
      </c>
      <c r="D161" t="inlineStr">
        <is>
          <t>cv.sumberanugrahmandiri@gmail.com</t>
        </is>
      </c>
      <c r="E161" t="inlineStr">
        <is>
          <t>https://lpjk.pu.go.id/search-badan-usaha-detail/SXhnOWFNVnByeXFqWXMrYllsbE90QT09</t>
        </is>
      </c>
      <c r="F161" t="n">
        <v>1</v>
      </c>
      <c r="G161" t="inlineStr">
        <is>
          <t>BS004</t>
        </is>
      </c>
      <c r="H161" t="inlineStr">
        <is>
          <t>15 Juli 2011</t>
        </is>
      </c>
      <c r="I161" s="2" t="n">
        <v>46313</v>
      </c>
      <c r="J161" t="inlineStr">
        <is>
          <t>Pencabutan</t>
        </is>
      </c>
      <c r="K161" t="n">
        <v>90</v>
      </c>
      <c r="L161" t="inlineStr">
        <is>
          <t>18 Oktober 2026</t>
        </is>
      </c>
      <c r="M161" t="inlineStr">
        <is>
          <t>Konstruksi Jaringan Irigasi dan Drainase</t>
        </is>
      </c>
      <c r="N161" t="inlineStr">
        <is>
          <t>K</t>
        </is>
      </c>
      <c r="O161" t="inlineStr">
        <is>
          <t>20221101</t>
        </is>
      </c>
      <c r="P161" t="inlineStr">
        <is>
          <t>Jawa Timur</t>
        </is>
      </c>
      <c r="Q161" t="inlineStr"/>
    </row>
    <row r="162">
      <c r="A162" t="inlineStr">
        <is>
          <t>SUMBER JAYA MAKMUR</t>
        </is>
      </c>
      <c r="B162" t="inlineStr">
        <is>
          <t>Kab. Karawang</t>
        </is>
      </c>
      <c r="C162" t="inlineStr">
        <is>
          <t>081514606042</t>
        </is>
      </c>
      <c r="D162" t="inlineStr">
        <is>
          <t>akbarfatih412@yahoo.com</t>
        </is>
      </c>
      <c r="E162" t="inlineStr">
        <is>
          <t>https://lpjk.pu.go.id/search-badan-usaha-detail/SjRwVlpQakJOSWdMTzIzREhVVjJHUT09</t>
        </is>
      </c>
      <c r="F162" t="n">
        <v>2</v>
      </c>
      <c r="G162" t="inlineStr">
        <is>
          <t>BG001, BG006</t>
        </is>
      </c>
      <c r="H162" t="inlineStr">
        <is>
          <t>14 Januari 2008</t>
        </is>
      </c>
      <c r="I162" s="2" t="n">
        <v>46313</v>
      </c>
      <c r="J162" t="inlineStr">
        <is>
          <t>Pencabutan</t>
        </is>
      </c>
      <c r="K162" t="n">
        <v>90</v>
      </c>
      <c r="L162" t="inlineStr">
        <is>
          <t>18 Oktober 2026</t>
        </is>
      </c>
      <c r="M162" t="inlineStr">
        <is>
          <t>Konstruksi Gedung Hunian, Konstruksi Gedung Pendidikan</t>
        </is>
      </c>
      <c r="N162" t="inlineStr">
        <is>
          <t>K</t>
        </is>
      </c>
      <c r="O162" t="inlineStr">
        <is>
          <t>20231018</t>
        </is>
      </c>
      <c r="P162" t="inlineStr">
        <is>
          <t>Jawa Barat</t>
        </is>
      </c>
      <c r="Q162" t="inlineStr"/>
    </row>
    <row r="163">
      <c r="A163" t="inlineStr">
        <is>
          <t>SUMBER REZEKY</t>
        </is>
      </c>
      <c r="B163" t="inlineStr">
        <is>
          <t>Kab. Ogan Komering Ulu</t>
        </is>
      </c>
      <c r="C163" t="inlineStr">
        <is>
          <t>085366702222</t>
        </is>
      </c>
      <c r="D163" t="inlineStr">
        <is>
          <t>hamdanancap17@gmail.com</t>
        </is>
      </c>
      <c r="E163" t="inlineStr">
        <is>
          <t>https://lpjk.pu.go.id/search-badan-usaha-detail/dGlCNlNnVzJxb29PY2tBZ2NOeHlvZz09</t>
        </is>
      </c>
      <c r="F163" t="n">
        <v>2</v>
      </c>
      <c r="G163" t="inlineStr">
        <is>
          <t>BS002, BS004</t>
        </is>
      </c>
      <c r="H163" t="inlineStr">
        <is>
          <t>30 Desember 2014</t>
        </is>
      </c>
      <c r="I163" s="2" t="n">
        <v>46313</v>
      </c>
      <c r="J163" t="inlineStr">
        <is>
          <t>Disetujui</t>
        </is>
      </c>
      <c r="K163" t="n">
        <v>90</v>
      </c>
      <c r="L163" t="inlineStr">
        <is>
          <t>18 Oktober 2026</t>
        </is>
      </c>
      <c r="M163" t="inlineStr">
        <is>
          <t>Bangunan Sipil Jembatan, Jalan Layang, Fly Over, dan Underpass, Konstruksi Jaringan Irigasi dan Drainase</t>
        </is>
      </c>
      <c r="N163" t="inlineStr">
        <is>
          <t>K</t>
        </is>
      </c>
      <c r="O163" t="inlineStr">
        <is>
          <t>20231016</t>
        </is>
      </c>
      <c r="P163" t="inlineStr">
        <is>
          <t>Sumatera Selatan</t>
        </is>
      </c>
      <c r="Q163" t="inlineStr"/>
    </row>
    <row r="164">
      <c r="A164" t="inlineStr">
        <is>
          <t>SUMUR BANUA</t>
        </is>
      </c>
      <c r="B164" t="inlineStr">
        <is>
          <t>Kota Banjarmasin</t>
        </is>
      </c>
      <c r="C164" t="inlineStr">
        <is>
          <t>085100214919</t>
        </is>
      </c>
      <c r="D164" t="inlineStr">
        <is>
          <t>cv_sumurbanua@yahoo.com</t>
        </is>
      </c>
      <c r="E164" t="inlineStr">
        <is>
          <t>https://lpjk.pu.go.id/search-badan-usaha-detail/Zm92TTYvY2ZpS3lwY2JZZFZINkFmZz09</t>
        </is>
      </c>
      <c r="F164" t="n">
        <v>1</v>
      </c>
      <c r="G164" t="inlineStr">
        <is>
          <t>BS005</t>
        </is>
      </c>
      <c r="H164" t="inlineStr">
        <is>
          <t>6 Januari 2010</t>
        </is>
      </c>
      <c r="I164" s="2" t="n">
        <v>46313</v>
      </c>
      <c r="J164" t="inlineStr">
        <is>
          <t>Pencabutan</t>
        </is>
      </c>
      <c r="K164" t="n">
        <v>90</v>
      </c>
      <c r="L164" t="inlineStr">
        <is>
          <t>18 Oktober 2026</t>
        </is>
      </c>
      <c r="M164" t="inlineStr">
        <is>
          <t>Konstruksi Bangunan Sipil Pengolahan Air Bersih</t>
        </is>
      </c>
      <c r="N164" t="inlineStr">
        <is>
          <t>K</t>
        </is>
      </c>
      <c r="O164" t="inlineStr">
        <is>
          <t>20231018</t>
        </is>
      </c>
      <c r="P164" t="inlineStr">
        <is>
          <t>Kalimantan Selatan</t>
        </is>
      </c>
      <c r="Q164" t="inlineStr"/>
    </row>
    <row r="165">
      <c r="A165" t="inlineStr">
        <is>
          <t>TABINA JAYA MANDIRI</t>
        </is>
      </c>
      <c r="B165" t="inlineStr">
        <is>
          <t>Kota Banda Aceh</t>
        </is>
      </c>
      <c r="C165" t="inlineStr">
        <is>
          <t>082363848767</t>
        </is>
      </c>
      <c r="D165" t="inlineStr">
        <is>
          <t>tabinajayamandiri@gmail.com</t>
        </is>
      </c>
      <c r="E165" t="inlineStr">
        <is>
          <t>https://lpjk.pu.go.id/search-badan-usaha-detail/SEdRamlTeHdkRmJNenM2eTNPeEo5QT09</t>
        </is>
      </c>
      <c r="F165" t="n">
        <v>1</v>
      </c>
      <c r="G165" t="inlineStr">
        <is>
          <t>PB010</t>
        </is>
      </c>
      <c r="H165" t="inlineStr">
        <is>
          <t>7 September 2023</t>
        </is>
      </c>
      <c r="I165" s="2" t="n">
        <v>46313</v>
      </c>
      <c r="J165" t="inlineStr">
        <is>
          <t>Disetujui</t>
        </is>
      </c>
      <c r="K165" t="n">
        <v>90</v>
      </c>
      <c r="L165" t="inlineStr">
        <is>
          <t>18 Oktober 2026</t>
        </is>
      </c>
      <c r="M165" t="inlineStr">
        <is>
          <t>Pekerjaan Lanskap, Pertamanan, dan Penanaman Vegetasi</t>
        </is>
      </c>
      <c r="N165" t="inlineStr">
        <is>
          <t>Spesialis</t>
        </is>
      </c>
      <c r="O165" t="inlineStr">
        <is>
          <t>20230922</t>
        </is>
      </c>
      <c r="P165" t="inlineStr">
        <is>
          <t>Aceh</t>
        </is>
      </c>
      <c r="Q165" t="inlineStr"/>
    </row>
    <row r="166">
      <c r="A166" t="inlineStr">
        <is>
          <t>TIGA PILAR SELARAS</t>
        </is>
      </c>
      <c r="B166" t="inlineStr">
        <is>
          <t>Kota Batam</t>
        </is>
      </c>
      <c r="C166" t="inlineStr">
        <is>
          <t>081267085109</t>
        </is>
      </c>
      <c r="D166" t="inlineStr">
        <is>
          <t>cvtigapilarselaras@gmail.com</t>
        </is>
      </c>
      <c r="E166" t="inlineStr">
        <is>
          <t>https://lpjk.pu.go.id/search-badan-usaha-detail/K3lEOXFKTkN3dGRTeDBYY2d3WDNDdz09</t>
        </is>
      </c>
      <c r="F166" t="n">
        <v>3</v>
      </c>
      <c r="G166" t="inlineStr">
        <is>
          <t>BG009, BS001, BS004</t>
        </is>
      </c>
      <c r="H166" t="inlineStr">
        <is>
          <t>7 September 2023</t>
        </is>
      </c>
      <c r="I166" s="2" t="n">
        <v>46313</v>
      </c>
      <c r="J166" t="inlineStr">
        <is>
          <t>Disetujui</t>
        </is>
      </c>
      <c r="K166" t="n">
        <v>90</v>
      </c>
      <c r="L166" t="inlineStr">
        <is>
          <t>18 Oktober 2026</t>
        </is>
      </c>
      <c r="M166" t="inlineStr">
        <is>
          <t>Konstruksi Bangunan Sipil Jalan, Konstruksi Gedung Lainnya, Konstruksi Jaringan Irigasi dan Drainase</t>
        </is>
      </c>
      <c r="N166" t="inlineStr">
        <is>
          <t>K</t>
        </is>
      </c>
      <c r="O166" t="inlineStr">
        <is>
          <t>20231016, 20231018</t>
        </is>
      </c>
      <c r="P166" t="inlineStr">
        <is>
          <t>Kepulauan Riau</t>
        </is>
      </c>
      <c r="Q166" t="inlineStr"/>
    </row>
    <row r="167">
      <c r="A167" t="inlineStr">
        <is>
          <t>TITIAN JATI</t>
        </is>
      </c>
      <c r="B167" t="inlineStr">
        <is>
          <t>Kab. Lombok Barat</t>
        </is>
      </c>
      <c r="C167" t="inlineStr">
        <is>
          <t>081907066440</t>
        </is>
      </c>
      <c r="D167" t="inlineStr">
        <is>
          <t>titianjati.cv@gmail.com</t>
        </is>
      </c>
      <c r="E167" t="inlineStr">
        <is>
          <t>https://lpjk.pu.go.id/search-badan-usaha-detail/K3dieVJrMW53eGdKMFNmY0lZLzQ2dz09</t>
        </is>
      </c>
      <c r="F167" t="n">
        <v>4</v>
      </c>
      <c r="G167" t="inlineStr">
        <is>
          <t>BS001, BS005</t>
        </is>
      </c>
      <c r="H167" t="inlineStr">
        <is>
          <t>12 Desember 1998</t>
        </is>
      </c>
      <c r="I167" s="2" t="n">
        <v>46313</v>
      </c>
      <c r="J167" t="inlineStr">
        <is>
          <t>Disetujui</t>
        </is>
      </c>
      <c r="K167" t="n">
        <v>90</v>
      </c>
      <c r="L167" t="inlineStr">
        <is>
          <t>18 Oktober 2026</t>
        </is>
      </c>
      <c r="M167" t="inlineStr">
        <is>
          <t>Konstruksi Bangunan Sipil Jalan, Konstruksi Bangunan Sipil Pengolahan Air Bersih</t>
        </is>
      </c>
      <c r="N167" t="inlineStr">
        <is>
          <t>K</t>
        </is>
      </c>
      <c r="O167" t="inlineStr">
        <is>
          <t>20231017, 20231018</t>
        </is>
      </c>
      <c r="P167" t="inlineStr">
        <is>
          <t>Nusa Tenggara Barat</t>
        </is>
      </c>
      <c r="Q167" t="inlineStr"/>
    </row>
    <row r="168">
      <c r="A168" t="inlineStr">
        <is>
          <t>TJAKRA CONSTRUCTION</t>
        </is>
      </c>
      <c r="B168" t="inlineStr">
        <is>
          <t>Kota Semarang</t>
        </is>
      </c>
      <c r="C168" t="inlineStr">
        <is>
          <t>087832838399</t>
        </is>
      </c>
      <c r="D168" t="inlineStr">
        <is>
          <t>tjakraconstruction@gmail.com</t>
        </is>
      </c>
      <c r="E168" t="inlineStr">
        <is>
          <t>https://lpjk.pu.go.id/search-badan-usaha-detail/MDBNYmFLRzNLaHM5S3JiKzBTOWpvZz09</t>
        </is>
      </c>
      <c r="F168" t="n">
        <v>4</v>
      </c>
      <c r="G168" t="inlineStr">
        <is>
          <t>BG002, BG005, BG006, BG009</t>
        </is>
      </c>
      <c r="H168" t="inlineStr">
        <is>
          <t>4 September 2023</t>
        </is>
      </c>
      <c r="I168" s="2" t="n">
        <v>46313</v>
      </c>
      <c r="J168" t="inlineStr">
        <is>
          <t>Pencabutan</t>
        </is>
      </c>
      <c r="K168" t="n">
        <v>90</v>
      </c>
      <c r="L168" t="inlineStr">
        <is>
          <t>18 Oktober 2026</t>
        </is>
      </c>
      <c r="M168" t="inlineStr">
        <is>
          <t>Konstruksi Gedung Kesehatan, Konstruksi Gedung Lainnya, Konstruksi Gedung Pendidikan, Konstruksi Gedung Perkantoran</t>
        </is>
      </c>
      <c r="N168" t="inlineStr">
        <is>
          <t>K</t>
        </is>
      </c>
      <c r="O168" t="inlineStr">
        <is>
          <t>20231018</t>
        </is>
      </c>
      <c r="P168" t="inlineStr">
        <is>
          <t>Jawa Tengah</t>
        </is>
      </c>
      <c r="Q168" t="inlineStr"/>
    </row>
    <row r="169">
      <c r="A169" t="inlineStr">
        <is>
          <t>TONY PUTRA</t>
        </is>
      </c>
      <c r="B169" t="inlineStr">
        <is>
          <t>Kab. Trenggalek</t>
        </is>
      </c>
      <c r="C169" t="inlineStr">
        <is>
          <t>085204566540</t>
        </is>
      </c>
      <c r="D169" t="inlineStr">
        <is>
          <t>cvtonyputra@gmail.com</t>
        </is>
      </c>
      <c r="E169" t="inlineStr">
        <is>
          <t>https://lpjk.pu.go.id/search-badan-usaha-detail/RkVYbFk2bmcya2pLbWR5aVpLdjMwZz09</t>
        </is>
      </c>
      <c r="F169" t="n">
        <v>1</v>
      </c>
      <c r="G169" t="inlineStr">
        <is>
          <t>BS001</t>
        </is>
      </c>
      <c r="H169" t="inlineStr">
        <is>
          <t>7 Januari 2015</t>
        </is>
      </c>
      <c r="I169" s="2" t="n">
        <v>46313</v>
      </c>
      <c r="J169" t="inlineStr">
        <is>
          <t>Disetujui</t>
        </is>
      </c>
      <c r="K169" t="n">
        <v>90</v>
      </c>
      <c r="L169" t="inlineStr">
        <is>
          <t>18 Oktober 2026</t>
        </is>
      </c>
      <c r="M169" t="inlineStr">
        <is>
          <t>Konstruksi Bangunan Sipil Jalan</t>
        </is>
      </c>
      <c r="N169" t="inlineStr">
        <is>
          <t>K</t>
        </is>
      </c>
      <c r="O169" t="inlineStr">
        <is>
          <t>20230717</t>
        </is>
      </c>
      <c r="P169" t="inlineStr">
        <is>
          <t>Jawa Timur</t>
        </is>
      </c>
      <c r="Q169" t="inlineStr"/>
    </row>
    <row r="170">
      <c r="A170" t="inlineStr">
        <is>
          <t>TRI DAYA</t>
        </is>
      </c>
      <c r="B170" t="inlineStr">
        <is>
          <t>Kab. Banyuwangi</t>
        </is>
      </c>
      <c r="C170" t="inlineStr">
        <is>
          <t>081252488488</t>
        </is>
      </c>
      <c r="D170" t="inlineStr">
        <is>
          <t>triday4.cv@gmail.com</t>
        </is>
      </c>
      <c r="E170" t="inlineStr">
        <is>
          <t>https://lpjk.pu.go.id/search-badan-usaha-detail/aW5CeW1FR0F3WlUzcUFWOWdXY2trdz09</t>
        </is>
      </c>
      <c r="F170" t="n">
        <v>1</v>
      </c>
      <c r="G170" t="inlineStr">
        <is>
          <t>BS001</t>
        </is>
      </c>
      <c r="H170" t="inlineStr">
        <is>
          <t>23 Maret 1985</t>
        </is>
      </c>
      <c r="I170" s="2" t="n">
        <v>46313</v>
      </c>
      <c r="J170" t="inlineStr">
        <is>
          <t>Disetujui</t>
        </is>
      </c>
      <c r="K170" t="n">
        <v>90</v>
      </c>
      <c r="L170" t="inlineStr">
        <is>
          <t>18 Oktober 2026</t>
        </is>
      </c>
      <c r="M170" t="inlineStr">
        <is>
          <t>Konstruksi Bangunan Sipil Jalan</t>
        </is>
      </c>
      <c r="N170" t="inlineStr">
        <is>
          <t>K</t>
        </is>
      </c>
      <c r="O170" t="inlineStr">
        <is>
          <t>20231016</t>
        </is>
      </c>
      <c r="P170" t="inlineStr">
        <is>
          <t>Jawa Timur</t>
        </is>
      </c>
      <c r="Q170" t="inlineStr"/>
    </row>
    <row r="171">
      <c r="A171" t="inlineStr">
        <is>
          <t>TRI PUTRA KARYA</t>
        </is>
      </c>
      <c r="B171" t="inlineStr">
        <is>
          <t>Kab. Tabanan</t>
        </is>
      </c>
      <c r="C171" t="inlineStr">
        <is>
          <t>08123615074</t>
        </is>
      </c>
      <c r="D171" t="inlineStr">
        <is>
          <t>cv.triputrakarya908@gmail.com</t>
        </is>
      </c>
      <c r="E171" t="inlineStr">
        <is>
          <t>https://lpjk.pu.go.id/search-badan-usaha-detail/NmR1SEQyb3RPUGxOYUN3TDJGcUhtQT09</t>
        </is>
      </c>
      <c r="F171" t="n">
        <v>1</v>
      </c>
      <c r="G171" t="inlineStr">
        <is>
          <t>BG002</t>
        </is>
      </c>
      <c r="H171" t="inlineStr">
        <is>
          <t>21 Februari 2002</t>
        </is>
      </c>
      <c r="I171" s="2" t="n">
        <v>46313</v>
      </c>
      <c r="J171" t="inlineStr">
        <is>
          <t>Disetujui</t>
        </is>
      </c>
      <c r="K171" t="n">
        <v>90</v>
      </c>
      <c r="L171" t="inlineStr">
        <is>
          <t>18 Oktober 2026</t>
        </is>
      </c>
      <c r="M171" t="inlineStr">
        <is>
          <t>Konstruksi Gedung Perkantoran</t>
        </is>
      </c>
      <c r="N171" t="inlineStr">
        <is>
          <t>K</t>
        </is>
      </c>
      <c r="O171" t="inlineStr">
        <is>
          <t>20231016</t>
        </is>
      </c>
      <c r="P171" t="inlineStr">
        <is>
          <t>Bali</t>
        </is>
      </c>
      <c r="Q171" t="inlineStr"/>
    </row>
    <row r="172">
      <c r="A172" t="inlineStr">
        <is>
          <t>TRINDO KONSTRUKSI UTAMA</t>
        </is>
      </c>
      <c r="B172" t="inlineStr">
        <is>
          <t>Kota Surabaya</t>
        </is>
      </c>
      <c r="C172" t="inlineStr">
        <is>
          <t>0811330355</t>
        </is>
      </c>
      <c r="D172" t="inlineStr">
        <is>
          <t>trindokonstruksiutama@gmail.com</t>
        </is>
      </c>
      <c r="E172" t="inlineStr">
        <is>
          <t>https://lpjk.pu.go.id/search-badan-usaha-detail/dTF0d2kyTTM4ZEFYWlZWY0hNN3ZCQT09</t>
        </is>
      </c>
      <c r="F172" t="n">
        <v>2</v>
      </c>
      <c r="G172" t="inlineStr">
        <is>
          <t>BS007, BS017</t>
        </is>
      </c>
      <c r="H172" t="inlineStr">
        <is>
          <t>4 September 2023</t>
        </is>
      </c>
      <c r="I172" s="2" t="n">
        <v>46313</v>
      </c>
      <c r="J172" t="inlineStr">
        <is>
          <t>Disetujui</t>
        </is>
      </c>
      <c r="K172" t="n">
        <v>90</v>
      </c>
      <c r="L172" t="inlineStr">
        <is>
          <t>18 Oktober 2026</t>
        </is>
      </c>
      <c r="M172" t="inlineStr">
        <is>
          <t>Konstruksi Bangunan Sipil Elektrikal, Konstruksi Bangunan Sipil Lainnya Ytdl</t>
        </is>
      </c>
      <c r="N172" t="inlineStr">
        <is>
          <t>K</t>
        </is>
      </c>
      <c r="O172" t="inlineStr">
        <is>
          <t>20231018</t>
        </is>
      </c>
      <c r="P172" t="inlineStr">
        <is>
          <t>Jawa Timur</t>
        </is>
      </c>
      <c r="Q172" t="inlineStr"/>
    </row>
    <row r="173">
      <c r="A173" t="inlineStr">
        <is>
          <t>TRIPLE ASEJAHTERA</t>
        </is>
      </c>
      <c r="B173" t="inlineStr">
        <is>
          <t>Kab. Lamongan</t>
        </is>
      </c>
      <c r="C173" t="inlineStr">
        <is>
          <t>0895378792255</t>
        </is>
      </c>
      <c r="D173" t="inlineStr">
        <is>
          <t>hj.musjrifah@gmail.com</t>
        </is>
      </c>
      <c r="E173" t="inlineStr">
        <is>
          <t>https://lpjk.pu.go.id/search-badan-usaha-detail/TWNqS0VUYUZMaW02TWRhdFJOR3ZwQT09</t>
        </is>
      </c>
      <c r="F173" t="n">
        <v>1</v>
      </c>
      <c r="G173" t="inlineStr">
        <is>
          <t>BG006</t>
        </is>
      </c>
      <c r="H173" t="inlineStr">
        <is>
          <t>23 Juli 2018</t>
        </is>
      </c>
      <c r="I173" s="2" t="n">
        <v>46313</v>
      </c>
      <c r="J173" t="inlineStr">
        <is>
          <t>Disetujui</t>
        </is>
      </c>
      <c r="K173" t="n">
        <v>90</v>
      </c>
      <c r="L173" t="inlineStr">
        <is>
          <t>18 Oktober 2026</t>
        </is>
      </c>
      <c r="M173" t="inlineStr">
        <is>
          <t>Konstruksi Gedung Pendidikan</t>
        </is>
      </c>
      <c r="N173" t="inlineStr">
        <is>
          <t>K</t>
        </is>
      </c>
      <c r="O173" t="inlineStr">
        <is>
          <t>20231011</t>
        </is>
      </c>
      <c r="P173" t="inlineStr">
        <is>
          <t>Jawa Timur</t>
        </is>
      </c>
      <c r="Q173" t="inlineStr"/>
    </row>
    <row r="174">
      <c r="A174" t="inlineStr">
        <is>
          <t>TRISULA JAYA SAKTI</t>
        </is>
      </c>
      <c r="B174" t="inlineStr">
        <is>
          <t>Kab. Cianjur</t>
        </is>
      </c>
      <c r="C174" t="inlineStr">
        <is>
          <t>081312554513</t>
        </is>
      </c>
      <c r="D174" t="inlineStr">
        <is>
          <t>cvtrisulajayasakti23@gmail.com</t>
        </is>
      </c>
      <c r="E174" t="inlineStr">
        <is>
          <t>https://lpjk.pu.go.id/search-badan-usaha-detail/Qm9VbjltRzFIVmF1WVNkTjJXY2JWZz09</t>
        </is>
      </c>
      <c r="F174" t="n">
        <v>3</v>
      </c>
      <c r="G174" t="inlineStr">
        <is>
          <t>BG005, BG006, BG009</t>
        </is>
      </c>
      <c r="H174" t="inlineStr"/>
      <c r="I174" s="2" t="n">
        <v>46313</v>
      </c>
      <c r="J174" t="inlineStr">
        <is>
          <t>Pencabutan</t>
        </is>
      </c>
      <c r="K174" t="n">
        <v>90</v>
      </c>
      <c r="L174" t="inlineStr">
        <is>
          <t>18 Oktober 2026</t>
        </is>
      </c>
      <c r="M174" t="inlineStr">
        <is>
          <t>Konstruksi Gedung Kesehatan, Konstruksi Gedung Lainnya, Konstruksi Gedung Pendidikan</t>
        </is>
      </c>
      <c r="N174" t="inlineStr">
        <is>
          <t>K</t>
        </is>
      </c>
      <c r="O174" t="inlineStr">
        <is>
          <t>20231019</t>
        </is>
      </c>
      <c r="P174" t="inlineStr">
        <is>
          <t>Jawa Barat</t>
        </is>
      </c>
      <c r="Q174" t="inlineStr"/>
    </row>
    <row r="175">
      <c r="A175" t="inlineStr">
        <is>
          <t>TUGU MAS</t>
        </is>
      </c>
      <c r="B175" t="inlineStr">
        <is>
          <t>Kab. Nganjuk</t>
        </is>
      </c>
      <c r="C175" t="inlineStr">
        <is>
          <t>081249254492</t>
        </is>
      </c>
      <c r="D175" t="inlineStr">
        <is>
          <t>cv_tugumas@yahoo.com</t>
        </is>
      </c>
      <c r="E175" t="inlineStr">
        <is>
          <t>https://lpjk.pu.go.id/search-badan-usaha-detail/a1hlUjNoc05BOWIvaGk4SmUvdEVHQT09</t>
        </is>
      </c>
      <c r="F175" t="n">
        <v>1</v>
      </c>
      <c r="G175" t="inlineStr">
        <is>
          <t>BG009</t>
        </is>
      </c>
      <c r="H175" t="inlineStr">
        <is>
          <t>9 Januari 2006</t>
        </is>
      </c>
      <c r="I175" s="2" t="n">
        <v>46313</v>
      </c>
      <c r="J175" t="inlineStr">
        <is>
          <t>Disetujui</t>
        </is>
      </c>
      <c r="K175" t="n">
        <v>90</v>
      </c>
      <c r="L175" t="inlineStr">
        <is>
          <t>18 Oktober 2026</t>
        </is>
      </c>
      <c r="M175" t="inlineStr">
        <is>
          <t>Konstruksi Gedung Lainnya</t>
        </is>
      </c>
      <c r="N175" t="inlineStr">
        <is>
          <t>K</t>
        </is>
      </c>
      <c r="O175" t="inlineStr">
        <is>
          <t>20231017</t>
        </is>
      </c>
      <c r="P175" t="inlineStr">
        <is>
          <t>Jawa Timur</t>
        </is>
      </c>
      <c r="Q175" t="inlineStr"/>
    </row>
    <row r="176">
      <c r="A176" t="inlineStr">
        <is>
          <t>TUJUH TUJUH</t>
        </is>
      </c>
      <c r="B176" t="inlineStr">
        <is>
          <t>Kab. Blitar</t>
        </is>
      </c>
      <c r="C176" t="inlineStr">
        <is>
          <t>082233886906</t>
        </is>
      </c>
      <c r="D176" t="inlineStr">
        <is>
          <t>tujuhtujuh.cv@gmail.com</t>
        </is>
      </c>
      <c r="E176" t="inlineStr">
        <is>
          <t>https://lpjk.pu.go.id/search-badan-usaha-detail/UVlKMFExM0c2bS8rblNmY0FkbUk1QT09</t>
        </is>
      </c>
      <c r="F176" t="n">
        <v>1</v>
      </c>
      <c r="G176" t="inlineStr">
        <is>
          <t>BS001</t>
        </is>
      </c>
      <c r="H176" t="inlineStr">
        <is>
          <t>23 September 2006</t>
        </is>
      </c>
      <c r="I176" s="2" t="n">
        <v>46313</v>
      </c>
      <c r="J176" t="inlineStr">
        <is>
          <t>Disetujui</t>
        </is>
      </c>
      <c r="K176" t="n">
        <v>90</v>
      </c>
      <c r="L176" t="inlineStr">
        <is>
          <t>18 Oktober 2026</t>
        </is>
      </c>
      <c r="M176" t="inlineStr">
        <is>
          <t>Konstruksi Bangunan Sipil Jalan</t>
        </is>
      </c>
      <c r="N176" t="inlineStr">
        <is>
          <t>K</t>
        </is>
      </c>
      <c r="O176" t="inlineStr">
        <is>
          <t>20231016</t>
        </is>
      </c>
      <c r="P176" t="inlineStr">
        <is>
          <t>Jawa Timur</t>
        </is>
      </c>
      <c r="Q176" t="inlineStr"/>
    </row>
    <row r="177">
      <c r="A177" t="inlineStr">
        <is>
          <t>TUNAS BHAKTI SARANA</t>
        </is>
      </c>
      <c r="B177" t="inlineStr">
        <is>
          <t>Kab. Purbalingga</t>
        </is>
      </c>
      <c r="C177" t="inlineStr">
        <is>
          <t>081327670047</t>
        </is>
      </c>
      <c r="D177" t="inlineStr">
        <is>
          <t>pttunasbhaktisarana@gmail.com</t>
        </is>
      </c>
      <c r="E177" t="inlineStr">
        <is>
          <t>https://lpjk.pu.go.id/search-badan-usaha-detail/OEtZRi9kSU1iQlpoRWt0akpOU1lRZz09</t>
        </is>
      </c>
      <c r="F177" t="n">
        <v>1</v>
      </c>
      <c r="G177" t="inlineStr">
        <is>
          <t>BS001</t>
        </is>
      </c>
      <c r="H177" t="inlineStr">
        <is>
          <t>22 Juni 2012</t>
        </is>
      </c>
      <c r="I177" s="2" t="n">
        <v>46313</v>
      </c>
      <c r="J177" t="inlineStr">
        <is>
          <t>Disetujui</t>
        </is>
      </c>
      <c r="K177" t="n">
        <v>90</v>
      </c>
      <c r="L177" t="inlineStr">
        <is>
          <t>18 Oktober 2026</t>
        </is>
      </c>
      <c r="M177" t="inlineStr">
        <is>
          <t>Konstruksi Bangunan Sipil Jalan</t>
        </is>
      </c>
      <c r="N177" t="inlineStr">
        <is>
          <t>K</t>
        </is>
      </c>
      <c r="O177" t="inlineStr">
        <is>
          <t>20231017</t>
        </is>
      </c>
      <c r="P177" t="inlineStr">
        <is>
          <t>Jawa Tengah</t>
        </is>
      </c>
      <c r="Q177" t="inlineStr"/>
    </row>
    <row r="178">
      <c r="A178" t="inlineStr">
        <is>
          <t>TUNAS BUCI</t>
        </is>
      </c>
      <c r="B178" t="inlineStr">
        <is>
          <t>Kab. Mimika</t>
        </is>
      </c>
      <c r="C178" t="inlineStr">
        <is>
          <t>081240232712</t>
        </is>
      </c>
      <c r="D178" t="inlineStr">
        <is>
          <t>cvtunasbuci@gmail.com</t>
        </is>
      </c>
      <c r="E178" t="inlineStr">
        <is>
          <t>https://lpjk.pu.go.id/search-badan-usaha-detail/TkF0bE5CaTEzYS84THlUZUcvUXpwdz09</t>
        </is>
      </c>
      <c r="F178" t="n">
        <v>1</v>
      </c>
      <c r="G178" t="inlineStr">
        <is>
          <t>BG001</t>
        </is>
      </c>
      <c r="H178" t="inlineStr">
        <is>
          <t>21 Mei 2022</t>
        </is>
      </c>
      <c r="I178" s="2" t="n">
        <v>46313</v>
      </c>
      <c r="J178" t="inlineStr">
        <is>
          <t>Pencabutan</t>
        </is>
      </c>
      <c r="K178" t="n">
        <v>90</v>
      </c>
      <c r="L178" t="inlineStr">
        <is>
          <t>18 Oktober 2026</t>
        </is>
      </c>
      <c r="M178" t="inlineStr">
        <is>
          <t>Konstruksi Gedung Hunian</t>
        </is>
      </c>
      <c r="N178" t="inlineStr">
        <is>
          <t>K</t>
        </is>
      </c>
      <c r="O178" t="inlineStr">
        <is>
          <t>20231017</t>
        </is>
      </c>
      <c r="P178" t="inlineStr">
        <is>
          <t>Papua</t>
        </is>
      </c>
      <c r="Q178" t="inlineStr"/>
    </row>
    <row r="179">
      <c r="A179" t="inlineStr">
        <is>
          <t>USAHA JAYAMAS BHAKTI</t>
        </is>
      </c>
      <c r="B179" t="inlineStr">
        <is>
          <t>Kota Adm. Jakarta Utara</t>
        </is>
      </c>
      <c r="C179" t="inlineStr">
        <is>
          <t>02165837136</t>
        </is>
      </c>
      <c r="D179" t="inlineStr">
        <is>
          <t>usaha.bhakti@yahoo.com</t>
        </is>
      </c>
      <c r="E179" t="inlineStr">
        <is>
          <t>https://lpjk.pu.go.id/search-badan-usaha-detail/WFg4Rk1NWDFua0ZYZnp5OWNDSGdoQT09</t>
        </is>
      </c>
      <c r="F179" t="n">
        <v>1</v>
      </c>
      <c r="G179" t="inlineStr">
        <is>
          <t>BG009</t>
        </is>
      </c>
      <c r="H179" t="inlineStr">
        <is>
          <t>31 Oktober 1978</t>
        </is>
      </c>
      <c r="I179" s="2" t="n">
        <v>46313</v>
      </c>
      <c r="J179" t="inlineStr">
        <is>
          <t>Pencabutan</t>
        </is>
      </c>
      <c r="K179" t="n">
        <v>90</v>
      </c>
      <c r="L179" t="inlineStr">
        <is>
          <t>18 Oktober 2026</t>
        </is>
      </c>
      <c r="M179" t="inlineStr">
        <is>
          <t>Konstruksi Gedung Lainnya</t>
        </is>
      </c>
      <c r="N179" t="inlineStr">
        <is>
          <t>B</t>
        </is>
      </c>
      <c r="O179" t="inlineStr">
        <is>
          <t>20231012</t>
        </is>
      </c>
      <c r="P179" t="inlineStr">
        <is>
          <t>DKI Jakarta</t>
        </is>
      </c>
      <c r="Q179" t="inlineStr"/>
    </row>
    <row r="180">
      <c r="A180" t="inlineStr">
        <is>
          <t>USAHA MAULIDA</t>
        </is>
      </c>
      <c r="B180" t="inlineStr">
        <is>
          <t>Kab. Gresik</t>
        </is>
      </c>
      <c r="C180" t="inlineStr">
        <is>
          <t>085850922214</t>
        </is>
      </c>
      <c r="D180" t="inlineStr">
        <is>
          <t>usahamaulidah@gmail.com</t>
        </is>
      </c>
      <c r="E180" t="inlineStr">
        <is>
          <t>https://lpjk.pu.go.id/search-badan-usaha-detail/bm83R3oxU0U1VCtuNDJ5VGpUbVIvUT09</t>
        </is>
      </c>
      <c r="F180" t="n">
        <v>2</v>
      </c>
      <c r="G180" t="inlineStr">
        <is>
          <t>BG002, BG004</t>
        </is>
      </c>
      <c r="H180" t="inlineStr">
        <is>
          <t>9 Maret 2000</t>
        </is>
      </c>
      <c r="I180" s="2" t="n">
        <v>46313</v>
      </c>
      <c r="J180" t="inlineStr">
        <is>
          <t>Disetujui, Pencabutan</t>
        </is>
      </c>
      <c r="K180" t="n">
        <v>90</v>
      </c>
      <c r="L180" t="inlineStr">
        <is>
          <t>18 Oktober 2026</t>
        </is>
      </c>
      <c r="M180" t="inlineStr">
        <is>
          <t>Konstruksi Gedung Perbelanjaan, Konstruksi Gedung Perkantoran</t>
        </is>
      </c>
      <c r="N180" t="inlineStr">
        <is>
          <t>K</t>
        </is>
      </c>
      <c r="O180" t="inlineStr">
        <is>
          <t>20231012</t>
        </is>
      </c>
      <c r="P180" t="inlineStr">
        <is>
          <t>Jawa Timur</t>
        </is>
      </c>
      <c r="Q180" t="inlineStr"/>
    </row>
    <row r="181">
      <c r="A181" t="inlineStr">
        <is>
          <t>VIRA KARYA SAKTI</t>
        </is>
      </c>
      <c r="B181" t="inlineStr">
        <is>
          <t>Kab. Jember</t>
        </is>
      </c>
      <c r="C181" t="inlineStr">
        <is>
          <t>081233457351</t>
        </is>
      </c>
      <c r="D181" t="inlineStr">
        <is>
          <t>virakaryasakti@gmail.com</t>
        </is>
      </c>
      <c r="E181" t="inlineStr">
        <is>
          <t>https://lpjk.pu.go.id/search-badan-usaha-detail/c1BWaVRJK1o5bk9QZmF0dHlrMGx0UT09</t>
        </is>
      </c>
      <c r="F181" t="n">
        <v>1</v>
      </c>
      <c r="G181" t="inlineStr">
        <is>
          <t>BG001</t>
        </is>
      </c>
      <c r="H181" t="inlineStr">
        <is>
          <t>6 Januari 2012</t>
        </is>
      </c>
      <c r="I181" s="2" t="n">
        <v>46313</v>
      </c>
      <c r="J181" t="inlineStr">
        <is>
          <t>Disetujui</t>
        </is>
      </c>
      <c r="K181" t="n">
        <v>90</v>
      </c>
      <c r="L181" t="inlineStr">
        <is>
          <t>18 Oktober 2026</t>
        </is>
      </c>
      <c r="M181" t="inlineStr">
        <is>
          <t>Konstruksi Gedung Hunian</t>
        </is>
      </c>
      <c r="N181" t="inlineStr">
        <is>
          <t>K</t>
        </is>
      </c>
      <c r="O181" t="inlineStr">
        <is>
          <t>20231012</t>
        </is>
      </c>
      <c r="P181" t="inlineStr">
        <is>
          <t>Jawa Timur</t>
        </is>
      </c>
      <c r="Q181" t="inlineStr"/>
    </row>
    <row r="182">
      <c r="A182" t="inlineStr">
        <is>
          <t>WAHYU MUSTIKA ENGINEERING</t>
        </is>
      </c>
      <c r="B182" t="inlineStr">
        <is>
          <t>Kota Cilegon</t>
        </is>
      </c>
      <c r="C182" t="inlineStr">
        <is>
          <t>081282073832</t>
        </is>
      </c>
      <c r="D182" t="inlineStr">
        <is>
          <t>wahyumustikaengineering@yahoo.co.id</t>
        </is>
      </c>
      <c r="E182" t="inlineStr">
        <is>
          <t>https://lpjk.pu.go.id/search-badan-usaha-detail/RWVOZHpGWk1GaGovYWc0ak9HMzc3QT09</t>
        </is>
      </c>
      <c r="F182" t="n">
        <v>1</v>
      </c>
      <c r="G182" t="inlineStr">
        <is>
          <t>BG003</t>
        </is>
      </c>
      <c r="H182" t="inlineStr">
        <is>
          <t>17 Maret 2011</t>
        </is>
      </c>
      <c r="I182" s="2" t="n">
        <v>46313</v>
      </c>
      <c r="J182" t="inlineStr">
        <is>
          <t>Disetujui</t>
        </is>
      </c>
      <c r="K182" t="n">
        <v>90</v>
      </c>
      <c r="L182" t="inlineStr">
        <is>
          <t>18 Oktober 2026</t>
        </is>
      </c>
      <c r="M182" t="inlineStr">
        <is>
          <t>Konstruksi Gedung Industri</t>
        </is>
      </c>
      <c r="N182" t="inlineStr">
        <is>
          <t>K</t>
        </is>
      </c>
      <c r="O182" t="inlineStr">
        <is>
          <t>20231018</t>
        </is>
      </c>
      <c r="P182" t="inlineStr">
        <is>
          <t>Banten</t>
        </is>
      </c>
      <c r="Q182" t="inlineStr"/>
    </row>
    <row r="183">
      <c r="A183" t="inlineStr">
        <is>
          <t>WIRA KARYA TEHNIKA</t>
        </is>
      </c>
      <c r="B183" t="inlineStr">
        <is>
          <t>Kab. Tuban</t>
        </is>
      </c>
      <c r="C183" t="inlineStr">
        <is>
          <t>085732453166</t>
        </is>
      </c>
      <c r="D183" t="inlineStr">
        <is>
          <t>wirakaryatehnika45@gmail.com</t>
        </is>
      </c>
      <c r="E183" t="inlineStr">
        <is>
          <t>https://lpjk.pu.go.id/search-badan-usaha-detail/VE9JYWRzQ1o4QlZMOUlKRmtKOXFKUT09</t>
        </is>
      </c>
      <c r="F183" t="n">
        <v>1</v>
      </c>
      <c r="G183" t="inlineStr">
        <is>
          <t>BG002</t>
        </is>
      </c>
      <c r="H183" t="inlineStr">
        <is>
          <t>29 Desember 2014</t>
        </is>
      </c>
      <c r="I183" s="2" t="n">
        <v>46313</v>
      </c>
      <c r="J183" t="inlineStr">
        <is>
          <t>Pencabutan</t>
        </is>
      </c>
      <c r="K183" t="n">
        <v>90</v>
      </c>
      <c r="L183" t="inlineStr">
        <is>
          <t>18 Oktober 2026</t>
        </is>
      </c>
      <c r="M183" t="inlineStr">
        <is>
          <t>Konstruksi Gedung Perkantoran</t>
        </is>
      </c>
      <c r="N183" t="inlineStr">
        <is>
          <t>K</t>
        </is>
      </c>
      <c r="O183" t="inlineStr">
        <is>
          <t>20231018</t>
        </is>
      </c>
      <c r="P183" t="inlineStr">
        <is>
          <t>Jawa Timur</t>
        </is>
      </c>
      <c r="Q183" t="inlineStr"/>
    </row>
    <row r="184">
      <c r="A184" t="inlineStr">
        <is>
          <t>YURA PUTRA UTAMA</t>
        </is>
      </c>
      <c r="B184" t="inlineStr">
        <is>
          <t>Kab. Serang</t>
        </is>
      </c>
      <c r="C184" t="inlineStr">
        <is>
          <t>087774186560</t>
        </is>
      </c>
      <c r="D184" t="inlineStr">
        <is>
          <t>yuraputrautama@gmail.com</t>
        </is>
      </c>
      <c r="E184" t="inlineStr">
        <is>
          <t>https://lpjk.pu.go.id/search-badan-usaha-detail/WlV3RXhYcFEyUWxqeEZwTGNnbE53QT09</t>
        </is>
      </c>
      <c r="F184" t="n">
        <v>1</v>
      </c>
      <c r="G184" t="inlineStr">
        <is>
          <t>BG009</t>
        </is>
      </c>
      <c r="H184" t="inlineStr">
        <is>
          <t>20 Januari 2020</t>
        </is>
      </c>
      <c r="I184" s="2" t="n">
        <v>46313</v>
      </c>
      <c r="J184" t="inlineStr">
        <is>
          <t>Disetujui</t>
        </is>
      </c>
      <c r="K184" t="n">
        <v>90</v>
      </c>
      <c r="L184" t="inlineStr">
        <is>
          <t>18 Oktober 2026</t>
        </is>
      </c>
      <c r="M184" t="inlineStr">
        <is>
          <t>Konstruksi Gedung Lainnya</t>
        </is>
      </c>
      <c r="N184" t="inlineStr">
        <is>
          <t>K</t>
        </is>
      </c>
      <c r="O184" t="inlineStr">
        <is>
          <t>20231016</t>
        </is>
      </c>
      <c r="P184" t="inlineStr">
        <is>
          <t>Banten</t>
        </is>
      </c>
      <c r="Q184" t="inlineStr"/>
    </row>
    <row r="185">
      <c r="A185" t="inlineStr">
        <is>
          <t>ZAHRA VISITAMA</t>
        </is>
      </c>
      <c r="B185" t="inlineStr">
        <is>
          <t>Kab. Pandeglang</t>
        </is>
      </c>
      <c r="C185" t="inlineStr">
        <is>
          <t>085813586227</t>
        </is>
      </c>
      <c r="D185" t="inlineStr">
        <is>
          <t>andriawan101187@gmail.com</t>
        </is>
      </c>
      <c r="E185" t="inlineStr">
        <is>
          <t>https://lpjk.pu.go.id/search-badan-usaha-detail/TkJaSm5uVk8rMHcrR3p6cnNCcXQ4Zz09</t>
        </is>
      </c>
      <c r="F185" t="n">
        <v>10</v>
      </c>
      <c r="G185" t="inlineStr">
        <is>
          <t>BG004, BG005, BG006, BG009, BS001</t>
        </is>
      </c>
      <c r="H185" t="inlineStr">
        <is>
          <t>5 Agustus 2015</t>
        </is>
      </c>
      <c r="I185" s="2" t="n">
        <v>46313</v>
      </c>
      <c r="J185" t="inlineStr">
        <is>
          <t>Disetujui</t>
        </is>
      </c>
      <c r="K185" t="n">
        <v>90</v>
      </c>
      <c r="L185" t="inlineStr">
        <is>
          <t>18 Oktober 2026</t>
        </is>
      </c>
      <c r="M185" t="inlineStr">
        <is>
          <t>Konstruksi Bangunan Sipil Jalan, Konstruksi Gedung Kesehatan, Konstruksi Gedung Lainnya, Konstruksi Gedung Pendidikan, Konstruksi Gedung Perbelanjaan</t>
        </is>
      </c>
      <c r="N185" t="inlineStr">
        <is>
          <t>K</t>
        </is>
      </c>
      <c r="O185" t="inlineStr">
        <is>
          <t>20230926</t>
        </is>
      </c>
      <c r="P185" t="inlineStr">
        <is>
          <t>Banten</t>
        </is>
      </c>
      <c r="Q185" t="inlineStr"/>
    </row>
    <row r="186">
      <c r="A186" t="inlineStr">
        <is>
          <t>bangun utama</t>
        </is>
      </c>
      <c r="B186" t="inlineStr">
        <is>
          <t>Kab. Banyumas</t>
        </is>
      </c>
      <c r="C186" t="inlineStr">
        <is>
          <t>0812 2708 421_</t>
        </is>
      </c>
      <c r="D186" t="inlineStr">
        <is>
          <t>cvbangunutama99@yahoo.com</t>
        </is>
      </c>
      <c r="E186" t="inlineStr">
        <is>
          <t>https://lpjk.pu.go.id/search-badan-usaha-detail/QytGdFhUQzJsV1EwNHRxbFFtWC9sZz09</t>
        </is>
      </c>
      <c r="F186" t="n">
        <v>1</v>
      </c>
      <c r="G186" t="inlineStr">
        <is>
          <t>BG006</t>
        </is>
      </c>
      <c r="H186" t="inlineStr">
        <is>
          <t>10 November 1993</t>
        </is>
      </c>
      <c r="I186" s="2" t="n">
        <v>46313</v>
      </c>
      <c r="J186" t="inlineStr">
        <is>
          <t>Disetujui</t>
        </is>
      </c>
      <c r="K186" t="n">
        <v>90</v>
      </c>
      <c r="L186" t="inlineStr">
        <is>
          <t>18 Oktober 2026</t>
        </is>
      </c>
      <c r="M186" t="inlineStr">
        <is>
          <t>Konstruksi Gedung Pendidikan</t>
        </is>
      </c>
      <c r="N186" t="inlineStr">
        <is>
          <t>K</t>
        </is>
      </c>
      <c r="O186" t="inlineStr">
        <is>
          <t>20231016</t>
        </is>
      </c>
      <c r="P186" t="inlineStr">
        <is>
          <t>Jawa Tengah</t>
        </is>
      </c>
      <c r="Q18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8"/>
  <sheetViews>
    <sheetView workbookViewId="0">
      <selection activeCell="A1" sqref="A1"/>
    </sheetView>
  </sheetViews>
  <sheetFormatPr baseColWidth="8" defaultRowHeight="15"/>
  <cols>
    <col width="42" customWidth="1" min="1" max="1"/>
    <col width="27" customWidth="1" min="2" max="2"/>
    <col width="16" customWidth="1" min="3" max="3"/>
    <col width="45" customWidth="1" min="4" max="4"/>
    <col width="50" customWidth="1" min="5" max="5"/>
    <col width="18" customWidth="1" min="6" max="6"/>
    <col width="49" customWidth="1" min="7" max="7"/>
    <col width="20" customWidth="1" min="8" max="8"/>
    <col width="28" customWidth="1" min="9" max="9"/>
    <col width="46" customWidth="1" min="10" max="10"/>
    <col width="11" customWidth="1" min="11" max="11"/>
    <col width="19"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AGRIFAMILI SARANA EXEDIS INDONESIA</t>
        </is>
      </c>
      <c r="B2" t="inlineStr">
        <is>
          <t>Kota Bogor</t>
        </is>
      </c>
      <c r="C2" t="inlineStr">
        <is>
          <t>02517558013</t>
        </is>
      </c>
      <c r="D2" t="inlineStr">
        <is>
          <t>info@agrifam.co.id</t>
        </is>
      </c>
      <c r="E2" t="inlineStr">
        <is>
          <t>https://lpjk.pu.go.id/search-badan-usaha-detail/ck1hMEJJazNOZ2E2TmMrZHgyYTFnQT09</t>
        </is>
      </c>
      <c r="F2" t="n">
        <v>2</v>
      </c>
      <c r="G2" t="inlineStr">
        <is>
          <t>BS017</t>
        </is>
      </c>
      <c r="H2" t="inlineStr">
        <is>
          <t>15 Januari 2019</t>
        </is>
      </c>
      <c r="I2" s="2" t="n">
        <v>46283</v>
      </c>
      <c r="J2" t="inlineStr">
        <is>
          <t>Disetujui</t>
        </is>
      </c>
      <c r="K2" t="n">
        <v>60</v>
      </c>
      <c r="L2" t="inlineStr">
        <is>
          <t>18 September 2026</t>
        </is>
      </c>
      <c r="M2" t="inlineStr">
        <is>
          <t>Konstruksi Bangunan Sipil Lainnya Ytdl</t>
        </is>
      </c>
      <c r="N2" t="inlineStr">
        <is>
          <t>K</t>
        </is>
      </c>
      <c r="O2" t="inlineStr">
        <is>
          <t>20230905</t>
        </is>
      </c>
      <c r="P2" t="inlineStr">
        <is>
          <t>Jawa Barat</t>
        </is>
      </c>
      <c r="Q2" s="3">
        <f>HYPERLINK("https://wa.me/622517558013?text=*[PENGINGAT MASA BERLAKU SBU AGRIFAMILI SARANA EXEDIS INDONESIA]*%0A%0AYth. Pimpinan AGRIFAMILI SARANA EXEDIS INDONESIA,%0AMohon izin menginformasikan status SBU Anda di sistem LPJK:%0A%0A📄 SBU: BS017%0A📅 Expired: 18 September 2026 (60 Hari Lagi)%0A%0AKami tim PT. ESDEA Assistance Management siap men-support proses perpanjangan segera agar administrasi proyek tidak terhambat%0A%0AApakah boleh saya bantu siapkan estimasi biaya dan waktu pengerjaannya?.", "Hubungi")</f>
        <v/>
      </c>
    </row>
    <row r="3">
      <c r="A3" t="inlineStr">
        <is>
          <t>ALDO VICTORY</t>
        </is>
      </c>
      <c r="B3" t="inlineStr">
        <is>
          <t>Kota Depok</t>
        </is>
      </c>
      <c r="C3" t="inlineStr">
        <is>
          <t>02177801604</t>
        </is>
      </c>
      <c r="D3" t="inlineStr">
        <is>
          <t>aldovictory7@gmail.com</t>
        </is>
      </c>
      <c r="E3" t="inlineStr">
        <is>
          <t>https://lpjk.pu.go.id/search-badan-usaha-detail/RzR3SWFkeDQ0UlJPQUVvTkxuTDN0dz09</t>
        </is>
      </c>
      <c r="F3" t="n">
        <v>1</v>
      </c>
      <c r="G3" t="inlineStr">
        <is>
          <t>BS001</t>
        </is>
      </c>
      <c r="H3" t="inlineStr">
        <is>
          <t>5 Januari 2017</t>
        </is>
      </c>
      <c r="I3" s="2" t="n">
        <v>46283</v>
      </c>
      <c r="J3" t="inlineStr">
        <is>
          <t>Disetujui</t>
        </is>
      </c>
      <c r="K3" t="n">
        <v>60</v>
      </c>
      <c r="L3" t="inlineStr">
        <is>
          <t>18 September 2026</t>
        </is>
      </c>
      <c r="M3" t="inlineStr">
        <is>
          <t>Konstruksi Bangunan Sipil Jalan</t>
        </is>
      </c>
      <c r="N3" t="inlineStr">
        <is>
          <t>K</t>
        </is>
      </c>
      <c r="O3" t="inlineStr">
        <is>
          <t>20230822</t>
        </is>
      </c>
      <c r="P3" t="inlineStr">
        <is>
          <t>Jawa Barat</t>
        </is>
      </c>
      <c r="Q3" t="inlineStr"/>
    </row>
    <row r="4">
      <c r="A4" t="inlineStr">
        <is>
          <t>BIMA PERSHADA</t>
        </is>
      </c>
      <c r="B4" t="inlineStr">
        <is>
          <t>Kota Depok</t>
        </is>
      </c>
      <c r="C4" t="inlineStr">
        <is>
          <t>02177831508</t>
        </is>
      </c>
      <c r="D4" t="inlineStr">
        <is>
          <t>bima.pshd@gmail.com</t>
        </is>
      </c>
      <c r="E4" t="inlineStr">
        <is>
          <t>https://lpjk.pu.go.id/search-badan-usaha-detail/Uk5nQzNCWnhZelFRYVlrVGU5TUJtQT09</t>
        </is>
      </c>
      <c r="F4" t="n">
        <v>2</v>
      </c>
      <c r="G4" t="inlineStr">
        <is>
          <t>BS001, BS004</t>
        </is>
      </c>
      <c r="H4" t="inlineStr">
        <is>
          <t>27 Juli 2010</t>
        </is>
      </c>
      <c r="I4" s="2" t="n">
        <v>46283</v>
      </c>
      <c r="J4" t="inlineStr">
        <is>
          <t>Disetujui</t>
        </is>
      </c>
      <c r="K4" t="n">
        <v>60</v>
      </c>
      <c r="L4" t="inlineStr">
        <is>
          <t>18 September 2026</t>
        </is>
      </c>
      <c r="M4" t="inlineStr">
        <is>
          <t>Konstruksi Bangunan Sipil Jalan, Konstruksi Jaringan Irigasi dan Drainase</t>
        </is>
      </c>
      <c r="N4" t="inlineStr">
        <is>
          <t>K</t>
        </is>
      </c>
      <c r="O4" t="inlineStr">
        <is>
          <t>20230915</t>
        </is>
      </c>
      <c r="P4" t="inlineStr">
        <is>
          <t>Jawa Barat</t>
        </is>
      </c>
      <c r="Q4" t="inlineStr"/>
    </row>
    <row r="5">
      <c r="A5" t="inlineStr">
        <is>
          <t>DWIDA JAYA TAMA</t>
        </is>
      </c>
      <c r="B5" t="inlineStr">
        <is>
          <t>Kab. Bogor</t>
        </is>
      </c>
      <c r="C5" t="inlineStr">
        <is>
          <t>02518618889</t>
        </is>
      </c>
      <c r="D5" t="inlineStr">
        <is>
          <t>legal@dwidajayatama.com</t>
        </is>
      </c>
      <c r="E5" t="inlineStr">
        <is>
          <t>https://lpjk.pu.go.id/search-badan-usaha-detail/MVRmVm1uMXFtL0hCMzd0R2tua01lUT09</t>
        </is>
      </c>
      <c r="F5" t="n">
        <v>2</v>
      </c>
      <c r="G5" t="inlineStr">
        <is>
          <t>PB004</t>
        </is>
      </c>
      <c r="H5" t="inlineStr">
        <is>
          <t>13 Januari 2006</t>
        </is>
      </c>
      <c r="I5" s="2" t="n">
        <v>46283</v>
      </c>
      <c r="J5" t="inlineStr">
        <is>
          <t>Disetujui</t>
        </is>
      </c>
      <c r="K5" t="n">
        <v>60</v>
      </c>
      <c r="L5" t="inlineStr">
        <is>
          <t>18 September 2026</t>
        </is>
      </c>
      <c r="M5" t="inlineStr">
        <is>
          <t>Dekorasi Interior</t>
        </is>
      </c>
      <c r="N5" t="inlineStr">
        <is>
          <t>Spesialis</t>
        </is>
      </c>
      <c r="O5" t="inlineStr">
        <is>
          <t>20230824</t>
        </is>
      </c>
      <c r="P5" t="inlineStr">
        <is>
          <t>Jawa Barat</t>
        </is>
      </c>
      <c r="Q5" s="3">
        <f>HYPERLINK("https://wa.me/622518618889?text=*[PENGINGAT MASA BERLAKU SBU DWIDA JAYA TAMA]*%0A%0AYth. Pimpinan DWIDA JAYA TAMA,%0AMohon izin menginformasikan status SBU Anda di sistem LPJK:%0A%0A📄 SBU: PB004%0A📅 Expired: 18 September 2026 (60 Hari Lagi)%0A%0AKami tim PT. ESDEA Assistance Management siap men-support proses perpanjangan segera agar administrasi proyek tidak terhambat%0A%0AApakah boleh saya bantu siapkan estimasi biaya dan waktu pengerjaannya?.", "Hubungi")</f>
        <v/>
      </c>
    </row>
    <row r="6">
      <c r="A6" t="inlineStr">
        <is>
          <t>KHARISMA KARYA PERSADA</t>
        </is>
      </c>
      <c r="B6" t="inlineStr">
        <is>
          <t>Kota Bekasi</t>
        </is>
      </c>
      <c r="C6" t="inlineStr">
        <is>
          <t>02182422120</t>
        </is>
      </c>
      <c r="D6" t="inlineStr">
        <is>
          <t>cv.kharismakaryapersada@gmail.com</t>
        </is>
      </c>
      <c r="E6" t="inlineStr">
        <is>
          <t>https://lpjk.pu.go.id/search-badan-usaha-detail/QU9LbHJIMks0RE42akRrZUR5R21ZQT09</t>
        </is>
      </c>
      <c r="F6" t="n">
        <v>2</v>
      </c>
      <c r="G6" t="inlineStr">
        <is>
          <t>BG001</t>
        </is>
      </c>
      <c r="H6" t="inlineStr">
        <is>
          <t>16 Desember 2000</t>
        </is>
      </c>
      <c r="I6" s="2" t="n">
        <v>46283</v>
      </c>
      <c r="J6" t="inlineStr">
        <is>
          <t>Disetujui</t>
        </is>
      </c>
      <c r="K6" t="n">
        <v>60</v>
      </c>
      <c r="L6" t="inlineStr">
        <is>
          <t>18 September 2026</t>
        </is>
      </c>
      <c r="M6" t="inlineStr">
        <is>
          <t>Konstruksi Gedung Hunian</t>
        </is>
      </c>
      <c r="N6" t="inlineStr">
        <is>
          <t>K</t>
        </is>
      </c>
      <c r="O6" t="inlineStr">
        <is>
          <t>20230914</t>
        </is>
      </c>
      <c r="P6" t="inlineStr">
        <is>
          <t>Jawa Barat</t>
        </is>
      </c>
      <c r="Q6" t="inlineStr"/>
    </row>
    <row r="7">
      <c r="A7" t="inlineStr">
        <is>
          <t>MORAMON</t>
        </is>
      </c>
      <c r="B7" t="inlineStr">
        <is>
          <t>Kota Adm. Jakarta Timur</t>
        </is>
      </c>
      <c r="C7" t="inlineStr">
        <is>
          <t>08129217233</t>
        </is>
      </c>
      <c r="D7" t="inlineStr">
        <is>
          <t>moramon.pt@gmail.com</t>
        </is>
      </c>
      <c r="E7" t="inlineStr">
        <is>
          <t>https://lpjk.pu.go.id/search-badan-usaha-detail/dEUxMS8yWmEzbUs2dFZZd2pIV29WQT09</t>
        </is>
      </c>
      <c r="F7" t="n">
        <v>1</v>
      </c>
      <c r="G7" t="inlineStr">
        <is>
          <t>BG005</t>
        </is>
      </c>
      <c r="H7" t="inlineStr">
        <is>
          <t>9 September 2009</t>
        </is>
      </c>
      <c r="I7" s="2" t="n">
        <v>46283</v>
      </c>
      <c r="J7" t="inlineStr">
        <is>
          <t>Disetujui</t>
        </is>
      </c>
      <c r="K7" t="n">
        <v>60</v>
      </c>
      <c r="L7" t="inlineStr">
        <is>
          <t>18 September 2026</t>
        </is>
      </c>
      <c r="M7" t="inlineStr">
        <is>
          <t>Konstruksi Gedung Kesehatan</t>
        </is>
      </c>
      <c r="N7" t="inlineStr">
        <is>
          <t>K</t>
        </is>
      </c>
      <c r="O7" t="inlineStr">
        <is>
          <t>20230914</t>
        </is>
      </c>
      <c r="P7" t="inlineStr">
        <is>
          <t>DKI Jakarta</t>
        </is>
      </c>
      <c r="Q7" s="3">
        <f>HYPERLINK("https://wa.me/628129217233?text=*[PENGINGAT MASA BERLAKU SBU MORAMON]*%0A%0AYth. Pimpinan MORAMON,%0AMohon izin menginformasikan status SBU Anda di sistem LPJK:%0A%0A📄 SBU: BG005%0A📅 Expired: 18 September 2026 (60 Hari Lagi)%0A%0AKami tim PT. ESDEA Assistance Management siap men-support proses perpanjangan segera agar administrasi proyek tidak terhambat%0A%0AApakah boleh saya bantu siapkan estimasi biaya dan waktu pengerjaannya?.", "Hubungi")</f>
        <v/>
      </c>
    </row>
    <row r="8">
      <c r="A8" t="inlineStr">
        <is>
          <t>NUR JAYA</t>
        </is>
      </c>
      <c r="B8" t="inlineStr">
        <is>
          <t>Kota Depok</t>
        </is>
      </c>
      <c r="C8" t="inlineStr">
        <is>
          <t>085289527802</t>
        </is>
      </c>
      <c r="D8" t="inlineStr">
        <is>
          <t>cv.nurjaya1985@gmail.com</t>
        </is>
      </c>
      <c r="E8" t="inlineStr">
        <is>
          <t>https://lpjk.pu.go.id/search-badan-usaha-detail/VlBvRWRMWExLZ21DMFhlRUc1aFJBQT09</t>
        </is>
      </c>
      <c r="F8" t="n">
        <v>1</v>
      </c>
      <c r="G8" t="inlineStr">
        <is>
          <t>BG002</t>
        </is>
      </c>
      <c r="H8" t="inlineStr">
        <is>
          <t>14 Mei 1985</t>
        </is>
      </c>
      <c r="I8" s="2" t="n">
        <v>46283</v>
      </c>
      <c r="J8" t="inlineStr">
        <is>
          <t>Disetujui</t>
        </is>
      </c>
      <c r="K8" t="n">
        <v>60</v>
      </c>
      <c r="L8" t="inlineStr">
        <is>
          <t>18 September 2026</t>
        </is>
      </c>
      <c r="M8" t="inlineStr">
        <is>
          <t>Konstruksi Gedung Perkantoran</t>
        </is>
      </c>
      <c r="N8" t="inlineStr">
        <is>
          <t>K</t>
        </is>
      </c>
      <c r="O8" t="inlineStr">
        <is>
          <t>20230912</t>
        </is>
      </c>
      <c r="P8" t="inlineStr">
        <is>
          <t>Jawa Barat</t>
        </is>
      </c>
      <c r="Q8" s="3">
        <f>HYPERLINK("https://wa.me/6285289527802?text=*[PENGINGAT MASA BERLAKU SBU NUR JAYA]*%0A%0AYth. Pimpinan NUR JAYA,%0AMohon izin menginformasikan status SBU Anda di sistem LPJK:%0A%0A📄 SBU: BG002%0A📅 Expired: 18 September 2026 (60 Hari Lagi)%0A%0AKami tim PT. ESDEA Assistance Management siap men-support proses perpanjangan segera agar administrasi proyek tidak terhambat%0A%0AApakah boleh saya bantu siapkan estimasi biaya dan waktu pengerjaannya?.", "Hubungi")</f>
        <v/>
      </c>
    </row>
    <row r="9">
      <c r="A9" t="inlineStr">
        <is>
          <t>PUTRA MANDIRI PRODUKSI</t>
        </is>
      </c>
      <c r="B9" t="inlineStr">
        <is>
          <t>Kab. Bogor</t>
        </is>
      </c>
      <c r="C9" t="inlineStr">
        <is>
          <t>022518413483</t>
        </is>
      </c>
      <c r="D9" t="inlineStr">
        <is>
          <t>info.putramandiriproduksi@gmail.com</t>
        </is>
      </c>
      <c r="E9" t="inlineStr">
        <is>
          <t>https://lpjk.pu.go.id/search-badan-usaha-detail/Wm05OXdYVEh2dDdMWE1xaWVVNGIrZz09</t>
        </is>
      </c>
      <c r="F9" t="n">
        <v>3</v>
      </c>
      <c r="G9" t="inlineStr">
        <is>
          <t>BG004, BG009, PB004</t>
        </is>
      </c>
      <c r="H9" t="inlineStr">
        <is>
          <t>5 Oktober 2022</t>
        </is>
      </c>
      <c r="I9" s="2" t="n">
        <v>46283</v>
      </c>
      <c r="J9" t="inlineStr">
        <is>
          <t>Disetujui, Pencabutan</t>
        </is>
      </c>
      <c r="K9" t="n">
        <v>60</v>
      </c>
      <c r="L9" t="inlineStr">
        <is>
          <t>18 September 2026</t>
        </is>
      </c>
      <c r="M9" t="inlineStr">
        <is>
          <t>Dekorasi Interior, Konstruksi Gedung Lainnya, Konstruksi Gedung Perbelanjaan</t>
        </is>
      </c>
      <c r="N9" t="inlineStr">
        <is>
          <t>K, Spesialis</t>
        </is>
      </c>
      <c r="O9" t="inlineStr">
        <is>
          <t>20230913, 20230914</t>
        </is>
      </c>
      <c r="P9" t="inlineStr">
        <is>
          <t>Jawa Barat</t>
        </is>
      </c>
      <c r="Q9" s="3">
        <f>HYPERLINK("https://wa.me/6222518413483?text=*[PENGINGAT MASA BERLAKU SBU PUTRA MANDIRI PRODUKSI]*%0A%0AYth. Pimpinan PUTRA MANDIRI PRODUKSI,%0AMohon izin menginformasikan status SBU Anda di sistem LPJK:%0A%0A📄 SBU: BG004, BG009, PB004%0A📅 Expired: 18 September 2026 (60 Hari Lagi)%0A%0AKami tim PT. ESDEA Assistance Management siap men-support proses perpanjangan segera agar administrasi proyek tidak terhambat%0A%0AApakah boleh saya bantu siapkan estimasi biaya dan waktu pengerjaannya?.", "Hubungi")</f>
        <v/>
      </c>
    </row>
    <row r="10">
      <c r="A10" t="inlineStr">
        <is>
          <t>RETINDO JAYA</t>
        </is>
      </c>
      <c r="B10" t="inlineStr">
        <is>
          <t>Kota Bekasi</t>
        </is>
      </c>
      <c r="C10" t="inlineStr">
        <is>
          <t>02184301092</t>
        </is>
      </c>
      <c r="D10" t="inlineStr">
        <is>
          <t>info_retindo@yahoo.com</t>
        </is>
      </c>
      <c r="E10" t="inlineStr">
        <is>
          <t>https://lpjk.pu.go.id/search-badan-usaha-detail/S0xaZEtxVVhQeCtRamszb1k4em1Ydz09</t>
        </is>
      </c>
      <c r="F10" t="n">
        <v>1</v>
      </c>
      <c r="G10" t="inlineStr">
        <is>
          <t>BG007</t>
        </is>
      </c>
      <c r="H10" t="inlineStr">
        <is>
          <t>12 Juli 2001</t>
        </is>
      </c>
      <c r="I10" s="2" t="n">
        <v>46283</v>
      </c>
      <c r="J10" t="inlineStr">
        <is>
          <t>Disetujui</t>
        </is>
      </c>
      <c r="K10" t="n">
        <v>60</v>
      </c>
      <c r="L10" t="inlineStr">
        <is>
          <t>18 September 2026</t>
        </is>
      </c>
      <c r="M10" t="inlineStr">
        <is>
          <t>Konstruksi Gedung Penginapan</t>
        </is>
      </c>
      <c r="N10" t="inlineStr">
        <is>
          <t>M</t>
        </is>
      </c>
      <c r="O10" t="inlineStr">
        <is>
          <t>20230906</t>
        </is>
      </c>
      <c r="P10" t="inlineStr">
        <is>
          <t>Jawa Barat</t>
        </is>
      </c>
      <c r="Q10" t="inlineStr"/>
    </row>
    <row r="11">
      <c r="A11" t="inlineStr">
        <is>
          <t>TRIKARYA CIPTA SEJAHTERA</t>
        </is>
      </c>
      <c r="B11" t="inlineStr">
        <is>
          <t>Kab. Bekasi</t>
        </is>
      </c>
      <c r="C11" t="inlineStr">
        <is>
          <t>02129091421</t>
        </is>
      </c>
      <c r="D11" t="inlineStr">
        <is>
          <t>trikarya_cipta@yahoo.com</t>
        </is>
      </c>
      <c r="E11" t="inlineStr">
        <is>
          <t>https://lpjk.pu.go.id/search-badan-usaha-detail/NmZiVmFqeU4rYzNVTndBUVhSN2NlQT09</t>
        </is>
      </c>
      <c r="F11" t="n">
        <v>1</v>
      </c>
      <c r="G11" t="inlineStr">
        <is>
          <t>BG003</t>
        </is>
      </c>
      <c r="H11" t="inlineStr">
        <is>
          <t>21 Oktober 2009</t>
        </is>
      </c>
      <c r="I11" s="2" t="n">
        <v>46283</v>
      </c>
      <c r="J11" t="inlineStr">
        <is>
          <t>Disetujui</t>
        </is>
      </c>
      <c r="K11" t="n">
        <v>60</v>
      </c>
      <c r="L11" t="inlineStr">
        <is>
          <t>18 September 2026</t>
        </is>
      </c>
      <c r="M11" t="inlineStr">
        <is>
          <t>Konstruksi Gedung Industri</t>
        </is>
      </c>
      <c r="N11" t="inlineStr">
        <is>
          <t>K</t>
        </is>
      </c>
      <c r="O11" t="inlineStr">
        <is>
          <t>20230918</t>
        </is>
      </c>
      <c r="P11" t="inlineStr">
        <is>
          <t>Jawa Barat</t>
        </is>
      </c>
      <c r="Q11" t="inlineStr"/>
    </row>
    <row r="12">
      <c r="A12" t="inlineStr">
        <is>
          <t>ABABA PEMERATA</t>
        </is>
      </c>
      <c r="B12" t="inlineStr">
        <is>
          <t>Kab. Bandung</t>
        </is>
      </c>
      <c r="C12" t="inlineStr">
        <is>
          <t>022 2060076</t>
        </is>
      </c>
      <c r="D12" t="inlineStr">
        <is>
          <t>ababapemerata@yahoo.co.id</t>
        </is>
      </c>
      <c r="E12" t="inlineStr">
        <is>
          <t>https://lpjk.pu.go.id/search-badan-usaha-detail/Q0hLOVhyVHk3ZkduU05rL0ZKMmExQT09</t>
        </is>
      </c>
      <c r="F12" t="n">
        <v>1</v>
      </c>
      <c r="G12" t="inlineStr">
        <is>
          <t>BS004</t>
        </is>
      </c>
      <c r="H12" t="inlineStr">
        <is>
          <t>28 September 1987</t>
        </is>
      </c>
      <c r="I12" s="2" t="n">
        <v>46283</v>
      </c>
      <c r="J12" t="inlineStr">
        <is>
          <t>Disetujui</t>
        </is>
      </c>
      <c r="K12" t="n">
        <v>60</v>
      </c>
      <c r="L12" t="inlineStr">
        <is>
          <t>18 September 2026</t>
        </is>
      </c>
      <c r="M12" t="inlineStr">
        <is>
          <t>Konstruksi Jaringan Irigasi dan Drainase</t>
        </is>
      </c>
      <c r="N12" t="inlineStr">
        <is>
          <t>K</t>
        </is>
      </c>
      <c r="O12" t="inlineStr">
        <is>
          <t>20230907</t>
        </is>
      </c>
      <c r="P12" t="inlineStr">
        <is>
          <t>Jawa Barat</t>
        </is>
      </c>
      <c r="Q12" t="inlineStr"/>
    </row>
    <row r="13">
      <c r="A13" t="inlineStr">
        <is>
          <t>ABDI KARYA</t>
        </is>
      </c>
      <c r="B13" t="inlineStr">
        <is>
          <t>Kab. Gresik</t>
        </is>
      </c>
      <c r="C13" t="inlineStr">
        <is>
          <t>082232676199</t>
        </is>
      </c>
      <c r="D13" t="inlineStr">
        <is>
          <t>abdikaryagres@gmail.com</t>
        </is>
      </c>
      <c r="E13" t="inlineStr">
        <is>
          <t>https://lpjk.pu.go.id/search-badan-usaha-detail/YllZdGpiN1l6VVZvOVpab0pINHRXUT09</t>
        </is>
      </c>
      <c r="F13" t="n">
        <v>4</v>
      </c>
      <c r="G13" t="inlineStr">
        <is>
          <t>BS001</t>
        </is>
      </c>
      <c r="H13" t="inlineStr">
        <is>
          <t>14 Agustus 2023</t>
        </is>
      </c>
      <c r="I13" s="2" t="n">
        <v>46283</v>
      </c>
      <c r="J13" t="inlineStr">
        <is>
          <t>Disetujui</t>
        </is>
      </c>
      <c r="K13" t="n">
        <v>60</v>
      </c>
      <c r="L13" t="inlineStr">
        <is>
          <t>18 September 2026</t>
        </is>
      </c>
      <c r="M13" t="inlineStr">
        <is>
          <t>Konstruksi Bangunan Sipil Jalan</t>
        </is>
      </c>
      <c r="N13" t="inlineStr">
        <is>
          <t>K</t>
        </is>
      </c>
      <c r="O13" t="inlineStr">
        <is>
          <t>20230913</t>
        </is>
      </c>
      <c r="P13" t="inlineStr">
        <is>
          <t>Jawa Timur</t>
        </is>
      </c>
      <c r="Q13" t="inlineStr"/>
    </row>
    <row r="14">
      <c r="A14" t="inlineStr">
        <is>
          <t>ABDIKA PERKASA</t>
        </is>
      </c>
      <c r="B14" t="inlineStr">
        <is>
          <t>Kab. Konawe Utara</t>
        </is>
      </c>
      <c r="C14" t="inlineStr">
        <is>
          <t>085397977710</t>
        </is>
      </c>
      <c r="D14" t="inlineStr">
        <is>
          <t>cv.abdikaperkasa@gmail.com</t>
        </is>
      </c>
      <c r="E14" t="inlineStr">
        <is>
          <t>https://lpjk.pu.go.id/search-badan-usaha-detail/Q1hYRWk0Z1BRVE15NU1BNU14RkQ0dz09</t>
        </is>
      </c>
      <c r="F14" t="n">
        <v>1</v>
      </c>
      <c r="G14" t="inlineStr">
        <is>
          <t>BG009</t>
        </is>
      </c>
      <c r="H14" t="inlineStr">
        <is>
          <t>13 Juli 2023</t>
        </is>
      </c>
      <c r="I14" s="2" t="n">
        <v>46283</v>
      </c>
      <c r="J14" t="inlineStr">
        <is>
          <t>Disetujui</t>
        </is>
      </c>
      <c r="K14" t="n">
        <v>60</v>
      </c>
      <c r="L14" t="inlineStr">
        <is>
          <t>18 September 2026</t>
        </is>
      </c>
      <c r="M14" t="inlineStr">
        <is>
          <t>Konstruksi Gedung Lainnya</t>
        </is>
      </c>
      <c r="N14" t="inlineStr">
        <is>
          <t>K</t>
        </is>
      </c>
      <c r="O14" t="inlineStr">
        <is>
          <t>20230914</t>
        </is>
      </c>
      <c r="P14" t="inlineStr">
        <is>
          <t>Sulawesi Tenggara</t>
        </is>
      </c>
      <c r="Q14" t="inlineStr"/>
    </row>
    <row r="15">
      <c r="A15" t="inlineStr">
        <is>
          <t>ADHY TAMA MANDIRI</t>
        </is>
      </c>
      <c r="B15" t="inlineStr">
        <is>
          <t>Kota Sorong</t>
        </is>
      </c>
      <c r="C15" t="inlineStr">
        <is>
          <t>085234494382</t>
        </is>
      </c>
      <c r="D15" t="inlineStr">
        <is>
          <t>pt.adhytamamandiri@gmail.com</t>
        </is>
      </c>
      <c r="E15" t="inlineStr">
        <is>
          <t>https://lpjk.pu.go.id/search-badan-usaha-detail/WTVNRnB3a3E4OWd4dlF2NWRqUUl4UT09</t>
        </is>
      </c>
      <c r="F15" t="n">
        <v>1</v>
      </c>
      <c r="G15" t="inlineStr">
        <is>
          <t>PB005</t>
        </is>
      </c>
      <c r="H15" t="inlineStr">
        <is>
          <t>9 Juni 2015</t>
        </is>
      </c>
      <c r="I15" s="2" t="n">
        <v>46283</v>
      </c>
      <c r="J15" t="inlineStr">
        <is>
          <t>Pencabutan</t>
        </is>
      </c>
      <c r="K15" t="n">
        <v>60</v>
      </c>
      <c r="L15" t="inlineStr">
        <is>
          <t>18 September 2026</t>
        </is>
      </c>
      <c r="M15" t="inlineStr">
        <is>
          <t>Pemasangan Ornamen dan Pekerjaan Seni</t>
        </is>
      </c>
      <c r="N15" t="inlineStr">
        <is>
          <t>Spesialis</t>
        </is>
      </c>
      <c r="O15" t="inlineStr">
        <is>
          <t>20230918</t>
        </is>
      </c>
      <c r="P15" t="inlineStr">
        <is>
          <t>Papua Barat</t>
        </is>
      </c>
      <c r="Q15" t="inlineStr"/>
    </row>
    <row r="16">
      <c r="A16" t="inlineStr">
        <is>
          <t>ADITYA SARI</t>
        </is>
      </c>
      <c r="B16" t="inlineStr">
        <is>
          <t>Kab. Klungkung</t>
        </is>
      </c>
      <c r="C16" t="inlineStr">
        <is>
          <t>085738272006</t>
        </is>
      </c>
      <c r="D16" t="inlineStr">
        <is>
          <t>adityasariklk@yahoo.co.id</t>
        </is>
      </c>
      <c r="E16" t="inlineStr">
        <is>
          <t>https://lpjk.pu.go.id/search-badan-usaha-detail/blZVVWM2WW1DN3M4bEFSaXNJV3BtUT09</t>
        </is>
      </c>
      <c r="F16" t="n">
        <v>4</v>
      </c>
      <c r="G16" t="inlineStr">
        <is>
          <t>BG006, BG009, BS004, BS005</t>
        </is>
      </c>
      <c r="H16" t="inlineStr">
        <is>
          <t>12 Januari 2004</t>
        </is>
      </c>
      <c r="I16" s="2" t="n">
        <v>46283</v>
      </c>
      <c r="J16" t="inlineStr">
        <is>
          <t>Disetujui</t>
        </is>
      </c>
      <c r="K16" t="n">
        <v>60</v>
      </c>
      <c r="L16" t="inlineStr">
        <is>
          <t>18 September 2026</t>
        </is>
      </c>
      <c r="M16" t="inlineStr">
        <is>
          <t>Konstruksi Bangunan Sipil Pengolahan Air Bersih, Konstruksi Gedung Lainnya, Konstruksi Gedung Pendidikan, Konstruksi Jaringan Irigasi dan Drainase</t>
        </is>
      </c>
      <c r="N16" t="inlineStr">
        <is>
          <t>K</t>
        </is>
      </c>
      <c r="O16" t="inlineStr">
        <is>
          <t>20230914</t>
        </is>
      </c>
      <c r="P16" t="inlineStr">
        <is>
          <t>Bali</t>
        </is>
      </c>
      <c r="Q16" t="inlineStr"/>
    </row>
    <row r="17">
      <c r="A17" t="inlineStr">
        <is>
          <t>ADYAWINSA TELECOMMUNICATION &amp; ELECTRICAL</t>
        </is>
      </c>
      <c r="B17" t="inlineStr">
        <is>
          <t>Kota Adm. Jakarta Utara</t>
        </is>
      </c>
      <c r="C17" t="inlineStr">
        <is>
          <t>0214603353</t>
        </is>
      </c>
      <c r="D17" t="inlineStr">
        <is>
          <t>ate@adyawinsa.com</t>
        </is>
      </c>
      <c r="E17" t="inlineStr">
        <is>
          <t>https://lpjk.pu.go.id/search-badan-usaha-detail/UzBseWpSTGJWclJFZ2J0QUtzRllXQT09</t>
        </is>
      </c>
      <c r="F17" t="n">
        <v>2</v>
      </c>
      <c r="G17" t="inlineStr">
        <is>
          <t>BG009</t>
        </is>
      </c>
      <c r="H17" t="inlineStr">
        <is>
          <t>21 September 2007</t>
        </is>
      </c>
      <c r="I17" s="2" t="n">
        <v>46283</v>
      </c>
      <c r="J17" t="inlineStr">
        <is>
          <t>Disetujui</t>
        </is>
      </c>
      <c r="K17" t="n">
        <v>60</v>
      </c>
      <c r="L17" t="inlineStr">
        <is>
          <t>18 September 2026</t>
        </is>
      </c>
      <c r="M17" t="inlineStr">
        <is>
          <t>Konstruksi Gedung Lainnya</t>
        </is>
      </c>
      <c r="N17" t="inlineStr">
        <is>
          <t>M</t>
        </is>
      </c>
      <c r="O17" t="inlineStr">
        <is>
          <t>20230913</t>
        </is>
      </c>
      <c r="P17" t="inlineStr">
        <is>
          <t>DKI Jakarta</t>
        </is>
      </c>
      <c r="Q17" t="inlineStr"/>
    </row>
    <row r="18">
      <c r="A18" t="inlineStr">
        <is>
          <t>AGUNG</t>
        </is>
      </c>
      <c r="B18" t="inlineStr">
        <is>
          <t>Kab. Banyuwangi</t>
        </is>
      </c>
      <c r="C18" t="inlineStr">
        <is>
          <t>081358174199</t>
        </is>
      </c>
      <c r="D18" t="inlineStr">
        <is>
          <t>agungcv@yahoo.com</t>
        </is>
      </c>
      <c r="E18" t="inlineStr">
        <is>
          <t>https://lpjk.pu.go.id/search-badan-usaha-detail/TVlrb2pVUjZXSEpkRjFaSDhaSGI3dz09</t>
        </is>
      </c>
      <c r="F18" t="n">
        <v>6</v>
      </c>
      <c r="G18" t="inlineStr">
        <is>
          <t>BG002, BG005, BG006</t>
        </is>
      </c>
      <c r="H18" t="inlineStr">
        <is>
          <t>3 November 1976</t>
        </is>
      </c>
      <c r="I18" s="2" t="n">
        <v>46283</v>
      </c>
      <c r="J18" t="inlineStr">
        <is>
          <t>Disetujui</t>
        </is>
      </c>
      <c r="K18" t="n">
        <v>60</v>
      </c>
      <c r="L18" t="inlineStr">
        <is>
          <t>18 September 2026</t>
        </is>
      </c>
      <c r="M18" t="inlineStr">
        <is>
          <t>Konstruksi Gedung Kesehatan, Konstruksi Gedung Pendidikan, Konstruksi Gedung Perkantoran</t>
        </is>
      </c>
      <c r="N18" t="inlineStr">
        <is>
          <t>K</t>
        </is>
      </c>
      <c r="O18" t="inlineStr">
        <is>
          <t>20230915</t>
        </is>
      </c>
      <c r="P18" t="inlineStr">
        <is>
          <t>Jawa Timur</t>
        </is>
      </c>
      <c r="Q18" t="inlineStr"/>
    </row>
    <row r="19">
      <c r="A19" t="inlineStr">
        <is>
          <t>AKBAR AULIA PERKASA</t>
        </is>
      </c>
      <c r="B19" t="inlineStr">
        <is>
          <t>Kab. Kutai Kartanegara</t>
        </is>
      </c>
      <c r="C19" t="inlineStr">
        <is>
          <t>085250377772</t>
        </is>
      </c>
      <c r="D19" t="inlineStr">
        <is>
          <t>akbarauliaperkasa.cv@gmail.com</t>
        </is>
      </c>
      <c r="E19" t="inlineStr">
        <is>
          <t>https://lpjk.pu.go.id/search-badan-usaha-detail/V045eEQ1eGkvaGh0ZUcrbTBBWHp4UT09</t>
        </is>
      </c>
      <c r="F19" t="n">
        <v>3</v>
      </c>
      <c r="G19" t="inlineStr">
        <is>
          <t>BG001, BG006, BG009</t>
        </is>
      </c>
      <c r="H19" t="inlineStr">
        <is>
          <t>21 Januari 2020</t>
        </is>
      </c>
      <c r="I19" s="2" t="n">
        <v>46283</v>
      </c>
      <c r="J19" t="inlineStr">
        <is>
          <t>Disetujui</t>
        </is>
      </c>
      <c r="K19" t="n">
        <v>60</v>
      </c>
      <c r="L19" t="inlineStr">
        <is>
          <t>18 September 2026</t>
        </is>
      </c>
      <c r="M19" t="inlineStr">
        <is>
          <t>Konstruksi Gedung Hunian, Konstruksi Gedung Lainnya, Konstruksi Gedung Pendidikan</t>
        </is>
      </c>
      <c r="N19" t="inlineStr">
        <is>
          <t>K</t>
        </is>
      </c>
      <c r="O19" t="inlineStr">
        <is>
          <t>20230919</t>
        </is>
      </c>
      <c r="P19" t="inlineStr">
        <is>
          <t>Kalimantan Timur</t>
        </is>
      </c>
      <c r="Q19" t="inlineStr"/>
    </row>
    <row r="20">
      <c r="A20" t="inlineStr">
        <is>
          <t>AKBAR CONSULTANT</t>
        </is>
      </c>
      <c r="B20" t="inlineStr">
        <is>
          <t>Kab. Majene</t>
        </is>
      </c>
      <c r="C20" t="inlineStr">
        <is>
          <t>082347106979</t>
        </is>
      </c>
      <c r="D20" t="inlineStr">
        <is>
          <t>akbarkonsultan@gmail.com</t>
        </is>
      </c>
      <c r="E20" t="inlineStr">
        <is>
          <t>https://lpjk.pu.go.id/search-badan-usaha-detail/QWc2aGVtTDNwKzNVcHpCaEkveG5MZz09</t>
        </is>
      </c>
      <c r="F20" t="n">
        <v>1</v>
      </c>
      <c r="G20" t="inlineStr">
        <is>
          <t>RK001</t>
        </is>
      </c>
      <c r="H20" t="inlineStr">
        <is>
          <t>5 Maret 2003</t>
        </is>
      </c>
      <c r="I20" s="2" t="n">
        <v>46283</v>
      </c>
      <c r="J20" t="inlineStr">
        <is>
          <t>Disetujui</t>
        </is>
      </c>
      <c r="K20" t="n">
        <v>60</v>
      </c>
      <c r="L20" t="inlineStr">
        <is>
          <t>18 September 2026</t>
        </is>
      </c>
      <c r="M20" t="inlineStr">
        <is>
          <t>Jasa Rekayasa Konstruksi Bangunan Gedung Hunian dan Non Hunian</t>
        </is>
      </c>
      <c r="N20" t="inlineStr">
        <is>
          <t>K</t>
        </is>
      </c>
      <c r="O20" t="inlineStr">
        <is>
          <t>20230911</t>
        </is>
      </c>
      <c r="P20" t="inlineStr">
        <is>
          <t>Sulawesi Barat</t>
        </is>
      </c>
      <c r="Q20" t="inlineStr"/>
    </row>
    <row r="21">
      <c r="A21" t="inlineStr">
        <is>
          <t>ALFATIH KONSTRUKSI</t>
        </is>
      </c>
      <c r="B21" t="inlineStr">
        <is>
          <t>Kab. Lahat</t>
        </is>
      </c>
      <c r="C21" t="inlineStr">
        <is>
          <t>081290889878</t>
        </is>
      </c>
      <c r="D21" t="inlineStr">
        <is>
          <t>alfatihkonstruksi9@gmail.com</t>
        </is>
      </c>
      <c r="E21" t="inlineStr">
        <is>
          <t>https://lpjk.pu.go.id/search-badan-usaha-detail/NHFVbVlvanVTbkFzcWxXMXJZL1p4QT09</t>
        </is>
      </c>
      <c r="F21" t="n">
        <v>9</v>
      </c>
      <c r="G21" t="inlineStr">
        <is>
          <t>BS002, BS004, BS005</t>
        </is>
      </c>
      <c r="H21" t="inlineStr">
        <is>
          <t>18 Agustus 2023</t>
        </is>
      </c>
      <c r="I21" s="2" t="n">
        <v>46283</v>
      </c>
      <c r="J21" t="inlineStr">
        <is>
          <t>Disetujui</t>
        </is>
      </c>
      <c r="K21" t="n">
        <v>60</v>
      </c>
      <c r="L21" t="inlineStr">
        <is>
          <t>18 September 2026</t>
        </is>
      </c>
      <c r="M21" t="inlineStr">
        <is>
          <t>Bangunan Sipil Jembatan, Jalan Layang, Fly Over, dan Underpass, Konstruksi Bangunan Sipil Pengolahan Air Bersih, Konstruksi Jaringan Irigasi dan Drainase</t>
        </is>
      </c>
      <c r="N21" t="inlineStr">
        <is>
          <t>K</t>
        </is>
      </c>
      <c r="O21" t="inlineStr">
        <is>
          <t>20230915</t>
        </is>
      </c>
      <c r="P21" t="inlineStr">
        <is>
          <t>Sumatera Selatan</t>
        </is>
      </c>
      <c r="Q21" t="inlineStr"/>
    </row>
    <row r="22">
      <c r="A22" t="inlineStr">
        <is>
          <t>ALPHA CENTAURI INTERNATIONAL</t>
        </is>
      </c>
      <c r="B22" t="inlineStr">
        <is>
          <t>Kota Adm. Jakarta Selatan</t>
        </is>
      </c>
      <c r="C22" t="inlineStr">
        <is>
          <t>02180641967</t>
        </is>
      </c>
      <c r="D22" t="inlineStr">
        <is>
          <t>corporate@alphacentauri.id</t>
        </is>
      </c>
      <c r="E22" t="inlineStr">
        <is>
          <t>https://lpjk.pu.go.id/search-badan-usaha-detail/cWI0UkpxQ05rWDdCUnNBek1ZSGNSQT09</t>
        </is>
      </c>
      <c r="F22" t="n">
        <v>2</v>
      </c>
      <c r="G22" t="inlineStr">
        <is>
          <t>BG002, BG009</t>
        </is>
      </c>
      <c r="H22" t="inlineStr">
        <is>
          <t>25 Juni 2016</t>
        </is>
      </c>
      <c r="I22" s="2" t="n">
        <v>46283</v>
      </c>
      <c r="J22" t="inlineStr">
        <is>
          <t>Pencabutan</t>
        </is>
      </c>
      <c r="K22" t="n">
        <v>60</v>
      </c>
      <c r="L22" t="inlineStr">
        <is>
          <t>18 September 2026</t>
        </is>
      </c>
      <c r="M22" t="inlineStr">
        <is>
          <t>Konstruksi Gedung Lainnya, Konstruksi Gedung Perkantoran</t>
        </is>
      </c>
      <c r="N22" t="inlineStr">
        <is>
          <t>K</t>
        </is>
      </c>
      <c r="O22" t="inlineStr">
        <is>
          <t>20230906, 20230914</t>
        </is>
      </c>
      <c r="P22" t="inlineStr">
        <is>
          <t>DKI Jakarta</t>
        </is>
      </c>
      <c r="Q22" t="inlineStr"/>
    </row>
    <row r="23">
      <c r="A23" t="inlineStr">
        <is>
          <t>ANDALAS RIYHA UTAMA</t>
        </is>
      </c>
      <c r="B23" t="inlineStr">
        <is>
          <t>Kota Jayapura</t>
        </is>
      </c>
      <c r="C23" t="inlineStr">
        <is>
          <t>082197541569</t>
        </is>
      </c>
      <c r="D23" t="inlineStr">
        <is>
          <t>ru.andalaspt@gmail.com</t>
        </is>
      </c>
      <c r="E23" t="inlineStr">
        <is>
          <t>https://lpjk.pu.go.id/search-badan-usaha-detail/Ym4xYTVOWGpVbk9hS1JXc0NTbjh0Zz09</t>
        </is>
      </c>
      <c r="F23" t="n">
        <v>1</v>
      </c>
      <c r="G23" t="inlineStr">
        <is>
          <t>BS001</t>
        </is>
      </c>
      <c r="H23" t="inlineStr">
        <is>
          <t>18 Februari 2020</t>
        </is>
      </c>
      <c r="I23" s="2" t="n">
        <v>46283</v>
      </c>
      <c r="J23" t="inlineStr">
        <is>
          <t>Pencabutan</t>
        </is>
      </c>
      <c r="K23" t="n">
        <v>60</v>
      </c>
      <c r="L23" t="inlineStr">
        <is>
          <t>18 September 2026</t>
        </is>
      </c>
      <c r="M23" t="inlineStr">
        <is>
          <t>Konstruksi Bangunan Sipil Jalan</t>
        </is>
      </c>
      <c r="N23" t="inlineStr">
        <is>
          <t>M</t>
        </is>
      </c>
      <c r="O23" t="inlineStr">
        <is>
          <t>20230917</t>
        </is>
      </c>
      <c r="P23" t="inlineStr">
        <is>
          <t>Papua</t>
        </is>
      </c>
      <c r="Q23" t="inlineStr"/>
    </row>
    <row r="24">
      <c r="A24" t="inlineStr">
        <is>
          <t>ANEKA JASA GRHADIKA</t>
        </is>
      </c>
      <c r="B24" t="inlineStr">
        <is>
          <t>Kab. Gresik</t>
        </is>
      </c>
      <c r="C24" t="inlineStr">
        <is>
          <t>0313954726</t>
        </is>
      </c>
      <c r="D24" t="inlineStr">
        <is>
          <t>perijinan.ajg.mei@gmail.com</t>
        </is>
      </c>
      <c r="E24" t="inlineStr">
        <is>
          <t>https://lpjk.pu.go.id/search-badan-usaha-detail/TE4xS3pKL3pld2JQSmE1RE5xYzQyRjA4VWtGNGVyRXJiNVhIem9lem0wMD0</t>
        </is>
      </c>
      <c r="F24" t="n">
        <v>1</v>
      </c>
      <c r="G24" t="inlineStr">
        <is>
          <t>IN001</t>
        </is>
      </c>
      <c r="H24" t="inlineStr">
        <is>
          <t>1 Oktober 2025</t>
        </is>
      </c>
      <c r="I24" s="2" t="n">
        <v>46283</v>
      </c>
      <c r="J24" t="inlineStr">
        <is>
          <t>Disetujui</t>
        </is>
      </c>
      <c r="K24" t="n">
        <v>60</v>
      </c>
      <c r="L24" t="inlineStr">
        <is>
          <t>18 September 2026</t>
        </is>
      </c>
      <c r="M24" t="inlineStr">
        <is>
          <t>Instalasi Mekanikal</t>
        </is>
      </c>
      <c r="N24" t="inlineStr">
        <is>
          <t>Spesialis</t>
        </is>
      </c>
      <c r="O24" t="inlineStr">
        <is>
          <t>20230914</t>
        </is>
      </c>
      <c r="P24" t="inlineStr">
        <is>
          <t>Jawa Timur</t>
        </is>
      </c>
      <c r="Q24" t="inlineStr"/>
    </row>
    <row r="25">
      <c r="A25" t="inlineStr">
        <is>
          <t>ANEKA KARYA</t>
        </is>
      </c>
      <c r="B25" t="inlineStr">
        <is>
          <t>Kab. Tuban</t>
        </is>
      </c>
      <c r="C25" t="inlineStr">
        <is>
          <t>08113400840</t>
        </is>
      </c>
      <c r="D25" t="inlineStr">
        <is>
          <t>ikifath@gmail.com</t>
        </is>
      </c>
      <c r="E25" t="inlineStr">
        <is>
          <t>https://lpjk.pu.go.id/search-badan-usaha-detail/S1p3M05jQlJrblFselRtTFR0d2lidz09</t>
        </is>
      </c>
      <c r="F25" t="n">
        <v>6</v>
      </c>
      <c r="G25" t="inlineStr">
        <is>
          <t>BG009, BS001, BS004</t>
        </is>
      </c>
      <c r="H25" t="inlineStr">
        <is>
          <t>6 November 2015</t>
        </is>
      </c>
      <c r="I25" s="2" t="n">
        <v>46283</v>
      </c>
      <c r="J25" t="inlineStr">
        <is>
          <t>Disetujui</t>
        </is>
      </c>
      <c r="K25" t="n">
        <v>60</v>
      </c>
      <c r="L25" t="inlineStr">
        <is>
          <t>18 September 2026</t>
        </is>
      </c>
      <c r="M25" t="inlineStr">
        <is>
          <t>Konstruksi Bangunan Sipil Jalan, Konstruksi Gedung Lainnya, Konstruksi Jaringan Irigasi dan Drainase</t>
        </is>
      </c>
      <c r="N25" t="inlineStr">
        <is>
          <t>K</t>
        </is>
      </c>
      <c r="O25" t="inlineStr">
        <is>
          <t>20230912</t>
        </is>
      </c>
      <c r="P25" t="inlineStr">
        <is>
          <t>Jawa Timur</t>
        </is>
      </c>
      <c r="Q25" t="inlineStr"/>
    </row>
    <row r="26">
      <c r="A26" t="inlineStr">
        <is>
          <t>ANTIKA PURNAMA JAYA</t>
        </is>
      </c>
      <c r="B26" t="inlineStr">
        <is>
          <t>Kab. Gresik</t>
        </is>
      </c>
      <c r="C26" t="inlineStr">
        <is>
          <t>081334714500</t>
        </is>
      </c>
      <c r="D26" t="inlineStr">
        <is>
          <t>cv.antikapurnamajaya@gmail.com</t>
        </is>
      </c>
      <c r="E26" t="inlineStr">
        <is>
          <t>https://lpjk.pu.go.id/search-badan-usaha-detail/UUM1T3ZQNXduaTJlMHVESkc0aXZMdz09</t>
        </is>
      </c>
      <c r="F26" t="n">
        <v>1</v>
      </c>
      <c r="G26" t="inlineStr">
        <is>
          <t>BG009</t>
        </is>
      </c>
      <c r="H26" t="inlineStr">
        <is>
          <t>21 Februari 2023</t>
        </is>
      </c>
      <c r="I26" s="2" t="n">
        <v>46283</v>
      </c>
      <c r="J26" t="inlineStr">
        <is>
          <t>Disetujui</t>
        </is>
      </c>
      <c r="K26" t="n">
        <v>60</v>
      </c>
      <c r="L26" t="inlineStr">
        <is>
          <t>18 September 2026</t>
        </is>
      </c>
      <c r="M26" t="inlineStr">
        <is>
          <t>Konstruksi Gedung Lainnya</t>
        </is>
      </c>
      <c r="N26" t="inlineStr">
        <is>
          <t>K</t>
        </is>
      </c>
      <c r="O26" t="inlineStr">
        <is>
          <t>20230903</t>
        </is>
      </c>
      <c r="P26" t="inlineStr">
        <is>
          <t>Jawa Timur</t>
        </is>
      </c>
      <c r="Q26" t="inlineStr"/>
    </row>
    <row r="27">
      <c r="A27" t="inlineStr">
        <is>
          <t>ANUGERAH JAYA</t>
        </is>
      </c>
      <c r="B27" t="inlineStr">
        <is>
          <t>Kab. Bojonegoro</t>
        </is>
      </c>
      <c r="C27" t="inlineStr">
        <is>
          <t>085865361505</t>
        </is>
      </c>
      <c r="D27" t="inlineStr">
        <is>
          <t>cv.anugerahjayakatur@yahoo.com</t>
        </is>
      </c>
      <c r="E27" t="inlineStr">
        <is>
          <t>https://lpjk.pu.go.id/search-badan-usaha-detail/cU43dG4wTVNhTXV3VUZoOG84MU9WUT09</t>
        </is>
      </c>
      <c r="F27" t="n">
        <v>3</v>
      </c>
      <c r="G27" t="inlineStr">
        <is>
          <t>BG002, BG006, BG009</t>
        </is>
      </c>
      <c r="H27" t="inlineStr">
        <is>
          <t>24 November 2016</t>
        </is>
      </c>
      <c r="I27" s="2" t="n">
        <v>46283</v>
      </c>
      <c r="J27" t="inlineStr">
        <is>
          <t>Disetujui</t>
        </is>
      </c>
      <c r="K27" t="n">
        <v>60</v>
      </c>
      <c r="L27" t="inlineStr">
        <is>
          <t>18 September 2026</t>
        </is>
      </c>
      <c r="M27" t="inlineStr">
        <is>
          <t>Konstruksi Gedung Lainnya, Konstruksi Gedung Pendidikan, Konstruksi Gedung Perkantoran</t>
        </is>
      </c>
      <c r="N27" t="inlineStr">
        <is>
          <t>K</t>
        </is>
      </c>
      <c r="O27" t="inlineStr">
        <is>
          <t>20230914, 20230916, 20230918</t>
        </is>
      </c>
      <c r="P27" t="inlineStr">
        <is>
          <t>Jawa Timur</t>
        </is>
      </c>
      <c r="Q27" t="inlineStr"/>
    </row>
    <row r="28">
      <c r="A28" t="inlineStr">
        <is>
          <t>ARA PEUSAJA</t>
        </is>
      </c>
      <c r="B28" t="inlineStr">
        <is>
          <t>Kab. Nagan Raya</t>
        </is>
      </c>
      <c r="C28" t="inlineStr">
        <is>
          <t>081360774394</t>
        </is>
      </c>
      <c r="D28" t="inlineStr">
        <is>
          <t>marzukiarapeusaja@gmail.com</t>
        </is>
      </c>
      <c r="E28" t="inlineStr">
        <is>
          <t>https://lpjk.pu.go.id/search-badan-usaha-detail/eEkvSkYzMW5uU3RtM3hQdExvYS9ZZz09</t>
        </is>
      </c>
      <c r="F28" t="n">
        <v>1</v>
      </c>
      <c r="G28" t="inlineStr">
        <is>
          <t>BS001</t>
        </is>
      </c>
      <c r="H28" t="inlineStr">
        <is>
          <t>30 November 2006</t>
        </is>
      </c>
      <c r="I28" s="2" t="n">
        <v>46283</v>
      </c>
      <c r="J28" t="inlineStr">
        <is>
          <t>Pencabutan</t>
        </is>
      </c>
      <c r="K28" t="n">
        <v>60</v>
      </c>
      <c r="L28" t="inlineStr">
        <is>
          <t>18 September 2026</t>
        </is>
      </c>
      <c r="M28" t="inlineStr">
        <is>
          <t>Konstruksi Bangunan Sipil Jalan</t>
        </is>
      </c>
      <c r="N28" t="inlineStr">
        <is>
          <t>K</t>
        </is>
      </c>
      <c r="O28" t="inlineStr">
        <is>
          <t>20230912</t>
        </is>
      </c>
      <c r="P28" t="inlineStr">
        <is>
          <t>Aceh</t>
        </is>
      </c>
      <c r="Q28" t="inlineStr"/>
    </row>
    <row r="29">
      <c r="A29" t="inlineStr">
        <is>
          <t>ARBI KONSTRUKSI</t>
        </is>
      </c>
      <c r="B29" t="inlineStr">
        <is>
          <t>Kota Palembang</t>
        </is>
      </c>
      <c r="C29" t="inlineStr">
        <is>
          <t>081367520400</t>
        </is>
      </c>
      <c r="D29" t="inlineStr">
        <is>
          <t>arbikontsruksi@gmail.com</t>
        </is>
      </c>
      <c r="E29" t="inlineStr">
        <is>
          <t>https://lpjk.pu.go.id/search-badan-usaha-detail/NTVpVWRiOTVzWkhnQ1N5QmVrMmtMdz09</t>
        </is>
      </c>
      <c r="F29" t="n">
        <v>4</v>
      </c>
      <c r="G29" t="inlineStr">
        <is>
          <t>BG004, BG007, BG009, BS001</t>
        </is>
      </c>
      <c r="H29" t="inlineStr">
        <is>
          <t>21 Maret 2023</t>
        </is>
      </c>
      <c r="I29" s="2" t="n">
        <v>46283</v>
      </c>
      <c r="J29" t="inlineStr">
        <is>
          <t>Disetujui</t>
        </is>
      </c>
      <c r="K29" t="n">
        <v>60</v>
      </c>
      <c r="L29" t="inlineStr">
        <is>
          <t>18 September 2026</t>
        </is>
      </c>
      <c r="M29" t="inlineStr">
        <is>
          <t>Konstruksi Bangunan Sipil Jalan, Konstruksi Gedung Lainnya, Konstruksi Gedung Penginapan, Konstruksi Gedung Perbelanjaan</t>
        </is>
      </c>
      <c r="N29" t="inlineStr">
        <is>
          <t>K</t>
        </is>
      </c>
      <c r="O29" t="inlineStr">
        <is>
          <t>20230913</t>
        </is>
      </c>
      <c r="P29" t="inlineStr">
        <is>
          <t>Sumatera Selatan</t>
        </is>
      </c>
      <c r="Q29" t="inlineStr"/>
    </row>
    <row r="30">
      <c r="A30" t="inlineStr">
        <is>
          <t>ARSY PRADANA SEJAHTERA</t>
        </is>
      </c>
      <c r="B30" t="inlineStr">
        <is>
          <t>Kota Padang</t>
        </is>
      </c>
      <c r="C30" t="inlineStr">
        <is>
          <t>08126568123</t>
        </is>
      </c>
      <c r="D30" t="inlineStr">
        <is>
          <t>winaldhi.wa15@gmail.com</t>
        </is>
      </c>
      <c r="E30" t="inlineStr">
        <is>
          <t>https://lpjk.pu.go.id/search-badan-usaha-detail/Q2ZJVVkwbFBTVUJvejE0RlY0NnM2UT09</t>
        </is>
      </c>
      <c r="F30" t="n">
        <v>2</v>
      </c>
      <c r="G30" t="inlineStr">
        <is>
          <t>BG002, BG006</t>
        </is>
      </c>
      <c r="H30" t="inlineStr">
        <is>
          <t>11 Maret 2017</t>
        </is>
      </c>
      <c r="I30" s="2" t="n">
        <v>46283</v>
      </c>
      <c r="J30" t="inlineStr">
        <is>
          <t>Pencabutan</t>
        </is>
      </c>
      <c r="K30" t="n">
        <v>60</v>
      </c>
      <c r="L30" t="inlineStr">
        <is>
          <t>18 September 2026</t>
        </is>
      </c>
      <c r="M30" t="inlineStr">
        <is>
          <t>Konstruksi Gedung Pendidikan, Konstruksi Gedung Perkantoran</t>
        </is>
      </c>
      <c r="N30" t="inlineStr">
        <is>
          <t>K</t>
        </is>
      </c>
      <c r="O30" t="inlineStr">
        <is>
          <t>20230909</t>
        </is>
      </c>
      <c r="P30" t="inlineStr">
        <is>
          <t>Sumatera Barat</t>
        </is>
      </c>
      <c r="Q30" t="inlineStr"/>
    </row>
    <row r="31">
      <c r="A31" t="inlineStr">
        <is>
          <t>ASA CITRA PERSADA</t>
        </is>
      </c>
      <c r="B31" t="inlineStr">
        <is>
          <t>Kab. Asahan</t>
        </is>
      </c>
      <c r="C31" t="inlineStr">
        <is>
          <t>081263140315</t>
        </is>
      </c>
      <c r="D31" t="inlineStr">
        <is>
          <t>cvasacitrapersada@gmail.com</t>
        </is>
      </c>
      <c r="E31" t="inlineStr">
        <is>
          <t>https://lpjk.pu.go.id/search-badan-usaha-detail/UC9pVzRoOGtnckVDOE5rcnI1Vkc3UT09</t>
        </is>
      </c>
      <c r="F31" t="n">
        <v>2</v>
      </c>
      <c r="G31" t="inlineStr">
        <is>
          <t>BS004, BS010</t>
        </is>
      </c>
      <c r="H31" t="inlineStr">
        <is>
          <t>30 November 2021</t>
        </is>
      </c>
      <c r="I31" s="2" t="n">
        <v>46283</v>
      </c>
      <c r="J31" t="inlineStr">
        <is>
          <t>Pencabutan</t>
        </is>
      </c>
      <c r="K31" t="n">
        <v>60</v>
      </c>
      <c r="L31" t="inlineStr">
        <is>
          <t>18 September 2026</t>
        </is>
      </c>
      <c r="M31" t="inlineStr">
        <is>
          <t>Konstruksi Bangunan Prasarana Sumber Daya Air, Konstruksi Jaringan Irigasi dan Drainase</t>
        </is>
      </c>
      <c r="N31" t="inlineStr">
        <is>
          <t>K</t>
        </is>
      </c>
      <c r="O31" t="inlineStr">
        <is>
          <t>20220919, 20230911</t>
        </is>
      </c>
      <c r="P31" t="inlineStr">
        <is>
          <t>Sumatera Utara</t>
        </is>
      </c>
      <c r="Q31" t="inlineStr"/>
    </row>
    <row r="32">
      <c r="A32" t="inlineStr">
        <is>
          <t>ASIA CITRA KAYUBE</t>
        </is>
      </c>
      <c r="B32" t="inlineStr">
        <is>
          <t>Kab. Sumbawa Barat</t>
        </is>
      </c>
      <c r="C32" t="inlineStr">
        <is>
          <t>081339744047</t>
        </is>
      </c>
      <c r="D32" t="inlineStr">
        <is>
          <t>amjadkayube@gmail.com</t>
        </is>
      </c>
      <c r="E32" t="inlineStr">
        <is>
          <t>https://lpjk.pu.go.id/search-badan-usaha-detail/VXFQYm1rL2pSSkRkZ1VJMi9ROUxUQT09</t>
        </is>
      </c>
      <c r="F32" t="n">
        <v>2</v>
      </c>
      <c r="G32" t="inlineStr">
        <is>
          <t>BG002, BS004</t>
        </is>
      </c>
      <c r="H32" t="inlineStr">
        <is>
          <t>21 Desember 2009</t>
        </is>
      </c>
      <c r="I32" s="2" t="n">
        <v>46283</v>
      </c>
      <c r="J32" t="inlineStr">
        <is>
          <t>Pencabutan</t>
        </is>
      </c>
      <c r="K32" t="n">
        <v>60</v>
      </c>
      <c r="L32" t="inlineStr">
        <is>
          <t>18 September 2026</t>
        </is>
      </c>
      <c r="M32" t="inlineStr">
        <is>
          <t>Konstruksi Gedung Perkantoran, Konstruksi Jaringan Irigasi dan Drainase</t>
        </is>
      </c>
      <c r="N32" t="inlineStr">
        <is>
          <t>K</t>
        </is>
      </c>
      <c r="O32" t="inlineStr">
        <is>
          <t>20230918, 20230919</t>
        </is>
      </c>
      <c r="P32" t="inlineStr">
        <is>
          <t>Nusa Tenggara Barat</t>
        </is>
      </c>
      <c r="Q32" t="inlineStr"/>
    </row>
    <row r="33">
      <c r="A33" t="inlineStr">
        <is>
          <t>ATHA AJRI</t>
        </is>
      </c>
      <c r="B33" t="inlineStr">
        <is>
          <t>Kota Palembang</t>
        </is>
      </c>
      <c r="C33" t="inlineStr">
        <is>
          <t>08154036647</t>
        </is>
      </c>
      <c r="D33" t="inlineStr">
        <is>
          <t>athaajri12@gmail.com</t>
        </is>
      </c>
      <c r="E33" t="inlineStr">
        <is>
          <t>https://lpjk.pu.go.id/search-badan-usaha-detail/VGVET0lnbW1ZZFFSQVZIaWNTRk1GUT09</t>
        </is>
      </c>
      <c r="F33" t="n">
        <v>1</v>
      </c>
      <c r="G33" t="inlineStr">
        <is>
          <t>BG009</t>
        </is>
      </c>
      <c r="H33" t="inlineStr">
        <is>
          <t>9 Februari 2023</t>
        </is>
      </c>
      <c r="I33" s="2" t="n">
        <v>46283</v>
      </c>
      <c r="J33" t="inlineStr">
        <is>
          <t>Disetujui</t>
        </is>
      </c>
      <c r="K33" t="n">
        <v>60</v>
      </c>
      <c r="L33" t="inlineStr">
        <is>
          <t>18 September 2026</t>
        </is>
      </c>
      <c r="M33" t="inlineStr">
        <is>
          <t>Konstruksi Gedung Lainnya</t>
        </is>
      </c>
      <c r="N33" t="inlineStr">
        <is>
          <t>K</t>
        </is>
      </c>
      <c r="O33" t="inlineStr">
        <is>
          <t>20230907</t>
        </is>
      </c>
      <c r="P33" t="inlineStr">
        <is>
          <t>Sumatera Selatan</t>
        </is>
      </c>
      <c r="Q33" t="inlineStr"/>
    </row>
    <row r="34">
      <c r="A34" t="inlineStr">
        <is>
          <t>BANDA RAYA INDAH</t>
        </is>
      </c>
      <c r="B34" t="inlineStr">
        <is>
          <t>Kota Banda Aceh</t>
        </is>
      </c>
      <c r="C34" t="inlineStr">
        <is>
          <t>082236074478</t>
        </is>
      </c>
      <c r="D34" t="inlineStr">
        <is>
          <t>BANDARAYAINDAH@GMAIL.COM</t>
        </is>
      </c>
      <c r="E34" t="inlineStr">
        <is>
          <t>https://lpjk.pu.go.id/search-badan-usaha-detail/ck5nWW9GWUgxNEFzcDhCWlV5emlTQT09</t>
        </is>
      </c>
      <c r="F34" t="n">
        <v>3</v>
      </c>
      <c r="G34" t="inlineStr">
        <is>
          <t>BS004, BS005, BS010</t>
        </is>
      </c>
      <c r="H34" t="inlineStr">
        <is>
          <t>11 April 2023</t>
        </is>
      </c>
      <c r="I34" s="2" t="n">
        <v>46283</v>
      </c>
      <c r="J34" t="inlineStr">
        <is>
          <t>Disetujui, Pencabutan</t>
        </is>
      </c>
      <c r="K34" t="n">
        <v>60</v>
      </c>
      <c r="L34" t="inlineStr">
        <is>
          <t>18 September 2026</t>
        </is>
      </c>
      <c r="M34" t="inlineStr">
        <is>
          <t>Konstruksi Bangunan Prasarana Sumber Daya Air, Konstruksi Bangunan Sipil Pengolahan Air Bersih, Konstruksi Jaringan Irigasi dan Drainase</t>
        </is>
      </c>
      <c r="N34" t="inlineStr">
        <is>
          <t>K</t>
        </is>
      </c>
      <c r="O34" t="inlineStr">
        <is>
          <t>20230907, 20230918</t>
        </is>
      </c>
      <c r="P34" t="inlineStr">
        <is>
          <t>Aceh</t>
        </is>
      </c>
      <c r="Q34" t="inlineStr"/>
    </row>
    <row r="35">
      <c r="A35" t="inlineStr">
        <is>
          <t>BATIK MANGKULUHUR</t>
        </is>
      </c>
      <c r="B35" t="inlineStr">
        <is>
          <t>Kota Samarinda</t>
        </is>
      </c>
      <c r="C35" t="inlineStr">
        <is>
          <t>085155471499</t>
        </is>
      </c>
      <c r="D35" t="inlineStr">
        <is>
          <t>cvbatikmangkuluhur@gmail.com</t>
        </is>
      </c>
      <c r="E35" t="inlineStr">
        <is>
          <t>https://lpjk.pu.go.id/search-badan-usaha-detail/NWRoRUljVUNUODdTSkxzTUdhcjhZQT09</t>
        </is>
      </c>
      <c r="F35" t="n">
        <v>1</v>
      </c>
      <c r="G35" t="inlineStr">
        <is>
          <t>BS001</t>
        </is>
      </c>
      <c r="H35" t="inlineStr">
        <is>
          <t>7 Januari 2009</t>
        </is>
      </c>
      <c r="I35" s="2" t="n">
        <v>46283</v>
      </c>
      <c r="J35" t="inlineStr">
        <is>
          <t>Disetujui</t>
        </is>
      </c>
      <c r="K35" t="n">
        <v>60</v>
      </c>
      <c r="L35" t="inlineStr">
        <is>
          <t>18 September 2026</t>
        </is>
      </c>
      <c r="M35" t="inlineStr">
        <is>
          <t>Konstruksi Bangunan Sipil Jalan</t>
        </is>
      </c>
      <c r="N35" t="inlineStr">
        <is>
          <t>K</t>
        </is>
      </c>
      <c r="O35" t="inlineStr">
        <is>
          <t>20230911</t>
        </is>
      </c>
      <c r="P35" t="inlineStr">
        <is>
          <t>Kalimantan Timur</t>
        </is>
      </c>
      <c r="Q35" t="inlineStr"/>
    </row>
    <row r="36">
      <c r="A36" t="inlineStr">
        <is>
          <t>BAYU MANDIRI</t>
        </is>
      </c>
      <c r="B36" t="inlineStr">
        <is>
          <t>Kab. Cirebon</t>
        </is>
      </c>
      <c r="C36" t="inlineStr">
        <is>
          <t>081222219999</t>
        </is>
      </c>
      <c r="D36" t="inlineStr">
        <is>
          <t>cv.bayumandiri@yahoo.co.id</t>
        </is>
      </c>
      <c r="E36" t="inlineStr">
        <is>
          <t>https://lpjk.pu.go.id/search-badan-usaha-detail/bnZxTVpnTno2Qys5OFdaeDRMMC82dz09</t>
        </is>
      </c>
      <c r="F36" t="n">
        <v>2</v>
      </c>
      <c r="G36" t="inlineStr">
        <is>
          <t>BG002, BG004</t>
        </is>
      </c>
      <c r="H36" t="inlineStr">
        <is>
          <t>10 April 2000</t>
        </is>
      </c>
      <c r="I36" s="2" t="n">
        <v>46283</v>
      </c>
      <c r="J36" t="inlineStr">
        <is>
          <t>Disetujui</t>
        </is>
      </c>
      <c r="K36" t="n">
        <v>60</v>
      </c>
      <c r="L36" t="inlineStr">
        <is>
          <t>18 September 2026</t>
        </is>
      </c>
      <c r="M36" t="inlineStr">
        <is>
          <t>Konstruksi Gedung Perbelanjaan, Konstruksi Gedung Perkantoran</t>
        </is>
      </c>
      <c r="N36" t="inlineStr">
        <is>
          <t>K</t>
        </is>
      </c>
      <c r="O36" t="inlineStr">
        <is>
          <t>20230914</t>
        </is>
      </c>
      <c r="P36" t="inlineStr">
        <is>
          <t>Jawa Barat</t>
        </is>
      </c>
      <c r="Q36" t="inlineStr"/>
    </row>
    <row r="37">
      <c r="A37" t="inlineStr">
        <is>
          <t>BELANTARA KARYA BAKTI</t>
        </is>
      </c>
      <c r="B37" t="inlineStr">
        <is>
          <t>Kota Cilegon</t>
        </is>
      </c>
      <c r="C37" t="inlineStr">
        <is>
          <t>08179190997</t>
        </is>
      </c>
      <c r="D37" t="inlineStr">
        <is>
          <t>belantarakaryabakti@gmail.com</t>
        </is>
      </c>
      <c r="E37" t="inlineStr">
        <is>
          <t>https://lpjk.pu.go.id/search-badan-usaha-detail/SS8xTTZuWGVCRzhpWUpqdlNMTWdQUT09</t>
        </is>
      </c>
      <c r="F37" t="n">
        <v>2</v>
      </c>
      <c r="G37" t="inlineStr">
        <is>
          <t>BG006</t>
        </is>
      </c>
      <c r="H37" t="inlineStr">
        <is>
          <t>21 April 2014</t>
        </is>
      </c>
      <c r="I37" s="2" t="n">
        <v>46283</v>
      </c>
      <c r="J37" t="inlineStr">
        <is>
          <t>Disetujui</t>
        </is>
      </c>
      <c r="K37" t="n">
        <v>60</v>
      </c>
      <c r="L37" t="inlineStr">
        <is>
          <t>18 September 2026</t>
        </is>
      </c>
      <c r="M37" t="inlineStr">
        <is>
          <t>Konstruksi Gedung Pendidikan</t>
        </is>
      </c>
      <c r="N37" t="inlineStr">
        <is>
          <t>K</t>
        </is>
      </c>
      <c r="O37" t="inlineStr">
        <is>
          <t>20230919</t>
        </is>
      </c>
      <c r="P37" t="inlineStr">
        <is>
          <t>Banten</t>
        </is>
      </c>
      <c r="Q37" t="inlineStr"/>
    </row>
    <row r="38">
      <c r="A38" t="inlineStr">
        <is>
          <t>BENUA SUKSES PERKASA</t>
        </is>
      </c>
      <c r="B38" t="inlineStr">
        <is>
          <t>Kota Pontianak</t>
        </is>
      </c>
      <c r="C38" t="inlineStr">
        <is>
          <t>085651252528</t>
        </is>
      </c>
      <c r="D38" t="inlineStr">
        <is>
          <t>perkasaptbenuasukses@gmail.com</t>
        </is>
      </c>
      <c r="E38" t="inlineStr">
        <is>
          <t>https://lpjk.pu.go.id/search-badan-usaha-detail/S2IyVkFNMlFvQnQ3cmt3OHJRMFVvUT09</t>
        </is>
      </c>
      <c r="F38" t="n">
        <v>1</v>
      </c>
      <c r="G38" t="inlineStr">
        <is>
          <t>BG001</t>
        </is>
      </c>
      <c r="H38" t="inlineStr">
        <is>
          <t>16 Agustus 2023</t>
        </is>
      </c>
      <c r="I38" s="2" t="n">
        <v>46283</v>
      </c>
      <c r="J38" t="inlineStr">
        <is>
          <t>Disetujui</t>
        </is>
      </c>
      <c r="K38" t="n">
        <v>60</v>
      </c>
      <c r="L38" t="inlineStr">
        <is>
          <t>18 September 2026</t>
        </is>
      </c>
      <c r="M38" t="inlineStr">
        <is>
          <t>Konstruksi Gedung Hunian</t>
        </is>
      </c>
      <c r="N38" t="inlineStr">
        <is>
          <t>K</t>
        </is>
      </c>
      <c r="O38" t="inlineStr">
        <is>
          <t>20230830</t>
        </is>
      </c>
      <c r="P38" t="inlineStr">
        <is>
          <t>Kalimantan Barat</t>
        </is>
      </c>
      <c r="Q38" t="inlineStr"/>
    </row>
    <row r="39">
      <c r="A39" t="inlineStr">
        <is>
          <t>BERINGIN JAYA</t>
        </is>
      </c>
      <c r="B39" t="inlineStr">
        <is>
          <t>Kota Banjarmasin</t>
        </is>
      </c>
      <c r="C39" t="inlineStr">
        <is>
          <t>0</t>
        </is>
      </c>
      <c r="D39" t="inlineStr">
        <is>
          <t>cv.beringinjaya28@yahoo.com</t>
        </is>
      </c>
      <c r="E39" t="inlineStr">
        <is>
          <t>https://lpjk.pu.go.id/search-badan-usaha-detail/Q0RaMVZRLzQrdmhrWjNCT3QvWEZZUT09</t>
        </is>
      </c>
      <c r="F39" t="n">
        <v>2</v>
      </c>
      <c r="G39" t="inlineStr">
        <is>
          <t>BS001, BS002</t>
        </is>
      </c>
      <c r="H39" t="inlineStr">
        <is>
          <t>2 Desember 2016</t>
        </is>
      </c>
      <c r="I39" s="2" t="n">
        <v>46283</v>
      </c>
      <c r="J39" t="inlineStr">
        <is>
          <t>Disetujui</t>
        </is>
      </c>
      <c r="K39" t="n">
        <v>60</v>
      </c>
      <c r="L39" t="inlineStr">
        <is>
          <t>18 September 2026</t>
        </is>
      </c>
      <c r="M39" t="inlineStr">
        <is>
          <t>Bangunan Sipil Jembatan, Jalan Layang, Fly Over, dan Underpass, Konstruksi Bangunan Sipil Jalan</t>
        </is>
      </c>
      <c r="N39" t="inlineStr">
        <is>
          <t>K</t>
        </is>
      </c>
      <c r="O39" t="inlineStr">
        <is>
          <t>20230918, 20230919</t>
        </is>
      </c>
      <c r="P39" t="inlineStr">
        <is>
          <t>Kalimantan Selatan</t>
        </is>
      </c>
      <c r="Q39" t="inlineStr"/>
    </row>
    <row r="40">
      <c r="A40" t="inlineStr">
        <is>
          <t>BERKAH RIZKY FAMILY</t>
        </is>
      </c>
      <c r="B40" t="inlineStr">
        <is>
          <t>Kota Semarang</t>
        </is>
      </c>
      <c r="C40" t="inlineStr">
        <is>
          <t>081333772840</t>
        </is>
      </c>
      <c r="D40" t="inlineStr">
        <is>
          <t>cvberkahrizkyfamily@gmail.com</t>
        </is>
      </c>
      <c r="E40" t="inlineStr">
        <is>
          <t>https://lpjk.pu.go.id/search-badan-usaha-detail/ZDIzUGtTWWtSQ0dCL0ZRVzlpSVVndz09</t>
        </is>
      </c>
      <c r="F40" t="n">
        <v>6</v>
      </c>
      <c r="G40" t="inlineStr">
        <is>
          <t>BG002, BG009, BS004</t>
        </is>
      </c>
      <c r="H40" t="inlineStr">
        <is>
          <t>12 September 2023</t>
        </is>
      </c>
      <c r="I40" s="2" t="n">
        <v>46283</v>
      </c>
      <c r="J40" t="inlineStr">
        <is>
          <t>Disetujui</t>
        </is>
      </c>
      <c r="K40" t="n">
        <v>60</v>
      </c>
      <c r="L40" t="inlineStr">
        <is>
          <t>18 September 2026</t>
        </is>
      </c>
      <c r="M40" t="inlineStr">
        <is>
          <t>Konstruksi Gedung Lainnya, Konstruksi Gedung Perkantoran, Konstruksi Jaringan Irigasi dan Drainase</t>
        </is>
      </c>
      <c r="N40" t="inlineStr">
        <is>
          <t>K</t>
        </is>
      </c>
      <c r="O40" t="inlineStr">
        <is>
          <t>20230915</t>
        </is>
      </c>
      <c r="P40" t="inlineStr">
        <is>
          <t>Jawa Tengah</t>
        </is>
      </c>
      <c r="Q40" t="inlineStr"/>
    </row>
    <row r="41">
      <c r="A41" t="inlineStr">
        <is>
          <t>BERKAT BANJAR MANDIRI</t>
        </is>
      </c>
      <c r="B41" t="inlineStr">
        <is>
          <t>Kab. Banjar</t>
        </is>
      </c>
      <c r="C41" t="inlineStr">
        <is>
          <t>081351016221</t>
        </is>
      </c>
      <c r="D41" t="inlineStr">
        <is>
          <t>berkatbanjarm@gmail.com</t>
        </is>
      </c>
      <c r="E41" t="inlineStr">
        <is>
          <t>https://lpjk.pu.go.id/search-badan-usaha-detail/R3lZRk84bFhVR1hYalZReDdoL3NoZz09</t>
        </is>
      </c>
      <c r="F41" t="n">
        <v>2</v>
      </c>
      <c r="G41" t="inlineStr">
        <is>
          <t>BG003</t>
        </is>
      </c>
      <c r="H41" t="inlineStr">
        <is>
          <t>9 September 2023</t>
        </is>
      </c>
      <c r="I41" s="2" t="n">
        <v>46283</v>
      </c>
      <c r="J41" t="inlineStr">
        <is>
          <t>Pencabutan</t>
        </is>
      </c>
      <c r="K41" t="n">
        <v>60</v>
      </c>
      <c r="L41" t="inlineStr">
        <is>
          <t>18 September 2026</t>
        </is>
      </c>
      <c r="M41" t="inlineStr">
        <is>
          <t>Konstruksi Gedung Industri</t>
        </is>
      </c>
      <c r="N41" t="inlineStr">
        <is>
          <t>K</t>
        </is>
      </c>
      <c r="O41" t="inlineStr">
        <is>
          <t>20230913</t>
        </is>
      </c>
      <c r="P41" t="inlineStr">
        <is>
          <t>Kalimantan Selatan</t>
        </is>
      </c>
      <c r="Q41" t="inlineStr"/>
    </row>
    <row r="42">
      <c r="A42" t="inlineStr">
        <is>
          <t>BIMA SAKTI ADHINATA</t>
        </is>
      </c>
      <c r="B42" t="inlineStr">
        <is>
          <t>Kab. Lamongan</t>
        </is>
      </c>
      <c r="C42" t="inlineStr">
        <is>
          <t>0322317919</t>
        </is>
      </c>
      <c r="D42" t="inlineStr">
        <is>
          <t>bimasakti_adhinata1@yahoo.co.id</t>
        </is>
      </c>
      <c r="E42" t="inlineStr">
        <is>
          <t>https://lpjk.pu.go.id/search-badan-usaha-detail/U0xMVE9tOHA1RHhvdEZZaXNYTDAyZz09</t>
        </is>
      </c>
      <c r="F42" t="n">
        <v>1</v>
      </c>
      <c r="G42" t="inlineStr">
        <is>
          <t>BS001</t>
        </is>
      </c>
      <c r="H42" t="inlineStr">
        <is>
          <t>12 Januari 2007</t>
        </is>
      </c>
      <c r="I42" s="2" t="n">
        <v>46283</v>
      </c>
      <c r="J42" t="inlineStr">
        <is>
          <t>Pembekuan</t>
        </is>
      </c>
      <c r="K42" t="n">
        <v>60</v>
      </c>
      <c r="L42" t="inlineStr">
        <is>
          <t>18 September 2026</t>
        </is>
      </c>
      <c r="M42" t="inlineStr">
        <is>
          <t>Konstruksi Bangunan Sipil Jalan</t>
        </is>
      </c>
      <c r="N42" t="inlineStr">
        <is>
          <t>M</t>
        </is>
      </c>
      <c r="O42" t="inlineStr">
        <is>
          <t>20230918</t>
        </is>
      </c>
      <c r="P42" t="inlineStr">
        <is>
          <t>Jawa Timur</t>
        </is>
      </c>
      <c r="Q42" t="inlineStr"/>
    </row>
    <row r="43">
      <c r="A43" t="inlineStr">
        <is>
          <t>BIMA SENA</t>
        </is>
      </c>
      <c r="B43" t="inlineStr">
        <is>
          <t>Kota Binjai</t>
        </is>
      </c>
      <c r="C43" t="inlineStr">
        <is>
          <t>082276470424</t>
        </is>
      </c>
      <c r="D43" t="inlineStr">
        <is>
          <t>cvbimasena17@gmail.com</t>
        </is>
      </c>
      <c r="E43" t="inlineStr">
        <is>
          <t>https://lpjk.pu.go.id/search-badan-usaha-detail/RGlQTUdOWE5XUE5GeHNCa2RKNjQxQT09</t>
        </is>
      </c>
      <c r="F43" t="n">
        <v>1</v>
      </c>
      <c r="G43" t="inlineStr">
        <is>
          <t>BG009</t>
        </is>
      </c>
      <c r="H43" t="inlineStr">
        <is>
          <t>7 Juli 2017</t>
        </is>
      </c>
      <c r="I43" s="2" t="n">
        <v>46283</v>
      </c>
      <c r="J43" t="inlineStr">
        <is>
          <t>Disetujui</t>
        </is>
      </c>
      <c r="K43" t="n">
        <v>60</v>
      </c>
      <c r="L43" t="inlineStr">
        <is>
          <t>18 September 2026</t>
        </is>
      </c>
      <c r="M43" t="inlineStr">
        <is>
          <t>Konstruksi Gedung Lainnya</t>
        </is>
      </c>
      <c r="N43" t="inlineStr">
        <is>
          <t>K</t>
        </is>
      </c>
      <c r="O43" t="inlineStr">
        <is>
          <t>20230918</t>
        </is>
      </c>
      <c r="P43" t="inlineStr">
        <is>
          <t>Sumatera Utara</t>
        </is>
      </c>
      <c r="Q43" t="inlineStr"/>
    </row>
    <row r="44">
      <c r="A44" t="inlineStr">
        <is>
          <t>BINTANG CAHAYA LESTARI</t>
        </is>
      </c>
      <c r="B44" t="inlineStr">
        <is>
          <t>Kota Gorontalo</t>
        </is>
      </c>
      <c r="C44" t="inlineStr">
        <is>
          <t>081244669999</t>
        </is>
      </c>
      <c r="D44" t="inlineStr">
        <is>
          <t>bintangcahayalestari.cv@gmail.com</t>
        </is>
      </c>
      <c r="E44" t="inlineStr">
        <is>
          <t>https://lpjk.pu.go.id/search-badan-usaha-detail/UHpRRHpNUlJCT0h2SUNxb241Y21aUT09</t>
        </is>
      </c>
      <c r="F44" t="n">
        <v>2</v>
      </c>
      <c r="G44" t="inlineStr">
        <is>
          <t>BG009</t>
        </is>
      </c>
      <c r="H44" t="inlineStr">
        <is>
          <t>6 Februari 2008</t>
        </is>
      </c>
      <c r="I44" s="2" t="n">
        <v>46283</v>
      </c>
      <c r="J44" t="inlineStr">
        <is>
          <t>Disetujui</t>
        </is>
      </c>
      <c r="K44" t="n">
        <v>60</v>
      </c>
      <c r="L44" t="inlineStr">
        <is>
          <t>18 September 2026</t>
        </is>
      </c>
      <c r="M44" t="inlineStr">
        <is>
          <t>Konstruksi Gedung Lainnya</t>
        </is>
      </c>
      <c r="N44" t="inlineStr">
        <is>
          <t>K</t>
        </is>
      </c>
      <c r="O44" t="inlineStr">
        <is>
          <t>20230915</t>
        </is>
      </c>
      <c r="P44" t="inlineStr">
        <is>
          <t>Gorontalo</t>
        </is>
      </c>
      <c r="Q44" t="inlineStr"/>
    </row>
    <row r="45">
      <c r="A45" t="inlineStr">
        <is>
          <t>BINTANG MATARAM SEJAHTERA</t>
        </is>
      </c>
      <c r="B45" t="inlineStr">
        <is>
          <t>Kota Adm. Jakarta Selatan</t>
        </is>
      </c>
      <c r="C45" t="inlineStr">
        <is>
          <t>0217997925</t>
        </is>
      </c>
      <c r="D45" t="inlineStr">
        <is>
          <t>bintangmataramsejahtera.pt@yahoo.com</t>
        </is>
      </c>
      <c r="E45" t="inlineStr">
        <is>
          <t>https://lpjk.pu.go.id/search-badan-usaha-detail/NXdhTld0SXJHTkNjcmkvVDIvdXFUUT09</t>
        </is>
      </c>
      <c r="F45" t="n">
        <v>4</v>
      </c>
      <c r="G45" t="inlineStr">
        <is>
          <t>BG003, BG009</t>
        </is>
      </c>
      <c r="H45" t="inlineStr">
        <is>
          <t>8 Agustus 2012</t>
        </is>
      </c>
      <c r="I45" s="2" t="n">
        <v>46283</v>
      </c>
      <c r="J45" t="inlineStr">
        <is>
          <t>Disetujui</t>
        </is>
      </c>
      <c r="K45" t="n">
        <v>60</v>
      </c>
      <c r="L45" t="inlineStr">
        <is>
          <t>18 September 2026</t>
        </is>
      </c>
      <c r="M45" t="inlineStr">
        <is>
          <t>Konstruksi Gedung Industri, Konstruksi Gedung Lainnya</t>
        </is>
      </c>
      <c r="N45" t="inlineStr">
        <is>
          <t>K</t>
        </is>
      </c>
      <c r="O45" t="inlineStr">
        <is>
          <t>20230912, 20230913</t>
        </is>
      </c>
      <c r="P45" t="inlineStr">
        <is>
          <t>DKI Jakarta</t>
        </is>
      </c>
      <c r="Q45" t="inlineStr"/>
    </row>
    <row r="46">
      <c r="A46" t="inlineStr">
        <is>
          <t>BORNEO BAITUR GOLDEN</t>
        </is>
      </c>
      <c r="B46" t="inlineStr">
        <is>
          <t>Kota Banjarbaru</t>
        </is>
      </c>
      <c r="C46" t="inlineStr">
        <is>
          <t>0</t>
        </is>
      </c>
      <c r="D46" t="inlineStr">
        <is>
          <t>pt.borneobaiturgolden@gmail.com</t>
        </is>
      </c>
      <c r="E46" t="inlineStr">
        <is>
          <t>https://lpjk.pu.go.id/search-badan-usaha-detail/Rk5iNnJ2czZza2ZVbm10QkhHWUJTQT09</t>
        </is>
      </c>
      <c r="F46" t="n">
        <v>1</v>
      </c>
      <c r="G46" t="inlineStr">
        <is>
          <t>BG001</t>
        </is>
      </c>
      <c r="H46" t="inlineStr">
        <is>
          <t>26 Oktober 2019</t>
        </is>
      </c>
      <c r="I46" s="2" t="n">
        <v>46283</v>
      </c>
      <c r="J46" t="inlineStr">
        <is>
          <t>Disetujui</t>
        </is>
      </c>
      <c r="K46" t="n">
        <v>60</v>
      </c>
      <c r="L46" t="inlineStr">
        <is>
          <t>18 September 2026</t>
        </is>
      </c>
      <c r="M46" t="inlineStr">
        <is>
          <t>Konstruksi Gedung Hunian</t>
        </is>
      </c>
      <c r="N46" t="inlineStr">
        <is>
          <t>K</t>
        </is>
      </c>
      <c r="O46" t="inlineStr">
        <is>
          <t>20230919</t>
        </is>
      </c>
      <c r="P46" t="inlineStr">
        <is>
          <t>Kalimantan Selatan</t>
        </is>
      </c>
      <c r="Q46" t="inlineStr"/>
    </row>
    <row r="47">
      <c r="A47" t="inlineStr">
        <is>
          <t>BORNEO DZIBAN SEJAHTERA</t>
        </is>
      </c>
      <c r="B47" t="inlineStr">
        <is>
          <t>Kab. Kutai Timur</t>
        </is>
      </c>
      <c r="C47" t="inlineStr">
        <is>
          <t>081347400545</t>
        </is>
      </c>
      <c r="D47" t="inlineStr">
        <is>
          <t>cvborneods@gmail.com</t>
        </is>
      </c>
      <c r="E47" t="inlineStr">
        <is>
          <t>https://lpjk.pu.go.id/search-badan-usaha-detail/QkFIL0xLUFE4OE9ENjY1ZTE2R2JlZz09</t>
        </is>
      </c>
      <c r="F47" t="n">
        <v>1</v>
      </c>
      <c r="G47" t="inlineStr">
        <is>
          <t>BG002</t>
        </is>
      </c>
      <c r="H47" t="inlineStr">
        <is>
          <t>14 April 2023</t>
        </is>
      </c>
      <c r="I47" s="2" t="n">
        <v>46283</v>
      </c>
      <c r="J47" t="inlineStr">
        <is>
          <t>Disetujui</t>
        </is>
      </c>
      <c r="K47" t="n">
        <v>60</v>
      </c>
      <c r="L47" t="inlineStr">
        <is>
          <t>18 September 2026</t>
        </is>
      </c>
      <c r="M47" t="inlineStr">
        <is>
          <t>Konstruksi Gedung Perkantoran</t>
        </is>
      </c>
      <c r="N47" t="inlineStr">
        <is>
          <t>K</t>
        </is>
      </c>
      <c r="O47" t="inlineStr">
        <is>
          <t>20230913</t>
        </is>
      </c>
      <c r="P47" t="inlineStr">
        <is>
          <t>Kalimantan Timur</t>
        </is>
      </c>
      <c r="Q47" t="inlineStr"/>
    </row>
    <row r="48">
      <c r="A48" t="inlineStr">
        <is>
          <t>BREBES JAYA MANDIRI</t>
        </is>
      </c>
      <c r="B48" t="inlineStr">
        <is>
          <t>Kab. Brebes</t>
        </is>
      </c>
      <c r="C48" t="inlineStr">
        <is>
          <t>085394694070</t>
        </is>
      </c>
      <c r="D48" t="inlineStr">
        <is>
          <t>jymandiri021@gmail.com</t>
        </is>
      </c>
      <c r="E48" t="inlineStr">
        <is>
          <t>https://lpjk.pu.go.id/search-badan-usaha-detail/N1ZPWDcwRnZjdDZiWjc0VXZ4ZmtHZz09</t>
        </is>
      </c>
      <c r="F48" t="n">
        <v>3</v>
      </c>
      <c r="G48" t="inlineStr">
        <is>
          <t>BG006, BG009, BS001</t>
        </is>
      </c>
      <c r="H48" t="inlineStr">
        <is>
          <t>19 Agustus 2019</t>
        </is>
      </c>
      <c r="I48" s="2" t="n">
        <v>46283</v>
      </c>
      <c r="J48" t="inlineStr">
        <is>
          <t>Disetujui</t>
        </is>
      </c>
      <c r="K48" t="n">
        <v>60</v>
      </c>
      <c r="L48" t="inlineStr">
        <is>
          <t>18 September 2026</t>
        </is>
      </c>
      <c r="M48" t="inlineStr">
        <is>
          <t>Konstruksi Bangunan Sipil Jalan, Konstruksi Gedung Lainnya, Konstruksi Gedung Pendidikan</t>
        </is>
      </c>
      <c r="N48" t="inlineStr">
        <is>
          <t>K</t>
        </is>
      </c>
      <c r="O48" t="inlineStr">
        <is>
          <t>20230912, 20230913</t>
        </is>
      </c>
      <c r="P48" t="inlineStr">
        <is>
          <t>Jawa Tengah</t>
        </is>
      </c>
      <c r="Q48" t="inlineStr"/>
    </row>
    <row r="49">
      <c r="A49" t="inlineStr">
        <is>
          <t>BUDHI KARYA UTAMA</t>
        </is>
      </c>
      <c r="B49" t="inlineStr">
        <is>
          <t>Kab. Nganjuk</t>
        </is>
      </c>
      <c r="C49" t="inlineStr">
        <is>
          <t>082336448353</t>
        </is>
      </c>
      <c r="D49" t="inlineStr">
        <is>
          <t>budiantobudhikaryautama@gmail.com</t>
        </is>
      </c>
      <c r="E49" t="inlineStr">
        <is>
          <t>https://lpjk.pu.go.id/search-badan-usaha-detail/OGxsbUpvVEl3eHFhSFRXSWc1Wm0vdz09</t>
        </is>
      </c>
      <c r="F49" t="n">
        <v>1</v>
      </c>
      <c r="G49" t="inlineStr">
        <is>
          <t>BS001</t>
        </is>
      </c>
      <c r="H49" t="inlineStr">
        <is>
          <t>29 Desember 2006</t>
        </is>
      </c>
      <c r="I49" s="2" t="n">
        <v>46283</v>
      </c>
      <c r="J49" t="inlineStr">
        <is>
          <t>Disetujui</t>
        </is>
      </c>
      <c r="K49" t="n">
        <v>60</v>
      </c>
      <c r="L49" t="inlineStr">
        <is>
          <t>18 September 2026</t>
        </is>
      </c>
      <c r="M49" t="inlineStr">
        <is>
          <t>Konstruksi Bangunan Sipil Jalan</t>
        </is>
      </c>
      <c r="N49" t="inlineStr">
        <is>
          <t>K</t>
        </is>
      </c>
      <c r="O49" t="inlineStr">
        <is>
          <t>20230918</t>
        </is>
      </c>
      <c r="P49" t="inlineStr">
        <is>
          <t>Jawa Timur</t>
        </is>
      </c>
      <c r="Q49" t="inlineStr"/>
    </row>
    <row r="50">
      <c r="A50" t="inlineStr">
        <is>
          <t>BUMI MANDIRI BERDIKARI</t>
        </is>
      </c>
      <c r="B50" t="inlineStr">
        <is>
          <t>Kota Tangerang Selatan</t>
        </is>
      </c>
      <c r="C50" t="inlineStr">
        <is>
          <t>02174776205</t>
        </is>
      </c>
      <c r="D50" t="inlineStr">
        <is>
          <t>bmb.crd222@gmail.com</t>
        </is>
      </c>
      <c r="E50" t="inlineStr">
        <is>
          <t>https://lpjk.pu.go.id/search-badan-usaha-detail/aWNpVlJ1WnBmWmIyWHFuL09EcDg4dz09</t>
        </is>
      </c>
      <c r="F50" t="n">
        <v>1</v>
      </c>
      <c r="G50" t="inlineStr">
        <is>
          <t>BS001</t>
        </is>
      </c>
      <c r="H50" t="inlineStr">
        <is>
          <t>5 Februari 2016</t>
        </is>
      </c>
      <c r="I50" s="2" t="n">
        <v>46283</v>
      </c>
      <c r="J50" t="inlineStr">
        <is>
          <t>Disetujui</t>
        </is>
      </c>
      <c r="K50" t="n">
        <v>60</v>
      </c>
      <c r="L50" t="inlineStr">
        <is>
          <t>18 September 2026</t>
        </is>
      </c>
      <c r="M50" t="inlineStr">
        <is>
          <t>Konstruksi Bangunan Sipil Jalan</t>
        </is>
      </c>
      <c r="N50" t="inlineStr">
        <is>
          <t>K</t>
        </is>
      </c>
      <c r="O50" t="inlineStr">
        <is>
          <t>20230915</t>
        </is>
      </c>
      <c r="P50" t="inlineStr">
        <is>
          <t>Banten</t>
        </is>
      </c>
      <c r="Q50" t="inlineStr"/>
    </row>
    <row r="51">
      <c r="A51" t="inlineStr">
        <is>
          <t>CAHAYA MANDIRI</t>
        </is>
      </c>
      <c r="B51" t="inlineStr">
        <is>
          <t>Kota Pontianak</t>
        </is>
      </c>
      <c r="C51" t="inlineStr">
        <is>
          <t>-</t>
        </is>
      </c>
      <c r="D51" t="inlineStr">
        <is>
          <t>cahayamandiri.cv01@yahoo.com</t>
        </is>
      </c>
      <c r="E51" t="inlineStr">
        <is>
          <t>https://lpjk.pu.go.id/search-badan-usaha-detail/UXg5c2p4OUcrbnJqUWpGbEh6UkFTUT09</t>
        </is>
      </c>
      <c r="F51" t="n">
        <v>1</v>
      </c>
      <c r="G51" t="inlineStr">
        <is>
          <t>BG005</t>
        </is>
      </c>
      <c r="H51" t="inlineStr">
        <is>
          <t>1 Desember 2010</t>
        </is>
      </c>
      <c r="I51" s="2" t="n">
        <v>46283</v>
      </c>
      <c r="J51" t="inlineStr">
        <is>
          <t>Disetujui</t>
        </is>
      </c>
      <c r="K51" t="n">
        <v>60</v>
      </c>
      <c r="L51" t="inlineStr">
        <is>
          <t>18 September 2026</t>
        </is>
      </c>
      <c r="M51" t="inlineStr">
        <is>
          <t>Konstruksi Gedung Kesehatan</t>
        </is>
      </c>
      <c r="N51" t="inlineStr">
        <is>
          <t>K</t>
        </is>
      </c>
      <c r="O51" t="inlineStr">
        <is>
          <t>20230912</t>
        </is>
      </c>
      <c r="P51" t="inlineStr">
        <is>
          <t>Kalimantan Barat</t>
        </is>
      </c>
      <c r="Q51" t="inlineStr"/>
    </row>
    <row r="52">
      <c r="A52" t="inlineStr">
        <is>
          <t>CIPTA SENTOSA</t>
        </is>
      </c>
      <c r="B52" t="inlineStr">
        <is>
          <t>Kab. Kapuas Hulu</t>
        </is>
      </c>
      <c r="C52" t="inlineStr">
        <is>
          <t>085252313959</t>
        </is>
      </c>
      <c r="D52" t="inlineStr">
        <is>
          <t>ciptasentosa88@gmail.com</t>
        </is>
      </c>
      <c r="E52" t="inlineStr">
        <is>
          <t>https://lpjk.pu.go.id/search-badan-usaha-detail/RU9jOHljMG9vTlN6TEwvVUxVVmRBZz09</t>
        </is>
      </c>
      <c r="F52" t="n">
        <v>2</v>
      </c>
      <c r="G52" t="inlineStr">
        <is>
          <t>BG007</t>
        </is>
      </c>
      <c r="H52" t="inlineStr">
        <is>
          <t>14 April 2005</t>
        </is>
      </c>
      <c r="I52" s="2" t="n">
        <v>46283</v>
      </c>
      <c r="J52" t="inlineStr">
        <is>
          <t>Disetujui, Dokumen Tidak Lengkap</t>
        </is>
      </c>
      <c r="K52" t="n">
        <v>60</v>
      </c>
      <c r="L52" t="inlineStr">
        <is>
          <t>18 September 2026</t>
        </is>
      </c>
      <c r="M52" t="inlineStr">
        <is>
          <t>Konstruksi Gedung Penginapan</t>
        </is>
      </c>
      <c r="N52" t="inlineStr">
        <is>
          <t>M</t>
        </is>
      </c>
      <c r="O52" t="inlineStr">
        <is>
          <t>20230914</t>
        </is>
      </c>
      <c r="P52" t="inlineStr">
        <is>
          <t>Kalimantan Barat</t>
        </is>
      </c>
      <c r="Q52" t="inlineStr"/>
    </row>
    <row r="53">
      <c r="A53" t="inlineStr">
        <is>
          <t>DAYA NUSANTARA ADYATAMA</t>
        </is>
      </c>
      <c r="B53" t="inlineStr">
        <is>
          <t>Kab. Bojonegoro</t>
        </is>
      </c>
      <c r="C53" t="inlineStr">
        <is>
          <t>-</t>
        </is>
      </c>
      <c r="D53" t="inlineStr">
        <is>
          <t>dayanusantaraadyatama.cv@gmail.com</t>
        </is>
      </c>
      <c r="E53" t="inlineStr">
        <is>
          <t>https://lpjk.pu.go.id/search-badan-usaha-detail/bkFqNlNVL0dVNzA5RjBPYzJOQXVqdz09</t>
        </is>
      </c>
      <c r="F53" t="n">
        <v>1</v>
      </c>
      <c r="G53" t="inlineStr">
        <is>
          <t>BG006</t>
        </is>
      </c>
      <c r="H53" t="inlineStr">
        <is>
          <t>27 Juli 2017</t>
        </is>
      </c>
      <c r="I53" s="2" t="n">
        <v>46283</v>
      </c>
      <c r="J53" t="inlineStr">
        <is>
          <t>Pencabutan</t>
        </is>
      </c>
      <c r="K53" t="n">
        <v>60</v>
      </c>
      <c r="L53" t="inlineStr">
        <is>
          <t>18 September 2026</t>
        </is>
      </c>
      <c r="M53" t="inlineStr">
        <is>
          <t>Konstruksi Gedung Pendidikan</t>
        </is>
      </c>
      <c r="N53" t="inlineStr">
        <is>
          <t>K</t>
        </is>
      </c>
      <c r="O53" t="inlineStr">
        <is>
          <t>20230919</t>
        </is>
      </c>
      <c r="P53" t="inlineStr">
        <is>
          <t>Jawa Timur</t>
        </is>
      </c>
      <c r="Q53" t="inlineStr"/>
    </row>
    <row r="54">
      <c r="A54" t="inlineStr">
        <is>
          <t>DENDY KURNIA</t>
        </is>
      </c>
      <c r="B54" t="inlineStr">
        <is>
          <t>Kab. Bengkalis</t>
        </is>
      </c>
      <c r="C54" t="inlineStr">
        <is>
          <t>082392129331</t>
        </is>
      </c>
      <c r="D54" t="inlineStr">
        <is>
          <t>cvdendyk@gmail.com</t>
        </is>
      </c>
      <c r="E54" t="inlineStr">
        <is>
          <t>https://lpjk.pu.go.id/search-badan-usaha-detail/LzlCamZwRUViU3VjeUp1bG1ibWNjQT09</t>
        </is>
      </c>
      <c r="F54" t="n">
        <v>1</v>
      </c>
      <c r="G54" t="inlineStr">
        <is>
          <t>BS001</t>
        </is>
      </c>
      <c r="H54" t="inlineStr">
        <is>
          <t>31 Maret 2000</t>
        </is>
      </c>
      <c r="I54" s="2" t="n">
        <v>46283</v>
      </c>
      <c r="J54" t="inlineStr">
        <is>
          <t>Disetujui</t>
        </is>
      </c>
      <c r="K54" t="n">
        <v>60</v>
      </c>
      <c r="L54" t="inlineStr">
        <is>
          <t>18 September 2026</t>
        </is>
      </c>
      <c r="M54" t="inlineStr">
        <is>
          <t>Konstruksi Bangunan Sipil Jalan</t>
        </is>
      </c>
      <c r="N54" t="inlineStr">
        <is>
          <t>K</t>
        </is>
      </c>
      <c r="O54" t="inlineStr">
        <is>
          <t>20230919</t>
        </is>
      </c>
      <c r="P54" t="inlineStr">
        <is>
          <t>Riau</t>
        </is>
      </c>
      <c r="Q54" t="inlineStr"/>
    </row>
    <row r="55">
      <c r="A55" t="inlineStr">
        <is>
          <t>DUA EMPAT TUJUH STUDIO</t>
        </is>
      </c>
      <c r="B55" t="inlineStr">
        <is>
          <t>Kota Makassar</t>
        </is>
      </c>
      <c r="C55" t="inlineStr">
        <is>
          <t>081242092152</t>
        </is>
      </c>
      <c r="D55" t="inlineStr">
        <is>
          <t>info@archstudio247.com</t>
        </is>
      </c>
      <c r="E55" t="inlineStr">
        <is>
          <t>https://lpjk.pu.go.id/search-badan-usaha-detail/ajNkaFlvOG5HYm5YUEt0MHdOelZ5Zz09</t>
        </is>
      </c>
      <c r="F55" t="n">
        <v>2</v>
      </c>
      <c r="G55" t="inlineStr">
        <is>
          <t>AR001, AR002</t>
        </is>
      </c>
      <c r="H55" t="inlineStr">
        <is>
          <t>15 Juni 2022</t>
        </is>
      </c>
      <c r="I55" s="2" t="n">
        <v>46283</v>
      </c>
      <c r="J55" t="inlineStr">
        <is>
          <t>Disetujui</t>
        </is>
      </c>
      <c r="K55" t="n">
        <v>60</v>
      </c>
      <c r="L55" t="inlineStr">
        <is>
          <t>18 September 2026</t>
        </is>
      </c>
      <c r="M55" t="inlineStr">
        <is>
          <t>Jasa Arsitektural Bangunan Gedung Hunian dan Non Hunian, Jasa Arsitektural Lainnya</t>
        </is>
      </c>
      <c r="N55" t="inlineStr">
        <is>
          <t>K</t>
        </is>
      </c>
      <c r="O55" t="inlineStr">
        <is>
          <t>20230831</t>
        </is>
      </c>
      <c r="P55" t="inlineStr">
        <is>
          <t>Sulawesi Selatan</t>
        </is>
      </c>
      <c r="Q55" t="inlineStr"/>
    </row>
    <row r="56">
      <c r="A56" t="inlineStr">
        <is>
          <t>DUO ALSAKHI PUTRI</t>
        </is>
      </c>
      <c r="B56" t="inlineStr">
        <is>
          <t>Kota Adm. Jakarta Selatan</t>
        </is>
      </c>
      <c r="C56" t="inlineStr">
        <is>
          <t>02122538232</t>
        </is>
      </c>
      <c r="D56" t="inlineStr">
        <is>
          <t>duoalsakhiputri@yahoo.com</t>
        </is>
      </c>
      <c r="E56" t="inlineStr">
        <is>
          <t>https://lpjk.pu.go.id/search-badan-usaha-detail/aGF1VTI0UWIzQVljK0Y5REZCQkVSQT09</t>
        </is>
      </c>
      <c r="F56" t="n">
        <v>4</v>
      </c>
      <c r="G56" t="inlineStr">
        <is>
          <t>BG004, BG006, BG007, BG009</t>
        </is>
      </c>
      <c r="H56" t="inlineStr">
        <is>
          <t>23 Oktober 2019</t>
        </is>
      </c>
      <c r="I56" s="2" t="n">
        <v>46283</v>
      </c>
      <c r="J56" t="inlineStr">
        <is>
          <t>Disetujui</t>
        </is>
      </c>
      <c r="K56" t="n">
        <v>60</v>
      </c>
      <c r="L56" t="inlineStr">
        <is>
          <t>18 September 2026</t>
        </is>
      </c>
      <c r="M56" t="inlineStr">
        <is>
          <t>Konstruksi Gedung Lainnya, Konstruksi Gedung Pendidikan, Konstruksi Gedung Penginapan, Konstruksi Gedung Perbelanjaan</t>
        </is>
      </c>
      <c r="N56" t="inlineStr">
        <is>
          <t>K</t>
        </is>
      </c>
      <c r="O56" t="inlineStr">
        <is>
          <t>20230918</t>
        </is>
      </c>
      <c r="P56" t="inlineStr">
        <is>
          <t>DKI Jakarta</t>
        </is>
      </c>
      <c r="Q56" t="inlineStr"/>
    </row>
    <row r="57">
      <c r="A57" t="inlineStr">
        <is>
          <t>DZAKIR KONSULTAN</t>
        </is>
      </c>
      <c r="B57" t="inlineStr">
        <is>
          <t>Kab. Sumbawa Barat</t>
        </is>
      </c>
      <c r="C57" t="inlineStr">
        <is>
          <t>082187824747</t>
        </is>
      </c>
      <c r="D57" t="inlineStr">
        <is>
          <t>cvdzakir@yahoo.com</t>
        </is>
      </c>
      <c r="E57" t="inlineStr">
        <is>
          <t>https://lpjk.pu.go.id/search-badan-usaha-detail/K0NhVXZUbXJIQUtZS2pNRFB2N0RLdz09</t>
        </is>
      </c>
      <c r="F57" t="n">
        <v>1</v>
      </c>
      <c r="G57" t="inlineStr">
        <is>
          <t>RK003</t>
        </is>
      </c>
      <c r="H57" t="inlineStr">
        <is>
          <t>24 November 2018</t>
        </is>
      </c>
      <c r="I57" s="2" t="n">
        <v>46283</v>
      </c>
      <c r="J57" t="inlineStr">
        <is>
          <t>Disetujui</t>
        </is>
      </c>
      <c r="K57" t="n">
        <v>60</v>
      </c>
      <c r="L57" t="inlineStr">
        <is>
          <t>18 September 2026</t>
        </is>
      </c>
      <c r="M57" t="inlineStr">
        <is>
          <t>Jasa Rekayasa Pekerjaan Teknik Sipil Transportasi</t>
        </is>
      </c>
      <c r="N57" t="inlineStr">
        <is>
          <t>K</t>
        </is>
      </c>
      <c r="O57" t="inlineStr">
        <is>
          <t>20230217</t>
        </is>
      </c>
      <c r="P57" t="inlineStr">
        <is>
          <t>Nusa Tenggara Barat</t>
        </is>
      </c>
      <c r="Q57" t="inlineStr"/>
    </row>
    <row r="58">
      <c r="A58" t="inlineStr">
        <is>
          <t>ELANG JAYA</t>
        </is>
      </c>
      <c r="B58" t="inlineStr">
        <is>
          <t>Kab. Cirebon</t>
        </is>
      </c>
      <c r="C58" t="inlineStr">
        <is>
          <t>0813 9551 4469</t>
        </is>
      </c>
      <c r="D58" t="inlineStr">
        <is>
          <t>taganamandiri+20@gmail.com</t>
        </is>
      </c>
      <c r="E58" t="inlineStr">
        <is>
          <t>https://lpjk.pu.go.id/search-badan-usaha-detail/cmg2NnNMR3BsOGRHcWNkeXo4WmV1dz09</t>
        </is>
      </c>
      <c r="F58" t="n">
        <v>2</v>
      </c>
      <c r="G58" t="inlineStr">
        <is>
          <t>BS001</t>
        </is>
      </c>
      <c r="H58" t="inlineStr">
        <is>
          <t>6 Oktober 2010</t>
        </is>
      </c>
      <c r="I58" s="2" t="n">
        <v>46283</v>
      </c>
      <c r="J58" t="inlineStr">
        <is>
          <t>Disetujui</t>
        </is>
      </c>
      <c r="K58" t="n">
        <v>60</v>
      </c>
      <c r="L58" t="inlineStr">
        <is>
          <t>18 September 2026</t>
        </is>
      </c>
      <c r="M58" t="inlineStr">
        <is>
          <t>Konstruksi Bangunan Sipil Jalan</t>
        </is>
      </c>
      <c r="N58" t="inlineStr">
        <is>
          <t>K</t>
        </is>
      </c>
      <c r="O58" t="inlineStr">
        <is>
          <t>20230915</t>
        </is>
      </c>
      <c r="P58" t="inlineStr">
        <is>
          <t>Jawa Barat</t>
        </is>
      </c>
      <c r="Q58" t="inlineStr"/>
    </row>
    <row r="59">
      <c r="A59" t="inlineStr">
        <is>
          <t>ELKA ABADI</t>
        </is>
      </c>
      <c r="B59" t="inlineStr">
        <is>
          <t>Kab. Madiun</t>
        </is>
      </c>
      <c r="C59" t="inlineStr">
        <is>
          <t>081336883522</t>
        </is>
      </c>
      <c r="D59" t="inlineStr">
        <is>
          <t>elkaabadi22@gmail.com</t>
        </is>
      </c>
      <c r="E59" t="inlineStr">
        <is>
          <t>https://lpjk.pu.go.id/search-badan-usaha-detail/VXU4UTk5ZXJQTmpkUlZXdTBKN2NBZz09</t>
        </is>
      </c>
      <c r="F59" t="n">
        <v>3</v>
      </c>
      <c r="G59" t="inlineStr">
        <is>
          <t>BG005, BG006, BS001</t>
        </is>
      </c>
      <c r="H59" t="inlineStr">
        <is>
          <t>5 September 2023</t>
        </is>
      </c>
      <c r="I59" s="2" t="n">
        <v>46283</v>
      </c>
      <c r="J59" t="inlineStr">
        <is>
          <t>Disetujui</t>
        </is>
      </c>
      <c r="K59" t="n">
        <v>60</v>
      </c>
      <c r="L59" t="inlineStr">
        <is>
          <t>18 September 2026</t>
        </is>
      </c>
      <c r="M59" t="inlineStr">
        <is>
          <t>Konstruksi Bangunan Sipil Jalan, Konstruksi Gedung Kesehatan, Konstruksi Gedung Pendidikan</t>
        </is>
      </c>
      <c r="N59" t="inlineStr">
        <is>
          <t>K</t>
        </is>
      </c>
      <c r="O59" t="inlineStr">
        <is>
          <t>20230914, 20230916</t>
        </is>
      </c>
      <c r="P59" t="inlineStr">
        <is>
          <t>Jawa Timur</t>
        </is>
      </c>
      <c r="Q59" t="inlineStr"/>
    </row>
    <row r="60">
      <c r="A60" t="inlineStr">
        <is>
          <t>EMPAT PUTRA BANGSA SEJATI</t>
        </is>
      </c>
      <c r="B60" t="inlineStr">
        <is>
          <t>Kota Bandung</t>
        </is>
      </c>
      <c r="C60" t="inlineStr">
        <is>
          <t>08561198310</t>
        </is>
      </c>
      <c r="D60" t="inlineStr">
        <is>
          <t>empatputrabangsasejati@gmail.com</t>
        </is>
      </c>
      <c r="E60" t="inlineStr">
        <is>
          <t>https://lpjk.pu.go.id/search-badan-usaha-detail/anVVcFZLazRtUVFDZzFkOGYzUXlVZz09</t>
        </is>
      </c>
      <c r="F60" t="n">
        <v>2</v>
      </c>
      <c r="G60" t="inlineStr">
        <is>
          <t>BS004, BS009</t>
        </is>
      </c>
      <c r="H60" t="inlineStr">
        <is>
          <t>24 Juli 2023</t>
        </is>
      </c>
      <c r="I60" s="2" t="n">
        <v>46283</v>
      </c>
      <c r="J60" t="inlineStr">
        <is>
          <t>Disetujui</t>
        </is>
      </c>
      <c r="K60" t="n">
        <v>60</v>
      </c>
      <c r="L60" t="inlineStr">
        <is>
          <t>18 September 2026</t>
        </is>
      </c>
      <c r="M60" t="inlineStr">
        <is>
          <t>Konstruksi Jaringan Irigasi dan Drainase, Konstruksi Sentral Telekomunikasi</t>
        </is>
      </c>
      <c r="N60" t="inlineStr">
        <is>
          <t>K</t>
        </is>
      </c>
      <c r="O60" t="inlineStr">
        <is>
          <t>20230913, 20230919</t>
        </is>
      </c>
      <c r="P60" t="inlineStr">
        <is>
          <t>Jawa Barat</t>
        </is>
      </c>
      <c r="Q60" t="inlineStr"/>
    </row>
    <row r="61">
      <c r="A61" t="inlineStr">
        <is>
          <t>ENAM SANDI UTAMA</t>
        </is>
      </c>
      <c r="B61" t="inlineStr">
        <is>
          <t>Kota Padang</t>
        </is>
      </c>
      <c r="C61" t="inlineStr">
        <is>
          <t>08126733441</t>
        </is>
      </c>
      <c r="D61" t="inlineStr">
        <is>
          <t>enamsandiutama@yahoo.co.id</t>
        </is>
      </c>
      <c r="E61" t="inlineStr">
        <is>
          <t>https://lpjk.pu.go.id/search-badan-usaha-detail/R0pLK2JON3JKQmFkT0EvWTdpZHkrdz09</t>
        </is>
      </c>
      <c r="F61" t="n">
        <v>2</v>
      </c>
      <c r="G61" t="inlineStr">
        <is>
          <t>BG003, BG009</t>
        </is>
      </c>
      <c r="H61" t="inlineStr">
        <is>
          <t>1 Februari 2023</t>
        </is>
      </c>
      <c r="I61" s="2" t="n">
        <v>46283</v>
      </c>
      <c r="J61" t="inlineStr">
        <is>
          <t>Disetujui</t>
        </is>
      </c>
      <c r="K61" t="n">
        <v>60</v>
      </c>
      <c r="L61" t="inlineStr">
        <is>
          <t>18 September 2026</t>
        </is>
      </c>
      <c r="M61" t="inlineStr">
        <is>
          <t>Konstruksi Gedung Industri, Konstruksi Gedung Lainnya</t>
        </is>
      </c>
      <c r="N61" t="inlineStr">
        <is>
          <t>K</t>
        </is>
      </c>
      <c r="O61" t="inlineStr">
        <is>
          <t>20230915</t>
        </is>
      </c>
      <c r="P61" t="inlineStr">
        <is>
          <t>Sumatera Barat</t>
        </is>
      </c>
      <c r="Q61" t="inlineStr"/>
    </row>
    <row r="62">
      <c r="A62" t="inlineStr">
        <is>
          <t>FADIRA PERDANA</t>
        </is>
      </c>
      <c r="B62" t="inlineStr">
        <is>
          <t>Kab. Malang</t>
        </is>
      </c>
      <c r="C62" t="inlineStr">
        <is>
          <t>081332452338</t>
        </is>
      </c>
      <c r="D62" t="inlineStr">
        <is>
          <t>fadiraperdana@gmail.com</t>
        </is>
      </c>
      <c r="E62" t="inlineStr">
        <is>
          <t>https://lpjk.pu.go.id/search-badan-usaha-detail/eEZkN1Y4dzZhcGFtZ09oYU9hazg3dz09</t>
        </is>
      </c>
      <c r="F62" t="n">
        <v>1</v>
      </c>
      <c r="G62" t="inlineStr">
        <is>
          <t>RK005</t>
        </is>
      </c>
      <c r="H62" t="inlineStr">
        <is>
          <t>22 Februari 2017</t>
        </is>
      </c>
      <c r="I62" s="2" t="n">
        <v>46283</v>
      </c>
      <c r="J62" t="inlineStr">
        <is>
          <t>Disetujui</t>
        </is>
      </c>
      <c r="K62" t="n">
        <v>60</v>
      </c>
      <c r="L62" t="inlineStr">
        <is>
          <t>18 September 2026</t>
        </is>
      </c>
      <c r="M62" t="inlineStr">
        <is>
          <t>Jasa Rekayasa Lainnya</t>
        </is>
      </c>
      <c r="N62" t="inlineStr">
        <is>
          <t>K</t>
        </is>
      </c>
      <c r="O62" t="inlineStr">
        <is>
          <t>20230911</t>
        </is>
      </c>
      <c r="P62" t="inlineStr">
        <is>
          <t>Jawa Timur</t>
        </is>
      </c>
      <c r="Q62" t="inlineStr"/>
    </row>
    <row r="63">
      <c r="A63" t="inlineStr">
        <is>
          <t>FASCA</t>
        </is>
      </c>
      <c r="B63" t="inlineStr">
        <is>
          <t>Kab. Sukabumi</t>
        </is>
      </c>
      <c r="C63" t="inlineStr">
        <is>
          <t>0266225217</t>
        </is>
      </c>
      <c r="D63" t="inlineStr">
        <is>
          <t>farid58fasca@gmail.com</t>
        </is>
      </c>
      <c r="E63" t="inlineStr">
        <is>
          <t>https://lpjk.pu.go.id/search-badan-usaha-detail/VGlIZXI5aUtOQUxqSGNaYlJyeVkzUT09</t>
        </is>
      </c>
      <c r="F63" t="n">
        <v>1</v>
      </c>
      <c r="G63" t="inlineStr">
        <is>
          <t>BS002</t>
        </is>
      </c>
      <c r="H63" t="inlineStr">
        <is>
          <t>10 April 2019</t>
        </is>
      </c>
      <c r="I63" s="2" t="n">
        <v>46283</v>
      </c>
      <c r="J63" t="inlineStr">
        <is>
          <t>Disetujui</t>
        </is>
      </c>
      <c r="K63" t="n">
        <v>60</v>
      </c>
      <c r="L63" t="inlineStr">
        <is>
          <t>18 September 2026</t>
        </is>
      </c>
      <c r="M63" t="inlineStr">
        <is>
          <t>Bangunan Sipil Jembatan, Jalan Layang, Fly Over, dan Underpass</t>
        </is>
      </c>
      <c r="N63" t="inlineStr">
        <is>
          <t>K</t>
        </is>
      </c>
      <c r="O63" t="inlineStr">
        <is>
          <t>20230915</t>
        </is>
      </c>
      <c r="P63" t="inlineStr">
        <is>
          <t>Jawa Barat</t>
        </is>
      </c>
      <c r="Q63" t="inlineStr"/>
    </row>
    <row r="64">
      <c r="A64" t="inlineStr">
        <is>
          <t>GALAXY EKSEKUTIF KONTRAKTOR</t>
        </is>
      </c>
      <c r="B64" t="inlineStr">
        <is>
          <t>Kab. Tanah Bumbu</t>
        </is>
      </c>
      <c r="C64" t="inlineStr">
        <is>
          <t>082346127576</t>
        </is>
      </c>
      <c r="D64" t="inlineStr">
        <is>
          <t>galaxyeksekutifkontraktor@gmail.com</t>
        </is>
      </c>
      <c r="E64" t="inlineStr">
        <is>
          <t>https://lpjk.pu.go.id/search-badan-usaha-detail/ZkZKM1l5MmZEVGNqOWlDU1dPblMyQT09</t>
        </is>
      </c>
      <c r="F64" t="n">
        <v>1</v>
      </c>
      <c r="G64" t="inlineStr">
        <is>
          <t>BS001</t>
        </is>
      </c>
      <c r="H64" t="inlineStr">
        <is>
          <t>27 Desember 2022</t>
        </is>
      </c>
      <c r="I64" s="2" t="n">
        <v>46283</v>
      </c>
      <c r="J64" t="inlineStr">
        <is>
          <t>Disetujui</t>
        </is>
      </c>
      <c r="K64" t="n">
        <v>60</v>
      </c>
      <c r="L64" t="inlineStr">
        <is>
          <t>18 September 2026</t>
        </is>
      </c>
      <c r="M64" t="inlineStr">
        <is>
          <t>Konstruksi Bangunan Sipil Jalan</t>
        </is>
      </c>
      <c r="N64" t="inlineStr">
        <is>
          <t>K</t>
        </is>
      </c>
      <c r="O64" t="inlineStr">
        <is>
          <t>20230916</t>
        </is>
      </c>
      <c r="P64" t="inlineStr">
        <is>
          <t>Kalimantan Selatan</t>
        </is>
      </c>
      <c r="Q64" t="inlineStr"/>
    </row>
    <row r="65">
      <c r="A65" t="inlineStr">
        <is>
          <t>GIRI KENCANA</t>
        </is>
      </c>
      <c r="B65" t="inlineStr">
        <is>
          <t>Kota Pekanbaru</t>
        </is>
      </c>
      <c r="C65" t="inlineStr">
        <is>
          <t>082169977877</t>
        </is>
      </c>
      <c r="D65" t="inlineStr">
        <is>
          <t>girikencana082019@gmail.com</t>
        </is>
      </c>
      <c r="E65" t="inlineStr">
        <is>
          <t>https://lpjk.pu.go.id/search-badan-usaha-detail/U05pZkF4NFZVSlZ6OUVHZnNyRTJpZz09</t>
        </is>
      </c>
      <c r="F65" t="n">
        <v>3</v>
      </c>
      <c r="G65" t="inlineStr">
        <is>
          <t>BG001, BG003, BS001</t>
        </is>
      </c>
      <c r="H65" t="inlineStr">
        <is>
          <t>15 Mei 1996</t>
        </is>
      </c>
      <c r="I65" s="2" t="n">
        <v>46283</v>
      </c>
      <c r="J65" t="inlineStr">
        <is>
          <t>Pencabutan</t>
        </is>
      </c>
      <c r="K65" t="n">
        <v>60</v>
      </c>
      <c r="L65" t="inlineStr">
        <is>
          <t>18 September 2026</t>
        </is>
      </c>
      <c r="M65" t="inlineStr">
        <is>
          <t>Konstruksi Bangunan Sipil Jalan, Konstruksi Gedung Hunian, Konstruksi Gedung Industri</t>
        </is>
      </c>
      <c r="N65" t="inlineStr">
        <is>
          <t>K</t>
        </is>
      </c>
      <c r="O65" t="inlineStr">
        <is>
          <t>20230914, 20230917</t>
        </is>
      </c>
      <c r="P65" t="inlineStr">
        <is>
          <t>Riau</t>
        </is>
      </c>
      <c r="Q65" t="inlineStr"/>
    </row>
    <row r="66">
      <c r="A66" t="inlineStr">
        <is>
          <t>GLOBAL NUSANTARA</t>
        </is>
      </c>
      <c r="B66" t="inlineStr">
        <is>
          <t>Kota Medan</t>
        </is>
      </c>
      <c r="C66" t="inlineStr">
        <is>
          <t>085319099610</t>
        </is>
      </c>
      <c r="D66" t="inlineStr">
        <is>
          <t>cvglobaln@yahoo.com</t>
        </is>
      </c>
      <c r="E66" t="inlineStr">
        <is>
          <t>https://lpjk.pu.go.id/search-badan-usaha-detail/cU5mQk5KcHVYWU9uVXFXZGtkSGdXZz09</t>
        </is>
      </c>
      <c r="F66" t="n">
        <v>1</v>
      </c>
      <c r="G66" t="inlineStr">
        <is>
          <t>BS001</t>
        </is>
      </c>
      <c r="H66" t="inlineStr">
        <is>
          <t>28 Maret 2009</t>
        </is>
      </c>
      <c r="I66" s="2" t="n">
        <v>46283</v>
      </c>
      <c r="J66" t="inlineStr">
        <is>
          <t>Disetujui</t>
        </is>
      </c>
      <c r="K66" t="n">
        <v>60</v>
      </c>
      <c r="L66" t="inlineStr">
        <is>
          <t>18 September 2026</t>
        </is>
      </c>
      <c r="M66" t="inlineStr">
        <is>
          <t>Konstruksi Bangunan Sipil Jalan</t>
        </is>
      </c>
      <c r="N66" t="inlineStr">
        <is>
          <t>K</t>
        </is>
      </c>
      <c r="O66" t="inlineStr">
        <is>
          <t>20230902</t>
        </is>
      </c>
      <c r="P66" t="inlineStr">
        <is>
          <t>Sumatera Utara</t>
        </is>
      </c>
      <c r="Q66" t="inlineStr"/>
    </row>
    <row r="67">
      <c r="A67" t="inlineStr">
        <is>
          <t>GRACIA</t>
        </is>
      </c>
      <c r="B67" t="inlineStr">
        <is>
          <t>Kab. Manggarai</t>
        </is>
      </c>
      <c r="C67" t="inlineStr">
        <is>
          <t>082225044088</t>
        </is>
      </c>
      <c r="D67" t="inlineStr">
        <is>
          <t>moayohanespaulus@yahoo.com</t>
        </is>
      </c>
      <c r="E67" t="inlineStr">
        <is>
          <t>https://lpjk.pu.go.id/search-badan-usaha-detail/Zm1ReVNaN0xlWFV4aVhWeFZGREdaQT09</t>
        </is>
      </c>
      <c r="F67" t="n">
        <v>1</v>
      </c>
      <c r="G67" t="inlineStr">
        <is>
          <t>BG009</t>
        </is>
      </c>
      <c r="H67" t="inlineStr">
        <is>
          <t>4 Agustus 2010</t>
        </is>
      </c>
      <c r="I67" s="2" t="n">
        <v>46283</v>
      </c>
      <c r="J67" t="inlineStr">
        <is>
          <t>Disetujui</t>
        </is>
      </c>
      <c r="K67" t="n">
        <v>60</v>
      </c>
      <c r="L67" t="inlineStr">
        <is>
          <t>18 September 2026</t>
        </is>
      </c>
      <c r="M67" t="inlineStr">
        <is>
          <t>Konstruksi Gedung Lainnya</t>
        </is>
      </c>
      <c r="N67" t="inlineStr">
        <is>
          <t>K</t>
        </is>
      </c>
      <c r="O67" t="inlineStr">
        <is>
          <t>20220617</t>
        </is>
      </c>
      <c r="P67" t="inlineStr">
        <is>
          <t>Nusa Tenggara Timur</t>
        </is>
      </c>
      <c r="Q67" t="inlineStr"/>
    </row>
    <row r="68">
      <c r="A68" t="inlineStr">
        <is>
          <t>HANESA MAJU BERSAMA</t>
        </is>
      </c>
      <c r="B68" t="inlineStr">
        <is>
          <t>Kab. Sidoarjo</t>
        </is>
      </c>
      <c r="C68" t="inlineStr">
        <is>
          <t>08121488961</t>
        </is>
      </c>
      <c r="D68" t="inlineStr">
        <is>
          <t>hanesamaju1012@gmail.com</t>
        </is>
      </c>
      <c r="E68" t="inlineStr">
        <is>
          <t>https://lpjk.pu.go.id/search-badan-usaha-detail/VG5JU2xid3VkSGdhSmJ5N0ZPbkxEdz09</t>
        </is>
      </c>
      <c r="F68" t="n">
        <v>4</v>
      </c>
      <c r="G68" t="inlineStr">
        <is>
          <t>BG002, BG003, BG005, BG007</t>
        </is>
      </c>
      <c r="H68" t="inlineStr">
        <is>
          <t>10 Desember 2022</t>
        </is>
      </c>
      <c r="I68" s="2" t="n">
        <v>46283</v>
      </c>
      <c r="J68" t="inlineStr">
        <is>
          <t>Disetujui</t>
        </is>
      </c>
      <c r="K68" t="n">
        <v>60</v>
      </c>
      <c r="L68" t="inlineStr">
        <is>
          <t>18 September 2026</t>
        </is>
      </c>
      <c r="M68" t="inlineStr">
        <is>
          <t>Konstruksi Gedung Industri, Konstruksi Gedung Kesehatan, Konstruksi Gedung Penginapan, Konstruksi Gedung Perkantoran</t>
        </is>
      </c>
      <c r="N68" t="inlineStr">
        <is>
          <t>K</t>
        </is>
      </c>
      <c r="O68" t="inlineStr">
        <is>
          <t>20230914</t>
        </is>
      </c>
      <c r="P68" t="inlineStr">
        <is>
          <t>Jawa Timur</t>
        </is>
      </c>
      <c r="Q68" t="inlineStr"/>
    </row>
    <row r="69">
      <c r="A69" t="inlineStr">
        <is>
          <t>HASIL</t>
        </is>
      </c>
      <c r="B69" t="inlineStr">
        <is>
          <t>Kab. Jember</t>
        </is>
      </c>
      <c r="C69" t="inlineStr">
        <is>
          <t>081217654622</t>
        </is>
      </c>
      <c r="D69" t="inlineStr">
        <is>
          <t>cv.hasil1981@gmail.com</t>
        </is>
      </c>
      <c r="E69" t="inlineStr">
        <is>
          <t>https://lpjk.pu.go.id/search-badan-usaha-detail/QjdjK2UzWnJoUGtxb2hiRFRqTlNMZz09</t>
        </is>
      </c>
      <c r="F69" t="n">
        <v>2</v>
      </c>
      <c r="G69" t="inlineStr">
        <is>
          <t>BS001, BS004</t>
        </is>
      </c>
      <c r="H69" t="inlineStr">
        <is>
          <t>3 Oktober 1981</t>
        </is>
      </c>
      <c r="I69" s="2" t="n">
        <v>46283</v>
      </c>
      <c r="J69" t="inlineStr">
        <is>
          <t>Disetujui</t>
        </is>
      </c>
      <c r="K69" t="n">
        <v>60</v>
      </c>
      <c r="L69" t="inlineStr">
        <is>
          <t>18 September 2026</t>
        </is>
      </c>
      <c r="M69" t="inlineStr">
        <is>
          <t>Konstruksi Bangunan Sipil Jalan, Konstruksi Jaringan Irigasi dan Drainase</t>
        </is>
      </c>
      <c r="N69" t="inlineStr">
        <is>
          <t>K</t>
        </is>
      </c>
      <c r="O69" t="inlineStr">
        <is>
          <t>20230912</t>
        </is>
      </c>
      <c r="P69" t="inlineStr">
        <is>
          <t>Jawa Timur</t>
        </is>
      </c>
      <c r="Q69" t="inlineStr"/>
    </row>
    <row r="70">
      <c r="A70" t="inlineStr">
        <is>
          <t>HORISON CONSTRUCTION</t>
        </is>
      </c>
      <c r="B70" t="inlineStr">
        <is>
          <t>Kota Surabaya</t>
        </is>
      </c>
      <c r="C70" t="inlineStr">
        <is>
          <t>03199144199</t>
        </is>
      </c>
      <c r="D70" t="inlineStr">
        <is>
          <t>horisonconstruction@yahoo.com</t>
        </is>
      </c>
      <c r="E70" t="inlineStr">
        <is>
          <t>https://lpjk.pu.go.id/search-badan-usaha-detail/NVJnY0M5K2RQSGVVOFBJTjloVHRpQT09</t>
        </is>
      </c>
      <c r="F70" t="n">
        <v>1</v>
      </c>
      <c r="G70" t="inlineStr">
        <is>
          <t>BG009</t>
        </is>
      </c>
      <c r="H70" t="inlineStr">
        <is>
          <t>15 Juni 2023</t>
        </is>
      </c>
      <c r="I70" s="2" t="n">
        <v>46283</v>
      </c>
      <c r="J70" t="inlineStr">
        <is>
          <t>Disetujui</t>
        </is>
      </c>
      <c r="K70" t="n">
        <v>60</v>
      </c>
      <c r="L70" t="inlineStr">
        <is>
          <t>18 September 2026</t>
        </is>
      </c>
      <c r="M70" t="inlineStr">
        <is>
          <t>Konstruksi Gedung Lainnya</t>
        </is>
      </c>
      <c r="N70" t="inlineStr">
        <is>
          <t>K</t>
        </is>
      </c>
      <c r="O70" t="inlineStr">
        <is>
          <t>20230913</t>
        </is>
      </c>
      <c r="P70" t="inlineStr">
        <is>
          <t>Jawa Timur</t>
        </is>
      </c>
      <c r="Q70" t="inlineStr"/>
    </row>
    <row r="71">
      <c r="A71" t="inlineStr">
        <is>
          <t>INDAH SAGO</t>
        </is>
      </c>
      <c r="B71" t="inlineStr">
        <is>
          <t>Kab. Pasaman</t>
        </is>
      </c>
      <c r="C71" t="inlineStr">
        <is>
          <t>082391009963</t>
        </is>
      </c>
      <c r="D71" t="inlineStr">
        <is>
          <t>cvindahsago@yahoo.com</t>
        </is>
      </c>
      <c r="E71" t="inlineStr">
        <is>
          <t>https://lpjk.pu.go.id/search-badan-usaha-detail/bEpkdzRUWERRVEo3ejZ0bHpsMHppdz09</t>
        </is>
      </c>
      <c r="F71" t="n">
        <v>1</v>
      </c>
      <c r="G71" t="inlineStr">
        <is>
          <t>BG005</t>
        </is>
      </c>
      <c r="H71" t="inlineStr">
        <is>
          <t>14 Maret 2013</t>
        </is>
      </c>
      <c r="I71" s="2" t="n">
        <v>46283</v>
      </c>
      <c r="J71" t="inlineStr">
        <is>
          <t>Disetujui</t>
        </is>
      </c>
      <c r="K71" t="n">
        <v>60</v>
      </c>
      <c r="L71" t="inlineStr">
        <is>
          <t>18 September 2026</t>
        </is>
      </c>
      <c r="M71" t="inlineStr">
        <is>
          <t>Konstruksi Gedung Kesehatan</t>
        </is>
      </c>
      <c r="N71" t="inlineStr">
        <is>
          <t>K</t>
        </is>
      </c>
      <c r="O71" t="inlineStr">
        <is>
          <t>20230919</t>
        </is>
      </c>
      <c r="P71" t="inlineStr">
        <is>
          <t>Sumatera Barat</t>
        </is>
      </c>
      <c r="Q71" t="inlineStr"/>
    </row>
    <row r="72">
      <c r="A72" t="inlineStr">
        <is>
          <t>INDOSURYA GUNATAMA</t>
        </is>
      </c>
      <c r="B72" t="inlineStr">
        <is>
          <t>Kab. Kendal</t>
        </is>
      </c>
      <c r="C72" t="inlineStr">
        <is>
          <t>082136876797</t>
        </is>
      </c>
      <c r="D72" t="inlineStr">
        <is>
          <t>indolink_isg@yahoo.com</t>
        </is>
      </c>
      <c r="E72" t="inlineStr">
        <is>
          <t>https://lpjk.pu.go.id/search-badan-usaha-detail/KzNkMTNRalVpRDVlbzVrNnhJcGcxZz09</t>
        </is>
      </c>
      <c r="F72" t="n">
        <v>2</v>
      </c>
      <c r="G72" t="inlineStr">
        <is>
          <t>BG009</t>
        </is>
      </c>
      <c r="H72" t="inlineStr">
        <is>
          <t>20 Januari 2023</t>
        </is>
      </c>
      <c r="I72" s="2" t="n">
        <v>46283</v>
      </c>
      <c r="J72" t="inlineStr">
        <is>
          <t>Disetujui</t>
        </is>
      </c>
      <c r="K72" t="n">
        <v>60</v>
      </c>
      <c r="L72" t="inlineStr">
        <is>
          <t>18 September 2026</t>
        </is>
      </c>
      <c r="M72" t="inlineStr">
        <is>
          <t>Konstruksi Gedung Lainnya</t>
        </is>
      </c>
      <c r="N72" t="inlineStr">
        <is>
          <t>K</t>
        </is>
      </c>
      <c r="O72" t="inlineStr">
        <is>
          <t>20230916</t>
        </is>
      </c>
      <c r="P72" t="inlineStr">
        <is>
          <t>Jawa Tengah</t>
        </is>
      </c>
      <c r="Q72" t="inlineStr"/>
    </row>
    <row r="73">
      <c r="A73" t="inlineStr">
        <is>
          <t>INDRICHA</t>
        </is>
      </c>
      <c r="B73" t="inlineStr">
        <is>
          <t>Kab. Kutai Timur</t>
        </is>
      </c>
      <c r="C73" t="inlineStr">
        <is>
          <t>082148908076</t>
        </is>
      </c>
      <c r="D73" t="inlineStr">
        <is>
          <t>indrichacv@gmail.com</t>
        </is>
      </c>
      <c r="E73" t="inlineStr">
        <is>
          <t>https://lpjk.pu.go.id/search-badan-usaha-detail/Mk4xcVJDeXdsWlJjdUMrRURZL3dZQT09</t>
        </is>
      </c>
      <c r="F73" t="n">
        <v>1</v>
      </c>
      <c r="G73" t="inlineStr">
        <is>
          <t>BS004</t>
        </is>
      </c>
      <c r="H73" t="inlineStr">
        <is>
          <t>17 Januari 2004</t>
        </is>
      </c>
      <c r="I73" s="2" t="n">
        <v>46283</v>
      </c>
      <c r="J73" t="inlineStr">
        <is>
          <t>Disetujui</t>
        </is>
      </c>
      <c r="K73" t="n">
        <v>60</v>
      </c>
      <c r="L73" t="inlineStr">
        <is>
          <t>18 September 2026</t>
        </is>
      </c>
      <c r="M73" t="inlineStr">
        <is>
          <t>Konstruksi Jaringan Irigasi dan Drainase</t>
        </is>
      </c>
      <c r="N73" t="inlineStr">
        <is>
          <t>K</t>
        </is>
      </c>
      <c r="O73" t="inlineStr">
        <is>
          <t>20230911</t>
        </is>
      </c>
      <c r="P73" t="inlineStr">
        <is>
          <t>Kalimantan Timur</t>
        </is>
      </c>
      <c r="Q73" t="inlineStr"/>
    </row>
    <row r="74">
      <c r="A74" t="inlineStr">
        <is>
          <t>INTAN MEGAH MAKMUR</t>
        </is>
      </c>
      <c r="B74" t="inlineStr">
        <is>
          <t>Kab. Karawang</t>
        </is>
      </c>
      <c r="C74" t="inlineStr">
        <is>
          <t>081294531440</t>
        </is>
      </c>
      <c r="D74" t="inlineStr">
        <is>
          <t>pt.intanmegahmakmur@gmail.com</t>
        </is>
      </c>
      <c r="E74" t="inlineStr">
        <is>
          <t>https://lpjk.pu.go.id/search-badan-usaha-detail/RnZXVElPUTRaZW92ZGR6NlVyQVNYUT09</t>
        </is>
      </c>
      <c r="F74" t="n">
        <v>1</v>
      </c>
      <c r="G74" t="inlineStr">
        <is>
          <t>BG003</t>
        </is>
      </c>
      <c r="H74" t="inlineStr">
        <is>
          <t>23 Februari 2023</t>
        </is>
      </c>
      <c r="I74" s="2" t="n">
        <v>46283</v>
      </c>
      <c r="J74" t="inlineStr">
        <is>
          <t>Pencabutan</t>
        </is>
      </c>
      <c r="K74" t="n">
        <v>60</v>
      </c>
      <c r="L74" t="inlineStr">
        <is>
          <t>18 September 2026</t>
        </is>
      </c>
      <c r="M74" t="inlineStr">
        <is>
          <t>Konstruksi Gedung Industri</t>
        </is>
      </c>
      <c r="N74" t="inlineStr">
        <is>
          <t>M</t>
        </is>
      </c>
      <c r="O74" t="inlineStr">
        <is>
          <t>20230307</t>
        </is>
      </c>
      <c r="P74" t="inlineStr">
        <is>
          <t>Jawa Barat</t>
        </is>
      </c>
      <c r="Q74" t="inlineStr"/>
    </row>
    <row r="75">
      <c r="A75" t="inlineStr">
        <is>
          <t>INTI DAMAR PAPUA</t>
        </is>
      </c>
      <c r="B75" t="inlineStr">
        <is>
          <t>Kab. Jayapura</t>
        </is>
      </c>
      <c r="C75" t="inlineStr">
        <is>
          <t>081212307457</t>
        </is>
      </c>
      <c r="D75" t="inlineStr">
        <is>
          <t>intidamarpapua@gmail.com</t>
        </is>
      </c>
      <c r="E75" t="inlineStr">
        <is>
          <t>https://lpjk.pu.go.id/search-badan-usaha-detail/ZDRlYUVtWU42cXgveCtBNjFkMlU4UT09</t>
        </is>
      </c>
      <c r="F75" t="n">
        <v>5</v>
      </c>
      <c r="G75" t="inlineStr">
        <is>
          <t>BG002, BG005, BG006, BG008, BG009</t>
        </is>
      </c>
      <c r="H75" t="inlineStr">
        <is>
          <t>13 Januari 2021</t>
        </is>
      </c>
      <c r="I75" s="2" t="n">
        <v>46283</v>
      </c>
      <c r="J75" t="inlineStr">
        <is>
          <t>Disetujui</t>
        </is>
      </c>
      <c r="K75" t="n">
        <v>60</v>
      </c>
      <c r="L75" t="inlineStr">
        <is>
          <t>18 September 2026</t>
        </is>
      </c>
      <c r="M75" t="inlineStr">
        <is>
          <t>Konstruksi Gedung Kesehatan, Konstruksi Gedung Lainnya, Konstruksi Gedung Pendidikan, Konstruksi Gedung Perkantoran, Konstruksi Gedung Tempat Hiburan dan Olahraga</t>
        </is>
      </c>
      <c r="N75" t="inlineStr">
        <is>
          <t>K</t>
        </is>
      </c>
      <c r="O75" t="inlineStr">
        <is>
          <t>20230814</t>
        </is>
      </c>
      <c r="P75" t="inlineStr">
        <is>
          <t>Papua</t>
        </is>
      </c>
      <c r="Q75" t="inlineStr"/>
    </row>
    <row r="76">
      <c r="A76" t="inlineStr">
        <is>
          <t>JALAN MANDIRI SEJAHTERA</t>
        </is>
      </c>
      <c r="B76" t="inlineStr">
        <is>
          <t>Kota Surabaya</t>
        </is>
      </c>
      <c r="C76" t="inlineStr">
        <is>
          <t>081703888998</t>
        </is>
      </c>
      <c r="D76" t="inlineStr">
        <is>
          <t>jmsproject.ad@gmail.com</t>
        </is>
      </c>
      <c r="E76" t="inlineStr">
        <is>
          <t>https://lpjk.pu.go.id/search-badan-usaha-detail/L1lReVBadmRIS2xUdUV4cXhtSTRMdz09</t>
        </is>
      </c>
      <c r="F76" t="n">
        <v>4</v>
      </c>
      <c r="G76" t="inlineStr">
        <is>
          <t>BG001, BG002, BG004, BG007</t>
        </is>
      </c>
      <c r="H76" t="inlineStr">
        <is>
          <t>24 Agustus 2022</t>
        </is>
      </c>
      <c r="I76" s="2" t="n">
        <v>46283</v>
      </c>
      <c r="J76" t="inlineStr">
        <is>
          <t>Disetujui</t>
        </is>
      </c>
      <c r="K76" t="n">
        <v>60</v>
      </c>
      <c r="L76" t="inlineStr">
        <is>
          <t>18 September 2026</t>
        </is>
      </c>
      <c r="M76" t="inlineStr">
        <is>
          <t>Konstruksi Gedung Hunian, Konstruksi Gedung Penginapan, Konstruksi Gedung Perbelanjaan, Konstruksi Gedung Perkantoran</t>
        </is>
      </c>
      <c r="N76" t="inlineStr">
        <is>
          <t>K</t>
        </is>
      </c>
      <c r="O76" t="inlineStr">
        <is>
          <t>20230912</t>
        </is>
      </c>
      <c r="P76" t="inlineStr">
        <is>
          <t>Jawa Timur</t>
        </is>
      </c>
      <c r="Q76" t="inlineStr"/>
    </row>
    <row r="77">
      <c r="A77" t="inlineStr">
        <is>
          <t>JATRA MANDIRI PERKASA</t>
        </is>
      </c>
      <c r="B77" t="inlineStr">
        <is>
          <t>Kota Cirebon</t>
        </is>
      </c>
      <c r="C77" t="inlineStr">
        <is>
          <t>0231255117</t>
        </is>
      </c>
      <c r="D77" t="inlineStr">
        <is>
          <t>ptjmpcbn@gmail.com</t>
        </is>
      </c>
      <c r="E77" t="inlineStr">
        <is>
          <t>https://lpjk.pu.go.id/search-badan-usaha-detail/bkF0T211TCtRUW9KK1VKcVF5K1Ivdz09</t>
        </is>
      </c>
      <c r="F77" t="n">
        <v>2</v>
      </c>
      <c r="G77" t="inlineStr">
        <is>
          <t>BS009</t>
        </is>
      </c>
      <c r="H77" t="inlineStr">
        <is>
          <t>10 Oktober 2007</t>
        </is>
      </c>
      <c r="I77" s="2" t="n">
        <v>46283</v>
      </c>
      <c r="J77" t="inlineStr">
        <is>
          <t>Disetujui</t>
        </is>
      </c>
      <c r="K77" t="n">
        <v>60</v>
      </c>
      <c r="L77" t="inlineStr">
        <is>
          <t>18 September 2026</t>
        </is>
      </c>
      <c r="M77" t="inlineStr">
        <is>
          <t>Konstruksi Sentral Telekomunikasi</t>
        </is>
      </c>
      <c r="N77" t="inlineStr">
        <is>
          <t>K</t>
        </is>
      </c>
      <c r="O77" t="inlineStr">
        <is>
          <t>20230915</t>
        </is>
      </c>
      <c r="P77" t="inlineStr">
        <is>
          <t>Jawa Barat</t>
        </is>
      </c>
      <c r="Q77" t="inlineStr"/>
    </row>
    <row r="78">
      <c r="A78" t="inlineStr">
        <is>
          <t>JAWA DWIPHA</t>
        </is>
      </c>
      <c r="B78" t="inlineStr">
        <is>
          <t>Kota Magelang</t>
        </is>
      </c>
      <c r="C78" t="inlineStr">
        <is>
          <t>361133</t>
        </is>
      </c>
      <c r="D78" t="inlineStr">
        <is>
          <t>cvjawadwipha@gmail.com</t>
        </is>
      </c>
      <c r="E78" t="inlineStr">
        <is>
          <t>https://lpjk.pu.go.id/search-badan-usaha-detail/ZkgyNUJua25qdnptUVoxejlsdUlGdz09</t>
        </is>
      </c>
      <c r="F78" t="n">
        <v>1</v>
      </c>
      <c r="G78" t="inlineStr">
        <is>
          <t>BG006</t>
        </is>
      </c>
      <c r="H78" t="inlineStr">
        <is>
          <t>25 September 1991</t>
        </is>
      </c>
      <c r="I78" s="2" t="n">
        <v>46283</v>
      </c>
      <c r="J78" t="inlineStr">
        <is>
          <t>Disetujui</t>
        </is>
      </c>
      <c r="K78" t="n">
        <v>60</v>
      </c>
      <c r="L78" t="inlineStr">
        <is>
          <t>18 September 2026</t>
        </is>
      </c>
      <c r="M78" t="inlineStr">
        <is>
          <t>Konstruksi Gedung Pendidikan</t>
        </is>
      </c>
      <c r="N78" t="inlineStr">
        <is>
          <t>K</t>
        </is>
      </c>
      <c r="O78" t="inlineStr">
        <is>
          <t>20230915</t>
        </is>
      </c>
      <c r="P78" t="inlineStr">
        <is>
          <t>Jawa Tengah</t>
        </is>
      </c>
      <c r="Q78" t="inlineStr"/>
    </row>
    <row r="79">
      <c r="A79" t="inlineStr">
        <is>
          <t>JAYA SEMPURNA</t>
        </is>
      </c>
      <c r="B79" t="inlineStr">
        <is>
          <t>Kota Palembang</t>
        </is>
      </c>
      <c r="C79" t="inlineStr">
        <is>
          <t>0711377631</t>
        </is>
      </c>
      <c r="D79" t="inlineStr">
        <is>
          <t>jayasempurnaoss2@gmail.com</t>
        </is>
      </c>
      <c r="E79" t="inlineStr">
        <is>
          <t>https://lpjk.pu.go.id/search-badan-usaha-detail/aW0xalJxSFp4NTRoa3BRQWozUmlKdz09</t>
        </is>
      </c>
      <c r="F79" t="n">
        <v>1</v>
      </c>
      <c r="G79" t="inlineStr">
        <is>
          <t>BS001</t>
        </is>
      </c>
      <c r="H79" t="inlineStr">
        <is>
          <t>8 Maret 2007</t>
        </is>
      </c>
      <c r="I79" s="2" t="n">
        <v>46283</v>
      </c>
      <c r="J79" t="inlineStr">
        <is>
          <t>Disetujui</t>
        </is>
      </c>
      <c r="K79" t="n">
        <v>60</v>
      </c>
      <c r="L79" t="inlineStr">
        <is>
          <t>18 September 2026</t>
        </is>
      </c>
      <c r="M79" t="inlineStr">
        <is>
          <t>Konstruksi Bangunan Sipil Jalan</t>
        </is>
      </c>
      <c r="N79" t="inlineStr">
        <is>
          <t>K</t>
        </is>
      </c>
      <c r="O79" t="inlineStr">
        <is>
          <t>20230918</t>
        </is>
      </c>
      <c r="P79" t="inlineStr">
        <is>
          <t>Sumatera Selatan</t>
        </is>
      </c>
      <c r="Q79" t="inlineStr"/>
    </row>
    <row r="80">
      <c r="A80" t="inlineStr">
        <is>
          <t>KARYA ABADI</t>
        </is>
      </c>
      <c r="B80" t="inlineStr">
        <is>
          <t>Kab. Banjarnegara</t>
        </is>
      </c>
      <c r="C80" t="inlineStr">
        <is>
          <t>087869132493</t>
        </is>
      </c>
      <c r="D80" t="inlineStr">
        <is>
          <t>ibuberkah81@gmail.com</t>
        </is>
      </c>
      <c r="E80" t="inlineStr">
        <is>
          <t>https://lpjk.pu.go.id/search-badan-usaha-detail/Z2FPRk1NcTVFRFFndUFFNmtBKzdLQT09</t>
        </is>
      </c>
      <c r="F80" t="n">
        <v>1</v>
      </c>
      <c r="G80" t="inlineStr">
        <is>
          <t>BS002</t>
        </is>
      </c>
      <c r="H80" t="inlineStr">
        <is>
          <t>22 Desember 2005</t>
        </is>
      </c>
      <c r="I80" s="2" t="n">
        <v>46283</v>
      </c>
      <c r="J80" t="inlineStr">
        <is>
          <t>Pencabutan</t>
        </is>
      </c>
      <c r="K80" t="n">
        <v>60</v>
      </c>
      <c r="L80" t="inlineStr">
        <is>
          <t>18 September 2026</t>
        </is>
      </c>
      <c r="M80" t="inlineStr">
        <is>
          <t>Bangunan Sipil Jembatan, Jalan Layang, Fly Over, dan Underpass</t>
        </is>
      </c>
      <c r="N80" t="inlineStr">
        <is>
          <t>K</t>
        </is>
      </c>
      <c r="O80" t="inlineStr">
        <is>
          <t>20230919</t>
        </is>
      </c>
      <c r="P80" t="inlineStr">
        <is>
          <t>Jawa Tengah</t>
        </is>
      </c>
      <c r="Q80" t="inlineStr"/>
    </row>
    <row r="81">
      <c r="A81" t="inlineStr">
        <is>
          <t>KARYA ASA JAYA</t>
        </is>
      </c>
      <c r="B81" t="inlineStr">
        <is>
          <t>Kota Blitar</t>
        </is>
      </c>
      <c r="C81" t="inlineStr">
        <is>
          <t>085704412204</t>
        </is>
      </c>
      <c r="D81" t="inlineStr">
        <is>
          <t>karyaasajaya@gmail.com</t>
        </is>
      </c>
      <c r="E81" t="inlineStr">
        <is>
          <t>https://lpjk.pu.go.id/search-badan-usaha-detail/VjlHVmR3MHhOWXluSDRQOWxlRTdwQT09</t>
        </is>
      </c>
      <c r="F81" t="n">
        <v>3</v>
      </c>
      <c r="G81" t="inlineStr">
        <is>
          <t>BG006, BG009, BS001</t>
        </is>
      </c>
      <c r="H81" t="inlineStr">
        <is>
          <t>15 Agustus 2023</t>
        </is>
      </c>
      <c r="I81" s="2" t="n">
        <v>46283</v>
      </c>
      <c r="J81" t="inlineStr">
        <is>
          <t>Disetujui</t>
        </is>
      </c>
      <c r="K81" t="n">
        <v>60</v>
      </c>
      <c r="L81" t="inlineStr">
        <is>
          <t>18 September 2026</t>
        </is>
      </c>
      <c r="M81" t="inlineStr">
        <is>
          <t>Konstruksi Bangunan Sipil Jalan, Konstruksi Gedung Lainnya, Konstruksi Gedung Pendidikan</t>
        </is>
      </c>
      <c r="N81" t="inlineStr">
        <is>
          <t>K</t>
        </is>
      </c>
      <c r="O81" t="inlineStr">
        <is>
          <t>20230821, 20230915</t>
        </is>
      </c>
      <c r="P81" t="inlineStr">
        <is>
          <t>Jawa Timur</t>
        </is>
      </c>
      <c r="Q81" t="inlineStr"/>
    </row>
    <row r="82">
      <c r="A82" t="inlineStr">
        <is>
          <t>KARYA BHAKTI WIRATAMA</t>
        </is>
      </c>
      <c r="B82" t="inlineStr">
        <is>
          <t>Kota Adm. Jakarta Barat</t>
        </is>
      </c>
      <c r="C82" t="inlineStr">
        <is>
          <t>818551700</t>
        </is>
      </c>
      <c r="D82" t="inlineStr">
        <is>
          <t>karyabhaktiwiratama@gmail.com</t>
        </is>
      </c>
      <c r="E82" t="inlineStr">
        <is>
          <t>https://lpjk.pu.go.id/search-badan-usaha-detail/ZHA1ZFlqVHd2dmpJSDVBYnB6UWdkZz09</t>
        </is>
      </c>
      <c r="F82" t="n">
        <v>1</v>
      </c>
      <c r="G82" t="inlineStr">
        <is>
          <t>BG009</t>
        </is>
      </c>
      <c r="H82" t="inlineStr">
        <is>
          <t>8 Maret 2016</t>
        </is>
      </c>
      <c r="I82" s="2" t="n">
        <v>46283</v>
      </c>
      <c r="J82" t="inlineStr">
        <is>
          <t>Pencabutan</t>
        </is>
      </c>
      <c r="K82" t="n">
        <v>60</v>
      </c>
      <c r="L82" t="inlineStr">
        <is>
          <t>18 September 2026</t>
        </is>
      </c>
      <c r="M82" t="inlineStr">
        <is>
          <t>Konstruksi Gedung Lainnya</t>
        </is>
      </c>
      <c r="N82" t="inlineStr">
        <is>
          <t>K</t>
        </is>
      </c>
      <c r="O82" t="inlineStr">
        <is>
          <t>20230913</t>
        </is>
      </c>
      <c r="P82" t="inlineStr">
        <is>
          <t>DKI Jakarta</t>
        </is>
      </c>
      <c r="Q82" t="inlineStr"/>
    </row>
    <row r="83">
      <c r="A83" t="inlineStr">
        <is>
          <t>KARYA CIPTA LESTARI</t>
        </is>
      </c>
      <c r="B83" t="inlineStr">
        <is>
          <t>Kab. Deli Serdang</t>
        </is>
      </c>
      <c r="C83" t="inlineStr">
        <is>
          <t>082272495521</t>
        </is>
      </c>
      <c r="D83" t="inlineStr">
        <is>
          <t>karyacipta_lestari@yahoo.com</t>
        </is>
      </c>
      <c r="E83" t="inlineStr">
        <is>
          <t>https://lpjk.pu.go.id/search-badan-usaha-detail/NytXYlZVL0pNV2VySDUxbzFYMjdiQT09</t>
        </is>
      </c>
      <c r="F83" t="n">
        <v>1</v>
      </c>
      <c r="G83" t="inlineStr">
        <is>
          <t>BS001</t>
        </is>
      </c>
      <c r="H83" t="inlineStr">
        <is>
          <t>25 Juli 2002</t>
        </is>
      </c>
      <c r="I83" s="2" t="n">
        <v>46283</v>
      </c>
      <c r="J83" t="inlineStr">
        <is>
          <t>Disetujui</t>
        </is>
      </c>
      <c r="K83" t="n">
        <v>60</v>
      </c>
      <c r="L83" t="inlineStr">
        <is>
          <t>18 September 2026</t>
        </is>
      </c>
      <c r="M83" t="inlineStr">
        <is>
          <t>Konstruksi Bangunan Sipil Jalan</t>
        </is>
      </c>
      <c r="N83" t="inlineStr">
        <is>
          <t>K</t>
        </is>
      </c>
      <c r="O83" t="inlineStr">
        <is>
          <t>20230912</t>
        </is>
      </c>
      <c r="P83" t="inlineStr">
        <is>
          <t>Sumatera Utara</t>
        </is>
      </c>
      <c r="Q83" t="inlineStr"/>
    </row>
    <row r="84">
      <c r="A84" t="inlineStr">
        <is>
          <t>KARYA JATI MULYA</t>
        </is>
      </c>
      <c r="B84" t="inlineStr">
        <is>
          <t>Kab. Tuban</t>
        </is>
      </c>
      <c r="C84" t="inlineStr">
        <is>
          <t>08123401797</t>
        </is>
      </c>
      <c r="D84" t="inlineStr">
        <is>
          <t>cv.karyajatimulya@gmail.com</t>
        </is>
      </c>
      <c r="E84" t="inlineStr">
        <is>
          <t>https://lpjk.pu.go.id/search-badan-usaha-detail/Uy9IVGprVGgzSTlxelhzVWV0cDVLUT09</t>
        </is>
      </c>
      <c r="F84" t="n">
        <v>1</v>
      </c>
      <c r="G84" t="inlineStr">
        <is>
          <t>BS004</t>
        </is>
      </c>
      <c r="H84" t="inlineStr">
        <is>
          <t>2 Desember 2006</t>
        </is>
      </c>
      <c r="I84" s="2" t="n">
        <v>46283</v>
      </c>
      <c r="J84" t="inlineStr">
        <is>
          <t>Disetujui</t>
        </is>
      </c>
      <c r="K84" t="n">
        <v>60</v>
      </c>
      <c r="L84" t="inlineStr">
        <is>
          <t>18 September 2026</t>
        </is>
      </c>
      <c r="M84" t="inlineStr">
        <is>
          <t>Konstruksi Jaringan Irigasi dan Drainase</t>
        </is>
      </c>
      <c r="N84" t="inlineStr">
        <is>
          <t>K</t>
        </is>
      </c>
      <c r="O84" t="inlineStr">
        <is>
          <t>20230912</t>
        </is>
      </c>
      <c r="P84" t="inlineStr">
        <is>
          <t>Jawa Timur</t>
        </is>
      </c>
      <c r="Q84" t="inlineStr"/>
    </row>
    <row r="85">
      <c r="A85" t="inlineStr">
        <is>
          <t>KARYA PANCANG SEMESTA</t>
        </is>
      </c>
      <c r="B85" t="inlineStr">
        <is>
          <t>Kota Semarang</t>
        </is>
      </c>
      <c r="C85" t="inlineStr">
        <is>
          <t>081246887348</t>
        </is>
      </c>
      <c r="D85" t="inlineStr">
        <is>
          <t>cvkaryapancangsemesta@gmail.com</t>
        </is>
      </c>
      <c r="E85" t="inlineStr">
        <is>
          <t>https://lpjk.pu.go.id/search-badan-usaha-detail/aW4xdHhCZ2pGZmkyODcvYit5b2RoZz09</t>
        </is>
      </c>
      <c r="F85" t="n">
        <v>5</v>
      </c>
      <c r="G85" t="inlineStr">
        <is>
          <t>BG001, BG002, BG005, BG006, BG009</t>
        </is>
      </c>
      <c r="H85" t="inlineStr">
        <is>
          <t>8 April 2019</t>
        </is>
      </c>
      <c r="I85" s="2" t="n">
        <v>46283</v>
      </c>
      <c r="J85" t="inlineStr">
        <is>
          <t>Disetujui</t>
        </is>
      </c>
      <c r="K85" t="n">
        <v>60</v>
      </c>
      <c r="L85" t="inlineStr">
        <is>
          <t>18 September 2026</t>
        </is>
      </c>
      <c r="M85" t="inlineStr">
        <is>
          <t>Konstruksi Gedung Hunian, Konstruksi Gedung Kesehatan, Konstruksi Gedung Lainnya, Konstruksi Gedung Pendidikan, Konstruksi Gedung Perkantoran</t>
        </is>
      </c>
      <c r="N85" t="inlineStr">
        <is>
          <t>K</t>
        </is>
      </c>
      <c r="O85" t="inlineStr">
        <is>
          <t>20230912, 20230914, 20230915</t>
        </is>
      </c>
      <c r="P85" t="inlineStr">
        <is>
          <t>Jawa Tengah</t>
        </is>
      </c>
      <c r="Q85" t="inlineStr"/>
    </row>
    <row r="86">
      <c r="A86" t="inlineStr">
        <is>
          <t>KARYA SUKSESS MANDIRI</t>
        </is>
      </c>
      <c r="B86" t="inlineStr">
        <is>
          <t>Kota Bima</t>
        </is>
      </c>
      <c r="C86" t="inlineStr">
        <is>
          <t>085238916664</t>
        </is>
      </c>
      <c r="D86" t="inlineStr">
        <is>
          <t>cvbimanusantarapersada@yahoo.com</t>
        </is>
      </c>
      <c r="E86" t="inlineStr">
        <is>
          <t>https://lpjk.pu.go.id/search-badan-usaha-detail/Q0txcEU3MFU3WFVIT0JYQzU4V0FsQT09</t>
        </is>
      </c>
      <c r="F86" t="n">
        <v>1</v>
      </c>
      <c r="G86" t="inlineStr">
        <is>
          <t>BG008</t>
        </is>
      </c>
      <c r="H86" t="inlineStr">
        <is>
          <t>30 Januari 2020</t>
        </is>
      </c>
      <c r="I86" s="2" t="n">
        <v>46283</v>
      </c>
      <c r="J86" t="inlineStr">
        <is>
          <t>Disetujui</t>
        </is>
      </c>
      <c r="K86" t="n">
        <v>60</v>
      </c>
      <c r="L86" t="inlineStr">
        <is>
          <t>18 September 2026</t>
        </is>
      </c>
      <c r="M86" t="inlineStr">
        <is>
          <t>Konstruksi Gedung Tempat Hiburan dan Olahraga</t>
        </is>
      </c>
      <c r="N86" t="inlineStr">
        <is>
          <t>K</t>
        </is>
      </c>
      <c r="O86" t="inlineStr">
        <is>
          <t>20230918</t>
        </is>
      </c>
      <c r="P86" t="inlineStr">
        <is>
          <t>Nusa Tenggara Barat</t>
        </is>
      </c>
      <c r="Q86" t="inlineStr"/>
    </row>
    <row r="87">
      <c r="A87" t="inlineStr">
        <is>
          <t>KENCANA</t>
        </is>
      </c>
      <c r="B87" t="inlineStr">
        <is>
          <t>Kab. Majalengka</t>
        </is>
      </c>
      <c r="C87" t="inlineStr">
        <is>
          <t>-</t>
        </is>
      </c>
      <c r="D87" t="inlineStr">
        <is>
          <t>kencanacv71@yahoo.com</t>
        </is>
      </c>
      <c r="E87" t="inlineStr">
        <is>
          <t>https://lpjk.pu.go.id/search-badan-usaha-detail/cEx3RTVBZTgrVzZWekR3RGpTMDY2Zz09</t>
        </is>
      </c>
      <c r="F87" t="n">
        <v>1</v>
      </c>
      <c r="G87" t="inlineStr">
        <is>
          <t>BS004</t>
        </is>
      </c>
      <c r="H87" t="inlineStr">
        <is>
          <t>15 Agustus 1979</t>
        </is>
      </c>
      <c r="I87" s="2" t="n">
        <v>46283</v>
      </c>
      <c r="J87" t="inlineStr">
        <is>
          <t>Disetujui</t>
        </is>
      </c>
      <c r="K87" t="n">
        <v>60</v>
      </c>
      <c r="L87" t="inlineStr">
        <is>
          <t>18 September 2026</t>
        </is>
      </c>
      <c r="M87" t="inlineStr">
        <is>
          <t>Konstruksi Jaringan Irigasi dan Drainase</t>
        </is>
      </c>
      <c r="N87" t="inlineStr">
        <is>
          <t>K</t>
        </is>
      </c>
      <c r="O87" t="inlineStr">
        <is>
          <t>20230913</t>
        </is>
      </c>
      <c r="P87" t="inlineStr">
        <is>
          <t>Jawa Barat</t>
        </is>
      </c>
      <c r="Q87" t="inlineStr"/>
    </row>
    <row r="88">
      <c r="A88" t="inlineStr">
        <is>
          <t>LIMA SINERGI UTAMA</t>
        </is>
      </c>
      <c r="B88" t="inlineStr">
        <is>
          <t>Kota Adm. Jakarta Selatan</t>
        </is>
      </c>
      <c r="C88" t="inlineStr">
        <is>
          <t>081280302802</t>
        </is>
      </c>
      <c r="D88" t="inlineStr">
        <is>
          <t>info@lisma.id</t>
        </is>
      </c>
      <c r="E88" t="inlineStr">
        <is>
          <t>https://lpjk.pu.go.id/search-badan-usaha-detail/QmpNSHVDV2hrRXdtLzFrTWN0VmxTdz09</t>
        </is>
      </c>
      <c r="F88" t="n">
        <v>1</v>
      </c>
      <c r="G88" t="inlineStr">
        <is>
          <t>BS009</t>
        </is>
      </c>
      <c r="H88" t="inlineStr">
        <is>
          <t>12 Desember 2022</t>
        </is>
      </c>
      <c r="I88" s="2" t="n">
        <v>46283</v>
      </c>
      <c r="J88" t="inlineStr">
        <is>
          <t>Disetujui</t>
        </is>
      </c>
      <c r="K88" t="n">
        <v>60</v>
      </c>
      <c r="L88" t="inlineStr">
        <is>
          <t>18 September 2026</t>
        </is>
      </c>
      <c r="M88" t="inlineStr">
        <is>
          <t>Konstruksi Sentral Telekomunikasi</t>
        </is>
      </c>
      <c r="N88" t="inlineStr">
        <is>
          <t>K</t>
        </is>
      </c>
      <c r="O88" t="inlineStr">
        <is>
          <t>20230907</t>
        </is>
      </c>
      <c r="P88" t="inlineStr">
        <is>
          <t>DKI Jakarta</t>
        </is>
      </c>
      <c r="Q88" t="inlineStr"/>
    </row>
    <row r="89">
      <c r="A89" t="inlineStr">
        <is>
          <t>LINGKAR PALUKA NAGARI</t>
        </is>
      </c>
      <c r="B89" t="inlineStr">
        <is>
          <t>Kota Padang</t>
        </is>
      </c>
      <c r="C89" t="inlineStr">
        <is>
          <t>081365410910</t>
        </is>
      </c>
      <c r="D89" t="inlineStr">
        <is>
          <t>lingkar.palukanagari@gmail.com</t>
        </is>
      </c>
      <c r="E89" t="inlineStr">
        <is>
          <t>https://lpjk.pu.go.id/search-badan-usaha-detail/T2hXa1RmUURhMFBRM1NwZm5SNUlWUT09</t>
        </is>
      </c>
      <c r="F89" t="n">
        <v>1</v>
      </c>
      <c r="G89" t="inlineStr">
        <is>
          <t>BG005</t>
        </is>
      </c>
      <c r="H89" t="inlineStr">
        <is>
          <t>7 November 2022</t>
        </is>
      </c>
      <c r="I89" s="2" t="n">
        <v>46283</v>
      </c>
      <c r="J89" t="inlineStr">
        <is>
          <t>Disetujui</t>
        </is>
      </c>
      <c r="K89" t="n">
        <v>60</v>
      </c>
      <c r="L89" t="inlineStr">
        <is>
          <t>18 September 2026</t>
        </is>
      </c>
      <c r="M89" t="inlineStr">
        <is>
          <t>Konstruksi Gedung Kesehatan</t>
        </is>
      </c>
      <c r="N89" t="inlineStr">
        <is>
          <t>K</t>
        </is>
      </c>
      <c r="O89" t="inlineStr">
        <is>
          <t>20230912</t>
        </is>
      </c>
      <c r="P89" t="inlineStr">
        <is>
          <t>Sumatera Barat</t>
        </is>
      </c>
      <c r="Q89" t="inlineStr"/>
    </row>
    <row r="90">
      <c r="A90" t="inlineStr">
        <is>
          <t>LINTAS KARSA</t>
        </is>
      </c>
      <c r="B90" t="inlineStr">
        <is>
          <t>Kota Adm. Jakarta Selatan</t>
        </is>
      </c>
      <c r="C90" t="inlineStr">
        <is>
          <t>02172791951</t>
        </is>
      </c>
      <c r="D90" t="inlineStr">
        <is>
          <t>lintas.karsa@gmail.com</t>
        </is>
      </c>
      <c r="E90" t="inlineStr">
        <is>
          <t>https://lpjk.pu.go.id/search-badan-usaha-detail/YU5nTnNDdk1SbDh2c0oyVHpXL2t2dz09</t>
        </is>
      </c>
      <c r="F90" t="n">
        <v>2</v>
      </c>
      <c r="G90" t="inlineStr">
        <is>
          <t>BG002, BG009</t>
        </is>
      </c>
      <c r="H90" t="inlineStr">
        <is>
          <t>9 Agustus 2023</t>
        </is>
      </c>
      <c r="I90" s="2" t="n">
        <v>46283</v>
      </c>
      <c r="J90" t="inlineStr">
        <is>
          <t>Disetujui, Pencabutan</t>
        </is>
      </c>
      <c r="K90" t="n">
        <v>60</v>
      </c>
      <c r="L90" t="inlineStr">
        <is>
          <t>18 September 2026</t>
        </is>
      </c>
      <c r="M90" t="inlineStr">
        <is>
          <t>Konstruksi Gedung Lainnya, Konstruksi Gedung Perkantoran</t>
        </is>
      </c>
      <c r="N90" t="inlineStr">
        <is>
          <t>K</t>
        </is>
      </c>
      <c r="O90" t="inlineStr">
        <is>
          <t>20230912</t>
        </is>
      </c>
      <c r="P90" t="inlineStr">
        <is>
          <t>DKI Jakarta</t>
        </is>
      </c>
      <c r="Q90" t="inlineStr"/>
    </row>
    <row r="91">
      <c r="A91" t="inlineStr">
        <is>
          <t>LUBNA JAYA ABADI</t>
        </is>
      </c>
      <c r="B91" t="inlineStr">
        <is>
          <t>Kab. Lamandau</t>
        </is>
      </c>
      <c r="C91" t="inlineStr">
        <is>
          <t>081351595361</t>
        </is>
      </c>
      <c r="D91" t="inlineStr">
        <is>
          <t>lubnajayaabadi@gmail.com</t>
        </is>
      </c>
      <c r="E91" t="inlineStr">
        <is>
          <t>https://lpjk.pu.go.id/search-badan-usaha-detail/dC9WRW5hTms0amF2bmlaTWRTZ2VUZz09</t>
        </is>
      </c>
      <c r="F91" t="n">
        <v>1</v>
      </c>
      <c r="G91" t="inlineStr">
        <is>
          <t>BG006</t>
        </is>
      </c>
      <c r="H91" t="inlineStr">
        <is>
          <t>12 April 2022</t>
        </is>
      </c>
      <c r="I91" s="2" t="n">
        <v>46283</v>
      </c>
      <c r="J91" t="inlineStr">
        <is>
          <t>Disetujui</t>
        </is>
      </c>
      <c r="K91" t="n">
        <v>60</v>
      </c>
      <c r="L91" t="inlineStr">
        <is>
          <t>18 September 2026</t>
        </is>
      </c>
      <c r="M91" t="inlineStr">
        <is>
          <t>Konstruksi Gedung Pendidikan</t>
        </is>
      </c>
      <c r="N91" t="inlineStr">
        <is>
          <t>K</t>
        </is>
      </c>
      <c r="O91" t="inlineStr">
        <is>
          <t>20230918</t>
        </is>
      </c>
      <c r="P91" t="inlineStr">
        <is>
          <t>Kalimantan Tengah</t>
        </is>
      </c>
      <c r="Q91" t="inlineStr"/>
    </row>
    <row r="92">
      <c r="A92" t="inlineStr">
        <is>
          <t>LUMBUNG SEGARA DWIPA</t>
        </is>
      </c>
      <c r="B92" t="inlineStr">
        <is>
          <t>Kab. Purbalingga</t>
        </is>
      </c>
      <c r="C92" t="inlineStr">
        <is>
          <t>082242765258</t>
        </is>
      </c>
      <c r="D92" t="inlineStr">
        <is>
          <t>lumbungsegaradwipa@gmail.com</t>
        </is>
      </c>
      <c r="E92" t="inlineStr">
        <is>
          <t>https://lpjk.pu.go.id/search-badan-usaha-detail/b3FpM0NFei9zVDI3OWh2cGZpZ1c2Zz09</t>
        </is>
      </c>
      <c r="F92" t="n">
        <v>3</v>
      </c>
      <c r="G92" t="inlineStr">
        <is>
          <t>BG006, BS001, BS004</t>
        </is>
      </c>
      <c r="H92" t="inlineStr">
        <is>
          <t>19 Agustus 2023</t>
        </is>
      </c>
      <c r="I92" s="2" t="n">
        <v>46283</v>
      </c>
      <c r="J92" t="inlineStr">
        <is>
          <t>Disetujui</t>
        </is>
      </c>
      <c r="K92" t="n">
        <v>60</v>
      </c>
      <c r="L92" t="inlineStr">
        <is>
          <t>18 September 2026</t>
        </is>
      </c>
      <c r="M92" t="inlineStr">
        <is>
          <t>Konstruksi Bangunan Sipil Jalan, Konstruksi Gedung Pendidikan, Konstruksi Jaringan Irigasi dan Drainase</t>
        </is>
      </c>
      <c r="N92" t="inlineStr">
        <is>
          <t>K</t>
        </is>
      </c>
      <c r="O92" t="inlineStr">
        <is>
          <t>20230915</t>
        </is>
      </c>
      <c r="P92" t="inlineStr">
        <is>
          <t>Jawa Tengah</t>
        </is>
      </c>
      <c r="Q92" t="inlineStr"/>
    </row>
    <row r="93">
      <c r="A93" t="inlineStr">
        <is>
          <t>MADYA ARZEN SEJAHTERA</t>
        </is>
      </c>
      <c r="B93" t="inlineStr">
        <is>
          <t>Kota Samarinda</t>
        </is>
      </c>
      <c r="C93" t="inlineStr">
        <is>
          <t>081347079777</t>
        </is>
      </c>
      <c r="D93" t="inlineStr">
        <is>
          <t>madyaarzensejahtera@gmail.com</t>
        </is>
      </c>
      <c r="E93" t="inlineStr">
        <is>
          <t>https://lpjk.pu.go.id/search-badan-usaha-detail/eUhzT2duMHNKa2ZMczNVaWJXWmVSQT09</t>
        </is>
      </c>
      <c r="F93" t="n">
        <v>1</v>
      </c>
      <c r="G93" t="inlineStr">
        <is>
          <t>BS001</t>
        </is>
      </c>
      <c r="H93" t="inlineStr">
        <is>
          <t>31 Januari 2023</t>
        </is>
      </c>
      <c r="I93" s="2" t="n">
        <v>46283</v>
      </c>
      <c r="J93" t="inlineStr">
        <is>
          <t>Pembekuan</t>
        </is>
      </c>
      <c r="K93" t="n">
        <v>60</v>
      </c>
      <c r="L93" t="inlineStr">
        <is>
          <t>18 September 2026</t>
        </is>
      </c>
      <c r="M93" t="inlineStr">
        <is>
          <t>Konstruksi Bangunan Sipil Jalan</t>
        </is>
      </c>
      <c r="N93" t="inlineStr">
        <is>
          <t>K</t>
        </is>
      </c>
      <c r="O93" t="inlineStr">
        <is>
          <t>20230909</t>
        </is>
      </c>
      <c r="P93" t="inlineStr">
        <is>
          <t>Kalimantan Timur</t>
        </is>
      </c>
      <c r="Q93" t="inlineStr"/>
    </row>
    <row r="94">
      <c r="A94" t="inlineStr">
        <is>
          <t>MAHA AKBAR SEJAHTERA</t>
        </is>
      </c>
      <c r="B94" t="inlineStr">
        <is>
          <t>Kota Medan</t>
        </is>
      </c>
      <c r="C94" t="inlineStr">
        <is>
          <t>06142784599</t>
        </is>
      </c>
      <c r="D94" t="inlineStr">
        <is>
          <t>admin@mahasejahtera.com</t>
        </is>
      </c>
      <c r="E94" t="inlineStr">
        <is>
          <t>https://lpjk.pu.go.id/search-badan-usaha-detail/enBJQkRBK0hoWXdEblNOeUxUMThGZz09</t>
        </is>
      </c>
      <c r="F94" t="n">
        <v>2</v>
      </c>
      <c r="G94" t="inlineStr">
        <is>
          <t>BG005, BG006</t>
        </is>
      </c>
      <c r="H94" t="inlineStr">
        <is>
          <t>16 Januari 2019</t>
        </is>
      </c>
      <c r="I94" s="2" t="n">
        <v>46283</v>
      </c>
      <c r="J94" t="inlineStr">
        <is>
          <t>Disetujui</t>
        </is>
      </c>
      <c r="K94" t="n">
        <v>60</v>
      </c>
      <c r="L94" t="inlineStr">
        <is>
          <t>18 September 2026</t>
        </is>
      </c>
      <c r="M94" t="inlineStr">
        <is>
          <t>Konstruksi Gedung Kesehatan, Konstruksi Gedung Pendidikan</t>
        </is>
      </c>
      <c r="N94" t="inlineStr">
        <is>
          <t>K</t>
        </is>
      </c>
      <c r="O94" t="inlineStr">
        <is>
          <t>20230801, 20230912</t>
        </is>
      </c>
      <c r="P94" t="inlineStr">
        <is>
          <t>Sumatera Utara</t>
        </is>
      </c>
      <c r="Q94" t="inlineStr"/>
    </row>
    <row r="95">
      <c r="A95" t="inlineStr">
        <is>
          <t>MAHAWIRA</t>
        </is>
      </c>
      <c r="B95" t="inlineStr">
        <is>
          <t>Kota Pekalongan</t>
        </is>
      </c>
      <c r="C95" t="inlineStr">
        <is>
          <t>0895333724135</t>
        </is>
      </c>
      <c r="D95" t="inlineStr">
        <is>
          <t>cv.mahawira@gmail.com</t>
        </is>
      </c>
      <c r="E95" t="inlineStr">
        <is>
          <t>https://lpjk.pu.go.id/search-badan-usaha-detail/K2g0dUswclc1Ri9FMWRqRi9GemVMUT09</t>
        </is>
      </c>
      <c r="F95" t="n">
        <v>1</v>
      </c>
      <c r="G95" t="inlineStr">
        <is>
          <t>BS010</t>
        </is>
      </c>
      <c r="H95" t="inlineStr">
        <is>
          <t>31 Januari 2020</t>
        </is>
      </c>
      <c r="I95" s="2" t="n">
        <v>46283</v>
      </c>
      <c r="J95" t="inlineStr">
        <is>
          <t>Disetujui</t>
        </is>
      </c>
      <c r="K95" t="n">
        <v>60</v>
      </c>
      <c r="L95" t="inlineStr">
        <is>
          <t>18 September 2026</t>
        </is>
      </c>
      <c r="M95" t="inlineStr">
        <is>
          <t>Konstruksi Bangunan Prasarana Sumber Daya Air</t>
        </is>
      </c>
      <c r="N95" t="inlineStr">
        <is>
          <t>K</t>
        </is>
      </c>
      <c r="O95" t="inlineStr">
        <is>
          <t>20230918</t>
        </is>
      </c>
      <c r="P95" t="inlineStr">
        <is>
          <t>Jawa Tengah</t>
        </is>
      </c>
      <c r="Q95" t="inlineStr"/>
    </row>
    <row r="96">
      <c r="A96" t="inlineStr">
        <is>
          <t>MAJU</t>
        </is>
      </c>
      <c r="B96" t="inlineStr">
        <is>
          <t>Kab. Bondowoso</t>
        </is>
      </c>
      <c r="C96" t="inlineStr">
        <is>
          <t>081358943477</t>
        </is>
      </c>
      <c r="D96" t="inlineStr">
        <is>
          <t>audition_yoss23@yahoo.com</t>
        </is>
      </c>
      <c r="E96" t="inlineStr">
        <is>
          <t>https://lpjk.pu.go.id/search-badan-usaha-detail/V1lNVTdBeTVZSUVCQ25NVDkzYyt3eExvWHhNK3dPRGtEOWtBRVBqOFpzdz0</t>
        </is>
      </c>
      <c r="F96" t="n">
        <v>1</v>
      </c>
      <c r="G96" t="inlineStr">
        <is>
          <t>BG003</t>
        </is>
      </c>
      <c r="H96" t="inlineStr">
        <is>
          <t>25 September 2024</t>
        </is>
      </c>
      <c r="I96" s="2" t="n">
        <v>46283</v>
      </c>
      <c r="J96" t="inlineStr">
        <is>
          <t>Disetujui</t>
        </is>
      </c>
      <c r="K96" t="n">
        <v>60</v>
      </c>
      <c r="L96" t="inlineStr">
        <is>
          <t>18 September 2026</t>
        </is>
      </c>
      <c r="M96" t="inlineStr">
        <is>
          <t>Konstruksi Gedung Industri</t>
        </is>
      </c>
      <c r="N96" t="inlineStr">
        <is>
          <t>K</t>
        </is>
      </c>
      <c r="O96" t="inlineStr">
        <is>
          <t>20230911</t>
        </is>
      </c>
      <c r="P96" t="inlineStr">
        <is>
          <t>Jawa Timur</t>
        </is>
      </c>
      <c r="Q96" t="inlineStr"/>
    </row>
    <row r="97">
      <c r="A97" t="inlineStr">
        <is>
          <t>MAJU MAPAN</t>
        </is>
      </c>
      <c r="B97" t="inlineStr">
        <is>
          <t>Kota Tarakan</t>
        </is>
      </c>
      <c r="C97" t="inlineStr">
        <is>
          <t>081388992922</t>
        </is>
      </c>
      <c r="D97" t="inlineStr">
        <is>
          <t>cv_majumapan.8899@yahoo.com</t>
        </is>
      </c>
      <c r="E97" t="inlineStr">
        <is>
          <t>https://lpjk.pu.go.id/search-badan-usaha-detail/VFVQTjJacnhkMnFQeWdsdDAxcWdYdz09</t>
        </is>
      </c>
      <c r="F97" t="n">
        <v>1</v>
      </c>
      <c r="G97" t="inlineStr">
        <is>
          <t>BS005</t>
        </is>
      </c>
      <c r="H97" t="inlineStr">
        <is>
          <t>22 Juni 2012</t>
        </is>
      </c>
      <c r="I97" s="2" t="n">
        <v>46283</v>
      </c>
      <c r="J97" t="inlineStr">
        <is>
          <t>Disetujui</t>
        </is>
      </c>
      <c r="K97" t="n">
        <v>60</v>
      </c>
      <c r="L97" t="inlineStr">
        <is>
          <t>18 September 2026</t>
        </is>
      </c>
      <c r="M97" t="inlineStr">
        <is>
          <t>Konstruksi Bangunan Sipil Pengolahan Air Bersih</t>
        </is>
      </c>
      <c r="N97" t="inlineStr">
        <is>
          <t>K</t>
        </is>
      </c>
      <c r="O97" t="inlineStr">
        <is>
          <t>20230912</t>
        </is>
      </c>
      <c r="P97" t="inlineStr">
        <is>
          <t>Kalimantan Utara</t>
        </is>
      </c>
      <c r="Q97" t="inlineStr"/>
    </row>
    <row r="98">
      <c r="A98" t="inlineStr">
        <is>
          <t>MANDIRI CIPTA PRATAMA</t>
        </is>
      </c>
      <c r="B98" t="inlineStr">
        <is>
          <t>Kota Banjarmasin</t>
        </is>
      </c>
      <c r="C98" t="inlineStr">
        <is>
          <t>05113263455</t>
        </is>
      </c>
      <c r="D98" t="inlineStr">
        <is>
          <t>mandiri_cp@yahoo.co.id</t>
        </is>
      </c>
      <c r="E98" t="inlineStr">
        <is>
          <t>https://lpjk.pu.go.id/search-badan-usaha-detail/eUltRHlDSzFmN1JCTlM4NGVRSE5aUT09</t>
        </is>
      </c>
      <c r="F98" t="n">
        <v>1</v>
      </c>
      <c r="G98" t="inlineStr">
        <is>
          <t>AR001</t>
        </is>
      </c>
      <c r="H98" t="inlineStr">
        <is>
          <t>25 Maret 2006</t>
        </is>
      </c>
      <c r="I98" s="2" t="n">
        <v>46283</v>
      </c>
      <c r="J98" t="inlineStr">
        <is>
          <t>Disetujui</t>
        </is>
      </c>
      <c r="K98" t="n">
        <v>60</v>
      </c>
      <c r="L98" t="inlineStr">
        <is>
          <t>18 September 2026</t>
        </is>
      </c>
      <c r="M98" t="inlineStr">
        <is>
          <t>Jasa Arsitektural Bangunan Gedung Hunian dan Non Hunian</t>
        </is>
      </c>
      <c r="N98" t="inlineStr">
        <is>
          <t>K</t>
        </is>
      </c>
      <c r="O98" t="inlineStr">
        <is>
          <t>20230906</t>
        </is>
      </c>
      <c r="P98" t="inlineStr">
        <is>
          <t>Kalimantan Selatan</t>
        </is>
      </c>
      <c r="Q98" t="inlineStr"/>
    </row>
    <row r="99">
      <c r="A99" t="inlineStr">
        <is>
          <t>MANDIRI PERKASA</t>
        </is>
      </c>
      <c r="B99" t="inlineStr">
        <is>
          <t>Kab. Kayong Utara</t>
        </is>
      </c>
      <c r="C99" t="inlineStr">
        <is>
          <t>085393748527</t>
        </is>
      </c>
      <c r="D99" t="inlineStr">
        <is>
          <t>cvmandiriperkasa70@gmail.com</t>
        </is>
      </c>
      <c r="E99" t="inlineStr">
        <is>
          <t>https://lpjk.pu.go.id/search-badan-usaha-detail/UnBwK1NYOXVNZ1ovV2VIOFU4Q1lQQT09</t>
        </is>
      </c>
      <c r="F99" t="n">
        <v>1</v>
      </c>
      <c r="G99" t="inlineStr">
        <is>
          <t>BS004</t>
        </is>
      </c>
      <c r="H99" t="inlineStr">
        <is>
          <t>22 Juni 2012</t>
        </is>
      </c>
      <c r="I99" s="2" t="n">
        <v>46283</v>
      </c>
      <c r="J99" t="inlineStr">
        <is>
          <t>Disetujui</t>
        </is>
      </c>
      <c r="K99" t="n">
        <v>60</v>
      </c>
      <c r="L99" t="inlineStr">
        <is>
          <t>18 September 2026</t>
        </is>
      </c>
      <c r="M99" t="inlineStr">
        <is>
          <t>Konstruksi Jaringan Irigasi dan Drainase</t>
        </is>
      </c>
      <c r="N99" t="inlineStr">
        <is>
          <t>K</t>
        </is>
      </c>
      <c r="O99" t="inlineStr">
        <is>
          <t>20230916</t>
        </is>
      </c>
      <c r="P99" t="inlineStr">
        <is>
          <t>Kalimantan Barat</t>
        </is>
      </c>
      <c r="Q99" t="inlineStr"/>
    </row>
    <row r="100">
      <c r="A100" t="inlineStr">
        <is>
          <t>MANGGALA</t>
        </is>
      </c>
      <c r="B100" t="inlineStr">
        <is>
          <t>Kota Denpasar</t>
        </is>
      </c>
      <c r="C100" t="inlineStr">
        <is>
          <t>081337324272</t>
        </is>
      </c>
      <c r="D100" t="inlineStr">
        <is>
          <t>cv.manggala20@ymail.com</t>
        </is>
      </c>
      <c r="E100" t="inlineStr">
        <is>
          <t>https://lpjk.pu.go.id/search-badan-usaha-detail/b3BtdTFYRG1kR1JDeHdNMzQrK2p4QT09</t>
        </is>
      </c>
      <c r="F100" t="n">
        <v>1</v>
      </c>
      <c r="G100" t="inlineStr">
        <is>
          <t>BG006</t>
        </is>
      </c>
      <c r="H100" t="inlineStr">
        <is>
          <t>31 Agustus 1984</t>
        </is>
      </c>
      <c r="I100" s="2" t="n">
        <v>46283</v>
      </c>
      <c r="J100" t="inlineStr">
        <is>
          <t>Disetujui</t>
        </is>
      </c>
      <c r="K100" t="n">
        <v>60</v>
      </c>
      <c r="L100" t="inlineStr">
        <is>
          <t>18 September 2026</t>
        </is>
      </c>
      <c r="M100" t="inlineStr">
        <is>
          <t>Konstruksi Gedung Pendidikan</t>
        </is>
      </c>
      <c r="N100" t="inlineStr">
        <is>
          <t>K</t>
        </is>
      </c>
      <c r="O100" t="inlineStr">
        <is>
          <t>20230912</t>
        </is>
      </c>
      <c r="P100" t="inlineStr">
        <is>
          <t>Bali</t>
        </is>
      </c>
      <c r="Q100" t="inlineStr"/>
    </row>
    <row r="101">
      <c r="A101" t="inlineStr">
        <is>
          <t>MEGA GUSTRIA</t>
        </is>
      </c>
      <c r="B101" t="inlineStr">
        <is>
          <t>Kab. Kuningan</t>
        </is>
      </c>
      <c r="C101" t="inlineStr">
        <is>
          <t>081283679023</t>
        </is>
      </c>
      <c r="D101" t="inlineStr">
        <is>
          <t>didiset2@gmail.com</t>
        </is>
      </c>
      <c r="E101" t="inlineStr">
        <is>
          <t>https://lpjk.pu.go.id/search-badan-usaha-detail/R0lvT09yWDB6UXUySDNvMlpwWkROZz09</t>
        </is>
      </c>
      <c r="F101" t="n">
        <v>1</v>
      </c>
      <c r="G101" t="inlineStr">
        <is>
          <t>BS005</t>
        </is>
      </c>
      <c r="H101" t="inlineStr">
        <is>
          <t>14 Juni 2012</t>
        </is>
      </c>
      <c r="I101" s="2" t="n">
        <v>46283</v>
      </c>
      <c r="J101" t="inlineStr">
        <is>
          <t>Disetujui</t>
        </is>
      </c>
      <c r="K101" t="n">
        <v>60</v>
      </c>
      <c r="L101" t="inlineStr">
        <is>
          <t>18 September 2026</t>
        </is>
      </c>
      <c r="M101" t="inlineStr">
        <is>
          <t>Konstruksi Bangunan Sipil Pengolahan Air Bersih</t>
        </is>
      </c>
      <c r="N101" t="inlineStr">
        <is>
          <t>K</t>
        </is>
      </c>
      <c r="O101" t="inlineStr">
        <is>
          <t>20230914</t>
        </is>
      </c>
      <c r="P101" t="inlineStr">
        <is>
          <t>Jawa Barat</t>
        </is>
      </c>
      <c r="Q101" t="inlineStr"/>
    </row>
    <row r="102">
      <c r="A102" t="inlineStr">
        <is>
          <t>MEGA KENCANA</t>
        </is>
      </c>
      <c r="B102" t="inlineStr">
        <is>
          <t>Kab. Kuningan</t>
        </is>
      </c>
      <c r="C102" t="inlineStr">
        <is>
          <t>085318997833</t>
        </is>
      </c>
      <c r="D102" t="inlineStr">
        <is>
          <t>megakencana09@gmail.com</t>
        </is>
      </c>
      <c r="E102" t="inlineStr">
        <is>
          <t>https://lpjk.pu.go.id/search-badan-usaha-detail/V2lEeDZjd3RDbkYveVpBZjcrZmtCQT09</t>
        </is>
      </c>
      <c r="F102" t="n">
        <v>3</v>
      </c>
      <c r="G102" t="inlineStr">
        <is>
          <t>BG002, BG006, BS001</t>
        </is>
      </c>
      <c r="H102" t="inlineStr">
        <is>
          <t>24 November 1999</t>
        </is>
      </c>
      <c r="I102" s="2" t="n">
        <v>46283</v>
      </c>
      <c r="J102" t="inlineStr">
        <is>
          <t>Disetujui</t>
        </is>
      </c>
      <c r="K102" t="n">
        <v>60</v>
      </c>
      <c r="L102" t="inlineStr">
        <is>
          <t>18 September 2026</t>
        </is>
      </c>
      <c r="M102" t="inlineStr">
        <is>
          <t>Konstruksi Bangunan Sipil Jalan, Konstruksi Gedung Pendidikan, Konstruksi Gedung Perkantoran</t>
        </is>
      </c>
      <c r="N102" t="inlineStr">
        <is>
          <t>K</t>
        </is>
      </c>
      <c r="O102" t="inlineStr">
        <is>
          <t>20230914</t>
        </is>
      </c>
      <c r="P102" t="inlineStr">
        <is>
          <t>Jawa Barat</t>
        </is>
      </c>
      <c r="Q102" t="inlineStr"/>
    </row>
    <row r="103">
      <c r="A103" t="inlineStr">
        <is>
          <t>MEGAH ANUGERAH ABADI</t>
        </is>
      </c>
      <c r="B103" t="inlineStr">
        <is>
          <t>Kab. Halmahera Utara</t>
        </is>
      </c>
      <c r="C103" t="inlineStr">
        <is>
          <t>0813 4380 3888</t>
        </is>
      </c>
      <c r="D103" t="inlineStr">
        <is>
          <t>megahanugerahabadi@gmail.com</t>
        </is>
      </c>
      <c r="E103" t="inlineStr">
        <is>
          <t>https://lpjk.pu.go.id/search-badan-usaha-detail/RGltZlJQSFYxNUYvdUpsdXpseC9tQT09</t>
        </is>
      </c>
      <c r="F103" t="n">
        <v>2</v>
      </c>
      <c r="G103" t="inlineStr">
        <is>
          <t>BS001</t>
        </is>
      </c>
      <c r="H103" t="inlineStr">
        <is>
          <t>11 April 2011</t>
        </is>
      </c>
      <c r="I103" s="2" t="n">
        <v>46283</v>
      </c>
      <c r="J103" t="inlineStr">
        <is>
          <t>Pencabutan</t>
        </is>
      </c>
      <c r="K103" t="n">
        <v>60</v>
      </c>
      <c r="L103" t="inlineStr">
        <is>
          <t>18 September 2026</t>
        </is>
      </c>
      <c r="M103" t="inlineStr">
        <is>
          <t>Konstruksi Bangunan Sipil Jalan</t>
        </is>
      </c>
      <c r="N103" t="inlineStr">
        <is>
          <t>K</t>
        </is>
      </c>
      <c r="O103" t="inlineStr">
        <is>
          <t>20230917</t>
        </is>
      </c>
      <c r="P103" t="inlineStr">
        <is>
          <t>Maluku Utara</t>
        </is>
      </c>
      <c r="Q103" t="inlineStr"/>
    </row>
    <row r="104">
      <c r="A104" t="inlineStr">
        <is>
          <t>MEGATEC ABADI</t>
        </is>
      </c>
      <c r="B104" t="inlineStr">
        <is>
          <t>Kota Kupang</t>
        </is>
      </c>
      <c r="C104" t="inlineStr">
        <is>
          <t>085338371255</t>
        </is>
      </c>
      <c r="D104" t="inlineStr">
        <is>
          <t>megatecabadi5@gmail.com</t>
        </is>
      </c>
      <c r="E104" t="inlineStr">
        <is>
          <t>https://lpjk.pu.go.id/search-badan-usaha-detail/RGRkeEE1dGFxdmNldXkxK1VSQnBMQT09</t>
        </is>
      </c>
      <c r="F104" t="n">
        <v>1</v>
      </c>
      <c r="G104" t="inlineStr">
        <is>
          <t>BG006</t>
        </is>
      </c>
      <c r="H104" t="inlineStr">
        <is>
          <t>17 Desember 2021</t>
        </is>
      </c>
      <c r="I104" s="2" t="n">
        <v>46283</v>
      </c>
      <c r="J104" t="inlineStr">
        <is>
          <t>Disetujui</t>
        </is>
      </c>
      <c r="K104" t="n">
        <v>60</v>
      </c>
      <c r="L104" t="inlineStr">
        <is>
          <t>18 September 2026</t>
        </is>
      </c>
      <c r="M104" t="inlineStr">
        <is>
          <t>Konstruksi Gedung Pendidikan</t>
        </is>
      </c>
      <c r="N104" t="inlineStr">
        <is>
          <t>K</t>
        </is>
      </c>
      <c r="O104" t="inlineStr">
        <is>
          <t>20230906</t>
        </is>
      </c>
      <c r="P104" t="inlineStr">
        <is>
          <t>Nusa Tenggara Timur</t>
        </is>
      </c>
      <c r="Q104" t="inlineStr"/>
    </row>
    <row r="105">
      <c r="A105" t="inlineStr">
        <is>
          <t>MEKAR SEJAHTERA</t>
        </is>
      </c>
      <c r="B105" t="inlineStr">
        <is>
          <t>Kab. Bantul</t>
        </is>
      </c>
      <c r="C105" t="inlineStr">
        <is>
          <t>087738392620</t>
        </is>
      </c>
      <c r="D105" t="inlineStr">
        <is>
          <t>NURIKHSANHIDAYAT33@gmail.com</t>
        </is>
      </c>
      <c r="E105" t="inlineStr">
        <is>
          <t>https://lpjk.pu.go.id/search-badan-usaha-detail/MHRQWk1aTW1MbS8ySWEwNmpBRGszdz09</t>
        </is>
      </c>
      <c r="F105" t="n">
        <v>2</v>
      </c>
      <c r="G105" t="inlineStr">
        <is>
          <t>BG004</t>
        </is>
      </c>
      <c r="H105" t="inlineStr">
        <is>
          <t>16 Januari 2006</t>
        </is>
      </c>
      <c r="I105" s="2" t="n">
        <v>46283</v>
      </c>
      <c r="J105" t="inlineStr">
        <is>
          <t>Disetujui</t>
        </is>
      </c>
      <c r="K105" t="n">
        <v>60</v>
      </c>
      <c r="L105" t="inlineStr">
        <is>
          <t>18 September 2026</t>
        </is>
      </c>
      <c r="M105" t="inlineStr">
        <is>
          <t>Konstruksi Gedung Perbelanjaan</t>
        </is>
      </c>
      <c r="N105" t="inlineStr">
        <is>
          <t>K</t>
        </is>
      </c>
      <c r="O105" t="inlineStr">
        <is>
          <t>20230915</t>
        </is>
      </c>
      <c r="P105" t="inlineStr">
        <is>
          <t>DI Yogyakarta</t>
        </is>
      </c>
      <c r="Q105" t="inlineStr"/>
    </row>
    <row r="106">
      <c r="A106" t="inlineStr">
        <is>
          <t>MENARA BAJA PROJECT</t>
        </is>
      </c>
      <c r="B106" t="inlineStr">
        <is>
          <t>Kab. Bengkulu Utara</t>
        </is>
      </c>
      <c r="C106" t="inlineStr">
        <is>
          <t>082260607671</t>
        </is>
      </c>
      <c r="D106" t="inlineStr">
        <is>
          <t>menarabajaproject@gmail.com</t>
        </is>
      </c>
      <c r="E106" t="inlineStr">
        <is>
          <t>https://lpjk.pu.go.id/search-badan-usaha-detail/cERmUGZvV0o4M0pVbHpCU2xNcXNhQT09</t>
        </is>
      </c>
      <c r="F106" t="n">
        <v>1</v>
      </c>
      <c r="G106" t="inlineStr">
        <is>
          <t>BS010</t>
        </is>
      </c>
      <c r="H106" t="inlineStr">
        <is>
          <t>9 Januari 2019</t>
        </is>
      </c>
      <c r="I106" s="2" t="n">
        <v>46283</v>
      </c>
      <c r="J106" t="inlineStr">
        <is>
          <t>Disetujui</t>
        </is>
      </c>
      <c r="K106" t="n">
        <v>60</v>
      </c>
      <c r="L106" t="inlineStr">
        <is>
          <t>18 September 2026</t>
        </is>
      </c>
      <c r="M106" t="inlineStr">
        <is>
          <t>Konstruksi Bangunan Prasarana Sumber Daya Air</t>
        </is>
      </c>
      <c r="N106" t="inlineStr">
        <is>
          <t>K</t>
        </is>
      </c>
      <c r="O106" t="inlineStr">
        <is>
          <t>20230915</t>
        </is>
      </c>
      <c r="P106" t="inlineStr">
        <is>
          <t>Bengkulu</t>
        </is>
      </c>
      <c r="Q106" t="inlineStr"/>
    </row>
    <row r="107">
      <c r="A107" t="inlineStr">
        <is>
          <t>MENARA LANGIT PROPERTINDO</t>
        </is>
      </c>
      <c r="B107" t="inlineStr">
        <is>
          <t>Kab. Paser</t>
        </is>
      </c>
      <c r="C107" t="inlineStr">
        <is>
          <t>082131220446</t>
        </is>
      </c>
      <c r="D107" t="inlineStr">
        <is>
          <t>menaralangitpropertindo@gmail.com</t>
        </is>
      </c>
      <c r="E107" t="inlineStr">
        <is>
          <t>https://lpjk.pu.go.id/search-badan-usaha-detail/d2U5cmJjbmk1VVpVdUc4RzlxckhQUT09</t>
        </is>
      </c>
      <c r="F107" t="n">
        <v>1</v>
      </c>
      <c r="G107" t="inlineStr">
        <is>
          <t>BG001</t>
        </is>
      </c>
      <c r="H107" t="inlineStr">
        <is>
          <t>17 Mei 2022</t>
        </is>
      </c>
      <c r="I107" s="2" t="n">
        <v>46283</v>
      </c>
      <c r="J107" t="inlineStr">
        <is>
          <t>Disetujui</t>
        </is>
      </c>
      <c r="K107" t="n">
        <v>60</v>
      </c>
      <c r="L107" t="inlineStr">
        <is>
          <t>18 September 2026</t>
        </is>
      </c>
      <c r="M107" t="inlineStr">
        <is>
          <t>Konstruksi Gedung Hunian</t>
        </is>
      </c>
      <c r="N107" t="inlineStr">
        <is>
          <t>K</t>
        </is>
      </c>
      <c r="O107" t="inlineStr">
        <is>
          <t>20230919</t>
        </is>
      </c>
      <c r="P107" t="inlineStr">
        <is>
          <t>Kalimantan Timur</t>
        </is>
      </c>
      <c r="Q107" t="inlineStr"/>
    </row>
    <row r="108">
      <c r="A108" t="inlineStr">
        <is>
          <t>MENARA TATA SEMESTA</t>
        </is>
      </c>
      <c r="B108" t="inlineStr">
        <is>
          <t>Kota Tangerang</t>
        </is>
      </c>
      <c r="C108" t="inlineStr">
        <is>
          <t>02159893381</t>
        </is>
      </c>
      <c r="D108" t="inlineStr">
        <is>
          <t>menaratatasemesta17@gmail.com</t>
        </is>
      </c>
      <c r="E108" t="inlineStr">
        <is>
          <t>https://lpjk.pu.go.id/search-badan-usaha-detail/MWEzSlpRS1I3aWdjQnM1S0tsaU13dz09</t>
        </is>
      </c>
      <c r="F108" t="n">
        <v>5</v>
      </c>
      <c r="G108" t="inlineStr">
        <is>
          <t>BG006, BG009</t>
        </is>
      </c>
      <c r="H108" t="inlineStr">
        <is>
          <t>16 Agustus 2012</t>
        </is>
      </c>
      <c r="I108" s="2" t="n">
        <v>46283</v>
      </c>
      <c r="J108" t="inlineStr">
        <is>
          <t>Disetujui</t>
        </is>
      </c>
      <c r="K108" t="n">
        <v>60</v>
      </c>
      <c r="L108" t="inlineStr">
        <is>
          <t>18 September 2026</t>
        </is>
      </c>
      <c r="M108" t="inlineStr">
        <is>
          <t>Konstruksi Gedung Lainnya, Konstruksi Gedung Pendidikan</t>
        </is>
      </c>
      <c r="N108" t="inlineStr">
        <is>
          <t>K</t>
        </is>
      </c>
      <c r="O108" t="inlineStr">
        <is>
          <t>20230911</t>
        </is>
      </c>
      <c r="P108" t="inlineStr">
        <is>
          <t>Banten</t>
        </is>
      </c>
      <c r="Q108" t="inlineStr"/>
    </row>
    <row r="109">
      <c r="A109" t="inlineStr">
        <is>
          <t>MERPATI SAMUDRA</t>
        </is>
      </c>
      <c r="B109" t="inlineStr">
        <is>
          <t>Kab. Lamongan</t>
        </is>
      </c>
      <c r="C109" t="inlineStr">
        <is>
          <t>085645123641</t>
        </is>
      </c>
      <c r="D109" t="inlineStr">
        <is>
          <t>merpatisamudra40@gmail.com</t>
        </is>
      </c>
      <c r="E109" t="inlineStr">
        <is>
          <t>https://lpjk.pu.go.id/search-badan-usaha-detail/TEkxbjdLbXAwSVc2bXBlSnpvZE8rQT09</t>
        </is>
      </c>
      <c r="F109" t="n">
        <v>1</v>
      </c>
      <c r="G109" t="inlineStr">
        <is>
          <t>BS004</t>
        </is>
      </c>
      <c r="H109" t="inlineStr">
        <is>
          <t>30 Januari 2020</t>
        </is>
      </c>
      <c r="I109" s="2" t="n">
        <v>46283</v>
      </c>
      <c r="J109" t="inlineStr">
        <is>
          <t>Disetujui</t>
        </is>
      </c>
      <c r="K109" t="n">
        <v>60</v>
      </c>
      <c r="L109" t="inlineStr">
        <is>
          <t>18 September 2026</t>
        </is>
      </c>
      <c r="M109" t="inlineStr">
        <is>
          <t>Konstruksi Jaringan Irigasi dan Drainase</t>
        </is>
      </c>
      <c r="N109" t="inlineStr">
        <is>
          <t>K</t>
        </is>
      </c>
      <c r="O109" t="inlineStr">
        <is>
          <t>20230915</t>
        </is>
      </c>
      <c r="P109" t="inlineStr">
        <is>
          <t>Jawa Timur</t>
        </is>
      </c>
      <c r="Q109" t="inlineStr"/>
    </row>
    <row r="110">
      <c r="A110" t="inlineStr">
        <is>
          <t>MILENIALS</t>
        </is>
      </c>
      <c r="B110" t="inlineStr">
        <is>
          <t>Kab. Barito Utara</t>
        </is>
      </c>
      <c r="C110" t="inlineStr">
        <is>
          <t>085220996878</t>
        </is>
      </c>
      <c r="D110" t="inlineStr">
        <is>
          <t>cv.milenials25@gmail.com</t>
        </is>
      </c>
      <c r="E110" t="inlineStr">
        <is>
          <t>https://lpjk.pu.go.id/search-badan-usaha-detail/YkRmallONTdBNjljOWhzakxsaVY5UT09</t>
        </is>
      </c>
      <c r="F110" t="n">
        <v>14</v>
      </c>
      <c r="G110" t="inlineStr">
        <is>
          <t>BG001, BG002, BG005, BG006, BG009, BS001, BS004</t>
        </is>
      </c>
      <c r="H110" t="inlineStr">
        <is>
          <t>25 Agustus 2023</t>
        </is>
      </c>
      <c r="I110" s="2" t="n">
        <v>46283</v>
      </c>
      <c r="J110" t="inlineStr">
        <is>
          <t>Disetujui</t>
        </is>
      </c>
      <c r="K110" t="n">
        <v>60</v>
      </c>
      <c r="L110" t="inlineStr">
        <is>
          <t>18 September 2026</t>
        </is>
      </c>
      <c r="M110" t="inlineStr">
        <is>
          <t>Konstruksi Bangunan Sipil Jalan, Konstruksi Gedung Hunian, Konstruksi Gedung Kesehatan, Konstruksi Gedung Lainnya, Konstruksi Gedung Pendidikan, Konstruksi Gedung Perkantoran, Konstruksi Jaringan Irigasi dan Drainase</t>
        </is>
      </c>
      <c r="N110" t="inlineStr">
        <is>
          <t>K</t>
        </is>
      </c>
      <c r="O110" t="inlineStr">
        <is>
          <t>20230917</t>
        </is>
      </c>
      <c r="P110" t="inlineStr">
        <is>
          <t>Kalimantan Tengah</t>
        </is>
      </c>
      <c r="Q110" t="inlineStr"/>
    </row>
    <row r="111">
      <c r="A111" t="inlineStr">
        <is>
          <t>MITRA DUA SEMBILAN</t>
        </is>
      </c>
      <c r="B111" t="inlineStr">
        <is>
          <t>Kota Makassar</t>
        </is>
      </c>
      <c r="C111" t="inlineStr">
        <is>
          <t>0411423856</t>
        </is>
      </c>
      <c r="D111" t="inlineStr">
        <is>
          <t>mitrasembilan20@gmail.com</t>
        </is>
      </c>
      <c r="E111" t="inlineStr">
        <is>
          <t>https://lpjk.pu.go.id/search-badan-usaha-detail/RTU2MGMrU0F6SU51eVkyREk1NnV6dz09</t>
        </is>
      </c>
      <c r="F111" t="n">
        <v>3</v>
      </c>
      <c r="G111" t="inlineStr">
        <is>
          <t>BS001, BS010, BS011</t>
        </is>
      </c>
      <c r="H111" t="inlineStr">
        <is>
          <t>8 Januari 2020</t>
        </is>
      </c>
      <c r="I111" s="2" t="n">
        <v>46283</v>
      </c>
      <c r="J111" t="inlineStr">
        <is>
          <t>Disetujui</t>
        </is>
      </c>
      <c r="K111" t="n">
        <v>60</v>
      </c>
      <c r="L111" t="inlineStr">
        <is>
          <t>18 September 2026</t>
        </is>
      </c>
      <c r="M111" t="inlineStr">
        <is>
          <t>Konstruksi Bangunan Pelabuhan Bukan Perikanan, Konstruksi Bangunan Prasarana Sumber Daya Air, Konstruksi Bangunan Sipil Jalan</t>
        </is>
      </c>
      <c r="N111" t="inlineStr">
        <is>
          <t>K</t>
        </is>
      </c>
      <c r="O111" t="inlineStr">
        <is>
          <t>20230919</t>
        </is>
      </c>
      <c r="P111" t="inlineStr">
        <is>
          <t>Sulawesi Selatan</t>
        </is>
      </c>
      <c r="Q111" t="inlineStr"/>
    </row>
    <row r="112">
      <c r="A112" t="inlineStr">
        <is>
          <t>MITRA NAGATA WISESA</t>
        </is>
      </c>
      <c r="B112" t="inlineStr">
        <is>
          <t>Kab. Sidoarjo</t>
        </is>
      </c>
      <c r="C112" t="inlineStr">
        <is>
          <t>081332224750</t>
        </is>
      </c>
      <c r="D112" t="inlineStr">
        <is>
          <t>mitranagatawisesa2021@gmail.com</t>
        </is>
      </c>
      <c r="E112" t="inlineStr">
        <is>
          <t>https://lpjk.pu.go.id/search-badan-usaha-detail/ZEFXN2xCSVc5NDEza1luak5nMC9Jdz09</t>
        </is>
      </c>
      <c r="F112" t="n">
        <v>1</v>
      </c>
      <c r="G112" t="inlineStr">
        <is>
          <t>BS002</t>
        </is>
      </c>
      <c r="H112" t="inlineStr">
        <is>
          <t>4 Maret 2021</t>
        </is>
      </c>
      <c r="I112" s="2" t="n">
        <v>46283</v>
      </c>
      <c r="J112" t="inlineStr">
        <is>
          <t>Disetujui</t>
        </is>
      </c>
      <c r="K112" t="n">
        <v>60</v>
      </c>
      <c r="L112" t="inlineStr">
        <is>
          <t>18 September 2026</t>
        </is>
      </c>
      <c r="M112" t="inlineStr">
        <is>
          <t>Bangunan Sipil Jembatan, Jalan Layang, Fly Over, dan Underpass</t>
        </is>
      </c>
      <c r="N112" t="inlineStr">
        <is>
          <t>K</t>
        </is>
      </c>
      <c r="O112" t="inlineStr">
        <is>
          <t>20230915</t>
        </is>
      </c>
      <c r="P112" t="inlineStr">
        <is>
          <t>Jawa Timur</t>
        </is>
      </c>
      <c r="Q112" t="inlineStr"/>
    </row>
    <row r="113">
      <c r="A113" t="inlineStr">
        <is>
          <t>MOJOPAHIT PALAPA KHATULISTIWA</t>
        </is>
      </c>
      <c r="B113" t="inlineStr">
        <is>
          <t>Kota Pontianak</t>
        </is>
      </c>
      <c r="C113" t="inlineStr">
        <is>
          <t>085386006060</t>
        </is>
      </c>
      <c r="D113" t="inlineStr">
        <is>
          <t>mojopahitpalapakhatulistiwa@gmail.com</t>
        </is>
      </c>
      <c r="E113" t="inlineStr">
        <is>
          <t>https://lpjk.pu.go.id/search-badan-usaha-detail/eXhUQjVKMm44SmFMZDVYSDlwV0dudz09</t>
        </is>
      </c>
      <c r="F113" t="n">
        <v>1</v>
      </c>
      <c r="G113" t="inlineStr">
        <is>
          <t>BG006</t>
        </is>
      </c>
      <c r="H113" t="inlineStr">
        <is>
          <t>30 Mei 2023</t>
        </is>
      </c>
      <c r="I113" s="2" t="n">
        <v>46283</v>
      </c>
      <c r="J113" t="inlineStr">
        <is>
          <t>Disetujui</t>
        </is>
      </c>
      <c r="K113" t="n">
        <v>60</v>
      </c>
      <c r="L113" t="inlineStr">
        <is>
          <t>18 September 2026</t>
        </is>
      </c>
      <c r="M113" t="inlineStr">
        <is>
          <t>Konstruksi Gedung Pendidikan</t>
        </is>
      </c>
      <c r="N113" t="inlineStr">
        <is>
          <t>K</t>
        </is>
      </c>
      <c r="O113" t="inlineStr">
        <is>
          <t>20230914</t>
        </is>
      </c>
      <c r="P113" t="inlineStr">
        <is>
          <t>Kalimantan Barat</t>
        </is>
      </c>
      <c r="Q113" t="inlineStr"/>
    </row>
    <row r="114">
      <c r="A114" t="inlineStr">
        <is>
          <t>MUGI RAHAYU</t>
        </is>
      </c>
      <c r="B114" t="inlineStr">
        <is>
          <t>Kab. Cilacap</t>
        </is>
      </c>
      <c r="C114" t="inlineStr">
        <is>
          <t>0282534284</t>
        </is>
      </c>
      <c r="D114" t="inlineStr">
        <is>
          <t>mugirahayu_cv@yahoo.co.id</t>
        </is>
      </c>
      <c r="E114" t="inlineStr">
        <is>
          <t>https://lpjk.pu.go.id/search-badan-usaha-detail/dzBLc0lzVUxxbW9UNGR6blpOS3VSUT09</t>
        </is>
      </c>
      <c r="F114" t="n">
        <v>1</v>
      </c>
      <c r="G114" t="inlineStr">
        <is>
          <t>BG003</t>
        </is>
      </c>
      <c r="H114" t="inlineStr">
        <is>
          <t>22 Juni 2012</t>
        </is>
      </c>
      <c r="I114" s="2" t="n">
        <v>46283</v>
      </c>
      <c r="J114" t="inlineStr">
        <is>
          <t>Disetujui</t>
        </is>
      </c>
      <c r="K114" t="n">
        <v>60</v>
      </c>
      <c r="L114" t="inlineStr">
        <is>
          <t>18 September 2026</t>
        </is>
      </c>
      <c r="M114" t="inlineStr">
        <is>
          <t>Konstruksi Gedung Industri</t>
        </is>
      </c>
      <c r="N114" t="inlineStr">
        <is>
          <t>M</t>
        </is>
      </c>
      <c r="O114" t="inlineStr">
        <is>
          <t>20230801</t>
        </is>
      </c>
      <c r="P114" t="inlineStr">
        <is>
          <t>Jawa Tengah</t>
        </is>
      </c>
      <c r="Q114" t="inlineStr"/>
    </row>
    <row r="115">
      <c r="A115" t="inlineStr">
        <is>
          <t>MUHAMMAD JUSUP SUMARDHY</t>
        </is>
      </c>
      <c r="B115" t="inlineStr">
        <is>
          <t>Kab. Bulungan</t>
        </is>
      </c>
      <c r="C115" t="inlineStr">
        <is>
          <t>081253577861</t>
        </is>
      </c>
      <c r="D115" t="inlineStr">
        <is>
          <t>muhammadjusup812@gmail.com</t>
        </is>
      </c>
      <c r="E115" t="inlineStr">
        <is>
          <t>https://lpjk.pu.go.id/search-badan-usaha-detail/YlZxMTllSUtRWUd1RHk5dEFHRnZ6Zz09</t>
        </is>
      </c>
      <c r="F115" t="n">
        <v>1</v>
      </c>
      <c r="G115" t="inlineStr">
        <is>
          <t>BG009</t>
        </is>
      </c>
      <c r="H115" t="inlineStr">
        <is>
          <t>21 Januari 2014</t>
        </is>
      </c>
      <c r="I115" s="2" t="n">
        <v>46283</v>
      </c>
      <c r="J115" t="inlineStr">
        <is>
          <t>Disetujui</t>
        </is>
      </c>
      <c r="K115" t="n">
        <v>60</v>
      </c>
      <c r="L115" t="inlineStr">
        <is>
          <t>18 September 2026</t>
        </is>
      </c>
      <c r="M115" t="inlineStr">
        <is>
          <t>Konstruksi Gedung Lainnya</t>
        </is>
      </c>
      <c r="N115" t="inlineStr">
        <is>
          <t>K</t>
        </is>
      </c>
      <c r="O115" t="inlineStr">
        <is>
          <t>20230912</t>
        </is>
      </c>
      <c r="P115" t="inlineStr">
        <is>
          <t>Kalimantan Utara</t>
        </is>
      </c>
      <c r="Q115" t="inlineStr"/>
    </row>
    <row r="116">
      <c r="A116" t="inlineStr">
        <is>
          <t>MULANA JAYA</t>
        </is>
      </c>
      <c r="B116" t="inlineStr">
        <is>
          <t>Kab. Serdang Bedagai</t>
        </is>
      </c>
      <c r="C116" t="inlineStr">
        <is>
          <t>0895606466400</t>
        </is>
      </c>
      <c r="D116" t="inlineStr">
        <is>
          <t>mulanajayacv@gmail.com</t>
        </is>
      </c>
      <c r="E116" t="inlineStr">
        <is>
          <t>https://lpjk.pu.go.id/search-badan-usaha-detail/WWpqUmVQekgzaDlrMCsvSksvRzVIQT09</t>
        </is>
      </c>
      <c r="F116" t="n">
        <v>1</v>
      </c>
      <c r="G116" t="inlineStr">
        <is>
          <t>BS001</t>
        </is>
      </c>
      <c r="H116" t="inlineStr">
        <is>
          <t>23 Oktober 2019</t>
        </is>
      </c>
      <c r="I116" s="2" t="n">
        <v>46283</v>
      </c>
      <c r="J116" t="inlineStr">
        <is>
          <t>Disetujui</t>
        </is>
      </c>
      <c r="K116" t="n">
        <v>60</v>
      </c>
      <c r="L116" t="inlineStr">
        <is>
          <t>18 September 2026</t>
        </is>
      </c>
      <c r="M116" t="inlineStr">
        <is>
          <t>Konstruksi Bangunan Sipil Jalan</t>
        </is>
      </c>
      <c r="N116" t="inlineStr">
        <is>
          <t>K</t>
        </is>
      </c>
      <c r="O116" t="inlineStr">
        <is>
          <t>20230918</t>
        </is>
      </c>
      <c r="P116" t="inlineStr">
        <is>
          <t>Sumatera Utara</t>
        </is>
      </c>
      <c r="Q116" t="inlineStr"/>
    </row>
    <row r="117">
      <c r="A117" t="inlineStr">
        <is>
          <t>MUTHIAH UTAMA</t>
        </is>
      </c>
      <c r="B117" t="inlineStr">
        <is>
          <t>Kota Balikpapan</t>
        </is>
      </c>
      <c r="C117" t="inlineStr">
        <is>
          <t>082156857772</t>
        </is>
      </c>
      <c r="D117" t="inlineStr">
        <is>
          <t>muthiah366@gmail.com</t>
        </is>
      </c>
      <c r="E117" t="inlineStr">
        <is>
          <t>https://lpjk.pu.go.id/search-badan-usaha-detail/Y0JTUEhCN1dQMzBJalc2YzdtV0xTQT09</t>
        </is>
      </c>
      <c r="F117" t="n">
        <v>1</v>
      </c>
      <c r="G117" t="inlineStr">
        <is>
          <t>BS001</t>
        </is>
      </c>
      <c r="H117" t="inlineStr">
        <is>
          <t>24 Desember 2014</t>
        </is>
      </c>
      <c r="I117" s="2" t="n">
        <v>46283</v>
      </c>
      <c r="J117" t="inlineStr">
        <is>
          <t>Disetujui</t>
        </is>
      </c>
      <c r="K117" t="n">
        <v>60</v>
      </c>
      <c r="L117" t="inlineStr">
        <is>
          <t>18 September 2026</t>
        </is>
      </c>
      <c r="M117" t="inlineStr">
        <is>
          <t>Konstruksi Bangunan Sipil Jalan</t>
        </is>
      </c>
      <c r="N117" t="inlineStr">
        <is>
          <t>K</t>
        </is>
      </c>
      <c r="O117" t="inlineStr">
        <is>
          <t>20230915</t>
        </is>
      </c>
      <c r="P117" t="inlineStr">
        <is>
          <t>Kalimantan Timur</t>
        </is>
      </c>
      <c r="Q117" t="inlineStr"/>
    </row>
    <row r="118">
      <c r="A118" t="inlineStr">
        <is>
          <t>NAGABE SAROHA JAYA</t>
        </is>
      </c>
      <c r="B118" t="inlineStr">
        <is>
          <t>Kab. Sanggau</t>
        </is>
      </c>
      <c r="C118" t="inlineStr">
        <is>
          <t>085386112897</t>
        </is>
      </c>
      <c r="D118" t="inlineStr">
        <is>
          <t>cvnagabesarohajaya@gmail.com</t>
        </is>
      </c>
      <c r="E118" t="inlineStr">
        <is>
          <t>https://lpjk.pu.go.id/search-badan-usaha-detail/RXIxcnJ2ZmtsaHI2aUd5YjhRNFpKQT09</t>
        </is>
      </c>
      <c r="F118" t="n">
        <v>1</v>
      </c>
      <c r="G118" t="inlineStr">
        <is>
          <t>BS001</t>
        </is>
      </c>
      <c r="H118" t="inlineStr">
        <is>
          <t>24 Maret 2023</t>
        </is>
      </c>
      <c r="I118" s="2" t="n">
        <v>46283</v>
      </c>
      <c r="J118" t="inlineStr">
        <is>
          <t>Disetujui</t>
        </is>
      </c>
      <c r="K118" t="n">
        <v>60</v>
      </c>
      <c r="L118" t="inlineStr">
        <is>
          <t>18 September 2026</t>
        </is>
      </c>
      <c r="M118" t="inlineStr">
        <is>
          <t>Konstruksi Bangunan Sipil Jalan</t>
        </is>
      </c>
      <c r="N118" t="inlineStr">
        <is>
          <t>K</t>
        </is>
      </c>
      <c r="O118" t="inlineStr">
        <is>
          <t>20230907</t>
        </is>
      </c>
      <c r="P118" t="inlineStr">
        <is>
          <t>Kalimantan Barat</t>
        </is>
      </c>
      <c r="Q118" t="inlineStr"/>
    </row>
    <row r="119">
      <c r="A119" t="inlineStr">
        <is>
          <t>NAGARI LUKINDO SEJAHTERA</t>
        </is>
      </c>
      <c r="B119" t="inlineStr">
        <is>
          <t>Kota Padang</t>
        </is>
      </c>
      <c r="C119" t="inlineStr">
        <is>
          <t>081363338800</t>
        </is>
      </c>
      <c r="D119" t="inlineStr">
        <is>
          <t>mardialselas@yahoo.com</t>
        </is>
      </c>
      <c r="E119" t="inlineStr">
        <is>
          <t>https://lpjk.pu.go.id/search-badan-usaha-detail/M1g5NXZxcGZZc216dmFCWndtUW1zdz09</t>
        </is>
      </c>
      <c r="F119" t="n">
        <v>1</v>
      </c>
      <c r="G119" t="inlineStr">
        <is>
          <t>BG006</t>
        </is>
      </c>
      <c r="H119" t="inlineStr">
        <is>
          <t>5 Mei 2011</t>
        </is>
      </c>
      <c r="I119" s="2" t="n">
        <v>46283</v>
      </c>
      <c r="J119" t="inlineStr">
        <is>
          <t>Disetujui</t>
        </is>
      </c>
      <c r="K119" t="n">
        <v>60</v>
      </c>
      <c r="L119" t="inlineStr">
        <is>
          <t>18 September 2026</t>
        </is>
      </c>
      <c r="M119" t="inlineStr">
        <is>
          <t>Konstruksi Gedung Pendidikan</t>
        </is>
      </c>
      <c r="N119" t="inlineStr">
        <is>
          <t>K</t>
        </is>
      </c>
      <c r="O119" t="inlineStr">
        <is>
          <t>20230912</t>
        </is>
      </c>
      <c r="P119" t="inlineStr">
        <is>
          <t>Sumatera Barat</t>
        </is>
      </c>
      <c r="Q119" t="inlineStr"/>
    </row>
    <row r="120">
      <c r="A120" t="inlineStr">
        <is>
          <t>NICO BERKAH ABADI</t>
        </is>
      </c>
      <c r="B120" t="inlineStr">
        <is>
          <t>Kota Surabaya</t>
        </is>
      </c>
      <c r="C120" t="inlineStr">
        <is>
          <t>082132731959</t>
        </is>
      </c>
      <c r="D120" t="inlineStr">
        <is>
          <t>nico_berkahabadi@yahoo.com</t>
        </is>
      </c>
      <c r="E120" t="inlineStr">
        <is>
          <t>https://lpjk.pu.go.id/search-badan-usaha-detail/RlYveC9XZGkxWTk1YXdZNVAwdzl5QT09</t>
        </is>
      </c>
      <c r="F120" t="n">
        <v>1</v>
      </c>
      <c r="G120" t="inlineStr">
        <is>
          <t>BS001</t>
        </is>
      </c>
      <c r="H120" t="inlineStr">
        <is>
          <t>12 September 2023</t>
        </is>
      </c>
      <c r="I120" s="2" t="n">
        <v>46283</v>
      </c>
      <c r="J120" t="inlineStr">
        <is>
          <t>Disetujui</t>
        </is>
      </c>
      <c r="K120" t="n">
        <v>60</v>
      </c>
      <c r="L120" t="inlineStr">
        <is>
          <t>18 September 2026</t>
        </is>
      </c>
      <c r="M120" t="inlineStr">
        <is>
          <t>Konstruksi Bangunan Sipil Jalan</t>
        </is>
      </c>
      <c r="N120" t="inlineStr">
        <is>
          <t>K</t>
        </is>
      </c>
      <c r="O120" t="inlineStr">
        <is>
          <t>20230918</t>
        </is>
      </c>
      <c r="P120" t="inlineStr">
        <is>
          <t>Jawa Timur</t>
        </is>
      </c>
      <c r="Q120" t="inlineStr"/>
    </row>
    <row r="121">
      <c r="A121" t="inlineStr">
        <is>
          <t>NUANSA CIPTA KIRANA</t>
        </is>
      </c>
      <c r="B121" t="inlineStr">
        <is>
          <t>Kota Padang</t>
        </is>
      </c>
      <c r="C121" t="inlineStr">
        <is>
          <t>08116642399</t>
        </is>
      </c>
      <c r="D121" t="inlineStr">
        <is>
          <t>-</t>
        </is>
      </c>
      <c r="E121" t="inlineStr">
        <is>
          <t>https://lpjk.pu.go.id/search-badan-usaha-detail/d29wZDhrK1ZvWFVhZWd6YW8wTnZJaHVERS9FOXFsV2xrbFViM0cxK053az0</t>
        </is>
      </c>
      <c r="F121" t="n">
        <v>1</v>
      </c>
      <c r="G121" t="inlineStr">
        <is>
          <t>AR001</t>
        </is>
      </c>
      <c r="H121" t="inlineStr">
        <is>
          <t>5 September 2018</t>
        </is>
      </c>
      <c r="I121" s="2" t="n">
        <v>46283</v>
      </c>
      <c r="J121" t="inlineStr">
        <is>
          <t>Disetujui</t>
        </is>
      </c>
      <c r="K121" t="n">
        <v>60</v>
      </c>
      <c r="L121" t="inlineStr">
        <is>
          <t>18 September 2026</t>
        </is>
      </c>
      <c r="M121" t="inlineStr">
        <is>
          <t>Jasa Arsitektural Bangunan Gedung Hunian dan Non Hunian</t>
        </is>
      </c>
      <c r="N121" t="inlineStr">
        <is>
          <t>M</t>
        </is>
      </c>
      <c r="O121" t="inlineStr">
        <is>
          <t>20230901</t>
        </is>
      </c>
      <c r="P121" t="inlineStr">
        <is>
          <t>Sumatera Barat</t>
        </is>
      </c>
      <c r="Q121" t="inlineStr"/>
    </row>
    <row r="122">
      <c r="A122" t="inlineStr">
        <is>
          <t>NUR MAYA</t>
        </is>
      </c>
      <c r="B122" t="inlineStr">
        <is>
          <t>Kab. Mamuju</t>
        </is>
      </c>
      <c r="C122" t="inlineStr">
        <is>
          <t>082194677261</t>
        </is>
      </c>
      <c r="D122" t="inlineStr">
        <is>
          <t>muhzaitun123@gmail.com</t>
        </is>
      </c>
      <c r="E122" t="inlineStr">
        <is>
          <t>https://lpjk.pu.go.id/search-badan-usaha-detail/a1F2VWw3aUo1ZUNFNVh5U3FaVE54QT09</t>
        </is>
      </c>
      <c r="F122" t="n">
        <v>1</v>
      </c>
      <c r="G122" t="inlineStr">
        <is>
          <t>BG006</t>
        </is>
      </c>
      <c r="H122" t="inlineStr">
        <is>
          <t>24 Oktober 2012</t>
        </is>
      </c>
      <c r="I122" s="2" t="n">
        <v>46283</v>
      </c>
      <c r="J122" t="inlineStr">
        <is>
          <t>Pencabutan</t>
        </is>
      </c>
      <c r="K122" t="n">
        <v>60</v>
      </c>
      <c r="L122" t="inlineStr">
        <is>
          <t>18 September 2026</t>
        </is>
      </c>
      <c r="M122" t="inlineStr">
        <is>
          <t>Konstruksi Gedung Pendidikan</t>
        </is>
      </c>
      <c r="N122" t="inlineStr">
        <is>
          <t>K</t>
        </is>
      </c>
      <c r="O122" t="inlineStr">
        <is>
          <t>20230918</t>
        </is>
      </c>
      <c r="P122" t="inlineStr">
        <is>
          <t>Sulawesi Barat</t>
        </is>
      </c>
      <c r="Q122" t="inlineStr"/>
    </row>
    <row r="123">
      <c r="A123" t="inlineStr">
        <is>
          <t>NUSANTARA HSR</t>
        </is>
      </c>
      <c r="B123" t="inlineStr">
        <is>
          <t>Kota Adm. Jakarta Selatan</t>
        </is>
      </c>
      <c r="C123" t="inlineStr">
        <is>
          <t>081318919293</t>
        </is>
      </c>
      <c r="D123" t="inlineStr">
        <is>
          <t>info.nusantarahsr@gmail.com</t>
        </is>
      </c>
      <c r="E123" t="inlineStr">
        <is>
          <t>https://lpjk.pu.go.id/search-badan-usaha-detail/S3NnMVM2RHI0cm9XcWF3bUtnM0NWUT09</t>
        </is>
      </c>
      <c r="F123" t="n">
        <v>1</v>
      </c>
      <c r="G123" t="inlineStr">
        <is>
          <t>BG001</t>
        </is>
      </c>
      <c r="H123" t="inlineStr">
        <is>
          <t>6 Februari 2012</t>
        </is>
      </c>
      <c r="I123" s="2" t="n">
        <v>46283</v>
      </c>
      <c r="J123" t="inlineStr">
        <is>
          <t>Disetujui</t>
        </is>
      </c>
      <c r="K123" t="n">
        <v>60</v>
      </c>
      <c r="L123" t="inlineStr">
        <is>
          <t>18 September 2026</t>
        </is>
      </c>
      <c r="M123" t="inlineStr">
        <is>
          <t>Konstruksi Gedung Hunian</t>
        </is>
      </c>
      <c r="N123" t="inlineStr">
        <is>
          <t>K</t>
        </is>
      </c>
      <c r="O123" t="inlineStr">
        <is>
          <t>20230911</t>
        </is>
      </c>
      <c r="P123" t="inlineStr">
        <is>
          <t>DKI Jakarta</t>
        </is>
      </c>
      <c r="Q123" t="inlineStr"/>
    </row>
    <row r="124">
      <c r="A124" t="inlineStr">
        <is>
          <t>PANCA BERSAUDARA</t>
        </is>
      </c>
      <c r="B124" t="inlineStr">
        <is>
          <t>Kota Palembang</t>
        </is>
      </c>
      <c r="C124" t="inlineStr">
        <is>
          <t>081273945577</t>
        </is>
      </c>
      <c r="D124" t="inlineStr">
        <is>
          <t>cv.pancabersaudara@yahoo.co.id</t>
        </is>
      </c>
      <c r="E124" t="inlineStr">
        <is>
          <t>https://lpjk.pu.go.id/search-badan-usaha-detail/VDJLNExBMnVLK0tROUVtd0JiUjRaZz09</t>
        </is>
      </c>
      <c r="F124" t="n">
        <v>1</v>
      </c>
      <c r="G124" t="inlineStr">
        <is>
          <t>BG006</t>
        </is>
      </c>
      <c r="H124" t="inlineStr">
        <is>
          <t>4 Januari 2007</t>
        </is>
      </c>
      <c r="I124" s="2" t="n">
        <v>46283</v>
      </c>
      <c r="J124" t="inlineStr">
        <is>
          <t>Disetujui</t>
        </is>
      </c>
      <c r="K124" t="n">
        <v>60</v>
      </c>
      <c r="L124" t="inlineStr">
        <is>
          <t>18 September 2026</t>
        </is>
      </c>
      <c r="M124" t="inlineStr">
        <is>
          <t>Konstruksi Gedung Pendidikan</t>
        </is>
      </c>
      <c r="N124" t="inlineStr">
        <is>
          <t>K</t>
        </is>
      </c>
      <c r="O124" t="inlineStr">
        <is>
          <t>20230908</t>
        </is>
      </c>
      <c r="P124" t="inlineStr">
        <is>
          <t>Sumatera Selatan</t>
        </is>
      </c>
      <c r="Q124" t="inlineStr"/>
    </row>
    <row r="125">
      <c r="A125" t="inlineStr">
        <is>
          <t>PARDINGOT RIA</t>
        </is>
      </c>
      <c r="B125" t="inlineStr">
        <is>
          <t>Kota Adm. Jakarta Barat</t>
        </is>
      </c>
      <c r="C125" t="inlineStr">
        <is>
          <t>0218221059</t>
        </is>
      </c>
      <c r="D125" t="inlineStr">
        <is>
          <t>pt.pardingotria@gmail.com</t>
        </is>
      </c>
      <c r="E125" t="inlineStr">
        <is>
          <t>https://lpjk.pu.go.id/search-badan-usaha-detail/T3M0N3JXUE5PWE5PRFZzYVd1QmQrZz09</t>
        </is>
      </c>
      <c r="F125" t="n">
        <v>5</v>
      </c>
      <c r="G125" t="inlineStr">
        <is>
          <t>BG003, BG009, BS001, BS006, BS007</t>
        </is>
      </c>
      <c r="H125" t="inlineStr">
        <is>
          <t>16 April 1998</t>
        </is>
      </c>
      <c r="I125" s="2" t="n">
        <v>46283</v>
      </c>
      <c r="J125" t="inlineStr">
        <is>
          <t>Disetujui, Pencabutan</t>
        </is>
      </c>
      <c r="K125" t="n">
        <v>60</v>
      </c>
      <c r="L125" t="inlineStr">
        <is>
          <t>18 September 2026</t>
        </is>
      </c>
      <c r="M125" t="inlineStr">
        <is>
          <t>Konstruksi Bangunan Sipil Elektrikal, Konstruksi Bangunan Sipil Jalan, Konstruksi Bangunan Sipil Prasarana dan Sarana Sistem Pengolahan Limbah Padat, Cair, dan Gas, Konstruksi Gedung Industri, Konstruksi Gedung Lainnya</t>
        </is>
      </c>
      <c r="N125" t="inlineStr">
        <is>
          <t>K</t>
        </is>
      </c>
      <c r="O125" t="inlineStr">
        <is>
          <t>20230919</t>
        </is>
      </c>
      <c r="P125" t="inlineStr">
        <is>
          <t>DKI Jakarta</t>
        </is>
      </c>
      <c r="Q125" t="inlineStr"/>
    </row>
    <row r="126">
      <c r="A126" t="inlineStr">
        <is>
          <t>PELANGI INDAH</t>
        </is>
      </c>
      <c r="B126" t="inlineStr">
        <is>
          <t>Kab. Jayapura</t>
        </is>
      </c>
      <c r="C126" t="inlineStr">
        <is>
          <t>081248007774</t>
        </is>
      </c>
      <c r="D126" t="inlineStr">
        <is>
          <t>pi.pelangiindah70@gmail.com</t>
        </is>
      </c>
      <c r="E126" t="inlineStr">
        <is>
          <t>https://lpjk.pu.go.id/search-badan-usaha-detail/WnhNbm5idEJFVXphMC9rZXpDSlNFQT09</t>
        </is>
      </c>
      <c r="F126" t="n">
        <v>2</v>
      </c>
      <c r="G126" t="inlineStr">
        <is>
          <t>BG009, BS001</t>
        </is>
      </c>
      <c r="H126" t="inlineStr">
        <is>
          <t>20 Februari 1989</t>
        </is>
      </c>
      <c r="I126" s="2" t="n">
        <v>46283</v>
      </c>
      <c r="J126" t="inlineStr">
        <is>
          <t>Disetujui</t>
        </is>
      </c>
      <c r="K126" t="n">
        <v>60</v>
      </c>
      <c r="L126" t="inlineStr">
        <is>
          <t>18 September 2026</t>
        </is>
      </c>
      <c r="M126" t="inlineStr">
        <is>
          <t>Konstruksi Bangunan Sipil Jalan, Konstruksi Gedung Lainnya</t>
        </is>
      </c>
      <c r="N126" t="inlineStr">
        <is>
          <t>K</t>
        </is>
      </c>
      <c r="O126" t="inlineStr">
        <is>
          <t>20230918</t>
        </is>
      </c>
      <c r="P126" t="inlineStr">
        <is>
          <t>Papua</t>
        </is>
      </c>
      <c r="Q126" t="inlineStr"/>
    </row>
    <row r="127">
      <c r="A127" t="inlineStr">
        <is>
          <t>PENTAKON</t>
        </is>
      </c>
      <c r="B127" t="inlineStr">
        <is>
          <t>Kota Tangerang</t>
        </is>
      </c>
      <c r="C127" t="inlineStr">
        <is>
          <t>0215600027</t>
        </is>
      </c>
      <c r="D127" t="inlineStr">
        <is>
          <t>ptpentakon@gmail.com</t>
        </is>
      </c>
      <c r="E127" t="inlineStr">
        <is>
          <t>https://lpjk.pu.go.id/search-badan-usaha-detail/bnVObTNSM3BRV0lqUncyUm5CK1hkZz09</t>
        </is>
      </c>
      <c r="F127" t="n">
        <v>1</v>
      </c>
      <c r="G127" t="inlineStr">
        <is>
          <t>BG009</t>
        </is>
      </c>
      <c r="H127" t="inlineStr">
        <is>
          <t>31 Juli 2009</t>
        </is>
      </c>
      <c r="I127" s="2" t="n">
        <v>46283</v>
      </c>
      <c r="J127" t="inlineStr">
        <is>
          <t>Disetujui</t>
        </is>
      </c>
      <c r="K127" t="n">
        <v>60</v>
      </c>
      <c r="L127" t="inlineStr">
        <is>
          <t>18 September 2026</t>
        </is>
      </c>
      <c r="M127" t="inlineStr">
        <is>
          <t>Konstruksi Gedung Lainnya</t>
        </is>
      </c>
      <c r="N127" t="inlineStr">
        <is>
          <t>K</t>
        </is>
      </c>
      <c r="O127" t="inlineStr">
        <is>
          <t>20230918</t>
        </is>
      </c>
      <c r="P127" t="inlineStr">
        <is>
          <t>Banten</t>
        </is>
      </c>
      <c r="Q127" t="inlineStr"/>
    </row>
    <row r="128">
      <c r="A128" t="inlineStr">
        <is>
          <t>POLAWES RAYA</t>
        </is>
      </c>
      <c r="B128" t="inlineStr">
        <is>
          <t>Kota Adm. Jakarta Selatan</t>
        </is>
      </c>
      <c r="C128" t="inlineStr">
        <is>
          <t>0218305481</t>
        </is>
      </c>
      <c r="D128" t="inlineStr">
        <is>
          <t>polawesraya@gmail.com</t>
        </is>
      </c>
      <c r="E128" t="inlineStr">
        <is>
          <t>https://lpjk.pu.go.id/search-badan-usaha-detail/WjN0TnVDZytvTURwdGtqayt3RUVYUT09</t>
        </is>
      </c>
      <c r="F128" t="n">
        <v>3</v>
      </c>
      <c r="G128" t="inlineStr">
        <is>
          <t>BS010, BS011, BS012</t>
        </is>
      </c>
      <c r="H128" t="inlineStr">
        <is>
          <t>24 September 1987</t>
        </is>
      </c>
      <c r="I128" s="2" t="n">
        <v>46283</v>
      </c>
      <c r="J128" t="inlineStr">
        <is>
          <t>Disetujui</t>
        </is>
      </c>
      <c r="K128" t="n">
        <v>60</v>
      </c>
      <c r="L128" t="inlineStr">
        <is>
          <t>18 September 2026</t>
        </is>
      </c>
      <c r="M128" t="inlineStr">
        <is>
          <t>Konstruksi Bangunan Pelabuhan Bukan Perikanan, Konstruksi Bangunan Pelabuhan Perikanan, Konstruksi Bangunan Prasarana Sumber Daya Air</t>
        </is>
      </c>
      <c r="N128" t="inlineStr">
        <is>
          <t>K</t>
        </is>
      </c>
      <c r="O128" t="inlineStr">
        <is>
          <t>20230919</t>
        </is>
      </c>
      <c r="P128" t="inlineStr">
        <is>
          <t>DKI Jakarta</t>
        </is>
      </c>
      <c r="Q128" t="inlineStr"/>
    </row>
    <row r="129">
      <c r="A129" t="inlineStr">
        <is>
          <t>PRIMA BERKARYA BERSAMA</t>
        </is>
      </c>
      <c r="B129" t="inlineStr">
        <is>
          <t>Kota Makassar</t>
        </is>
      </c>
      <c r="C129" t="inlineStr">
        <is>
          <t>082195016585</t>
        </is>
      </c>
      <c r="D129" t="inlineStr">
        <is>
          <t>pt.pbb@yahoo.com</t>
        </is>
      </c>
      <c r="E129" t="inlineStr">
        <is>
          <t>https://lpjk.pu.go.id/search-badan-usaha-detail/eUlNNVVvYk9XVmtPODN1ZlhyQ2hUUT09</t>
        </is>
      </c>
      <c r="F129" t="n">
        <v>1</v>
      </c>
      <c r="G129" t="inlineStr">
        <is>
          <t>BG002</t>
        </is>
      </c>
      <c r="H129" t="inlineStr">
        <is>
          <t>20 Januari 2018</t>
        </is>
      </c>
      <c r="I129" s="2" t="n">
        <v>46283</v>
      </c>
      <c r="J129" t="inlineStr">
        <is>
          <t>Disetujui</t>
        </is>
      </c>
      <c r="K129" t="n">
        <v>60</v>
      </c>
      <c r="L129" t="inlineStr">
        <is>
          <t>18 September 2026</t>
        </is>
      </c>
      <c r="M129" t="inlineStr">
        <is>
          <t>Konstruksi Gedung Perkantoran</t>
        </is>
      </c>
      <c r="N129" t="inlineStr">
        <is>
          <t>K</t>
        </is>
      </c>
      <c r="O129" t="inlineStr">
        <is>
          <t>20230919</t>
        </is>
      </c>
      <c r="P129" t="inlineStr">
        <is>
          <t>Sulawesi Selatan</t>
        </is>
      </c>
      <c r="Q129" t="inlineStr"/>
    </row>
    <row r="130">
      <c r="A130" t="inlineStr">
        <is>
          <t>PRIMA KONSTRUKSI</t>
        </is>
      </c>
      <c r="B130" t="inlineStr">
        <is>
          <t>Kota Banda Aceh</t>
        </is>
      </c>
      <c r="C130" t="inlineStr">
        <is>
          <t>085260921535</t>
        </is>
      </c>
      <c r="D130" t="inlineStr">
        <is>
          <t>primakonstruksi88@gmail.com</t>
        </is>
      </c>
      <c r="E130" t="inlineStr">
        <is>
          <t>https://lpjk.pu.go.id/search-badan-usaha-detail/dHV6VUlMMWJ0YlhwR2g1cXlZSVhVQT09</t>
        </is>
      </c>
      <c r="F130" t="n">
        <v>5</v>
      </c>
      <c r="G130" t="inlineStr">
        <is>
          <t>BG001, BG006, BG008, BG009, BS002</t>
        </is>
      </c>
      <c r="H130" t="inlineStr">
        <is>
          <t>26 Februari 2014</t>
        </is>
      </c>
      <c r="I130" s="2" t="n">
        <v>46283</v>
      </c>
      <c r="J130" t="inlineStr">
        <is>
          <t>Disetujui, Pencabutan</t>
        </is>
      </c>
      <c r="K130" t="n">
        <v>60</v>
      </c>
      <c r="L130" t="inlineStr">
        <is>
          <t>18 September 2026</t>
        </is>
      </c>
      <c r="M130" t="inlineStr">
        <is>
          <t>Bangunan Sipil Jembatan, Jalan Layang, Fly Over, dan Underpass, Konstruksi Gedung Hunian, Konstruksi Gedung Lainnya, Konstruksi Gedung Pendidikan, Konstruksi Gedung Tempat Hiburan dan Olahraga</t>
        </is>
      </c>
      <c r="N130" t="inlineStr">
        <is>
          <t>K</t>
        </is>
      </c>
      <c r="O130" t="inlineStr">
        <is>
          <t>20230918</t>
        </is>
      </c>
      <c r="P130" t="inlineStr">
        <is>
          <t>Aceh</t>
        </is>
      </c>
      <c r="Q130" t="inlineStr"/>
    </row>
    <row r="131">
      <c r="A131" t="inlineStr">
        <is>
          <t>PRIMA LESTARI</t>
        </is>
      </c>
      <c r="B131" t="inlineStr">
        <is>
          <t>Kab. Rejang Lebong</t>
        </is>
      </c>
      <c r="C131" t="inlineStr">
        <is>
          <t>0732</t>
        </is>
      </c>
      <c r="D131" t="inlineStr">
        <is>
          <t>cvprimalestari@ymail.com</t>
        </is>
      </c>
      <c r="E131" t="inlineStr">
        <is>
          <t>https://lpjk.pu.go.id/search-badan-usaha-detail/T29WTEJRenVKYmY2SkQvZEJYd2U1Zz09</t>
        </is>
      </c>
      <c r="F131" t="n">
        <v>1</v>
      </c>
      <c r="G131" t="inlineStr">
        <is>
          <t>BG005</t>
        </is>
      </c>
      <c r="H131" t="inlineStr">
        <is>
          <t>21 Oktober 1993</t>
        </is>
      </c>
      <c r="I131" s="2" t="n">
        <v>46283</v>
      </c>
      <c r="J131" t="inlineStr">
        <is>
          <t>Disetujui</t>
        </is>
      </c>
      <c r="K131" t="n">
        <v>60</v>
      </c>
      <c r="L131" t="inlineStr">
        <is>
          <t>18 September 2026</t>
        </is>
      </c>
      <c r="M131" t="inlineStr">
        <is>
          <t>Konstruksi Gedung Kesehatan</t>
        </is>
      </c>
      <c r="N131" t="inlineStr">
        <is>
          <t>K</t>
        </is>
      </c>
      <c r="O131" t="inlineStr">
        <is>
          <t>20230530</t>
        </is>
      </c>
      <c r="P131" t="inlineStr">
        <is>
          <t>Bengkulu</t>
        </is>
      </c>
      <c r="Q131" t="inlineStr"/>
    </row>
    <row r="132">
      <c r="A132" t="inlineStr">
        <is>
          <t>PUSPA JAYA KONSTRUKSI</t>
        </is>
      </c>
      <c r="B132" t="inlineStr">
        <is>
          <t>Kota Madiun</t>
        </is>
      </c>
      <c r="C132" t="inlineStr">
        <is>
          <t>081249841391</t>
        </is>
      </c>
      <c r="D132" t="inlineStr">
        <is>
          <t>cvpuspajayakonstruksi@gmail.com</t>
        </is>
      </c>
      <c r="E132" t="inlineStr">
        <is>
          <t>https://lpjk.pu.go.id/search-badan-usaha-detail/dk1qOWQ2Y2Z1cU12bTVpb1NrdldIdz09</t>
        </is>
      </c>
      <c r="F132" t="n">
        <v>1</v>
      </c>
      <c r="G132" t="inlineStr">
        <is>
          <t>BG009</t>
        </is>
      </c>
      <c r="H132" t="inlineStr">
        <is>
          <t>1 Agustus 2017</t>
        </is>
      </c>
      <c r="I132" s="2" t="n">
        <v>46283</v>
      </c>
      <c r="J132" t="inlineStr">
        <is>
          <t>Disetujui</t>
        </is>
      </c>
      <c r="K132" t="n">
        <v>60</v>
      </c>
      <c r="L132" t="inlineStr">
        <is>
          <t>18 September 2026</t>
        </is>
      </c>
      <c r="M132" t="inlineStr">
        <is>
          <t>Konstruksi Gedung Lainnya</t>
        </is>
      </c>
      <c r="N132" t="inlineStr">
        <is>
          <t>K</t>
        </is>
      </c>
      <c r="O132" t="inlineStr">
        <is>
          <t>20230915</t>
        </is>
      </c>
      <c r="P132" t="inlineStr">
        <is>
          <t>Jawa Timur</t>
        </is>
      </c>
      <c r="Q132" t="inlineStr"/>
    </row>
    <row r="133">
      <c r="A133" t="inlineStr">
        <is>
          <t>PUTRA ERHA ZHAFMI</t>
        </is>
      </c>
      <c r="B133" t="inlineStr">
        <is>
          <t>Kota Tangerang Selatan</t>
        </is>
      </c>
      <c r="C133" t="inlineStr">
        <is>
          <t>085692692022</t>
        </is>
      </c>
      <c r="D133" t="inlineStr">
        <is>
          <t>cvputraerhazhafmi@gmail.com</t>
        </is>
      </c>
      <c r="E133" t="inlineStr">
        <is>
          <t>https://lpjk.pu.go.id/search-badan-usaha-detail/b2lCelY0aVVwSmdtbjY1YUJpTjFVUT09</t>
        </is>
      </c>
      <c r="F133" t="n">
        <v>2</v>
      </c>
      <c r="G133" t="inlineStr">
        <is>
          <t>BS001, BS004</t>
        </is>
      </c>
      <c r="H133" t="inlineStr">
        <is>
          <t>23 Juni 2023</t>
        </is>
      </c>
      <c r="I133" s="2" t="n">
        <v>46283</v>
      </c>
      <c r="J133" t="inlineStr">
        <is>
          <t>Pencabutan</t>
        </is>
      </c>
      <c r="K133" t="n">
        <v>60</v>
      </c>
      <c r="L133" t="inlineStr">
        <is>
          <t>18 September 2026</t>
        </is>
      </c>
      <c r="M133" t="inlineStr">
        <is>
          <t>Konstruksi Bangunan Sipil Jalan, Konstruksi Jaringan Irigasi dan Drainase</t>
        </is>
      </c>
      <c r="N133" t="inlineStr">
        <is>
          <t>K</t>
        </is>
      </c>
      <c r="O133" t="inlineStr">
        <is>
          <t>20230919</t>
        </is>
      </c>
      <c r="P133" t="inlineStr">
        <is>
          <t>Banten</t>
        </is>
      </c>
      <c r="Q133" t="inlineStr"/>
    </row>
    <row r="134">
      <c r="A134" t="inlineStr">
        <is>
          <t>PUTRA LAKSANA PERWIRA</t>
        </is>
      </c>
      <c r="B134" t="inlineStr">
        <is>
          <t>Kab. Purbalingga</t>
        </is>
      </c>
      <c r="C134" t="inlineStr">
        <is>
          <t>085712392117</t>
        </is>
      </c>
      <c r="D134" t="inlineStr">
        <is>
          <t>cvputralaksanaperwira@gmail.com</t>
        </is>
      </c>
      <c r="E134" t="inlineStr">
        <is>
          <t>https://lpjk.pu.go.id/search-badan-usaha-detail/dmw5RDVKN0kzOFF5cC9uUFMwc3hkQT09</t>
        </is>
      </c>
      <c r="F134" t="n">
        <v>3</v>
      </c>
      <c r="G134" t="inlineStr">
        <is>
          <t>BS001, BS002, BS004</t>
        </is>
      </c>
      <c r="H134" t="inlineStr">
        <is>
          <t>31 Agustus 2023</t>
        </is>
      </c>
      <c r="I134" s="2" t="n">
        <v>46283</v>
      </c>
      <c r="J134" t="inlineStr">
        <is>
          <t>Disetujui</t>
        </is>
      </c>
      <c r="K134" t="n">
        <v>60</v>
      </c>
      <c r="L134" t="inlineStr">
        <is>
          <t>18 September 2026</t>
        </is>
      </c>
      <c r="M134" t="inlineStr">
        <is>
          <t>Bangunan Sipil Jembatan, Jalan Layang, Fly Over, dan Underpass, Konstruksi Bangunan Sipil Jalan, Konstruksi Jaringan Irigasi dan Drainase</t>
        </is>
      </c>
      <c r="N134" t="inlineStr">
        <is>
          <t>K</t>
        </is>
      </c>
      <c r="O134" t="inlineStr">
        <is>
          <t>20230915</t>
        </is>
      </c>
      <c r="P134" t="inlineStr">
        <is>
          <t>Jawa Tengah</t>
        </is>
      </c>
      <c r="Q134" t="inlineStr"/>
    </row>
    <row r="135">
      <c r="A135" t="inlineStr">
        <is>
          <t>PUTRA SOFHIA PRATIWI</t>
        </is>
      </c>
      <c r="B135" t="inlineStr">
        <is>
          <t>Kab. Toba Samosir</t>
        </is>
      </c>
      <c r="C135" t="inlineStr">
        <is>
          <t>081265361540</t>
        </is>
      </c>
      <c r="D135" t="inlineStr">
        <is>
          <t>simangunsongandro2016@gmail.com</t>
        </is>
      </c>
      <c r="E135" t="inlineStr">
        <is>
          <t>https://lpjk.pu.go.id/search-badan-usaha-detail/cmdkRVlvNzk5S2RCZmJaMlhpVG9Pdz09</t>
        </is>
      </c>
      <c r="F135" t="n">
        <v>1</v>
      </c>
      <c r="G135" t="inlineStr">
        <is>
          <t>BS004</t>
        </is>
      </c>
      <c r="H135" t="inlineStr">
        <is>
          <t>25 Juli 2012</t>
        </is>
      </c>
      <c r="I135" s="2" t="n">
        <v>46283</v>
      </c>
      <c r="J135" t="inlineStr">
        <is>
          <t>Disetujui</t>
        </is>
      </c>
      <c r="K135" t="n">
        <v>60</v>
      </c>
      <c r="L135" t="inlineStr">
        <is>
          <t>18 September 2026</t>
        </is>
      </c>
      <c r="M135" t="inlineStr">
        <is>
          <t>Konstruksi Jaringan Irigasi dan Drainase</t>
        </is>
      </c>
      <c r="N135" t="inlineStr">
        <is>
          <t>K</t>
        </is>
      </c>
      <c r="O135" t="inlineStr">
        <is>
          <t>20230912</t>
        </is>
      </c>
      <c r="P135" t="inlineStr">
        <is>
          <t>Sumatera Utara</t>
        </is>
      </c>
      <c r="Q135" t="inlineStr"/>
    </row>
    <row r="136">
      <c r="A136" t="inlineStr">
        <is>
          <t>PUTRA TUNGGAL DESIGN</t>
        </is>
      </c>
      <c r="B136" t="inlineStr">
        <is>
          <t>Kota Makassar</t>
        </is>
      </c>
      <c r="C136" t="inlineStr">
        <is>
          <t>081344017466</t>
        </is>
      </c>
      <c r="D136" t="inlineStr">
        <is>
          <t>putratunggaldesign@gmail.com</t>
        </is>
      </c>
      <c r="E136" t="inlineStr">
        <is>
          <t>https://lpjk.pu.go.id/search-badan-usaha-detail/WDBMYzNMajBkMlM2bzE3enBEV0Jhdz09</t>
        </is>
      </c>
      <c r="F136" t="n">
        <v>3</v>
      </c>
      <c r="G136" t="inlineStr">
        <is>
          <t>RK002, RK003, RK005</t>
        </is>
      </c>
      <c r="H136" t="inlineStr">
        <is>
          <t>11 September 2015</t>
        </is>
      </c>
      <c r="I136" s="2" t="n">
        <v>46283</v>
      </c>
      <c r="J136" t="inlineStr">
        <is>
          <t>Disetujui</t>
        </is>
      </c>
      <c r="K136" t="n">
        <v>60</v>
      </c>
      <c r="L136" t="inlineStr">
        <is>
          <t>18 September 2026</t>
        </is>
      </c>
      <c r="M136" t="inlineStr">
        <is>
          <t>Jasa Rekayasa Lainnya, Jasa Rekayasa Pekerjaan Teknik Sipil Sumber Daya Air, Jasa Rekayasa Pekerjaan Teknik Sipil Transportasi</t>
        </is>
      </c>
      <c r="N136" t="inlineStr">
        <is>
          <t>K</t>
        </is>
      </c>
      <c r="O136" t="inlineStr">
        <is>
          <t>20230630, 20230830</t>
        </is>
      </c>
      <c r="P136" t="inlineStr">
        <is>
          <t>Sulawesi Selatan</t>
        </is>
      </c>
      <c r="Q136" t="inlineStr"/>
    </row>
    <row r="137">
      <c r="A137" t="inlineStr">
        <is>
          <t>PUTRI PERMATASARI</t>
        </is>
      </c>
      <c r="B137" t="inlineStr">
        <is>
          <t>Kab. Wonosobo</t>
        </is>
      </c>
      <c r="C137" t="inlineStr">
        <is>
          <t>085292876672</t>
        </is>
      </c>
      <c r="D137" t="inlineStr">
        <is>
          <t>cv.putripermatasari@gmail.com</t>
        </is>
      </c>
      <c r="E137" t="inlineStr">
        <is>
          <t>https://lpjk.pu.go.id/search-badan-usaha-detail/SzVMRGpqMm45R0c1ekg4NG04TGNzQT09</t>
        </is>
      </c>
      <c r="F137" t="n">
        <v>4</v>
      </c>
      <c r="G137" t="inlineStr">
        <is>
          <t>BG002, BG005, BG008, BG009</t>
        </is>
      </c>
      <c r="H137" t="inlineStr">
        <is>
          <t>8 September 2001</t>
        </is>
      </c>
      <c r="I137" s="2" t="n">
        <v>46283</v>
      </c>
      <c r="J137" t="inlineStr">
        <is>
          <t>Disetujui</t>
        </is>
      </c>
      <c r="K137" t="n">
        <v>60</v>
      </c>
      <c r="L137" t="inlineStr">
        <is>
          <t>18 September 2026</t>
        </is>
      </c>
      <c r="M137" t="inlineStr">
        <is>
          <t>Konstruksi Gedung Kesehatan, Konstruksi Gedung Lainnya, Konstruksi Gedung Perkantoran, Konstruksi Gedung Tempat Hiburan dan Olahraga</t>
        </is>
      </c>
      <c r="N137" t="inlineStr">
        <is>
          <t>K</t>
        </is>
      </c>
      <c r="O137" t="inlineStr">
        <is>
          <t>20230812</t>
        </is>
      </c>
      <c r="P137" t="inlineStr">
        <is>
          <t>Jawa Tengah</t>
        </is>
      </c>
      <c r="Q137" t="inlineStr"/>
    </row>
    <row r="138">
      <c r="A138" t="inlineStr">
        <is>
          <t>PolaRIS</t>
        </is>
      </c>
      <c r="B138" t="inlineStr">
        <is>
          <t>Kab. Kudus</t>
        </is>
      </c>
      <c r="C138" t="inlineStr">
        <is>
          <t>8122882028</t>
        </is>
      </c>
      <c r="D138" t="inlineStr">
        <is>
          <t>ppolaris704@gmail.com</t>
        </is>
      </c>
      <c r="E138" t="inlineStr">
        <is>
          <t>https://lpjk.pu.go.id/search-badan-usaha-detail/Sjh2T3gzR3J6VlRSc0JBeldRVkl6Zz09</t>
        </is>
      </c>
      <c r="F138" t="n">
        <v>2</v>
      </c>
      <c r="G138" t="inlineStr">
        <is>
          <t>AR001</t>
        </is>
      </c>
      <c r="H138" t="inlineStr">
        <is>
          <t>27 Februari 2006</t>
        </is>
      </c>
      <c r="I138" s="2" t="n">
        <v>46283</v>
      </c>
      <c r="J138" t="inlineStr">
        <is>
          <t>Disetujui</t>
        </is>
      </c>
      <c r="K138" t="n">
        <v>60</v>
      </c>
      <c r="L138" t="inlineStr">
        <is>
          <t>18 September 2026</t>
        </is>
      </c>
      <c r="M138" t="inlineStr">
        <is>
          <t>Jasa Arsitektural Bangunan Gedung Hunian dan Non Hunian</t>
        </is>
      </c>
      <c r="N138" t="inlineStr">
        <is>
          <t>K</t>
        </is>
      </c>
      <c r="O138" t="inlineStr">
        <is>
          <t>20230907</t>
        </is>
      </c>
      <c r="P138" t="inlineStr">
        <is>
          <t>Jawa Tengah</t>
        </is>
      </c>
      <c r="Q138" t="inlineStr"/>
    </row>
    <row r="139">
      <c r="A139" t="inlineStr">
        <is>
          <t>RAFFA ALKALIFI PERKASA</t>
        </is>
      </c>
      <c r="B139" t="inlineStr">
        <is>
          <t>Kota Prabumulih</t>
        </is>
      </c>
      <c r="C139" t="inlineStr">
        <is>
          <t>081368477882</t>
        </is>
      </c>
      <c r="D139" t="inlineStr">
        <is>
          <t>raffaalkalifiperkasa@gmail.com</t>
        </is>
      </c>
      <c r="E139" t="inlineStr">
        <is>
          <t>https://lpjk.pu.go.id/search-badan-usaha-detail/akJJUXpXSk9yL29TYllGcE4zbis3UT09</t>
        </is>
      </c>
      <c r="F139" t="n">
        <v>2</v>
      </c>
      <c r="G139" t="inlineStr">
        <is>
          <t>BS001</t>
        </is>
      </c>
      <c r="H139" t="inlineStr">
        <is>
          <t>12 Desember 2019</t>
        </is>
      </c>
      <c r="I139" s="2" t="n">
        <v>46283</v>
      </c>
      <c r="J139" t="inlineStr">
        <is>
          <t>Disetujui</t>
        </is>
      </c>
      <c r="K139" t="n">
        <v>60</v>
      </c>
      <c r="L139" t="inlineStr">
        <is>
          <t>18 September 2026</t>
        </is>
      </c>
      <c r="M139" t="inlineStr">
        <is>
          <t>Konstruksi Bangunan Sipil Jalan</t>
        </is>
      </c>
      <c r="N139" t="inlineStr">
        <is>
          <t>K</t>
        </is>
      </c>
      <c r="O139" t="inlineStr">
        <is>
          <t>20230918</t>
        </is>
      </c>
      <c r="P139" t="inlineStr">
        <is>
          <t>Sumatera Selatan</t>
        </is>
      </c>
      <c r="Q139" t="inlineStr"/>
    </row>
    <row r="140">
      <c r="A140" t="inlineStr">
        <is>
          <t>RAHAAYU PUTRA MANDIRI</t>
        </is>
      </c>
      <c r="B140" t="inlineStr">
        <is>
          <t>Kota Tasikmalaya</t>
        </is>
      </c>
      <c r="C140" t="inlineStr">
        <is>
          <t>082219436963</t>
        </is>
      </c>
      <c r="D140" t="inlineStr">
        <is>
          <t>rahaayuputramandiri@gmail.com</t>
        </is>
      </c>
      <c r="E140" t="inlineStr">
        <is>
          <t>https://lpjk.pu.go.id/search-badan-usaha-detail/SW5KK1JMRjlVV1BLNzBPQXp1UENDUT09</t>
        </is>
      </c>
      <c r="F140" t="n">
        <v>2</v>
      </c>
      <c r="G140" t="inlineStr">
        <is>
          <t>BG009</t>
        </is>
      </c>
      <c r="H140" t="inlineStr">
        <is>
          <t>8 Mei 2023</t>
        </is>
      </c>
      <c r="I140" s="2" t="n">
        <v>46283</v>
      </c>
      <c r="J140" t="inlineStr">
        <is>
          <t>Disetujui</t>
        </is>
      </c>
      <c r="K140" t="n">
        <v>60</v>
      </c>
      <c r="L140" t="inlineStr">
        <is>
          <t>18 September 2026</t>
        </is>
      </c>
      <c r="M140" t="inlineStr">
        <is>
          <t>Konstruksi Gedung Lainnya</t>
        </is>
      </c>
      <c r="N140" t="inlineStr">
        <is>
          <t>K</t>
        </is>
      </c>
      <c r="O140" t="inlineStr">
        <is>
          <t>20230914</t>
        </is>
      </c>
      <c r="P140" t="inlineStr">
        <is>
          <t>Jawa Barat</t>
        </is>
      </c>
      <c r="Q140" t="inlineStr"/>
    </row>
    <row r="141">
      <c r="A141" t="inlineStr">
        <is>
          <t>RAHAYU PRIMA PERKASA</t>
        </is>
      </c>
      <c r="B141" t="inlineStr">
        <is>
          <t>Kota Palangkaraya</t>
        </is>
      </c>
      <c r="C141" t="inlineStr">
        <is>
          <t>08125098792</t>
        </is>
      </c>
      <c r="D141" t="inlineStr">
        <is>
          <t>cv.rahayuprimaperkasa@gmail.com</t>
        </is>
      </c>
      <c r="E141" t="inlineStr">
        <is>
          <t>https://lpjk.pu.go.id/search-badan-usaha-detail/ZldBL2lzVzNIQUxWd2dpNmQrcVhvUT09</t>
        </is>
      </c>
      <c r="F141" t="n">
        <v>2</v>
      </c>
      <c r="G141" t="inlineStr">
        <is>
          <t>BG002, BG006</t>
        </is>
      </c>
      <c r="H141" t="inlineStr">
        <is>
          <t>21 Juli 2023</t>
        </is>
      </c>
      <c r="I141" s="2" t="n">
        <v>46283</v>
      </c>
      <c r="J141" t="inlineStr">
        <is>
          <t>Disetujui</t>
        </is>
      </c>
      <c r="K141" t="n">
        <v>60</v>
      </c>
      <c r="L141" t="inlineStr">
        <is>
          <t>18 September 2026</t>
        </is>
      </c>
      <c r="M141" t="inlineStr">
        <is>
          <t>Konstruksi Gedung Pendidikan, Konstruksi Gedung Perkantoran</t>
        </is>
      </c>
      <c r="N141" t="inlineStr">
        <is>
          <t>K</t>
        </is>
      </c>
      <c r="O141" t="inlineStr">
        <is>
          <t>20230811, 20230918</t>
        </is>
      </c>
      <c r="P141" t="inlineStr">
        <is>
          <t>Kalimantan Tengah</t>
        </is>
      </c>
      <c r="Q141" t="inlineStr"/>
    </row>
    <row r="142">
      <c r="A142" t="inlineStr">
        <is>
          <t>RAKATAMA ASTRA WIRA</t>
        </is>
      </c>
      <c r="B142" t="inlineStr">
        <is>
          <t>Kota Tangerang Selatan</t>
        </is>
      </c>
      <c r="C142" t="inlineStr">
        <is>
          <t>08112225761</t>
        </is>
      </c>
      <c r="D142" t="inlineStr">
        <is>
          <t>rakatamaastrawira@gmail.com</t>
        </is>
      </c>
      <c r="E142" t="inlineStr">
        <is>
          <t>https://lpjk.pu.go.id/search-badan-usaha-detail/MlRYKzUwUzZzM1Z2SDdXSUNHVE9tQT09</t>
        </is>
      </c>
      <c r="F142" t="n">
        <v>8</v>
      </c>
      <c r="G142" t="inlineStr">
        <is>
          <t>BG009, BS001, BS002, BS004</t>
        </is>
      </c>
      <c r="H142" t="inlineStr">
        <is>
          <t>15 Agustus 2023</t>
        </is>
      </c>
      <c r="I142" s="2" t="n">
        <v>46283</v>
      </c>
      <c r="J142" t="inlineStr">
        <is>
          <t>Disetujui</t>
        </is>
      </c>
      <c r="K142" t="n">
        <v>60</v>
      </c>
      <c r="L142" t="inlineStr">
        <is>
          <t>18 September 2026</t>
        </is>
      </c>
      <c r="M142" t="inlineStr">
        <is>
          <t>Bangunan Sipil Jembatan, Jalan Layang, Fly Over, dan Underpass, Konstruksi Bangunan Sipil Jalan, Konstruksi Gedung Lainnya, Konstruksi Jaringan Irigasi dan Drainase</t>
        </is>
      </c>
      <c r="N142" t="inlineStr">
        <is>
          <t>K</t>
        </is>
      </c>
      <c r="O142" t="inlineStr">
        <is>
          <t>20230916, 20230918</t>
        </is>
      </c>
      <c r="P142" t="inlineStr">
        <is>
          <t>Banten</t>
        </is>
      </c>
      <c r="Q142" t="inlineStr"/>
    </row>
    <row r="143">
      <c r="A143" t="inlineStr">
        <is>
          <t>RANGGANA MAHA KARYA</t>
        </is>
      </c>
      <c r="B143" t="inlineStr">
        <is>
          <t>Kota Padang Sidempuan</t>
        </is>
      </c>
      <c r="C143" t="inlineStr">
        <is>
          <t>082362584725</t>
        </is>
      </c>
      <c r="D143" t="inlineStr">
        <is>
          <t>rangganamahakarya@gmail.com</t>
        </is>
      </c>
      <c r="E143" t="inlineStr">
        <is>
          <t>https://lpjk.pu.go.id/search-badan-usaha-detail/a1pnQWFEbVpobkRINmNEYjJaek1Pdz09</t>
        </is>
      </c>
      <c r="F143" t="n">
        <v>3</v>
      </c>
      <c r="G143" t="inlineStr">
        <is>
          <t>BG006, BG009, BS004</t>
        </is>
      </c>
      <c r="H143" t="inlineStr">
        <is>
          <t>12 September 2023</t>
        </is>
      </c>
      <c r="I143" s="2" t="n">
        <v>46283</v>
      </c>
      <c r="J143" t="inlineStr">
        <is>
          <t>Disetujui</t>
        </is>
      </c>
      <c r="K143" t="n">
        <v>60</v>
      </c>
      <c r="L143" t="inlineStr">
        <is>
          <t>18 September 2026</t>
        </is>
      </c>
      <c r="M143" t="inlineStr">
        <is>
          <t>Konstruksi Gedung Lainnya, Konstruksi Gedung Pendidikan, Konstruksi Jaringan Irigasi dan Drainase</t>
        </is>
      </c>
      <c r="N143" t="inlineStr">
        <is>
          <t>K</t>
        </is>
      </c>
      <c r="O143" t="inlineStr">
        <is>
          <t>20230914, 20230917</t>
        </is>
      </c>
      <c r="P143" t="inlineStr">
        <is>
          <t>Sumatera Utara</t>
        </is>
      </c>
      <c r="Q143" t="inlineStr"/>
    </row>
    <row r="144">
      <c r="A144" t="inlineStr">
        <is>
          <t>REKAYASA UTAMA</t>
        </is>
      </c>
      <c r="B144" t="inlineStr">
        <is>
          <t>Kab. Tabanan</t>
        </is>
      </c>
      <c r="C144" t="inlineStr">
        <is>
          <t>0361814164</t>
        </is>
      </c>
      <c r="D144" t="inlineStr">
        <is>
          <t>rekayasautamautama@yahoo.co.id</t>
        </is>
      </c>
      <c r="E144" t="inlineStr">
        <is>
          <t>https://lpjk.pu.go.id/search-badan-usaha-detail/ci9sQWlnTjBHUGo1aGI0bFN5Z0VOZz09</t>
        </is>
      </c>
      <c r="F144" t="n">
        <v>2</v>
      </c>
      <c r="G144" t="inlineStr">
        <is>
          <t>BG009</t>
        </is>
      </c>
      <c r="H144" t="inlineStr">
        <is>
          <t>23 Juni 1994</t>
        </is>
      </c>
      <c r="I144" s="2" t="n">
        <v>46283</v>
      </c>
      <c r="J144" t="inlineStr">
        <is>
          <t>Disetujui</t>
        </is>
      </c>
      <c r="K144" t="n">
        <v>60</v>
      </c>
      <c r="L144" t="inlineStr">
        <is>
          <t>18 September 2026</t>
        </is>
      </c>
      <c r="M144" t="inlineStr">
        <is>
          <t>Konstruksi Gedung Lainnya</t>
        </is>
      </c>
      <c r="N144" t="inlineStr">
        <is>
          <t>K</t>
        </is>
      </c>
      <c r="O144" t="inlineStr">
        <is>
          <t>20230912</t>
        </is>
      </c>
      <c r="P144" t="inlineStr">
        <is>
          <t>Bali</t>
        </is>
      </c>
      <c r="Q144" t="inlineStr"/>
    </row>
    <row r="145">
      <c r="A145" t="inlineStr">
        <is>
          <t>REKSA JAYA</t>
        </is>
      </c>
      <c r="B145" t="inlineStr">
        <is>
          <t>Kota Makassar</t>
        </is>
      </c>
      <c r="C145" t="inlineStr">
        <is>
          <t>0811411999</t>
        </is>
      </c>
      <c r="D145" t="inlineStr">
        <is>
          <t>cv.reksajaya@gmail.com</t>
        </is>
      </c>
      <c r="E145" t="inlineStr">
        <is>
          <t>https://lpjk.pu.go.id/search-badan-usaha-detail/NFc2Z3JmblVvRmN3Z2ZTMlZBY0RCUT09</t>
        </is>
      </c>
      <c r="F145" t="n">
        <v>2</v>
      </c>
      <c r="G145" t="inlineStr">
        <is>
          <t>BG001, BG006</t>
        </is>
      </c>
      <c r="H145" t="inlineStr">
        <is>
          <t>20 September 2021</t>
        </is>
      </c>
      <c r="I145" s="2" t="n">
        <v>46283</v>
      </c>
      <c r="J145" t="inlineStr">
        <is>
          <t>Disetujui</t>
        </is>
      </c>
      <c r="K145" t="n">
        <v>60</v>
      </c>
      <c r="L145" t="inlineStr">
        <is>
          <t>18 September 2026</t>
        </is>
      </c>
      <c r="M145" t="inlineStr">
        <is>
          <t>Konstruksi Gedung Hunian, Konstruksi Gedung Pendidikan</t>
        </is>
      </c>
      <c r="N145" t="inlineStr">
        <is>
          <t>K</t>
        </is>
      </c>
      <c r="O145" t="inlineStr">
        <is>
          <t>20220414, 20230822</t>
        </is>
      </c>
      <c r="P145" t="inlineStr">
        <is>
          <t>Sulawesi Selatan</t>
        </is>
      </c>
      <c r="Q145" t="inlineStr"/>
    </row>
    <row r="146">
      <c r="A146" t="inlineStr">
        <is>
          <t>RIZKY MANDIRI</t>
        </is>
      </c>
      <c r="B146" t="inlineStr">
        <is>
          <t>Kota Pangkal Pinang</t>
        </is>
      </c>
      <c r="C146" t="inlineStr">
        <is>
          <t>085268085189</t>
        </is>
      </c>
      <c r="D146" t="inlineStr">
        <is>
          <t>rizkymndiri@gmail.com</t>
        </is>
      </c>
      <c r="E146" t="inlineStr">
        <is>
          <t>https://lpjk.pu.go.id/search-badan-usaha-detail/RzUxak8yTTgvTjVJU3BKR2JvcnhxUT09</t>
        </is>
      </c>
      <c r="F146" t="n">
        <v>1</v>
      </c>
      <c r="G146" t="inlineStr">
        <is>
          <t>BS001</t>
        </is>
      </c>
      <c r="H146" t="inlineStr">
        <is>
          <t>7 Juni 2003</t>
        </is>
      </c>
      <c r="I146" s="2" t="n">
        <v>46283</v>
      </c>
      <c r="J146" t="inlineStr">
        <is>
          <t>Disetujui</t>
        </is>
      </c>
      <c r="K146" t="n">
        <v>60</v>
      </c>
      <c r="L146" t="inlineStr">
        <is>
          <t>18 September 2026</t>
        </is>
      </c>
      <c r="M146" t="inlineStr">
        <is>
          <t>Konstruksi Bangunan Sipil Jalan</t>
        </is>
      </c>
      <c r="N146" t="inlineStr">
        <is>
          <t>K</t>
        </is>
      </c>
      <c r="O146" t="inlineStr">
        <is>
          <t>20230904</t>
        </is>
      </c>
      <c r="P146" t="inlineStr">
        <is>
          <t>Kepulauan Bangka Belitung</t>
        </is>
      </c>
      <c r="Q146" t="inlineStr"/>
    </row>
    <row r="147">
      <c r="A147" t="inlineStr">
        <is>
          <t>SABATARA</t>
        </is>
      </c>
      <c r="B147" t="inlineStr">
        <is>
          <t>Kab. Kaimana</t>
        </is>
      </c>
      <c r="C147" t="inlineStr">
        <is>
          <t>082328984377</t>
        </is>
      </c>
      <c r="D147" t="inlineStr">
        <is>
          <t>cvsabatara3@gmail.com</t>
        </is>
      </c>
      <c r="E147" t="inlineStr">
        <is>
          <t>https://lpjk.pu.go.id/search-badan-usaha-detail/Q0s3KzMyOGZmQUd6djdPOXc1dVYvQT09</t>
        </is>
      </c>
      <c r="F147" t="n">
        <v>10</v>
      </c>
      <c r="G147" t="inlineStr">
        <is>
          <t>BG001, BG005, BG006, BG009, BS001</t>
        </is>
      </c>
      <c r="H147" t="inlineStr">
        <is>
          <t>20 April 2021</t>
        </is>
      </c>
      <c r="I147" s="2" t="n">
        <v>46283</v>
      </c>
      <c r="J147" t="inlineStr">
        <is>
          <t>Disetujui</t>
        </is>
      </c>
      <c r="K147" t="n">
        <v>60</v>
      </c>
      <c r="L147" t="inlineStr">
        <is>
          <t>18 September 2026</t>
        </is>
      </c>
      <c r="M147" t="inlineStr">
        <is>
          <t>Konstruksi Bangunan Sipil Jalan, Konstruksi Gedung Hunian, Konstruksi Gedung Kesehatan, Konstruksi Gedung Lainnya, Konstruksi Gedung Pendidikan</t>
        </is>
      </c>
      <c r="N147" t="inlineStr">
        <is>
          <t>K</t>
        </is>
      </c>
      <c r="O147" t="inlineStr">
        <is>
          <t>20230918</t>
        </is>
      </c>
      <c r="P147" t="inlineStr">
        <is>
          <t>Papua Barat</t>
        </is>
      </c>
      <c r="Q147" t="inlineStr"/>
    </row>
    <row r="148">
      <c r="A148" t="inlineStr">
        <is>
          <t>SARANA ABADI JAYA RAYA</t>
        </is>
      </c>
      <c r="B148" t="inlineStr">
        <is>
          <t>Kab. Karawang</t>
        </is>
      </c>
      <c r="C148" t="inlineStr">
        <is>
          <t>082213858951</t>
        </is>
      </c>
      <c r="D148" t="inlineStr">
        <is>
          <t>abadi_sarana@yahoo.com</t>
        </is>
      </c>
      <c r="E148" t="inlineStr">
        <is>
          <t>https://lpjk.pu.go.id/search-badan-usaha-detail/eVpIOFBsQkxySWhqREd4d1liY1MrUT09</t>
        </is>
      </c>
      <c r="F148" t="n">
        <v>2</v>
      </c>
      <c r="G148" t="inlineStr">
        <is>
          <t>BG005, BS004</t>
        </is>
      </c>
      <c r="H148" t="inlineStr">
        <is>
          <t>3 September 2014</t>
        </is>
      </c>
      <c r="I148" s="2" t="n">
        <v>46283</v>
      </c>
      <c r="J148" t="inlineStr">
        <is>
          <t>Disetujui, Pencabutan</t>
        </is>
      </c>
      <c r="K148" t="n">
        <v>60</v>
      </c>
      <c r="L148" t="inlineStr">
        <is>
          <t>18 September 2026</t>
        </is>
      </c>
      <c r="M148" t="inlineStr">
        <is>
          <t>Konstruksi Gedung Kesehatan, Konstruksi Jaringan Irigasi dan Drainase</t>
        </is>
      </c>
      <c r="N148" t="inlineStr">
        <is>
          <t>K</t>
        </is>
      </c>
      <c r="O148" t="inlineStr">
        <is>
          <t>20230918</t>
        </is>
      </c>
      <c r="P148" t="inlineStr">
        <is>
          <t>Jawa Barat</t>
        </is>
      </c>
      <c r="Q148" t="inlineStr"/>
    </row>
    <row r="149">
      <c r="A149" t="inlineStr">
        <is>
          <t>SATRIA BHAKTI</t>
        </is>
      </c>
      <c r="B149" t="inlineStr">
        <is>
          <t>Kab. Sumenep</t>
        </is>
      </c>
      <c r="C149" t="inlineStr">
        <is>
          <t>081222525401</t>
        </is>
      </c>
      <c r="D149" t="inlineStr">
        <is>
          <t>agungcahya94@gmail.com</t>
        </is>
      </c>
      <c r="E149" t="inlineStr">
        <is>
          <t>https://lpjk.pu.go.id/search-badan-usaha-detail/RGpGZE56c01SK2J4VDZTREk2MERnQT09</t>
        </is>
      </c>
      <c r="F149" t="n">
        <v>3</v>
      </c>
      <c r="G149" t="inlineStr">
        <is>
          <t>BG002, BS004</t>
        </is>
      </c>
      <c r="H149" t="inlineStr">
        <is>
          <t>13 Februari 1999</t>
        </is>
      </c>
      <c r="I149" s="2" t="n">
        <v>46283</v>
      </c>
      <c r="J149" t="inlineStr">
        <is>
          <t>Disetujui</t>
        </is>
      </c>
      <c r="K149" t="n">
        <v>60</v>
      </c>
      <c r="L149" t="inlineStr">
        <is>
          <t>18 September 2026</t>
        </is>
      </c>
      <c r="M149" t="inlineStr">
        <is>
          <t>Konstruksi Gedung Perkantoran, Konstruksi Jaringan Irigasi dan Drainase</t>
        </is>
      </c>
      <c r="N149" t="inlineStr">
        <is>
          <t>K</t>
        </is>
      </c>
      <c r="O149" t="inlineStr">
        <is>
          <t>20230912, 20230915</t>
        </is>
      </c>
      <c r="P149" t="inlineStr">
        <is>
          <t>Jawa Timur</t>
        </is>
      </c>
      <c r="Q149" t="inlineStr"/>
    </row>
    <row r="150">
      <c r="A150" t="inlineStr">
        <is>
          <t>SATRIA PERSADA</t>
        </is>
      </c>
      <c r="B150" t="inlineStr">
        <is>
          <t>Kota Medan</t>
        </is>
      </c>
      <c r="C150" t="inlineStr">
        <is>
          <t>08116355886</t>
        </is>
      </c>
      <c r="D150" t="inlineStr">
        <is>
          <t>satriapersada123@gmail.com</t>
        </is>
      </c>
      <c r="E150" t="inlineStr">
        <is>
          <t>https://lpjk.pu.go.id/search-badan-usaha-detail/VkluVUkxVG4zdHNvS3MrQUREb3NYQT09</t>
        </is>
      </c>
      <c r="F150" t="n">
        <v>1</v>
      </c>
      <c r="G150" t="inlineStr">
        <is>
          <t>BS005</t>
        </is>
      </c>
      <c r="H150" t="inlineStr">
        <is>
          <t>27 September 2010</t>
        </is>
      </c>
      <c r="I150" s="2" t="n">
        <v>46283</v>
      </c>
      <c r="J150" t="inlineStr">
        <is>
          <t>Disetujui</t>
        </is>
      </c>
      <c r="K150" t="n">
        <v>60</v>
      </c>
      <c r="L150" t="inlineStr">
        <is>
          <t>18 September 2026</t>
        </is>
      </c>
      <c r="M150" t="inlineStr">
        <is>
          <t>Konstruksi Bangunan Sipil Pengolahan Air Bersih</t>
        </is>
      </c>
      <c r="N150" t="inlineStr">
        <is>
          <t>K</t>
        </is>
      </c>
      <c r="O150" t="inlineStr">
        <is>
          <t>20230916</t>
        </is>
      </c>
      <c r="P150" t="inlineStr">
        <is>
          <t>Sumatera Utara</t>
        </is>
      </c>
      <c r="Q150" t="inlineStr"/>
    </row>
    <row r="151">
      <c r="A151" t="inlineStr">
        <is>
          <t>SATRIA SAFIRA BETON</t>
        </is>
      </c>
      <c r="B151" t="inlineStr">
        <is>
          <t>Kota Semarang</t>
        </is>
      </c>
      <c r="C151" t="inlineStr">
        <is>
          <t>08112766468</t>
        </is>
      </c>
      <c r="D151" t="inlineStr">
        <is>
          <t>satriasafirabeton@gmail.com</t>
        </is>
      </c>
      <c r="E151" t="inlineStr">
        <is>
          <t>https://lpjk.pu.go.id/search-badan-usaha-detail/QXZqN2FxWEpOM01tb1QyNmlaWEtGZz09</t>
        </is>
      </c>
      <c r="F151" t="n">
        <v>2</v>
      </c>
      <c r="G151" t="inlineStr">
        <is>
          <t>BS001, BS004</t>
        </is>
      </c>
      <c r="H151" t="inlineStr">
        <is>
          <t>9 Desember 2016</t>
        </is>
      </c>
      <c r="I151" s="2" t="n">
        <v>46283</v>
      </c>
      <c r="J151" t="inlineStr">
        <is>
          <t>Disetujui</t>
        </is>
      </c>
      <c r="K151" t="n">
        <v>60</v>
      </c>
      <c r="L151" t="inlineStr">
        <is>
          <t>18 September 2026</t>
        </is>
      </c>
      <c r="M151" t="inlineStr">
        <is>
          <t>Konstruksi Bangunan Sipil Jalan, Konstruksi Jaringan Irigasi dan Drainase</t>
        </is>
      </c>
      <c r="N151" t="inlineStr">
        <is>
          <t>K</t>
        </is>
      </c>
      <c r="O151" t="inlineStr">
        <is>
          <t>20230913, 20230914</t>
        </is>
      </c>
      <c r="P151" t="inlineStr">
        <is>
          <t>Jawa Tengah</t>
        </is>
      </c>
      <c r="Q151" t="inlineStr"/>
    </row>
    <row r="152">
      <c r="A152" t="inlineStr">
        <is>
          <t>SELARAS SERASAN SIANDANAN</t>
        </is>
      </c>
      <c r="B152" t="inlineStr">
        <is>
          <t>Kab. Ogan Komering Ulu</t>
        </is>
      </c>
      <c r="C152" t="inlineStr">
        <is>
          <t>081272648796</t>
        </is>
      </c>
      <c r="D152" t="inlineStr">
        <is>
          <t>selaras2023@gmail.com</t>
        </is>
      </c>
      <c r="E152" t="inlineStr">
        <is>
          <t>https://lpjk.pu.go.id/search-badan-usaha-detail/OWpXSTBvVUtsQlkwaFQ5OGlXdmp4Zz09</t>
        </is>
      </c>
      <c r="F152" t="n">
        <v>4</v>
      </c>
      <c r="G152" t="inlineStr">
        <is>
          <t>BG002, BG005, BG006, BS001</t>
        </is>
      </c>
      <c r="H152" t="inlineStr">
        <is>
          <t>5 Juni 2023</t>
        </is>
      </c>
      <c r="I152" s="2" t="n">
        <v>46283</v>
      </c>
      <c r="J152" t="inlineStr">
        <is>
          <t>Disetujui</t>
        </is>
      </c>
      <c r="K152" t="n">
        <v>60</v>
      </c>
      <c r="L152" t="inlineStr">
        <is>
          <t>18 September 2026</t>
        </is>
      </c>
      <c r="M152" t="inlineStr">
        <is>
          <t>Konstruksi Bangunan Sipil Jalan, Konstruksi Gedung Kesehatan, Konstruksi Gedung Pendidikan, Konstruksi Gedung Perkantoran</t>
        </is>
      </c>
      <c r="N152" t="inlineStr">
        <is>
          <t>K</t>
        </is>
      </c>
      <c r="O152" t="inlineStr">
        <is>
          <t>20230917</t>
        </is>
      </c>
      <c r="P152" t="inlineStr">
        <is>
          <t>Sumatera Selatan</t>
        </is>
      </c>
      <c r="Q152" t="inlineStr"/>
    </row>
    <row r="153">
      <c r="A153" t="inlineStr">
        <is>
          <t>SINAR DUA PUTRA MANDIRI</t>
        </is>
      </c>
      <c r="B153" t="inlineStr">
        <is>
          <t>Kab. Karawang</t>
        </is>
      </c>
      <c r="C153" t="inlineStr">
        <is>
          <t>085885936222</t>
        </is>
      </c>
      <c r="D153" t="inlineStr">
        <is>
          <t>sinar2putri19@gmail.com</t>
        </is>
      </c>
      <c r="E153" t="inlineStr">
        <is>
          <t>https://lpjk.pu.go.id/search-badan-usaha-detail/L0hEUE9VQWpoYVBzK2VxR1FpMWVsZz09</t>
        </is>
      </c>
      <c r="F153" t="n">
        <v>1</v>
      </c>
      <c r="G153" t="inlineStr">
        <is>
          <t>BG009</t>
        </is>
      </c>
      <c r="H153" t="inlineStr">
        <is>
          <t>11 September 2019</t>
        </is>
      </c>
      <c r="I153" s="2" t="n">
        <v>46283</v>
      </c>
      <c r="J153" t="inlineStr">
        <is>
          <t>Disetujui</t>
        </is>
      </c>
      <c r="K153" t="n">
        <v>60</v>
      </c>
      <c r="L153" t="inlineStr">
        <is>
          <t>18 September 2026</t>
        </is>
      </c>
      <c r="M153" t="inlineStr">
        <is>
          <t>Konstruksi Gedung Lainnya</t>
        </is>
      </c>
      <c r="N153" t="inlineStr">
        <is>
          <t>K</t>
        </is>
      </c>
      <c r="O153" t="inlineStr">
        <is>
          <t>20230913</t>
        </is>
      </c>
      <c r="P153" t="inlineStr">
        <is>
          <t>Jawa Barat</t>
        </is>
      </c>
      <c r="Q153" t="inlineStr"/>
    </row>
    <row r="154">
      <c r="A154" t="inlineStr">
        <is>
          <t>SINAR GEMILANG</t>
        </is>
      </c>
      <c r="B154" t="inlineStr">
        <is>
          <t>Kab. Tuban</t>
        </is>
      </c>
      <c r="C154" t="inlineStr">
        <is>
          <t>081332413436</t>
        </is>
      </c>
      <c r="D154" t="inlineStr">
        <is>
          <t>sinargemilang25@gmail.com</t>
        </is>
      </c>
      <c r="E154" t="inlineStr">
        <is>
          <t>https://lpjk.pu.go.id/search-badan-usaha-detail/Vk93S3Z1bmQ5S2pKRlRQNW9hR1lqQT09</t>
        </is>
      </c>
      <c r="F154" t="n">
        <v>4</v>
      </c>
      <c r="G154" t="inlineStr">
        <is>
          <t>BG002, BG005, BG006, BG009</t>
        </is>
      </c>
      <c r="H154" t="inlineStr">
        <is>
          <t>23 Desember 2015</t>
        </is>
      </c>
      <c r="I154" s="2" t="n">
        <v>46283</v>
      </c>
      <c r="J154" t="inlineStr">
        <is>
          <t>Disetujui</t>
        </is>
      </c>
      <c r="K154" t="n">
        <v>60</v>
      </c>
      <c r="L154" t="inlineStr">
        <is>
          <t>18 September 2026</t>
        </is>
      </c>
      <c r="M154" t="inlineStr">
        <is>
          <t>Konstruksi Gedung Kesehatan, Konstruksi Gedung Lainnya, Konstruksi Gedung Pendidikan, Konstruksi Gedung Perkantoran</t>
        </is>
      </c>
      <c r="N154" t="inlineStr">
        <is>
          <t>K</t>
        </is>
      </c>
      <c r="O154" t="inlineStr">
        <is>
          <t>20230915</t>
        </is>
      </c>
      <c r="P154" t="inlineStr">
        <is>
          <t>Jawa Timur</t>
        </is>
      </c>
      <c r="Q154" t="inlineStr"/>
    </row>
    <row r="155">
      <c r="A155" t="inlineStr">
        <is>
          <t>SINAR JAYA</t>
        </is>
      </c>
      <c r="B155" t="inlineStr">
        <is>
          <t>Kota Medan</t>
        </is>
      </c>
      <c r="C155" t="inlineStr">
        <is>
          <t>085830287900</t>
        </is>
      </c>
      <c r="D155" t="inlineStr">
        <is>
          <t>cvsinarjaya@rocketmail.com</t>
        </is>
      </c>
      <c r="E155" t="inlineStr">
        <is>
          <t>https://lpjk.pu.go.id/search-badan-usaha-detail/WnpQSC81alljdE1GeC9BUWZ6RG9NZz09</t>
        </is>
      </c>
      <c r="F155" t="n">
        <v>1</v>
      </c>
      <c r="G155" t="inlineStr">
        <is>
          <t>BS002</t>
        </is>
      </c>
      <c r="H155" t="inlineStr">
        <is>
          <t>18 Oktober 2005</t>
        </is>
      </c>
      <c r="I155" s="2" t="n">
        <v>46283</v>
      </c>
      <c r="J155" t="inlineStr">
        <is>
          <t>Disetujui</t>
        </is>
      </c>
      <c r="K155" t="n">
        <v>60</v>
      </c>
      <c r="L155" t="inlineStr">
        <is>
          <t>18 September 2026</t>
        </is>
      </c>
      <c r="M155" t="inlineStr">
        <is>
          <t>Bangunan Sipil Jembatan, Jalan Layang, Fly Over, dan Underpass</t>
        </is>
      </c>
      <c r="N155" t="inlineStr">
        <is>
          <t>K</t>
        </is>
      </c>
      <c r="O155" t="inlineStr">
        <is>
          <t>20230919</t>
        </is>
      </c>
      <c r="P155" t="inlineStr">
        <is>
          <t>Sumatera Utara</t>
        </is>
      </c>
      <c r="Q155" t="inlineStr"/>
    </row>
    <row r="156">
      <c r="A156" t="inlineStr">
        <is>
          <t>SINAR PERMATA PAPUA</t>
        </is>
      </c>
      <c r="B156" t="inlineStr">
        <is>
          <t>Kab. Kepulauan Yapen</t>
        </is>
      </c>
      <c r="C156" t="inlineStr">
        <is>
          <t>085299309588</t>
        </is>
      </c>
      <c r="D156" t="inlineStr">
        <is>
          <t>cv.sinarpermatapapua@gmail.com</t>
        </is>
      </c>
      <c r="E156" t="inlineStr">
        <is>
          <t>https://lpjk.pu.go.id/search-badan-usaha-detail/NUZlWWdPZTV6MElVNEIrRi85ZUNKUT09</t>
        </is>
      </c>
      <c r="F156" t="n">
        <v>7</v>
      </c>
      <c r="G156" t="inlineStr">
        <is>
          <t>BG002, BG003, BG005, BG006, BG009, BS001, BS002</t>
        </is>
      </c>
      <c r="H156" t="inlineStr">
        <is>
          <t>7 Agustus 2023</t>
        </is>
      </c>
      <c r="I156" s="2" t="n">
        <v>46283</v>
      </c>
      <c r="J156" t="inlineStr">
        <is>
          <t>Dokumen Tidak Lengkap, Konfirmasi Pembayaran</t>
        </is>
      </c>
      <c r="K156" t="n">
        <v>60</v>
      </c>
      <c r="L156" t="inlineStr">
        <is>
          <t>18 September 2026</t>
        </is>
      </c>
      <c r="M156" t="inlineStr">
        <is>
          <t>Bangunan Sipil Jembatan, Jalan Layang, Fly Over, dan Underpass, Konstruksi Bangunan Sipil Jalan, Konstruksi Gedung Industri, Konstruksi Gedung Kesehatan, Konstruksi Gedung Lainnya, Konstruksi Gedung Pendidikan, Konstruksi Gedung Perkantoran</t>
        </is>
      </c>
      <c r="N156" t="inlineStr">
        <is>
          <t>K</t>
        </is>
      </c>
      <c r="O156" t="inlineStr">
        <is>
          <t>20230915</t>
        </is>
      </c>
      <c r="P156" t="inlineStr">
        <is>
          <t>Papua</t>
        </is>
      </c>
      <c r="Q156" t="inlineStr"/>
    </row>
    <row r="157">
      <c r="A157" t="inlineStr">
        <is>
          <t>SINAR TIRTA CEMERLANG</t>
        </is>
      </c>
      <c r="B157" t="inlineStr">
        <is>
          <t>Kab. Tanah Bumbu</t>
        </is>
      </c>
      <c r="C157" t="inlineStr">
        <is>
          <t>082251863867</t>
        </is>
      </c>
      <c r="D157" t="inlineStr">
        <is>
          <t>cv.sinartirtacemerlang@gmail.com</t>
        </is>
      </c>
      <c r="E157" t="inlineStr">
        <is>
          <t>https://lpjk.pu.go.id/search-badan-usaha-detail/dmVuNGdiQ3pZT3RvWjJZL1RraTYyUT09</t>
        </is>
      </c>
      <c r="F157" t="n">
        <v>2</v>
      </c>
      <c r="G157" t="inlineStr">
        <is>
          <t>BS001, BS004</t>
        </is>
      </c>
      <c r="H157" t="inlineStr">
        <is>
          <t>8 November 2021</t>
        </is>
      </c>
      <c r="I157" s="2" t="n">
        <v>46283</v>
      </c>
      <c r="J157" t="inlineStr">
        <is>
          <t>Disetujui</t>
        </is>
      </c>
      <c r="K157" t="n">
        <v>60</v>
      </c>
      <c r="L157" t="inlineStr">
        <is>
          <t>18 September 2026</t>
        </is>
      </c>
      <c r="M157" t="inlineStr">
        <is>
          <t>Konstruksi Bangunan Sipil Jalan, Konstruksi Jaringan Irigasi dan Drainase</t>
        </is>
      </c>
      <c r="N157" t="inlineStr">
        <is>
          <t>K</t>
        </is>
      </c>
      <c r="O157" t="inlineStr">
        <is>
          <t>20230913</t>
        </is>
      </c>
      <c r="P157" t="inlineStr">
        <is>
          <t>Kalimantan Selatan</t>
        </is>
      </c>
      <c r="Q157" t="inlineStr"/>
    </row>
    <row r="158">
      <c r="A158" t="inlineStr">
        <is>
          <t>SPARTA DUTA PERKASA</t>
        </is>
      </c>
      <c r="B158" t="inlineStr">
        <is>
          <t>Kota Pariaman</t>
        </is>
      </c>
      <c r="C158" t="inlineStr">
        <is>
          <t>082384123272</t>
        </is>
      </c>
      <c r="D158" t="inlineStr">
        <is>
          <t>ptspartadutaperkasa@gmail.com</t>
        </is>
      </c>
      <c r="E158" t="inlineStr">
        <is>
          <t>https://lpjk.pu.go.id/search-badan-usaha-detail/eENmQ3l1UzI5cExod01haGo3aSthQT09</t>
        </is>
      </c>
      <c r="F158" t="n">
        <v>1</v>
      </c>
      <c r="G158" t="inlineStr">
        <is>
          <t>BG002</t>
        </is>
      </c>
      <c r="H158" t="inlineStr">
        <is>
          <t>21 Januari 2004</t>
        </is>
      </c>
      <c r="I158" s="2" t="n">
        <v>46283</v>
      </c>
      <c r="J158" t="inlineStr">
        <is>
          <t>Disetujui</t>
        </is>
      </c>
      <c r="K158" t="n">
        <v>60</v>
      </c>
      <c r="L158" t="inlineStr">
        <is>
          <t>18 September 2026</t>
        </is>
      </c>
      <c r="M158" t="inlineStr">
        <is>
          <t>Konstruksi Gedung Perkantoran</t>
        </is>
      </c>
      <c r="N158" t="inlineStr">
        <is>
          <t>K</t>
        </is>
      </c>
      <c r="O158" t="inlineStr">
        <is>
          <t>20230918</t>
        </is>
      </c>
      <c r="P158" t="inlineStr">
        <is>
          <t>Sumatera Barat</t>
        </is>
      </c>
      <c r="Q158" t="inlineStr"/>
    </row>
    <row r="159">
      <c r="A159" t="inlineStr">
        <is>
          <t>SURYA PERDANA MANDIRI</t>
        </is>
      </c>
      <c r="B159" t="inlineStr">
        <is>
          <t>Kab. Pandeglang</t>
        </is>
      </c>
      <c r="C159" t="inlineStr">
        <is>
          <t>081285757565</t>
        </is>
      </c>
      <c r="D159" t="inlineStr">
        <is>
          <t>cv.suryaperdanamandiri@yahoo.com</t>
        </is>
      </c>
      <c r="E159" t="inlineStr">
        <is>
          <t>https://lpjk.pu.go.id/search-badan-usaha-detail/Z1hYakNJaGVLczE3UEF3cFhuWEViUT09</t>
        </is>
      </c>
      <c r="F159" t="n">
        <v>1</v>
      </c>
      <c r="G159" t="inlineStr">
        <is>
          <t>BS004</t>
        </is>
      </c>
      <c r="H159" t="inlineStr">
        <is>
          <t>2 Maret 2015</t>
        </is>
      </c>
      <c r="I159" s="2" t="n">
        <v>46283</v>
      </c>
      <c r="J159" t="inlineStr">
        <is>
          <t>Disetujui</t>
        </is>
      </c>
      <c r="K159" t="n">
        <v>60</v>
      </c>
      <c r="L159" t="inlineStr">
        <is>
          <t>18 September 2026</t>
        </is>
      </c>
      <c r="M159" t="inlineStr">
        <is>
          <t>Konstruksi Jaringan Irigasi dan Drainase</t>
        </is>
      </c>
      <c r="N159" t="inlineStr">
        <is>
          <t>K</t>
        </is>
      </c>
      <c r="O159" t="inlineStr">
        <is>
          <t>20230915</t>
        </is>
      </c>
      <c r="P159" t="inlineStr">
        <is>
          <t>Banten</t>
        </is>
      </c>
      <c r="Q159" t="inlineStr"/>
    </row>
    <row r="160">
      <c r="A160" t="inlineStr">
        <is>
          <t>SURYA PERMATA DELIMA</t>
        </is>
      </c>
      <c r="B160" t="inlineStr">
        <is>
          <t>Kab. Kotawaringin Barat</t>
        </is>
      </c>
      <c r="C160" t="inlineStr">
        <is>
          <t>085252937006</t>
        </is>
      </c>
      <c r="D160" t="inlineStr">
        <is>
          <t>cv.surya.permata.delima@gmail.com</t>
        </is>
      </c>
      <c r="E160" t="inlineStr">
        <is>
          <t>https://lpjk.pu.go.id/search-badan-usaha-detail/Q2xXcENLUmdNeWs4Wng2dXEwVnpRUT09</t>
        </is>
      </c>
      <c r="F160" t="n">
        <v>1</v>
      </c>
      <c r="G160" t="inlineStr">
        <is>
          <t>BS011</t>
        </is>
      </c>
      <c r="H160" t="inlineStr">
        <is>
          <t>18 Juli 2023</t>
        </is>
      </c>
      <c r="I160" s="2" t="n">
        <v>46283</v>
      </c>
      <c r="J160" t="inlineStr">
        <is>
          <t>Pencabutan</t>
        </is>
      </c>
      <c r="K160" t="n">
        <v>60</v>
      </c>
      <c r="L160" t="inlineStr">
        <is>
          <t>18 September 2026</t>
        </is>
      </c>
      <c r="M160" t="inlineStr">
        <is>
          <t>Konstruksi Bangunan Pelabuhan Bukan Perikanan</t>
        </is>
      </c>
      <c r="N160" t="inlineStr">
        <is>
          <t>K</t>
        </is>
      </c>
      <c r="O160" t="inlineStr">
        <is>
          <t>20230917</t>
        </is>
      </c>
      <c r="P160" t="inlineStr">
        <is>
          <t>Kalimantan Tengah</t>
        </is>
      </c>
      <c r="Q160" t="inlineStr"/>
    </row>
    <row r="161">
      <c r="A161" t="inlineStr">
        <is>
          <t>SURYA PUTRA MANDIRI</t>
        </is>
      </c>
      <c r="B161" t="inlineStr">
        <is>
          <t>Kota Serang</t>
        </is>
      </c>
      <c r="C161" t="inlineStr">
        <is>
          <t>08111232313</t>
        </is>
      </c>
      <c r="D161" t="inlineStr">
        <is>
          <t>suryaputramandiri03@gmail.com</t>
        </is>
      </c>
      <c r="E161" t="inlineStr">
        <is>
          <t>https://lpjk.pu.go.id/search-badan-usaha-detail/UmZaNGdNY00wMzF2elowSGRhcWMvdz09</t>
        </is>
      </c>
      <c r="F161" t="n">
        <v>1</v>
      </c>
      <c r="G161" t="inlineStr">
        <is>
          <t>BG002</t>
        </is>
      </c>
      <c r="H161" t="inlineStr">
        <is>
          <t>6 Februari 2014</t>
        </is>
      </c>
      <c r="I161" s="2" t="n">
        <v>46283</v>
      </c>
      <c r="J161" t="inlineStr">
        <is>
          <t>Disetujui</t>
        </is>
      </c>
      <c r="K161" t="n">
        <v>60</v>
      </c>
      <c r="L161" t="inlineStr">
        <is>
          <t>18 September 2026</t>
        </is>
      </c>
      <c r="M161" t="inlineStr">
        <is>
          <t>Konstruksi Gedung Perkantoran</t>
        </is>
      </c>
      <c r="N161" t="inlineStr">
        <is>
          <t>K</t>
        </is>
      </c>
      <c r="O161" t="inlineStr">
        <is>
          <t>20230915</t>
        </is>
      </c>
      <c r="P161" t="inlineStr">
        <is>
          <t>Banten</t>
        </is>
      </c>
      <c r="Q161" t="inlineStr"/>
    </row>
    <row r="162">
      <c r="A162" t="inlineStr">
        <is>
          <t>TEGAR RAJAWALI PERKASA</t>
        </is>
      </c>
      <c r="B162" t="inlineStr">
        <is>
          <t>Kab. Landak</t>
        </is>
      </c>
      <c r="C162" t="inlineStr">
        <is>
          <t>082270223137</t>
        </is>
      </c>
      <c r="D162" t="inlineStr">
        <is>
          <t>pt.tegarrajawali137@gmail.com</t>
        </is>
      </c>
      <c r="E162" t="inlineStr">
        <is>
          <t>https://lpjk.pu.go.id/search-badan-usaha-detail/MGl1c3E3WmtGbHpPaVc2UWVpbG8xdz09</t>
        </is>
      </c>
      <c r="F162" t="n">
        <v>1</v>
      </c>
      <c r="G162" t="inlineStr">
        <is>
          <t>BS004</t>
        </is>
      </c>
      <c r="H162" t="inlineStr">
        <is>
          <t>1 April 2006</t>
        </is>
      </c>
      <c r="I162" s="2" t="n">
        <v>46283</v>
      </c>
      <c r="J162" t="inlineStr">
        <is>
          <t>Disetujui</t>
        </is>
      </c>
      <c r="K162" t="n">
        <v>60</v>
      </c>
      <c r="L162" t="inlineStr">
        <is>
          <t>18 September 2026</t>
        </is>
      </c>
      <c r="M162" t="inlineStr">
        <is>
          <t>Konstruksi Jaringan Irigasi dan Drainase</t>
        </is>
      </c>
      <c r="N162" t="inlineStr">
        <is>
          <t>K</t>
        </is>
      </c>
      <c r="O162" t="inlineStr">
        <is>
          <t>20230914</t>
        </is>
      </c>
      <c r="P162" t="inlineStr">
        <is>
          <t>Kalimantan Barat</t>
        </is>
      </c>
      <c r="Q162" t="inlineStr"/>
    </row>
    <row r="163">
      <c r="A163" t="inlineStr">
        <is>
          <t>TETRAMEGA SATRIA</t>
        </is>
      </c>
      <c r="B163" t="inlineStr">
        <is>
          <t>Kota Adm. Jakarta Barat</t>
        </is>
      </c>
      <c r="C163" t="inlineStr">
        <is>
          <t>0215667036</t>
        </is>
      </c>
      <c r="D163" t="inlineStr">
        <is>
          <t>tetramegasatria.tms@gmail.com</t>
        </is>
      </c>
      <c r="E163" t="inlineStr">
        <is>
          <t>https://lpjk.pu.go.id/search-badan-usaha-detail/SmVHV0RWZS9rOHdGNmxwbXBVUWlNQT09</t>
        </is>
      </c>
      <c r="F163" t="n">
        <v>1</v>
      </c>
      <c r="G163" t="inlineStr">
        <is>
          <t>BG007</t>
        </is>
      </c>
      <c r="H163" t="inlineStr">
        <is>
          <t>28 Februari 1990</t>
        </is>
      </c>
      <c r="I163" s="2" t="n">
        <v>46283</v>
      </c>
      <c r="J163" t="inlineStr">
        <is>
          <t>Disetujui</t>
        </is>
      </c>
      <c r="K163" t="n">
        <v>60</v>
      </c>
      <c r="L163" t="inlineStr">
        <is>
          <t>18 September 2026</t>
        </is>
      </c>
      <c r="M163" t="inlineStr">
        <is>
          <t>Konstruksi Gedung Penginapan</t>
        </is>
      </c>
      <c r="N163" t="inlineStr">
        <is>
          <t>K</t>
        </is>
      </c>
      <c r="O163" t="inlineStr">
        <is>
          <t>20230720</t>
        </is>
      </c>
      <c r="P163" t="inlineStr">
        <is>
          <t>DKI Jakarta</t>
        </is>
      </c>
      <c r="Q163" t="inlineStr"/>
    </row>
    <row r="164">
      <c r="A164" t="inlineStr">
        <is>
          <t>TIGA PUTRA MOPA</t>
        </is>
      </c>
      <c r="B164" t="inlineStr">
        <is>
          <t>Kab. Konawe Utara</t>
        </is>
      </c>
      <c r="C164" t="inlineStr">
        <is>
          <t>085255504011</t>
        </is>
      </c>
      <c r="D164" t="inlineStr">
        <is>
          <t>cv.tigaputramorpa@gmail.com</t>
        </is>
      </c>
      <c r="E164" t="inlineStr">
        <is>
          <t>https://lpjk.pu.go.id/search-badan-usaha-detail/R09TVU8vNExrMXpvS0h5YWlRZGZFdz09</t>
        </is>
      </c>
      <c r="F164" t="n">
        <v>1</v>
      </c>
      <c r="G164" t="inlineStr">
        <is>
          <t>BG002</t>
        </is>
      </c>
      <c r="H164" t="inlineStr">
        <is>
          <t>31 Maret 2023</t>
        </is>
      </c>
      <c r="I164" s="2" t="n">
        <v>46283</v>
      </c>
      <c r="J164" t="inlineStr">
        <is>
          <t>Disetujui</t>
        </is>
      </c>
      <c r="K164" t="n">
        <v>60</v>
      </c>
      <c r="L164" t="inlineStr">
        <is>
          <t>18 September 2026</t>
        </is>
      </c>
      <c r="M164" t="inlineStr">
        <is>
          <t>Konstruksi Gedung Perkantoran</t>
        </is>
      </c>
      <c r="N164" t="inlineStr">
        <is>
          <t>K</t>
        </is>
      </c>
      <c r="O164" t="inlineStr">
        <is>
          <t>20230805</t>
        </is>
      </c>
      <c r="P164" t="inlineStr">
        <is>
          <t>Sulawesi Tenggara</t>
        </is>
      </c>
      <c r="Q164" t="inlineStr"/>
    </row>
    <row r="165">
      <c r="A165" t="inlineStr">
        <is>
          <t>TORINA AZZAM JAYA</t>
        </is>
      </c>
      <c r="B165" t="inlineStr">
        <is>
          <t>Kota Adm. Jakarta Selatan</t>
        </is>
      </c>
      <c r="C165" t="inlineStr">
        <is>
          <t>02150812001</t>
        </is>
      </c>
      <c r="D165" t="inlineStr">
        <is>
          <t>cs.torinaazzamjaya.pt@gmail.com</t>
        </is>
      </c>
      <c r="E165" t="inlineStr">
        <is>
          <t>https://lpjk.pu.go.id/search-badan-usaha-detail/dWxDc1k5ZWlnK2Z6L05LUDlwdWo2Zz09</t>
        </is>
      </c>
      <c r="F165" t="n">
        <v>10</v>
      </c>
      <c r="G165" t="inlineStr">
        <is>
          <t>BG001, BG002, BG005, BG006, BG009</t>
        </is>
      </c>
      <c r="H165" t="inlineStr">
        <is>
          <t>21 Juni 2023</t>
        </is>
      </c>
      <c r="I165" s="2" t="n">
        <v>46283</v>
      </c>
      <c r="J165" t="inlineStr">
        <is>
          <t>Disetujui</t>
        </is>
      </c>
      <c r="K165" t="n">
        <v>60</v>
      </c>
      <c r="L165" t="inlineStr">
        <is>
          <t>18 September 2026</t>
        </is>
      </c>
      <c r="M165" t="inlineStr">
        <is>
          <t>Konstruksi Gedung Hunian, Konstruksi Gedung Kesehatan, Konstruksi Gedung Lainnya, Konstruksi Gedung Pendidikan, Konstruksi Gedung Perkantoran</t>
        </is>
      </c>
      <c r="N165" t="inlineStr">
        <is>
          <t>K</t>
        </is>
      </c>
      <c r="O165" t="inlineStr">
        <is>
          <t>20230911</t>
        </is>
      </c>
      <c r="P165" t="inlineStr">
        <is>
          <t>DKI Jakarta</t>
        </is>
      </c>
      <c r="Q165" t="inlineStr"/>
    </row>
    <row r="166">
      <c r="A166" t="inlineStr">
        <is>
          <t>TOTAL SOYUREN INDONESIA</t>
        </is>
      </c>
      <c r="B166" t="inlineStr">
        <is>
          <t>Kab. Sleman</t>
        </is>
      </c>
      <c r="C166" t="inlineStr">
        <is>
          <t>0811252291</t>
        </is>
      </c>
      <c r="D166" t="inlineStr">
        <is>
          <t>pt.totalsoyuren@gmail.com</t>
        </is>
      </c>
      <c r="E166" t="inlineStr">
        <is>
          <t>https://lpjk.pu.go.id/search-badan-usaha-detail/Wjh2Q0Y1S2dYVnJRVkN2c0JZaXNsdz09</t>
        </is>
      </c>
      <c r="F166" t="n">
        <v>1</v>
      </c>
      <c r="G166" t="inlineStr">
        <is>
          <t>BS002</t>
        </is>
      </c>
      <c r="H166" t="inlineStr">
        <is>
          <t>16 April 2021</t>
        </is>
      </c>
      <c r="I166" s="2" t="n">
        <v>46283</v>
      </c>
      <c r="J166" t="inlineStr">
        <is>
          <t>Pencabutan</t>
        </is>
      </c>
      <c r="K166" t="n">
        <v>60</v>
      </c>
      <c r="L166" t="inlineStr">
        <is>
          <t>18 September 2026</t>
        </is>
      </c>
      <c r="M166" t="inlineStr">
        <is>
          <t>Bangunan Sipil Jembatan, Jalan Layang, Fly Over, dan Underpass</t>
        </is>
      </c>
      <c r="N166" t="inlineStr">
        <is>
          <t>K</t>
        </is>
      </c>
      <c r="O166" t="inlineStr">
        <is>
          <t>20230918</t>
        </is>
      </c>
      <c r="P166" t="inlineStr">
        <is>
          <t>DI Yogyakarta</t>
        </is>
      </c>
      <c r="Q166" t="inlineStr"/>
    </row>
    <row r="167">
      <c r="A167" t="inlineStr">
        <is>
          <t>TRI BASKARA</t>
        </is>
      </c>
      <c r="B167" t="inlineStr">
        <is>
          <t>Kab. Tuban</t>
        </is>
      </c>
      <c r="C167" t="inlineStr">
        <is>
          <t>081331115152</t>
        </is>
      </c>
      <c r="D167" t="inlineStr">
        <is>
          <t>tribaskara.tuban@yahoo.com</t>
        </is>
      </c>
      <c r="E167" t="inlineStr">
        <is>
          <t>https://lpjk.pu.go.id/search-badan-usaha-detail/YU8xTGJ4S1YrQWw3dVdMMWJCNERjUT09</t>
        </is>
      </c>
      <c r="F167" t="n">
        <v>4</v>
      </c>
      <c r="G167" t="inlineStr">
        <is>
          <t>BG005, BG009, BS001, BS004</t>
        </is>
      </c>
      <c r="H167" t="inlineStr">
        <is>
          <t>17 November 2015</t>
        </is>
      </c>
      <c r="I167" s="2" t="n">
        <v>46283</v>
      </c>
      <c r="J167" t="inlineStr">
        <is>
          <t>Disetujui</t>
        </is>
      </c>
      <c r="K167" t="n">
        <v>60</v>
      </c>
      <c r="L167" t="inlineStr">
        <is>
          <t>18 September 2026</t>
        </is>
      </c>
      <c r="M167" t="inlineStr">
        <is>
          <t>Konstruksi Bangunan Sipil Jalan, Konstruksi Gedung Kesehatan, Konstruksi Gedung Lainnya, Konstruksi Jaringan Irigasi dan Drainase</t>
        </is>
      </c>
      <c r="N167" t="inlineStr">
        <is>
          <t>K</t>
        </is>
      </c>
      <c r="O167" t="inlineStr">
        <is>
          <t>20230912</t>
        </is>
      </c>
      <c r="P167" t="inlineStr">
        <is>
          <t>Jawa Timur</t>
        </is>
      </c>
      <c r="Q167" t="inlineStr"/>
    </row>
    <row r="168">
      <c r="A168" t="inlineStr">
        <is>
          <t>TRI ENERGI TEKNOLOGI</t>
        </is>
      </c>
      <c r="B168" t="inlineStr">
        <is>
          <t>Kota Bandung</t>
        </is>
      </c>
      <c r="C168" t="inlineStr">
        <is>
          <t>02220513757</t>
        </is>
      </c>
      <c r="D168" t="inlineStr">
        <is>
          <t>trietek@gmail.com</t>
        </is>
      </c>
      <c r="E168" t="inlineStr">
        <is>
          <t>https://lpjk.pu.go.id/search-badan-usaha-detail/YzFKVXJHUllWdFZ4Z3VLamlueDlEQT09</t>
        </is>
      </c>
      <c r="F168" t="n">
        <v>1</v>
      </c>
      <c r="G168" t="inlineStr">
        <is>
          <t>IN004</t>
        </is>
      </c>
      <c r="H168" t="inlineStr">
        <is>
          <t>25 Maret 2009</t>
        </is>
      </c>
      <c r="I168" s="2" t="n">
        <v>46283</v>
      </c>
      <c r="J168" t="inlineStr">
        <is>
          <t>Disetujui</t>
        </is>
      </c>
      <c r="K168" t="n">
        <v>60</v>
      </c>
      <c r="L168" t="inlineStr">
        <is>
          <t>18 September 2026</t>
        </is>
      </c>
      <c r="M168" t="inlineStr">
        <is>
          <t>Instalasi Minyak dan Gas</t>
        </is>
      </c>
      <c r="N168" t="inlineStr">
        <is>
          <t>Spesialis</t>
        </is>
      </c>
      <c r="O168" t="inlineStr">
        <is>
          <t>20230914</t>
        </is>
      </c>
      <c r="P168" t="inlineStr">
        <is>
          <t>Jawa Barat</t>
        </is>
      </c>
      <c r="Q168" t="inlineStr"/>
    </row>
    <row r="169">
      <c r="A169" t="inlineStr">
        <is>
          <t>ULFA FAJRUL MUSTANIR</t>
        </is>
      </c>
      <c r="B169" t="inlineStr">
        <is>
          <t>Kab. Aceh Selatan</t>
        </is>
      </c>
      <c r="C169" t="inlineStr">
        <is>
          <t>085260840034</t>
        </is>
      </c>
      <c r="D169" t="inlineStr">
        <is>
          <t>cv.ulfafajrul@gmail.com</t>
        </is>
      </c>
      <c r="E169" t="inlineStr">
        <is>
          <t>https://lpjk.pu.go.id/search-badan-usaha-detail/YnJoZ2YxWDYxa0c2bnRQdXUzdEpaUT09</t>
        </is>
      </c>
      <c r="F169" t="n">
        <v>1</v>
      </c>
      <c r="G169" t="inlineStr">
        <is>
          <t>BG006</t>
        </is>
      </c>
      <c r="H169" t="inlineStr">
        <is>
          <t>15 Mei 2020</t>
        </is>
      </c>
      <c r="I169" s="2" t="n">
        <v>46283</v>
      </c>
      <c r="J169" t="inlineStr">
        <is>
          <t>Disetujui</t>
        </is>
      </c>
      <c r="K169" t="n">
        <v>60</v>
      </c>
      <c r="L169" t="inlineStr">
        <is>
          <t>18 September 2026</t>
        </is>
      </c>
      <c r="M169" t="inlineStr">
        <is>
          <t>Konstruksi Gedung Pendidikan</t>
        </is>
      </c>
      <c r="N169" t="inlineStr">
        <is>
          <t>K</t>
        </is>
      </c>
      <c r="O169" t="inlineStr">
        <is>
          <t>20230919</t>
        </is>
      </c>
      <c r="P169" t="inlineStr">
        <is>
          <t>Aceh</t>
        </is>
      </c>
      <c r="Q169" t="inlineStr"/>
    </row>
    <row r="170">
      <c r="A170" t="inlineStr">
        <is>
          <t>UNGGUL BUANA</t>
        </is>
      </c>
      <c r="B170" t="inlineStr">
        <is>
          <t>Kab. Purwakarta</t>
        </is>
      </c>
      <c r="C170" t="inlineStr">
        <is>
          <t>087879716066</t>
        </is>
      </c>
      <c r="D170" t="inlineStr">
        <is>
          <t>unggulbuana@hotmail.com</t>
        </is>
      </c>
      <c r="E170" t="inlineStr">
        <is>
          <t>https://lpjk.pu.go.id/search-badan-usaha-detail/Z0R0b1RZQmhuWnpwdTV2Qzc0OU1xZz09</t>
        </is>
      </c>
      <c r="F170" t="n">
        <v>1</v>
      </c>
      <c r="G170" t="inlineStr">
        <is>
          <t>BS001</t>
        </is>
      </c>
      <c r="H170" t="inlineStr">
        <is>
          <t>12 November 2018</t>
        </is>
      </c>
      <c r="I170" s="2" t="n">
        <v>46283</v>
      </c>
      <c r="J170" t="inlineStr">
        <is>
          <t>Disetujui</t>
        </is>
      </c>
      <c r="K170" t="n">
        <v>60</v>
      </c>
      <c r="L170" t="inlineStr">
        <is>
          <t>18 September 2026</t>
        </is>
      </c>
      <c r="M170" t="inlineStr">
        <is>
          <t>Konstruksi Bangunan Sipil Jalan</t>
        </is>
      </c>
      <c r="N170" t="inlineStr">
        <is>
          <t>K</t>
        </is>
      </c>
      <c r="O170" t="inlineStr">
        <is>
          <t>20230912</t>
        </is>
      </c>
      <c r="P170" t="inlineStr">
        <is>
          <t>Jawa Barat</t>
        </is>
      </c>
      <c r="Q170" t="inlineStr"/>
    </row>
    <row r="171">
      <c r="A171" t="inlineStr">
        <is>
          <t>VALUE CITRA MANDIRI</t>
        </is>
      </c>
      <c r="B171" t="inlineStr">
        <is>
          <t>Kota Surabaya</t>
        </is>
      </c>
      <c r="C171" t="inlineStr">
        <is>
          <t>081332207668</t>
        </is>
      </c>
      <c r="D171" t="inlineStr">
        <is>
          <t>pt.vcm.direksi@gmail.com</t>
        </is>
      </c>
      <c r="E171" t="inlineStr">
        <is>
          <t>https://lpjk.pu.go.id/search-badan-usaha-detail/NUlIV3d0WEpxRkRONjRabE5zMWJNZz09</t>
        </is>
      </c>
      <c r="F171" t="n">
        <v>1</v>
      </c>
      <c r="G171" t="inlineStr">
        <is>
          <t>BG001</t>
        </is>
      </c>
      <c r="H171" t="inlineStr">
        <is>
          <t>7 Mei 2015</t>
        </is>
      </c>
      <c r="I171" s="2" t="n">
        <v>46283</v>
      </c>
      <c r="J171" t="inlineStr">
        <is>
          <t>Disetujui</t>
        </is>
      </c>
      <c r="K171" t="n">
        <v>60</v>
      </c>
      <c r="L171" t="inlineStr">
        <is>
          <t>18 September 2026</t>
        </is>
      </c>
      <c r="M171" t="inlineStr">
        <is>
          <t>Konstruksi Gedung Hunian</t>
        </is>
      </c>
      <c r="N171" t="inlineStr">
        <is>
          <t>K</t>
        </is>
      </c>
      <c r="O171" t="inlineStr">
        <is>
          <t>20230808</t>
        </is>
      </c>
      <c r="P171" t="inlineStr">
        <is>
          <t>Jawa Timur</t>
        </is>
      </c>
      <c r="Q171" t="inlineStr"/>
    </row>
    <row r="172">
      <c r="A172" t="inlineStr">
        <is>
          <t>VARIASI</t>
        </is>
      </c>
      <c r="B172" t="inlineStr">
        <is>
          <t>Kab. Buru</t>
        </is>
      </c>
      <c r="C172" t="inlineStr">
        <is>
          <t>081369851206</t>
        </is>
      </c>
      <c r="D172" t="inlineStr">
        <is>
          <t>cvvariasi79@gmail.com</t>
        </is>
      </c>
      <c r="E172" t="inlineStr">
        <is>
          <t>https://lpjk.pu.go.id/search-badan-usaha-detail/V3VmVU9wOUcyNi9MUVMrbVBmOGIwQT09</t>
        </is>
      </c>
      <c r="F172" t="n">
        <v>2</v>
      </c>
      <c r="G172" t="inlineStr">
        <is>
          <t>BG005, BS001</t>
        </is>
      </c>
      <c r="H172" t="inlineStr">
        <is>
          <t>10 Februari 2012</t>
        </is>
      </c>
      <c r="I172" s="2" t="n">
        <v>46283</v>
      </c>
      <c r="J172" t="inlineStr">
        <is>
          <t>Disetujui</t>
        </is>
      </c>
      <c r="K172" t="n">
        <v>60</v>
      </c>
      <c r="L172" t="inlineStr">
        <is>
          <t>18 September 2026</t>
        </is>
      </c>
      <c r="M172" t="inlineStr">
        <is>
          <t>Konstruksi Bangunan Sipil Jalan, Konstruksi Gedung Kesehatan</t>
        </is>
      </c>
      <c r="N172" t="inlineStr">
        <is>
          <t>K</t>
        </is>
      </c>
      <c r="O172" t="inlineStr">
        <is>
          <t>20230916, 20230918</t>
        </is>
      </c>
      <c r="P172" t="inlineStr">
        <is>
          <t>Maluku</t>
        </is>
      </c>
      <c r="Q172" t="inlineStr"/>
    </row>
    <row r="173">
      <c r="A173" t="inlineStr">
        <is>
          <t>WIJAYA KONSULTAN INDEPENDENT</t>
        </is>
      </c>
      <c r="B173" t="inlineStr">
        <is>
          <t>Kota Adm. Jakarta Selatan</t>
        </is>
      </c>
      <c r="C173" t="inlineStr">
        <is>
          <t>081351105275</t>
        </is>
      </c>
      <c r="D173" t="inlineStr">
        <is>
          <t>wijaya.konsultan.independent@bisnismail.com</t>
        </is>
      </c>
      <c r="E173" t="inlineStr">
        <is>
          <t>https://lpjk.pu.go.id/search-badan-usaha-detail/dlN2bW56V0lYK1YvVmZlMlV4Q3IzQT09</t>
        </is>
      </c>
      <c r="F173" t="n">
        <v>6</v>
      </c>
      <c r="G173" t="inlineStr">
        <is>
          <t>AR001, AR002, AR003</t>
        </is>
      </c>
      <c r="H173" t="inlineStr">
        <is>
          <t>10 Agustus 2023</t>
        </is>
      </c>
      <c r="I173" s="2" t="n">
        <v>46283</v>
      </c>
      <c r="J173" t="inlineStr">
        <is>
          <t>Disetujui</t>
        </is>
      </c>
      <c r="K173" t="n">
        <v>60</v>
      </c>
      <c r="L173" t="inlineStr">
        <is>
          <t>18 September 2026</t>
        </is>
      </c>
      <c r="M173" t="inlineStr">
        <is>
          <t>Jasa Arsitektural Bangunan Gedung Hunian dan Non Hunian, Jasa Arsitektural Lainnya, Jasa Desain Interior pada Bangunan Gedung dan Bangunan Sipil</t>
        </is>
      </c>
      <c r="N173" t="inlineStr">
        <is>
          <t>K</t>
        </is>
      </c>
      <c r="O173" t="inlineStr">
        <is>
          <t>20230905</t>
        </is>
      </c>
      <c r="P173" t="inlineStr">
        <is>
          <t>DKI Jakarta</t>
        </is>
      </c>
      <c r="Q173" t="inlineStr"/>
    </row>
    <row r="174">
      <c r="A174" t="inlineStr">
        <is>
          <t>WIJAYA NUSANTARAA</t>
        </is>
      </c>
      <c r="B174" t="inlineStr">
        <is>
          <t>Kab. Bengkulu Utara</t>
        </is>
      </c>
      <c r="C174" t="inlineStr">
        <is>
          <t>081368749461</t>
        </is>
      </c>
      <c r="D174" t="inlineStr">
        <is>
          <t>nusantaracvwijaya@gmail.com</t>
        </is>
      </c>
      <c r="E174" t="inlineStr">
        <is>
          <t>https://lpjk.pu.go.id/search-badan-usaha-detail/bnRuSE1wL2NMcFFSd0dUN2lUUHNZQT09</t>
        </is>
      </c>
      <c r="F174" t="n">
        <v>8</v>
      </c>
      <c r="G174" t="inlineStr">
        <is>
          <t>BG002, BG006, BG009, BS002</t>
        </is>
      </c>
      <c r="H174" t="inlineStr">
        <is>
          <t>2 Agustus 2023</t>
        </is>
      </c>
      <c r="I174" s="2" t="n">
        <v>46283</v>
      </c>
      <c r="J174" t="inlineStr">
        <is>
          <t>Disetujui</t>
        </is>
      </c>
      <c r="K174" t="n">
        <v>60</v>
      </c>
      <c r="L174" t="inlineStr">
        <is>
          <t>18 September 2026</t>
        </is>
      </c>
      <c r="M174" t="inlineStr">
        <is>
          <t>Bangunan Sipil Jembatan, Jalan Layang, Fly Over, dan Underpass, Konstruksi Gedung Lainnya, Konstruksi Gedung Pendidikan, Konstruksi Gedung Perkantoran</t>
        </is>
      </c>
      <c r="N174" t="inlineStr">
        <is>
          <t>K</t>
        </is>
      </c>
      <c r="O174" t="inlineStr">
        <is>
          <t>20230915</t>
        </is>
      </c>
      <c r="P174" t="inlineStr">
        <is>
          <t>Bengkulu</t>
        </is>
      </c>
      <c r="Q174" t="inlineStr"/>
    </row>
    <row r="175">
      <c r="A175" t="inlineStr">
        <is>
          <t>WIRA BIMA KARYA</t>
        </is>
      </c>
      <c r="B175" t="inlineStr">
        <is>
          <t>Kota Medan</t>
        </is>
      </c>
      <c r="C175" t="inlineStr">
        <is>
          <t>081360388960</t>
        </is>
      </c>
      <c r="D175" t="inlineStr">
        <is>
          <t>Wirabimakarya@gmail.com</t>
        </is>
      </c>
      <c r="E175" t="inlineStr">
        <is>
          <t>https://lpjk.pu.go.id/search-badan-usaha-detail/YkllTzZpNjlRczJTR1B6RVFKTlVzZz09</t>
        </is>
      </c>
      <c r="F175" t="n">
        <v>1</v>
      </c>
      <c r="G175" t="inlineStr">
        <is>
          <t>BG005</t>
        </is>
      </c>
      <c r="H175" t="inlineStr">
        <is>
          <t>6 Juli 2023</t>
        </is>
      </c>
      <c r="I175" s="2" t="n">
        <v>46283</v>
      </c>
      <c r="J175" t="inlineStr">
        <is>
          <t>Disetujui</t>
        </is>
      </c>
      <c r="K175" t="n">
        <v>60</v>
      </c>
      <c r="L175" t="inlineStr">
        <is>
          <t>18 September 2026</t>
        </is>
      </c>
      <c r="M175" t="inlineStr">
        <is>
          <t>Konstruksi Gedung Kesehatan</t>
        </is>
      </c>
      <c r="N175" t="inlineStr">
        <is>
          <t>K</t>
        </is>
      </c>
      <c r="O175" t="inlineStr">
        <is>
          <t>20230919</t>
        </is>
      </c>
      <c r="P175" t="inlineStr">
        <is>
          <t>Sumatera Utara</t>
        </is>
      </c>
      <c r="Q175" t="inlineStr"/>
    </row>
    <row r="176">
      <c r="A176" t="inlineStr">
        <is>
          <t>YUDHA UTAMA</t>
        </is>
      </c>
      <c r="B176" t="inlineStr">
        <is>
          <t>Kota Denpasar</t>
        </is>
      </c>
      <c r="C176" t="inlineStr">
        <is>
          <t>0361420873</t>
        </is>
      </c>
      <c r="D176" t="inlineStr">
        <is>
          <t>yudhautama.cv@gmail.com</t>
        </is>
      </c>
      <c r="E176" t="inlineStr">
        <is>
          <t>https://lpjk.pu.go.id/search-badan-usaha-detail/MzdkL0pwQnZNelJzSE15RURxdkxXdz09</t>
        </is>
      </c>
      <c r="F176" t="n">
        <v>1</v>
      </c>
      <c r="G176" t="inlineStr">
        <is>
          <t>BS001</t>
        </is>
      </c>
      <c r="H176" t="inlineStr">
        <is>
          <t>11 Juni 1996</t>
        </is>
      </c>
      <c r="I176" s="2" t="n">
        <v>46283</v>
      </c>
      <c r="J176" t="inlineStr">
        <is>
          <t>Disetujui</t>
        </is>
      </c>
      <c r="K176" t="n">
        <v>60</v>
      </c>
      <c r="L176" t="inlineStr">
        <is>
          <t>18 September 2026</t>
        </is>
      </c>
      <c r="M176" t="inlineStr">
        <is>
          <t>Konstruksi Bangunan Sipil Jalan</t>
        </is>
      </c>
      <c r="N176" t="inlineStr">
        <is>
          <t>K</t>
        </is>
      </c>
      <c r="O176" t="inlineStr">
        <is>
          <t>20230814</t>
        </is>
      </c>
      <c r="P176" t="inlineStr">
        <is>
          <t>Bali</t>
        </is>
      </c>
      <c r="Q176" t="inlineStr"/>
    </row>
    <row r="177">
      <c r="A177" t="inlineStr">
        <is>
          <t>ZAHRA BINTANG LESTARI</t>
        </is>
      </c>
      <c r="B177" t="inlineStr">
        <is>
          <t>Kab. Kutai Timur</t>
        </is>
      </c>
      <c r="C177" t="inlineStr">
        <is>
          <t>085299129870</t>
        </is>
      </c>
      <c r="D177" t="inlineStr">
        <is>
          <t>zahra.bintanglestari@gmail.com</t>
        </is>
      </c>
      <c r="E177" t="inlineStr">
        <is>
          <t>https://lpjk.pu.go.id/search-badan-usaha-detail/MUNZVFU0UmJMT3ZHckxCWmpvVkhpdz09</t>
        </is>
      </c>
      <c r="F177" t="n">
        <v>2</v>
      </c>
      <c r="G177" t="inlineStr">
        <is>
          <t>BG006</t>
        </is>
      </c>
      <c r="H177" t="inlineStr">
        <is>
          <t>5 Mei 2021</t>
        </is>
      </c>
      <c r="I177" s="2" t="n">
        <v>46283</v>
      </c>
      <c r="J177" t="inlineStr">
        <is>
          <t>Disetujui</t>
        </is>
      </c>
      <c r="K177" t="n">
        <v>60</v>
      </c>
      <c r="L177" t="inlineStr">
        <is>
          <t>18 September 2026</t>
        </is>
      </c>
      <c r="M177" t="inlineStr">
        <is>
          <t>Konstruksi Gedung Pendidikan</t>
        </is>
      </c>
      <c r="N177" t="inlineStr">
        <is>
          <t>K</t>
        </is>
      </c>
      <c r="O177" t="inlineStr">
        <is>
          <t>20230914</t>
        </is>
      </c>
      <c r="P177" t="inlineStr">
        <is>
          <t>Kalimantan Timur</t>
        </is>
      </c>
      <c r="Q177" t="inlineStr"/>
    </row>
    <row r="178">
      <c r="A178" t="inlineStr">
        <is>
          <t>ZIFADA SEJAHTERA</t>
        </is>
      </c>
      <c r="B178" t="inlineStr">
        <is>
          <t>Kab. Malang</t>
        </is>
      </c>
      <c r="C178" t="inlineStr">
        <is>
          <t>085100427133</t>
        </is>
      </c>
      <c r="D178" t="inlineStr">
        <is>
          <t>zifadasejahtera@yahoo.com</t>
        </is>
      </c>
      <c r="E178" t="inlineStr">
        <is>
          <t>https://lpjk.pu.go.id/search-badan-usaha-detail/MjlsSEs1RC81MFl0Y2hJQXNjSEF0QT09</t>
        </is>
      </c>
      <c r="F178" t="n">
        <v>2</v>
      </c>
      <c r="G178" t="inlineStr">
        <is>
          <t>BG006</t>
        </is>
      </c>
      <c r="H178" t="inlineStr">
        <is>
          <t>13 Januari 2010</t>
        </is>
      </c>
      <c r="I178" s="2" t="n">
        <v>46283</v>
      </c>
      <c r="J178" t="inlineStr">
        <is>
          <t>Disetujui</t>
        </is>
      </c>
      <c r="K178" t="n">
        <v>60</v>
      </c>
      <c r="L178" t="inlineStr">
        <is>
          <t>18 September 2026</t>
        </is>
      </c>
      <c r="M178" t="inlineStr">
        <is>
          <t>Konstruksi Gedung Pendidikan</t>
        </is>
      </c>
      <c r="N178" t="inlineStr">
        <is>
          <t>K</t>
        </is>
      </c>
      <c r="O178" t="inlineStr">
        <is>
          <t>20230704</t>
        </is>
      </c>
      <c r="P178" t="inlineStr">
        <is>
          <t>Jawa Timur</t>
        </is>
      </c>
      <c r="Q17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cols>
    <col width="27" customWidth="1" min="1" max="1"/>
    <col width="22" customWidth="1" min="2" max="2"/>
    <col width="14" customWidth="1" min="3" max="3"/>
    <col width="36" customWidth="1" min="4" max="4"/>
    <col width="50" customWidth="1" min="5" max="5"/>
    <col width="18" customWidth="1" min="6" max="6"/>
    <col width="28" customWidth="1" min="7" max="7"/>
    <col width="20" customWidth="1" min="8" max="8"/>
    <col width="28" customWidth="1" min="9" max="9"/>
    <col width="12" customWidth="1" min="10" max="10"/>
    <col width="11" customWidth="1" min="11" max="11"/>
    <col width="17" customWidth="1" min="12" max="12"/>
    <col width="50" customWidth="1" min="13" max="13"/>
    <col width="13" customWidth="1" min="14" max="14"/>
    <col width="30" customWidth="1" min="15" max="15"/>
    <col width="20"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ARTHANIA SURYA MANDIRI</t>
        </is>
      </c>
      <c r="B2" t="inlineStr">
        <is>
          <t>Kab. Bekasi</t>
        </is>
      </c>
      <c r="C2" t="inlineStr">
        <is>
          <t>082124517881</t>
        </is>
      </c>
      <c r="D2" t="inlineStr">
        <is>
          <t>arthaniasuryamandiri@gmail.com</t>
        </is>
      </c>
      <c r="E2" t="inlineStr">
        <is>
          <t>https://lpjk.pu.go.id/search-badan-usaha-detail/OTFFT0VIc2drV1FvRDVJQ0dIRjZZQT09</t>
        </is>
      </c>
      <c r="F2" t="n">
        <v>4</v>
      </c>
      <c r="G2" t="inlineStr">
        <is>
          <t>BG003, BG009</t>
        </is>
      </c>
      <c r="H2" t="inlineStr">
        <is>
          <t>22 Juli 2022</t>
        </is>
      </c>
      <c r="I2" s="2" t="n">
        <v>46253</v>
      </c>
      <c r="J2" t="inlineStr">
        <is>
          <t>Disetujui</t>
        </is>
      </c>
      <c r="K2" t="n">
        <v>30</v>
      </c>
      <c r="L2" t="inlineStr">
        <is>
          <t>19 Agustus 2026</t>
        </is>
      </c>
      <c r="M2" t="inlineStr">
        <is>
          <t>Konstruksi Gedung Industri, Konstruksi Gedung Lainnya</t>
        </is>
      </c>
      <c r="N2" t="inlineStr">
        <is>
          <t>K</t>
        </is>
      </c>
      <c r="O2" t="inlineStr">
        <is>
          <t>20230815</t>
        </is>
      </c>
      <c r="P2" t="inlineStr">
        <is>
          <t>Jawa Barat</t>
        </is>
      </c>
      <c r="Q2" s="3">
        <f>HYPERLINK("https://wa.me/6282124517881?text=*[Pengingat Masa Berlaku SBU ARTHANIA SURYA MANDIRI]*%0A%0AYth. Pimpinan ARTHANIA SURYA MANDIRI,%0AMohon izin menginformasikan status SBU Anda:%0A%0A📄 SBU: BG003, BG009%0A📅 Expired: 19 Agustus 2026 (30 Hari Lagi)%0A%0AKami tim PT. ESDEA Assistance Management siap men-support proses perpanjangan segera agar administrasi proyek tidak terhambat%0A%0AApakah boleh saya bantu siapkan estimasi biaya dan waktu pengerjaannya?.", "Hubungi")</f>
        <v/>
      </c>
    </row>
    <row r="3">
      <c r="A3" t="inlineStr">
        <is>
          <t>DUA PUTRA ABADI</t>
        </is>
      </c>
      <c r="B3" t="inlineStr">
        <is>
          <t>Kota Bekasi</t>
        </is>
      </c>
      <c r="C3" t="inlineStr">
        <is>
          <t>081287980229</t>
        </is>
      </c>
      <c r="D3" t="inlineStr">
        <is>
          <t>duaputraabadi@gmail.com</t>
        </is>
      </c>
      <c r="E3" t="inlineStr">
        <is>
          <t>https://lpjk.pu.go.id/search-badan-usaha-detail/U2NwUndheHFhYXk1OXBCaWxWaFdOUT09</t>
        </is>
      </c>
      <c r="F3" t="n">
        <v>1</v>
      </c>
      <c r="G3" t="inlineStr">
        <is>
          <t>BS001</t>
        </is>
      </c>
      <c r="H3" t="inlineStr">
        <is>
          <t>14 Januari 2015</t>
        </is>
      </c>
      <c r="I3" s="2" t="n">
        <v>46253</v>
      </c>
      <c r="J3" t="inlineStr">
        <is>
          <t>Disetujui</t>
        </is>
      </c>
      <c r="K3" t="n">
        <v>30</v>
      </c>
      <c r="L3" t="inlineStr">
        <is>
          <t>19 Agustus 2026</t>
        </is>
      </c>
      <c r="M3" t="inlineStr">
        <is>
          <t>Konstruksi Bangunan Sipil Jalan</t>
        </is>
      </c>
      <c r="N3" t="inlineStr">
        <is>
          <t>K</t>
        </is>
      </c>
      <c r="O3" t="inlineStr">
        <is>
          <t>20230818</t>
        </is>
      </c>
      <c r="P3" t="inlineStr">
        <is>
          <t>Jawa Barat</t>
        </is>
      </c>
      <c r="Q3" s="3">
        <f>HYPERLINK("https://wa.me/6281287980229?text=*[Pengingat Masa Berlaku SBU DUA PUTRA ABADI]*%0A%0AYth. Pimpinan DUA PUTRA ABADI,%0AMohon izin menginformasikan status SBU Anda:%0A%0A📄 SBU: BS001%0A📅 Expired: 19 Agustus 2026 (30 Hari Lagi)%0A%0AKami tim PT. ESDEA Assistance Management siap men-support proses perpanjangan segera agar administrasi proyek tidak terhambat%0A%0AApakah boleh saya bantu siapkan estimasi biaya dan waktu pengerjaannya?.", "Hubungi")</f>
        <v/>
      </c>
    </row>
    <row r="4">
      <c r="A4" t="inlineStr">
        <is>
          <t>NURLISTY ABADI MANDIRI</t>
        </is>
      </c>
      <c r="B4" t="inlineStr">
        <is>
          <t>Kota Depok</t>
        </is>
      </c>
      <c r="C4" t="inlineStr">
        <is>
          <t>02129389287</t>
        </is>
      </c>
      <c r="D4" t="inlineStr">
        <is>
          <t>nurlisty@yahoo.com</t>
        </is>
      </c>
      <c r="E4" t="inlineStr">
        <is>
          <t>https://lpjk.pu.go.id/search-badan-usaha-detail/c3lpZzRCUDAvdEUzYWZjdG9tRmgxUT09</t>
        </is>
      </c>
      <c r="F4" t="n">
        <v>1</v>
      </c>
      <c r="G4" t="inlineStr">
        <is>
          <t>BS006</t>
        </is>
      </c>
      <c r="H4" t="inlineStr">
        <is>
          <t>31 Oktober 2011</t>
        </is>
      </c>
      <c r="I4" s="2" t="n">
        <v>46253</v>
      </c>
      <c r="J4" t="inlineStr">
        <is>
          <t>Disetujui</t>
        </is>
      </c>
      <c r="K4" t="n">
        <v>30</v>
      </c>
      <c r="L4" t="inlineStr">
        <is>
          <t>19 Agustus 2026</t>
        </is>
      </c>
      <c r="M4" t="inlineStr">
        <is>
          <t>Konstruksi Bangunan Sipil Prasarana dan Sarana Sistem Pengolahan Limbah Padat, Cair, dan Gas</t>
        </is>
      </c>
      <c r="N4" t="inlineStr">
        <is>
          <t>K</t>
        </is>
      </c>
      <c r="O4" t="inlineStr">
        <is>
          <t>20230818</t>
        </is>
      </c>
      <c r="P4" t="inlineStr">
        <is>
          <t>Jawa Barat</t>
        </is>
      </c>
      <c r="Q4" t="inlineStr"/>
    </row>
    <row r="5">
      <c r="A5" t="inlineStr">
        <is>
          <t>RIALDO ANUGERAH NUSANTARA</t>
        </is>
      </c>
      <c r="B5" t="inlineStr">
        <is>
          <t>Kota Bekasi</t>
        </is>
      </c>
      <c r="C5" t="inlineStr">
        <is>
          <t>085156482618</t>
        </is>
      </c>
      <c r="D5" t="inlineStr">
        <is>
          <t>pt.rialdoan0909@gmail.com</t>
        </is>
      </c>
      <c r="E5" t="inlineStr">
        <is>
          <t>https://lpjk.pu.go.id/search-badan-usaha-detail/cmNKbUFTT0x1M3Q5SnR3SlIvMUNBUT09</t>
        </is>
      </c>
      <c r="F5" t="n">
        <v>1</v>
      </c>
      <c r="G5" t="inlineStr">
        <is>
          <t>BS001</t>
        </is>
      </c>
      <c r="H5" t="inlineStr">
        <is>
          <t>9 September 2022</t>
        </is>
      </c>
      <c r="I5" s="2" t="n">
        <v>46253</v>
      </c>
      <c r="J5" t="inlineStr">
        <is>
          <t>Disetujui</t>
        </is>
      </c>
      <c r="K5" t="n">
        <v>30</v>
      </c>
      <c r="L5" t="inlineStr">
        <is>
          <t>19 Agustus 2026</t>
        </is>
      </c>
      <c r="M5" t="inlineStr">
        <is>
          <t>Konstruksi Bangunan Sipil Jalan</t>
        </is>
      </c>
      <c r="N5" t="inlineStr">
        <is>
          <t>K</t>
        </is>
      </c>
      <c r="O5" t="inlineStr">
        <is>
          <t>20230815</t>
        </is>
      </c>
      <c r="P5" t="inlineStr">
        <is>
          <t>Jawa Barat</t>
        </is>
      </c>
      <c r="Q5" s="3">
        <f>HYPERLINK("https://wa.me/6285156482618?text=*[Pengingat Masa Berlaku SBU RIALDO ANUGERAH NUSANTARA]*%0A%0AYth. Pimpinan RIALDO ANUGERAH NUSANTARA,%0AMohon izin menginformasikan status SBU Anda:%0A%0A📄 SBU: BS001%0A📅 Expired: 19 Agustus 2026 (30 Hari Lagi)%0A%0AKami tim PT. ESDEA Assistance Management siap men-support proses perpanjangan segera agar administrasi proyek tidak terhambat%0A%0AApakah boleh saya bantu siapkan estimasi biaya dan waktu pengerjaannya?.", "Hubungi")</f>
        <v/>
      </c>
    </row>
    <row r="6">
      <c r="A6" t="inlineStr">
        <is>
          <t>ALIKA PUTRI</t>
        </is>
      </c>
      <c r="B6" t="inlineStr">
        <is>
          <t>Kab. Konawe</t>
        </is>
      </c>
      <c r="C6" t="inlineStr">
        <is>
          <t>081210584509</t>
        </is>
      </c>
      <c r="D6" t="inlineStr">
        <is>
          <t>cv.alikaputri19@gmail.com</t>
        </is>
      </c>
      <c r="E6" t="inlineStr">
        <is>
          <t>https://lpjk.pu.go.id/search-badan-usaha-detail/djNCcU9SMHgrckxzK1FWbEpsZ2JrQT09</t>
        </is>
      </c>
      <c r="F6" t="n">
        <v>2</v>
      </c>
      <c r="G6" t="inlineStr">
        <is>
          <t>BS001, BS004</t>
        </is>
      </c>
      <c r="H6" t="inlineStr">
        <is>
          <t>18 Februari 2009</t>
        </is>
      </c>
      <c r="I6" s="2" t="n">
        <v>46253</v>
      </c>
      <c r="J6" t="inlineStr">
        <is>
          <t>Disetujui</t>
        </is>
      </c>
      <c r="K6" t="n">
        <v>30</v>
      </c>
      <c r="L6" t="inlineStr">
        <is>
          <t>19 Agustus 2026</t>
        </is>
      </c>
      <c r="M6" t="inlineStr">
        <is>
          <t>Konstruksi Bangunan Sipil Jalan, Konstruksi Jaringan Irigasi dan Drainase</t>
        </is>
      </c>
      <c r="N6" t="inlineStr">
        <is>
          <t>K</t>
        </is>
      </c>
      <c r="O6" t="inlineStr">
        <is>
          <t>20230814</t>
        </is>
      </c>
      <c r="P6" t="inlineStr">
        <is>
          <t>Sulawesi Tenggara</t>
        </is>
      </c>
      <c r="Q6" t="inlineStr"/>
    </row>
    <row r="7">
      <c r="A7" t="inlineStr">
        <is>
          <t>ANNISA PRATAMA</t>
        </is>
      </c>
      <c r="B7" t="inlineStr">
        <is>
          <t>Kab. Takalar</t>
        </is>
      </c>
      <c r="C7" t="inlineStr">
        <is>
          <t>085241648834</t>
        </is>
      </c>
      <c r="D7" t="inlineStr">
        <is>
          <t>cv.annisapratama0205@gmail.com</t>
        </is>
      </c>
      <c r="E7" t="inlineStr">
        <is>
          <t>https://lpjk.pu.go.id/search-badan-usaha-detail/YkkrbTBjV0R0K1N0eGFFVTZHOW1RQT09</t>
        </is>
      </c>
      <c r="F7" t="n">
        <v>3</v>
      </c>
      <c r="G7" t="inlineStr">
        <is>
          <t>BG004, BG006, BG009</t>
        </is>
      </c>
      <c r="H7" t="inlineStr">
        <is>
          <t>20 Februari 2003</t>
        </is>
      </c>
      <c r="I7" s="2" t="n">
        <v>46253</v>
      </c>
      <c r="J7" t="inlineStr">
        <is>
          <t>Disetujui</t>
        </is>
      </c>
      <c r="K7" t="n">
        <v>30</v>
      </c>
      <c r="L7" t="inlineStr">
        <is>
          <t>19 Agustus 2026</t>
        </is>
      </c>
      <c r="M7" t="inlineStr">
        <is>
          <t>Konstruksi Gedung Lainnya, Konstruksi Gedung Pendidikan, Konstruksi Gedung Perbelanjaan</t>
        </is>
      </c>
      <c r="N7" t="inlineStr">
        <is>
          <t>K</t>
        </is>
      </c>
      <c r="O7" t="inlineStr">
        <is>
          <t>20230409, 20230815, 20230818</t>
        </is>
      </c>
      <c r="P7" t="inlineStr">
        <is>
          <t>Sulawesi Selatan</t>
        </is>
      </c>
      <c r="Q7" t="inlineStr"/>
    </row>
    <row r="8">
      <c r="A8" t="inlineStr">
        <is>
          <t>AWANG KUTAI</t>
        </is>
      </c>
      <c r="B8" t="inlineStr">
        <is>
          <t>Kota Jayapura</t>
        </is>
      </c>
      <c r="C8" t="inlineStr">
        <is>
          <t>0</t>
        </is>
      </c>
      <c r="D8" t="inlineStr">
        <is>
          <t>awangkutaicv@gmail.com</t>
        </is>
      </c>
      <c r="E8" t="inlineStr">
        <is>
          <t>https://lpjk.pu.go.id/search-badan-usaha-detail/TjdMNGNBODAzcEV4cHliRzBIMThyQT09</t>
        </is>
      </c>
      <c r="F8" t="n">
        <v>2</v>
      </c>
      <c r="G8" t="inlineStr">
        <is>
          <t>BG009</t>
        </is>
      </c>
      <c r="H8" t="inlineStr">
        <is>
          <t>13 Januari 2022</t>
        </is>
      </c>
      <c r="I8" s="2" t="n">
        <v>46253</v>
      </c>
      <c r="J8" t="inlineStr">
        <is>
          <t>Disetujui</t>
        </is>
      </c>
      <c r="K8" t="n">
        <v>30</v>
      </c>
      <c r="L8" t="inlineStr">
        <is>
          <t>19 Agustus 2026</t>
        </is>
      </c>
      <c r="M8" t="inlineStr">
        <is>
          <t>Konstruksi Gedung Lainnya</t>
        </is>
      </c>
      <c r="N8" t="inlineStr">
        <is>
          <t>K</t>
        </is>
      </c>
      <c r="O8" t="inlineStr">
        <is>
          <t>20230811</t>
        </is>
      </c>
      <c r="P8" t="inlineStr">
        <is>
          <t>Papua</t>
        </is>
      </c>
      <c r="Q8" t="inlineStr"/>
    </row>
    <row r="9">
      <c r="A9" t="inlineStr">
        <is>
          <t>BERKAH</t>
        </is>
      </c>
      <c r="B9" t="inlineStr">
        <is>
          <t>Kab. Pasangkayu</t>
        </is>
      </c>
      <c r="C9" t="inlineStr">
        <is>
          <t>081240370475</t>
        </is>
      </c>
      <c r="D9" t="inlineStr">
        <is>
          <t>afnirusdin88@gmail.com</t>
        </is>
      </c>
      <c r="E9" t="inlineStr">
        <is>
          <t>https://lpjk.pu.go.id/search-badan-usaha-detail/WVNtdURMSTVIMlhqRzRzd2FIZG9zZz09</t>
        </is>
      </c>
      <c r="F9" t="n">
        <v>6</v>
      </c>
      <c r="G9" t="inlineStr">
        <is>
          <t>BG006, BG009, BS001</t>
        </is>
      </c>
      <c r="H9" t="inlineStr">
        <is>
          <t>22 Mei 2018</t>
        </is>
      </c>
      <c r="I9" s="2" t="n">
        <v>46253</v>
      </c>
      <c r="J9" t="inlineStr">
        <is>
          <t>Disetujui</t>
        </is>
      </c>
      <c r="K9" t="n">
        <v>30</v>
      </c>
      <c r="L9" t="inlineStr">
        <is>
          <t>19 Agustus 2026</t>
        </is>
      </c>
      <c r="M9" t="inlineStr">
        <is>
          <t>Konstruksi Bangunan Sipil Jalan, Konstruksi Gedung Lainnya, Konstruksi Gedung Pendidikan</t>
        </is>
      </c>
      <c r="N9" t="inlineStr">
        <is>
          <t>K</t>
        </is>
      </c>
      <c r="O9" t="inlineStr">
        <is>
          <t>20230819</t>
        </is>
      </c>
      <c r="P9" t="inlineStr">
        <is>
          <t>Sulawesi Barat</t>
        </is>
      </c>
      <c r="Q9" t="inlineStr"/>
    </row>
    <row r="10">
      <c r="A10" t="inlineStr">
        <is>
          <t>BERKAH REZEKI AZHAR</t>
        </is>
      </c>
      <c r="B10" t="inlineStr">
        <is>
          <t>Kab. Tanah Bumbu</t>
        </is>
      </c>
      <c r="C10" t="inlineStr">
        <is>
          <t>082255314060</t>
        </is>
      </c>
      <c r="D10" t="inlineStr">
        <is>
          <t>cv.berkahrezekiazhar@gmail.com</t>
        </is>
      </c>
      <c r="E10" t="inlineStr">
        <is>
          <t>https://lpjk.pu.go.id/search-badan-usaha-detail/RnNiamdYVjE0MGdxK01VcldzM3Rxdz09</t>
        </is>
      </c>
      <c r="F10" t="n">
        <v>4</v>
      </c>
      <c r="G10" t="inlineStr">
        <is>
          <t>BS001, BS004</t>
        </is>
      </c>
      <c r="H10" t="inlineStr">
        <is>
          <t>11 Mei 2023</t>
        </is>
      </c>
      <c r="I10" s="2" t="n">
        <v>46253</v>
      </c>
      <c r="J10" t="inlineStr">
        <is>
          <t>Disetujui</t>
        </is>
      </c>
      <c r="K10" t="n">
        <v>30</v>
      </c>
      <c r="L10" t="inlineStr">
        <is>
          <t>19 Agustus 2026</t>
        </is>
      </c>
      <c r="M10" t="inlineStr">
        <is>
          <t>Konstruksi Bangunan Sipil Jalan, Konstruksi Jaringan Irigasi dan Drainase</t>
        </is>
      </c>
      <c r="N10" t="inlineStr">
        <is>
          <t>K</t>
        </is>
      </c>
      <c r="O10" t="inlineStr">
        <is>
          <t>20230816</t>
        </is>
      </c>
      <c r="P10" t="inlineStr">
        <is>
          <t>Kalimantan Selatan</t>
        </is>
      </c>
      <c r="Q10" t="inlineStr"/>
    </row>
    <row r="11">
      <c r="A11" t="inlineStr">
        <is>
          <t>BERKAH ROBBIY</t>
        </is>
      </c>
      <c r="B11" t="inlineStr">
        <is>
          <t>Kab. Ketapang</t>
        </is>
      </c>
      <c r="C11" t="inlineStr">
        <is>
          <t>081251954151</t>
        </is>
      </c>
      <c r="D11" t="inlineStr">
        <is>
          <t>cvberkahrobbiy@gmail.com</t>
        </is>
      </c>
      <c r="E11" t="inlineStr">
        <is>
          <t>https://lpjk.pu.go.id/search-badan-usaha-detail/K0UwMG8xeERIZEJ4ckE0cUtsbFhtdz09</t>
        </is>
      </c>
      <c r="F11" t="n">
        <v>2</v>
      </c>
      <c r="G11" t="inlineStr">
        <is>
          <t>BS001</t>
        </is>
      </c>
      <c r="H11" t="inlineStr">
        <is>
          <t>18 Oktober 2021</t>
        </is>
      </c>
      <c r="I11" s="2" t="n">
        <v>46253</v>
      </c>
      <c r="J11" t="inlineStr">
        <is>
          <t>Pencabutan</t>
        </is>
      </c>
      <c r="K11" t="n">
        <v>30</v>
      </c>
      <c r="L11" t="inlineStr">
        <is>
          <t>19 Agustus 2026</t>
        </is>
      </c>
      <c r="M11" t="inlineStr">
        <is>
          <t>Konstruksi Bangunan Sipil Jalan</t>
        </is>
      </c>
      <c r="N11" t="inlineStr">
        <is>
          <t>K</t>
        </is>
      </c>
      <c r="O11" t="inlineStr">
        <is>
          <t>20230819</t>
        </is>
      </c>
      <c r="P11" t="inlineStr">
        <is>
          <t>Kalimantan Barat</t>
        </is>
      </c>
      <c r="Q11" t="inlineStr"/>
    </row>
    <row r="12">
      <c r="A12" t="inlineStr">
        <is>
          <t>BINA MULTIGRAHA SENTOSA</t>
        </is>
      </c>
      <c r="B12" t="inlineStr">
        <is>
          <t>Kab. Sleman</t>
        </is>
      </c>
      <c r="C12" t="inlineStr">
        <is>
          <t>08112790900</t>
        </is>
      </c>
      <c r="D12" t="inlineStr">
        <is>
          <t>pt.binamultigrahasentosa@gmail.com</t>
        </is>
      </c>
      <c r="E12" t="inlineStr">
        <is>
          <t>https://lpjk.pu.go.id/search-badan-usaha-detail/REo1SVQwOHpaRlZuTmNlOUhUV2ZKZz09</t>
        </is>
      </c>
      <c r="F12" t="n">
        <v>2</v>
      </c>
      <c r="G12" t="inlineStr">
        <is>
          <t>BG003, BG005</t>
        </is>
      </c>
      <c r="H12" t="inlineStr">
        <is>
          <t>21 Agustus 2018</t>
        </is>
      </c>
      <c r="I12" s="2" t="n">
        <v>46253</v>
      </c>
      <c r="J12" t="inlineStr">
        <is>
          <t>Disetujui</t>
        </is>
      </c>
      <c r="K12" t="n">
        <v>30</v>
      </c>
      <c r="L12" t="inlineStr">
        <is>
          <t>19 Agustus 2026</t>
        </is>
      </c>
      <c r="M12" t="inlineStr">
        <is>
          <t>Konstruksi Gedung Industri, Konstruksi Gedung Kesehatan</t>
        </is>
      </c>
      <c r="N12" t="inlineStr">
        <is>
          <t>M</t>
        </is>
      </c>
      <c r="O12" t="inlineStr">
        <is>
          <t>20230811</t>
        </is>
      </c>
      <c r="P12" t="inlineStr">
        <is>
          <t>DI Yogyakarta</t>
        </is>
      </c>
      <c r="Q12" t="inlineStr"/>
    </row>
    <row r="13">
      <c r="A13" t="inlineStr">
        <is>
          <t>BINTANG MEGA KARYA</t>
        </is>
      </c>
      <c r="B13" t="inlineStr">
        <is>
          <t>Kota Jambi</t>
        </is>
      </c>
      <c r="C13" t="inlineStr">
        <is>
          <t>08137909986</t>
        </is>
      </c>
      <c r="D13" t="inlineStr">
        <is>
          <t>cvbintangmegakarya@gmail.com</t>
        </is>
      </c>
      <c r="E13" t="inlineStr">
        <is>
          <t>https://lpjk.pu.go.id/search-badan-usaha-detail/WkZ4K0NHUGZacHNxRUlyYk5uTEhqZz09</t>
        </is>
      </c>
      <c r="F13" t="n">
        <v>2</v>
      </c>
      <c r="G13" t="inlineStr">
        <is>
          <t>BS002</t>
        </is>
      </c>
      <c r="H13" t="inlineStr">
        <is>
          <t>24 Oktober 2016</t>
        </is>
      </c>
      <c r="I13" s="2" t="n">
        <v>46253</v>
      </c>
      <c r="J13" t="inlineStr">
        <is>
          <t>Disetujui</t>
        </is>
      </c>
      <c r="K13" t="n">
        <v>30</v>
      </c>
      <c r="L13" t="inlineStr">
        <is>
          <t>19 Agustus 2026</t>
        </is>
      </c>
      <c r="M13" t="inlineStr">
        <is>
          <t>Bangunan Sipil Jembatan, Jalan Layang, Fly Over, dan Underpass</t>
        </is>
      </c>
      <c r="N13" t="inlineStr">
        <is>
          <t>K</t>
        </is>
      </c>
      <c r="O13" t="inlineStr">
        <is>
          <t>20230818</t>
        </is>
      </c>
      <c r="P13" t="inlineStr">
        <is>
          <t>Jambi</t>
        </is>
      </c>
      <c r="Q13" t="inlineStr"/>
    </row>
    <row r="14">
      <c r="A14" t="inlineStr">
        <is>
          <t>CITRA KENCANA PRIMA</t>
        </is>
      </c>
      <c r="B14" t="inlineStr">
        <is>
          <t>Kota Surabaya</t>
        </is>
      </c>
      <c r="C14" t="inlineStr">
        <is>
          <t>081334233358</t>
        </is>
      </c>
      <c r="D14" t="inlineStr">
        <is>
          <t>Citrakencanaprima@gmail.com</t>
        </is>
      </c>
      <c r="E14" t="inlineStr">
        <is>
          <t>https://lpjk.pu.go.id/search-badan-usaha-detail/MVY3RGsvTUJMcXhUbGlhdDd3SzE0dz09</t>
        </is>
      </c>
      <c r="F14" t="n">
        <v>1</v>
      </c>
      <c r="G14" t="inlineStr">
        <is>
          <t>BG004</t>
        </is>
      </c>
      <c r="H14" t="inlineStr">
        <is>
          <t>11 November 2022</t>
        </is>
      </c>
      <c r="I14" s="2" t="n">
        <v>46253</v>
      </c>
      <c r="J14" t="inlineStr">
        <is>
          <t>Disetujui</t>
        </is>
      </c>
      <c r="K14" t="n">
        <v>30</v>
      </c>
      <c r="L14" t="inlineStr">
        <is>
          <t>19 Agustus 2026</t>
        </is>
      </c>
      <c r="M14" t="inlineStr">
        <is>
          <t>Konstruksi Gedung Perbelanjaan</t>
        </is>
      </c>
      <c r="N14" t="inlineStr">
        <is>
          <t>K</t>
        </is>
      </c>
      <c r="O14" t="inlineStr">
        <is>
          <t>20230818</t>
        </is>
      </c>
      <c r="P14" t="inlineStr">
        <is>
          <t>Jawa Timur</t>
        </is>
      </c>
      <c r="Q14" t="inlineStr"/>
    </row>
    <row r="15">
      <c r="A15" t="inlineStr">
        <is>
          <t>DANNISH FARESTAMA</t>
        </is>
      </c>
      <c r="B15" t="inlineStr">
        <is>
          <t>Kota Palembang</t>
        </is>
      </c>
      <c r="C15" t="inlineStr">
        <is>
          <t>08127362165</t>
        </is>
      </c>
      <c r="D15" t="inlineStr">
        <is>
          <t>cvdannishfarestama@gmail.com</t>
        </is>
      </c>
      <c r="E15" t="inlineStr">
        <is>
          <t>https://lpjk.pu.go.id/search-badan-usaha-detail/TFB1VkhPUUpoM2hSU3poOWVtUlh2dz09</t>
        </is>
      </c>
      <c r="F15" t="n">
        <v>2</v>
      </c>
      <c r="G15" t="inlineStr">
        <is>
          <t>BG006, BG009</t>
        </is>
      </c>
      <c r="H15" t="inlineStr">
        <is>
          <t>6 Maret 2014</t>
        </is>
      </c>
      <c r="I15" s="2" t="n">
        <v>46253</v>
      </c>
      <c r="J15" t="inlineStr">
        <is>
          <t>Disetujui</t>
        </is>
      </c>
      <c r="K15" t="n">
        <v>30</v>
      </c>
      <c r="L15" t="inlineStr">
        <is>
          <t>19 Agustus 2026</t>
        </is>
      </c>
      <c r="M15" t="inlineStr">
        <is>
          <t>Konstruksi Gedung Lainnya, Konstruksi Gedung Pendidikan</t>
        </is>
      </c>
      <c r="N15" t="inlineStr">
        <is>
          <t>K</t>
        </is>
      </c>
      <c r="O15" t="inlineStr">
        <is>
          <t>20230819</t>
        </is>
      </c>
      <c r="P15" t="inlineStr">
        <is>
          <t>Sumatera Selatan</t>
        </is>
      </c>
      <c r="Q15" t="inlineStr"/>
    </row>
    <row r="16">
      <c r="A16" t="inlineStr">
        <is>
          <t>DUA UTAMA SEJAHTERA</t>
        </is>
      </c>
      <c r="B16" t="inlineStr">
        <is>
          <t>Kab. Sampang</t>
        </is>
      </c>
      <c r="C16" t="inlineStr">
        <is>
          <t>083849938080</t>
        </is>
      </c>
      <c r="D16" t="inlineStr">
        <is>
          <t>2utamasejahtera@gmail.com</t>
        </is>
      </c>
      <c r="E16" t="inlineStr">
        <is>
          <t>https://lpjk.pu.go.id/search-badan-usaha-detail/NWNVYWVjZ1BvQkhXdU1tQWJqNjhQQT09</t>
        </is>
      </c>
      <c r="F16" t="n">
        <v>1</v>
      </c>
      <c r="G16" t="inlineStr">
        <is>
          <t>BS005</t>
        </is>
      </c>
      <c r="H16" t="inlineStr">
        <is>
          <t>17 Oktober 2022</t>
        </is>
      </c>
      <c r="I16" s="2" t="n">
        <v>46253</v>
      </c>
      <c r="J16" t="inlineStr">
        <is>
          <t>Disetujui</t>
        </is>
      </c>
      <c r="K16" t="n">
        <v>30</v>
      </c>
      <c r="L16" t="inlineStr">
        <is>
          <t>19 Agustus 2026</t>
        </is>
      </c>
      <c r="M16" t="inlineStr">
        <is>
          <t>Konstruksi Bangunan Sipil Pengolahan Air Bersih</t>
        </is>
      </c>
      <c r="N16" t="inlineStr">
        <is>
          <t>K</t>
        </is>
      </c>
      <c r="O16" t="inlineStr">
        <is>
          <t>20230819</t>
        </is>
      </c>
      <c r="P16" t="inlineStr">
        <is>
          <t>Jawa Timur</t>
        </is>
      </c>
      <c r="Q16" t="inlineStr"/>
    </row>
    <row r="17">
      <c r="A17" t="inlineStr">
        <is>
          <t>EKA ABADI JAYA</t>
        </is>
      </c>
      <c r="B17" t="inlineStr">
        <is>
          <t>Kota Manado</t>
        </is>
      </c>
      <c r="C17" t="inlineStr">
        <is>
          <t>085240271917</t>
        </is>
      </c>
      <c r="D17" t="inlineStr">
        <is>
          <t>cv.ekaabadijaya@gmail.com</t>
        </is>
      </c>
      <c r="E17" t="inlineStr">
        <is>
          <t>https://lpjk.pu.go.id/search-badan-usaha-detail/Q29NYUFMNlQ5V2JKNUsxNWpVZTJvdz09</t>
        </is>
      </c>
      <c r="F17" t="n">
        <v>2</v>
      </c>
      <c r="G17" t="inlineStr">
        <is>
          <t>BG005, BG009</t>
        </is>
      </c>
      <c r="H17" t="inlineStr">
        <is>
          <t>7 Oktober 2010</t>
        </is>
      </c>
      <c r="I17" s="2" t="n">
        <v>46253</v>
      </c>
      <c r="J17" t="inlineStr">
        <is>
          <t>Disetujui</t>
        </is>
      </c>
      <c r="K17" t="n">
        <v>30</v>
      </c>
      <c r="L17" t="inlineStr">
        <is>
          <t>19 Agustus 2026</t>
        </is>
      </c>
      <c r="M17" t="inlineStr">
        <is>
          <t>Konstruksi Gedung Kesehatan, Konstruksi Gedung Lainnya</t>
        </is>
      </c>
      <c r="N17" t="inlineStr">
        <is>
          <t>K</t>
        </is>
      </c>
      <c r="O17" t="inlineStr">
        <is>
          <t>20230811</t>
        </is>
      </c>
      <c r="P17" t="inlineStr">
        <is>
          <t>Sulawesi Utara</t>
        </is>
      </c>
      <c r="Q17" t="inlineStr"/>
    </row>
    <row r="18">
      <c r="A18" t="inlineStr">
        <is>
          <t>GABE JAYA MANDIRI</t>
        </is>
      </c>
      <c r="B18" t="inlineStr">
        <is>
          <t>Kab. Tanah Bumbu</t>
        </is>
      </c>
      <c r="C18" t="inlineStr">
        <is>
          <t>08115130309</t>
        </is>
      </c>
      <c r="D18" t="inlineStr">
        <is>
          <t>gabetanbu@yahoo.co.id</t>
        </is>
      </c>
      <c r="E18" t="inlineStr">
        <is>
          <t>https://lpjk.pu.go.id/search-badan-usaha-detail/U1NZSUlkT2FCbDh4NTh6STFXWWhpdz09</t>
        </is>
      </c>
      <c r="F18" t="n">
        <v>4</v>
      </c>
      <c r="G18" t="inlineStr">
        <is>
          <t>BG005, BG006, BG009, BS001</t>
        </is>
      </c>
      <c r="H18" t="inlineStr">
        <is>
          <t>7 April 2008</t>
        </is>
      </c>
      <c r="I18" s="2" t="n">
        <v>46253</v>
      </c>
      <c r="J18" t="inlineStr">
        <is>
          <t>Disetujui</t>
        </is>
      </c>
      <c r="K18" t="n">
        <v>30</v>
      </c>
      <c r="L18" t="inlineStr">
        <is>
          <t>19 Agustus 2026</t>
        </is>
      </c>
      <c r="M18" t="inlineStr">
        <is>
          <t>Konstruksi Bangunan Sipil Jalan, Konstruksi Gedung Kesehatan, Konstruksi Gedung Lainnya, Konstruksi Gedung Pendidikan</t>
        </is>
      </c>
      <c r="N18" t="inlineStr">
        <is>
          <t>K</t>
        </is>
      </c>
      <c r="O18" t="inlineStr">
        <is>
          <t>20230724, 20230815, 20230819</t>
        </is>
      </c>
      <c r="P18" t="inlineStr">
        <is>
          <t>Kalimantan Selatan</t>
        </is>
      </c>
      <c r="Q18" t="inlineStr"/>
    </row>
    <row r="19">
      <c r="A19" t="inlineStr">
        <is>
          <t>HALIM PRATAMA PERKASA</t>
        </is>
      </c>
      <c r="B19" t="inlineStr">
        <is>
          <t>Kab. Padang Pariaman</t>
        </is>
      </c>
      <c r="C19" t="inlineStr">
        <is>
          <t>-</t>
        </is>
      </c>
      <c r="D19" t="inlineStr">
        <is>
          <t>-</t>
        </is>
      </c>
      <c r="E19" t="inlineStr">
        <is>
          <t>https://lpjk.pu.go.id/search-badan-usaha-detail/MmJoT3l4QWQ5Y3FtcVE1amwxYnlsZz09</t>
        </is>
      </c>
      <c r="F19" t="n">
        <v>1</v>
      </c>
      <c r="G19" t="inlineStr">
        <is>
          <t>BG002</t>
        </is>
      </c>
      <c r="H19" t="inlineStr">
        <is>
          <t>19 Februari 2008</t>
        </is>
      </c>
      <c r="I19" s="2" t="n">
        <v>46253</v>
      </c>
      <c r="J19" t="inlineStr">
        <is>
          <t>Pencabutan</t>
        </is>
      </c>
      <c r="K19" t="n">
        <v>30</v>
      </c>
      <c r="L19" t="inlineStr">
        <is>
          <t>19 Agustus 2026</t>
        </is>
      </c>
      <c r="M19" t="inlineStr">
        <is>
          <t>Konstruksi Gedung Perkantoran</t>
        </is>
      </c>
      <c r="N19" t="inlineStr">
        <is>
          <t>M</t>
        </is>
      </c>
      <c r="O19" t="inlineStr">
        <is>
          <t>20230809</t>
        </is>
      </c>
      <c r="P19" t="inlineStr">
        <is>
          <t>Sumatera Barat</t>
        </is>
      </c>
      <c r="Q19" t="inlineStr"/>
    </row>
    <row r="20">
      <c r="A20" t="inlineStr">
        <is>
          <t>JAYA PANTURA</t>
        </is>
      </c>
      <c r="B20" t="inlineStr">
        <is>
          <t>Kab. Batang</t>
        </is>
      </c>
      <c r="C20" t="inlineStr">
        <is>
          <t>081328154290</t>
        </is>
      </c>
      <c r="D20" t="inlineStr">
        <is>
          <t>cvjayapantura@gmail.com</t>
        </is>
      </c>
      <c r="E20" t="inlineStr">
        <is>
          <t>https://lpjk.pu.go.id/search-badan-usaha-detail/VllkbDhZRGhwVGUzVXlpRWtoZ3dwdz09</t>
        </is>
      </c>
      <c r="F20" t="n">
        <v>1</v>
      </c>
      <c r="G20" t="inlineStr">
        <is>
          <t>BS004</t>
        </is>
      </c>
      <c r="H20" t="inlineStr">
        <is>
          <t>1 Desember 2021</t>
        </is>
      </c>
      <c r="I20" s="2" t="n">
        <v>46253</v>
      </c>
      <c r="J20" t="inlineStr">
        <is>
          <t>Disetujui</t>
        </is>
      </c>
      <c r="K20" t="n">
        <v>30</v>
      </c>
      <c r="L20" t="inlineStr">
        <is>
          <t>19 Agustus 2026</t>
        </is>
      </c>
      <c r="M20" t="inlineStr">
        <is>
          <t>Konstruksi Jaringan Irigasi dan Drainase</t>
        </is>
      </c>
      <c r="N20" t="inlineStr">
        <is>
          <t>K</t>
        </is>
      </c>
      <c r="O20" t="inlineStr">
        <is>
          <t>20230818</t>
        </is>
      </c>
      <c r="P20" t="inlineStr">
        <is>
          <t>Jawa Tengah</t>
        </is>
      </c>
      <c r="Q20" t="inlineStr"/>
    </row>
    <row r="21">
      <c r="A21" t="inlineStr">
        <is>
          <t>KARYA MUDA UTAMA</t>
        </is>
      </c>
      <c r="B21" t="inlineStr">
        <is>
          <t>Kota Solok</t>
        </is>
      </c>
      <c r="C21" t="inlineStr">
        <is>
          <t>081266231024</t>
        </is>
      </c>
      <c r="D21" t="inlineStr">
        <is>
          <t>u_karyamuda@yahoo.com</t>
        </is>
      </c>
      <c r="E21" t="inlineStr">
        <is>
          <t>https://lpjk.pu.go.id/search-badan-usaha-detail/VnlEc2lCU2tsNk1zTWwxb1I3R1JvUT09</t>
        </is>
      </c>
      <c r="F21" t="n">
        <v>1</v>
      </c>
      <c r="G21" t="inlineStr">
        <is>
          <t>BS002</t>
        </is>
      </c>
      <c r="H21" t="inlineStr">
        <is>
          <t>24 September 2012</t>
        </is>
      </c>
      <c r="I21" s="2" t="n">
        <v>46253</v>
      </c>
      <c r="J21" t="inlineStr">
        <is>
          <t>Disetujui</t>
        </is>
      </c>
      <c r="K21" t="n">
        <v>30</v>
      </c>
      <c r="L21" t="inlineStr">
        <is>
          <t>19 Agustus 2026</t>
        </is>
      </c>
      <c r="M21" t="inlineStr">
        <is>
          <t>Bangunan Sipil Jembatan, Jalan Layang, Fly Over, dan Underpass</t>
        </is>
      </c>
      <c r="N21" t="inlineStr">
        <is>
          <t>K</t>
        </is>
      </c>
      <c r="O21" t="inlineStr">
        <is>
          <t>20230602</t>
        </is>
      </c>
      <c r="P21" t="inlineStr">
        <is>
          <t>Sumatera Barat</t>
        </is>
      </c>
      <c r="Q21" t="inlineStr"/>
    </row>
    <row r="22">
      <c r="A22" t="inlineStr">
        <is>
          <t>KELUARGA JAYA MANDIRI</t>
        </is>
      </c>
      <c r="B22" t="inlineStr">
        <is>
          <t>Kab. Aceh Tamiang</t>
        </is>
      </c>
      <c r="C22" t="inlineStr">
        <is>
          <t>082129991874</t>
        </is>
      </c>
      <c r="D22" t="inlineStr">
        <is>
          <t>keluarga.jayamandiri2022@gmail.com</t>
        </is>
      </c>
      <c r="E22" t="inlineStr">
        <is>
          <t>https://lpjk.pu.go.id/search-badan-usaha-detail/bW9sZThVR1dvU3Vaak44OGN0VGpMUT09</t>
        </is>
      </c>
      <c r="F22" t="n">
        <v>1</v>
      </c>
      <c r="G22" t="inlineStr">
        <is>
          <t>BG009</t>
        </is>
      </c>
      <c r="H22" t="inlineStr">
        <is>
          <t>13 Mei 2022</t>
        </is>
      </c>
      <c r="I22" s="2" t="n">
        <v>46253</v>
      </c>
      <c r="J22" t="inlineStr">
        <is>
          <t>Disetujui</t>
        </is>
      </c>
      <c r="K22" t="n">
        <v>30</v>
      </c>
      <c r="L22" t="inlineStr">
        <is>
          <t>19 Agustus 2026</t>
        </is>
      </c>
      <c r="M22" t="inlineStr">
        <is>
          <t>Konstruksi Gedung Lainnya</t>
        </is>
      </c>
      <c r="N22" t="inlineStr">
        <is>
          <t>K</t>
        </is>
      </c>
      <c r="O22" t="inlineStr">
        <is>
          <t>20230819</t>
        </is>
      </c>
      <c r="P22" t="inlineStr">
        <is>
          <t>Aceh</t>
        </is>
      </c>
      <c r="Q22" t="inlineStr"/>
    </row>
    <row r="23">
      <c r="A23" t="inlineStr">
        <is>
          <t>MAX KARYA BANGUN</t>
        </is>
      </c>
      <c r="B23" t="inlineStr">
        <is>
          <t>Kab. Balangan</t>
        </is>
      </c>
      <c r="C23" t="inlineStr">
        <is>
          <t>085347626948</t>
        </is>
      </c>
      <c r="D23" t="inlineStr">
        <is>
          <t>maxkaryabangun@gmail.com</t>
        </is>
      </c>
      <c r="E23" t="inlineStr">
        <is>
          <t>https://lpjk.pu.go.id/search-badan-usaha-detail/dUdEcjkyZVhlNEVsbGIwS29YWlNUZz09</t>
        </is>
      </c>
      <c r="F23" t="n">
        <v>4</v>
      </c>
      <c r="G23" t="inlineStr">
        <is>
          <t>BG001, BG004, BG006, BG009</t>
        </is>
      </c>
      <c r="H23" t="inlineStr">
        <is>
          <t>28 Juli 2023</t>
        </is>
      </c>
      <c r="I23" s="2" t="n">
        <v>46253</v>
      </c>
      <c r="J23" t="inlineStr">
        <is>
          <t>Disetujui</t>
        </is>
      </c>
      <c r="K23" t="n">
        <v>30</v>
      </c>
      <c r="L23" t="inlineStr">
        <is>
          <t>19 Agustus 2026</t>
        </is>
      </c>
      <c r="M23" t="inlineStr">
        <is>
          <t>Konstruksi Gedung Hunian, Konstruksi Gedung Lainnya, Konstruksi Gedung Pendidikan, Konstruksi Gedung Perbelanjaan</t>
        </is>
      </c>
      <c r="N23" t="inlineStr">
        <is>
          <t>K</t>
        </is>
      </c>
      <c r="O23" t="inlineStr">
        <is>
          <t>20230816</t>
        </is>
      </c>
      <c r="P23" t="inlineStr">
        <is>
          <t>Kalimantan Selatan</t>
        </is>
      </c>
      <c r="Q23" t="inlineStr"/>
    </row>
    <row r="24">
      <c r="A24" t="inlineStr">
        <is>
          <t>MUTIARA CHANIAGO</t>
        </is>
      </c>
      <c r="B24" t="inlineStr">
        <is>
          <t>Kab. Dharmasraya</t>
        </is>
      </c>
      <c r="C24" t="inlineStr">
        <is>
          <t>081270426606</t>
        </is>
      </c>
      <c r="D24" t="inlineStr">
        <is>
          <t>cvmutiarachaniago26@gmail.com</t>
        </is>
      </c>
      <c r="E24" t="inlineStr">
        <is>
          <t>https://lpjk.pu.go.id/search-badan-usaha-detail/V2xvTXAzSG5MTkJlVHFsVW1JODlDdz09</t>
        </is>
      </c>
      <c r="F24" t="n">
        <v>2</v>
      </c>
      <c r="G24" t="inlineStr">
        <is>
          <t>BS004</t>
        </is>
      </c>
      <c r="H24" t="inlineStr">
        <is>
          <t>9 Oktober 2006</t>
        </is>
      </c>
      <c r="I24" s="2" t="n">
        <v>46253</v>
      </c>
      <c r="J24" t="inlineStr">
        <is>
          <t>Disetujui</t>
        </is>
      </c>
      <c r="K24" t="n">
        <v>30</v>
      </c>
      <c r="L24" t="inlineStr">
        <is>
          <t>19 Agustus 2026</t>
        </is>
      </c>
      <c r="M24" t="inlineStr">
        <is>
          <t>Konstruksi Jaringan Irigasi dan Drainase</t>
        </is>
      </c>
      <c r="N24" t="inlineStr">
        <is>
          <t>K</t>
        </is>
      </c>
      <c r="O24" t="inlineStr">
        <is>
          <t>20230819</t>
        </is>
      </c>
      <c r="P24" t="inlineStr">
        <is>
          <t>Sumatera Barat</t>
        </is>
      </c>
      <c r="Q24" t="inlineStr"/>
    </row>
    <row r="25">
      <c r="A25" t="inlineStr">
        <is>
          <t>PERMATA JAYA KARYA</t>
        </is>
      </c>
      <c r="B25" t="inlineStr">
        <is>
          <t>Kab. Malinau</t>
        </is>
      </c>
      <c r="C25" t="inlineStr">
        <is>
          <t>085250211107</t>
        </is>
      </c>
      <c r="D25" t="inlineStr">
        <is>
          <t>permatajayakarya@gmail.com</t>
        </is>
      </c>
      <c r="E25" t="inlineStr">
        <is>
          <t>https://lpjk.pu.go.id/search-badan-usaha-detail/azAzMjdOTTB1dW13YnlJeFpiMW8wUT09</t>
        </is>
      </c>
      <c r="F25" t="n">
        <v>1</v>
      </c>
      <c r="G25" t="inlineStr">
        <is>
          <t>BG002</t>
        </is>
      </c>
      <c r="H25" t="inlineStr">
        <is>
          <t>31 Januari 2023</t>
        </is>
      </c>
      <c r="I25" s="2" t="n">
        <v>46253</v>
      </c>
      <c r="J25" t="inlineStr">
        <is>
          <t>Disetujui</t>
        </is>
      </c>
      <c r="K25" t="n">
        <v>30</v>
      </c>
      <c r="L25" t="inlineStr">
        <is>
          <t>19 Agustus 2026</t>
        </is>
      </c>
      <c r="M25" t="inlineStr">
        <is>
          <t>Konstruksi Gedung Perkantoran</t>
        </is>
      </c>
      <c r="N25" t="inlineStr">
        <is>
          <t>K</t>
        </is>
      </c>
      <c r="O25" t="inlineStr">
        <is>
          <t>20230731</t>
        </is>
      </c>
      <c r="P25" t="inlineStr">
        <is>
          <t>Kalimantan Utara</t>
        </is>
      </c>
      <c r="Q25" t="inlineStr"/>
    </row>
    <row r="26">
      <c r="A26" t="inlineStr">
        <is>
          <t>RAJAWALI KUTIM GEMILANG</t>
        </is>
      </c>
      <c r="B26" t="inlineStr">
        <is>
          <t>Kab. Kutai Timur</t>
        </is>
      </c>
      <c r="C26" t="inlineStr">
        <is>
          <t>08229800098</t>
        </is>
      </c>
      <c r="D26" t="inlineStr">
        <is>
          <t>rajawalukutimgemilangcv@gmail.com</t>
        </is>
      </c>
      <c r="E26" t="inlineStr">
        <is>
          <t>https://lpjk.pu.go.id/search-badan-usaha-detail/RGwvRWdnSkV4a0s5elArbjE1bmYydz09</t>
        </is>
      </c>
      <c r="F26" t="n">
        <v>2</v>
      </c>
      <c r="G26" t="inlineStr">
        <is>
          <t>BS005</t>
        </is>
      </c>
      <c r="H26" t="inlineStr">
        <is>
          <t>26 Juni 2023</t>
        </is>
      </c>
      <c r="I26" s="2" t="n">
        <v>46253</v>
      </c>
      <c r="J26" t="inlineStr">
        <is>
          <t>Disetujui</t>
        </is>
      </c>
      <c r="K26" t="n">
        <v>30</v>
      </c>
      <c r="L26" t="inlineStr">
        <is>
          <t>19 Agustus 2026</t>
        </is>
      </c>
      <c r="M26" t="inlineStr">
        <is>
          <t>Konstruksi Bangunan Sipil Pengolahan Air Bersih</t>
        </is>
      </c>
      <c r="N26" t="inlineStr">
        <is>
          <t>K</t>
        </is>
      </c>
      <c r="O26" t="inlineStr">
        <is>
          <t>20230815</t>
        </is>
      </c>
      <c r="P26" t="inlineStr">
        <is>
          <t>Kalimantan Timur</t>
        </is>
      </c>
      <c r="Q26" t="inlineStr"/>
    </row>
    <row r="27">
      <c r="A27" t="inlineStr">
        <is>
          <t>RAPIMA</t>
        </is>
      </c>
      <c r="B27" t="inlineStr">
        <is>
          <t>Kota Medan</t>
        </is>
      </c>
      <c r="C27" t="inlineStr">
        <is>
          <t>0614154923</t>
        </is>
      </c>
      <c r="D27" t="inlineStr">
        <is>
          <t>rapima@yahoo.co.id</t>
        </is>
      </c>
      <c r="E27" t="inlineStr">
        <is>
          <t>https://lpjk.pu.go.id/search-badan-usaha-detail/Ykk4S3ZYQStpKzBlMzk1ajZGdG5Wdz09</t>
        </is>
      </c>
      <c r="F27" t="n">
        <v>1</v>
      </c>
      <c r="G27" t="inlineStr">
        <is>
          <t>BS004</t>
        </is>
      </c>
      <c r="H27" t="inlineStr">
        <is>
          <t>6 Juni 1992</t>
        </is>
      </c>
      <c r="I27" s="2" t="n">
        <v>46253</v>
      </c>
      <c r="J27" t="inlineStr">
        <is>
          <t>Disetujui</t>
        </is>
      </c>
      <c r="K27" t="n">
        <v>30</v>
      </c>
      <c r="L27" t="inlineStr">
        <is>
          <t>19 Agustus 2026</t>
        </is>
      </c>
      <c r="M27" t="inlineStr">
        <is>
          <t>Konstruksi Jaringan Irigasi dan Drainase</t>
        </is>
      </c>
      <c r="N27" t="inlineStr">
        <is>
          <t>K</t>
        </is>
      </c>
      <c r="O27" t="inlineStr">
        <is>
          <t>20230819</t>
        </is>
      </c>
      <c r="P27" t="inlineStr">
        <is>
          <t>Sumatera Utara</t>
        </is>
      </c>
      <c r="Q27" t="inlineStr"/>
    </row>
    <row r="28">
      <c r="A28" t="inlineStr">
        <is>
          <t>RUDIATH</t>
        </is>
      </c>
      <c r="B28" t="inlineStr">
        <is>
          <t>Kab. Bireuen</t>
        </is>
      </c>
      <c r="C28" t="inlineStr">
        <is>
          <t>081360002198</t>
        </is>
      </c>
      <c r="D28" t="inlineStr">
        <is>
          <t>musliadispd@gmail.com</t>
        </is>
      </c>
      <c r="E28" t="inlineStr">
        <is>
          <t>https://lpjk.pu.go.id/search-badan-usaha-detail/dUZhQnlSV3BpRXBNcGdKVFdta0Nldz09</t>
        </is>
      </c>
      <c r="F28" t="n">
        <v>2</v>
      </c>
      <c r="G28" t="inlineStr">
        <is>
          <t>BG001, BS006</t>
        </is>
      </c>
      <c r="H28" t="inlineStr">
        <is>
          <t>22 Juli 2019</t>
        </is>
      </c>
      <c r="I28" s="2" t="n">
        <v>46253</v>
      </c>
      <c r="J28" t="inlineStr">
        <is>
          <t>Disetujui</t>
        </is>
      </c>
      <c r="K28" t="n">
        <v>30</v>
      </c>
      <c r="L28" t="inlineStr">
        <is>
          <t>19 Agustus 2026</t>
        </is>
      </c>
      <c r="M28" t="inlineStr">
        <is>
          <t>Konstruksi Bangunan Sipil Prasarana dan Sarana Sistem Pengolahan Limbah Padat, Cair, dan Gas, Konstruksi Gedung Hunian</t>
        </is>
      </c>
      <c r="N28" t="inlineStr">
        <is>
          <t>K</t>
        </is>
      </c>
      <c r="O28" t="inlineStr">
        <is>
          <t>20230819</t>
        </is>
      </c>
      <c r="P28" t="inlineStr">
        <is>
          <t>Aceh</t>
        </is>
      </c>
      <c r="Q28" t="inlineStr"/>
    </row>
    <row r="29">
      <c r="A29" t="inlineStr">
        <is>
          <t>SABAR JAYA MULIA</t>
        </is>
      </c>
      <c r="B29" t="inlineStr">
        <is>
          <t>Kab. Cilacap</t>
        </is>
      </c>
      <c r="C29" t="inlineStr">
        <is>
          <t>0282540902</t>
        </is>
      </c>
      <c r="D29" t="inlineStr">
        <is>
          <t>sbjm211@gmail.com</t>
        </is>
      </c>
      <c r="E29" t="inlineStr">
        <is>
          <t>https://lpjk.pu.go.id/search-badan-usaha-detail/WW1La1R4d1ltWUhIdTZyNzZmVlZQdz09</t>
        </is>
      </c>
      <c r="F29" t="n">
        <v>3</v>
      </c>
      <c r="G29" t="inlineStr">
        <is>
          <t>BG001, BG006, BG009</t>
        </is>
      </c>
      <c r="H29" t="inlineStr">
        <is>
          <t>21 Januari 2014</t>
        </is>
      </c>
      <c r="I29" s="2" t="n">
        <v>46253</v>
      </c>
      <c r="J29" t="inlineStr">
        <is>
          <t>Disetujui</t>
        </is>
      </c>
      <c r="K29" t="n">
        <v>30</v>
      </c>
      <c r="L29" t="inlineStr">
        <is>
          <t>19 Agustus 2026</t>
        </is>
      </c>
      <c r="M29" t="inlineStr">
        <is>
          <t>Konstruksi Gedung Hunian, Konstruksi Gedung Lainnya, Konstruksi Gedung Pendidikan</t>
        </is>
      </c>
      <c r="N29" t="inlineStr">
        <is>
          <t>K</t>
        </is>
      </c>
      <c r="O29" t="inlineStr">
        <is>
          <t>20230819</t>
        </is>
      </c>
      <c r="P29" t="inlineStr">
        <is>
          <t>Jawa Tengah</t>
        </is>
      </c>
      <c r="Q29" t="inlineStr"/>
    </row>
    <row r="30">
      <c r="A30" t="inlineStr">
        <is>
          <t>SAHABAT KARYA MANDIRI</t>
        </is>
      </c>
      <c r="B30" t="inlineStr">
        <is>
          <t>Kota Pontianak</t>
        </is>
      </c>
      <c r="C30" t="inlineStr">
        <is>
          <t>08115771129</t>
        </is>
      </c>
      <c r="D30" t="inlineStr">
        <is>
          <t>cvsahabat81@gmail.com</t>
        </is>
      </c>
      <c r="E30" t="inlineStr">
        <is>
          <t>https://lpjk.pu.go.id/search-badan-usaha-detail/YkFhUzJKSEZNS2tJVER6U05kOFAzQT09</t>
        </is>
      </c>
      <c r="F30" t="n">
        <v>4</v>
      </c>
      <c r="G30" t="inlineStr">
        <is>
          <t>BG002, BG006, BS001, BS011</t>
        </is>
      </c>
      <c r="H30" t="inlineStr">
        <is>
          <t>1 Agustus 2007</t>
        </is>
      </c>
      <c r="I30" s="2" t="n">
        <v>46253</v>
      </c>
      <c r="J30" t="inlineStr">
        <is>
          <t>Disetujui</t>
        </is>
      </c>
      <c r="K30" t="n">
        <v>30</v>
      </c>
      <c r="L30" t="inlineStr">
        <is>
          <t>19 Agustus 2026</t>
        </is>
      </c>
      <c r="M30" t="inlineStr">
        <is>
          <t>Konstruksi Bangunan Pelabuhan Bukan Perikanan, Konstruksi Bangunan Sipil Jalan, Konstruksi Gedung Pendidikan, Konstruksi Gedung Perkantoran</t>
        </is>
      </c>
      <c r="N30" t="inlineStr">
        <is>
          <t>K</t>
        </is>
      </c>
      <c r="O30" t="inlineStr">
        <is>
          <t>20230819, 20230820</t>
        </is>
      </c>
      <c r="P30" t="inlineStr">
        <is>
          <t>Kalimantan Barat</t>
        </is>
      </c>
      <c r="Q30" t="inlineStr"/>
    </row>
    <row r="31">
      <c r="A31" t="inlineStr">
        <is>
          <t>SENTRA BIRAMA ABADI</t>
        </is>
      </c>
      <c r="B31" t="inlineStr">
        <is>
          <t>Kota Payakumbuh</t>
        </is>
      </c>
      <c r="C31" t="inlineStr">
        <is>
          <t>0811663685</t>
        </is>
      </c>
      <c r="D31" t="inlineStr">
        <is>
          <t>sentrabiramaabadi@gmail.com</t>
        </is>
      </c>
      <c r="E31" t="inlineStr">
        <is>
          <t>https://lpjk.pu.go.id/search-badan-usaha-detail/N1E2YnRlY3czQUtScEJ0aGtEMGoxUT09</t>
        </is>
      </c>
      <c r="F31" t="n">
        <v>1</v>
      </c>
      <c r="G31" t="inlineStr">
        <is>
          <t>BS004</t>
        </is>
      </c>
      <c r="H31" t="inlineStr">
        <is>
          <t>27 Juli 2023</t>
        </is>
      </c>
      <c r="I31" s="2" t="n">
        <v>46253</v>
      </c>
      <c r="J31" t="inlineStr">
        <is>
          <t>Disetujui</t>
        </is>
      </c>
      <c r="K31" t="n">
        <v>30</v>
      </c>
      <c r="L31" t="inlineStr">
        <is>
          <t>19 Agustus 2026</t>
        </is>
      </c>
      <c r="M31" t="inlineStr">
        <is>
          <t>Konstruksi Jaringan Irigasi dan Drainase</t>
        </is>
      </c>
      <c r="N31" t="inlineStr">
        <is>
          <t>K</t>
        </is>
      </c>
      <c r="O31" t="inlineStr">
        <is>
          <t>20230819</t>
        </is>
      </c>
      <c r="P31" t="inlineStr">
        <is>
          <t>Sumatera Barat</t>
        </is>
      </c>
      <c r="Q31" t="inlineStr"/>
    </row>
    <row r="32">
      <c r="A32" t="inlineStr">
        <is>
          <t>TAPAK BUANA KONSTRUKSI</t>
        </is>
      </c>
      <c r="B32" t="inlineStr">
        <is>
          <t>Kota Makassar</t>
        </is>
      </c>
      <c r="C32" t="inlineStr">
        <is>
          <t>085299931699</t>
        </is>
      </c>
      <c r="D32" t="inlineStr">
        <is>
          <t>cvtapakbuanakonstruksi@gmail.com</t>
        </is>
      </c>
      <c r="E32" t="inlineStr">
        <is>
          <t>https://lpjk.pu.go.id/search-badan-usaha-detail/VkQ2bWh0NVhCNzZNb2F4UXN6eElMOXdCd2I1WVh6czUvS0JoZGtVN0JjTT0</t>
        </is>
      </c>
      <c r="F32" t="n">
        <v>1</v>
      </c>
      <c r="G32" t="inlineStr">
        <is>
          <t>BG001</t>
        </is>
      </c>
      <c r="H32" t="inlineStr">
        <is>
          <t>17 Oktober 2022</t>
        </is>
      </c>
      <c r="I32" s="2" t="n">
        <v>46253</v>
      </c>
      <c r="J32" t="inlineStr">
        <is>
          <t>Disetujui</t>
        </is>
      </c>
      <c r="K32" t="n">
        <v>30</v>
      </c>
      <c r="L32" t="inlineStr">
        <is>
          <t>19 Agustus 2026</t>
        </is>
      </c>
      <c r="M32" t="inlineStr">
        <is>
          <t>Konstruksi Gedung Hunian</t>
        </is>
      </c>
      <c r="N32" t="inlineStr">
        <is>
          <t>K</t>
        </is>
      </c>
      <c r="O32" t="inlineStr">
        <is>
          <t>20230818</t>
        </is>
      </c>
      <c r="P32" t="inlineStr">
        <is>
          <t>Sulawesi Selatan</t>
        </is>
      </c>
      <c r="Q32" t="inlineStr"/>
    </row>
    <row r="33">
      <c r="A33" t="inlineStr">
        <is>
          <t>WIJA MASAGENA</t>
        </is>
      </c>
      <c r="B33" t="inlineStr">
        <is>
          <t>Kab. Majene</t>
        </is>
      </c>
      <c r="C33" t="inlineStr">
        <is>
          <t>082271584191</t>
        </is>
      </c>
      <c r="D33" t="inlineStr">
        <is>
          <t>wijamasagena@gmail.com</t>
        </is>
      </c>
      <c r="E33" t="inlineStr">
        <is>
          <t>https://lpjk.pu.go.id/search-badan-usaha-detail/anhqU0dTek9ueCt2UzJaK3N0SFdwdz09</t>
        </is>
      </c>
      <c r="F33" t="n">
        <v>1</v>
      </c>
      <c r="G33" t="inlineStr">
        <is>
          <t>BG008</t>
        </is>
      </c>
      <c r="H33" t="inlineStr">
        <is>
          <t>14 Juli 2023</t>
        </is>
      </c>
      <c r="I33" s="2" t="n">
        <v>46253</v>
      </c>
      <c r="J33" t="inlineStr">
        <is>
          <t>Disetujui</t>
        </is>
      </c>
      <c r="K33" t="n">
        <v>30</v>
      </c>
      <c r="L33" t="inlineStr">
        <is>
          <t>19 Agustus 2026</t>
        </is>
      </c>
      <c r="M33" t="inlineStr">
        <is>
          <t>Konstruksi Gedung Tempat Hiburan dan Olahraga</t>
        </is>
      </c>
      <c r="N33" t="inlineStr">
        <is>
          <t>K</t>
        </is>
      </c>
      <c r="O33" t="inlineStr">
        <is>
          <t>20230819</t>
        </is>
      </c>
      <c r="P33" t="inlineStr">
        <is>
          <t>Sulawesi Barat</t>
        </is>
      </c>
      <c r="Q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2026-07-20T02:16:19Z</dcterms:created>
  <dcterms:modified xsi:type="dcterms:W3CDTF">2026-07-20T02:16:19Z</dcterms:modified>
</cp:coreProperties>
</file>