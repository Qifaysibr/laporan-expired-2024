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cols>
    <col width="37"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ADIGUNA PUTRA PERKASA</t>
        </is>
      </c>
      <c r="B2" t="inlineStr">
        <is>
          <t>Kab. Bogor</t>
        </is>
      </c>
      <c r="C2" t="inlineStr">
        <is>
          <t>085776555516</t>
        </is>
      </c>
      <c r="D2" t="inlineStr">
        <is>
          <t>ptadigunaputraperkasa@gmail.com</t>
        </is>
      </c>
      <c r="E2" t="inlineStr">
        <is>
          <t>https://lpjk.pu.go.id/search-badan-usaha-detail/Y25tcEVMZ2IyajJEWjdHN0NoTXcrdz09</t>
        </is>
      </c>
      <c r="F2" t="n">
        <v>2</v>
      </c>
      <c r="G2" t="inlineStr">
        <is>
          <t>BS001, BS004</t>
        </is>
      </c>
      <c r="H2" t="inlineStr">
        <is>
          <t>5 Agustus 2021</t>
        </is>
      </c>
      <c r="I2" s="2" t="n">
        <v>46308</v>
      </c>
      <c r="J2" t="inlineStr">
        <is>
          <t>Disetujui</t>
        </is>
      </c>
      <c r="K2" t="n">
        <v>90</v>
      </c>
      <c r="L2" t="inlineStr">
        <is>
          <t>13 Oktober 2026</t>
        </is>
      </c>
      <c r="M2" t="inlineStr">
        <is>
          <t>Konstruksi Bangunan Sipil Jalan, Konstruksi Jaringan Irigasi dan Drainase</t>
        </is>
      </c>
      <c r="N2" t="inlineStr">
        <is>
          <t>K</t>
        </is>
      </c>
      <c r="O2" t="inlineStr">
        <is>
          <t>20231004</t>
        </is>
      </c>
      <c r="P2" t="inlineStr">
        <is>
          <t>Jawa Barat</t>
        </is>
      </c>
      <c r="Q2" s="3">
        <f>HYPERLINK("https://wa.me/6285776555516?text=Selamat siang Bapak/Ibu pimpinan ADIGUNA PUTRA PERKASA,%0A%0ASemoga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GLOBAL SOLUSINDO NUSANTARA</t>
        </is>
      </c>
      <c r="B3" t="inlineStr">
        <is>
          <t>Kota Adm. Jakarta Timur</t>
        </is>
      </c>
      <c r="C3" t="inlineStr">
        <is>
          <t>02158905002</t>
        </is>
      </c>
      <c r="D3" t="inlineStr">
        <is>
          <t>solusindonsantaraglobal@gmail.com</t>
        </is>
      </c>
      <c r="E3" t="inlineStr">
        <is>
          <t>https://lpjk.pu.go.id/search-badan-usaha-detail/ZFltZDhxdld1bUdSZWMzSmdVYXF3Zz09</t>
        </is>
      </c>
      <c r="F3" t="n">
        <v>2</v>
      </c>
      <c r="G3" t="inlineStr">
        <is>
          <t>BG001, BG009</t>
        </is>
      </c>
      <c r="H3" t="inlineStr">
        <is>
          <t>11 Oktober 2023</t>
        </is>
      </c>
      <c r="I3" s="2" t="n">
        <v>46308</v>
      </c>
      <c r="J3" t="inlineStr">
        <is>
          <t>Disetujui</t>
        </is>
      </c>
      <c r="K3" t="n">
        <v>90</v>
      </c>
      <c r="L3" t="inlineStr">
        <is>
          <t>13 Oktober 2026</t>
        </is>
      </c>
      <c r="M3" t="inlineStr">
        <is>
          <t>Konstruksi Gedung Hunian, Konstruksi Gedung Lainnya</t>
        </is>
      </c>
      <c r="N3" t="inlineStr">
        <is>
          <t>K</t>
        </is>
      </c>
      <c r="O3" t="inlineStr">
        <is>
          <t>20231011</t>
        </is>
      </c>
      <c r="P3" t="inlineStr">
        <is>
          <t>DKI Jakarta</t>
        </is>
      </c>
      <c r="Q3" t="inlineStr"/>
    </row>
    <row r="4">
      <c r="A4" t="inlineStr">
        <is>
          <t>GOLD LHEPAO NINGRAT</t>
        </is>
      </c>
      <c r="B4" t="inlineStr">
        <is>
          <t>Kota Adm. Jakarta Timur</t>
        </is>
      </c>
      <c r="C4" t="inlineStr">
        <is>
          <t>081314748336</t>
        </is>
      </c>
      <c r="D4" t="inlineStr">
        <is>
          <t>goldlhepaon@gmail.com</t>
        </is>
      </c>
      <c r="E4" t="inlineStr">
        <is>
          <t>https://lpjk.pu.go.id/search-badan-usaha-detail/c3BGWU5aV2Q3M3NYOWxZR3lXYTJmQT09</t>
        </is>
      </c>
      <c r="F4" t="n">
        <v>2</v>
      </c>
      <c r="G4" t="inlineStr">
        <is>
          <t>BS004, BS010</t>
        </is>
      </c>
      <c r="H4" t="inlineStr">
        <is>
          <t>24 Juni 2022</t>
        </is>
      </c>
      <c r="I4" s="2" t="n">
        <v>46308</v>
      </c>
      <c r="J4" t="inlineStr">
        <is>
          <t>Disetujui</t>
        </is>
      </c>
      <c r="K4" t="n">
        <v>90</v>
      </c>
      <c r="L4" t="inlineStr">
        <is>
          <t>13 Oktober 2026</t>
        </is>
      </c>
      <c r="M4" t="inlineStr">
        <is>
          <t>Konstruksi Bangunan Prasarana Sumber Daya Air, Konstruksi Jaringan Irigasi dan Drainase</t>
        </is>
      </c>
      <c r="N4" t="inlineStr">
        <is>
          <t>K</t>
        </is>
      </c>
      <c r="O4" t="inlineStr">
        <is>
          <t>20231011</t>
        </is>
      </c>
      <c r="P4" t="inlineStr">
        <is>
          <t>DKI Jakarta</t>
        </is>
      </c>
      <c r="Q4" s="3">
        <f>HYPERLINK("https://wa.me/6281314748336?text=Selamat siang Bapak/Ibu pimpinan GOLD LHEPAO NINGRAT,%0A%0ASemoga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HOBASHITA REKA TAMA</t>
        </is>
      </c>
      <c r="B5" t="inlineStr">
        <is>
          <t>Kota Adm. Jakarta Timur</t>
        </is>
      </c>
      <c r="C5" t="inlineStr">
        <is>
          <t>02186613110</t>
        </is>
      </c>
      <c r="D5" t="inlineStr">
        <is>
          <t>hobashita.rekatama@gmail.com</t>
        </is>
      </c>
      <c r="E5" t="inlineStr">
        <is>
          <t>https://lpjk.pu.go.id/search-badan-usaha-detail/Tkk1bE9CNm1uMmREcVpwY1dZM0tHUT09</t>
        </is>
      </c>
      <c r="F5" t="n">
        <v>2</v>
      </c>
      <c r="G5" t="inlineStr">
        <is>
          <t>BG002, BG005</t>
        </is>
      </c>
      <c r="H5" t="inlineStr">
        <is>
          <t>12 Februari 2019</t>
        </is>
      </c>
      <c r="I5" s="2" t="n">
        <v>46308</v>
      </c>
      <c r="J5" t="inlineStr">
        <is>
          <t>Disetujui</t>
        </is>
      </c>
      <c r="K5" t="n">
        <v>90</v>
      </c>
      <c r="L5" t="inlineStr">
        <is>
          <t>13 Oktober 2026</t>
        </is>
      </c>
      <c r="M5" t="inlineStr">
        <is>
          <t>Konstruksi Gedung Kesehatan, Konstruksi Gedung Perkantoran</t>
        </is>
      </c>
      <c r="N5" t="inlineStr">
        <is>
          <t>K</t>
        </is>
      </c>
      <c r="O5" t="inlineStr">
        <is>
          <t>20231005</t>
        </is>
      </c>
      <c r="P5" t="inlineStr">
        <is>
          <t>DKI Jakarta</t>
        </is>
      </c>
      <c r="Q5" t="inlineStr"/>
    </row>
    <row r="6">
      <c r="A6" t="inlineStr">
        <is>
          <t>MANGGALA TEHNIK BERSAUDARA</t>
        </is>
      </c>
      <c r="B6" t="inlineStr">
        <is>
          <t>Kab. Bekasi</t>
        </is>
      </c>
      <c r="C6" t="inlineStr">
        <is>
          <t>087745445924</t>
        </is>
      </c>
      <c r="D6" t="inlineStr">
        <is>
          <t>manggalatb@yahoo.com</t>
        </is>
      </c>
      <c r="E6" t="inlineStr">
        <is>
          <t>https://lpjk.pu.go.id/search-badan-usaha-detail/anNha25zYkxHL1I4WDN0aVV2a08vZz09</t>
        </is>
      </c>
      <c r="F6" t="n">
        <v>1</v>
      </c>
      <c r="G6" t="inlineStr">
        <is>
          <t>BG003</t>
        </is>
      </c>
      <c r="H6" t="inlineStr">
        <is>
          <t>4 Juli 2023</t>
        </is>
      </c>
      <c r="I6" s="2" t="n">
        <v>46308</v>
      </c>
      <c r="J6" t="inlineStr">
        <is>
          <t>Disetujui</t>
        </is>
      </c>
      <c r="K6" t="n">
        <v>90</v>
      </c>
      <c r="L6" t="inlineStr">
        <is>
          <t>13 Oktober 2026</t>
        </is>
      </c>
      <c r="M6" t="inlineStr">
        <is>
          <t>Konstruksi Gedung Industri</t>
        </is>
      </c>
      <c r="N6" t="inlineStr">
        <is>
          <t>K</t>
        </is>
      </c>
      <c r="O6" t="inlineStr">
        <is>
          <t>20231012</t>
        </is>
      </c>
      <c r="P6" t="inlineStr">
        <is>
          <t>Jawa Barat</t>
        </is>
      </c>
      <c r="Q6" s="3">
        <f>HYPERLINK("https://wa.me/6287745445924?text=Selamat siang Bapak/Ibu pimpinan MANGGALA TEHNIK BERSAUDARA,%0A%0ASemoga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OCTOS GRAHA</t>
        </is>
      </c>
      <c r="B7" t="inlineStr">
        <is>
          <t>Kota Depok</t>
        </is>
      </c>
      <c r="C7" t="inlineStr">
        <is>
          <t>08129640002</t>
        </is>
      </c>
      <c r="D7" t="inlineStr">
        <is>
          <t>goctos@yahoo.co.id</t>
        </is>
      </c>
      <c r="E7" t="inlineStr">
        <is>
          <t>https://lpjk.pu.go.id/search-badan-usaha-detail/NEQ3MzlLY1hpZUQwcGZoaXVnQlhOdz09</t>
        </is>
      </c>
      <c r="F7" t="n">
        <v>3</v>
      </c>
      <c r="G7" t="inlineStr">
        <is>
          <t>BS001, BS004, BS006</t>
        </is>
      </c>
      <c r="H7" t="inlineStr">
        <is>
          <t>13 Desember 2005</t>
        </is>
      </c>
      <c r="I7" s="2" t="n">
        <v>46308</v>
      </c>
      <c r="J7" t="inlineStr">
        <is>
          <t>Disetujui</t>
        </is>
      </c>
      <c r="K7" t="n">
        <v>90</v>
      </c>
      <c r="L7" t="inlineStr">
        <is>
          <t>13 Oktober 2026</t>
        </is>
      </c>
      <c r="M7" t="inlineStr">
        <is>
          <t>Konstruksi Bangunan Sipil Jalan, Konstruksi Bangunan Sipil Prasarana dan Sarana Sistem Pengolahan Limbah Padat, Cair, dan Gas, Konstruksi Jaringan Irigasi dan Drainase</t>
        </is>
      </c>
      <c r="N7" t="inlineStr">
        <is>
          <t>K</t>
        </is>
      </c>
      <c r="O7" t="inlineStr">
        <is>
          <t>20231011, 20231012</t>
        </is>
      </c>
      <c r="P7" t="inlineStr">
        <is>
          <t>Jawa Barat</t>
        </is>
      </c>
      <c r="Q7" s="3">
        <f>HYPERLINK("https://wa.me/628129640002?text=Selamat siang Bapak/Ibu pimpinan OCTOS GRAHA,%0A%0ASemoga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RAYA JAYA ABADI</t>
        </is>
      </c>
      <c r="B8" t="inlineStr">
        <is>
          <t>Kota Bogor</t>
        </is>
      </c>
      <c r="C8" t="inlineStr">
        <is>
          <t>087711036880</t>
        </is>
      </c>
      <c r="D8" t="inlineStr">
        <is>
          <t>radenalpim@gmail.com</t>
        </is>
      </c>
      <c r="E8" t="inlineStr">
        <is>
          <t>https://lpjk.pu.go.id/search-badan-usaha-detail/VzN2bjl3NFVaUzM1Q3hTTGk2VzVpZz09</t>
        </is>
      </c>
      <c r="F8" t="n">
        <v>2</v>
      </c>
      <c r="G8" t="inlineStr">
        <is>
          <t>BS001, BS004</t>
        </is>
      </c>
      <c r="H8" t="inlineStr">
        <is>
          <t>1 Desember 2011</t>
        </is>
      </c>
      <c r="I8" s="2" t="n">
        <v>46308</v>
      </c>
      <c r="J8" t="inlineStr">
        <is>
          <t>Disetujui</t>
        </is>
      </c>
      <c r="K8" t="n">
        <v>90</v>
      </c>
      <c r="L8" t="inlineStr">
        <is>
          <t>13 Oktober 2026</t>
        </is>
      </c>
      <c r="M8" t="inlineStr">
        <is>
          <t>Konstruksi Bangunan Sipil Jalan, Konstruksi Jaringan Irigasi dan Drainase</t>
        </is>
      </c>
      <c r="N8" t="inlineStr">
        <is>
          <t>K</t>
        </is>
      </c>
      <c r="O8" t="inlineStr">
        <is>
          <t>20231003</t>
        </is>
      </c>
      <c r="P8" t="inlineStr">
        <is>
          <t>Jawa Barat</t>
        </is>
      </c>
      <c r="Q8" s="3">
        <f>HYPERLINK("https://wa.me/6287711036880?text=Selamat siang Bapak/Ibu pimpinan RAYA JAYA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SAHABAT PUTRA JAVA</t>
        </is>
      </c>
      <c r="B9" t="inlineStr">
        <is>
          <t>Kota Adm. Jakarta Timur</t>
        </is>
      </c>
      <c r="C9" t="inlineStr">
        <is>
          <t>02187787546</t>
        </is>
      </c>
      <c r="D9" t="inlineStr">
        <is>
          <t>ptsahabat_java@ymail.com</t>
        </is>
      </c>
      <c r="E9" t="inlineStr">
        <is>
          <t>https://lpjk.pu.go.id/search-badan-usaha-detail/VE44NU9QcFYvYXdLVk5mVkVpUG1nQT09</t>
        </is>
      </c>
      <c r="F9" t="n">
        <v>1</v>
      </c>
      <c r="G9" t="inlineStr">
        <is>
          <t>BG009</t>
        </is>
      </c>
      <c r="H9" t="inlineStr">
        <is>
          <t>28 Maret 2006</t>
        </is>
      </c>
      <c r="I9" s="2" t="n">
        <v>46308</v>
      </c>
      <c r="J9" t="inlineStr">
        <is>
          <t>Pencabutan</t>
        </is>
      </c>
      <c r="K9" t="n">
        <v>90</v>
      </c>
      <c r="L9" t="inlineStr">
        <is>
          <t>13 Oktober 2026</t>
        </is>
      </c>
      <c r="M9" t="inlineStr">
        <is>
          <t>Konstruksi Gedung Lainnya</t>
        </is>
      </c>
      <c r="N9" t="inlineStr">
        <is>
          <t>K</t>
        </is>
      </c>
      <c r="O9" t="inlineStr">
        <is>
          <t>20231011</t>
        </is>
      </c>
      <c r="P9" t="inlineStr">
        <is>
          <t>DKI Jakarta</t>
        </is>
      </c>
      <c r="Q9" t="inlineStr"/>
    </row>
    <row r="10">
      <c r="A10" t="inlineStr">
        <is>
          <t>UNGGUL SOKAJA</t>
        </is>
      </c>
      <c r="B10" t="inlineStr">
        <is>
          <t>Kota Adm. Jakarta Timur</t>
        </is>
      </c>
      <c r="C10" t="inlineStr">
        <is>
          <t>081293438687</t>
        </is>
      </c>
      <c r="D10" t="inlineStr">
        <is>
          <t>unggul_sokaja@yahoo.com</t>
        </is>
      </c>
      <c r="E10" t="inlineStr">
        <is>
          <t>https://lpjk.pu.go.id/search-badan-usaha-detail/d1pqQ2lWcW5XdWdjMDR4Ri9FbkNaQT09</t>
        </is>
      </c>
      <c r="F10" t="n">
        <v>2</v>
      </c>
      <c r="G10" t="inlineStr">
        <is>
          <t>BG002, BG003</t>
        </is>
      </c>
      <c r="H10" t="inlineStr">
        <is>
          <t>28 Februari 2013</t>
        </is>
      </c>
      <c r="I10" s="2" t="n">
        <v>46308</v>
      </c>
      <c r="J10" t="inlineStr">
        <is>
          <t>Disetujui</t>
        </is>
      </c>
      <c r="K10" t="n">
        <v>90</v>
      </c>
      <c r="L10" t="inlineStr">
        <is>
          <t>13 Oktober 2026</t>
        </is>
      </c>
      <c r="M10" t="inlineStr">
        <is>
          <t>Konstruksi Gedung Industri, Konstruksi Gedung Perkantoran</t>
        </is>
      </c>
      <c r="N10" t="inlineStr">
        <is>
          <t>M</t>
        </is>
      </c>
      <c r="O10" t="inlineStr">
        <is>
          <t>20231002</t>
        </is>
      </c>
      <c r="P10" t="inlineStr">
        <is>
          <t>DKI Jakarta</t>
        </is>
      </c>
      <c r="Q10" s="3">
        <f>HYPERLINK("https://wa.me/6281293438687?text=Selamat siang Bapak/Ibu pimpinan UNGGUL SOKAJA,%0A%0ASemoga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ABABA PEMERATA</t>
        </is>
      </c>
      <c r="B11" t="inlineStr">
        <is>
          <t>Kab. Bandung</t>
        </is>
      </c>
      <c r="C11" t="inlineStr">
        <is>
          <t>022 2060076</t>
        </is>
      </c>
      <c r="D11" t="inlineStr">
        <is>
          <t>ababapemerata@yahoo.co.id</t>
        </is>
      </c>
      <c r="E11" t="inlineStr">
        <is>
          <t>https://lpjk.pu.go.id/search-badan-usaha-detail/Q0hLOVhyVHk3ZkduU05rL0ZKMmExQT09</t>
        </is>
      </c>
      <c r="F11" t="n">
        <v>1</v>
      </c>
      <c r="G11" t="inlineStr">
        <is>
          <t>BS006</t>
        </is>
      </c>
      <c r="H11" t="inlineStr">
        <is>
          <t>28 September 1987</t>
        </is>
      </c>
      <c r="I11" s="2" t="n">
        <v>46308</v>
      </c>
      <c r="J11" t="inlineStr">
        <is>
          <t>Disetujui</t>
        </is>
      </c>
      <c r="K11" t="n">
        <v>90</v>
      </c>
      <c r="L11" t="inlineStr">
        <is>
          <t>13 Oktober 2026</t>
        </is>
      </c>
      <c r="M11" t="inlineStr">
        <is>
          <t>Konstruksi Bangunan Sipil Prasarana dan Sarana Sistem Pengolahan Limbah Padat, Cair, dan Gas</t>
        </is>
      </c>
      <c r="N11" t="inlineStr">
        <is>
          <t>K</t>
        </is>
      </c>
      <c r="O11" t="inlineStr">
        <is>
          <t>20231013</t>
        </is>
      </c>
      <c r="P11" t="inlineStr">
        <is>
          <t>Jawa Barat</t>
        </is>
      </c>
      <c r="Q11" t="inlineStr"/>
    </row>
    <row r="12">
      <c r="A12" t="inlineStr">
        <is>
          <t>ADILAH TAMA</t>
        </is>
      </c>
      <c r="B12" t="inlineStr">
        <is>
          <t>Kota Metro</t>
        </is>
      </c>
      <c r="C12" t="inlineStr">
        <is>
          <t>0813777757275</t>
        </is>
      </c>
      <c r="D12" t="inlineStr">
        <is>
          <t>ikhsanburcik72@gmail.com</t>
        </is>
      </c>
      <c r="E12" t="inlineStr">
        <is>
          <t>https://lpjk.pu.go.id/search-badan-usaha-detail/NTBmRGp3cU42WjA5RDJRc2t0MHgzQT09</t>
        </is>
      </c>
      <c r="F12" t="n">
        <v>2</v>
      </c>
      <c r="G12" t="inlineStr">
        <is>
          <t>BS001</t>
        </is>
      </c>
      <c r="H12" t="inlineStr">
        <is>
          <t>8 Februari 2004</t>
        </is>
      </c>
      <c r="I12" s="2" t="n">
        <v>46308</v>
      </c>
      <c r="J12" t="inlineStr">
        <is>
          <t>Disetujui</t>
        </is>
      </c>
      <c r="K12" t="n">
        <v>90</v>
      </c>
      <c r="L12" t="inlineStr">
        <is>
          <t>13 Oktober 2026</t>
        </is>
      </c>
      <c r="M12" t="inlineStr">
        <is>
          <t>Konstruksi Bangunan Sipil Jalan</t>
        </is>
      </c>
      <c r="N12" t="inlineStr">
        <is>
          <t>K</t>
        </is>
      </c>
      <c r="O12" t="inlineStr">
        <is>
          <t>20231011</t>
        </is>
      </c>
      <c r="P12" t="inlineStr">
        <is>
          <t>Lampung</t>
        </is>
      </c>
      <c r="Q12" t="inlineStr"/>
    </row>
    <row r="13">
      <c r="A13" t="inlineStr">
        <is>
          <t>ALBY FADILLAH</t>
        </is>
      </c>
      <c r="B13" t="inlineStr">
        <is>
          <t>Kab. Barito Kuala</t>
        </is>
      </c>
      <c r="C13" t="inlineStr">
        <is>
          <t>085348478169</t>
        </is>
      </c>
      <c r="D13" t="inlineStr">
        <is>
          <t>albyfadillah82@gmail.com</t>
        </is>
      </c>
      <c r="E13" t="inlineStr">
        <is>
          <t>https://lpjk.pu.go.id/search-badan-usaha-detail/dDY3SlNpSVF5UTgrdEFsOWMzQTN1Zz09</t>
        </is>
      </c>
      <c r="F13" t="n">
        <v>3</v>
      </c>
      <c r="G13" t="inlineStr">
        <is>
          <t>BG002, BG005, BG006</t>
        </is>
      </c>
      <c r="H13" t="inlineStr">
        <is>
          <t>23 Januari 2018</t>
        </is>
      </c>
      <c r="I13" s="2" t="n">
        <v>46308</v>
      </c>
      <c r="J13" t="inlineStr">
        <is>
          <t>Disetujui</t>
        </is>
      </c>
      <c r="K13" t="n">
        <v>90</v>
      </c>
      <c r="L13" t="inlineStr">
        <is>
          <t>13 Oktober 2026</t>
        </is>
      </c>
      <c r="M13" t="inlineStr">
        <is>
          <t>Konstruksi Gedung Kesehatan, Konstruksi Gedung Pendidikan, Konstruksi Gedung Perkantoran</t>
        </is>
      </c>
      <c r="N13" t="inlineStr">
        <is>
          <t>K</t>
        </is>
      </c>
      <c r="O13" t="inlineStr">
        <is>
          <t>20230913</t>
        </is>
      </c>
      <c r="P13" t="inlineStr">
        <is>
          <t>Kalimantan Selatan</t>
        </is>
      </c>
      <c r="Q13" t="inlineStr"/>
    </row>
    <row r="14">
      <c r="A14" t="inlineStr">
        <is>
          <t>ALYN PUTRI JAYA</t>
        </is>
      </c>
      <c r="B14" t="inlineStr">
        <is>
          <t>Kab. Cirebon</t>
        </is>
      </c>
      <c r="C14" t="inlineStr">
        <is>
          <t>082218177638</t>
        </is>
      </c>
      <c r="D14" t="inlineStr">
        <is>
          <t>alynputrijaya.cv@gmail.com</t>
        </is>
      </c>
      <c r="E14" t="inlineStr">
        <is>
          <t>https://lpjk.pu.go.id/search-badan-usaha-detail/TW94UVcwb3BZeCttWGdpaHRpWjNyUT09</t>
        </is>
      </c>
      <c r="F14" t="n">
        <v>1</v>
      </c>
      <c r="G14" t="inlineStr">
        <is>
          <t>BG006</t>
        </is>
      </c>
      <c r="H14" t="inlineStr">
        <is>
          <t>25 Agustus 2023</t>
        </is>
      </c>
      <c r="I14" s="2" t="n">
        <v>46308</v>
      </c>
      <c r="J14" t="inlineStr">
        <is>
          <t>Disetujui</t>
        </is>
      </c>
      <c r="K14" t="n">
        <v>90</v>
      </c>
      <c r="L14" t="inlineStr">
        <is>
          <t>13 Oktober 2026</t>
        </is>
      </c>
      <c r="M14" t="inlineStr">
        <is>
          <t>Konstruksi Gedung Pendidikan</t>
        </is>
      </c>
      <c r="N14" t="inlineStr">
        <is>
          <t>K</t>
        </is>
      </c>
      <c r="O14" t="inlineStr">
        <is>
          <t>20231012</t>
        </is>
      </c>
      <c r="P14" t="inlineStr">
        <is>
          <t>Jawa Barat</t>
        </is>
      </c>
      <c r="Q14" t="inlineStr"/>
    </row>
    <row r="15">
      <c r="A15" t="inlineStr">
        <is>
          <t>ANUGRAH MAHA KARYA PERSADA</t>
        </is>
      </c>
      <c r="B15" t="inlineStr">
        <is>
          <t>Kab. Tuban</t>
        </is>
      </c>
      <c r="C15" t="inlineStr">
        <is>
          <t>082143196801</t>
        </is>
      </c>
      <c r="D15" t="inlineStr">
        <is>
          <t>pt.amkpersada@gmail.com</t>
        </is>
      </c>
      <c r="E15" t="inlineStr">
        <is>
          <t>https://lpjk.pu.go.id/search-badan-usaha-detail/WWtvUElndjdnNGNDbXdOUiswalhhZz09</t>
        </is>
      </c>
      <c r="F15" t="n">
        <v>2</v>
      </c>
      <c r="G15" t="inlineStr">
        <is>
          <t>BG009</t>
        </is>
      </c>
      <c r="H15" t="inlineStr">
        <is>
          <t>11 Maret 2020</t>
        </is>
      </c>
      <c r="I15" s="2" t="n">
        <v>46308</v>
      </c>
      <c r="J15" t="inlineStr">
        <is>
          <t>Disetujui</t>
        </is>
      </c>
      <c r="K15" t="n">
        <v>90</v>
      </c>
      <c r="L15" t="inlineStr">
        <is>
          <t>13 Oktober 2026</t>
        </is>
      </c>
      <c r="M15" t="inlineStr">
        <is>
          <t>Konstruksi Gedung Lainnya</t>
        </is>
      </c>
      <c r="N15" t="inlineStr">
        <is>
          <t>K</t>
        </is>
      </c>
      <c r="O15" t="inlineStr">
        <is>
          <t>20231009</t>
        </is>
      </c>
      <c r="P15" t="inlineStr">
        <is>
          <t>Jawa Timur</t>
        </is>
      </c>
      <c r="Q15" t="inlineStr"/>
    </row>
    <row r="16">
      <c r="A16" t="inlineStr">
        <is>
          <t>ARIF TRI JAYA</t>
        </is>
      </c>
      <c r="B16" t="inlineStr">
        <is>
          <t>Kab. Nganjuk</t>
        </is>
      </c>
      <c r="C16" t="inlineStr">
        <is>
          <t>082143116724</t>
        </is>
      </c>
      <c r="D16" t="inlineStr">
        <is>
          <t>ariftrijayaatj@gmail.com</t>
        </is>
      </c>
      <c r="E16" t="inlineStr">
        <is>
          <t>https://lpjk.pu.go.id/search-badan-usaha-detail/VCtCeEhvNFJraWp1aXZkV0FUcWJYZz09</t>
        </is>
      </c>
      <c r="F16" t="n">
        <v>3</v>
      </c>
      <c r="G16" t="inlineStr">
        <is>
          <t>BG005, BG006, BG009</t>
        </is>
      </c>
      <c r="H16" t="inlineStr">
        <is>
          <t>2 Maret 2007</t>
        </is>
      </c>
      <c r="I16" s="2" t="n">
        <v>46308</v>
      </c>
      <c r="J16" t="inlineStr">
        <is>
          <t>Disetujui</t>
        </is>
      </c>
      <c r="K16" t="n">
        <v>90</v>
      </c>
      <c r="L16" t="inlineStr">
        <is>
          <t>13 Oktober 2026</t>
        </is>
      </c>
      <c r="M16" t="inlineStr">
        <is>
          <t>Konstruksi Gedung Kesehatan, Konstruksi Gedung Lainnya, Konstruksi Gedung Pendidikan</t>
        </is>
      </c>
      <c r="N16" t="inlineStr">
        <is>
          <t>K</t>
        </is>
      </c>
      <c r="O16" t="inlineStr">
        <is>
          <t>20231012</t>
        </is>
      </c>
      <c r="P16" t="inlineStr">
        <is>
          <t>Jawa Timur</t>
        </is>
      </c>
      <c r="Q16" t="inlineStr"/>
    </row>
    <row r="17">
      <c r="A17" t="inlineStr">
        <is>
          <t>ARTA PERMATA PARE</t>
        </is>
      </c>
      <c r="B17" t="inlineStr">
        <is>
          <t>Kota Samarinda</t>
        </is>
      </c>
      <c r="C17" t="inlineStr">
        <is>
          <t>082277664419</t>
        </is>
      </c>
      <c r="D17" t="inlineStr">
        <is>
          <t>artapermatapare.cv@gmail.com</t>
        </is>
      </c>
      <c r="E17" t="inlineStr">
        <is>
          <t>https://lpjk.pu.go.id/search-badan-usaha-detail/UXY3aFZ4Mk1BSnRFWXBZQ2RGRjl4QT09</t>
        </is>
      </c>
      <c r="F17" t="n">
        <v>1</v>
      </c>
      <c r="G17" t="inlineStr">
        <is>
          <t>BG008</t>
        </is>
      </c>
      <c r="H17" t="inlineStr">
        <is>
          <t>20 Februari 2023</t>
        </is>
      </c>
      <c r="I17" s="2" t="n">
        <v>46308</v>
      </c>
      <c r="J17" t="inlineStr">
        <is>
          <t>Disetujui</t>
        </is>
      </c>
      <c r="K17" t="n">
        <v>90</v>
      </c>
      <c r="L17" t="inlineStr">
        <is>
          <t>13 Oktober 2026</t>
        </is>
      </c>
      <c r="M17" t="inlineStr">
        <is>
          <t>Konstruksi Gedung Tempat Hiburan dan Olahraga</t>
        </is>
      </c>
      <c r="N17" t="inlineStr">
        <is>
          <t>K</t>
        </is>
      </c>
      <c r="O17" t="inlineStr">
        <is>
          <t>20231012</t>
        </is>
      </c>
      <c r="P17" t="inlineStr">
        <is>
          <t>Kalimantan Timur</t>
        </is>
      </c>
      <c r="Q17" t="inlineStr"/>
    </row>
    <row r="18">
      <c r="A18" t="inlineStr">
        <is>
          <t>ARUS MAHAKAM ABADI</t>
        </is>
      </c>
      <c r="B18" t="inlineStr">
        <is>
          <t>Kab. Kutai Kartanegara</t>
        </is>
      </c>
      <c r="C18" t="inlineStr">
        <is>
          <t>081215633333</t>
        </is>
      </c>
      <c r="D18" t="inlineStr">
        <is>
          <t>arusmahakam.abadi88@gmail.com</t>
        </is>
      </c>
      <c r="E18" t="inlineStr">
        <is>
          <t>https://lpjk.pu.go.id/search-badan-usaha-detail/VTA2THhkVFVxdk01QUh4MnBTNWErQT09</t>
        </is>
      </c>
      <c r="F18" t="n">
        <v>1</v>
      </c>
      <c r="G18" t="inlineStr">
        <is>
          <t>BS001</t>
        </is>
      </c>
      <c r="H18" t="inlineStr">
        <is>
          <t>21 Februari 2008</t>
        </is>
      </c>
      <c r="I18" s="2" t="n">
        <v>46308</v>
      </c>
      <c r="J18" t="inlineStr">
        <is>
          <t>Disetujui</t>
        </is>
      </c>
      <c r="K18" t="n">
        <v>90</v>
      </c>
      <c r="L18" t="inlineStr">
        <is>
          <t>13 Oktober 2026</t>
        </is>
      </c>
      <c r="M18" t="inlineStr">
        <is>
          <t>Konstruksi Bangunan Sipil Jalan</t>
        </is>
      </c>
      <c r="N18" t="inlineStr">
        <is>
          <t>K</t>
        </is>
      </c>
      <c r="O18" t="inlineStr">
        <is>
          <t>20230930</t>
        </is>
      </c>
      <c r="P18" t="inlineStr">
        <is>
          <t>Kalimantan Timur</t>
        </is>
      </c>
      <c r="Q18" t="inlineStr"/>
    </row>
    <row r="19">
      <c r="A19" t="inlineStr">
        <is>
          <t>ASTANA JAYA</t>
        </is>
      </c>
      <c r="B19" t="inlineStr">
        <is>
          <t>Kab. Indramayu</t>
        </is>
      </c>
      <c r="C19" t="inlineStr">
        <is>
          <t>081320295924</t>
        </is>
      </c>
      <c r="D19" t="inlineStr">
        <is>
          <t>cv.astana.jaya@gmail.com</t>
        </is>
      </c>
      <c r="E19" t="inlineStr">
        <is>
          <t>https://lpjk.pu.go.id/search-badan-usaha-detail/SGpMcyt1b1lSNkdjUEN5S2drMklxdz09</t>
        </is>
      </c>
      <c r="F19" t="n">
        <v>4</v>
      </c>
      <c r="G19" t="inlineStr">
        <is>
          <t>BS001, BS005</t>
        </is>
      </c>
      <c r="H19" t="inlineStr">
        <is>
          <t>31 Januari 2005</t>
        </is>
      </c>
      <c r="I19" s="2" t="n">
        <v>46308</v>
      </c>
      <c r="J19" t="inlineStr">
        <is>
          <t>Disetujui</t>
        </is>
      </c>
      <c r="K19" t="n">
        <v>90</v>
      </c>
      <c r="L19" t="inlineStr">
        <is>
          <t>13 Oktober 2026</t>
        </is>
      </c>
      <c r="M19" t="inlineStr">
        <is>
          <t>Konstruksi Bangunan Sipil Jalan, Konstruksi Bangunan Sipil Pengolahan Air Bersih</t>
        </is>
      </c>
      <c r="N19" t="inlineStr">
        <is>
          <t>K</t>
        </is>
      </c>
      <c r="O19" t="inlineStr">
        <is>
          <t>20230915, 20231007</t>
        </is>
      </c>
      <c r="P19" t="inlineStr">
        <is>
          <t>Jawa Barat</t>
        </is>
      </c>
      <c r="Q19" t="inlineStr"/>
    </row>
    <row r="20">
      <c r="A20" t="inlineStr">
        <is>
          <t>ATA LABANA BERKARYA</t>
        </is>
      </c>
      <c r="B20" t="inlineStr">
        <is>
          <t>Kab. Bandung</t>
        </is>
      </c>
      <c r="C20" t="inlineStr">
        <is>
          <t>081290075798</t>
        </is>
      </c>
      <c r="D20" t="inlineStr">
        <is>
          <t>cv.atalabanaberkarya@gmail.com</t>
        </is>
      </c>
      <c r="E20" t="inlineStr">
        <is>
          <t>https://lpjk.pu.go.id/search-badan-usaha-detail/Z284NWZ4ZVdUU0JHMVk5VHhaOG1Gdz09</t>
        </is>
      </c>
      <c r="F20" t="n">
        <v>6</v>
      </c>
      <c r="G20" t="inlineStr">
        <is>
          <t>BG005, BG006, BG009, BS001, BS004, BS005</t>
        </is>
      </c>
      <c r="H20" t="inlineStr">
        <is>
          <t>2 Desember 2019</t>
        </is>
      </c>
      <c r="I20" s="2" t="n">
        <v>46308</v>
      </c>
      <c r="J20" t="inlineStr">
        <is>
          <t>Disetujui</t>
        </is>
      </c>
      <c r="K20" t="n">
        <v>90</v>
      </c>
      <c r="L20" t="inlineStr">
        <is>
          <t>13 Oktober 2026</t>
        </is>
      </c>
      <c r="M20" t="inlineStr">
        <is>
          <t>Konstruksi Bangunan Sipil Jalan, Konstruksi Bangunan Sipil Pengolahan Air Bersih, Konstruksi Gedung Kesehatan, Konstruksi Gedung Lainnya, Konstruksi Gedung Pendidikan, Konstruksi Jaringan Irigasi dan Drainase</t>
        </is>
      </c>
      <c r="N20" t="inlineStr">
        <is>
          <t>K</t>
        </is>
      </c>
      <c r="O20" t="inlineStr">
        <is>
          <t>20230828</t>
        </is>
      </c>
      <c r="P20" t="inlineStr">
        <is>
          <t>Jawa Barat</t>
        </is>
      </c>
      <c r="Q20" t="inlineStr"/>
    </row>
    <row r="21">
      <c r="A21" t="inlineStr">
        <is>
          <t>AYU SUSILA KARYA</t>
        </is>
      </c>
      <c r="B21" t="inlineStr">
        <is>
          <t>Kab. Banyuwangi</t>
        </is>
      </c>
      <c r="C21" t="inlineStr">
        <is>
          <t>081358154982</t>
        </is>
      </c>
      <c r="D21" t="inlineStr">
        <is>
          <t>ayususilakarya@ymail.com</t>
        </is>
      </c>
      <c r="E21" t="inlineStr">
        <is>
          <t>https://lpjk.pu.go.id/search-badan-usaha-detail/cHlhQk1FMmtPN3UweU1nY1dLMlVXZz09</t>
        </is>
      </c>
      <c r="F21" t="n">
        <v>1</v>
      </c>
      <c r="G21" t="inlineStr">
        <is>
          <t>BS002</t>
        </is>
      </c>
      <c r="H21" t="inlineStr">
        <is>
          <t>23 Oktober 1990</t>
        </is>
      </c>
      <c r="I21" s="2" t="n">
        <v>46308</v>
      </c>
      <c r="J21" t="inlineStr">
        <is>
          <t>Disetujui</t>
        </is>
      </c>
      <c r="K21" t="n">
        <v>90</v>
      </c>
      <c r="L21" t="inlineStr">
        <is>
          <t>13 Oktober 2026</t>
        </is>
      </c>
      <c r="M21" t="inlineStr">
        <is>
          <t>Bangunan Sipil Jembatan, Jalan Layang, Fly Over, dan Underpass</t>
        </is>
      </c>
      <c r="N21" t="inlineStr">
        <is>
          <t>K</t>
        </is>
      </c>
      <c r="O21" t="inlineStr">
        <is>
          <t>20231009</t>
        </is>
      </c>
      <c r="P21" t="inlineStr">
        <is>
          <t>Jawa Timur</t>
        </is>
      </c>
      <c r="Q21" t="inlineStr"/>
    </row>
    <row r="22">
      <c r="A22" t="inlineStr">
        <is>
          <t>BAKTI PERTIWI</t>
        </is>
      </c>
      <c r="B22" t="inlineStr">
        <is>
          <t>Kab. Tulungagung</t>
        </is>
      </c>
      <c r="C22" t="inlineStr">
        <is>
          <t>081331521350</t>
        </is>
      </c>
      <c r="D22" t="inlineStr">
        <is>
          <t>bakti.pertiwi@yahoo.co.id</t>
        </is>
      </c>
      <c r="E22" t="inlineStr">
        <is>
          <t>https://lpjk.pu.go.id/search-badan-usaha-detail/VHRCK1ZkWnp4dldidTFrRFVwUG44Zz09</t>
        </is>
      </c>
      <c r="F22" t="n">
        <v>3</v>
      </c>
      <c r="G22" t="inlineStr">
        <is>
          <t>BS001, BS004, BS010</t>
        </is>
      </c>
      <c r="H22" t="inlineStr">
        <is>
          <t>12 Mei 2014</t>
        </is>
      </c>
      <c r="I22" s="2" t="n">
        <v>46308</v>
      </c>
      <c r="J22" t="inlineStr">
        <is>
          <t>Disetujui</t>
        </is>
      </c>
      <c r="K22" t="n">
        <v>90</v>
      </c>
      <c r="L22" t="inlineStr">
        <is>
          <t>13 Oktober 2026</t>
        </is>
      </c>
      <c r="M22" t="inlineStr">
        <is>
          <t>Konstruksi Bangunan Prasarana Sumber Daya Air, Konstruksi Bangunan Sipil Jalan, Konstruksi Jaringan Irigasi dan Drainase</t>
        </is>
      </c>
      <c r="N22" t="inlineStr">
        <is>
          <t>K</t>
        </is>
      </c>
      <c r="O22" t="inlineStr">
        <is>
          <t>20231013</t>
        </is>
      </c>
      <c r="P22" t="inlineStr">
        <is>
          <t>Jawa Timur</t>
        </is>
      </c>
      <c r="Q22" t="inlineStr"/>
    </row>
    <row r="23">
      <c r="A23" t="inlineStr">
        <is>
          <t>BAMA PERKASA</t>
        </is>
      </c>
      <c r="B23" t="inlineStr">
        <is>
          <t>Kab. Banggai</t>
        </is>
      </c>
      <c r="C23" t="inlineStr">
        <is>
          <t>082345316535</t>
        </is>
      </c>
      <c r="D23" t="inlineStr">
        <is>
          <t>jusranali38@gmail.com</t>
        </is>
      </c>
      <c r="E23" t="inlineStr">
        <is>
          <t>https://lpjk.pu.go.id/search-badan-usaha-detail/MkJqMlozNnFER2F4a1JwSmxTSzF4dz09</t>
        </is>
      </c>
      <c r="F23" t="n">
        <v>3</v>
      </c>
      <c r="G23" t="inlineStr">
        <is>
          <t>BG006, BS004, BS010</t>
        </is>
      </c>
      <c r="H23" t="inlineStr">
        <is>
          <t>11 Agustus 2000</t>
        </is>
      </c>
      <c r="I23" s="2" t="n">
        <v>46308</v>
      </c>
      <c r="J23" t="inlineStr">
        <is>
          <t>Disetujui</t>
        </is>
      </c>
      <c r="K23" t="n">
        <v>90</v>
      </c>
      <c r="L23" t="inlineStr">
        <is>
          <t>13 Oktober 2026</t>
        </is>
      </c>
      <c r="M23" t="inlineStr">
        <is>
          <t>Konstruksi Bangunan Prasarana Sumber Daya Air, Konstruksi Gedung Pendidikan, Konstruksi Jaringan Irigasi dan Drainase</t>
        </is>
      </c>
      <c r="N23" t="inlineStr">
        <is>
          <t>K</t>
        </is>
      </c>
      <c r="O23" t="inlineStr">
        <is>
          <t>20231012</t>
        </is>
      </c>
      <c r="P23" t="inlineStr">
        <is>
          <t>Sulawesi Tengah</t>
        </is>
      </c>
      <c r="Q23" t="inlineStr"/>
    </row>
    <row r="24">
      <c r="A24" t="inlineStr">
        <is>
          <t>BAMBU APUS</t>
        </is>
      </c>
      <c r="B24" t="inlineStr">
        <is>
          <t>Kab. Boyolali</t>
        </is>
      </c>
      <c r="C24" t="inlineStr">
        <is>
          <t>08122587975</t>
        </is>
      </c>
      <c r="D24" t="inlineStr">
        <is>
          <t>bambuapus.byl@gmail.com</t>
        </is>
      </c>
      <c r="E24" t="inlineStr">
        <is>
          <t>https://lpjk.pu.go.id/search-badan-usaha-detail/QUxTTzBSUGE1SnpjMGpTZGFocW9ZUT09</t>
        </is>
      </c>
      <c r="F24" t="n">
        <v>3</v>
      </c>
      <c r="G24" t="inlineStr">
        <is>
          <t>BG005, BG006, BG009</t>
        </is>
      </c>
      <c r="H24" t="inlineStr">
        <is>
          <t>7 September 2022</t>
        </is>
      </c>
      <c r="I24" s="2" t="n">
        <v>46308</v>
      </c>
      <c r="J24" t="inlineStr">
        <is>
          <t>Pencabutan</t>
        </is>
      </c>
      <c r="K24" t="n">
        <v>90</v>
      </c>
      <c r="L24" t="inlineStr">
        <is>
          <t>13 Oktober 2026</t>
        </is>
      </c>
      <c r="M24" t="inlineStr">
        <is>
          <t>Konstruksi Gedung Kesehatan, Konstruksi Gedung Lainnya, Konstruksi Gedung Pendidikan</t>
        </is>
      </c>
      <c r="N24" t="inlineStr">
        <is>
          <t>K</t>
        </is>
      </c>
      <c r="O24" t="inlineStr">
        <is>
          <t>20231009, 20231010</t>
        </is>
      </c>
      <c r="P24" t="inlineStr">
        <is>
          <t>Jawa Tengah</t>
        </is>
      </c>
      <c r="Q24" t="inlineStr"/>
    </row>
    <row r="25">
      <c r="A25" t="inlineStr">
        <is>
          <t>BANGUNINDO SEJATI</t>
        </is>
      </c>
      <c r="B25" t="inlineStr">
        <is>
          <t>Kota Makassar</t>
        </is>
      </c>
      <c r="C25" t="inlineStr">
        <is>
          <t>085237043005</t>
        </is>
      </c>
      <c r="D25" t="inlineStr">
        <is>
          <t>cv.bangunindosejati@gmail.com</t>
        </is>
      </c>
      <c r="E25" t="inlineStr">
        <is>
          <t>https://lpjk.pu.go.id/search-badan-usaha-detail/VUhTZzlqTHZNSTlwNGo2eUliQzlkQT09</t>
        </is>
      </c>
      <c r="F25" t="n">
        <v>3</v>
      </c>
      <c r="G25" t="inlineStr">
        <is>
          <t>BS001, BS004, BS010</t>
        </is>
      </c>
      <c r="H25" t="inlineStr">
        <is>
          <t>1 Agustus 2005</t>
        </is>
      </c>
      <c r="I25" s="2" t="n">
        <v>46308</v>
      </c>
      <c r="J25" t="inlineStr">
        <is>
          <t>Disetujui</t>
        </is>
      </c>
      <c r="K25" t="n">
        <v>90</v>
      </c>
      <c r="L25" t="inlineStr">
        <is>
          <t>13 Oktober 2026</t>
        </is>
      </c>
      <c r="M25" t="inlineStr">
        <is>
          <t>Konstruksi Bangunan Prasarana Sumber Daya Air, Konstruksi Bangunan Sipil Jalan, Konstruksi Jaringan Irigasi dan Drainase</t>
        </is>
      </c>
      <c r="N25" t="inlineStr">
        <is>
          <t>K</t>
        </is>
      </c>
      <c r="O25" t="inlineStr">
        <is>
          <t>20230912, 20230914</t>
        </is>
      </c>
      <c r="P25" t="inlineStr">
        <is>
          <t>Sulawesi Selatan</t>
        </is>
      </c>
      <c r="Q25" t="inlineStr"/>
    </row>
    <row r="26">
      <c r="A26" t="inlineStr">
        <is>
          <t>BERKAT BERSAUDARA BERLIMA SEJAHTERA</t>
        </is>
      </c>
      <c r="B26" t="inlineStr">
        <is>
          <t>Kab. Banjar</t>
        </is>
      </c>
      <c r="C26" t="inlineStr">
        <is>
          <t>08125009990</t>
        </is>
      </c>
      <c r="D26" t="inlineStr">
        <is>
          <t>berkatbersaudaraberlima@gmail.com</t>
        </is>
      </c>
      <c r="E26" t="inlineStr">
        <is>
          <t>https://lpjk.pu.go.id/search-badan-usaha-detail/TWRjN1pSRkp1cnZJNUxWQ1lqQmZJUT09</t>
        </is>
      </c>
      <c r="F26" t="n">
        <v>2</v>
      </c>
      <c r="G26" t="inlineStr">
        <is>
          <t>BG001</t>
        </is>
      </c>
      <c r="H26" t="inlineStr">
        <is>
          <t>6 September 2023</t>
        </is>
      </c>
      <c r="I26" s="2" t="n">
        <v>46308</v>
      </c>
      <c r="J26" t="inlineStr">
        <is>
          <t>Disetujui</t>
        </is>
      </c>
      <c r="K26" t="n">
        <v>90</v>
      </c>
      <c r="L26" t="inlineStr">
        <is>
          <t>13 Oktober 2026</t>
        </is>
      </c>
      <c r="M26" t="inlineStr">
        <is>
          <t>Konstruksi Gedung Hunian</t>
        </is>
      </c>
      <c r="N26" t="inlineStr">
        <is>
          <t>K</t>
        </is>
      </c>
      <c r="O26" t="inlineStr">
        <is>
          <t>20231009</t>
        </is>
      </c>
      <c r="P26" t="inlineStr">
        <is>
          <t>Kalimantan Selatan</t>
        </is>
      </c>
      <c r="Q26" t="inlineStr"/>
    </row>
    <row r="27">
      <c r="A27" t="inlineStr">
        <is>
          <t>BERKAT ENERGI MUTIARA</t>
        </is>
      </c>
      <c r="B27" t="inlineStr">
        <is>
          <t>Kota Palembang</t>
        </is>
      </c>
      <c r="C27" t="inlineStr">
        <is>
          <t>081373898697</t>
        </is>
      </c>
      <c r="D27" t="inlineStr">
        <is>
          <t>ptberkatenergimutiara@gmail.com</t>
        </is>
      </c>
      <c r="E27" t="inlineStr">
        <is>
          <t>https://lpjk.pu.go.id/search-badan-usaha-detail/UmljRFBvWnJ3L2gyMGFGek9GdGJrUT09</t>
        </is>
      </c>
      <c r="F27" t="n">
        <v>2</v>
      </c>
      <c r="G27" t="inlineStr">
        <is>
          <t>BG009</t>
        </is>
      </c>
      <c r="H27" t="inlineStr">
        <is>
          <t>16 Agustus 2022</t>
        </is>
      </c>
      <c r="I27" s="2" t="n">
        <v>46308</v>
      </c>
      <c r="J27" t="inlineStr">
        <is>
          <t>Disetujui</t>
        </is>
      </c>
      <c r="K27" t="n">
        <v>90</v>
      </c>
      <c r="L27" t="inlineStr">
        <is>
          <t>13 Oktober 2026</t>
        </is>
      </c>
      <c r="M27" t="inlineStr">
        <is>
          <t>Konstruksi Gedung Lainnya</t>
        </is>
      </c>
      <c r="N27" t="inlineStr">
        <is>
          <t>K</t>
        </is>
      </c>
      <c r="O27" t="inlineStr">
        <is>
          <t>20231013</t>
        </is>
      </c>
      <c r="P27" t="inlineStr">
        <is>
          <t>Sumatera Selatan</t>
        </is>
      </c>
      <c r="Q27" t="inlineStr"/>
    </row>
    <row r="28">
      <c r="A28" t="inlineStr">
        <is>
          <t>BERKAT SAHABAT</t>
        </is>
      </c>
      <c r="B28" t="inlineStr">
        <is>
          <t>Kab. Padang Lawas</t>
        </is>
      </c>
      <c r="C28" t="inlineStr">
        <is>
          <t>85296063333</t>
        </is>
      </c>
      <c r="D28" t="inlineStr">
        <is>
          <t>Mhd.isra@gmail.com</t>
        </is>
      </c>
      <c r="E28" t="inlineStr">
        <is>
          <t>https://lpjk.pu.go.id/search-badan-usaha-detail/N08zUUhUZWh1OHg3NllRQ2loeGovdz09</t>
        </is>
      </c>
      <c r="F28" t="n">
        <v>8</v>
      </c>
      <c r="G28" t="inlineStr">
        <is>
          <t>BG005, BG006, BG009, BS001</t>
        </is>
      </c>
      <c r="H28" t="inlineStr">
        <is>
          <t>9 Desember 2016</t>
        </is>
      </c>
      <c r="I28" s="2" t="n">
        <v>46308</v>
      </c>
      <c r="J28" t="inlineStr">
        <is>
          <t>Disetujui</t>
        </is>
      </c>
      <c r="K28" t="n">
        <v>90</v>
      </c>
      <c r="L28" t="inlineStr">
        <is>
          <t>13 Oktober 2026</t>
        </is>
      </c>
      <c r="M28" t="inlineStr">
        <is>
          <t>Konstruksi Bangunan Sipil Jalan, Konstruksi Gedung Kesehatan, Konstruksi Gedung Lainnya, Konstruksi Gedung Pendidikan</t>
        </is>
      </c>
      <c r="N28" t="inlineStr">
        <is>
          <t>K</t>
        </is>
      </c>
      <c r="O28" t="inlineStr">
        <is>
          <t>20231012</t>
        </is>
      </c>
      <c r="P28" t="inlineStr">
        <is>
          <t>Sumatera Utara</t>
        </is>
      </c>
      <c r="Q28" t="inlineStr"/>
    </row>
    <row r="29">
      <c r="A29" t="inlineStr">
        <is>
          <t>BERSAMA EKA MAS</t>
        </is>
      </c>
      <c r="B29" t="inlineStr">
        <is>
          <t>Kab. Aceh Tamiang</t>
        </is>
      </c>
      <c r="C29" t="inlineStr">
        <is>
          <t>085296008617</t>
        </is>
      </c>
      <c r="D29" t="inlineStr">
        <is>
          <t>cv.bersamaekamas@gmail.com</t>
        </is>
      </c>
      <c r="E29" t="inlineStr">
        <is>
          <t>https://lpjk.pu.go.id/search-badan-usaha-detail/RDFMTm5wSnZob0dOcWo4azMwd2JRQT09</t>
        </is>
      </c>
      <c r="F29" t="n">
        <v>1</v>
      </c>
      <c r="G29" t="inlineStr">
        <is>
          <t>BS001</t>
        </is>
      </c>
      <c r="H29" t="inlineStr">
        <is>
          <t>30 Desember 2013</t>
        </is>
      </c>
      <c r="I29" s="2" t="n">
        <v>46308</v>
      </c>
      <c r="J29" t="inlineStr">
        <is>
          <t>Disetujui</t>
        </is>
      </c>
      <c r="K29" t="n">
        <v>90</v>
      </c>
      <c r="L29" t="inlineStr">
        <is>
          <t>13 Oktober 2026</t>
        </is>
      </c>
      <c r="M29" t="inlineStr">
        <is>
          <t>Konstruksi Bangunan Sipil Jalan</t>
        </is>
      </c>
      <c r="N29" t="inlineStr">
        <is>
          <t>K</t>
        </is>
      </c>
      <c r="O29" t="inlineStr">
        <is>
          <t>20231007</t>
        </is>
      </c>
      <c r="P29" t="inlineStr">
        <is>
          <t>Aceh</t>
        </is>
      </c>
      <c r="Q29" t="inlineStr"/>
    </row>
    <row r="30">
      <c r="A30" t="inlineStr">
        <is>
          <t>BHINNEKA CITRA PRIMA</t>
        </is>
      </c>
      <c r="B30" t="inlineStr">
        <is>
          <t>Kota Yogyakarta</t>
        </is>
      </c>
      <c r="C30" t="inlineStr">
        <is>
          <t>0274513977</t>
        </is>
      </c>
      <c r="D30" t="inlineStr">
        <is>
          <t>bcp_jogja@yahoo.com</t>
        </is>
      </c>
      <c r="E30" t="inlineStr">
        <is>
          <t>https://lpjk.pu.go.id/search-badan-usaha-detail/cEVFUkVUbGoyeXk4NlcvcHFwalcrZz09</t>
        </is>
      </c>
      <c r="F30" t="n">
        <v>1</v>
      </c>
      <c r="G30" t="inlineStr">
        <is>
          <t>BG001</t>
        </is>
      </c>
      <c r="H30" t="inlineStr">
        <is>
          <t>11 September 1990</t>
        </is>
      </c>
      <c r="I30" s="2" t="n">
        <v>46308</v>
      </c>
      <c r="J30" t="inlineStr">
        <is>
          <t>Disetujui</t>
        </is>
      </c>
      <c r="K30" t="n">
        <v>90</v>
      </c>
      <c r="L30" t="inlineStr">
        <is>
          <t>13 Oktober 2026</t>
        </is>
      </c>
      <c r="M30" t="inlineStr">
        <is>
          <t>Konstruksi Gedung Hunian</t>
        </is>
      </c>
      <c r="N30" t="inlineStr">
        <is>
          <t>M</t>
        </is>
      </c>
      <c r="O30" t="inlineStr">
        <is>
          <t>20191230</t>
        </is>
      </c>
      <c r="P30" t="inlineStr">
        <is>
          <t>DI Yogyakarta</t>
        </is>
      </c>
      <c r="Q30" t="inlineStr"/>
    </row>
    <row r="31">
      <c r="A31" t="inlineStr">
        <is>
          <t>BINA RAYA ABADI</t>
        </is>
      </c>
      <c r="B31" t="inlineStr">
        <is>
          <t>Kota Blitar</t>
        </is>
      </c>
      <c r="C31" t="inlineStr">
        <is>
          <t>08122231589</t>
        </is>
      </c>
      <c r="D31" t="inlineStr">
        <is>
          <t>binarayaabadi.cv@gmail.com</t>
        </is>
      </c>
      <c r="E31" t="inlineStr">
        <is>
          <t>https://lpjk.pu.go.id/search-badan-usaha-detail/cEU1UmZtZndPLzJGTGhHY2FnWGljQT09</t>
        </is>
      </c>
      <c r="F31" t="n">
        <v>1</v>
      </c>
      <c r="G31" t="inlineStr">
        <is>
          <t>BG006</t>
        </is>
      </c>
      <c r="H31" t="inlineStr">
        <is>
          <t>3 Januari 2022</t>
        </is>
      </c>
      <c r="I31" s="2" t="n">
        <v>46308</v>
      </c>
      <c r="J31" t="inlineStr">
        <is>
          <t>Disetujui</t>
        </is>
      </c>
      <c r="K31" t="n">
        <v>90</v>
      </c>
      <c r="L31" t="inlineStr">
        <is>
          <t>13 Oktober 2026</t>
        </is>
      </c>
      <c r="M31" t="inlineStr">
        <is>
          <t>Konstruksi Gedung Pendidikan</t>
        </is>
      </c>
      <c r="N31" t="inlineStr">
        <is>
          <t>K</t>
        </is>
      </c>
      <c r="O31" t="inlineStr">
        <is>
          <t>20231013</t>
        </is>
      </c>
      <c r="P31" t="inlineStr">
        <is>
          <t>Jawa Timur</t>
        </is>
      </c>
      <c r="Q31" t="inlineStr"/>
    </row>
    <row r="32">
      <c r="A32" t="inlineStr">
        <is>
          <t>BINANGUN TRI MITRA</t>
        </is>
      </c>
      <c r="B32" t="inlineStr">
        <is>
          <t>Kota Tangerang Selatan</t>
        </is>
      </c>
      <c r="C32" t="inlineStr">
        <is>
          <t>0811936722</t>
        </is>
      </c>
      <c r="D32" t="inlineStr">
        <is>
          <t>WISJWARA.BTM@GMAIL.COM</t>
        </is>
      </c>
      <c r="E32" t="inlineStr">
        <is>
          <t>https://lpjk.pu.go.id/search-badan-usaha-detail/UHIxc21NcEEraXg5R2VYV0puNW9Ydz09</t>
        </is>
      </c>
      <c r="F32" t="n">
        <v>2</v>
      </c>
      <c r="G32" t="inlineStr">
        <is>
          <t>BS017</t>
        </is>
      </c>
      <c r="H32" t="inlineStr">
        <is>
          <t>25 Agustus 2023</t>
        </is>
      </c>
      <c r="I32" s="2" t="n">
        <v>46308</v>
      </c>
      <c r="J32" t="inlineStr">
        <is>
          <t>Disetujui</t>
        </is>
      </c>
      <c r="K32" t="n">
        <v>90</v>
      </c>
      <c r="L32" t="inlineStr">
        <is>
          <t>13 Oktober 2026</t>
        </is>
      </c>
      <c r="M32" t="inlineStr">
        <is>
          <t>Konstruksi Bangunan Sipil Lainnya Ytdl</t>
        </is>
      </c>
      <c r="N32" t="inlineStr">
        <is>
          <t>K</t>
        </is>
      </c>
      <c r="O32" t="inlineStr">
        <is>
          <t>20231012</t>
        </is>
      </c>
      <c r="P32" t="inlineStr">
        <is>
          <t>Banten</t>
        </is>
      </c>
      <c r="Q32" t="inlineStr"/>
    </row>
    <row r="33">
      <c r="A33" t="inlineStr">
        <is>
          <t>BINTANG CREATIVE</t>
        </is>
      </c>
      <c r="B33" t="inlineStr">
        <is>
          <t>Kab. Pasaman Barat</t>
        </is>
      </c>
      <c r="C33" t="inlineStr">
        <is>
          <t>081270379540</t>
        </is>
      </c>
      <c r="D33" t="inlineStr">
        <is>
          <t>bintangcreativecv72@gmail.com</t>
        </is>
      </c>
      <c r="E33" t="inlineStr">
        <is>
          <t>https://lpjk.pu.go.id/search-badan-usaha-detail/Wm9ULzFuY2trZEIyZy9nZCtWREtCZz09</t>
        </is>
      </c>
      <c r="F33" t="n">
        <v>2</v>
      </c>
      <c r="G33" t="inlineStr">
        <is>
          <t>BS001</t>
        </is>
      </c>
      <c r="H33" t="inlineStr">
        <is>
          <t>27 Januari 2017</t>
        </is>
      </c>
      <c r="I33" s="2" t="n">
        <v>46308</v>
      </c>
      <c r="J33" t="inlineStr">
        <is>
          <t>Disetujui</t>
        </is>
      </c>
      <c r="K33" t="n">
        <v>90</v>
      </c>
      <c r="L33" t="inlineStr">
        <is>
          <t>13 Oktober 2026</t>
        </is>
      </c>
      <c r="M33" t="inlineStr">
        <is>
          <t>Konstruksi Bangunan Sipil Jalan</t>
        </is>
      </c>
      <c r="N33" t="inlineStr">
        <is>
          <t>K</t>
        </is>
      </c>
      <c r="O33" t="inlineStr">
        <is>
          <t>20231011</t>
        </is>
      </c>
      <c r="P33" t="inlineStr">
        <is>
          <t>Sumatera Barat</t>
        </is>
      </c>
      <c r="Q33" t="inlineStr"/>
    </row>
    <row r="34">
      <c r="A34" t="inlineStr">
        <is>
          <t>BORNEO BERSAMA MANDIRI</t>
        </is>
      </c>
      <c r="B34" t="inlineStr">
        <is>
          <t>Kab. Kutai Timur</t>
        </is>
      </c>
      <c r="C34" t="inlineStr">
        <is>
          <t>081347908546</t>
        </is>
      </c>
      <c r="D34" t="inlineStr">
        <is>
          <t>borneobersamamandiri2@gmail.com</t>
        </is>
      </c>
      <c r="E34" t="inlineStr">
        <is>
          <t>https://lpjk.pu.go.id/search-badan-usaha-detail/cnB2a0FyNnM1NUN5OWV0SytTVVFwQT09</t>
        </is>
      </c>
      <c r="F34" t="n">
        <v>1</v>
      </c>
      <c r="G34" t="inlineStr">
        <is>
          <t>BS004</t>
        </is>
      </c>
      <c r="H34" t="inlineStr">
        <is>
          <t>26 Januari 2016</t>
        </is>
      </c>
      <c r="I34" s="2" t="n">
        <v>46308</v>
      </c>
      <c r="J34" t="inlineStr">
        <is>
          <t>Disetujui</t>
        </is>
      </c>
      <c r="K34" t="n">
        <v>90</v>
      </c>
      <c r="L34" t="inlineStr">
        <is>
          <t>13 Oktober 2026</t>
        </is>
      </c>
      <c r="M34" t="inlineStr">
        <is>
          <t>Konstruksi Jaringan Irigasi dan Drainase</t>
        </is>
      </c>
      <c r="N34" t="inlineStr">
        <is>
          <t>K</t>
        </is>
      </c>
      <c r="O34" t="inlineStr">
        <is>
          <t>20231011</t>
        </is>
      </c>
      <c r="P34" t="inlineStr">
        <is>
          <t>Kalimantan Timur</t>
        </is>
      </c>
      <c r="Q34" t="inlineStr"/>
    </row>
    <row r="35">
      <c r="A35" t="inlineStr">
        <is>
          <t>BUDI INDAH INTI PERKASA</t>
        </is>
      </c>
      <c r="B35" t="inlineStr">
        <is>
          <t>Kab. Siak</t>
        </is>
      </c>
      <c r="C35" t="inlineStr">
        <is>
          <t>085363366121</t>
        </is>
      </c>
      <c r="D35" t="inlineStr">
        <is>
          <t>pt.biip@yahoo.com</t>
        </is>
      </c>
      <c r="E35" t="inlineStr">
        <is>
          <t>https://lpjk.pu.go.id/search-badan-usaha-detail/RThqamlDMHY0Y1Z1aGJweWxrY21rZz09</t>
        </is>
      </c>
      <c r="F35" t="n">
        <v>1</v>
      </c>
      <c r="G35" t="inlineStr">
        <is>
          <t>KK012</t>
        </is>
      </c>
      <c r="H35" t="inlineStr">
        <is>
          <t>15 September 2022</t>
        </is>
      </c>
      <c r="I35" s="2" t="n">
        <v>46308</v>
      </c>
      <c r="J35" t="inlineStr">
        <is>
          <t>Pembekuan</t>
        </is>
      </c>
      <c r="K35" t="n">
        <v>90</v>
      </c>
      <c r="L35" t="inlineStr">
        <is>
          <t>13 Oktober 2026</t>
        </is>
      </c>
      <c r="M35" t="inlineStr">
        <is>
          <t>Pekerjaan Struktur Beton</t>
        </is>
      </c>
      <c r="N35" t="inlineStr">
        <is>
          <t>Spesialis</t>
        </is>
      </c>
      <c r="O35" t="inlineStr">
        <is>
          <t>20231014</t>
        </is>
      </c>
      <c r="P35" t="inlineStr">
        <is>
          <t>Riau</t>
        </is>
      </c>
      <c r="Q35" t="inlineStr"/>
    </row>
    <row r="36">
      <c r="A36" t="inlineStr">
        <is>
          <t>BUKIT SARAI</t>
        </is>
      </c>
      <c r="B36" t="inlineStr">
        <is>
          <t>Kab. Kotawaringin Timur</t>
        </is>
      </c>
      <c r="C36" t="inlineStr">
        <is>
          <t>081255024885</t>
        </is>
      </c>
      <c r="D36" t="inlineStr">
        <is>
          <t>jumrimentaya@gmail.com</t>
        </is>
      </c>
      <c r="E36" t="inlineStr">
        <is>
          <t>https://lpjk.pu.go.id/search-badan-usaha-detail/WjdYTzZVLzh3Uzd4WmF4eXN1YTRnZz09</t>
        </is>
      </c>
      <c r="F36" t="n">
        <v>5</v>
      </c>
      <c r="G36" t="inlineStr">
        <is>
          <t>BG001, BG002, BG003, BG006, BS001</t>
        </is>
      </c>
      <c r="H36" t="inlineStr">
        <is>
          <t>12 September 2006</t>
        </is>
      </c>
      <c r="I36" s="2" t="n">
        <v>46308</v>
      </c>
      <c r="J36" t="inlineStr">
        <is>
          <t>Disetujui</t>
        </is>
      </c>
      <c r="K36" t="n">
        <v>90</v>
      </c>
      <c r="L36" t="inlineStr">
        <is>
          <t>13 Oktober 2026</t>
        </is>
      </c>
      <c r="M36" t="inlineStr">
        <is>
          <t>Konstruksi Bangunan Sipil Jalan, Konstruksi Gedung Hunian, Konstruksi Gedung Industri, Konstruksi Gedung Pendidikan, Konstruksi Gedung Perkantoran</t>
        </is>
      </c>
      <c r="N36" t="inlineStr">
        <is>
          <t>K</t>
        </is>
      </c>
      <c r="O36" t="inlineStr">
        <is>
          <t>20231010</t>
        </is>
      </c>
      <c r="P36" t="inlineStr">
        <is>
          <t>Kalimantan Tengah</t>
        </is>
      </c>
      <c r="Q36" t="inlineStr"/>
    </row>
    <row r="37">
      <c r="A37" t="inlineStr">
        <is>
          <t>BUMI MATARAM</t>
        </is>
      </c>
      <c r="B37" t="inlineStr">
        <is>
          <t>Kota Mataram</t>
        </is>
      </c>
      <c r="C37" t="inlineStr">
        <is>
          <t>081913415323</t>
        </is>
      </c>
      <c r="D37" t="inlineStr">
        <is>
          <t>bumimataram9@gmail.com</t>
        </is>
      </c>
      <c r="E37" t="inlineStr">
        <is>
          <t>https://lpjk.pu.go.id/search-badan-usaha-detail/UFBsdW0rWUFVdkNkM211SUxyWDlMUT09</t>
        </is>
      </c>
      <c r="F37" t="n">
        <v>1</v>
      </c>
      <c r="G37" t="inlineStr">
        <is>
          <t>BG001</t>
        </is>
      </c>
      <c r="H37" t="inlineStr">
        <is>
          <t>27 September 2023</t>
        </is>
      </c>
      <c r="I37" s="2" t="n">
        <v>46308</v>
      </c>
      <c r="J37" t="inlineStr">
        <is>
          <t>Disetujui</t>
        </is>
      </c>
      <c r="K37" t="n">
        <v>90</v>
      </c>
      <c r="L37" t="inlineStr">
        <is>
          <t>13 Oktober 2026</t>
        </is>
      </c>
      <c r="M37" t="inlineStr">
        <is>
          <t>Konstruksi Gedung Hunian</t>
        </is>
      </c>
      <c r="N37" t="inlineStr">
        <is>
          <t>K</t>
        </is>
      </c>
      <c r="O37" t="inlineStr">
        <is>
          <t>20231013</t>
        </is>
      </c>
      <c r="P37" t="inlineStr">
        <is>
          <t>Nusa Tenggara Barat</t>
        </is>
      </c>
      <c r="Q37" t="inlineStr"/>
    </row>
    <row r="38">
      <c r="A38" t="inlineStr">
        <is>
          <t>BUMI PASUNDAN</t>
        </is>
      </c>
      <c r="B38" t="inlineStr">
        <is>
          <t>Kota Sukabumi</t>
        </is>
      </c>
      <c r="C38" t="inlineStr">
        <is>
          <t>085214039550</t>
        </is>
      </c>
      <c r="D38" t="inlineStr">
        <is>
          <t>cvbumipasundan@gmail.com</t>
        </is>
      </c>
      <c r="E38" t="inlineStr">
        <is>
          <t>https://lpjk.pu.go.id/search-badan-usaha-detail/dzZzMXZ0bDR0cWhTdlRLOGJXa295QT09</t>
        </is>
      </c>
      <c r="F38" t="n">
        <v>1</v>
      </c>
      <c r="G38" t="inlineStr">
        <is>
          <t>BS004</t>
        </is>
      </c>
      <c r="H38" t="inlineStr">
        <is>
          <t>27 April 2009</t>
        </is>
      </c>
      <c r="I38" s="2" t="n">
        <v>46308</v>
      </c>
      <c r="J38" t="inlineStr">
        <is>
          <t>Disetujui</t>
        </is>
      </c>
      <c r="K38" t="n">
        <v>90</v>
      </c>
      <c r="L38" t="inlineStr">
        <is>
          <t>13 Oktober 2026</t>
        </is>
      </c>
      <c r="M38" t="inlineStr">
        <is>
          <t>Konstruksi Jaringan Irigasi dan Drainase</t>
        </is>
      </c>
      <c r="N38" t="inlineStr">
        <is>
          <t>K</t>
        </is>
      </c>
      <c r="O38" t="inlineStr">
        <is>
          <t>20230928</t>
        </is>
      </c>
      <c r="P38" t="inlineStr">
        <is>
          <t>Jawa Barat</t>
        </is>
      </c>
      <c r="Q38" t="inlineStr"/>
    </row>
    <row r="39">
      <c r="A39" t="inlineStr">
        <is>
          <t>CAHAYA KEJORA</t>
        </is>
      </c>
      <c r="B39" t="inlineStr">
        <is>
          <t>Kab. Manokwari</t>
        </is>
      </c>
      <c r="C39" t="inlineStr">
        <is>
          <t>081331177770</t>
        </is>
      </c>
      <c r="D39" t="inlineStr">
        <is>
          <t>kejoracahaya05@gmail.com</t>
        </is>
      </c>
      <c r="E39" t="inlineStr">
        <is>
          <t>https://lpjk.pu.go.id/search-badan-usaha-detail/V1pmMUhZTXlQQmNaR3hNWW85WWtrQT09</t>
        </is>
      </c>
      <c r="F39" t="n">
        <v>2</v>
      </c>
      <c r="G39" t="inlineStr">
        <is>
          <t>BS001, BS002</t>
        </is>
      </c>
      <c r="H39" t="inlineStr">
        <is>
          <t>26 April 2019</t>
        </is>
      </c>
      <c r="I39" s="2" t="n">
        <v>46308</v>
      </c>
      <c r="J39" t="inlineStr">
        <is>
          <t>Pencabutan</t>
        </is>
      </c>
      <c r="K39" t="n">
        <v>90</v>
      </c>
      <c r="L39" t="inlineStr">
        <is>
          <t>13 Oktober 2026</t>
        </is>
      </c>
      <c r="M39" t="inlineStr">
        <is>
          <t>Bangunan Sipil Jembatan, Jalan Layang, Fly Over, dan Underpass, Konstruksi Bangunan Sipil Jalan</t>
        </is>
      </c>
      <c r="N39" t="inlineStr">
        <is>
          <t>K</t>
        </is>
      </c>
      <c r="O39" t="inlineStr">
        <is>
          <t>20231013</t>
        </is>
      </c>
      <c r="P39" t="inlineStr">
        <is>
          <t>Papua Barat</t>
        </is>
      </c>
      <c r="Q39" t="inlineStr"/>
    </row>
    <row r="40">
      <c r="A40" t="inlineStr">
        <is>
          <t>CAKA ANUGRAH MANDIRI</t>
        </is>
      </c>
      <c r="B40" t="inlineStr">
        <is>
          <t>Kota Makassar</t>
        </is>
      </c>
      <c r="C40" t="inlineStr">
        <is>
          <t>0811467390</t>
        </is>
      </c>
      <c r="D40" t="inlineStr">
        <is>
          <t>cam_mks@yahoo.co.id</t>
        </is>
      </c>
      <c r="E40" t="inlineStr">
        <is>
          <t>https://lpjk.pu.go.id/search-badan-usaha-detail/TEFBMFlLb2pVdkVzc2tIZEZQdWF0Zz09</t>
        </is>
      </c>
      <c r="F40" t="n">
        <v>4</v>
      </c>
      <c r="G40" t="inlineStr">
        <is>
          <t>BG004, BG005, BG006, BS001</t>
        </is>
      </c>
      <c r="H40" t="inlineStr">
        <is>
          <t>19 Mei 2022</t>
        </is>
      </c>
      <c r="I40" s="2" t="n">
        <v>46308</v>
      </c>
      <c r="J40" t="inlineStr">
        <is>
          <t>Disetujui</t>
        </is>
      </c>
      <c r="K40" t="n">
        <v>90</v>
      </c>
      <c r="L40" t="inlineStr">
        <is>
          <t>13 Oktober 2026</t>
        </is>
      </c>
      <c r="M40" t="inlineStr">
        <is>
          <t>Konstruksi Bangunan Sipil Jalan, Konstruksi Gedung Kesehatan, Konstruksi Gedung Pendidikan, Konstruksi Gedung Perbelanjaan</t>
        </is>
      </c>
      <c r="N40" t="inlineStr">
        <is>
          <t>K</t>
        </is>
      </c>
      <c r="O40" t="inlineStr">
        <is>
          <t>20231005, 20231007</t>
        </is>
      </c>
      <c r="P40" t="inlineStr">
        <is>
          <t>Sulawesi Selatan</t>
        </is>
      </c>
      <c r="Q40" t="inlineStr"/>
    </row>
    <row r="41">
      <c r="A41" t="inlineStr">
        <is>
          <t>CITRA KARYA MANDIRI</t>
        </is>
      </c>
      <c r="B41" t="inlineStr">
        <is>
          <t>Kota Bandung</t>
        </is>
      </c>
      <c r="C41" t="inlineStr">
        <is>
          <t>0227565827</t>
        </is>
      </c>
      <c r="D41" t="inlineStr">
        <is>
          <t>cvckmbdg@gmail.com</t>
        </is>
      </c>
      <c r="E41" t="inlineStr">
        <is>
          <t>https://lpjk.pu.go.id/search-badan-usaha-detail/NWhRN2kzQy9VK2lXNy9hb2ZJdmplQT09</t>
        </is>
      </c>
      <c r="F41" t="n">
        <v>1</v>
      </c>
      <c r="G41" t="inlineStr">
        <is>
          <t>BG002</t>
        </is>
      </c>
      <c r="H41" t="inlineStr">
        <is>
          <t>21 April 1992</t>
        </is>
      </c>
      <c r="I41" s="2" t="n">
        <v>46308</v>
      </c>
      <c r="J41" t="inlineStr">
        <is>
          <t>Disetujui</t>
        </is>
      </c>
      <c r="K41" t="n">
        <v>90</v>
      </c>
      <c r="L41" t="inlineStr">
        <is>
          <t>13 Oktober 2026</t>
        </is>
      </c>
      <c r="M41" t="inlineStr">
        <is>
          <t>Konstruksi Gedung Perkantoran</t>
        </is>
      </c>
      <c r="N41" t="inlineStr">
        <is>
          <t>K</t>
        </is>
      </c>
      <c r="O41" t="inlineStr">
        <is>
          <t>20231006</t>
        </is>
      </c>
      <c r="P41" t="inlineStr">
        <is>
          <t>Jawa Barat</t>
        </is>
      </c>
      <c r="Q41" t="inlineStr"/>
    </row>
    <row r="42">
      <c r="A42" t="inlineStr">
        <is>
          <t>CITRA SEJAHTERA MANDIRI</t>
        </is>
      </c>
      <c r="B42" t="inlineStr">
        <is>
          <t>Kab. Kotabaru</t>
        </is>
      </c>
      <c r="C42" t="inlineStr">
        <is>
          <t>082154962879</t>
        </is>
      </c>
      <c r="D42" t="inlineStr">
        <is>
          <t>cv.citrasejahteramandiri@yahoo.co.id</t>
        </is>
      </c>
      <c r="E42" t="inlineStr">
        <is>
          <t>https://lpjk.pu.go.id/search-badan-usaha-detail/aEY2Uk5LZEFCZmM1TUdXeEk0SkR2UT09</t>
        </is>
      </c>
      <c r="F42" t="n">
        <v>1</v>
      </c>
      <c r="G42" t="inlineStr">
        <is>
          <t>BG001</t>
        </is>
      </c>
      <c r="H42" t="inlineStr">
        <is>
          <t>26 Desember 2000</t>
        </is>
      </c>
      <c r="I42" s="2" t="n">
        <v>46308</v>
      </c>
      <c r="J42" t="inlineStr">
        <is>
          <t>Disetujui</t>
        </is>
      </c>
      <c r="K42" t="n">
        <v>90</v>
      </c>
      <c r="L42" t="inlineStr">
        <is>
          <t>13 Oktober 2026</t>
        </is>
      </c>
      <c r="M42" t="inlineStr">
        <is>
          <t>Konstruksi Gedung Hunian</t>
        </is>
      </c>
      <c r="N42" t="inlineStr">
        <is>
          <t>K</t>
        </is>
      </c>
      <c r="O42" t="inlineStr">
        <is>
          <t>20231011</t>
        </is>
      </c>
      <c r="P42" t="inlineStr">
        <is>
          <t>Kalimantan Selatan</t>
        </is>
      </c>
      <c r="Q42" t="inlineStr"/>
    </row>
    <row r="43">
      <c r="A43" t="inlineStr">
        <is>
          <t>ELURI GROUP</t>
        </is>
      </c>
      <c r="B43" t="inlineStr">
        <is>
          <t>Kab. Cianjur</t>
        </is>
      </c>
      <c r="C43" t="inlineStr">
        <is>
          <t>085216670766</t>
        </is>
      </c>
      <c r="D43" t="inlineStr">
        <is>
          <t>elurigroup@yahoo.com</t>
        </is>
      </c>
      <c r="E43" t="inlineStr">
        <is>
          <t>https://lpjk.pu.go.id/search-badan-usaha-detail/SnJ3SW5Gd3JTMWM5QWxvUTlNMWtxUT09</t>
        </is>
      </c>
      <c r="F43" t="n">
        <v>1</v>
      </c>
      <c r="G43" t="inlineStr">
        <is>
          <t>BG006</t>
        </is>
      </c>
      <c r="H43" t="inlineStr">
        <is>
          <t>1 Oktober 1993</t>
        </is>
      </c>
      <c r="I43" s="2" t="n">
        <v>46308</v>
      </c>
      <c r="J43" t="inlineStr">
        <is>
          <t>Disetujui</t>
        </is>
      </c>
      <c r="K43" t="n">
        <v>90</v>
      </c>
      <c r="L43" t="inlineStr">
        <is>
          <t>13 Oktober 2026</t>
        </is>
      </c>
      <c r="M43" t="inlineStr">
        <is>
          <t>Konstruksi Gedung Pendidikan</t>
        </is>
      </c>
      <c r="N43" t="inlineStr">
        <is>
          <t>K</t>
        </is>
      </c>
      <c r="O43" t="inlineStr">
        <is>
          <t>20231012</t>
        </is>
      </c>
      <c r="P43" t="inlineStr">
        <is>
          <t>Jawa Barat</t>
        </is>
      </c>
      <c r="Q43" t="inlineStr"/>
    </row>
    <row r="44">
      <c r="A44" t="inlineStr">
        <is>
          <t>ENAM ENAM PEMALANG</t>
        </is>
      </c>
      <c r="B44" t="inlineStr">
        <is>
          <t>Kab. Pemalang</t>
        </is>
      </c>
      <c r="C44" t="inlineStr">
        <is>
          <t>0284321472</t>
        </is>
      </c>
      <c r="D44" t="inlineStr">
        <is>
          <t>enamenam403@gmail.com</t>
        </is>
      </c>
      <c r="E44" t="inlineStr">
        <is>
          <t>https://lpjk.pu.go.id/search-badan-usaha-detail/azlsN1pJSVN4eUswK1g2Sm40N1E2UT09</t>
        </is>
      </c>
      <c r="F44" t="n">
        <v>3</v>
      </c>
      <c r="G44" t="inlineStr">
        <is>
          <t>BG006, BG009, BS001</t>
        </is>
      </c>
      <c r="H44" t="inlineStr">
        <is>
          <t>24 Maret 1997</t>
        </is>
      </c>
      <c r="I44" s="2" t="n">
        <v>46308</v>
      </c>
      <c r="J44" t="inlineStr">
        <is>
          <t>Disetujui</t>
        </is>
      </c>
      <c r="K44" t="n">
        <v>90</v>
      </c>
      <c r="L44" t="inlineStr">
        <is>
          <t>13 Oktober 2026</t>
        </is>
      </c>
      <c r="M44" t="inlineStr">
        <is>
          <t>Konstruksi Bangunan Sipil Jalan, Konstruksi Gedung Lainnya, Konstruksi Gedung Pendidikan</t>
        </is>
      </c>
      <c r="N44" t="inlineStr">
        <is>
          <t>K</t>
        </is>
      </c>
      <c r="O44" t="inlineStr">
        <is>
          <t>20231009</t>
        </is>
      </c>
      <c r="P44" t="inlineStr">
        <is>
          <t>Jawa Tengah</t>
        </is>
      </c>
      <c r="Q44" t="inlineStr"/>
    </row>
    <row r="45">
      <c r="A45" t="inlineStr">
        <is>
          <t>ESTU RAMA ABDI</t>
        </is>
      </c>
      <c r="B45" t="inlineStr">
        <is>
          <t>Kab. Mempawah</t>
        </is>
      </c>
      <c r="C45" t="inlineStr">
        <is>
          <t>085245548811</t>
        </is>
      </c>
      <c r="D45" t="inlineStr">
        <is>
          <t>esturamaabdi77@gmail.com</t>
        </is>
      </c>
      <c r="E45" t="inlineStr">
        <is>
          <t>https://lpjk.pu.go.id/search-badan-usaha-detail/ZEpabllqMTZFNTZJQnMvU2t5a0I5dz09</t>
        </is>
      </c>
      <c r="F45" t="n">
        <v>1</v>
      </c>
      <c r="G45" t="inlineStr">
        <is>
          <t>BG009</t>
        </is>
      </c>
      <c r="H45" t="inlineStr">
        <is>
          <t>26 Februari 2002</t>
        </is>
      </c>
      <c r="I45" s="2" t="n">
        <v>46308</v>
      </c>
      <c r="J45" t="inlineStr">
        <is>
          <t>Disetujui</t>
        </is>
      </c>
      <c r="K45" t="n">
        <v>90</v>
      </c>
      <c r="L45" t="inlineStr">
        <is>
          <t>13 Oktober 2026</t>
        </is>
      </c>
      <c r="M45" t="inlineStr">
        <is>
          <t>Konstruksi Gedung Lainnya</t>
        </is>
      </c>
      <c r="N45" t="inlineStr">
        <is>
          <t>K</t>
        </is>
      </c>
      <c r="O45" t="inlineStr">
        <is>
          <t>20231003</t>
        </is>
      </c>
      <c r="P45" t="inlineStr">
        <is>
          <t>Kalimantan Barat</t>
        </is>
      </c>
      <c r="Q45" t="inlineStr"/>
    </row>
    <row r="46">
      <c r="A46" t="inlineStr">
        <is>
          <t>FARSYAH CIPTA BERSAMA</t>
        </is>
      </c>
      <c r="B46" t="inlineStr">
        <is>
          <t>Kota Bitung</t>
        </is>
      </c>
      <c r="C46" t="inlineStr">
        <is>
          <t>0</t>
        </is>
      </c>
      <c r="D46" t="inlineStr">
        <is>
          <t>cv.farsyahciptabersama@gmail.com</t>
        </is>
      </c>
      <c r="E46" t="inlineStr">
        <is>
          <t>https://lpjk.pu.go.id/search-badan-usaha-detail/bDY4VVl1MkwxMnZGNXRjaVp3Yzk5Zz09</t>
        </is>
      </c>
      <c r="F46" t="n">
        <v>4</v>
      </c>
      <c r="G46" t="inlineStr">
        <is>
          <t>BG002, BG005, BG006, BG009</t>
        </is>
      </c>
      <c r="H46" t="inlineStr">
        <is>
          <t>14 Januari 2020</t>
        </is>
      </c>
      <c r="I46" s="2" t="n">
        <v>46308</v>
      </c>
      <c r="J46" t="inlineStr">
        <is>
          <t>Disetujui</t>
        </is>
      </c>
      <c r="K46" t="n">
        <v>90</v>
      </c>
      <c r="L46" t="inlineStr">
        <is>
          <t>13 Oktober 2026</t>
        </is>
      </c>
      <c r="M46" t="inlineStr">
        <is>
          <t>Konstruksi Gedung Kesehatan, Konstruksi Gedung Lainnya, Konstruksi Gedung Pendidikan, Konstruksi Gedung Perkantoran</t>
        </is>
      </c>
      <c r="N46" t="inlineStr">
        <is>
          <t>K</t>
        </is>
      </c>
      <c r="O46" t="inlineStr">
        <is>
          <t>20231011</t>
        </is>
      </c>
      <c r="P46" t="inlineStr">
        <is>
          <t>Sulawesi Utara</t>
        </is>
      </c>
      <c r="Q46" t="inlineStr"/>
    </row>
    <row r="47">
      <c r="A47" t="inlineStr">
        <is>
          <t>GELANNY</t>
        </is>
      </c>
      <c r="B47" t="inlineStr">
        <is>
          <t>Kab. Jayawijaya</t>
        </is>
      </c>
      <c r="C47" t="inlineStr">
        <is>
          <t>081214840886</t>
        </is>
      </c>
      <c r="D47" t="inlineStr">
        <is>
          <t>cv.gelanny23@gmail.com</t>
        </is>
      </c>
      <c r="E47" t="inlineStr">
        <is>
          <t>https://lpjk.pu.go.id/search-badan-usaha-detail/blRvdU5aTFFkZnpZWmJjNGJmVGJnZz09</t>
        </is>
      </c>
      <c r="F47" t="n">
        <v>1</v>
      </c>
      <c r="G47" t="inlineStr">
        <is>
          <t>BS005</t>
        </is>
      </c>
      <c r="H47" t="inlineStr">
        <is>
          <t>29 Maret 2023</t>
        </is>
      </c>
      <c r="I47" s="2" t="n">
        <v>46308</v>
      </c>
      <c r="J47" t="inlineStr">
        <is>
          <t>Disetujui</t>
        </is>
      </c>
      <c r="K47" t="n">
        <v>90</v>
      </c>
      <c r="L47" t="inlineStr">
        <is>
          <t>13 Oktober 2026</t>
        </is>
      </c>
      <c r="M47" t="inlineStr">
        <is>
          <t>Konstruksi Bangunan Sipil Pengolahan Air Bersih</t>
        </is>
      </c>
      <c r="N47" t="inlineStr">
        <is>
          <t>K</t>
        </is>
      </c>
      <c r="O47" t="inlineStr">
        <is>
          <t>20231010</t>
        </is>
      </c>
      <c r="P47" t="inlineStr">
        <is>
          <t>Papua</t>
        </is>
      </c>
      <c r="Q47" t="inlineStr"/>
    </row>
    <row r="48">
      <c r="A48" t="inlineStr">
        <is>
          <t>GEUBRINA RACHMAT RIZKY</t>
        </is>
      </c>
      <c r="B48" t="inlineStr">
        <is>
          <t>Kota Medan</t>
        </is>
      </c>
      <c r="C48" t="inlineStr">
        <is>
          <t>085362246085</t>
        </is>
      </c>
      <c r="D48" t="inlineStr">
        <is>
          <t>geubrina.danarizky@gmail.com</t>
        </is>
      </c>
      <c r="E48" t="inlineStr">
        <is>
          <t>https://lpjk.pu.go.id/search-badan-usaha-detail/QWN2SHNlK2hHL1ptMGZ5Z1ZiR1VUUT09</t>
        </is>
      </c>
      <c r="F48" t="n">
        <v>1</v>
      </c>
      <c r="G48" t="inlineStr">
        <is>
          <t>BS005</t>
        </is>
      </c>
      <c r="H48" t="inlineStr">
        <is>
          <t>31 Mei 2006</t>
        </is>
      </c>
      <c r="I48" s="2" t="n">
        <v>46308</v>
      </c>
      <c r="J48" t="inlineStr">
        <is>
          <t>Disetujui</t>
        </is>
      </c>
      <c r="K48" t="n">
        <v>90</v>
      </c>
      <c r="L48" t="inlineStr">
        <is>
          <t>13 Oktober 2026</t>
        </is>
      </c>
      <c r="M48" t="inlineStr">
        <is>
          <t>Konstruksi Bangunan Sipil Pengolahan Air Bersih</t>
        </is>
      </c>
      <c r="N48" t="inlineStr">
        <is>
          <t>K</t>
        </is>
      </c>
      <c r="O48" t="inlineStr">
        <is>
          <t>20231012</t>
        </is>
      </c>
      <c r="P48" t="inlineStr">
        <is>
          <t>Sumatera Utara</t>
        </is>
      </c>
      <c r="Q48" t="inlineStr"/>
    </row>
    <row r="49">
      <c r="A49" t="inlineStr">
        <is>
          <t>GITA AGUNG PERSADA</t>
        </is>
      </c>
      <c r="B49" t="inlineStr">
        <is>
          <t>Kota Adm. Jakarta Selatan</t>
        </is>
      </c>
      <c r="C49" t="inlineStr">
        <is>
          <t>0218353151</t>
        </is>
      </c>
      <c r="D49" t="inlineStr">
        <is>
          <t>cvgitaagungpersada@yahoo.co.id</t>
        </is>
      </c>
      <c r="E49" t="inlineStr">
        <is>
          <t>https://lpjk.pu.go.id/search-badan-usaha-detail/bDEyU3lET1ZsemFld25ZRk1RY2I2UT09</t>
        </is>
      </c>
      <c r="F49" t="n">
        <v>1</v>
      </c>
      <c r="G49" t="inlineStr">
        <is>
          <t>BS001</t>
        </is>
      </c>
      <c r="H49" t="inlineStr">
        <is>
          <t>23 Desember 2002</t>
        </is>
      </c>
      <c r="I49" s="2" t="n">
        <v>46308</v>
      </c>
      <c r="J49" t="inlineStr">
        <is>
          <t>Disetujui</t>
        </is>
      </c>
      <c r="K49" t="n">
        <v>90</v>
      </c>
      <c r="L49" t="inlineStr">
        <is>
          <t>13 Oktober 2026</t>
        </is>
      </c>
      <c r="M49" t="inlineStr">
        <is>
          <t>Konstruksi Bangunan Sipil Jalan</t>
        </is>
      </c>
      <c r="N49" t="inlineStr">
        <is>
          <t>K</t>
        </is>
      </c>
      <c r="O49" t="inlineStr">
        <is>
          <t>20231011</t>
        </is>
      </c>
      <c r="P49" t="inlineStr">
        <is>
          <t>DKI Jakarta</t>
        </is>
      </c>
      <c r="Q49" t="inlineStr"/>
    </row>
    <row r="50">
      <c r="A50" t="inlineStr">
        <is>
          <t>GITA NATA JAYA</t>
        </is>
      </c>
      <c r="B50" t="inlineStr">
        <is>
          <t>Kota Kendari</t>
        </is>
      </c>
      <c r="C50" t="inlineStr">
        <is>
          <t>08114034103</t>
        </is>
      </c>
      <c r="D50" t="inlineStr">
        <is>
          <t>gitanatajaya@gmail.com</t>
        </is>
      </c>
      <c r="E50" t="inlineStr">
        <is>
          <t>https://lpjk.pu.go.id/search-badan-usaha-detail/T1cxbjFVRWl1cjdycmRjUTV2SjRKUT09</t>
        </is>
      </c>
      <c r="F50" t="n">
        <v>1</v>
      </c>
      <c r="G50" t="inlineStr">
        <is>
          <t>BS001</t>
        </is>
      </c>
      <c r="H50" t="inlineStr">
        <is>
          <t>18 September 2023</t>
        </is>
      </c>
      <c r="I50" s="2" t="n">
        <v>46308</v>
      </c>
      <c r="J50" t="inlineStr">
        <is>
          <t>Disetujui</t>
        </is>
      </c>
      <c r="K50" t="n">
        <v>90</v>
      </c>
      <c r="L50" t="inlineStr">
        <is>
          <t>13 Oktober 2026</t>
        </is>
      </c>
      <c r="M50" t="inlineStr">
        <is>
          <t>Konstruksi Bangunan Sipil Jalan</t>
        </is>
      </c>
      <c r="N50" t="inlineStr">
        <is>
          <t>K</t>
        </is>
      </c>
      <c r="O50" t="inlineStr">
        <is>
          <t>20231010</t>
        </is>
      </c>
      <c r="P50" t="inlineStr">
        <is>
          <t>Sulawesi Tenggara</t>
        </is>
      </c>
      <c r="Q50" t="inlineStr"/>
    </row>
    <row r="51">
      <c r="A51" t="inlineStr">
        <is>
          <t>GRAHA CIPTA BOJONEGORO</t>
        </is>
      </c>
      <c r="B51" t="inlineStr">
        <is>
          <t>Kab. Bojonegoro</t>
        </is>
      </c>
      <c r="C51" t="inlineStr">
        <is>
          <t>081232929990</t>
        </is>
      </c>
      <c r="D51" t="inlineStr">
        <is>
          <t>Grahaciptaku@gmail.com</t>
        </is>
      </c>
      <c r="E51" t="inlineStr">
        <is>
          <t>https://lpjk.pu.go.id/search-badan-usaha-detail/OUhXemVTS24yZDRQaGVwaGc2dHBWQT09</t>
        </is>
      </c>
      <c r="F51" t="n">
        <v>1</v>
      </c>
      <c r="G51" t="inlineStr">
        <is>
          <t>BS002</t>
        </is>
      </c>
      <c r="H51" t="inlineStr">
        <is>
          <t>28 Maret 2008</t>
        </is>
      </c>
      <c r="I51" s="2" t="n">
        <v>46308</v>
      </c>
      <c r="J51" t="inlineStr">
        <is>
          <t>Disetujui</t>
        </is>
      </c>
      <c r="K51" t="n">
        <v>90</v>
      </c>
      <c r="L51" t="inlineStr">
        <is>
          <t>13 Oktober 2026</t>
        </is>
      </c>
      <c r="M51" t="inlineStr">
        <is>
          <t>Bangunan Sipil Jembatan, Jalan Layang, Fly Over, dan Underpass</t>
        </is>
      </c>
      <c r="N51" t="inlineStr">
        <is>
          <t>K</t>
        </is>
      </c>
      <c r="O51" t="inlineStr">
        <is>
          <t>20231009</t>
        </is>
      </c>
      <c r="P51" t="inlineStr">
        <is>
          <t>Jawa Timur</t>
        </is>
      </c>
      <c r="Q51" t="inlineStr"/>
    </row>
    <row r="52">
      <c r="A52" t="inlineStr">
        <is>
          <t>GRAHA KONSTRUKSI INDONESIA</t>
        </is>
      </c>
      <c r="B52" t="inlineStr">
        <is>
          <t>Kab. Bandung</t>
        </is>
      </c>
      <c r="C52" t="inlineStr">
        <is>
          <t>087886258515</t>
        </is>
      </c>
      <c r="D52" t="inlineStr">
        <is>
          <t>ptgraha.konstruksi.indonesia@gmail.com</t>
        </is>
      </c>
      <c r="E52" t="inlineStr">
        <is>
          <t>https://lpjk.pu.go.id/search-badan-usaha-detail/OHlpMnkzM0ZxbUxVNmV5SXd1TVRQUT09</t>
        </is>
      </c>
      <c r="F52" t="n">
        <v>2</v>
      </c>
      <c r="G52" t="inlineStr">
        <is>
          <t>BG001, BG002</t>
        </is>
      </c>
      <c r="H52" t="inlineStr">
        <is>
          <t>5 Januari 2015</t>
        </is>
      </c>
      <c r="I52" s="2" t="n">
        <v>46308</v>
      </c>
      <c r="J52" t="inlineStr">
        <is>
          <t>Disetujui</t>
        </is>
      </c>
      <c r="K52" t="n">
        <v>90</v>
      </c>
      <c r="L52" t="inlineStr">
        <is>
          <t>13 Oktober 2026</t>
        </is>
      </c>
      <c r="M52" t="inlineStr">
        <is>
          <t>Konstruksi Gedung Hunian, Konstruksi Gedung Perkantoran</t>
        </is>
      </c>
      <c r="N52" t="inlineStr">
        <is>
          <t>K</t>
        </is>
      </c>
      <c r="O52" t="inlineStr">
        <is>
          <t>20231012</t>
        </is>
      </c>
      <c r="P52" t="inlineStr">
        <is>
          <t>Jawa Barat</t>
        </is>
      </c>
      <c r="Q52" t="inlineStr"/>
    </row>
    <row r="53">
      <c r="A53" t="inlineStr">
        <is>
          <t>GRAHA NUSA GEMILANG</t>
        </is>
      </c>
      <c r="B53" t="inlineStr">
        <is>
          <t>Kota Mataram</t>
        </is>
      </c>
      <c r="C53" t="inlineStr">
        <is>
          <t>087761237430</t>
        </is>
      </c>
      <c r="D53" t="inlineStr">
        <is>
          <t>ptgrahanusagemilang@gmail.com</t>
        </is>
      </c>
      <c r="E53" t="inlineStr">
        <is>
          <t>https://lpjk.pu.go.id/search-badan-usaha-detail/bWNaY2s5YnpBeDdmRjg0Q0RlaVZ3dz09</t>
        </is>
      </c>
      <c r="F53" t="n">
        <v>2</v>
      </c>
      <c r="G53" t="inlineStr">
        <is>
          <t>BG001, BG009</t>
        </is>
      </c>
      <c r="H53" t="inlineStr">
        <is>
          <t>28 Desember 2022</t>
        </is>
      </c>
      <c r="I53" s="2" t="n">
        <v>46308</v>
      </c>
      <c r="J53" t="inlineStr">
        <is>
          <t>Disetujui</t>
        </is>
      </c>
      <c r="K53" t="n">
        <v>90</v>
      </c>
      <c r="L53" t="inlineStr">
        <is>
          <t>13 Oktober 2026</t>
        </is>
      </c>
      <c r="M53" t="inlineStr">
        <is>
          <t>Konstruksi Gedung Hunian, Konstruksi Gedung Lainnya</t>
        </is>
      </c>
      <c r="N53" t="inlineStr">
        <is>
          <t>K</t>
        </is>
      </c>
      <c r="O53" t="inlineStr">
        <is>
          <t>20231013</t>
        </is>
      </c>
      <c r="P53" t="inlineStr">
        <is>
          <t>Nusa Tenggara Barat</t>
        </is>
      </c>
      <c r="Q53" t="inlineStr"/>
    </row>
    <row r="54">
      <c r="A54" t="inlineStr">
        <is>
          <t>GRASIA PRIMA UTAMA</t>
        </is>
      </c>
      <c r="B54" t="inlineStr">
        <is>
          <t>Kab. Kutai Timur</t>
        </is>
      </c>
      <c r="C54" t="inlineStr">
        <is>
          <t>081346377931</t>
        </is>
      </c>
      <c r="D54" t="inlineStr">
        <is>
          <t>grasia_gpu@yahoo.com</t>
        </is>
      </c>
      <c r="E54" t="inlineStr">
        <is>
          <t>https://lpjk.pu.go.id/search-badan-usaha-detail/Njh4ek9KWjdWcUVBU3NSNWJmNjkyZz09</t>
        </is>
      </c>
      <c r="F54" t="n">
        <v>1</v>
      </c>
      <c r="G54" t="inlineStr">
        <is>
          <t>BG005</t>
        </is>
      </c>
      <c r="H54" t="inlineStr">
        <is>
          <t>2 Oktober 2023</t>
        </is>
      </c>
      <c r="I54" s="2" t="n">
        <v>46308</v>
      </c>
      <c r="J54" t="inlineStr">
        <is>
          <t>Disetujui</t>
        </is>
      </c>
      <c r="K54" t="n">
        <v>90</v>
      </c>
      <c r="L54" t="inlineStr">
        <is>
          <t>13 Oktober 2026</t>
        </is>
      </c>
      <c r="M54" t="inlineStr">
        <is>
          <t>Konstruksi Gedung Kesehatan</t>
        </is>
      </c>
      <c r="N54" t="inlineStr">
        <is>
          <t>K</t>
        </is>
      </c>
      <c r="O54" t="inlineStr">
        <is>
          <t>20231012</t>
        </is>
      </c>
      <c r="P54" t="inlineStr">
        <is>
          <t>Kalimantan Timur</t>
        </is>
      </c>
      <c r="Q54" t="inlineStr"/>
    </row>
    <row r="55">
      <c r="A55" t="inlineStr">
        <is>
          <t>GUSTI AYU BROTHER</t>
        </is>
      </c>
      <c r="B55" t="inlineStr">
        <is>
          <t>Kota Lubuk Linggau</t>
        </is>
      </c>
      <c r="C55" t="inlineStr">
        <is>
          <t>082282186073</t>
        </is>
      </c>
      <c r="D55" t="inlineStr">
        <is>
          <t>cvgustiayubrother@gmail.com</t>
        </is>
      </c>
      <c r="E55" t="inlineStr">
        <is>
          <t>https://lpjk.pu.go.id/search-badan-usaha-detail/bm9lbGJKMmhoVzJMeWtUL1lXMGJmZz09</t>
        </is>
      </c>
      <c r="F55" t="n">
        <v>1</v>
      </c>
      <c r="G55" t="inlineStr">
        <is>
          <t>BG006</t>
        </is>
      </c>
      <c r="H55" t="inlineStr">
        <is>
          <t>14 Agustus 2023</t>
        </is>
      </c>
      <c r="I55" s="2" t="n">
        <v>46308</v>
      </c>
      <c r="J55" t="inlineStr">
        <is>
          <t>Disetujui</t>
        </is>
      </c>
      <c r="K55" t="n">
        <v>90</v>
      </c>
      <c r="L55" t="inlineStr">
        <is>
          <t>13 Oktober 2026</t>
        </is>
      </c>
      <c r="M55" t="inlineStr">
        <is>
          <t>Konstruksi Gedung Pendidikan</t>
        </is>
      </c>
      <c r="N55" t="inlineStr">
        <is>
          <t>K</t>
        </is>
      </c>
      <c r="O55" t="inlineStr">
        <is>
          <t>20231012</t>
        </is>
      </c>
      <c r="P55" t="inlineStr">
        <is>
          <t>Sumatera Selatan</t>
        </is>
      </c>
      <c r="Q55" t="inlineStr"/>
    </row>
    <row r="56">
      <c r="A56" t="inlineStr">
        <is>
          <t>GUSTI MAJU MANDIRI</t>
        </is>
      </c>
      <c r="B56" t="inlineStr">
        <is>
          <t>Kota Lubuk Linggau</t>
        </is>
      </c>
      <c r="C56" t="inlineStr">
        <is>
          <t>082231891341</t>
        </is>
      </c>
      <c r="D56" t="inlineStr">
        <is>
          <t>cvgustimajumandiri@gmail.com</t>
        </is>
      </c>
      <c r="E56" t="inlineStr">
        <is>
          <t>https://lpjk.pu.go.id/search-badan-usaha-detail/dE5BVWI0NDVoS1R6ZHFlYVBsS3hqUT09</t>
        </is>
      </c>
      <c r="F56" t="n">
        <v>2</v>
      </c>
      <c r="G56" t="inlineStr">
        <is>
          <t>BG002, BG005</t>
        </is>
      </c>
      <c r="H56" t="inlineStr">
        <is>
          <t>15 September 2023</t>
        </is>
      </c>
      <c r="I56" s="2" t="n">
        <v>46308</v>
      </c>
      <c r="J56" t="inlineStr">
        <is>
          <t>Disetujui</t>
        </is>
      </c>
      <c r="K56" t="n">
        <v>90</v>
      </c>
      <c r="L56" t="inlineStr">
        <is>
          <t>13 Oktober 2026</t>
        </is>
      </c>
      <c r="M56" t="inlineStr">
        <is>
          <t>Konstruksi Gedung Kesehatan, Konstruksi Gedung Perkantoran</t>
        </is>
      </c>
      <c r="N56" t="inlineStr">
        <is>
          <t>K</t>
        </is>
      </c>
      <c r="O56" t="inlineStr">
        <is>
          <t>20231012</t>
        </is>
      </c>
      <c r="P56" t="inlineStr">
        <is>
          <t>Sumatera Selatan</t>
        </is>
      </c>
      <c r="Q56" t="inlineStr"/>
    </row>
    <row r="57">
      <c r="A57" t="inlineStr">
        <is>
          <t>ILHAM RIZKY ABADI</t>
        </is>
      </c>
      <c r="B57" t="inlineStr">
        <is>
          <t>Kota Pontianak</t>
        </is>
      </c>
      <c r="C57" t="inlineStr">
        <is>
          <t>082253649369</t>
        </is>
      </c>
      <c r="D57" t="inlineStr">
        <is>
          <t>ilhamrizkyabadi@gmail.com</t>
        </is>
      </c>
      <c r="E57" t="inlineStr">
        <is>
          <t>https://lpjk.pu.go.id/search-badan-usaha-detail/Q29LYlhmNjUyWTFBSUFTSzdIckFZZz09</t>
        </is>
      </c>
      <c r="F57" t="n">
        <v>5</v>
      </c>
      <c r="G57" t="inlineStr">
        <is>
          <t>BG005, BG006, BG009, BS001, BS004</t>
        </is>
      </c>
      <c r="H57" t="inlineStr">
        <is>
          <t>24 November 2006</t>
        </is>
      </c>
      <c r="I57" s="2" t="n">
        <v>46308</v>
      </c>
      <c r="J57" t="inlineStr">
        <is>
          <t>Disetujui</t>
        </is>
      </c>
      <c r="K57" t="n">
        <v>90</v>
      </c>
      <c r="L57" t="inlineStr">
        <is>
          <t>13 Oktober 2026</t>
        </is>
      </c>
      <c r="M57" t="inlineStr">
        <is>
          <t>Konstruksi Bangunan Sipil Jalan, Konstruksi Gedung Kesehatan, Konstruksi Gedung Lainnya, Konstruksi Gedung Pendidikan, Konstruksi Jaringan Irigasi dan Drainase</t>
        </is>
      </c>
      <c r="N57" t="inlineStr">
        <is>
          <t>K</t>
        </is>
      </c>
      <c r="O57" t="inlineStr">
        <is>
          <t>20231010</t>
        </is>
      </c>
      <c r="P57" t="inlineStr">
        <is>
          <t>Kalimantan Barat</t>
        </is>
      </c>
      <c r="Q57" t="inlineStr"/>
    </row>
    <row r="58">
      <c r="A58" t="inlineStr">
        <is>
          <t>JAYA ABADI MEMBANGUN</t>
        </is>
      </c>
      <c r="B58" t="inlineStr">
        <is>
          <t>Kota Palembang</t>
        </is>
      </c>
      <c r="C58" t="inlineStr">
        <is>
          <t>082177778983</t>
        </is>
      </c>
      <c r="D58" t="inlineStr">
        <is>
          <t>cvjayaabadimembangun@gmail.com</t>
        </is>
      </c>
      <c r="E58" t="inlineStr">
        <is>
          <t>https://lpjk.pu.go.id/search-badan-usaha-detail/MTRnRmwvTU9GMkowL3YwU3FVV2hOUT09</t>
        </is>
      </c>
      <c r="F58" t="n">
        <v>1</v>
      </c>
      <c r="G58" t="inlineStr">
        <is>
          <t>BG006</t>
        </is>
      </c>
      <c r="H58" t="inlineStr">
        <is>
          <t>11 Januari 2016</t>
        </is>
      </c>
      <c r="I58" s="2" t="n">
        <v>46308</v>
      </c>
      <c r="J58" t="inlineStr">
        <is>
          <t>Disetujui</t>
        </is>
      </c>
      <c r="K58" t="n">
        <v>90</v>
      </c>
      <c r="L58" t="inlineStr">
        <is>
          <t>13 Oktober 2026</t>
        </is>
      </c>
      <c r="M58" t="inlineStr">
        <is>
          <t>Konstruksi Gedung Pendidikan</t>
        </is>
      </c>
      <c r="N58" t="inlineStr">
        <is>
          <t>K</t>
        </is>
      </c>
      <c r="O58" t="inlineStr">
        <is>
          <t>20231011</t>
        </is>
      </c>
      <c r="P58" t="inlineStr">
        <is>
          <t>Sumatera Selatan</t>
        </is>
      </c>
      <c r="Q58" t="inlineStr"/>
    </row>
    <row r="59">
      <c r="A59" t="inlineStr">
        <is>
          <t>JAYA MANDIRI</t>
        </is>
      </c>
      <c r="B59" t="inlineStr">
        <is>
          <t>Kota Banjarmasin</t>
        </is>
      </c>
      <c r="C59" t="inlineStr">
        <is>
          <t>08125013434</t>
        </is>
      </c>
      <c r="D59" t="inlineStr">
        <is>
          <t>cvjayamandiri69@gmail.com</t>
        </is>
      </c>
      <c r="E59" t="inlineStr">
        <is>
          <t>https://lpjk.pu.go.id/search-badan-usaha-detail/NGlndnQzYVIvM3pLaWdWbzNXTm12dz09</t>
        </is>
      </c>
      <c r="F59" t="n">
        <v>1</v>
      </c>
      <c r="G59" t="inlineStr">
        <is>
          <t>BG001</t>
        </is>
      </c>
      <c r="H59" t="inlineStr">
        <is>
          <t>6 Januari 2020</t>
        </is>
      </c>
      <c r="I59" s="2" t="n">
        <v>46308</v>
      </c>
      <c r="J59" t="inlineStr">
        <is>
          <t>Pencabutan</t>
        </is>
      </c>
      <c r="K59" t="n">
        <v>90</v>
      </c>
      <c r="L59" t="inlineStr">
        <is>
          <t>13 Oktober 2026</t>
        </is>
      </c>
      <c r="M59" t="inlineStr">
        <is>
          <t>Konstruksi Gedung Hunian</t>
        </is>
      </c>
      <c r="N59" t="inlineStr">
        <is>
          <t>K</t>
        </is>
      </c>
      <c r="O59" t="inlineStr">
        <is>
          <t>20231012</t>
        </is>
      </c>
      <c r="P59" t="inlineStr">
        <is>
          <t>Kalimantan Selatan</t>
        </is>
      </c>
      <c r="Q59" t="inlineStr"/>
    </row>
    <row r="60">
      <c r="A60" t="inlineStr">
        <is>
          <t>JAYA RAYA SENTOSA TEHNIK</t>
        </is>
      </c>
      <c r="B60" t="inlineStr">
        <is>
          <t>Kota Adm. Jakarta Pusat</t>
        </is>
      </c>
      <c r="C60" t="inlineStr">
        <is>
          <t>02121476272</t>
        </is>
      </c>
      <c r="D60" t="inlineStr">
        <is>
          <t>jayarayasentosateknik@gmail.com</t>
        </is>
      </c>
      <c r="E60" t="inlineStr">
        <is>
          <t>https://lpjk.pu.go.id/search-badan-usaha-detail/R0lmL3R0a0dPcnpqcWxHeHlCQnZzQT09</t>
        </is>
      </c>
      <c r="F60" t="n">
        <v>1</v>
      </c>
      <c r="G60" t="inlineStr">
        <is>
          <t>BG009</t>
        </is>
      </c>
      <c r="H60" t="inlineStr">
        <is>
          <t>7 Desember 2016</t>
        </is>
      </c>
      <c r="I60" s="2" t="n">
        <v>46308</v>
      </c>
      <c r="J60" t="inlineStr">
        <is>
          <t>Disetujui</t>
        </is>
      </c>
      <c r="K60" t="n">
        <v>90</v>
      </c>
      <c r="L60" t="inlineStr">
        <is>
          <t>13 Oktober 2026</t>
        </is>
      </c>
      <c r="M60" t="inlineStr">
        <is>
          <t>Konstruksi Gedung Lainnya</t>
        </is>
      </c>
      <c r="N60" t="inlineStr">
        <is>
          <t>K</t>
        </is>
      </c>
      <c r="O60" t="inlineStr">
        <is>
          <t>20231004</t>
        </is>
      </c>
      <c r="P60" t="inlineStr">
        <is>
          <t>DKI Jakarta</t>
        </is>
      </c>
      <c r="Q60" t="inlineStr"/>
    </row>
    <row r="61">
      <c r="A61" t="inlineStr">
        <is>
          <t>JAYA SAKTI</t>
        </is>
      </c>
      <c r="B61" t="inlineStr">
        <is>
          <t>Kab. Nganjuk</t>
        </is>
      </c>
      <c r="C61" t="inlineStr">
        <is>
          <t>081230401680</t>
        </is>
      </c>
      <c r="D61" t="inlineStr">
        <is>
          <t>jayasakticv5@gmail.com</t>
        </is>
      </c>
      <c r="E61" t="inlineStr">
        <is>
          <t>https://lpjk.pu.go.id/search-badan-usaha-detail/SGtsRC94WWNVckpWK0lydmw2aE1MQT09</t>
        </is>
      </c>
      <c r="F61" t="n">
        <v>5</v>
      </c>
      <c r="G61" t="inlineStr">
        <is>
          <t>BG002, BG004, BG005, BG006, BG009</t>
        </is>
      </c>
      <c r="H61" t="inlineStr">
        <is>
          <t>9 Juli 2020</t>
        </is>
      </c>
      <c r="I61" s="2" t="n">
        <v>46308</v>
      </c>
      <c r="J61" t="inlineStr">
        <is>
          <t>Disetujui</t>
        </is>
      </c>
      <c r="K61" t="n">
        <v>90</v>
      </c>
      <c r="L61" t="inlineStr">
        <is>
          <t>13 Oktober 2026</t>
        </is>
      </c>
      <c r="M61" t="inlineStr">
        <is>
          <t>Konstruksi Gedung Kesehatan, Konstruksi Gedung Lainnya, Konstruksi Gedung Pendidikan, Konstruksi Gedung Perbelanjaan, Konstruksi Gedung Perkantoran</t>
        </is>
      </c>
      <c r="N61" t="inlineStr">
        <is>
          <t>K</t>
        </is>
      </c>
      <c r="O61" t="inlineStr">
        <is>
          <t>20231012</t>
        </is>
      </c>
      <c r="P61" t="inlineStr">
        <is>
          <t>Jawa Timur</t>
        </is>
      </c>
      <c r="Q61" t="inlineStr"/>
    </row>
    <row r="62">
      <c r="A62" t="inlineStr">
        <is>
          <t>KAHAYAN NURPITA</t>
        </is>
      </c>
      <c r="B62" t="inlineStr">
        <is>
          <t>Kab. Gunung Mas</t>
        </is>
      </c>
      <c r="C62" t="inlineStr">
        <is>
          <t>082154666675</t>
        </is>
      </c>
      <c r="D62" t="inlineStr">
        <is>
          <t>iginsyah@gmail.com</t>
        </is>
      </c>
      <c r="E62" t="inlineStr">
        <is>
          <t>https://lpjk.pu.go.id/search-badan-usaha-detail/YTZsZ0M3OTFSMTYwdkcyczFSUHAvUT09</t>
        </is>
      </c>
      <c r="F62" t="n">
        <v>1</v>
      </c>
      <c r="G62" t="inlineStr">
        <is>
          <t>BG006</t>
        </is>
      </c>
      <c r="H62" t="inlineStr">
        <is>
          <t>10 September 2002</t>
        </is>
      </c>
      <c r="I62" s="2" t="n">
        <v>46308</v>
      </c>
      <c r="J62" t="inlineStr">
        <is>
          <t>Disetujui</t>
        </is>
      </c>
      <c r="K62" t="n">
        <v>90</v>
      </c>
      <c r="L62" t="inlineStr">
        <is>
          <t>13 Oktober 2026</t>
        </is>
      </c>
      <c r="M62" t="inlineStr">
        <is>
          <t>Konstruksi Gedung Pendidikan</t>
        </is>
      </c>
      <c r="N62" t="inlineStr">
        <is>
          <t>K</t>
        </is>
      </c>
      <c r="O62" t="inlineStr">
        <is>
          <t>20231011</t>
        </is>
      </c>
      <c r="P62" t="inlineStr">
        <is>
          <t>Kalimantan Tengah</t>
        </is>
      </c>
      <c r="Q62" t="inlineStr"/>
    </row>
    <row r="63">
      <c r="A63" t="inlineStr">
        <is>
          <t>KARTIKA INDAH JAYA</t>
        </is>
      </c>
      <c r="B63" t="inlineStr">
        <is>
          <t>Kota Tanjung Pinang</t>
        </is>
      </c>
      <c r="C63" t="inlineStr">
        <is>
          <t>082287055997</t>
        </is>
      </c>
      <c r="D63" t="inlineStr">
        <is>
          <t>syaifulrahman1972@gmail.com</t>
        </is>
      </c>
      <c r="E63" t="inlineStr">
        <is>
          <t>https://lpjk.pu.go.id/search-badan-usaha-detail/L3ZFMHdMOXBLUmpHTnl2RU5zU25sYmNhcTJJU2o5bmdIT1htaHhYdnEvcz0</t>
        </is>
      </c>
      <c r="F63" t="n">
        <v>1</v>
      </c>
      <c r="G63" t="inlineStr">
        <is>
          <t>BS001</t>
        </is>
      </c>
      <c r="H63" t="inlineStr">
        <is>
          <t>14 Juni 2021</t>
        </is>
      </c>
      <c r="I63" s="2" t="n">
        <v>46308</v>
      </c>
      <c r="J63" t="inlineStr">
        <is>
          <t>Disetujui</t>
        </is>
      </c>
      <c r="K63" t="n">
        <v>90</v>
      </c>
      <c r="L63" t="inlineStr">
        <is>
          <t>13 Oktober 2026</t>
        </is>
      </c>
      <c r="M63" t="inlineStr">
        <is>
          <t>Konstruksi Bangunan Sipil Jalan</t>
        </is>
      </c>
      <c r="N63" t="inlineStr">
        <is>
          <t>K</t>
        </is>
      </c>
      <c r="O63" t="inlineStr">
        <is>
          <t>20231011</t>
        </is>
      </c>
      <c r="P63" t="inlineStr">
        <is>
          <t>Kepulauan Riau</t>
        </is>
      </c>
      <c r="Q63" t="inlineStr"/>
    </row>
    <row r="64">
      <c r="A64" t="inlineStr">
        <is>
          <t>KARUNIA ANUGERAH PUTERA</t>
        </is>
      </c>
      <c r="B64" t="inlineStr">
        <is>
          <t>Kota Medan</t>
        </is>
      </c>
      <c r="C64" t="inlineStr">
        <is>
          <t>08115416491</t>
        </is>
      </c>
      <c r="D64" t="inlineStr">
        <is>
          <t>kappt08@gmail.com</t>
        </is>
      </c>
      <c r="E64" t="inlineStr">
        <is>
          <t>https://lpjk.pu.go.id/search-badan-usaha-detail/TUluRWg3K2NCNi9STlpRNjZudG5Cdz09</t>
        </is>
      </c>
      <c r="F64" t="n">
        <v>1</v>
      </c>
      <c r="G64" t="inlineStr">
        <is>
          <t>BG001</t>
        </is>
      </c>
      <c r="H64" t="inlineStr">
        <is>
          <t>17 September 2010</t>
        </is>
      </c>
      <c r="I64" s="2" t="n">
        <v>46308</v>
      </c>
      <c r="J64" t="inlineStr">
        <is>
          <t>Pencabutan</t>
        </is>
      </c>
      <c r="K64" t="n">
        <v>90</v>
      </c>
      <c r="L64" t="inlineStr">
        <is>
          <t>13 Oktober 2026</t>
        </is>
      </c>
      <c r="M64" t="inlineStr">
        <is>
          <t>Konstruksi Gedung Hunian</t>
        </is>
      </c>
      <c r="N64" t="inlineStr">
        <is>
          <t>K</t>
        </is>
      </c>
      <c r="O64" t="inlineStr">
        <is>
          <t>20231012</t>
        </is>
      </c>
      <c r="P64" t="inlineStr">
        <is>
          <t>Sumatera Utara</t>
        </is>
      </c>
      <c r="Q64" t="inlineStr"/>
    </row>
    <row r="65">
      <c r="A65" t="inlineStr">
        <is>
          <t>KARYA AGI</t>
        </is>
      </c>
      <c r="B65" t="inlineStr">
        <is>
          <t>Kota Padang</t>
        </is>
      </c>
      <c r="C65" t="inlineStr">
        <is>
          <t>08126789604</t>
        </is>
      </c>
      <c r="D65" t="inlineStr">
        <is>
          <t>ptkaria_agi@yahoo.com</t>
        </is>
      </c>
      <c r="E65" t="inlineStr">
        <is>
          <t>https://lpjk.pu.go.id/search-badan-usaha-detail/ZEtZTC9HUmJBMCtKM1FsRkdGVEFyUT09</t>
        </is>
      </c>
      <c r="F65" t="n">
        <v>1</v>
      </c>
      <c r="G65" t="inlineStr">
        <is>
          <t>BG006</t>
        </is>
      </c>
      <c r="H65" t="inlineStr">
        <is>
          <t>23 Agustus 2011</t>
        </is>
      </c>
      <c r="I65" s="2" t="n">
        <v>46308</v>
      </c>
      <c r="J65" t="inlineStr">
        <is>
          <t>Pencabutan</t>
        </is>
      </c>
      <c r="K65" t="n">
        <v>90</v>
      </c>
      <c r="L65" t="inlineStr">
        <is>
          <t>13 Oktober 2026</t>
        </is>
      </c>
      <c r="M65" t="inlineStr">
        <is>
          <t>Konstruksi Gedung Pendidikan</t>
        </is>
      </c>
      <c r="N65" t="inlineStr">
        <is>
          <t>K</t>
        </is>
      </c>
      <c r="O65" t="inlineStr">
        <is>
          <t>20230922</t>
        </is>
      </c>
      <c r="P65" t="inlineStr">
        <is>
          <t>Sumatera Barat</t>
        </is>
      </c>
      <c r="Q65" t="inlineStr"/>
    </row>
    <row r="66">
      <c r="A66" t="inlineStr">
        <is>
          <t>KARYA KHARISMA ENDAH</t>
        </is>
      </c>
      <c r="B66" t="inlineStr">
        <is>
          <t>Kab. Kotawaringin Barat</t>
        </is>
      </c>
      <c r="C66" t="inlineStr">
        <is>
          <t>082157754370</t>
        </is>
      </c>
      <c r="D66" t="inlineStr">
        <is>
          <t>karyakharismaendah21@gmail.com</t>
        </is>
      </c>
      <c r="E66" t="inlineStr">
        <is>
          <t>https://lpjk.pu.go.id/search-badan-usaha-detail/V0toK1duQTcrMkREWXh0SVF6dzh4UT09</t>
        </is>
      </c>
      <c r="F66" t="n">
        <v>1</v>
      </c>
      <c r="G66" t="inlineStr">
        <is>
          <t>BG009</t>
        </is>
      </c>
      <c r="H66" t="inlineStr">
        <is>
          <t>30 Juli 2013</t>
        </is>
      </c>
      <c r="I66" s="2" t="n">
        <v>46308</v>
      </c>
      <c r="J66" t="inlineStr">
        <is>
          <t>Disetujui</t>
        </is>
      </c>
      <c r="K66" t="n">
        <v>90</v>
      </c>
      <c r="L66" t="inlineStr">
        <is>
          <t>13 Oktober 2026</t>
        </is>
      </c>
      <c r="M66" t="inlineStr">
        <is>
          <t>Konstruksi Gedung Lainnya</t>
        </is>
      </c>
      <c r="N66" t="inlineStr">
        <is>
          <t>K</t>
        </is>
      </c>
      <c r="O66" t="inlineStr">
        <is>
          <t>20231013</t>
        </is>
      </c>
      <c r="P66" t="inlineStr">
        <is>
          <t>Kalimantan Tengah</t>
        </is>
      </c>
      <c r="Q66" t="inlineStr"/>
    </row>
    <row r="67">
      <c r="A67" t="inlineStr">
        <is>
          <t>KARYA MANGLID</t>
        </is>
      </c>
      <c r="B67" t="inlineStr">
        <is>
          <t>Kab. Bandung</t>
        </is>
      </c>
      <c r="C67" t="inlineStr">
        <is>
          <t>082129120174</t>
        </is>
      </c>
      <c r="D67" t="inlineStr">
        <is>
          <t>karyamanglid.cv@yahoo.com</t>
        </is>
      </c>
      <c r="E67" t="inlineStr">
        <is>
          <t>https://lpjk.pu.go.id/search-badan-usaha-detail/VDM0Q0RSeU0vTTFQbU9qUFFHK0hsUT09</t>
        </is>
      </c>
      <c r="F67" t="n">
        <v>1</v>
      </c>
      <c r="G67" t="inlineStr">
        <is>
          <t>PL005</t>
        </is>
      </c>
      <c r="H67" t="inlineStr">
        <is>
          <t>26 Oktober 2016</t>
        </is>
      </c>
      <c r="I67" s="2" t="n">
        <v>46308</v>
      </c>
      <c r="J67" t="inlineStr">
        <is>
          <t>Pembekuan</t>
        </is>
      </c>
      <c r="K67" t="n">
        <v>90</v>
      </c>
      <c r="L67" t="inlineStr">
        <is>
          <t>13 Oktober 2026</t>
        </is>
      </c>
      <c r="M67" t="inlineStr">
        <is>
          <t>Pembuatan/Pengeboran Sumur Air Tanah</t>
        </is>
      </c>
      <c r="N67" t="inlineStr">
        <is>
          <t>Spesialis</t>
        </is>
      </c>
      <c r="O67" t="inlineStr">
        <is>
          <t>20231013</t>
        </is>
      </c>
      <c r="P67" t="inlineStr">
        <is>
          <t>Jawa Barat</t>
        </is>
      </c>
      <c r="Q67" t="inlineStr"/>
    </row>
    <row r="68">
      <c r="A68" t="inlineStr">
        <is>
          <t>KARYA PRIMA CIPTA UTAMA</t>
        </is>
      </c>
      <c r="B68" t="inlineStr">
        <is>
          <t>Kota Denpasar</t>
        </is>
      </c>
      <c r="C68" t="inlineStr">
        <is>
          <t>0361227279</t>
        </is>
      </c>
      <c r="D68" t="inlineStr">
        <is>
          <t>mail.kpcu@gmail.com</t>
        </is>
      </c>
      <c r="E68" t="inlineStr">
        <is>
          <t>https://lpjk.pu.go.id/search-badan-usaha-detail/ZkpRNnNOMkVvS0RsTERoQUUwTzZzdz09</t>
        </is>
      </c>
      <c r="F68" t="n">
        <v>1</v>
      </c>
      <c r="G68" t="inlineStr">
        <is>
          <t>KK014</t>
        </is>
      </c>
      <c r="H68" t="inlineStr">
        <is>
          <t>5 Juni 1999</t>
        </is>
      </c>
      <c r="I68" s="2" t="n">
        <v>46308</v>
      </c>
      <c r="J68" t="inlineStr">
        <is>
          <t>Disetujui</t>
        </is>
      </c>
      <c r="K68" t="n">
        <v>90</v>
      </c>
      <c r="L68" t="inlineStr">
        <is>
          <t>13 Oktober 2026</t>
        </is>
      </c>
      <c r="M68" t="inlineStr">
        <is>
          <t>Konstruksi Terowongan</t>
        </is>
      </c>
      <c r="N68" t="inlineStr">
        <is>
          <t>Spesialis</t>
        </is>
      </c>
      <c r="O68" t="inlineStr">
        <is>
          <t>20231011</t>
        </is>
      </c>
      <c r="P68" t="inlineStr">
        <is>
          <t>Bali</t>
        </is>
      </c>
      <c r="Q68" t="inlineStr"/>
    </row>
    <row r="69">
      <c r="A69" t="inlineStr">
        <is>
          <t>KAYAKAS GROUP</t>
        </is>
      </c>
      <c r="B69" t="inlineStr">
        <is>
          <t>Kab. Sukabumi</t>
        </is>
      </c>
      <c r="C69" t="inlineStr">
        <is>
          <t>081297298484</t>
        </is>
      </c>
      <c r="D69" t="inlineStr">
        <is>
          <t>kayakasgroup@gmail.com</t>
        </is>
      </c>
      <c r="E69" t="inlineStr">
        <is>
          <t>https://lpjk.pu.go.id/search-badan-usaha-detail/SGF1MjFKQWE2bmNMSTY3bFVMc0tVUT09</t>
        </is>
      </c>
      <c r="F69" t="n">
        <v>4</v>
      </c>
      <c r="G69" t="inlineStr">
        <is>
          <t>BG005, BS004</t>
        </is>
      </c>
      <c r="H69" t="inlineStr">
        <is>
          <t>17 Maret 2023</t>
        </is>
      </c>
      <c r="I69" s="2" t="n">
        <v>46308</v>
      </c>
      <c r="J69" t="inlineStr">
        <is>
          <t>Disetujui</t>
        </is>
      </c>
      <c r="K69" t="n">
        <v>90</v>
      </c>
      <c r="L69" t="inlineStr">
        <is>
          <t>13 Oktober 2026</t>
        </is>
      </c>
      <c r="M69" t="inlineStr">
        <is>
          <t>Konstruksi Gedung Kesehatan, Konstruksi Jaringan Irigasi dan Drainase</t>
        </is>
      </c>
      <c r="N69" t="inlineStr">
        <is>
          <t>K</t>
        </is>
      </c>
      <c r="O69" t="inlineStr">
        <is>
          <t>20231003</t>
        </is>
      </c>
      <c r="P69" t="inlineStr">
        <is>
          <t>Jawa Barat</t>
        </is>
      </c>
      <c r="Q69" t="inlineStr"/>
    </row>
    <row r="70">
      <c r="A70" t="inlineStr">
        <is>
          <t>KHARISMA MITRA SEJAJAR</t>
        </is>
      </c>
      <c r="B70" t="inlineStr">
        <is>
          <t>Kota Manado</t>
        </is>
      </c>
      <c r="C70" t="inlineStr">
        <is>
          <t>085240342620</t>
        </is>
      </c>
      <c r="D70" t="inlineStr">
        <is>
          <t>rumah.kharisma@yahoo.com</t>
        </is>
      </c>
      <c r="E70" t="inlineStr">
        <is>
          <t>https://lpjk.pu.go.id/search-badan-usaha-detail/bmZPUXNkV0tkZ0djV09UMzFPemJaZz09</t>
        </is>
      </c>
      <c r="F70" t="n">
        <v>2</v>
      </c>
      <c r="G70" t="inlineStr">
        <is>
          <t>BS001</t>
        </is>
      </c>
      <c r="H70" t="inlineStr">
        <is>
          <t>29 Maret 2007</t>
        </is>
      </c>
      <c r="I70" s="2" t="n">
        <v>46308</v>
      </c>
      <c r="J70" t="inlineStr">
        <is>
          <t>Disetujui</t>
        </is>
      </c>
      <c r="K70" t="n">
        <v>90</v>
      </c>
      <c r="L70" t="inlineStr">
        <is>
          <t>13 Oktober 2026</t>
        </is>
      </c>
      <c r="M70" t="inlineStr">
        <is>
          <t>Konstruksi Bangunan Sipil Jalan</t>
        </is>
      </c>
      <c r="N70" t="inlineStr">
        <is>
          <t>K</t>
        </is>
      </c>
      <c r="O70" t="inlineStr">
        <is>
          <t>20230928</t>
        </is>
      </c>
      <c r="P70" t="inlineStr">
        <is>
          <t>Sulawesi Utara</t>
        </is>
      </c>
      <c r="Q70" t="inlineStr"/>
    </row>
    <row r="71">
      <c r="A71" t="inlineStr">
        <is>
          <t>KHASANAH KONSTRUKSI MANDIRI</t>
        </is>
      </c>
      <c r="B71" t="inlineStr">
        <is>
          <t>Kab. Dharmasraya</t>
        </is>
      </c>
      <c r="C71" t="inlineStr">
        <is>
          <t>0813 7423 1702</t>
        </is>
      </c>
      <c r="D71" t="inlineStr">
        <is>
          <t>cv.khasanahkonstriksi@gmail.com</t>
        </is>
      </c>
      <c r="E71" t="inlineStr">
        <is>
          <t>https://lpjk.pu.go.id/search-badan-usaha-detail/QnJCL2gzWmY1MjNJVER4ZTR3b0hBUT09</t>
        </is>
      </c>
      <c r="F71" t="n">
        <v>2</v>
      </c>
      <c r="G71" t="inlineStr">
        <is>
          <t>BG006, BG009</t>
        </is>
      </c>
      <c r="H71" t="inlineStr">
        <is>
          <t>14 Maret 2012</t>
        </is>
      </c>
      <c r="I71" s="2" t="n">
        <v>46308</v>
      </c>
      <c r="J71" t="inlineStr">
        <is>
          <t>Disetujui</t>
        </is>
      </c>
      <c r="K71" t="n">
        <v>90</v>
      </c>
      <c r="L71" t="inlineStr">
        <is>
          <t>13 Oktober 2026</t>
        </is>
      </c>
      <c r="M71" t="inlineStr">
        <is>
          <t>Konstruksi Gedung Lainnya, Konstruksi Gedung Pendidikan</t>
        </is>
      </c>
      <c r="N71" t="inlineStr">
        <is>
          <t>K</t>
        </is>
      </c>
      <c r="O71" t="inlineStr">
        <is>
          <t>20220610, 20231013</t>
        </is>
      </c>
      <c r="P71" t="inlineStr">
        <is>
          <t>Sumatera Barat</t>
        </is>
      </c>
      <c r="Q71" t="inlineStr"/>
    </row>
    <row r="72">
      <c r="A72" t="inlineStr">
        <is>
          <t>KOKOH OPTIMA INDONESIA</t>
        </is>
      </c>
      <c r="B72" t="inlineStr">
        <is>
          <t>Kota Adm. Jakarta Selatan</t>
        </is>
      </c>
      <c r="C72" t="inlineStr">
        <is>
          <t>081808012012</t>
        </is>
      </c>
      <c r="D72" t="inlineStr">
        <is>
          <t>kodrat89@gmail.com</t>
        </is>
      </c>
      <c r="E72" t="inlineStr">
        <is>
          <t>https://lpjk.pu.go.id/search-badan-usaha-detail/d0tGYlptU2hSOENZSGhRaWRTVzNKZz09</t>
        </is>
      </c>
      <c r="F72" t="n">
        <v>4</v>
      </c>
      <c r="G72" t="inlineStr">
        <is>
          <t>BG001, BG002, BG003, BG004</t>
        </is>
      </c>
      <c r="H72" t="inlineStr">
        <is>
          <t>25 Agustus 2023</t>
        </is>
      </c>
      <c r="I72" s="2" t="n">
        <v>46308</v>
      </c>
      <c r="J72" t="inlineStr">
        <is>
          <t>Disetujui</t>
        </is>
      </c>
      <c r="K72" t="n">
        <v>90</v>
      </c>
      <c r="L72" t="inlineStr">
        <is>
          <t>13 Oktober 2026</t>
        </is>
      </c>
      <c r="M72" t="inlineStr">
        <is>
          <t>Konstruksi Gedung Hunian, Konstruksi Gedung Industri, Konstruksi Gedung Perbelanjaan, Konstruksi Gedung Perkantoran</t>
        </is>
      </c>
      <c r="N72" t="inlineStr">
        <is>
          <t>K</t>
        </is>
      </c>
      <c r="O72" t="inlineStr">
        <is>
          <t>20231012</t>
        </is>
      </c>
      <c r="P72" t="inlineStr">
        <is>
          <t>DKI Jakarta</t>
        </is>
      </c>
      <c r="Q72" t="inlineStr"/>
    </row>
    <row r="73">
      <c r="A73" t="inlineStr">
        <is>
          <t>KOPRIMA SANDYSEJAHTERA</t>
        </is>
      </c>
      <c r="B73" t="inlineStr">
        <is>
          <t>Kota Bandung</t>
        </is>
      </c>
      <c r="C73" t="inlineStr">
        <is>
          <t>0227312369</t>
        </is>
      </c>
      <c r="D73" t="inlineStr">
        <is>
          <t>perijinan@kssproperti.co.id</t>
        </is>
      </c>
      <c r="E73" t="inlineStr">
        <is>
          <t>https://lpjk.pu.go.id/search-badan-usaha-detail/TlEyR1I0YmlqTE9PeHV6NnlBVURYZz09</t>
        </is>
      </c>
      <c r="F73" t="n">
        <v>1</v>
      </c>
      <c r="G73" t="inlineStr">
        <is>
          <t>BG001</t>
        </is>
      </c>
      <c r="H73" t="inlineStr">
        <is>
          <t>23 November 1990</t>
        </is>
      </c>
      <c r="I73" s="2" t="n">
        <v>46308</v>
      </c>
      <c r="J73" t="inlineStr">
        <is>
          <t>Disetujui</t>
        </is>
      </c>
      <c r="K73" t="n">
        <v>90</v>
      </c>
      <c r="L73" t="inlineStr">
        <is>
          <t>13 Oktober 2026</t>
        </is>
      </c>
      <c r="M73" t="inlineStr">
        <is>
          <t>Konstruksi Gedung Hunian</t>
        </is>
      </c>
      <c r="N73" t="inlineStr">
        <is>
          <t>K</t>
        </is>
      </c>
      <c r="O73" t="inlineStr">
        <is>
          <t>20231011</t>
        </is>
      </c>
      <c r="P73" t="inlineStr">
        <is>
          <t>Jawa Barat</t>
        </is>
      </c>
      <c r="Q73" t="inlineStr"/>
    </row>
    <row r="74">
      <c r="A74" t="inlineStr">
        <is>
          <t>KUSUMA DEWI</t>
        </is>
      </c>
      <c r="B74" t="inlineStr">
        <is>
          <t>Kota Surabaya</t>
        </is>
      </c>
      <c r="C74" t="inlineStr">
        <is>
          <t>0315012363</t>
        </is>
      </c>
      <c r="D74" t="inlineStr">
        <is>
          <t>sbykusumadewi@gmail.com</t>
        </is>
      </c>
      <c r="E74" t="inlineStr">
        <is>
          <t>https://lpjk.pu.go.id/search-badan-usaha-detail/MXlmakh2TDVuZFFienJZcHk5emJrUT09</t>
        </is>
      </c>
      <c r="F74" t="n">
        <v>5</v>
      </c>
      <c r="G74" t="inlineStr">
        <is>
          <t>BG002, BG005, BG006, BG008, BG009</t>
        </is>
      </c>
      <c r="H74" t="inlineStr">
        <is>
          <t>8 Januari 2007</t>
        </is>
      </c>
      <c r="I74" s="2" t="n">
        <v>46308</v>
      </c>
      <c r="J74" t="inlineStr">
        <is>
          <t>Disetujui, Pencabutan</t>
        </is>
      </c>
      <c r="K74" t="n">
        <v>90</v>
      </c>
      <c r="L74" t="inlineStr">
        <is>
          <t>13 Oktober 2026</t>
        </is>
      </c>
      <c r="M74" t="inlineStr">
        <is>
          <t>Konstruksi Gedung Kesehatan, Konstruksi Gedung Lainnya, Konstruksi Gedung Pendidikan, Konstruksi Gedung Perkantoran, Konstruksi Gedung Tempat Hiburan dan Olahraga</t>
        </is>
      </c>
      <c r="N74" t="inlineStr">
        <is>
          <t>K</t>
        </is>
      </c>
      <c r="O74" t="inlineStr">
        <is>
          <t>20230510, 20231012</t>
        </is>
      </c>
      <c r="P74" t="inlineStr">
        <is>
          <t>Jawa Timur</t>
        </is>
      </c>
      <c r="Q74" t="inlineStr"/>
    </row>
    <row r="75">
      <c r="A75" t="inlineStr">
        <is>
          <t>MAHA AKBAR SEJAHTERA</t>
        </is>
      </c>
      <c r="B75" t="inlineStr">
        <is>
          <t>Kota Medan</t>
        </is>
      </c>
      <c r="C75" t="inlineStr">
        <is>
          <t>06142784599</t>
        </is>
      </c>
      <c r="D75" t="inlineStr">
        <is>
          <t>admin@mahasejahtera.com</t>
        </is>
      </c>
      <c r="E75" t="inlineStr">
        <is>
          <t>https://lpjk.pu.go.id/search-badan-usaha-detail/enBJQkRBK0hoWXdEblNOeUxUMThGZz09</t>
        </is>
      </c>
      <c r="F75" t="n">
        <v>1</v>
      </c>
      <c r="G75" t="inlineStr">
        <is>
          <t>PB007</t>
        </is>
      </c>
      <c r="H75" t="inlineStr">
        <is>
          <t>16 Januari 2019</t>
        </is>
      </c>
      <c r="I75" s="2" t="n">
        <v>46308</v>
      </c>
      <c r="J75" t="inlineStr">
        <is>
          <t>Disetujui</t>
        </is>
      </c>
      <c r="K75" t="n">
        <v>90</v>
      </c>
      <c r="L75" t="inlineStr">
        <is>
          <t>13 Oktober 2026</t>
        </is>
      </c>
      <c r="M75" t="inlineStr">
        <is>
          <t>Pengecatan</t>
        </is>
      </c>
      <c r="N75" t="inlineStr">
        <is>
          <t>Spesialis</t>
        </is>
      </c>
      <c r="O75" t="inlineStr">
        <is>
          <t>20231010</t>
        </is>
      </c>
      <c r="P75" t="inlineStr">
        <is>
          <t>Sumatera Utara</t>
        </is>
      </c>
      <c r="Q75" t="inlineStr"/>
    </row>
    <row r="76">
      <c r="A76" t="inlineStr">
        <is>
          <t>MAHIJA RAYA26</t>
        </is>
      </c>
      <c r="B76" t="inlineStr">
        <is>
          <t>Kab. Nganjuk</t>
        </is>
      </c>
      <c r="C76" t="inlineStr">
        <is>
          <t>081219590246</t>
        </is>
      </c>
      <c r="D76" t="inlineStr">
        <is>
          <t>cv.mahijaraya26@gmail.com</t>
        </is>
      </c>
      <c r="E76" t="inlineStr">
        <is>
          <t>https://lpjk.pu.go.id/search-badan-usaha-detail/OWcxWEp5bklIdmpHZFJ6UTBoRkNtUT09</t>
        </is>
      </c>
      <c r="F76" t="n">
        <v>1</v>
      </c>
      <c r="G76" t="inlineStr">
        <is>
          <t>BS005</t>
        </is>
      </c>
      <c r="H76" t="inlineStr">
        <is>
          <t>7 Februari 2023</t>
        </is>
      </c>
      <c r="I76" s="2" t="n">
        <v>46308</v>
      </c>
      <c r="J76" t="inlineStr">
        <is>
          <t>Disetujui</t>
        </is>
      </c>
      <c r="K76" t="n">
        <v>90</v>
      </c>
      <c r="L76" t="inlineStr">
        <is>
          <t>13 Oktober 2026</t>
        </is>
      </c>
      <c r="M76" t="inlineStr">
        <is>
          <t>Konstruksi Bangunan Sipil Pengolahan Air Bersih</t>
        </is>
      </c>
      <c r="N76" t="inlineStr">
        <is>
          <t>K</t>
        </is>
      </c>
      <c r="O76" t="inlineStr">
        <is>
          <t>20231013</t>
        </is>
      </c>
      <c r="P76" t="inlineStr">
        <is>
          <t>Jawa Timur</t>
        </is>
      </c>
      <c r="Q76" t="inlineStr"/>
    </row>
    <row r="77">
      <c r="A77" t="inlineStr">
        <is>
          <t>MANDIRI MULIA</t>
        </is>
      </c>
      <c r="B77" t="inlineStr">
        <is>
          <t>Kota Yogyakarta</t>
        </is>
      </c>
      <c r="C77" t="inlineStr">
        <is>
          <t>082225452312</t>
        </is>
      </c>
      <c r="D77" t="inlineStr">
        <is>
          <t>mandirimulia3@gmail.com</t>
        </is>
      </c>
      <c r="E77" t="inlineStr">
        <is>
          <t>https://lpjk.pu.go.id/search-badan-usaha-detail/U2dwUWwzSVdnRndHUUlFc2NwTWtBQT09</t>
        </is>
      </c>
      <c r="F77" t="n">
        <v>1</v>
      </c>
      <c r="G77" t="inlineStr">
        <is>
          <t>BG009</t>
        </is>
      </c>
      <c r="H77" t="inlineStr">
        <is>
          <t>15 Agustus 2011</t>
        </is>
      </c>
      <c r="I77" s="2" t="n">
        <v>46308</v>
      </c>
      <c r="J77" t="inlineStr">
        <is>
          <t>Disetujui</t>
        </is>
      </c>
      <c r="K77" t="n">
        <v>90</v>
      </c>
      <c r="L77" t="inlineStr">
        <is>
          <t>13 Oktober 2026</t>
        </is>
      </c>
      <c r="M77" t="inlineStr">
        <is>
          <t>Konstruksi Gedung Lainnya</t>
        </is>
      </c>
      <c r="N77" t="inlineStr">
        <is>
          <t>K</t>
        </is>
      </c>
      <c r="O77" t="inlineStr">
        <is>
          <t>20230816</t>
        </is>
      </c>
      <c r="P77" t="inlineStr">
        <is>
          <t>DI Yogyakarta</t>
        </is>
      </c>
      <c r="Q77" t="inlineStr"/>
    </row>
    <row r="78">
      <c r="A78" t="inlineStr">
        <is>
          <t>MANGGALA</t>
        </is>
      </c>
      <c r="B78" t="inlineStr">
        <is>
          <t>Kota Denpasar</t>
        </is>
      </c>
      <c r="C78" t="inlineStr">
        <is>
          <t>081337324272</t>
        </is>
      </c>
      <c r="D78" t="inlineStr">
        <is>
          <t>cv.manggala20@ymail.com</t>
        </is>
      </c>
      <c r="E78" t="inlineStr">
        <is>
          <t>https://lpjk.pu.go.id/search-badan-usaha-detail/b3BtdTFYRG1kR1JDeHdNMzQrK2p4QT09</t>
        </is>
      </c>
      <c r="F78" t="n">
        <v>1</v>
      </c>
      <c r="G78" t="inlineStr">
        <is>
          <t>BG007</t>
        </is>
      </c>
      <c r="H78" t="inlineStr">
        <is>
          <t>31 Agustus 1984</t>
        </is>
      </c>
      <c r="I78" s="2" t="n">
        <v>46308</v>
      </c>
      <c r="J78" t="inlineStr">
        <is>
          <t>Disetujui</t>
        </is>
      </c>
      <c r="K78" t="n">
        <v>90</v>
      </c>
      <c r="L78" t="inlineStr">
        <is>
          <t>13 Oktober 2026</t>
        </is>
      </c>
      <c r="M78" t="inlineStr">
        <is>
          <t>Konstruksi Gedung Penginapan</t>
        </is>
      </c>
      <c r="N78" t="inlineStr">
        <is>
          <t>K</t>
        </is>
      </c>
      <c r="O78" t="inlineStr">
        <is>
          <t>20231010</t>
        </is>
      </c>
      <c r="P78" t="inlineStr">
        <is>
          <t>Bali</t>
        </is>
      </c>
      <c r="Q78" t="inlineStr"/>
    </row>
    <row r="79">
      <c r="A79" t="inlineStr">
        <is>
          <t>MANUNGGAL ANUGERAH PERKASA</t>
        </is>
      </c>
      <c r="B79" t="inlineStr">
        <is>
          <t>Kab. Tabanan</t>
        </is>
      </c>
      <c r="C79" t="inlineStr">
        <is>
          <t>0817389526</t>
        </is>
      </c>
      <c r="D79" t="inlineStr">
        <is>
          <t>manunggal.map@gmail.com</t>
        </is>
      </c>
      <c r="E79" t="inlineStr">
        <is>
          <t>https://lpjk.pu.go.id/search-badan-usaha-detail/NVB0VnJGaGxHVDZ1N1dxYmp3RnJ0UT09</t>
        </is>
      </c>
      <c r="F79" t="n">
        <v>8</v>
      </c>
      <c r="G79" t="inlineStr">
        <is>
          <t>BG001, BG002, BG008, BS016</t>
        </is>
      </c>
      <c r="H79" t="inlineStr">
        <is>
          <t>1 Desember 2020</t>
        </is>
      </c>
      <c r="I79" s="2" t="n">
        <v>46308</v>
      </c>
      <c r="J79" t="inlineStr">
        <is>
          <t>Disetujui, Pencabutan</t>
        </is>
      </c>
      <c r="K79" t="n">
        <v>90</v>
      </c>
      <c r="L79" t="inlineStr">
        <is>
          <t>13 Oktober 2026</t>
        </is>
      </c>
      <c r="M79" t="inlineStr">
        <is>
          <t>Konstruksi Bangunan Sipil Fasilitas Olah Raga, Konstruksi Gedung Hunian, Konstruksi Gedung Perkantoran, Konstruksi Gedung Tempat Hiburan dan Olahraga</t>
        </is>
      </c>
      <c r="N79" t="inlineStr">
        <is>
          <t>K</t>
        </is>
      </c>
      <c r="O79" t="inlineStr">
        <is>
          <t>20231013</t>
        </is>
      </c>
      <c r="P79" t="inlineStr">
        <is>
          <t>Bali</t>
        </is>
      </c>
      <c r="Q79" t="inlineStr"/>
    </row>
    <row r="80">
      <c r="A80" t="inlineStr">
        <is>
          <t>MITRA ASIATAMA</t>
        </is>
      </c>
      <c r="B80" t="inlineStr">
        <is>
          <t>Kab. Bandung Barat</t>
        </is>
      </c>
      <c r="C80" t="inlineStr">
        <is>
          <t>081221686945</t>
        </is>
      </c>
      <c r="D80" t="inlineStr">
        <is>
          <t>perizinan.mitraasiatama@gmail.com</t>
        </is>
      </c>
      <c r="E80" t="inlineStr">
        <is>
          <t>https://lpjk.pu.go.id/search-badan-usaha-detail/QVJMMGM4eUkrV2NmZU1LM2o2QzdCdz09</t>
        </is>
      </c>
      <c r="F80" t="n">
        <v>1</v>
      </c>
      <c r="G80" t="inlineStr">
        <is>
          <t>BG009</t>
        </is>
      </c>
      <c r="H80" t="inlineStr">
        <is>
          <t>30 Desember 2020</t>
        </is>
      </c>
      <c r="I80" s="2" t="n">
        <v>46308</v>
      </c>
      <c r="J80" t="inlineStr">
        <is>
          <t>Disetujui</t>
        </is>
      </c>
      <c r="K80" t="n">
        <v>90</v>
      </c>
      <c r="L80" t="inlineStr">
        <is>
          <t>13 Oktober 2026</t>
        </is>
      </c>
      <c r="M80" t="inlineStr">
        <is>
          <t>Konstruksi Gedung Lainnya</t>
        </is>
      </c>
      <c r="N80" t="inlineStr">
        <is>
          <t>K</t>
        </is>
      </c>
      <c r="O80" t="inlineStr">
        <is>
          <t>20231005</t>
        </is>
      </c>
      <c r="P80" t="inlineStr">
        <is>
          <t>Jawa Barat</t>
        </is>
      </c>
      <c r="Q80" t="inlineStr"/>
    </row>
    <row r="81">
      <c r="A81" t="inlineStr">
        <is>
          <t>MULTI TEHNIK</t>
        </is>
      </c>
      <c r="B81" t="inlineStr">
        <is>
          <t>Kab. Sumbawa</t>
        </is>
      </c>
      <c r="C81" t="inlineStr">
        <is>
          <t>082341186530</t>
        </is>
      </c>
      <c r="D81" t="inlineStr">
        <is>
          <t>cv_multitek@yahoo.com</t>
        </is>
      </c>
      <c r="E81" t="inlineStr">
        <is>
          <t>https://lpjk.pu.go.id/search-badan-usaha-detail/MzRCQWRZY3lRTjhVbnpTKzB3eTdxdz09</t>
        </is>
      </c>
      <c r="F81" t="n">
        <v>1</v>
      </c>
      <c r="G81" t="inlineStr">
        <is>
          <t>BG006</t>
        </is>
      </c>
      <c r="H81" t="inlineStr">
        <is>
          <t>31 Mei 1994</t>
        </is>
      </c>
      <c r="I81" s="2" t="n">
        <v>46308</v>
      </c>
      <c r="J81" t="inlineStr">
        <is>
          <t>Disetujui</t>
        </is>
      </c>
      <c r="K81" t="n">
        <v>90</v>
      </c>
      <c r="L81" t="inlineStr">
        <is>
          <t>13 Oktober 2026</t>
        </is>
      </c>
      <c r="M81" t="inlineStr">
        <is>
          <t>Konstruksi Gedung Pendidikan</t>
        </is>
      </c>
      <c r="N81" t="inlineStr">
        <is>
          <t>K</t>
        </is>
      </c>
      <c r="O81" t="inlineStr">
        <is>
          <t>20231012</t>
        </is>
      </c>
      <c r="P81" t="inlineStr">
        <is>
          <t>Nusa Tenggara Barat</t>
        </is>
      </c>
      <c r="Q81" t="inlineStr"/>
    </row>
    <row r="82">
      <c r="A82" t="inlineStr">
        <is>
          <t>MULTIBANGUN KARYA BERSAMA</t>
        </is>
      </c>
      <c r="B82" t="inlineStr">
        <is>
          <t>Kota Surabaya</t>
        </is>
      </c>
      <c r="C82" t="inlineStr">
        <is>
          <t>0317480101</t>
        </is>
      </c>
      <c r="D82" t="inlineStr">
        <is>
          <t>multibangun.karyabersama2023@gmail.com</t>
        </is>
      </c>
      <c r="E82" t="inlineStr">
        <is>
          <t>https://lpjk.pu.go.id/search-badan-usaha-detail/STQ1cHJidDRqeDFZUlBjWEhJT1Q2Zz09</t>
        </is>
      </c>
      <c r="F82" t="n">
        <v>3</v>
      </c>
      <c r="G82" t="inlineStr">
        <is>
          <t>BG002, BG003, BG009</t>
        </is>
      </c>
      <c r="H82" t="inlineStr">
        <is>
          <t>22 Februari 2023</t>
        </is>
      </c>
      <c r="I82" s="2" t="n">
        <v>46308</v>
      </c>
      <c r="J82" t="inlineStr">
        <is>
          <t>Disetujui</t>
        </is>
      </c>
      <c r="K82" t="n">
        <v>90</v>
      </c>
      <c r="L82" t="inlineStr">
        <is>
          <t>13 Oktober 2026</t>
        </is>
      </c>
      <c r="M82" t="inlineStr">
        <is>
          <t>Konstruksi Gedung Industri, Konstruksi Gedung Lainnya, Konstruksi Gedung Perkantoran</t>
        </is>
      </c>
      <c r="N82" t="inlineStr">
        <is>
          <t>K</t>
        </is>
      </c>
      <c r="O82" t="inlineStr">
        <is>
          <t>20231012</t>
        </is>
      </c>
      <c r="P82" t="inlineStr">
        <is>
          <t>Jawa Timur</t>
        </is>
      </c>
      <c r="Q82" t="inlineStr"/>
    </row>
    <row r="83">
      <c r="A83" t="inlineStr">
        <is>
          <t>PANDAN JAYA INDONESIA</t>
        </is>
      </c>
      <c r="B83" t="inlineStr">
        <is>
          <t>Kota Surabaya</t>
        </is>
      </c>
      <c r="C83" t="inlineStr">
        <is>
          <t>0317314954</t>
        </is>
      </c>
      <c r="D83" t="inlineStr">
        <is>
          <t>pandanjaya2@gmail.com</t>
        </is>
      </c>
      <c r="E83" t="inlineStr">
        <is>
          <t>https://lpjk.pu.go.id/search-badan-usaha-detail/TzFjRlpKeTlDUTJmS2NONkZmd040dz09</t>
        </is>
      </c>
      <c r="F83" t="n">
        <v>2</v>
      </c>
      <c r="G83" t="inlineStr">
        <is>
          <t>BG004</t>
        </is>
      </c>
      <c r="H83" t="inlineStr">
        <is>
          <t>12 Februari 2016</t>
        </is>
      </c>
      <c r="I83" s="2" t="n">
        <v>46308</v>
      </c>
      <c r="J83" t="inlineStr">
        <is>
          <t>Disetujui</t>
        </is>
      </c>
      <c r="K83" t="n">
        <v>90</v>
      </c>
      <c r="L83" t="inlineStr">
        <is>
          <t>13 Oktober 2026</t>
        </is>
      </c>
      <c r="M83" t="inlineStr">
        <is>
          <t>Konstruksi Gedung Perbelanjaan</t>
        </is>
      </c>
      <c r="N83" t="inlineStr">
        <is>
          <t>M</t>
        </is>
      </c>
      <c r="O83" t="inlineStr">
        <is>
          <t>20231012</t>
        </is>
      </c>
      <c r="P83" t="inlineStr">
        <is>
          <t>Jawa Timur</t>
        </is>
      </c>
      <c r="Q83" t="inlineStr"/>
    </row>
    <row r="84">
      <c r="A84" t="inlineStr">
        <is>
          <t>PRIMA INDO PERSADA</t>
        </is>
      </c>
      <c r="B84" t="inlineStr">
        <is>
          <t>Kota Metro</t>
        </is>
      </c>
      <c r="C84" t="inlineStr">
        <is>
          <t>082184163658</t>
        </is>
      </c>
      <c r="D84" t="inlineStr">
        <is>
          <t>primaindopcv@gmail.com</t>
        </is>
      </c>
      <c r="E84" t="inlineStr">
        <is>
          <t>https://lpjk.pu.go.id/search-badan-usaha-detail/NWJDb1ZqWk5rU1dBdGN6QVY3TDRQdz09</t>
        </is>
      </c>
      <c r="F84" t="n">
        <v>1</v>
      </c>
      <c r="G84" t="inlineStr">
        <is>
          <t>BS001</t>
        </is>
      </c>
      <c r="H84" t="inlineStr">
        <is>
          <t>11 Juli 2017</t>
        </is>
      </c>
      <c r="I84" s="2" t="n">
        <v>46308</v>
      </c>
      <c r="J84" t="inlineStr">
        <is>
          <t>Disetujui</t>
        </is>
      </c>
      <c r="K84" t="n">
        <v>90</v>
      </c>
      <c r="L84" t="inlineStr">
        <is>
          <t>13 Oktober 2026</t>
        </is>
      </c>
      <c r="M84" t="inlineStr">
        <is>
          <t>Konstruksi Bangunan Sipil Jalan</t>
        </is>
      </c>
      <c r="N84" t="inlineStr">
        <is>
          <t>K</t>
        </is>
      </c>
      <c r="O84" t="inlineStr">
        <is>
          <t>20231011</t>
        </is>
      </c>
      <c r="P84" t="inlineStr">
        <is>
          <t>Lampung</t>
        </is>
      </c>
      <c r="Q84" t="inlineStr"/>
    </row>
    <row r="85">
      <c r="A85" t="inlineStr">
        <is>
          <t>PULAU AIR CEMERLANG</t>
        </is>
      </c>
      <c r="B85" t="inlineStr">
        <is>
          <t>Kota Padang</t>
        </is>
      </c>
      <c r="C85" t="inlineStr">
        <is>
          <t>08116604040</t>
        </is>
      </c>
      <c r="D85" t="inlineStr">
        <is>
          <t>pt.pulauaircemerlang@gmail.com</t>
        </is>
      </c>
      <c r="E85" t="inlineStr">
        <is>
          <t>https://lpjk.pu.go.id/search-badan-usaha-detail/ZDluaGpVOU1WSy9YV2ZZdXdUUEdhdz09</t>
        </is>
      </c>
      <c r="F85" t="n">
        <v>1</v>
      </c>
      <c r="G85" t="inlineStr">
        <is>
          <t>BG002</t>
        </is>
      </c>
      <c r="H85" t="inlineStr">
        <is>
          <t>5 Juni 1997</t>
        </is>
      </c>
      <c r="I85" s="2" t="n">
        <v>46308</v>
      </c>
      <c r="J85" t="inlineStr">
        <is>
          <t>Disetujui</t>
        </is>
      </c>
      <c r="K85" t="n">
        <v>90</v>
      </c>
      <c r="L85" t="inlineStr">
        <is>
          <t>13 Oktober 2026</t>
        </is>
      </c>
      <c r="M85" t="inlineStr">
        <is>
          <t>Konstruksi Gedung Perkantoran</t>
        </is>
      </c>
      <c r="N85" t="inlineStr">
        <is>
          <t>M</t>
        </is>
      </c>
      <c r="O85" t="inlineStr">
        <is>
          <t>20231013</t>
        </is>
      </c>
      <c r="P85" t="inlineStr">
        <is>
          <t>Sumatera Barat</t>
        </is>
      </c>
      <c r="Q85" t="inlineStr"/>
    </row>
    <row r="86">
      <c r="A86" t="inlineStr">
        <is>
          <t>PURNAMA RAYA</t>
        </is>
      </c>
      <c r="B86" t="inlineStr">
        <is>
          <t>Kab. Sumbawa</t>
        </is>
      </c>
      <c r="C86" t="inlineStr">
        <is>
          <t>082341241280</t>
        </is>
      </c>
      <c r="D86" t="inlineStr">
        <is>
          <t>purnamaraya.cv@yahoo.com</t>
        </is>
      </c>
      <c r="E86" t="inlineStr">
        <is>
          <t>https://lpjk.pu.go.id/search-badan-usaha-detail/clVUVWN2aVRobGpnUHl6aWN2YjBvUT09</t>
        </is>
      </c>
      <c r="F86" t="n">
        <v>6</v>
      </c>
      <c r="G86" t="inlineStr">
        <is>
          <t>BG005, BG006, BS005</t>
        </is>
      </c>
      <c r="H86" t="inlineStr">
        <is>
          <t>1 Desember 2014</t>
        </is>
      </c>
      <c r="I86" s="2" t="n">
        <v>46308</v>
      </c>
      <c r="J86" t="inlineStr">
        <is>
          <t>Disetujui</t>
        </is>
      </c>
      <c r="K86" t="n">
        <v>90</v>
      </c>
      <c r="L86" t="inlineStr">
        <is>
          <t>13 Oktober 2026</t>
        </is>
      </c>
      <c r="M86" t="inlineStr">
        <is>
          <t>Konstruksi Bangunan Sipil Pengolahan Air Bersih, Konstruksi Gedung Kesehatan, Konstruksi Gedung Pendidikan</t>
        </is>
      </c>
      <c r="N86" t="inlineStr">
        <is>
          <t>K</t>
        </is>
      </c>
      <c r="O86" t="inlineStr">
        <is>
          <t>20231012</t>
        </is>
      </c>
      <c r="P86" t="inlineStr">
        <is>
          <t>Nusa Tenggara Barat</t>
        </is>
      </c>
      <c r="Q86" t="inlineStr"/>
    </row>
    <row r="87">
      <c r="A87" t="inlineStr">
        <is>
          <t>PUTRA AKSA MULYA</t>
        </is>
      </c>
      <c r="B87" t="inlineStr">
        <is>
          <t>Kab. Tuban</t>
        </is>
      </c>
      <c r="C87" t="inlineStr">
        <is>
          <t>081332741111</t>
        </is>
      </c>
      <c r="D87" t="inlineStr">
        <is>
          <t>putraaksamulya@gmail.com</t>
        </is>
      </c>
      <c r="E87" t="inlineStr">
        <is>
          <t>https://lpjk.pu.go.id/search-badan-usaha-detail/S3AydVA1NTRjQ3c2Z3RyaUV1Q0t0dz09</t>
        </is>
      </c>
      <c r="F87" t="n">
        <v>3</v>
      </c>
      <c r="G87" t="inlineStr">
        <is>
          <t>BG005, BS001, BS004</t>
        </is>
      </c>
      <c r="H87" t="inlineStr">
        <is>
          <t>16 September 2023</t>
        </is>
      </c>
      <c r="I87" s="2" t="n">
        <v>46308</v>
      </c>
      <c r="J87" t="inlineStr">
        <is>
          <t>Disetujui</t>
        </is>
      </c>
      <c r="K87" t="n">
        <v>90</v>
      </c>
      <c r="L87" t="inlineStr">
        <is>
          <t>13 Oktober 2026</t>
        </is>
      </c>
      <c r="M87" t="inlineStr">
        <is>
          <t>Konstruksi Bangunan Sipil Jalan, Konstruksi Gedung Kesehatan, Konstruksi Jaringan Irigasi dan Drainase</t>
        </is>
      </c>
      <c r="N87" t="inlineStr">
        <is>
          <t>K</t>
        </is>
      </c>
      <c r="O87" t="inlineStr">
        <is>
          <t>20231013</t>
        </is>
      </c>
      <c r="P87" t="inlineStr">
        <is>
          <t>Jawa Timur</t>
        </is>
      </c>
      <c r="Q87" t="inlineStr"/>
    </row>
    <row r="88">
      <c r="A88" t="inlineStr">
        <is>
          <t>PUTRA BANGSA</t>
        </is>
      </c>
      <c r="B88" t="inlineStr">
        <is>
          <t>Kab. Bondowoso</t>
        </is>
      </c>
      <c r="C88" t="inlineStr">
        <is>
          <t>6282334061317</t>
        </is>
      </c>
      <c r="D88" t="inlineStr">
        <is>
          <t>p.bangsa@yahoo.co.id</t>
        </is>
      </c>
      <c r="E88" t="inlineStr">
        <is>
          <t>https://lpjk.pu.go.id/search-badan-usaha-detail/dVVBTC8rRjlFOTJLY2Vjck1kS1Rvdz09</t>
        </is>
      </c>
      <c r="F88" t="n">
        <v>1</v>
      </c>
      <c r="G88" t="inlineStr">
        <is>
          <t>BG006</t>
        </is>
      </c>
      <c r="H88" t="inlineStr">
        <is>
          <t>29 November 2000</t>
        </is>
      </c>
      <c r="I88" s="2" t="n">
        <v>46308</v>
      </c>
      <c r="J88" t="inlineStr">
        <is>
          <t>Disetujui</t>
        </is>
      </c>
      <c r="K88" t="n">
        <v>90</v>
      </c>
      <c r="L88" t="inlineStr">
        <is>
          <t>13 Oktober 2026</t>
        </is>
      </c>
      <c r="M88" t="inlineStr">
        <is>
          <t>Konstruksi Gedung Pendidikan</t>
        </is>
      </c>
      <c r="N88" t="inlineStr">
        <is>
          <t>K</t>
        </is>
      </c>
      <c r="O88" t="inlineStr">
        <is>
          <t>20231010</t>
        </is>
      </c>
      <c r="P88" t="inlineStr">
        <is>
          <t>Jawa Timur</t>
        </is>
      </c>
      <c r="Q88" t="inlineStr"/>
    </row>
    <row r="89">
      <c r="A89" t="inlineStr">
        <is>
          <t>PUTRA PHOENNA</t>
        </is>
      </c>
      <c r="B89" t="inlineStr">
        <is>
          <t>Kab. Aceh Timur</t>
        </is>
      </c>
      <c r="C89" t="inlineStr">
        <is>
          <t>085277608843</t>
        </is>
      </c>
      <c r="D89" t="inlineStr">
        <is>
          <t>cvputraphoenna@yahoo.com</t>
        </is>
      </c>
      <c r="E89" t="inlineStr">
        <is>
          <t>https://lpjk.pu.go.id/search-badan-usaha-detail/L2haSTlISGI0RjNuZ09ISk90RzhPZz09</t>
        </is>
      </c>
      <c r="F89" t="n">
        <v>3</v>
      </c>
      <c r="G89" t="inlineStr">
        <is>
          <t>BG002, BG005, BG009</t>
        </is>
      </c>
      <c r="H89" t="inlineStr">
        <is>
          <t>28 Juli 2020</t>
        </is>
      </c>
      <c r="I89" s="2" t="n">
        <v>46308</v>
      </c>
      <c r="J89" t="inlineStr">
        <is>
          <t>Disetujui</t>
        </is>
      </c>
      <c r="K89" t="n">
        <v>90</v>
      </c>
      <c r="L89" t="inlineStr">
        <is>
          <t>13 Oktober 2026</t>
        </is>
      </c>
      <c r="M89" t="inlineStr">
        <is>
          <t>Konstruksi Gedung Kesehatan, Konstruksi Gedung Lainnya, Konstruksi Gedung Perkantoran</t>
        </is>
      </c>
      <c r="N89" t="inlineStr">
        <is>
          <t>K</t>
        </is>
      </c>
      <c r="O89" t="inlineStr">
        <is>
          <t>20231008</t>
        </is>
      </c>
      <c r="P89" t="inlineStr">
        <is>
          <t>Aceh</t>
        </is>
      </c>
      <c r="Q89" t="inlineStr"/>
    </row>
    <row r="90">
      <c r="A90" t="inlineStr">
        <is>
          <t>PUTRA TECHNIK</t>
        </is>
      </c>
      <c r="B90" t="inlineStr">
        <is>
          <t>Kab. Nganjuk</t>
        </is>
      </c>
      <c r="C90" t="inlineStr">
        <is>
          <t>085257642442</t>
        </is>
      </c>
      <c r="D90" t="inlineStr">
        <is>
          <t>putratehnik_77@yahoo.co.id</t>
        </is>
      </c>
      <c r="E90" t="inlineStr">
        <is>
          <t>https://lpjk.pu.go.id/search-badan-usaha-detail/R2pNMG91bDYwKzRsZkxGTFRydVNpdz09</t>
        </is>
      </c>
      <c r="F90" t="n">
        <v>8</v>
      </c>
      <c r="G90" t="inlineStr">
        <is>
          <t>BG002, BG004, BG005, BG006, BG009, BS001, BS002, BS004</t>
        </is>
      </c>
      <c r="H90" t="inlineStr">
        <is>
          <t>19 Januari 2008</t>
        </is>
      </c>
      <c r="I90" s="2" t="n">
        <v>46308</v>
      </c>
      <c r="J90" t="inlineStr">
        <is>
          <t>Disetujui</t>
        </is>
      </c>
      <c r="K90" t="n">
        <v>90</v>
      </c>
      <c r="L90" t="inlineStr">
        <is>
          <t>13 Oktober 2026</t>
        </is>
      </c>
      <c r="M90"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90" t="inlineStr">
        <is>
          <t>K</t>
        </is>
      </c>
      <c r="O90" t="inlineStr">
        <is>
          <t>20231011</t>
        </is>
      </c>
      <c r="P90" t="inlineStr">
        <is>
          <t>Jawa Timur</t>
        </is>
      </c>
      <c r="Q90" t="inlineStr"/>
    </row>
    <row r="91">
      <c r="A91" t="inlineStr">
        <is>
          <t>PUTRA TUNGGAL</t>
        </is>
      </c>
      <c r="B91" t="inlineStr">
        <is>
          <t>Kab. Banyuasin</t>
        </is>
      </c>
      <c r="C91" t="inlineStr">
        <is>
          <t>0711430626</t>
        </is>
      </c>
      <c r="D91" t="inlineStr">
        <is>
          <t>cv.putra_t@yahoo.com</t>
        </is>
      </c>
      <c r="E91" t="inlineStr">
        <is>
          <t>https://lpjk.pu.go.id/search-badan-usaha-detail/Qjk3WXI2Y2treGE2Q05Way9PT2o2Zz09</t>
        </is>
      </c>
      <c r="F91" t="n">
        <v>1</v>
      </c>
      <c r="G91" t="inlineStr">
        <is>
          <t>BS004</t>
        </is>
      </c>
      <c r="H91" t="inlineStr">
        <is>
          <t>8 November 2002</t>
        </is>
      </c>
      <c r="I91" s="2" t="n">
        <v>46308</v>
      </c>
      <c r="J91" t="inlineStr">
        <is>
          <t>Disetujui</t>
        </is>
      </c>
      <c r="K91" t="n">
        <v>90</v>
      </c>
      <c r="L91" t="inlineStr">
        <is>
          <t>13 Oktober 2026</t>
        </is>
      </c>
      <c r="M91" t="inlineStr">
        <is>
          <t>Konstruksi Jaringan Irigasi dan Drainase</t>
        </is>
      </c>
      <c r="N91" t="inlineStr">
        <is>
          <t>K</t>
        </is>
      </c>
      <c r="O91" t="inlineStr">
        <is>
          <t>20230720</t>
        </is>
      </c>
      <c r="P91" t="inlineStr">
        <is>
          <t>Sumatera Selatan</t>
        </is>
      </c>
      <c r="Q91" t="inlineStr"/>
    </row>
    <row r="92">
      <c r="A92" t="inlineStr">
        <is>
          <t>PUTRA WIJAYA</t>
        </is>
      </c>
      <c r="B92" t="inlineStr">
        <is>
          <t>Kab. Semarang</t>
        </is>
      </c>
      <c r="C92" t="inlineStr">
        <is>
          <t>0246922182</t>
        </is>
      </c>
      <c r="D92" t="inlineStr">
        <is>
          <t>putrawijaya1518@gmail.com</t>
        </is>
      </c>
      <c r="E92" t="inlineStr">
        <is>
          <t>https://lpjk.pu.go.id/search-badan-usaha-detail/VFkrMnpHS0U2SitTWlZSbFFmdFZhUT09</t>
        </is>
      </c>
      <c r="F92" t="n">
        <v>1</v>
      </c>
      <c r="G92" t="inlineStr">
        <is>
          <t>BS004</t>
        </is>
      </c>
      <c r="H92" t="inlineStr">
        <is>
          <t>22 Juni 2012</t>
        </is>
      </c>
      <c r="I92" s="2" t="n">
        <v>46308</v>
      </c>
      <c r="J92" t="inlineStr">
        <is>
          <t>Disetujui</t>
        </is>
      </c>
      <c r="K92" t="n">
        <v>90</v>
      </c>
      <c r="L92" t="inlineStr">
        <is>
          <t>13 Oktober 2026</t>
        </is>
      </c>
      <c r="M92" t="inlineStr">
        <is>
          <t>Konstruksi Jaringan Irigasi dan Drainase</t>
        </is>
      </c>
      <c r="N92" t="inlineStr">
        <is>
          <t>K</t>
        </is>
      </c>
      <c r="O92" t="inlineStr">
        <is>
          <t>20231006</t>
        </is>
      </c>
      <c r="P92" t="inlineStr">
        <is>
          <t>Jawa Tengah</t>
        </is>
      </c>
      <c r="Q92" t="inlineStr"/>
    </row>
    <row r="93">
      <c r="A93" t="inlineStr">
        <is>
          <t>QALIAN</t>
        </is>
      </c>
      <c r="B93" t="inlineStr">
        <is>
          <t>Kab. Subang</t>
        </is>
      </c>
      <c r="C93" t="inlineStr">
        <is>
          <t>082315339328</t>
        </is>
      </c>
      <c r="D93" t="inlineStr">
        <is>
          <t>cvqalian@gmail.com</t>
        </is>
      </c>
      <c r="E93" t="inlineStr">
        <is>
          <t>https://lpjk.pu.go.id/search-badan-usaha-detail/SkhlajdWNlQ4YjNRb0lBT0FJN3EvUT09</t>
        </is>
      </c>
      <c r="F93" t="n">
        <v>4</v>
      </c>
      <c r="G93" t="inlineStr">
        <is>
          <t>BG002, BG009, BS004, BS005</t>
        </is>
      </c>
      <c r="H93" t="inlineStr">
        <is>
          <t>12 Februari 2020</t>
        </is>
      </c>
      <c r="I93" s="2" t="n">
        <v>46308</v>
      </c>
      <c r="J93" t="inlineStr">
        <is>
          <t>Disetujui</t>
        </is>
      </c>
      <c r="K93" t="n">
        <v>90</v>
      </c>
      <c r="L93" t="inlineStr">
        <is>
          <t>13 Oktober 2026</t>
        </is>
      </c>
      <c r="M93" t="inlineStr">
        <is>
          <t>Konstruksi Bangunan Sipil Pengolahan Air Bersih, Konstruksi Gedung Lainnya, Konstruksi Gedung Perkantoran, Konstruksi Jaringan Irigasi dan Drainase</t>
        </is>
      </c>
      <c r="N93" t="inlineStr">
        <is>
          <t>K</t>
        </is>
      </c>
      <c r="O93" t="inlineStr">
        <is>
          <t>20231012, 20231013</t>
        </is>
      </c>
      <c r="P93" t="inlineStr">
        <is>
          <t>Jawa Barat</t>
        </is>
      </c>
      <c r="Q93" t="inlineStr"/>
    </row>
    <row r="94">
      <c r="A94" t="inlineStr">
        <is>
          <t>RANTAU BERSAUDARA</t>
        </is>
      </c>
      <c r="B94" t="inlineStr">
        <is>
          <t>Kota Samarinda</t>
        </is>
      </c>
      <c r="C94" t="inlineStr">
        <is>
          <t>085250325111</t>
        </is>
      </c>
      <c r="D94" t="inlineStr">
        <is>
          <t>rantaubersaudara@gmail.com</t>
        </is>
      </c>
      <c r="E94" t="inlineStr">
        <is>
          <t>https://lpjk.pu.go.id/search-badan-usaha-detail/S0RpNzd3UW1iSW81SHZmM2NFcGhNQT09</t>
        </is>
      </c>
      <c r="F94" t="n">
        <v>1</v>
      </c>
      <c r="G94" t="inlineStr">
        <is>
          <t>BS016</t>
        </is>
      </c>
      <c r="H94" t="inlineStr">
        <is>
          <t>8 Januari 2013</t>
        </is>
      </c>
      <c r="I94" s="2" t="n">
        <v>46308</v>
      </c>
      <c r="J94" t="inlineStr">
        <is>
          <t>Disetujui</t>
        </is>
      </c>
      <c r="K94" t="n">
        <v>90</v>
      </c>
      <c r="L94" t="inlineStr">
        <is>
          <t>13 Oktober 2026</t>
        </is>
      </c>
      <c r="M94" t="inlineStr">
        <is>
          <t>Konstruksi Bangunan Sipil Fasilitas Olah Raga</t>
        </is>
      </c>
      <c r="N94" t="inlineStr">
        <is>
          <t>K</t>
        </is>
      </c>
      <c r="O94" t="inlineStr">
        <is>
          <t>20231011</t>
        </is>
      </c>
      <c r="P94" t="inlineStr">
        <is>
          <t>Kalimantan Timur</t>
        </is>
      </c>
      <c r="Q94" t="inlineStr"/>
    </row>
    <row r="95">
      <c r="A95" t="inlineStr">
        <is>
          <t>REKA LARAS MULIA</t>
        </is>
      </c>
      <c r="B95" t="inlineStr">
        <is>
          <t>Kota Adm. Jakarta Selatan</t>
        </is>
      </c>
      <c r="C95" t="inlineStr">
        <is>
          <t>081318844508</t>
        </is>
      </c>
      <c r="D95" t="inlineStr">
        <is>
          <t>ptrekalarasmulia@gmail.com</t>
        </is>
      </c>
      <c r="E95" t="inlineStr">
        <is>
          <t>https://lpjk.pu.go.id/search-badan-usaha-detail/SWtyVU5DS2lqbHlkcktyUDhUR2ZSdz09</t>
        </is>
      </c>
      <c r="F95" t="n">
        <v>1</v>
      </c>
      <c r="G95" t="inlineStr">
        <is>
          <t>BS001</t>
        </is>
      </c>
      <c r="H95" t="inlineStr">
        <is>
          <t>20 Juli 2023</t>
        </is>
      </c>
      <c r="I95" s="2" t="n">
        <v>46308</v>
      </c>
      <c r="J95" t="inlineStr">
        <is>
          <t>Disetujui</t>
        </is>
      </c>
      <c r="K95" t="n">
        <v>90</v>
      </c>
      <c r="L95" t="inlineStr">
        <is>
          <t>13 Oktober 2026</t>
        </is>
      </c>
      <c r="M95" t="inlineStr">
        <is>
          <t>Konstruksi Bangunan Sipil Jalan</t>
        </is>
      </c>
      <c r="N95" t="inlineStr">
        <is>
          <t>K</t>
        </is>
      </c>
      <c r="O95" t="inlineStr">
        <is>
          <t>20231013</t>
        </is>
      </c>
      <c r="P95" t="inlineStr">
        <is>
          <t>DKI Jakarta</t>
        </is>
      </c>
      <c r="Q95" t="inlineStr"/>
    </row>
    <row r="96">
      <c r="A96" t="inlineStr">
        <is>
          <t>RESTU BUMI</t>
        </is>
      </c>
      <c r="B96" t="inlineStr">
        <is>
          <t>Kab. Kudus</t>
        </is>
      </c>
      <c r="C96" t="inlineStr">
        <is>
          <t>085226694491</t>
        </is>
      </c>
      <c r="D96" t="inlineStr">
        <is>
          <t>restu_bumicv@yahoo.com</t>
        </is>
      </c>
      <c r="E96" t="inlineStr">
        <is>
          <t>https://lpjk.pu.go.id/search-badan-usaha-detail/M1NZMkgwb0svQklCNWlIWTlaQ3JFN3RQcTNoTXZaZTI5d2FUTVpuUlNrST0</t>
        </is>
      </c>
      <c r="F96" t="n">
        <v>4</v>
      </c>
      <c r="G96" t="inlineStr">
        <is>
          <t>BG005, BG009, BS001, BS004</t>
        </is>
      </c>
      <c r="H96" t="inlineStr">
        <is>
          <t>12 Agustus 2025</t>
        </is>
      </c>
      <c r="I96" s="2" t="n">
        <v>46308</v>
      </c>
      <c r="J96" t="inlineStr">
        <is>
          <t>Disetujui</t>
        </is>
      </c>
      <c r="K96" t="n">
        <v>90</v>
      </c>
      <c r="L96" t="inlineStr">
        <is>
          <t>13 Oktober 2026</t>
        </is>
      </c>
      <c r="M96" t="inlineStr">
        <is>
          <t>Konstruksi Bangunan Sipil Jalan, Konstruksi Gedung Kesehatan, Konstruksi Gedung Lainnya, Konstruksi Jaringan Irigasi dan Drainase</t>
        </is>
      </c>
      <c r="N96" t="inlineStr">
        <is>
          <t>K</t>
        </is>
      </c>
      <c r="O96" t="inlineStr">
        <is>
          <t>20231013</t>
        </is>
      </c>
      <c r="P96" t="inlineStr">
        <is>
          <t>Jawa Tengah</t>
        </is>
      </c>
      <c r="Q96" t="inlineStr"/>
    </row>
    <row r="97">
      <c r="A97" t="inlineStr">
        <is>
          <t>REVORMA NUSATAMA ABADI</t>
        </is>
      </c>
      <c r="B97" t="inlineStr">
        <is>
          <t>Kota Samarinda</t>
        </is>
      </c>
      <c r="C97" t="inlineStr">
        <is>
          <t>081377549777</t>
        </is>
      </c>
      <c r="D97" t="inlineStr">
        <is>
          <t>revormanusatama.abadi@gmail.com</t>
        </is>
      </c>
      <c r="E97" t="inlineStr">
        <is>
          <t>https://lpjk.pu.go.id/search-badan-usaha-detail/VXFTN3hBOTB2KzBOcFpLT05BMjh3Zz09</t>
        </is>
      </c>
      <c r="F97" t="n">
        <v>1</v>
      </c>
      <c r="G97" t="inlineStr">
        <is>
          <t>BS010</t>
        </is>
      </c>
      <c r="H97" t="inlineStr">
        <is>
          <t>23 Maret 2020</t>
        </is>
      </c>
      <c r="I97" s="2" t="n">
        <v>46308</v>
      </c>
      <c r="J97" t="inlineStr">
        <is>
          <t>Disetujui</t>
        </is>
      </c>
      <c r="K97" t="n">
        <v>90</v>
      </c>
      <c r="L97" t="inlineStr">
        <is>
          <t>13 Oktober 2026</t>
        </is>
      </c>
      <c r="M97" t="inlineStr">
        <is>
          <t>Konstruksi Bangunan Prasarana Sumber Daya Air</t>
        </is>
      </c>
      <c r="N97" t="inlineStr">
        <is>
          <t>K</t>
        </is>
      </c>
      <c r="O97" t="inlineStr">
        <is>
          <t>20231014</t>
        </is>
      </c>
      <c r="P97" t="inlineStr">
        <is>
          <t>Kalimantan Timur</t>
        </is>
      </c>
      <c r="Q97" t="inlineStr"/>
    </row>
    <row r="98">
      <c r="A98" t="inlineStr">
        <is>
          <t>REYHAN PUTRA PERKASA</t>
        </is>
      </c>
      <c r="B98" t="inlineStr">
        <is>
          <t>Kota Banjarmasin</t>
        </is>
      </c>
      <c r="C98" t="inlineStr">
        <is>
          <t>085251622999</t>
        </is>
      </c>
      <c r="D98" t="inlineStr">
        <is>
          <t>cvreyhanputrap@gmail.com</t>
        </is>
      </c>
      <c r="E98" t="inlineStr">
        <is>
          <t>https://lpjk.pu.go.id/search-badan-usaha-detail/dXlOSTZuNXZWU2lNWlJlY0xEVldJZz09</t>
        </is>
      </c>
      <c r="F98" t="n">
        <v>1</v>
      </c>
      <c r="G98" t="inlineStr">
        <is>
          <t>BS002</t>
        </is>
      </c>
      <c r="H98" t="inlineStr">
        <is>
          <t>23 Oktober 2021</t>
        </is>
      </c>
      <c r="I98" s="2" t="n">
        <v>46308</v>
      </c>
      <c r="J98" t="inlineStr">
        <is>
          <t>Disetujui</t>
        </is>
      </c>
      <c r="K98" t="n">
        <v>90</v>
      </c>
      <c r="L98" t="inlineStr">
        <is>
          <t>13 Oktober 2026</t>
        </is>
      </c>
      <c r="M98" t="inlineStr">
        <is>
          <t>Bangunan Sipil Jembatan, Jalan Layang, Fly Over, dan Underpass</t>
        </is>
      </c>
      <c r="N98" t="inlineStr">
        <is>
          <t>K</t>
        </is>
      </c>
      <c r="O98" t="inlineStr">
        <is>
          <t>20231012</t>
        </is>
      </c>
      <c r="P98" t="inlineStr">
        <is>
          <t>Kalimantan Selatan</t>
        </is>
      </c>
      <c r="Q98" t="inlineStr"/>
    </row>
    <row r="99">
      <c r="A99" t="inlineStr">
        <is>
          <t>RIZKI AGUNG</t>
        </is>
      </c>
      <c r="B99" t="inlineStr">
        <is>
          <t>Kab. Gunungkidul</t>
        </is>
      </c>
      <c r="C99" t="inlineStr">
        <is>
          <t>0811295198</t>
        </is>
      </c>
      <c r="D99" t="inlineStr">
        <is>
          <t>cvrizki_agung@yahoo.co.id</t>
        </is>
      </c>
      <c r="E99" t="inlineStr">
        <is>
          <t>https://lpjk.pu.go.id/search-badan-usaha-detail/czBSTDdOSlZzTzNqYUVrNnd2VW9Gdz09</t>
        </is>
      </c>
      <c r="F99" t="n">
        <v>1</v>
      </c>
      <c r="G99" t="inlineStr">
        <is>
          <t>BS001</t>
        </is>
      </c>
      <c r="H99" t="inlineStr">
        <is>
          <t>8 Januari 2008</t>
        </is>
      </c>
      <c r="I99" s="2" t="n">
        <v>46308</v>
      </c>
      <c r="J99" t="inlineStr">
        <is>
          <t>Disetujui</t>
        </is>
      </c>
      <c r="K99" t="n">
        <v>90</v>
      </c>
      <c r="L99" t="inlineStr">
        <is>
          <t>13 Oktober 2026</t>
        </is>
      </c>
      <c r="M99" t="inlineStr">
        <is>
          <t>Konstruksi Bangunan Sipil Jalan</t>
        </is>
      </c>
      <c r="N99" t="inlineStr">
        <is>
          <t>K</t>
        </is>
      </c>
      <c r="O99" t="inlineStr">
        <is>
          <t>20231011</t>
        </is>
      </c>
      <c r="P99" t="inlineStr">
        <is>
          <t>DI Yogyakarta</t>
        </is>
      </c>
      <c r="Q99" t="inlineStr"/>
    </row>
    <row r="100">
      <c r="A100" t="inlineStr">
        <is>
          <t>SAHABAT 02</t>
        </is>
      </c>
      <c r="B100" t="inlineStr">
        <is>
          <t>Kab. Melawi</t>
        </is>
      </c>
      <c r="C100" t="inlineStr">
        <is>
          <t>085252129881</t>
        </is>
      </c>
      <c r="D100" t="inlineStr">
        <is>
          <t>sahabatkota2@gmail.com</t>
        </is>
      </c>
      <c r="E100" t="inlineStr">
        <is>
          <t>https://lpjk.pu.go.id/search-badan-usaha-detail/anRRVnhYenhtb01tQ0d0Zzl1SkNBUT09</t>
        </is>
      </c>
      <c r="F100" t="n">
        <v>2</v>
      </c>
      <c r="G100" t="inlineStr">
        <is>
          <t>BS001, BS002</t>
        </is>
      </c>
      <c r="H100" t="inlineStr">
        <is>
          <t>20 Januari 2015</t>
        </is>
      </c>
      <c r="I100" s="2" t="n">
        <v>46308</v>
      </c>
      <c r="J100" t="inlineStr">
        <is>
          <t>Disetujui</t>
        </is>
      </c>
      <c r="K100" t="n">
        <v>90</v>
      </c>
      <c r="L100" t="inlineStr">
        <is>
          <t>13 Oktober 2026</t>
        </is>
      </c>
      <c r="M100" t="inlineStr">
        <is>
          <t>Bangunan Sipil Jembatan, Jalan Layang, Fly Over, dan Underpass, Konstruksi Bangunan Sipil Jalan</t>
        </is>
      </c>
      <c r="N100" t="inlineStr">
        <is>
          <t>K</t>
        </is>
      </c>
      <c r="O100" t="inlineStr">
        <is>
          <t>20231013</t>
        </is>
      </c>
      <c r="P100" t="inlineStr">
        <is>
          <t>Kalimantan Barat</t>
        </is>
      </c>
      <c r="Q100" t="inlineStr"/>
    </row>
    <row r="101">
      <c r="A101" t="inlineStr">
        <is>
          <t>SARAH PERMATA KHATULISTIWA</t>
        </is>
      </c>
      <c r="B101" t="inlineStr">
        <is>
          <t>Kota Pontianak</t>
        </is>
      </c>
      <c r="C101" t="inlineStr">
        <is>
          <t>082153212100</t>
        </is>
      </c>
      <c r="D101" t="inlineStr">
        <is>
          <t>sarahpermata2021@gmail.com</t>
        </is>
      </c>
      <c r="E101" t="inlineStr">
        <is>
          <t>https://lpjk.pu.go.id/search-badan-usaha-detail/TktWa09LRC9CTktsT2NZRytVaTdWZz09</t>
        </is>
      </c>
      <c r="F101" t="n">
        <v>1</v>
      </c>
      <c r="G101" t="inlineStr">
        <is>
          <t>BS001</t>
        </is>
      </c>
      <c r="H101" t="inlineStr">
        <is>
          <t>10 Desember 2009</t>
        </is>
      </c>
      <c r="I101" s="2" t="n">
        <v>46308</v>
      </c>
      <c r="J101" t="inlineStr">
        <is>
          <t>Pencabutan</t>
        </is>
      </c>
      <c r="K101" t="n">
        <v>90</v>
      </c>
      <c r="L101" t="inlineStr">
        <is>
          <t>13 Oktober 2026</t>
        </is>
      </c>
      <c r="M101" t="inlineStr">
        <is>
          <t>Konstruksi Bangunan Sipil Jalan</t>
        </is>
      </c>
      <c r="N101" t="inlineStr">
        <is>
          <t>K</t>
        </is>
      </c>
      <c r="O101" t="inlineStr">
        <is>
          <t>20231013</t>
        </is>
      </c>
      <c r="P101" t="inlineStr">
        <is>
          <t>Kalimantan Barat</t>
        </is>
      </c>
      <c r="Q101" t="inlineStr"/>
    </row>
    <row r="102">
      <c r="A102" t="inlineStr">
        <is>
          <t>SEJAHTERA DARMA ABADI</t>
        </is>
      </c>
      <c r="B102" t="inlineStr">
        <is>
          <t>Kab. Kutai Kartanegara</t>
        </is>
      </c>
      <c r="C102" t="inlineStr">
        <is>
          <t>081254730648</t>
        </is>
      </c>
      <c r="D102" t="inlineStr">
        <is>
          <t>sejahteradarmaabadi@gmail.com</t>
        </is>
      </c>
      <c r="E102" t="inlineStr">
        <is>
          <t>https://lpjk.pu.go.id/search-badan-usaha-detail/dERWNEt4bVlib1ZBTFI5RkhKVWlFQT09</t>
        </is>
      </c>
      <c r="F102" t="n">
        <v>2</v>
      </c>
      <c r="G102" t="inlineStr">
        <is>
          <t>BS001, BS004</t>
        </is>
      </c>
      <c r="H102" t="inlineStr">
        <is>
          <t>15 Juni 2022</t>
        </is>
      </c>
      <c r="I102" s="2" t="n">
        <v>46308</v>
      </c>
      <c r="J102" t="inlineStr">
        <is>
          <t>Disetujui</t>
        </is>
      </c>
      <c r="K102" t="n">
        <v>90</v>
      </c>
      <c r="L102" t="inlineStr">
        <is>
          <t>13 Oktober 2026</t>
        </is>
      </c>
      <c r="M102" t="inlineStr">
        <is>
          <t>Konstruksi Bangunan Sipil Jalan, Konstruksi Jaringan Irigasi dan Drainase</t>
        </is>
      </c>
      <c r="N102" t="inlineStr">
        <is>
          <t>K</t>
        </is>
      </c>
      <c r="O102" t="inlineStr">
        <is>
          <t>20231011</t>
        </is>
      </c>
      <c r="P102" t="inlineStr">
        <is>
          <t>Kalimantan Timur</t>
        </is>
      </c>
      <c r="Q102" t="inlineStr"/>
    </row>
    <row r="103">
      <c r="A103" t="inlineStr">
        <is>
          <t>SEMBILAN HAKIM NUSANTARA</t>
        </is>
      </c>
      <c r="B103" t="inlineStr">
        <is>
          <t>Kota Bandar Lampung</t>
        </is>
      </c>
      <c r="C103" t="inlineStr">
        <is>
          <t>08117290909</t>
        </is>
      </c>
      <c r="D103" t="inlineStr">
        <is>
          <t>9hnusantara@gmail.com</t>
        </is>
      </c>
      <c r="E103" t="inlineStr">
        <is>
          <t>https://lpjk.pu.go.id/search-badan-usaha-detail/MGhvdWFkbzB6MVRZQzg2MlNBSTF6Zz09</t>
        </is>
      </c>
      <c r="F103" t="n">
        <v>1</v>
      </c>
      <c r="G103" t="inlineStr">
        <is>
          <t>BS001</t>
        </is>
      </c>
      <c r="H103" t="inlineStr">
        <is>
          <t>19 Juni 2009</t>
        </is>
      </c>
      <c r="I103" s="2" t="n">
        <v>46308</v>
      </c>
      <c r="J103" t="inlineStr">
        <is>
          <t>Disetujui</t>
        </is>
      </c>
      <c r="K103" t="n">
        <v>90</v>
      </c>
      <c r="L103" t="inlineStr">
        <is>
          <t>13 Oktober 2026</t>
        </is>
      </c>
      <c r="M103" t="inlineStr">
        <is>
          <t>Konstruksi Bangunan Sipil Jalan</t>
        </is>
      </c>
      <c r="N103" t="inlineStr">
        <is>
          <t>K</t>
        </is>
      </c>
      <c r="O103" t="inlineStr">
        <is>
          <t>20231013</t>
        </is>
      </c>
      <c r="P103" t="inlineStr">
        <is>
          <t>Lampung</t>
        </is>
      </c>
      <c r="Q103" t="inlineStr"/>
    </row>
    <row r="104">
      <c r="A104" t="inlineStr">
        <is>
          <t>SUCI TRI LESTARI</t>
        </is>
      </c>
      <c r="B104" t="inlineStr">
        <is>
          <t>Kota Pekanbaru</t>
        </is>
      </c>
      <c r="C104" t="inlineStr">
        <is>
          <t>082385599944</t>
        </is>
      </c>
      <c r="D104" t="inlineStr">
        <is>
          <t>cvsucitrilestari@gmail.com</t>
        </is>
      </c>
      <c r="E104" t="inlineStr">
        <is>
          <t>https://lpjk.pu.go.id/search-badan-usaha-detail/b1I5bERyS2VScVBIcHlpaDFBYkZTZz09</t>
        </is>
      </c>
      <c r="F104" t="n">
        <v>1</v>
      </c>
      <c r="G104" t="inlineStr">
        <is>
          <t>BS010</t>
        </is>
      </c>
      <c r="H104" t="inlineStr">
        <is>
          <t>19 Agustus 2023</t>
        </is>
      </c>
      <c r="I104" s="2" t="n">
        <v>46308</v>
      </c>
      <c r="J104" t="inlineStr">
        <is>
          <t>Pencabutan</t>
        </is>
      </c>
      <c r="K104" t="n">
        <v>90</v>
      </c>
      <c r="L104" t="inlineStr">
        <is>
          <t>13 Oktober 2026</t>
        </is>
      </c>
      <c r="M104" t="inlineStr">
        <is>
          <t>Konstruksi Bangunan Prasarana Sumber Daya Air</t>
        </is>
      </c>
      <c r="N104" t="inlineStr">
        <is>
          <t>K</t>
        </is>
      </c>
      <c r="O104" t="inlineStr">
        <is>
          <t>20231012</t>
        </is>
      </c>
      <c r="P104" t="inlineStr">
        <is>
          <t>Riau</t>
        </is>
      </c>
      <c r="Q104" t="inlineStr"/>
    </row>
    <row r="105">
      <c r="A105" t="inlineStr">
        <is>
          <t>TAHASAK JAYA KONSTRUKSI</t>
        </is>
      </c>
      <c r="B105" t="inlineStr">
        <is>
          <t>Kota Palangkaraya</t>
        </is>
      </c>
      <c r="C105" t="inlineStr">
        <is>
          <t>081250122116</t>
        </is>
      </c>
      <c r="D105" t="inlineStr">
        <is>
          <t>TAHASAKJ@gmail.com</t>
        </is>
      </c>
      <c r="E105" t="inlineStr">
        <is>
          <t>https://lpjk.pu.go.id/search-badan-usaha-detail/YkRNSDN3MXBXa2F5Mk5FdnQzOVBuZz09</t>
        </is>
      </c>
      <c r="F105" t="n">
        <v>1</v>
      </c>
      <c r="G105" t="inlineStr">
        <is>
          <t>BS004</t>
        </is>
      </c>
      <c r="H105" t="inlineStr">
        <is>
          <t>8 September 2023</t>
        </is>
      </c>
      <c r="I105" s="2" t="n">
        <v>46308</v>
      </c>
      <c r="J105" t="inlineStr">
        <is>
          <t>Disetujui</t>
        </is>
      </c>
      <c r="K105" t="n">
        <v>90</v>
      </c>
      <c r="L105" t="inlineStr">
        <is>
          <t>13 Oktober 2026</t>
        </is>
      </c>
      <c r="M105" t="inlineStr">
        <is>
          <t>Konstruksi Jaringan Irigasi dan Drainase</t>
        </is>
      </c>
      <c r="N105" t="inlineStr">
        <is>
          <t>K</t>
        </is>
      </c>
      <c r="O105" t="inlineStr">
        <is>
          <t>20231013</t>
        </is>
      </c>
      <c r="P105" t="inlineStr">
        <is>
          <t>Kalimantan Tengah</t>
        </is>
      </c>
      <c r="Q105" t="inlineStr"/>
    </row>
    <row r="106">
      <c r="A106" t="inlineStr">
        <is>
          <t>TAUCO INTEGRA TELEKOMUNIKASII</t>
        </is>
      </c>
      <c r="B106" t="inlineStr">
        <is>
          <t>Kab. Cianjur</t>
        </is>
      </c>
      <c r="C106" t="inlineStr">
        <is>
          <t>087816007447</t>
        </is>
      </c>
      <c r="D106" t="inlineStr">
        <is>
          <t>taucointegratl2023@gmail.com</t>
        </is>
      </c>
      <c r="E106" t="inlineStr">
        <is>
          <t>https://lpjk.pu.go.id/search-badan-usaha-detail/WmhEOU52Uk43N0dISmZIRU50a2RYdz09</t>
        </is>
      </c>
      <c r="F106" t="n">
        <v>1</v>
      </c>
      <c r="G106" t="inlineStr">
        <is>
          <t>BS009</t>
        </is>
      </c>
      <c r="H106" t="inlineStr">
        <is>
          <t>10 Oktober 2023</t>
        </is>
      </c>
      <c r="I106" s="2" t="n">
        <v>46308</v>
      </c>
      <c r="J106" t="inlineStr">
        <is>
          <t>Disetujui</t>
        </is>
      </c>
      <c r="K106" t="n">
        <v>90</v>
      </c>
      <c r="L106" t="inlineStr">
        <is>
          <t>13 Oktober 2026</t>
        </is>
      </c>
      <c r="M106" t="inlineStr">
        <is>
          <t>Konstruksi Sentral Telekomunikasi</t>
        </is>
      </c>
      <c r="N106" t="inlineStr">
        <is>
          <t>K</t>
        </is>
      </c>
      <c r="O106" t="inlineStr">
        <is>
          <t>20231013</t>
        </is>
      </c>
      <c r="P106" t="inlineStr">
        <is>
          <t>Jawa Barat</t>
        </is>
      </c>
      <c r="Q106" t="inlineStr"/>
    </row>
    <row r="107">
      <c r="A107" t="inlineStr">
        <is>
          <t>TRI BARAKAT JAYA</t>
        </is>
      </c>
      <c r="B107" t="inlineStr">
        <is>
          <t>Kota Adm. Jakarta Selatan</t>
        </is>
      </c>
      <c r="C107" t="inlineStr">
        <is>
          <t>08111874860</t>
        </is>
      </c>
      <c r="D107" t="inlineStr">
        <is>
          <t>tribarakatjaya@gmail.com</t>
        </is>
      </c>
      <c r="E107" t="inlineStr">
        <is>
          <t>https://lpjk.pu.go.id/search-badan-usaha-detail/amdneTZnZ2hmMkNsL2hnZXd2SWtCdz09</t>
        </is>
      </c>
      <c r="F107" t="n">
        <v>2</v>
      </c>
      <c r="G107" t="inlineStr">
        <is>
          <t>BG009, BS002</t>
        </is>
      </c>
      <c r="H107" t="inlineStr">
        <is>
          <t>13 September 2023</t>
        </is>
      </c>
      <c r="I107" s="2" t="n">
        <v>46308</v>
      </c>
      <c r="J107" t="inlineStr">
        <is>
          <t>Disetujui</t>
        </is>
      </c>
      <c r="K107" t="n">
        <v>90</v>
      </c>
      <c r="L107" t="inlineStr">
        <is>
          <t>13 Oktober 2026</t>
        </is>
      </c>
      <c r="M107" t="inlineStr">
        <is>
          <t>Bangunan Sipil Jembatan, Jalan Layang, Fly Over, dan Underpass, Konstruksi Gedung Lainnya</t>
        </is>
      </c>
      <c r="N107" t="inlineStr">
        <is>
          <t>M</t>
        </is>
      </c>
      <c r="O107" t="inlineStr">
        <is>
          <t>20231013</t>
        </is>
      </c>
      <c r="P107" t="inlineStr">
        <is>
          <t>DKI Jakarta</t>
        </is>
      </c>
      <c r="Q107" t="inlineStr"/>
    </row>
    <row r="108">
      <c r="A108" t="inlineStr">
        <is>
          <t>TRI ROMEO</t>
        </is>
      </c>
      <c r="B108" t="inlineStr">
        <is>
          <t>Kota Bandar Lampung</t>
        </is>
      </c>
      <c r="C108" t="inlineStr">
        <is>
          <t>0812 7172 2016</t>
        </is>
      </c>
      <c r="D108" t="inlineStr">
        <is>
          <t>cv.triromeo@gmail.com</t>
        </is>
      </c>
      <c r="E108" t="inlineStr">
        <is>
          <t>https://lpjk.pu.go.id/search-badan-usaha-detail/SitQdSsybjZsZmxCNDV3c05ZQldOdz09</t>
        </is>
      </c>
      <c r="F108" t="n">
        <v>2</v>
      </c>
      <c r="G108" t="inlineStr">
        <is>
          <t>BG002, BG009</t>
        </is>
      </c>
      <c r="H108" t="inlineStr">
        <is>
          <t>8 Mei 2020</t>
        </is>
      </c>
      <c r="I108" s="2" t="n">
        <v>46308</v>
      </c>
      <c r="J108" t="inlineStr">
        <is>
          <t>Disetujui</t>
        </is>
      </c>
      <c r="K108" t="n">
        <v>90</v>
      </c>
      <c r="L108" t="inlineStr">
        <is>
          <t>13 Oktober 2026</t>
        </is>
      </c>
      <c r="M108" t="inlineStr">
        <is>
          <t>Konstruksi Gedung Lainnya, Konstruksi Gedung Perkantoran</t>
        </is>
      </c>
      <c r="N108" t="inlineStr">
        <is>
          <t>K</t>
        </is>
      </c>
      <c r="O108" t="inlineStr">
        <is>
          <t>20231010, 20231011</t>
        </is>
      </c>
      <c r="P108" t="inlineStr">
        <is>
          <t>Lampung</t>
        </is>
      </c>
      <c r="Q108" t="inlineStr"/>
    </row>
    <row r="109">
      <c r="A109" t="inlineStr">
        <is>
          <t>TRIARTHA GRAHA</t>
        </is>
      </c>
      <c r="B109" t="inlineStr">
        <is>
          <t>Kab. Badung</t>
        </is>
      </c>
      <c r="C109" t="inlineStr">
        <is>
          <t>085103008812</t>
        </is>
      </c>
      <c r="D109" t="inlineStr">
        <is>
          <t>cv.triarthagraha@gmail.com</t>
        </is>
      </c>
      <c r="E109" t="inlineStr">
        <is>
          <t>https://lpjk.pu.go.id/search-badan-usaha-detail/M2VWaDZMTWpNSmVJWk9qL1BYYjhuUT09</t>
        </is>
      </c>
      <c r="F109" t="n">
        <v>1</v>
      </c>
      <c r="G109" t="inlineStr">
        <is>
          <t>BS001</t>
        </is>
      </c>
      <c r="H109" t="inlineStr">
        <is>
          <t>4 Januari 2006</t>
        </is>
      </c>
      <c r="I109" s="2" t="n">
        <v>46308</v>
      </c>
      <c r="J109" t="inlineStr">
        <is>
          <t>Disetujui</t>
        </is>
      </c>
      <c r="K109" t="n">
        <v>90</v>
      </c>
      <c r="L109" t="inlineStr">
        <is>
          <t>13 Oktober 2026</t>
        </is>
      </c>
      <c r="M109" t="inlineStr">
        <is>
          <t>Konstruksi Bangunan Sipil Jalan</t>
        </is>
      </c>
      <c r="N109" t="inlineStr">
        <is>
          <t>K</t>
        </is>
      </c>
      <c r="O109" t="inlineStr">
        <is>
          <t>20231011</t>
        </is>
      </c>
      <c r="P109" t="inlineStr">
        <is>
          <t>Bali</t>
        </is>
      </c>
      <c r="Q109" t="inlineStr"/>
    </row>
    <row r="110">
      <c r="A110" t="inlineStr">
        <is>
          <t>TRIMITRA SELARAS RAHARJA</t>
        </is>
      </c>
      <c r="B110" t="inlineStr">
        <is>
          <t>Kota Adm. Jakarta Utara</t>
        </is>
      </c>
      <c r="C110" t="inlineStr">
        <is>
          <t>02166690617</t>
        </is>
      </c>
      <c r="D110" t="inlineStr">
        <is>
          <t>trimitra_sr@yahoo.com</t>
        </is>
      </c>
      <c r="E110" t="inlineStr">
        <is>
          <t>https://lpjk.pu.go.id/search-badan-usaha-detail/Z29mSFNBdEw1ck5oTlF3MjYzSytUUT09</t>
        </is>
      </c>
      <c r="F110" t="n">
        <v>2</v>
      </c>
      <c r="G110" t="inlineStr">
        <is>
          <t>PB004</t>
        </is>
      </c>
      <c r="H110" t="inlineStr">
        <is>
          <t>10 Juli 2023</t>
        </is>
      </c>
      <c r="I110" s="2" t="n">
        <v>46308</v>
      </c>
      <c r="J110" t="inlineStr">
        <is>
          <t>Disetujui</t>
        </is>
      </c>
      <c r="K110" t="n">
        <v>90</v>
      </c>
      <c r="L110" t="inlineStr">
        <is>
          <t>13 Oktober 2026</t>
        </is>
      </c>
      <c r="M110" t="inlineStr">
        <is>
          <t>Dekorasi Interior</t>
        </is>
      </c>
      <c r="N110" t="inlineStr">
        <is>
          <t>Spesialis</t>
        </is>
      </c>
      <c r="O110" t="inlineStr">
        <is>
          <t>20230808</t>
        </is>
      </c>
      <c r="P110" t="inlineStr">
        <is>
          <t>DKI Jakarta</t>
        </is>
      </c>
      <c r="Q110" t="inlineStr"/>
    </row>
    <row r="111">
      <c r="A111" t="inlineStr">
        <is>
          <t>TUNAS KONSTRUKSI MANDIRI</t>
        </is>
      </c>
      <c r="B111" t="inlineStr">
        <is>
          <t>Kota Padang</t>
        </is>
      </c>
      <c r="C111" t="inlineStr">
        <is>
          <t>0811762235</t>
        </is>
      </c>
      <c r="D111" t="inlineStr">
        <is>
          <t>tunaskonstruksimandiri@gmail.com</t>
        </is>
      </c>
      <c r="E111" t="inlineStr">
        <is>
          <t>https://lpjk.pu.go.id/search-badan-usaha-detail/SmJMTFZJK3Uva3BVVnM0WUpkZnprZz09</t>
        </is>
      </c>
      <c r="F111" t="n">
        <v>3</v>
      </c>
      <c r="G111" t="inlineStr">
        <is>
          <t>BG002</t>
        </is>
      </c>
      <c r="H111" t="inlineStr">
        <is>
          <t>24 Januari 2020</t>
        </is>
      </c>
      <c r="I111" s="2" t="n">
        <v>46308</v>
      </c>
      <c r="J111" t="inlineStr">
        <is>
          <t>Disetujui</t>
        </is>
      </c>
      <c r="K111" t="n">
        <v>90</v>
      </c>
      <c r="L111" t="inlineStr">
        <is>
          <t>13 Oktober 2026</t>
        </is>
      </c>
      <c r="M111" t="inlineStr">
        <is>
          <t>Konstruksi Gedung Perkantoran</t>
        </is>
      </c>
      <c r="N111" t="inlineStr">
        <is>
          <t>M</t>
        </is>
      </c>
      <c r="O111" t="inlineStr">
        <is>
          <t>20230927</t>
        </is>
      </c>
      <c r="P111" t="inlineStr">
        <is>
          <t>Sumatera Barat</t>
        </is>
      </c>
      <c r="Q111" t="inlineStr"/>
    </row>
    <row r="112">
      <c r="A112" t="inlineStr">
        <is>
          <t>TUNAS KREATIF SEJAHTERA</t>
        </is>
      </c>
      <c r="B112" t="inlineStr">
        <is>
          <t>Kab. Majalengka</t>
        </is>
      </c>
      <c r="C112" t="inlineStr">
        <is>
          <t>081221038380</t>
        </is>
      </c>
      <c r="D112" t="inlineStr">
        <is>
          <t>cvtunaskreatifsejahteraizin@gmail.com</t>
        </is>
      </c>
      <c r="E112" t="inlineStr">
        <is>
          <t>https://lpjk.pu.go.id/search-badan-usaha-detail/aDJYbTJUeU02a0szaWhmbE5NZVZSQT09</t>
        </is>
      </c>
      <c r="F112" t="n">
        <v>1</v>
      </c>
      <c r="G112" t="inlineStr">
        <is>
          <t>BS001</t>
        </is>
      </c>
      <c r="H112" t="inlineStr">
        <is>
          <t>26 Juli 2010</t>
        </is>
      </c>
      <c r="I112" s="2" t="n">
        <v>46308</v>
      </c>
      <c r="J112" t="inlineStr">
        <is>
          <t>Disetujui</t>
        </is>
      </c>
      <c r="K112" t="n">
        <v>90</v>
      </c>
      <c r="L112" t="inlineStr">
        <is>
          <t>13 Oktober 2026</t>
        </is>
      </c>
      <c r="M112" t="inlineStr">
        <is>
          <t>Konstruksi Bangunan Sipil Jalan</t>
        </is>
      </c>
      <c r="N112" t="inlineStr">
        <is>
          <t>K</t>
        </is>
      </c>
      <c r="O112" t="inlineStr">
        <is>
          <t>20231006</t>
        </is>
      </c>
      <c r="P112" t="inlineStr">
        <is>
          <t>Jawa Barat</t>
        </is>
      </c>
      <c r="Q112" t="inlineStr"/>
    </row>
    <row r="113">
      <c r="A113" t="inlineStr">
        <is>
          <t>WIDYA PRATAMA ARCHITECT</t>
        </is>
      </c>
      <c r="B113" t="inlineStr">
        <is>
          <t>Kota Samarinda</t>
        </is>
      </c>
      <c r="C113" t="inlineStr">
        <is>
          <t>085246370553</t>
        </is>
      </c>
      <c r="D113" t="inlineStr">
        <is>
          <t>widyapratamaarchitect@gmail.com</t>
        </is>
      </c>
      <c r="E113" t="inlineStr">
        <is>
          <t>https://lpjk.pu.go.id/search-badan-usaha-detail/NENUNS9WckxRcWtST1JFcWpBeUpqUT09</t>
        </is>
      </c>
      <c r="F113" t="n">
        <v>1</v>
      </c>
      <c r="G113" t="inlineStr">
        <is>
          <t>BS001</t>
        </is>
      </c>
      <c r="H113" t="inlineStr">
        <is>
          <t>6 Februari 2020</t>
        </is>
      </c>
      <c r="I113" s="2" t="n">
        <v>46308</v>
      </c>
      <c r="J113" t="inlineStr">
        <is>
          <t>Disetujui</t>
        </is>
      </c>
      <c r="K113" t="n">
        <v>90</v>
      </c>
      <c r="L113" t="inlineStr">
        <is>
          <t>13 Oktober 2026</t>
        </is>
      </c>
      <c r="M113" t="inlineStr">
        <is>
          <t>Konstruksi Bangunan Sipil Jalan</t>
        </is>
      </c>
      <c r="N113" t="inlineStr">
        <is>
          <t>K</t>
        </is>
      </c>
      <c r="O113" t="inlineStr">
        <is>
          <t>20231012</t>
        </is>
      </c>
      <c r="P113" t="inlineStr">
        <is>
          <t>Kalimantan Timur</t>
        </is>
      </c>
      <c r="Q113" t="inlineStr"/>
    </row>
    <row r="114">
      <c r="A114" t="inlineStr">
        <is>
          <t>YUDHA BATARAJA</t>
        </is>
      </c>
      <c r="B114" t="inlineStr">
        <is>
          <t>Kab. Jayawijaya</t>
        </is>
      </c>
      <c r="C114" t="inlineStr">
        <is>
          <t>081318566731</t>
        </is>
      </c>
      <c r="D114" t="inlineStr">
        <is>
          <t>yudhabatarajapt@gmail.com</t>
        </is>
      </c>
      <c r="E114" t="inlineStr">
        <is>
          <t>https://lpjk.pu.go.id/search-badan-usaha-detail/MTd2MWlQcjhIVTV6dlJEdDNIeFFOb0E3d0xtVHFmMktCbmUzVmV4TUlpQT0</t>
        </is>
      </c>
      <c r="F114" t="n">
        <v>1</v>
      </c>
      <c r="G114" t="inlineStr">
        <is>
          <t>BG001</t>
        </is>
      </c>
      <c r="H114" t="inlineStr">
        <is>
          <t>14 Agustus 2023</t>
        </is>
      </c>
      <c r="I114" s="2" t="n">
        <v>46308</v>
      </c>
      <c r="J114" t="inlineStr">
        <is>
          <t>Disetujui</t>
        </is>
      </c>
      <c r="K114" t="n">
        <v>90</v>
      </c>
      <c r="L114" t="inlineStr">
        <is>
          <t>13 Oktober 2026</t>
        </is>
      </c>
      <c r="M114" t="inlineStr">
        <is>
          <t>Konstruksi Gedung Hunian</t>
        </is>
      </c>
      <c r="N114" t="inlineStr">
        <is>
          <t>M</t>
        </is>
      </c>
      <c r="O114" t="inlineStr">
        <is>
          <t>20230928</t>
        </is>
      </c>
      <c r="P114" t="inlineStr">
        <is>
          <t>Papua Pegunungan</t>
        </is>
      </c>
      <c r="Q1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0"/>
  <sheetViews>
    <sheetView workbookViewId="0">
      <selection activeCell="A1" sqref="A1"/>
    </sheetView>
  </sheetViews>
  <sheetFormatPr baseColWidth="8" defaultRowHeight="15"/>
  <cols>
    <col width="38" customWidth="1" min="1" max="1"/>
    <col width="28"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BS001</t>
        </is>
      </c>
      <c r="H2" t="inlineStr">
        <is>
          <t>10 Februari 2006</t>
        </is>
      </c>
      <c r="I2" s="2" t="n">
        <v>46278</v>
      </c>
      <c r="J2" t="inlineStr">
        <is>
          <t>Disetujui</t>
        </is>
      </c>
      <c r="K2" t="n">
        <v>60</v>
      </c>
      <c r="L2" t="inlineStr">
        <is>
          <t>13 September 2026</t>
        </is>
      </c>
      <c r="M2" t="inlineStr">
        <is>
          <t>Konstruksi Bangunan Sipil Jalan</t>
        </is>
      </c>
      <c r="N2" t="inlineStr">
        <is>
          <t>K</t>
        </is>
      </c>
      <c r="O2" t="inlineStr">
        <is>
          <t>20230908</t>
        </is>
      </c>
      <c r="P2" t="inlineStr">
        <is>
          <t>DKI Jakarta</t>
        </is>
      </c>
      <c r="Q2" t="inlineStr"/>
    </row>
    <row r="3">
      <c r="A3" t="inlineStr">
        <is>
          <t>AGAPE</t>
        </is>
      </c>
      <c r="B3" t="inlineStr">
        <is>
          <t>Kota Depok</t>
        </is>
      </c>
      <c r="C3" t="inlineStr">
        <is>
          <t>082213908770</t>
        </is>
      </c>
      <c r="D3" t="inlineStr">
        <is>
          <t>cvagape@yahoo.com</t>
        </is>
      </c>
      <c r="E3" t="inlineStr">
        <is>
          <t>https://lpjk.pu.go.id/search-badan-usaha-detail/Z2FQOXQwL0F0VXhjTjhMelgyWXdLUT09</t>
        </is>
      </c>
      <c r="F3" t="n">
        <v>3</v>
      </c>
      <c r="G3" t="inlineStr">
        <is>
          <t>BS001, BS004, BS010</t>
        </is>
      </c>
      <c r="H3" t="inlineStr">
        <is>
          <t>21 Februari 2017</t>
        </is>
      </c>
      <c r="I3" s="2" t="n">
        <v>46278</v>
      </c>
      <c r="J3" t="inlineStr">
        <is>
          <t>Disetujui</t>
        </is>
      </c>
      <c r="K3" t="n">
        <v>60</v>
      </c>
      <c r="L3" t="inlineStr">
        <is>
          <t>13 September 2026</t>
        </is>
      </c>
      <c r="M3" t="inlineStr">
        <is>
          <t>Konstruksi Bangunan Prasarana Sumber Daya Air, Konstruksi Bangunan Sipil Jalan, Konstruksi Jaringan Irigasi dan Drainase</t>
        </is>
      </c>
      <c r="N3" t="inlineStr">
        <is>
          <t>K</t>
        </is>
      </c>
      <c r="O3" t="inlineStr">
        <is>
          <t>20230908</t>
        </is>
      </c>
      <c r="P3" t="inlineStr">
        <is>
          <t>Jawa Barat</t>
        </is>
      </c>
      <c r="Q3" s="3">
        <f>HYPERLINK("https://wa.me/6282213908770?text=*[PENGINGAT MASA BERLAKU SBU AGAPE]*%0A%0AYth. Pimpinan AGAPE,%0AMohon izin menginformasikan status SBU Anda di sistem LPJK:%0A%0A📄 SBU: BS001, BS004, BS010%0A📅 Expired: 13 September 2026 (60 Hari Lagi)%0A%0AKami tim PT. ESDEA Assistance Management siap men-support proses perpanjangan segera agar administrasi proyek tidak terhambat%0A%0AApakah boleh saya bantu siapkan estimasi biaya dan waktu pengerjaannya?.", "Hubungi")</f>
        <v/>
      </c>
    </row>
    <row r="4">
      <c r="A4" t="inlineStr">
        <is>
          <t>BREBES KARYA PERDANA</t>
        </is>
      </c>
      <c r="B4" t="inlineStr">
        <is>
          <t>Kota Bekasi</t>
        </is>
      </c>
      <c r="C4" t="inlineStr">
        <is>
          <t>081296578873</t>
        </is>
      </c>
      <c r="D4" t="inlineStr">
        <is>
          <t>brebeskaryaperdana2020@gmail.com</t>
        </is>
      </c>
      <c r="E4" t="inlineStr">
        <is>
          <t>https://lpjk.pu.go.id/search-badan-usaha-detail/ZnpvSzlNZStjN1A3RzB5ZS9aV3FBUT09</t>
        </is>
      </c>
      <c r="F4" t="n">
        <v>2</v>
      </c>
      <c r="G4" t="inlineStr">
        <is>
          <t>BS001, BS017</t>
        </is>
      </c>
      <c r="H4" t="inlineStr">
        <is>
          <t>29 November 2021</t>
        </is>
      </c>
      <c r="I4" s="2" t="n">
        <v>46278</v>
      </c>
      <c r="J4" t="inlineStr">
        <is>
          <t>Disetujui</t>
        </is>
      </c>
      <c r="K4" t="n">
        <v>60</v>
      </c>
      <c r="L4" t="inlineStr">
        <is>
          <t>13 September 2026</t>
        </is>
      </c>
      <c r="M4" t="inlineStr">
        <is>
          <t>Konstruksi Bangunan Sipil Jalan, Konstruksi Bangunan Sipil Lainnya Ytdl</t>
        </is>
      </c>
      <c r="N4" t="inlineStr">
        <is>
          <t>K</t>
        </is>
      </c>
      <c r="O4" t="inlineStr">
        <is>
          <t>20230908</t>
        </is>
      </c>
      <c r="P4" t="inlineStr">
        <is>
          <t>Jawa Barat</t>
        </is>
      </c>
      <c r="Q4" s="3">
        <f>HYPERLINK("https://wa.me/6281296578873?text=*[PENGINGAT MASA BERLAKU SBU BREBES KARYA PERDANA]*%0A%0AYth. Pimpinan BREBES KARYA PERDANA,%0AMohon izin menginformasikan status SBU Anda di sistem LPJK:%0A%0A📄 SBU: BS001, BS017%0A📅 Expired: 13 September 2026 (60 Hari Lagi)%0A%0AKami tim PT. ESDEA Assistance Management siap men-support proses perpanjangan segera agar administrasi proyek tidak terhambat%0A%0AApakah boleh saya bantu siapkan estimasi biaya dan waktu pengerjaannya?.", "Hubungi")</f>
        <v/>
      </c>
    </row>
    <row r="5">
      <c r="A5" t="inlineStr">
        <is>
          <t>BRILIAN CEMERLANG</t>
        </is>
      </c>
      <c r="B5" t="inlineStr">
        <is>
          <t>Kota Depok</t>
        </is>
      </c>
      <c r="C5" t="inlineStr">
        <is>
          <t>081283271716</t>
        </is>
      </c>
      <c r="D5" t="inlineStr">
        <is>
          <t>cv.briliancemerlang@gmail.com</t>
        </is>
      </c>
      <c r="E5" t="inlineStr">
        <is>
          <t>https://lpjk.pu.go.id/search-badan-usaha-detail/YzNJZXFVbUdJOUw3L2Q3bE9yZlBpZz09</t>
        </is>
      </c>
      <c r="F5" t="n">
        <v>1</v>
      </c>
      <c r="G5" t="inlineStr">
        <is>
          <t>BS004</t>
        </is>
      </c>
      <c r="H5" t="inlineStr">
        <is>
          <t>26 Maret 2018</t>
        </is>
      </c>
      <c r="I5" s="2" t="n">
        <v>46278</v>
      </c>
      <c r="J5" t="inlineStr">
        <is>
          <t>Disetujui</t>
        </is>
      </c>
      <c r="K5" t="n">
        <v>60</v>
      </c>
      <c r="L5" t="inlineStr">
        <is>
          <t>13 September 2026</t>
        </is>
      </c>
      <c r="M5" t="inlineStr">
        <is>
          <t>Konstruksi Jaringan Irigasi dan Drainase</t>
        </is>
      </c>
      <c r="N5" t="inlineStr">
        <is>
          <t>K</t>
        </is>
      </c>
      <c r="O5" t="inlineStr">
        <is>
          <t>20230907</t>
        </is>
      </c>
      <c r="P5" t="inlineStr">
        <is>
          <t>Jawa Barat</t>
        </is>
      </c>
      <c r="Q5" s="3">
        <f>HYPERLINK("https://wa.me/6281283271716?text=*[PENGINGAT MASA BERLAKU SBU BRILIAN CEMERLANG]*%0A%0AYth. Pimpinan BRILIAN CEMERLANG,%0AMohon izin menginformasikan status SBU Anda di sistem LPJK:%0A%0A📄 SBU: BS004%0A📅 Expired: 13 September 2026 (60 Hari Lagi)%0A%0AKami tim PT. ESDEA Assistance Management siap men-support proses perpanjangan segera agar administrasi proyek tidak terhambat%0A%0AApakah boleh saya bantu siapkan estimasi biaya dan waktu pengerjaannya?.", "Hubungi")</f>
        <v/>
      </c>
    </row>
    <row r="6">
      <c r="A6" t="inlineStr">
        <is>
          <t>CIPTA KARYA DUITHAMA</t>
        </is>
      </c>
      <c r="B6" t="inlineStr">
        <is>
          <t>Kab. Bogor</t>
        </is>
      </c>
      <c r="C6" t="inlineStr">
        <is>
          <t>08562248672</t>
        </is>
      </c>
      <c r="D6" t="inlineStr">
        <is>
          <t>studio.ciampea@gmail.com</t>
        </is>
      </c>
      <c r="E6" t="inlineStr">
        <is>
          <t>https://lpjk.pu.go.id/search-badan-usaha-detail/akZhdmxHMXpXem0vR2Rvb2ZEd0psQT09</t>
        </is>
      </c>
      <c r="F6" t="n">
        <v>2</v>
      </c>
      <c r="G6" t="inlineStr">
        <is>
          <t>RK001</t>
        </is>
      </c>
      <c r="H6" t="inlineStr">
        <is>
          <t>8 Maret 2023</t>
        </is>
      </c>
      <c r="I6" s="2" t="n">
        <v>46278</v>
      </c>
      <c r="J6" t="inlineStr">
        <is>
          <t>Disetujui</t>
        </is>
      </c>
      <c r="K6" t="n">
        <v>60</v>
      </c>
      <c r="L6" t="inlineStr">
        <is>
          <t>13 September 2026</t>
        </is>
      </c>
      <c r="M6" t="inlineStr">
        <is>
          <t>Jasa Rekayasa Konstruksi Bangunan Gedung Hunian dan Non Hunian</t>
        </is>
      </c>
      <c r="N6" t="inlineStr">
        <is>
          <t>K</t>
        </is>
      </c>
      <c r="O6" t="inlineStr">
        <is>
          <t>20230906</t>
        </is>
      </c>
      <c r="P6" t="inlineStr">
        <is>
          <t>Jawa Barat</t>
        </is>
      </c>
      <c r="Q6" s="3">
        <f>HYPERLINK("https://wa.me/628562248672?text=*[PENGINGAT MASA BERLAKU SBU CIPTA KARYA DUITHAMA]*%0A%0AYth. Pimpinan CIPTA KARYA DUITHAMA,%0AMohon izin menginformasikan status SBU Anda di sistem LPJK:%0A%0A📄 SBU: RK001%0A📅 Expired: 13 September 2026 (60 Hari Lagi)%0A%0AKami tim PT. ESDEA Assistance Management siap men-support proses perpanjangan segera agar administrasi proyek tidak terhambat%0A%0AApakah boleh saya bantu siapkan estimasi biaya dan waktu pengerjaannya?.", "Hubungi")</f>
        <v/>
      </c>
    </row>
    <row r="7">
      <c r="A7" t="inlineStr">
        <is>
          <t>ELLENA SUKSES MAKMUR</t>
        </is>
      </c>
      <c r="B7" t="inlineStr">
        <is>
          <t>Kota Depok</t>
        </is>
      </c>
      <c r="C7" t="inlineStr">
        <is>
          <t>081295219474</t>
        </is>
      </c>
      <c r="D7" t="inlineStr">
        <is>
          <t>cv.ellena@gmail.com</t>
        </is>
      </c>
      <c r="E7" t="inlineStr">
        <is>
          <t>https://lpjk.pu.go.id/search-badan-usaha-detail/TEZEYkx5MFlmQ0NXTzg2Nys3akVIdz09</t>
        </is>
      </c>
      <c r="F7" t="n">
        <v>2</v>
      </c>
      <c r="G7" t="inlineStr">
        <is>
          <t>BS001, BS004</t>
        </is>
      </c>
      <c r="H7" t="inlineStr">
        <is>
          <t>22 Januari 2007</t>
        </is>
      </c>
      <c r="I7" s="2" t="n">
        <v>46278</v>
      </c>
      <c r="J7" t="inlineStr">
        <is>
          <t>Disetujui</t>
        </is>
      </c>
      <c r="K7" t="n">
        <v>60</v>
      </c>
      <c r="L7" t="inlineStr">
        <is>
          <t>13 September 2026</t>
        </is>
      </c>
      <c r="M7" t="inlineStr">
        <is>
          <t>Konstruksi Bangunan Sipil Jalan, Konstruksi Jaringan Irigasi dan Drainase</t>
        </is>
      </c>
      <c r="N7" t="inlineStr">
        <is>
          <t>K</t>
        </is>
      </c>
      <c r="O7" t="inlineStr">
        <is>
          <t>20230908</t>
        </is>
      </c>
      <c r="P7" t="inlineStr">
        <is>
          <t>Jawa Barat</t>
        </is>
      </c>
      <c r="Q7" s="3">
        <f>HYPERLINK("https://wa.me/6281295219474?text=*[PENGINGAT MASA BERLAKU SBU ELLENA SUKSES MAKMUR]*%0A%0AYth. Pimpinan ELLENA SUKSES MAKMUR,%0AMohon izin menginformasikan status SBU Anda di sistem LPJK:%0A%0A📄 SBU: BS001, BS004%0A📅 Expired: 13 September 2026 (60 Hari Lagi)%0A%0AKami tim PT. ESDEA Assistance Management siap men-support proses perpanjangan segera agar administrasi proyek tidak terhambat%0A%0AApakah boleh saya bantu siapkan estimasi biaya dan waktu pengerjaannya?.", "Hubungi")</f>
        <v/>
      </c>
    </row>
    <row r="8">
      <c r="A8" t="inlineStr">
        <is>
          <t>ENERGY SARANA SEJAHTERA</t>
        </is>
      </c>
      <c r="B8" t="inlineStr">
        <is>
          <t>Kota Adm. Jakarta Timur</t>
        </is>
      </c>
      <c r="C8" t="inlineStr">
        <is>
          <t>02121057178</t>
        </is>
      </c>
      <c r="D8" t="inlineStr">
        <is>
          <t>energysejahtera@gmail.com</t>
        </is>
      </c>
      <c r="E8" t="inlineStr">
        <is>
          <t>https://lpjk.pu.go.id/search-badan-usaha-detail/Q0lBMktta21KQjM1Rk9wNnJsV3llQT09</t>
        </is>
      </c>
      <c r="F8" t="n">
        <v>1</v>
      </c>
      <c r="G8" t="inlineStr">
        <is>
          <t>PL004</t>
        </is>
      </c>
      <c r="H8" t="inlineStr">
        <is>
          <t>26 Februari 2009</t>
        </is>
      </c>
      <c r="I8" s="2" t="n">
        <v>46278</v>
      </c>
      <c r="J8" t="inlineStr">
        <is>
          <t>Pembekuan</t>
        </is>
      </c>
      <c r="K8" t="n">
        <v>60</v>
      </c>
      <c r="L8" t="inlineStr">
        <is>
          <t>13 September 2026</t>
        </is>
      </c>
      <c r="M8" t="inlineStr">
        <is>
          <t>Pekerjaan Tanah</t>
        </is>
      </c>
      <c r="N8" t="inlineStr">
        <is>
          <t>Spesialis</t>
        </is>
      </c>
      <c r="O8" t="inlineStr">
        <is>
          <t>20230912</t>
        </is>
      </c>
      <c r="P8" t="inlineStr">
        <is>
          <t>DKI Jakarta</t>
        </is>
      </c>
      <c r="Q8" t="inlineStr"/>
    </row>
    <row r="9">
      <c r="A9" t="inlineStr">
        <is>
          <t>KARYA INSAN SEHATI</t>
        </is>
      </c>
      <c r="B9" t="inlineStr">
        <is>
          <t>Kab. Bogor</t>
        </is>
      </c>
      <c r="C9" t="inlineStr">
        <is>
          <t>02129099699</t>
        </is>
      </c>
      <c r="D9" t="inlineStr">
        <is>
          <t>karyainsansehati.oss@gmail.com</t>
        </is>
      </c>
      <c r="E9" t="inlineStr">
        <is>
          <t>https://lpjk.pu.go.id/search-badan-usaha-detail/dTl2U1JQYUo3cmV4K2hwY3BhQk4zUT09</t>
        </is>
      </c>
      <c r="F9" t="n">
        <v>5</v>
      </c>
      <c r="G9" t="inlineStr">
        <is>
          <t>BG001, BG002, BG003, BG007, BG009</t>
        </is>
      </c>
      <c r="H9" t="inlineStr">
        <is>
          <t>8 Februari 2011</t>
        </is>
      </c>
      <c r="I9" s="2" t="n">
        <v>46278</v>
      </c>
      <c r="J9" t="inlineStr">
        <is>
          <t>Disetujui</t>
        </is>
      </c>
      <c r="K9" t="n">
        <v>60</v>
      </c>
      <c r="L9" t="inlineStr">
        <is>
          <t>13 September 2026</t>
        </is>
      </c>
      <c r="M9" t="inlineStr">
        <is>
          <t>Konstruksi Gedung Hunian, Konstruksi Gedung Industri, Konstruksi Gedung Lainnya, Konstruksi Gedung Penginapan, Konstruksi Gedung Perkantoran</t>
        </is>
      </c>
      <c r="N9" t="inlineStr">
        <is>
          <t>K</t>
        </is>
      </c>
      <c r="O9" t="inlineStr">
        <is>
          <t>20230911</t>
        </is>
      </c>
      <c r="P9" t="inlineStr">
        <is>
          <t>Jawa Barat</t>
        </is>
      </c>
      <c r="Q9" t="inlineStr"/>
    </row>
    <row r="10">
      <c r="A10" t="inlineStr">
        <is>
          <t>KARYA PUTRA KANBES</t>
        </is>
      </c>
      <c r="B10" t="inlineStr">
        <is>
          <t>Kota Bekasi</t>
        </is>
      </c>
      <c r="C10" t="inlineStr">
        <is>
          <t>085711871434</t>
        </is>
      </c>
      <c r="D10" t="inlineStr">
        <is>
          <t>karyaputrakanbes@gmail.com</t>
        </is>
      </c>
      <c r="E10" t="inlineStr">
        <is>
          <t>https://lpjk.pu.go.id/search-badan-usaha-detail/REZVTkxScUJmRGhJYlVUMmp5VTFHQT09</t>
        </is>
      </c>
      <c r="F10" t="n">
        <v>3</v>
      </c>
      <c r="G10" t="inlineStr">
        <is>
          <t>BG009, BS001, BS004</t>
        </is>
      </c>
      <c r="H10" t="inlineStr">
        <is>
          <t>18 Agustus 2023</t>
        </is>
      </c>
      <c r="I10" s="2" t="n">
        <v>46278</v>
      </c>
      <c r="J10" t="inlineStr">
        <is>
          <t>Disetujui</t>
        </is>
      </c>
      <c r="K10" t="n">
        <v>60</v>
      </c>
      <c r="L10" t="inlineStr">
        <is>
          <t>13 September 2026</t>
        </is>
      </c>
      <c r="M10" t="inlineStr">
        <is>
          <t>Konstruksi Bangunan Sipil Jalan, Konstruksi Gedung Lainnya, Konstruksi Jaringan Irigasi dan Drainase</t>
        </is>
      </c>
      <c r="N10" t="inlineStr">
        <is>
          <t>K</t>
        </is>
      </c>
      <c r="O10" t="inlineStr">
        <is>
          <t>20230912</t>
        </is>
      </c>
      <c r="P10" t="inlineStr">
        <is>
          <t>Jawa Barat</t>
        </is>
      </c>
      <c r="Q10" s="3">
        <f>HYPERLINK("https://wa.me/6285711871434?text=*[PENGINGAT MASA BERLAKU SBU KARYA PUTRA KANBES]*%0A%0AYth. Pimpinan KARYA PUTRA KANBES,%0AMohon izin menginformasikan status SBU Anda di sistem LPJK:%0A%0A📄 SBU: BG009, BS001, BS004%0A📅 Expired: 13 September 2026 (60 Hari Lagi)%0A%0AKami tim PT. ESDEA Assistance Management siap men-support proses perpanjangan segera agar administrasi proyek tidak terhambat%0A%0AApakah boleh saya bantu siapkan estimasi biaya dan waktu pengerjaannya?.", "Hubungi")</f>
        <v/>
      </c>
    </row>
    <row r="11">
      <c r="A11" t="inlineStr">
        <is>
          <t>KERTAU LINGKAR SELARAS</t>
        </is>
      </c>
      <c r="B11" t="inlineStr">
        <is>
          <t>Kota Depok</t>
        </is>
      </c>
      <c r="C11" t="inlineStr">
        <is>
          <t>081295219474</t>
        </is>
      </c>
      <c r="D11" t="inlineStr">
        <is>
          <t>ptkertaulingkar.selaras2019@gmail.com</t>
        </is>
      </c>
      <c r="E11" t="inlineStr">
        <is>
          <t>https://lpjk.pu.go.id/search-badan-usaha-detail/YmVYQnNKK3BIeGFFL0NIZkNrNG9PZz09</t>
        </is>
      </c>
      <c r="F11" t="n">
        <v>4</v>
      </c>
      <c r="G11" t="inlineStr">
        <is>
          <t>BS001, BS004</t>
        </is>
      </c>
      <c r="H11" t="inlineStr">
        <is>
          <t>30 November 2018</t>
        </is>
      </c>
      <c r="I11" s="2" t="n">
        <v>46278</v>
      </c>
      <c r="J11" t="inlineStr">
        <is>
          <t>Disetujui</t>
        </is>
      </c>
      <c r="K11" t="n">
        <v>60</v>
      </c>
      <c r="L11" t="inlineStr">
        <is>
          <t>13 September 2026</t>
        </is>
      </c>
      <c r="M11" t="inlineStr">
        <is>
          <t>Konstruksi Bangunan Sipil Jalan, Konstruksi Jaringan Irigasi dan Drainase</t>
        </is>
      </c>
      <c r="N11" t="inlineStr">
        <is>
          <t>K</t>
        </is>
      </c>
      <c r="O11" t="inlineStr">
        <is>
          <t>20230911</t>
        </is>
      </c>
      <c r="P11" t="inlineStr">
        <is>
          <t>Jawa Barat</t>
        </is>
      </c>
      <c r="Q11" s="3">
        <f>HYPERLINK("https://wa.me/6281295219474?text=*[PENGINGAT MASA BERLAKU SBU KERTAU LINGKAR SELARAS]*%0A%0AYth. Pimpinan KERTAU LINGKAR SELARAS,%0AMohon izin menginformasikan status SBU Anda di sistem LPJK:%0A%0A📄 SBU: BS001, BS004%0A📅 Expired: 13 September 2026 (60 Hari Lagi)%0A%0AKami tim PT. ESDEA Assistance Management siap men-support proses perpanjangan segera agar administrasi proyek tidak terhambat%0A%0AApakah boleh saya bantu siapkan estimasi biaya dan waktu pengerjaannya?.", "Hubungi")</f>
        <v/>
      </c>
    </row>
    <row r="12">
      <c r="A12" t="inlineStr">
        <is>
          <t>LAGIO JAYA MAKMUR</t>
        </is>
      </c>
      <c r="B12" t="inlineStr">
        <is>
          <t>Kab. Bekasi</t>
        </is>
      </c>
      <c r="C12" t="inlineStr">
        <is>
          <t>08156863356</t>
        </is>
      </c>
      <c r="D12" t="inlineStr">
        <is>
          <t>lagiojayamakmur@yahoo.com</t>
        </is>
      </c>
      <c r="E12" t="inlineStr">
        <is>
          <t>https://lpjk.pu.go.id/search-badan-usaha-detail/SFhoZksydjdWUStWeHpKWURpVkR0dz09</t>
        </is>
      </c>
      <c r="F12" t="n">
        <v>1</v>
      </c>
      <c r="G12" t="inlineStr">
        <is>
          <t>BG009</t>
        </is>
      </c>
      <c r="H12" t="inlineStr">
        <is>
          <t>2 Agustus 2008</t>
        </is>
      </c>
      <c r="I12" s="2" t="n">
        <v>46278</v>
      </c>
      <c r="J12" t="inlineStr">
        <is>
          <t>Disetujui</t>
        </is>
      </c>
      <c r="K12" t="n">
        <v>60</v>
      </c>
      <c r="L12" t="inlineStr">
        <is>
          <t>13 September 2026</t>
        </is>
      </c>
      <c r="M12" t="inlineStr">
        <is>
          <t>Konstruksi Gedung Lainnya</t>
        </is>
      </c>
      <c r="N12" t="inlineStr">
        <is>
          <t>K</t>
        </is>
      </c>
      <c r="O12" t="inlineStr">
        <is>
          <t>20230307</t>
        </is>
      </c>
      <c r="P12" t="inlineStr">
        <is>
          <t>Jawa Barat</t>
        </is>
      </c>
      <c r="Q12" s="3">
        <f>HYPERLINK("https://wa.me/628156863356?text=*[PENGINGAT MASA BERLAKU SBU LAGIO JAYA MAKMUR]*%0A%0AYth. Pimpinan LAGIO JAYA MAKMUR,%0AMohon izin menginformasikan status SBU Anda di sistem LPJK:%0A%0A📄 SBU: BG009%0A📅 Expired: 13 September 2026 (60 Hari Lagi)%0A%0AKami tim PT. ESDEA Assistance Management siap men-support proses perpanjangan segera agar administrasi proyek tidak terhambat%0A%0AApakah boleh saya bantu siapkan estimasi biaya dan waktu pengerjaannya?.", "Hubungi")</f>
        <v/>
      </c>
    </row>
    <row r="13">
      <c r="A13" t="inlineStr">
        <is>
          <t>MAJU BERSAMA KONSTRUKSI</t>
        </is>
      </c>
      <c r="B13" t="inlineStr">
        <is>
          <t>Kab. Bekasi</t>
        </is>
      </c>
      <c r="C13" t="inlineStr">
        <is>
          <t>085223199968</t>
        </is>
      </c>
      <c r="D13" t="inlineStr">
        <is>
          <t>bersamakonstruksimaju@gmail.com</t>
        </is>
      </c>
      <c r="E13" t="inlineStr">
        <is>
          <t>https://lpjk.pu.go.id/search-badan-usaha-detail/RDJ5SkRvdGlYSUlEdmhNTW16Zmh6Zz09</t>
        </is>
      </c>
      <c r="F13" t="n">
        <v>2</v>
      </c>
      <c r="G13" t="inlineStr">
        <is>
          <t>BG001, BG002</t>
        </is>
      </c>
      <c r="H13" t="inlineStr">
        <is>
          <t>28 Juni 2023</t>
        </is>
      </c>
      <c r="I13" s="2" t="n">
        <v>46278</v>
      </c>
      <c r="J13" t="inlineStr">
        <is>
          <t>Disetujui</t>
        </is>
      </c>
      <c r="K13" t="n">
        <v>60</v>
      </c>
      <c r="L13" t="inlineStr">
        <is>
          <t>13 September 2026</t>
        </is>
      </c>
      <c r="M13" t="inlineStr">
        <is>
          <t>Konstruksi Gedung Hunian, Konstruksi Gedung Perkantoran</t>
        </is>
      </c>
      <c r="N13" t="inlineStr">
        <is>
          <t>K</t>
        </is>
      </c>
      <c r="O13" t="inlineStr">
        <is>
          <t>20230907, 20230914</t>
        </is>
      </c>
      <c r="P13" t="inlineStr">
        <is>
          <t>Jawa Barat</t>
        </is>
      </c>
      <c r="Q13" s="3">
        <f>HYPERLINK("https://wa.me/6285223199968?text=*[PENGINGAT MASA BERLAKU SBU MAJU BERSAMA KONSTRUKSI]*%0A%0AYth. Pimpinan MAJU BERSAMA KONSTRUKSI,%0AMohon izin menginformasikan status SBU Anda di sistem LPJK:%0A%0A📄 SBU: BG001, BG002%0A📅 Expired: 13 September 2026 (60 Hari Lagi)%0A%0AKami tim PT. ESDEA Assistance Management siap men-support proses perpanjangan segera agar administrasi proyek tidak terhambat%0A%0AApakah boleh saya bantu siapkan estimasi biaya dan waktu pengerjaannya?.", "Hubungi")</f>
        <v/>
      </c>
    </row>
    <row r="14">
      <c r="A14" t="inlineStr">
        <is>
          <t>MEGA SURYA STRUCTURE</t>
        </is>
      </c>
      <c r="B14" t="inlineStr">
        <is>
          <t>Kota Adm. Jakarta Timur</t>
        </is>
      </c>
      <c r="C14" t="inlineStr">
        <is>
          <t>0218408986</t>
        </is>
      </c>
      <c r="D14" t="inlineStr">
        <is>
          <t>megasuryajf23@gmail.com</t>
        </is>
      </c>
      <c r="E14" t="inlineStr">
        <is>
          <t>https://lpjk.pu.go.id/search-badan-usaha-detail/dmMvd05zQWs1Zk9iQWd2dDBaN05LZz09</t>
        </is>
      </c>
      <c r="F14" t="n">
        <v>1</v>
      </c>
      <c r="G14" t="inlineStr">
        <is>
          <t>BS004</t>
        </is>
      </c>
      <c r="H14" t="inlineStr">
        <is>
          <t>3 Maret 2009</t>
        </is>
      </c>
      <c r="I14" s="2" t="n">
        <v>46278</v>
      </c>
      <c r="J14" t="inlineStr">
        <is>
          <t>Disetujui</t>
        </is>
      </c>
      <c r="K14" t="n">
        <v>60</v>
      </c>
      <c r="L14" t="inlineStr">
        <is>
          <t>13 September 2026</t>
        </is>
      </c>
      <c r="M14" t="inlineStr">
        <is>
          <t>Konstruksi Jaringan Irigasi dan Drainase</t>
        </is>
      </c>
      <c r="N14" t="inlineStr">
        <is>
          <t>K</t>
        </is>
      </c>
      <c r="O14" t="inlineStr">
        <is>
          <t>20230828</t>
        </is>
      </c>
      <c r="P14" t="inlineStr">
        <is>
          <t>DKI Jakarta</t>
        </is>
      </c>
      <c r="Q14" t="inlineStr"/>
    </row>
    <row r="15">
      <c r="A15" t="inlineStr">
        <is>
          <t>MEGAH GELORA UTAMA</t>
        </is>
      </c>
      <c r="B15" t="inlineStr">
        <is>
          <t>Kota Bekasi</t>
        </is>
      </c>
      <c r="C15" t="inlineStr">
        <is>
          <t>081310066673</t>
        </is>
      </c>
      <c r="D15" t="inlineStr">
        <is>
          <t>megah.gelora.utama@gmail.com</t>
        </is>
      </c>
      <c r="E15" t="inlineStr">
        <is>
          <t>https://lpjk.pu.go.id/search-badan-usaha-detail/VzhSWWl4QjFkN1pMci9WTGdzcUVJZz09</t>
        </is>
      </c>
      <c r="F15" t="n">
        <v>2</v>
      </c>
      <c r="G15" t="inlineStr">
        <is>
          <t>BG009</t>
        </is>
      </c>
      <c r="H15" t="inlineStr">
        <is>
          <t>22 September 2014</t>
        </is>
      </c>
      <c r="I15" s="2" t="n">
        <v>46278</v>
      </c>
      <c r="J15" t="inlineStr">
        <is>
          <t>Disetujui</t>
        </is>
      </c>
      <c r="K15" t="n">
        <v>60</v>
      </c>
      <c r="L15" t="inlineStr">
        <is>
          <t>13 September 2026</t>
        </is>
      </c>
      <c r="M15" t="inlineStr">
        <is>
          <t>Konstruksi Gedung Lainnya</t>
        </is>
      </c>
      <c r="N15" t="inlineStr">
        <is>
          <t>K</t>
        </is>
      </c>
      <c r="O15" t="inlineStr">
        <is>
          <t>20230913</t>
        </is>
      </c>
      <c r="P15" t="inlineStr">
        <is>
          <t>Jawa Barat</t>
        </is>
      </c>
      <c r="Q15" s="3">
        <f>HYPERLINK("https://wa.me/6281310066673?text=*[PENGINGAT MASA BERLAKU SBU MEGAH GELORA UTAMA]*%0A%0AYth. Pimpinan MEGAH GELORA UTAMA,%0AMohon izin menginformasikan status SBU Anda di sistem LPJK:%0A%0A📄 SBU: BG009%0A📅 Expired: 13 September 2026 (60 Hari Lagi)%0A%0AKami tim PT. ESDEA Assistance Management siap men-support proses perpanjangan segera agar administrasi proyek tidak terhambat%0A%0AApakah boleh saya bantu siapkan estimasi biaya dan waktu pengerjaannya?.", "Hubungi")</f>
        <v/>
      </c>
    </row>
    <row r="16">
      <c r="A16" t="inlineStr">
        <is>
          <t>MENARA ABHIPRAYA MANDIRI</t>
        </is>
      </c>
      <c r="B16" t="inlineStr">
        <is>
          <t>Kota Adm. Jakarta Timur</t>
        </is>
      </c>
      <c r="C16" t="inlineStr">
        <is>
          <t>29835163</t>
        </is>
      </c>
      <c r="D16" t="inlineStr">
        <is>
          <t>menara.abhipraya@yahoo.com</t>
        </is>
      </c>
      <c r="E16" t="inlineStr">
        <is>
          <t>https://lpjk.pu.go.id/search-badan-usaha-detail/QWo4c1BhWkozaEZhWmFidi9kMTdBdz09</t>
        </is>
      </c>
      <c r="F16" t="n">
        <v>1</v>
      </c>
      <c r="G16" t="inlineStr">
        <is>
          <t>KK012</t>
        </is>
      </c>
      <c r="H16" t="inlineStr">
        <is>
          <t>21 April 2017</t>
        </is>
      </c>
      <c r="I16" s="2" t="n">
        <v>46278</v>
      </c>
      <c r="J16" t="inlineStr">
        <is>
          <t>Disetujui</t>
        </is>
      </c>
      <c r="K16" t="n">
        <v>60</v>
      </c>
      <c r="L16" t="inlineStr">
        <is>
          <t>13 September 2026</t>
        </is>
      </c>
      <c r="M16" t="inlineStr">
        <is>
          <t>Pekerjaan Struktur Beton</t>
        </is>
      </c>
      <c r="N16" t="inlineStr">
        <is>
          <t>Spesialis</t>
        </is>
      </c>
      <c r="O16" t="inlineStr">
        <is>
          <t>20230914</t>
        </is>
      </c>
      <c r="P16" t="inlineStr">
        <is>
          <t>DKI Jakarta</t>
        </is>
      </c>
      <c r="Q16" t="inlineStr"/>
    </row>
    <row r="17">
      <c r="A17" t="inlineStr">
        <is>
          <t>PRIMA USAHA ROSA EFRAIMINDO</t>
        </is>
      </c>
      <c r="B17" t="inlineStr">
        <is>
          <t>Kab. Bogor</t>
        </is>
      </c>
      <c r="C17" t="inlineStr">
        <is>
          <t>08111808107</t>
        </is>
      </c>
      <c r="D17" t="inlineStr">
        <is>
          <t>prima.usaha.rosa.efraimindo@gmail.com</t>
        </is>
      </c>
      <c r="E17" t="inlineStr">
        <is>
          <t>https://lpjk.pu.go.id/search-badan-usaha-detail/QVdEanFLd2JTY2RtaDJjR0xKYlVtZz09</t>
        </is>
      </c>
      <c r="F17" t="n">
        <v>4</v>
      </c>
      <c r="G17" t="inlineStr">
        <is>
          <t>BG001, BG003, BG004, BG009</t>
        </is>
      </c>
      <c r="H17" t="inlineStr">
        <is>
          <t>5 Juni 2020</t>
        </is>
      </c>
      <c r="I17" s="2" t="n">
        <v>46278</v>
      </c>
      <c r="J17" t="inlineStr">
        <is>
          <t>Disetujui</t>
        </is>
      </c>
      <c r="K17" t="n">
        <v>60</v>
      </c>
      <c r="L17" t="inlineStr">
        <is>
          <t>13 September 2026</t>
        </is>
      </c>
      <c r="M17" t="inlineStr">
        <is>
          <t>Konstruksi Gedung Hunian, Konstruksi Gedung Industri, Konstruksi Gedung Lainnya, Konstruksi Gedung Perbelanjaan</t>
        </is>
      </c>
      <c r="N17" t="inlineStr">
        <is>
          <t>K</t>
        </is>
      </c>
      <c r="O17" t="inlineStr">
        <is>
          <t>20230825</t>
        </is>
      </c>
      <c r="P17" t="inlineStr">
        <is>
          <t>Jawa Barat</t>
        </is>
      </c>
      <c r="Q17" s="3">
        <f>HYPERLINK("https://wa.me/628111808107?text=*[PENGINGAT MASA BERLAKU SBU PRIMA USAHA ROSA EFRAIMINDO]*%0A%0AYth. Pimpinan PRIMA USAHA ROSA EFRAIMINDO,%0AMohon izin menginformasikan status SBU Anda di sistem LPJK:%0A%0A📄 SBU: BG001, BG003, BG004, BG009%0A📅 Expired: 13 September 2026 (60 Hari Lagi)%0A%0AKami tim PT. ESDEA Assistance Management siap men-support proses perpanjangan segera agar administrasi proyek tidak terhambat%0A%0AApakah boleh saya bantu siapkan estimasi biaya dan waktu pengerjaannya?.", "Hubungi")</f>
        <v/>
      </c>
    </row>
    <row r="18">
      <c r="A18" t="inlineStr">
        <is>
          <t>TIRTA KREASI UTAMA</t>
        </is>
      </c>
      <c r="B18" t="inlineStr">
        <is>
          <t>Kota Depok</t>
        </is>
      </c>
      <c r="C18" t="inlineStr">
        <is>
          <t>081310570333</t>
        </is>
      </c>
      <c r="D18" t="inlineStr">
        <is>
          <t>direktur.pttku@hotmail.com</t>
        </is>
      </c>
      <c r="E18" t="inlineStr">
        <is>
          <t>https://lpjk.pu.go.id/search-badan-usaha-detail/dWNrR3Y2ZXRYNFpXcTNoanhPbWZCZz09</t>
        </is>
      </c>
      <c r="F18" t="n">
        <v>1</v>
      </c>
      <c r="G18" t="inlineStr">
        <is>
          <t>BG009</t>
        </is>
      </c>
      <c r="H18" t="inlineStr">
        <is>
          <t>1 Januari 2018</t>
        </is>
      </c>
      <c r="I18" s="2" t="n">
        <v>46278</v>
      </c>
      <c r="J18" t="inlineStr">
        <is>
          <t>Pencabutan</t>
        </is>
      </c>
      <c r="K18" t="n">
        <v>60</v>
      </c>
      <c r="L18" t="inlineStr">
        <is>
          <t>13 September 2026</t>
        </is>
      </c>
      <c r="M18" t="inlineStr">
        <is>
          <t>Konstruksi Gedung Lainnya</t>
        </is>
      </c>
      <c r="N18" t="inlineStr">
        <is>
          <t>K</t>
        </is>
      </c>
      <c r="O18" t="inlineStr">
        <is>
          <t>20230910</t>
        </is>
      </c>
      <c r="P18" t="inlineStr">
        <is>
          <t>Jawa Barat</t>
        </is>
      </c>
      <c r="Q18" s="3">
        <f>HYPERLINK("https://wa.me/6281310570333?text=*[PENGINGAT MASA BERLAKU SBU TIRTA KREASI UTAMA]*%0A%0AYth. Pimpinan TIRTA KREASI UTAMA,%0AMohon izin menginformasikan status SBU Anda di sistem LPJK:%0A%0A📄 SBU: BG009%0A📅 Expired: 13 September 2026 (60 Hari Lagi)%0A%0AKami tim PT. ESDEA Assistance Management siap men-support proses perpanjangan segera agar administrasi proyek tidak terhambat%0A%0AApakah boleh saya bantu siapkan estimasi biaya dan waktu pengerjaannya?.", "Hubungi")</f>
        <v/>
      </c>
    </row>
    <row r="19">
      <c r="A19" t="inlineStr">
        <is>
          <t>TORANG MULTI INDO</t>
        </is>
      </c>
      <c r="B19" t="inlineStr">
        <is>
          <t>Kota Adm. Jakarta Timur</t>
        </is>
      </c>
      <c r="C19" t="inlineStr">
        <is>
          <t>0218609842</t>
        </is>
      </c>
      <c r="D19" t="inlineStr">
        <is>
          <t>torangmultiindo@gmail.com</t>
        </is>
      </c>
      <c r="E19" t="inlineStr">
        <is>
          <t>https://lpjk.pu.go.id/search-badan-usaha-detail/L1Vtdk9zSytBQTUwVHZGWUVLdmx3Zz09</t>
        </is>
      </c>
      <c r="F19" t="n">
        <v>2</v>
      </c>
      <c r="G19" t="inlineStr">
        <is>
          <t>BG001, BS002</t>
        </is>
      </c>
      <c r="H19" t="inlineStr">
        <is>
          <t>13 November 2018</t>
        </is>
      </c>
      <c r="I19" s="2" t="n">
        <v>46278</v>
      </c>
      <c r="J19" t="inlineStr">
        <is>
          <t>Disetujui</t>
        </is>
      </c>
      <c r="K19" t="n">
        <v>60</v>
      </c>
      <c r="L19" t="inlineStr">
        <is>
          <t>13 September 2026</t>
        </is>
      </c>
      <c r="M19" t="inlineStr">
        <is>
          <t>Bangunan Sipil Jembatan, Jalan Layang, Fly Over, dan Underpass, Konstruksi Gedung Hunian</t>
        </is>
      </c>
      <c r="N19" t="inlineStr">
        <is>
          <t>M</t>
        </is>
      </c>
      <c r="O19" t="inlineStr">
        <is>
          <t>20230905, 20230910</t>
        </is>
      </c>
      <c r="P19" t="inlineStr">
        <is>
          <t>DKI Jakarta</t>
        </is>
      </c>
      <c r="Q19" t="inlineStr"/>
    </row>
    <row r="20">
      <c r="A20" t="inlineStr">
        <is>
          <t>TRIGUNA SOLUSI CONTROL</t>
        </is>
      </c>
      <c r="B20" t="inlineStr">
        <is>
          <t>Kota Bekasi</t>
        </is>
      </c>
      <c r="C20" t="inlineStr">
        <is>
          <t>081266152967</t>
        </is>
      </c>
      <c r="D20" t="inlineStr">
        <is>
          <t>andrizal_chandra@trigunaeng-tc.com</t>
        </is>
      </c>
      <c r="E20" t="inlineStr">
        <is>
          <t>https://lpjk.pu.go.id/search-badan-usaha-detail/RDB1WWtPK3FwZGE3SnNwbGNmNHY0Zz09</t>
        </is>
      </c>
      <c r="F20" t="n">
        <v>1</v>
      </c>
      <c r="G20" t="inlineStr">
        <is>
          <t>IN001</t>
        </is>
      </c>
      <c r="H20" t="inlineStr">
        <is>
          <t>29 Juni 2009</t>
        </is>
      </c>
      <c r="I20" s="2" t="n">
        <v>46278</v>
      </c>
      <c r="J20" t="inlineStr">
        <is>
          <t>Disetujui</t>
        </is>
      </c>
      <c r="K20" t="n">
        <v>60</v>
      </c>
      <c r="L20" t="inlineStr">
        <is>
          <t>13 September 2026</t>
        </is>
      </c>
      <c r="M20" t="inlineStr">
        <is>
          <t>Instalasi Mekanikal</t>
        </is>
      </c>
      <c r="N20" t="inlineStr">
        <is>
          <t>Spesialis</t>
        </is>
      </c>
      <c r="O20" t="inlineStr">
        <is>
          <t>20230829</t>
        </is>
      </c>
      <c r="P20" t="inlineStr">
        <is>
          <t>Jawa Barat</t>
        </is>
      </c>
      <c r="Q20" s="3">
        <f>HYPERLINK("https://wa.me/6281266152967?text=*[PENGINGAT MASA BERLAKU SBU TRIGUNA SOLUSI CONTROL]*%0A%0AYth. Pimpinan TRIGUNA SOLUSI CONTROL,%0AMohon izin menginformasikan status SBU Anda di sistem LPJK:%0A%0A📄 SBU: IN001%0A📅 Expired: 13 September 2026 (60 Hari Lagi)%0A%0AKami tim PT. ESDEA Assistance Management siap men-support proses perpanjangan segera agar administrasi proyek tidak terhambat%0A%0AApakah boleh saya bantu siapkan estimasi biaya dan waktu pengerjaannya?.", "Hubungi")</f>
        <v/>
      </c>
    </row>
    <row r="21">
      <c r="A21" t="inlineStr">
        <is>
          <t>ADI CIPTA</t>
        </is>
      </c>
      <c r="B21" t="inlineStr">
        <is>
          <t>Kota Mataram</t>
        </is>
      </c>
      <c r="C21" t="inlineStr">
        <is>
          <t>08123782303</t>
        </is>
      </c>
      <c r="D21" t="inlineStr">
        <is>
          <t>cv_adi_cipta@yahoo.co.id</t>
        </is>
      </c>
      <c r="E21" t="inlineStr">
        <is>
          <t>https://lpjk.pu.go.id/search-badan-usaha-detail/dExxVVBQYnU5UlphM1VXVzdiQlF1dz09</t>
        </is>
      </c>
      <c r="F21" t="n">
        <v>2</v>
      </c>
      <c r="G21" t="inlineStr">
        <is>
          <t>AR001, AR002</t>
        </is>
      </c>
      <c r="H21" t="inlineStr">
        <is>
          <t>27 September 1993</t>
        </is>
      </c>
      <c r="I21" s="2" t="n">
        <v>46278</v>
      </c>
      <c r="J21" t="inlineStr">
        <is>
          <t>Disetujui</t>
        </is>
      </c>
      <c r="K21" t="n">
        <v>60</v>
      </c>
      <c r="L21" t="inlineStr">
        <is>
          <t>13 September 2026</t>
        </is>
      </c>
      <c r="M21" t="inlineStr">
        <is>
          <t>Jasa Arsitektural Bangunan Gedung Hunian dan Non Hunian, Jasa Arsitektural Lainnya</t>
        </is>
      </c>
      <c r="N21" t="inlineStr">
        <is>
          <t>K</t>
        </is>
      </c>
      <c r="O21" t="inlineStr">
        <is>
          <t>20230907</t>
        </is>
      </c>
      <c r="P21" t="inlineStr">
        <is>
          <t>Nusa Tenggara Barat</t>
        </is>
      </c>
      <c r="Q21" t="inlineStr"/>
    </row>
    <row r="22">
      <c r="A22" t="inlineStr">
        <is>
          <t>AGUNG DHARMA INTILAND</t>
        </is>
      </c>
      <c r="B22" t="inlineStr">
        <is>
          <t>Kota Palangkaraya</t>
        </is>
      </c>
      <c r="C22" t="inlineStr">
        <is>
          <t>0811525254</t>
        </is>
      </c>
      <c r="D22" t="inlineStr">
        <is>
          <t>ptagungdharmaintiland@gmail.com</t>
        </is>
      </c>
      <c r="E22" t="inlineStr">
        <is>
          <t>https://lpjk.pu.go.id/search-badan-usaha-detail/WTJheHRzZHJXQWxGdDByMlh5RzFXZz09</t>
        </is>
      </c>
      <c r="F22" t="n">
        <v>2</v>
      </c>
      <c r="G22" t="inlineStr">
        <is>
          <t>BG001</t>
        </is>
      </c>
      <c r="H22" t="inlineStr">
        <is>
          <t>26 Juni 2023</t>
        </is>
      </c>
      <c r="I22" s="2" t="n">
        <v>46278</v>
      </c>
      <c r="J22" t="inlineStr">
        <is>
          <t>Disetujui</t>
        </is>
      </c>
      <c r="K22" t="n">
        <v>60</v>
      </c>
      <c r="L22" t="inlineStr">
        <is>
          <t>13 September 2026</t>
        </is>
      </c>
      <c r="M22" t="inlineStr">
        <is>
          <t>Konstruksi Gedung Hunian</t>
        </is>
      </c>
      <c r="N22" t="inlineStr">
        <is>
          <t>K</t>
        </is>
      </c>
      <c r="O22" t="inlineStr">
        <is>
          <t>20230904</t>
        </is>
      </c>
      <c r="P22" t="inlineStr">
        <is>
          <t>Kalimantan Tengah</t>
        </is>
      </c>
      <c r="Q22" t="inlineStr"/>
    </row>
    <row r="23">
      <c r="A23" t="inlineStr">
        <is>
          <t>AKBAR ARSITAMA KONSULTAN</t>
        </is>
      </c>
      <c r="B23" t="inlineStr">
        <is>
          <t>Kota Bandar Lampung</t>
        </is>
      </c>
      <c r="C23" t="inlineStr">
        <is>
          <t>0721</t>
        </is>
      </c>
      <c r="D23" t="inlineStr">
        <is>
          <t>akbarsitama@gmail.com</t>
        </is>
      </c>
      <c r="E23" t="inlineStr">
        <is>
          <t>https://lpjk.pu.go.id/search-badan-usaha-detail/enhuazhmNUlzSGNBcWh4MFl5dnlyUT09</t>
        </is>
      </c>
      <c r="F23" t="n">
        <v>1</v>
      </c>
      <c r="G23" t="inlineStr">
        <is>
          <t>RK001</t>
        </is>
      </c>
      <c r="H23" t="inlineStr">
        <is>
          <t>17 Desember 2021</t>
        </is>
      </c>
      <c r="I23" s="2" t="n">
        <v>46278</v>
      </c>
      <c r="J23" t="inlineStr">
        <is>
          <t>Disetujui</t>
        </is>
      </c>
      <c r="K23" t="n">
        <v>60</v>
      </c>
      <c r="L23" t="inlineStr">
        <is>
          <t>13 September 2026</t>
        </is>
      </c>
      <c r="M23" t="inlineStr">
        <is>
          <t>Jasa Rekayasa Konstruksi Bangunan Gedung Hunian dan Non Hunian</t>
        </is>
      </c>
      <c r="N23" t="inlineStr">
        <is>
          <t>K</t>
        </is>
      </c>
      <c r="O23" t="inlineStr">
        <is>
          <t>20230905</t>
        </is>
      </c>
      <c r="P23" t="inlineStr">
        <is>
          <t>Lampung</t>
        </is>
      </c>
      <c r="Q23" t="inlineStr"/>
    </row>
    <row r="24">
      <c r="A24" t="inlineStr">
        <is>
          <t>ALFINA PUTRI TUNGGAL</t>
        </is>
      </c>
      <c r="B24" t="inlineStr">
        <is>
          <t>Kab. Tangerang</t>
        </is>
      </c>
      <c r="C24" t="inlineStr">
        <is>
          <t>021</t>
        </is>
      </c>
      <c r="D24" t="inlineStr">
        <is>
          <t>alfina.putri.tunggal.01@gmail.com</t>
        </is>
      </c>
      <c r="E24" t="inlineStr">
        <is>
          <t>https://lpjk.pu.go.id/search-badan-usaha-detail/d0xzSjNhK1p3ZkQ0S2NkZzdqWElDQT09</t>
        </is>
      </c>
      <c r="F24" t="n">
        <v>1</v>
      </c>
      <c r="G24" t="inlineStr">
        <is>
          <t>BS010</t>
        </is>
      </c>
      <c r="H24" t="inlineStr">
        <is>
          <t>21 Januari 2010</t>
        </is>
      </c>
      <c r="I24" s="2" t="n">
        <v>46278</v>
      </c>
      <c r="J24" t="inlineStr">
        <is>
          <t>Disetujui</t>
        </is>
      </c>
      <c r="K24" t="n">
        <v>60</v>
      </c>
      <c r="L24" t="inlineStr">
        <is>
          <t>13 September 2026</t>
        </is>
      </c>
      <c r="M24" t="inlineStr">
        <is>
          <t>Konstruksi Bangunan Prasarana Sumber Daya Air</t>
        </is>
      </c>
      <c r="N24" t="inlineStr">
        <is>
          <t>K</t>
        </is>
      </c>
      <c r="O24" t="inlineStr">
        <is>
          <t>20230907</t>
        </is>
      </c>
      <c r="P24" t="inlineStr">
        <is>
          <t>Banten</t>
        </is>
      </c>
      <c r="Q24" t="inlineStr"/>
    </row>
    <row r="25">
      <c r="A25" t="inlineStr">
        <is>
          <t>AMPERA 24</t>
        </is>
      </c>
      <c r="B25" t="inlineStr">
        <is>
          <t>Kab. Kebumen</t>
        </is>
      </c>
      <c r="C25" t="inlineStr">
        <is>
          <t>081334306266</t>
        </is>
      </c>
      <c r="D25" t="inlineStr">
        <is>
          <t>amperano24@gmail.com</t>
        </is>
      </c>
      <c r="E25" t="inlineStr">
        <is>
          <t>https://lpjk.pu.go.id/search-badan-usaha-detail/bkZKVm9tdVI0bWo0UVVaSDU1UzZnUT09</t>
        </is>
      </c>
      <c r="F25" t="n">
        <v>1</v>
      </c>
      <c r="G25" t="inlineStr">
        <is>
          <t>BS002</t>
        </is>
      </c>
      <c r="H25" t="inlineStr">
        <is>
          <t>22 Juni 2012</t>
        </is>
      </c>
      <c r="I25" s="2" t="n">
        <v>46278</v>
      </c>
      <c r="J25" t="inlineStr">
        <is>
          <t>Disetujui</t>
        </is>
      </c>
      <c r="K25" t="n">
        <v>60</v>
      </c>
      <c r="L25" t="inlineStr">
        <is>
          <t>13 September 2026</t>
        </is>
      </c>
      <c r="M25" t="inlineStr">
        <is>
          <t>Bangunan Sipil Jembatan, Jalan Layang, Fly Over, dan Underpass</t>
        </is>
      </c>
      <c r="N25" t="inlineStr">
        <is>
          <t>K</t>
        </is>
      </c>
      <c r="O25" t="inlineStr">
        <is>
          <t>20230912</t>
        </is>
      </c>
      <c r="P25" t="inlineStr">
        <is>
          <t>Jawa Tengah</t>
        </is>
      </c>
      <c r="Q25" t="inlineStr"/>
    </row>
    <row r="26">
      <c r="A26" t="inlineStr">
        <is>
          <t>ANDRA RAYA NIAGA</t>
        </is>
      </c>
      <c r="B26" t="inlineStr">
        <is>
          <t>Kab. Garut</t>
        </is>
      </c>
      <c r="C26" t="inlineStr">
        <is>
          <t>0822-1723-3233</t>
        </is>
      </c>
      <c r="D26" t="inlineStr">
        <is>
          <t>araniaga.cv@gmail.com</t>
        </is>
      </c>
      <c r="E26" t="inlineStr">
        <is>
          <t>https://lpjk.pu.go.id/search-badan-usaha-detail/NnA1TVhWV1dZWG16MGJUN0VnckpkZz09</t>
        </is>
      </c>
      <c r="F26" t="n">
        <v>1</v>
      </c>
      <c r="G26" t="inlineStr">
        <is>
          <t>BG009</t>
        </is>
      </c>
      <c r="H26" t="inlineStr">
        <is>
          <t>6 Juni 2017</t>
        </is>
      </c>
      <c r="I26" s="2" t="n">
        <v>46278</v>
      </c>
      <c r="J26" t="inlineStr">
        <is>
          <t>Disetujui</t>
        </is>
      </c>
      <c r="K26" t="n">
        <v>60</v>
      </c>
      <c r="L26" t="inlineStr">
        <is>
          <t>13 September 2026</t>
        </is>
      </c>
      <c r="M26" t="inlineStr">
        <is>
          <t>Konstruksi Gedung Lainnya</t>
        </is>
      </c>
      <c r="N26" t="inlineStr">
        <is>
          <t>K</t>
        </is>
      </c>
      <c r="O26" t="inlineStr">
        <is>
          <t>20230912</t>
        </is>
      </c>
      <c r="P26" t="inlineStr">
        <is>
          <t>Jawa Barat</t>
        </is>
      </c>
      <c r="Q26" t="inlineStr"/>
    </row>
    <row r="27">
      <c r="A27" t="inlineStr">
        <is>
          <t>ANTAR PULAU EMAS</t>
        </is>
      </c>
      <c r="B27" t="inlineStr">
        <is>
          <t>Kota Palu</t>
        </is>
      </c>
      <c r="C27" t="inlineStr">
        <is>
          <t>0812-4710-4271</t>
        </is>
      </c>
      <c r="D27" t="inlineStr">
        <is>
          <t>cv.antarpulauemas@gmail.com</t>
        </is>
      </c>
      <c r="E27" t="inlineStr">
        <is>
          <t>https://lpjk.pu.go.id/search-badan-usaha-detail/aHA3NnF5U244TStNeG1kenJBVm9rQT09</t>
        </is>
      </c>
      <c r="F27" t="n">
        <v>2</v>
      </c>
      <c r="G27" t="inlineStr">
        <is>
          <t>BG001</t>
        </is>
      </c>
      <c r="H27" t="inlineStr">
        <is>
          <t>31 Maret 1983</t>
        </is>
      </c>
      <c r="I27" s="2" t="n">
        <v>46278</v>
      </c>
      <c r="J27" t="inlineStr">
        <is>
          <t>Disetujui</t>
        </is>
      </c>
      <c r="K27" t="n">
        <v>60</v>
      </c>
      <c r="L27" t="inlineStr">
        <is>
          <t>13 September 2026</t>
        </is>
      </c>
      <c r="M27" t="inlineStr">
        <is>
          <t>Konstruksi Gedung Hunian</t>
        </is>
      </c>
      <c r="N27" t="inlineStr">
        <is>
          <t>K</t>
        </is>
      </c>
      <c r="O27" t="inlineStr">
        <is>
          <t>20230913</t>
        </is>
      </c>
      <c r="P27" t="inlineStr">
        <is>
          <t>Sulawesi Tengah</t>
        </is>
      </c>
      <c r="Q27" t="inlineStr"/>
    </row>
    <row r="28">
      <c r="A28" t="inlineStr">
        <is>
          <t>ANUGERAH KAHAYAN PERKASA</t>
        </is>
      </c>
      <c r="B28" t="inlineStr">
        <is>
          <t>Kab. Pulang Pisau</t>
        </is>
      </c>
      <c r="C28" t="inlineStr">
        <is>
          <t>085249427570</t>
        </is>
      </c>
      <c r="D28" t="inlineStr">
        <is>
          <t>anugerahkahayanperkasa@gmail.com</t>
        </is>
      </c>
      <c r="E28" t="inlineStr">
        <is>
          <t>https://lpjk.pu.go.id/search-badan-usaha-detail/b2RSRE9lUldZVFZreEs5d0dMUmVFdz09</t>
        </is>
      </c>
      <c r="F28" t="n">
        <v>2</v>
      </c>
      <c r="G28" t="inlineStr">
        <is>
          <t>BG009, BS001</t>
        </is>
      </c>
      <c r="H28" t="inlineStr">
        <is>
          <t>5 Agustus 2023</t>
        </is>
      </c>
      <c r="I28" s="2" t="n">
        <v>46278</v>
      </c>
      <c r="J28" t="inlineStr">
        <is>
          <t>Disetujui</t>
        </is>
      </c>
      <c r="K28" t="n">
        <v>60</v>
      </c>
      <c r="L28" t="inlineStr">
        <is>
          <t>13 September 2026</t>
        </is>
      </c>
      <c r="M28" t="inlineStr">
        <is>
          <t>Konstruksi Bangunan Sipil Jalan, Konstruksi Gedung Lainnya</t>
        </is>
      </c>
      <c r="N28" t="inlineStr">
        <is>
          <t>K</t>
        </is>
      </c>
      <c r="O28" t="inlineStr">
        <is>
          <t>20230911</t>
        </is>
      </c>
      <c r="P28" t="inlineStr">
        <is>
          <t>Kalimantan Tengah</t>
        </is>
      </c>
      <c r="Q28" t="inlineStr"/>
    </row>
    <row r="29">
      <c r="A29" t="inlineStr">
        <is>
          <t>ANUGERAH MYCHAEL</t>
        </is>
      </c>
      <c r="B29" t="inlineStr">
        <is>
          <t>Kota Kupang</t>
        </is>
      </c>
      <c r="C29" t="inlineStr">
        <is>
          <t>085239625123</t>
        </is>
      </c>
      <c r="D29" t="inlineStr">
        <is>
          <t>anugerah.mychael@gmail.com</t>
        </is>
      </c>
      <c r="E29" t="inlineStr">
        <is>
          <t>https://lpjk.pu.go.id/search-badan-usaha-detail/Yk9xaE04VkRUQjU5K1hPa0tFdzdCUT09</t>
        </is>
      </c>
      <c r="F29" t="n">
        <v>1</v>
      </c>
      <c r="G29" t="inlineStr">
        <is>
          <t>BG001</t>
        </is>
      </c>
      <c r="H29" t="inlineStr">
        <is>
          <t>8 Juni 2017</t>
        </is>
      </c>
      <c r="I29" s="2" t="n">
        <v>46278</v>
      </c>
      <c r="J29" t="inlineStr">
        <is>
          <t>Disetujui</t>
        </is>
      </c>
      <c r="K29" t="n">
        <v>60</v>
      </c>
      <c r="L29" t="inlineStr">
        <is>
          <t>13 September 2026</t>
        </is>
      </c>
      <c r="M29" t="inlineStr">
        <is>
          <t>Konstruksi Gedung Hunian</t>
        </is>
      </c>
      <c r="N29" t="inlineStr">
        <is>
          <t>K</t>
        </is>
      </c>
      <c r="O29" t="inlineStr">
        <is>
          <t>20230912</t>
        </is>
      </c>
      <c r="P29" t="inlineStr">
        <is>
          <t>Nusa Tenggara Timur</t>
        </is>
      </c>
      <c r="Q29" t="inlineStr"/>
    </row>
    <row r="30">
      <c r="A30" t="inlineStr">
        <is>
          <t>ANUGERAH REZEKI MULIA</t>
        </is>
      </c>
      <c r="B30" t="inlineStr">
        <is>
          <t>Kota Banjarmasin</t>
        </is>
      </c>
      <c r="C30" t="inlineStr">
        <is>
          <t>081351096597</t>
        </is>
      </c>
      <c r="D30" t="inlineStr">
        <is>
          <t>ptanugerahrezekimulia@gmail.com</t>
        </is>
      </c>
      <c r="E30" t="inlineStr">
        <is>
          <t>https://lpjk.pu.go.id/search-badan-usaha-detail/MjBPcW5HYXlTd0lYWmJOaVk1N2h4dz09</t>
        </is>
      </c>
      <c r="F30" t="n">
        <v>1</v>
      </c>
      <c r="G30" t="inlineStr">
        <is>
          <t>BG005</t>
        </is>
      </c>
      <c r="H30" t="inlineStr">
        <is>
          <t>10 November 2022</t>
        </is>
      </c>
      <c r="I30" s="2" t="n">
        <v>46278</v>
      </c>
      <c r="J30" t="inlineStr">
        <is>
          <t>Disetujui</t>
        </is>
      </c>
      <c r="K30" t="n">
        <v>60</v>
      </c>
      <c r="L30" t="inlineStr">
        <is>
          <t>13 September 2026</t>
        </is>
      </c>
      <c r="M30" t="inlineStr">
        <is>
          <t>Konstruksi Gedung Kesehatan</t>
        </is>
      </c>
      <c r="N30" t="inlineStr">
        <is>
          <t>K</t>
        </is>
      </c>
      <c r="O30" t="inlineStr">
        <is>
          <t>20230901</t>
        </is>
      </c>
      <c r="P30" t="inlineStr">
        <is>
          <t>Kalimantan Selatan</t>
        </is>
      </c>
      <c r="Q30" t="inlineStr"/>
    </row>
    <row r="31">
      <c r="A31" t="inlineStr">
        <is>
          <t>ANUGERAH SOTERIA</t>
        </is>
      </c>
      <c r="B31" t="inlineStr">
        <is>
          <t>Kab. Siak</t>
        </is>
      </c>
      <c r="C31" t="inlineStr">
        <is>
          <t>08116900930</t>
        </is>
      </c>
      <c r="D31" t="inlineStr">
        <is>
          <t>ptanugerahsoteria9@gmail.com</t>
        </is>
      </c>
      <c r="E31" t="inlineStr">
        <is>
          <t>https://lpjk.pu.go.id/search-badan-usaha-detail/emd1WjVNN0xWMTZaUmJ6dWxEM3FzZz09</t>
        </is>
      </c>
      <c r="F31" t="n">
        <v>3</v>
      </c>
      <c r="G31" t="inlineStr">
        <is>
          <t>BG003</t>
        </is>
      </c>
      <c r="H31" t="inlineStr">
        <is>
          <t>31 Oktober 2012</t>
        </is>
      </c>
      <c r="I31" s="2" t="n">
        <v>46278</v>
      </c>
      <c r="J31" t="inlineStr">
        <is>
          <t>Disetujui</t>
        </is>
      </c>
      <c r="K31" t="n">
        <v>60</v>
      </c>
      <c r="L31" t="inlineStr">
        <is>
          <t>13 September 2026</t>
        </is>
      </c>
      <c r="M31" t="inlineStr">
        <is>
          <t>Konstruksi Gedung Industri</t>
        </is>
      </c>
      <c r="N31" t="inlineStr">
        <is>
          <t>K</t>
        </is>
      </c>
      <c r="O31" t="inlineStr">
        <is>
          <t>20230913</t>
        </is>
      </c>
      <c r="P31" t="inlineStr">
        <is>
          <t>Riau</t>
        </is>
      </c>
      <c r="Q31" t="inlineStr"/>
    </row>
    <row r="32">
      <c r="A32" t="inlineStr">
        <is>
          <t>ANUGRAH BERKAH GUSTI</t>
        </is>
      </c>
      <c r="B32" t="inlineStr">
        <is>
          <t>Kab. Jepara</t>
        </is>
      </c>
      <c r="C32" t="inlineStr">
        <is>
          <t>082134127325</t>
        </is>
      </c>
      <c r="D32" t="inlineStr">
        <is>
          <t>pt.anugrahberkahgusti@gmail.com</t>
        </is>
      </c>
      <c r="E32" t="inlineStr">
        <is>
          <t>https://lpjk.pu.go.id/search-badan-usaha-detail/T0tSZXJyVE8va25KaFBmMHV3bHRKdz09</t>
        </is>
      </c>
      <c r="F32" t="n">
        <v>10</v>
      </c>
      <c r="G32" t="inlineStr">
        <is>
          <t>BG002, BG005, BG006, BG008, BG009</t>
        </is>
      </c>
      <c r="H32" t="inlineStr">
        <is>
          <t>17 Januari 2018</t>
        </is>
      </c>
      <c r="I32" s="2" t="n">
        <v>46278</v>
      </c>
      <c r="J32" t="inlineStr">
        <is>
          <t>Pencabutan</t>
        </is>
      </c>
      <c r="K32" t="n">
        <v>60</v>
      </c>
      <c r="L32" t="inlineStr">
        <is>
          <t>13 September 2026</t>
        </is>
      </c>
      <c r="M32" t="inlineStr">
        <is>
          <t>Konstruksi Gedung Kesehatan, Konstruksi Gedung Lainnya, Konstruksi Gedung Pendidikan, Konstruksi Gedung Perkantoran, Konstruksi Gedung Tempat Hiburan dan Olahraga</t>
        </is>
      </c>
      <c r="N32" t="inlineStr">
        <is>
          <t>K</t>
        </is>
      </c>
      <c r="O32" t="inlineStr">
        <is>
          <t>20230913, 20230914</t>
        </is>
      </c>
      <c r="P32" t="inlineStr">
        <is>
          <t>Jawa Tengah</t>
        </is>
      </c>
      <c r="Q32" t="inlineStr"/>
    </row>
    <row r="33">
      <c r="A33" t="inlineStr">
        <is>
          <t>ARGHA TEHNIK MAKMUR</t>
        </is>
      </c>
      <c r="B33" t="inlineStr">
        <is>
          <t>Kota Adm. Jakarta Barat</t>
        </is>
      </c>
      <c r="C33" t="inlineStr">
        <is>
          <t>082110389812</t>
        </is>
      </c>
      <c r="D33" t="inlineStr">
        <is>
          <t>arghatehnikmakmur@gmail.com</t>
        </is>
      </c>
      <c r="E33" t="inlineStr">
        <is>
          <t>https://lpjk.pu.go.id/search-badan-usaha-detail/YkQyRko5ek42RDNUTGRkbTZkOVdKZz09</t>
        </is>
      </c>
      <c r="F33" t="n">
        <v>1</v>
      </c>
      <c r="G33" t="inlineStr">
        <is>
          <t>IN001</t>
        </is>
      </c>
      <c r="H33" t="inlineStr">
        <is>
          <t>9 April 2019</t>
        </is>
      </c>
      <c r="I33" s="2" t="n">
        <v>46278</v>
      </c>
      <c r="J33" t="inlineStr">
        <is>
          <t>Pembekuan</t>
        </is>
      </c>
      <c r="K33" t="n">
        <v>60</v>
      </c>
      <c r="L33" t="inlineStr">
        <is>
          <t>13 September 2026</t>
        </is>
      </c>
      <c r="M33" t="inlineStr">
        <is>
          <t>Instalasi Mekanikal</t>
        </is>
      </c>
      <c r="N33" t="inlineStr">
        <is>
          <t>Spesialis</t>
        </is>
      </c>
      <c r="O33" t="inlineStr">
        <is>
          <t>20230913</t>
        </is>
      </c>
      <c r="P33" t="inlineStr">
        <is>
          <t>DKI Jakarta</t>
        </is>
      </c>
      <c r="Q33" t="inlineStr"/>
    </row>
    <row r="34">
      <c r="A34" t="inlineStr">
        <is>
          <t>ARIA JAYA RAYA</t>
        </is>
      </c>
      <c r="B34" t="inlineStr">
        <is>
          <t>Kab. Lombok Barat</t>
        </is>
      </c>
      <c r="C34" t="inlineStr">
        <is>
          <t>085237354982</t>
        </is>
      </c>
      <c r="D34" t="inlineStr">
        <is>
          <t>ajr.ariajayaraya@gmail.com</t>
        </is>
      </c>
      <c r="E34" t="inlineStr">
        <is>
          <t>https://lpjk.pu.go.id/search-badan-usaha-detail/eHl3VGJ3OW1qcVhCVFpCcjVRUExVUT09</t>
        </is>
      </c>
      <c r="F34" t="n">
        <v>1</v>
      </c>
      <c r="G34" t="inlineStr">
        <is>
          <t>BG009</t>
        </is>
      </c>
      <c r="H34" t="inlineStr">
        <is>
          <t>23 Maret 1983</t>
        </is>
      </c>
      <c r="I34" s="2" t="n">
        <v>46278</v>
      </c>
      <c r="J34" t="inlineStr">
        <is>
          <t>Disetujui</t>
        </is>
      </c>
      <c r="K34" t="n">
        <v>60</v>
      </c>
      <c r="L34" t="inlineStr">
        <is>
          <t>13 September 2026</t>
        </is>
      </c>
      <c r="M34" t="inlineStr">
        <is>
          <t>Konstruksi Gedung Lainnya</t>
        </is>
      </c>
      <c r="N34" t="inlineStr">
        <is>
          <t>M</t>
        </is>
      </c>
      <c r="O34" t="inlineStr">
        <is>
          <t>20230906</t>
        </is>
      </c>
      <c r="P34" t="inlineStr">
        <is>
          <t>Nusa Tenggara Barat</t>
        </is>
      </c>
      <c r="Q34" t="inlineStr"/>
    </row>
    <row r="35">
      <c r="A35" t="inlineStr">
        <is>
          <t>ARKONIN ENGINEERING MANGGALA PRATAMA</t>
        </is>
      </c>
      <c r="B35" t="inlineStr">
        <is>
          <t>Kota Adm. Jakarta Selatan</t>
        </is>
      </c>
      <c r="C35" t="inlineStr">
        <is>
          <t>0217350211</t>
        </is>
      </c>
      <c r="D35" t="inlineStr">
        <is>
          <t>arkoninmphrd@yahoo.com</t>
        </is>
      </c>
      <c r="E35" t="inlineStr">
        <is>
          <t>https://lpjk.pu.go.id/search-badan-usaha-detail/U243bXlZeDJqazJXTkE2dHZ3c2Z1dz09</t>
        </is>
      </c>
      <c r="F35" t="n">
        <v>1</v>
      </c>
      <c r="G35" t="inlineStr">
        <is>
          <t>AR002</t>
        </is>
      </c>
      <c r="H35" t="inlineStr">
        <is>
          <t>31 Agustus 1982</t>
        </is>
      </c>
      <c r="I35" s="2" t="n">
        <v>46278</v>
      </c>
      <c r="J35" t="inlineStr">
        <is>
          <t>Disetujui</t>
        </is>
      </c>
      <c r="K35" t="n">
        <v>60</v>
      </c>
      <c r="L35" t="inlineStr">
        <is>
          <t>13 September 2026</t>
        </is>
      </c>
      <c r="M35" t="inlineStr">
        <is>
          <t>Jasa Arsitektural Lainnya</t>
        </is>
      </c>
      <c r="N35" t="inlineStr">
        <is>
          <t>K</t>
        </is>
      </c>
      <c r="O35" t="inlineStr">
        <is>
          <t>20230904</t>
        </is>
      </c>
      <c r="P35" t="inlineStr">
        <is>
          <t>DKI Jakarta</t>
        </is>
      </c>
      <c r="Q35" t="inlineStr"/>
    </row>
    <row r="36">
      <c r="A36" t="inlineStr">
        <is>
          <t>ASIA PASIFIK TEKNIK KONSTRUKSI</t>
        </is>
      </c>
      <c r="B36" t="inlineStr">
        <is>
          <t>Kota Adm. Jakarta Utara</t>
        </is>
      </c>
      <c r="C36" t="inlineStr">
        <is>
          <t>02129237596</t>
        </is>
      </c>
      <c r="D36" t="inlineStr">
        <is>
          <t>asia.pasifik8@gmail.com</t>
        </is>
      </c>
      <c r="E36" t="inlineStr">
        <is>
          <t>https://lpjk.pu.go.id/search-badan-usaha-detail/U3IwR2trb2JPWEdIcUI2V2wrd2hhdz09</t>
        </is>
      </c>
      <c r="F36" t="n">
        <v>1</v>
      </c>
      <c r="G36" t="inlineStr">
        <is>
          <t>BG003</t>
        </is>
      </c>
      <c r="H36" t="inlineStr">
        <is>
          <t>25 Maret 2021</t>
        </is>
      </c>
      <c r="I36" s="2" t="n">
        <v>46278</v>
      </c>
      <c r="J36" t="inlineStr">
        <is>
          <t>Pencabutan</t>
        </is>
      </c>
      <c r="K36" t="n">
        <v>60</v>
      </c>
      <c r="L36" t="inlineStr">
        <is>
          <t>13 September 2026</t>
        </is>
      </c>
      <c r="M36" t="inlineStr">
        <is>
          <t>Konstruksi Gedung Industri</t>
        </is>
      </c>
      <c r="N36" t="inlineStr">
        <is>
          <t>B</t>
        </is>
      </c>
      <c r="O36" t="inlineStr">
        <is>
          <t>20230912</t>
        </is>
      </c>
      <c r="P36" t="inlineStr">
        <is>
          <t>DKI Jakarta</t>
        </is>
      </c>
      <c r="Q36" t="inlineStr"/>
    </row>
    <row r="37">
      <c r="A37" t="inlineStr">
        <is>
          <t>ASRI JADI UTAMA</t>
        </is>
      </c>
      <c r="B37" t="inlineStr">
        <is>
          <t>Kota Bontang</t>
        </is>
      </c>
      <c r="C37" t="inlineStr">
        <is>
          <t>085113311000</t>
        </is>
      </c>
      <c r="D37" t="inlineStr">
        <is>
          <t>ccvasrijadiutama@gmail.com</t>
        </is>
      </c>
      <c r="E37" t="inlineStr">
        <is>
          <t>https://lpjk.pu.go.id/search-badan-usaha-detail/ZVFnY0xRTFY1NzlKd0xyelFtUnpPUT09</t>
        </is>
      </c>
      <c r="F37" t="n">
        <v>1</v>
      </c>
      <c r="G37" t="inlineStr">
        <is>
          <t>BS001</t>
        </is>
      </c>
      <c r="H37" t="inlineStr">
        <is>
          <t>5 Juni 2023</t>
        </is>
      </c>
      <c r="I37" s="2" t="n">
        <v>46278</v>
      </c>
      <c r="J37" t="inlineStr">
        <is>
          <t>Disetujui</t>
        </is>
      </c>
      <c r="K37" t="n">
        <v>60</v>
      </c>
      <c r="L37" t="inlineStr">
        <is>
          <t>13 September 2026</t>
        </is>
      </c>
      <c r="M37" t="inlineStr">
        <is>
          <t>Konstruksi Bangunan Sipil Jalan</t>
        </is>
      </c>
      <c r="N37" t="inlineStr">
        <is>
          <t>K</t>
        </is>
      </c>
      <c r="O37" t="inlineStr">
        <is>
          <t>20230914</t>
        </is>
      </c>
      <c r="P37" t="inlineStr">
        <is>
          <t>Kalimantan Timur</t>
        </is>
      </c>
      <c r="Q37" t="inlineStr"/>
    </row>
    <row r="38">
      <c r="A38" t="inlineStr">
        <is>
          <t>ASTA REKAYASA UNGGUL</t>
        </is>
      </c>
      <c r="B38" t="inlineStr">
        <is>
          <t>Kab. Kutai Kartanegara</t>
        </is>
      </c>
      <c r="C38" t="inlineStr">
        <is>
          <t>05417894513</t>
        </is>
      </c>
      <c r="D38" t="inlineStr">
        <is>
          <t>marketing@arung.co.id</t>
        </is>
      </c>
      <c r="E38" t="inlineStr">
        <is>
          <t>https://lpjk.pu.go.id/search-badan-usaha-detail/ZFZYMk1WUFl5a0w0S3pMcHhNaGUwdz09</t>
        </is>
      </c>
      <c r="F38" t="n">
        <v>1</v>
      </c>
      <c r="G38" t="inlineStr">
        <is>
          <t>PL003</t>
        </is>
      </c>
      <c r="H38" t="inlineStr">
        <is>
          <t>14 Januari 2008</t>
        </is>
      </c>
      <c r="I38" s="2" t="n">
        <v>46278</v>
      </c>
      <c r="J38" t="inlineStr">
        <is>
          <t>Pencabutan</t>
        </is>
      </c>
      <c r="K38" t="n">
        <v>60</v>
      </c>
      <c r="L38" t="inlineStr">
        <is>
          <t>13 September 2026</t>
        </is>
      </c>
      <c r="M38" t="inlineStr">
        <is>
          <t>Penyiapan Lahan Konstruksi</t>
        </is>
      </c>
      <c r="N38" t="inlineStr">
        <is>
          <t>Spesialis</t>
        </is>
      </c>
      <c r="O38" t="inlineStr">
        <is>
          <t>20230804</t>
        </is>
      </c>
      <c r="P38" t="inlineStr">
        <is>
          <t>Kalimantan Timur</t>
        </is>
      </c>
      <c r="Q38" t="inlineStr"/>
    </row>
    <row r="39">
      <c r="A39" t="inlineStr">
        <is>
          <t>AZKA JAYA SABE</t>
        </is>
      </c>
      <c r="B39" t="inlineStr">
        <is>
          <t>Kab. Bireuen</t>
        </is>
      </c>
      <c r="C39" t="inlineStr">
        <is>
          <t>085398116136</t>
        </is>
      </c>
      <c r="D39" t="inlineStr">
        <is>
          <t>azka_jaya19@yahoo.com</t>
        </is>
      </c>
      <c r="E39" t="inlineStr">
        <is>
          <t>https://lpjk.pu.go.id/search-badan-usaha-detail/cnVEdGlMdWlCV1Q3SFhKelRsa2Fpdz09</t>
        </is>
      </c>
      <c r="F39" t="n">
        <v>6</v>
      </c>
      <c r="G39" t="inlineStr">
        <is>
          <t>BG001, BG002, BG005, BG006, BG009</t>
        </is>
      </c>
      <c r="H39" t="inlineStr">
        <is>
          <t>8 Januari 2019</t>
        </is>
      </c>
      <c r="I39" s="2" t="n">
        <v>46278</v>
      </c>
      <c r="J39" t="inlineStr">
        <is>
          <t>Disetujui</t>
        </is>
      </c>
      <c r="K39" t="n">
        <v>60</v>
      </c>
      <c r="L39" t="inlineStr">
        <is>
          <t>13 September 2026</t>
        </is>
      </c>
      <c r="M39" t="inlineStr">
        <is>
          <t>Konstruksi Gedung Hunian, Konstruksi Gedung Kesehatan, Konstruksi Gedung Lainnya, Konstruksi Gedung Pendidikan, Konstruksi Gedung Perkantoran</t>
        </is>
      </c>
      <c r="N39" t="inlineStr">
        <is>
          <t>K</t>
        </is>
      </c>
      <c r="O39" t="inlineStr">
        <is>
          <t>20230912</t>
        </is>
      </c>
      <c r="P39" t="inlineStr">
        <is>
          <t>Aceh</t>
        </is>
      </c>
      <c r="Q39" t="inlineStr"/>
    </row>
    <row r="40">
      <c r="A40" t="inlineStr">
        <is>
          <t>AZZAM</t>
        </is>
      </c>
      <c r="B40" t="inlineStr">
        <is>
          <t>Kab. Mamuju</t>
        </is>
      </c>
      <c r="C40" t="inlineStr">
        <is>
          <t>085242336557</t>
        </is>
      </c>
      <c r="D40" t="inlineStr">
        <is>
          <t>azzammamuju@gmail.com</t>
        </is>
      </c>
      <c r="E40" t="inlineStr">
        <is>
          <t>https://lpjk.pu.go.id/search-badan-usaha-detail/WFcyQnhXSUwveVExci9UanFjcmRnUT09</t>
        </is>
      </c>
      <c r="F40" t="n">
        <v>3</v>
      </c>
      <c r="G40" t="inlineStr">
        <is>
          <t>BG006, BG008, BG009</t>
        </is>
      </c>
      <c r="H40" t="inlineStr">
        <is>
          <t>10 Februari 2018</t>
        </is>
      </c>
      <c r="I40" s="2" t="n">
        <v>46278</v>
      </c>
      <c r="J40" t="inlineStr">
        <is>
          <t>Pencabutan</t>
        </is>
      </c>
      <c r="K40" t="n">
        <v>60</v>
      </c>
      <c r="L40" t="inlineStr">
        <is>
          <t>13 September 2026</t>
        </is>
      </c>
      <c r="M40" t="inlineStr">
        <is>
          <t>Konstruksi Gedung Lainnya, Konstruksi Gedung Pendidikan, Konstruksi Gedung Tempat Hiburan dan Olahraga</t>
        </is>
      </c>
      <c r="N40" t="inlineStr">
        <is>
          <t>K</t>
        </is>
      </c>
      <c r="O40" t="inlineStr">
        <is>
          <t>20230911, 20230914</t>
        </is>
      </c>
      <c r="P40" t="inlineStr">
        <is>
          <t>Sulawesi Barat</t>
        </is>
      </c>
      <c r="Q40" t="inlineStr"/>
    </row>
    <row r="41">
      <c r="A41" t="inlineStr">
        <is>
          <t>BANGUN ANUGRAH BETON NUSANTARA</t>
        </is>
      </c>
      <c r="B41" t="inlineStr">
        <is>
          <t>Kab. Tegal</t>
        </is>
      </c>
      <c r="C41" t="inlineStr">
        <is>
          <t>0283 4691424</t>
        </is>
      </c>
      <c r="D41" t="inlineStr">
        <is>
          <t>Pt.babn2019@gmail.com</t>
        </is>
      </c>
      <c r="E41" t="inlineStr">
        <is>
          <t>https://lpjk.pu.go.id/search-badan-usaha-detail/aWpXc0RqaE02SDlwV2MyZFpPWG9WQT09</t>
        </is>
      </c>
      <c r="F41" t="n">
        <v>1</v>
      </c>
      <c r="G41" t="inlineStr">
        <is>
          <t>BS001</t>
        </is>
      </c>
      <c r="H41" t="inlineStr">
        <is>
          <t>24 Agustus 2017</t>
        </is>
      </c>
      <c r="I41" s="2" t="n">
        <v>46278</v>
      </c>
      <c r="J41" t="inlineStr">
        <is>
          <t>Disetujui</t>
        </is>
      </c>
      <c r="K41" t="n">
        <v>60</v>
      </c>
      <c r="L41" t="inlineStr">
        <is>
          <t>13 September 2026</t>
        </is>
      </c>
      <c r="M41" t="inlineStr">
        <is>
          <t>Konstruksi Bangunan Sipil Jalan</t>
        </is>
      </c>
      <c r="N41" t="inlineStr">
        <is>
          <t>M</t>
        </is>
      </c>
      <c r="O41" t="inlineStr">
        <is>
          <t>20230825</t>
        </is>
      </c>
      <c r="P41" t="inlineStr">
        <is>
          <t>Jawa Tengah</t>
        </is>
      </c>
      <c r="Q41" t="inlineStr"/>
    </row>
    <row r="42">
      <c r="A42" t="inlineStr">
        <is>
          <t>BANGUN MULTI GRIYA ABADI</t>
        </is>
      </c>
      <c r="B42" t="inlineStr">
        <is>
          <t>Kota Adm. Jakarta Barat</t>
        </is>
      </c>
      <c r="C42" t="inlineStr">
        <is>
          <t>087875194241</t>
        </is>
      </c>
      <c r="D42" t="inlineStr">
        <is>
          <t>ptbmga@hotmail.com</t>
        </is>
      </c>
      <c r="E42" t="inlineStr">
        <is>
          <t>https://lpjk.pu.go.id/search-badan-usaha-detail/ZjlXQTRRcXBlSlFyQkZsblFWdWNTdz09</t>
        </is>
      </c>
      <c r="F42" t="n">
        <v>2</v>
      </c>
      <c r="G42" t="inlineStr">
        <is>
          <t>BG002</t>
        </is>
      </c>
      <c r="H42" t="inlineStr">
        <is>
          <t>15 Desember 2005</t>
        </is>
      </c>
      <c r="I42" s="2" t="n">
        <v>46278</v>
      </c>
      <c r="J42" t="inlineStr">
        <is>
          <t>Disetujui</t>
        </is>
      </c>
      <c r="K42" t="n">
        <v>60</v>
      </c>
      <c r="L42" t="inlineStr">
        <is>
          <t>13 September 2026</t>
        </is>
      </c>
      <c r="M42" t="inlineStr">
        <is>
          <t>Konstruksi Gedung Perkantoran</t>
        </is>
      </c>
      <c r="N42" t="inlineStr">
        <is>
          <t>K</t>
        </is>
      </c>
      <c r="O42" t="inlineStr">
        <is>
          <t>20230815</t>
        </is>
      </c>
      <c r="P42" t="inlineStr">
        <is>
          <t>DKI Jakarta</t>
        </is>
      </c>
      <c r="Q42" t="inlineStr"/>
    </row>
    <row r="43">
      <c r="A43" t="inlineStr">
        <is>
          <t>BARAYA SUKSES MAKMUR</t>
        </is>
      </c>
      <c r="B43" t="inlineStr">
        <is>
          <t>Kota Adm. Jakarta Selatan</t>
        </is>
      </c>
      <c r="C43" t="inlineStr">
        <is>
          <t>0217271260</t>
        </is>
      </c>
      <c r="D43" t="inlineStr">
        <is>
          <t>info@baraya.co.id</t>
        </is>
      </c>
      <c r="E43" t="inlineStr">
        <is>
          <t>https://lpjk.pu.go.id/search-badan-usaha-detail/dGp5TmNoL2grNG9LVUNtUjN5bkptZz09</t>
        </is>
      </c>
      <c r="F43" t="n">
        <v>4</v>
      </c>
      <c r="G43" t="inlineStr">
        <is>
          <t>BG006</t>
        </is>
      </c>
      <c r="H43" t="inlineStr">
        <is>
          <t>30 November 2007</t>
        </is>
      </c>
      <c r="I43" s="2" t="n">
        <v>46278</v>
      </c>
      <c r="J43" t="inlineStr">
        <is>
          <t>Pencabutan</t>
        </is>
      </c>
      <c r="K43" t="n">
        <v>60</v>
      </c>
      <c r="L43" t="inlineStr">
        <is>
          <t>13 September 2026</t>
        </is>
      </c>
      <c r="M43" t="inlineStr">
        <is>
          <t>Konstruksi Gedung Pendidikan</t>
        </is>
      </c>
      <c r="N43" t="inlineStr">
        <is>
          <t>M</t>
        </is>
      </c>
      <c r="O43" t="inlineStr">
        <is>
          <t>20230911</t>
        </is>
      </c>
      <c r="P43" t="inlineStr">
        <is>
          <t>DKI Jakarta</t>
        </is>
      </c>
      <c r="Q43" t="inlineStr"/>
    </row>
    <row r="44">
      <c r="A44" t="inlineStr">
        <is>
          <t>BERKAH</t>
        </is>
      </c>
      <c r="B44" t="inlineStr">
        <is>
          <t>Kab. Sleman</t>
        </is>
      </c>
      <c r="C44" t="inlineStr">
        <is>
          <t>08122745924</t>
        </is>
      </c>
      <c r="D44" t="inlineStr">
        <is>
          <t>berkahjogja_cv@yahoo.co.id</t>
        </is>
      </c>
      <c r="E44" t="inlineStr">
        <is>
          <t>https://lpjk.pu.go.id/search-badan-usaha-detail/bktsSDhONXlNQTZpTXBSNlg5c3dMUT09</t>
        </is>
      </c>
      <c r="F44" t="n">
        <v>4</v>
      </c>
      <c r="G44" t="inlineStr">
        <is>
          <t>BG006, BS010</t>
        </is>
      </c>
      <c r="H44" t="inlineStr">
        <is>
          <t>22 Juni 2012</t>
        </is>
      </c>
      <c r="I44" s="2" t="n">
        <v>46278</v>
      </c>
      <c r="J44" t="inlineStr">
        <is>
          <t>Disetujui</t>
        </is>
      </c>
      <c r="K44" t="n">
        <v>60</v>
      </c>
      <c r="L44" t="inlineStr">
        <is>
          <t>13 September 2026</t>
        </is>
      </c>
      <c r="M44" t="inlineStr">
        <is>
          <t>Konstruksi Bangunan Prasarana Sumber Daya Air, Konstruksi Gedung Pendidikan</t>
        </is>
      </c>
      <c r="N44" t="inlineStr">
        <is>
          <t>K</t>
        </is>
      </c>
      <c r="O44" t="inlineStr">
        <is>
          <t>20230830, 20230901</t>
        </is>
      </c>
      <c r="P44" t="inlineStr">
        <is>
          <t>DI Yogyakarta</t>
        </is>
      </c>
      <c r="Q44" t="inlineStr"/>
    </row>
    <row r="45">
      <c r="A45" t="inlineStr">
        <is>
          <t>BERKAH HELA ABADI</t>
        </is>
      </c>
      <c r="B45" t="inlineStr">
        <is>
          <t>Kab. Sidoarjo</t>
        </is>
      </c>
      <c r="C45" t="inlineStr">
        <is>
          <t>08123409935</t>
        </is>
      </c>
      <c r="D45" t="inlineStr">
        <is>
          <t>helaberkahabadi@gmail.com</t>
        </is>
      </c>
      <c r="E45" t="inlineStr">
        <is>
          <t>https://lpjk.pu.go.id/search-badan-usaha-detail/VTJmTTBCMjFrQis4akhPYzZ6WHRPQT09</t>
        </is>
      </c>
      <c r="F45" t="n">
        <v>2</v>
      </c>
      <c r="G45" t="inlineStr">
        <is>
          <t>BS005</t>
        </is>
      </c>
      <c r="H45" t="inlineStr">
        <is>
          <t>2 Juni 2023</t>
        </is>
      </c>
      <c r="I45" s="2" t="n">
        <v>46278</v>
      </c>
      <c r="J45" t="inlineStr">
        <is>
          <t>Pencabutan</t>
        </is>
      </c>
      <c r="K45" t="n">
        <v>60</v>
      </c>
      <c r="L45" t="inlineStr">
        <is>
          <t>13 September 2026</t>
        </is>
      </c>
      <c r="M45" t="inlineStr">
        <is>
          <t>Konstruksi Bangunan Sipil Pengolahan Air Bersih</t>
        </is>
      </c>
      <c r="N45" t="inlineStr">
        <is>
          <t>K</t>
        </is>
      </c>
      <c r="O45" t="inlineStr">
        <is>
          <t>20230906</t>
        </is>
      </c>
      <c r="P45" t="inlineStr">
        <is>
          <t>Jawa Timur</t>
        </is>
      </c>
      <c r="Q45" t="inlineStr"/>
    </row>
    <row r="46">
      <c r="A46" t="inlineStr">
        <is>
          <t>BERKAH SUMBER BARU</t>
        </is>
      </c>
      <c r="B46" t="inlineStr">
        <is>
          <t>Kota Surabaya</t>
        </is>
      </c>
      <c r="C46" t="inlineStr">
        <is>
          <t>081234620193</t>
        </is>
      </c>
      <c r="D46" t="inlineStr">
        <is>
          <t>bagasadmadi4@gmail.com</t>
        </is>
      </c>
      <c r="E46" t="inlineStr">
        <is>
          <t>https://lpjk.pu.go.id/search-badan-usaha-detail/WlJWVUdFdVNFUlVPNzlNWTRwK2Q3dz09</t>
        </is>
      </c>
      <c r="F46" t="n">
        <v>4</v>
      </c>
      <c r="G46" t="inlineStr">
        <is>
          <t>BS001, BS004</t>
        </is>
      </c>
      <c r="H46" t="inlineStr">
        <is>
          <t>3 Juli 2023</t>
        </is>
      </c>
      <c r="I46" s="2" t="n">
        <v>46278</v>
      </c>
      <c r="J46" t="inlineStr">
        <is>
          <t>Disetujui</t>
        </is>
      </c>
      <c r="K46" t="n">
        <v>60</v>
      </c>
      <c r="L46" t="inlineStr">
        <is>
          <t>13 September 2026</t>
        </is>
      </c>
      <c r="M46" t="inlineStr">
        <is>
          <t>Konstruksi Bangunan Sipil Jalan, Konstruksi Jaringan Irigasi dan Drainase</t>
        </is>
      </c>
      <c r="N46" t="inlineStr">
        <is>
          <t>K</t>
        </is>
      </c>
      <c r="O46" t="inlineStr">
        <is>
          <t>20230911</t>
        </is>
      </c>
      <c r="P46" t="inlineStr">
        <is>
          <t>Jawa Timur</t>
        </is>
      </c>
      <c r="Q46" t="inlineStr"/>
    </row>
    <row r="47">
      <c r="A47" t="inlineStr">
        <is>
          <t>BIMA SENA</t>
        </is>
      </c>
      <c r="B47" t="inlineStr">
        <is>
          <t>Kota Binjai</t>
        </is>
      </c>
      <c r="C47" t="inlineStr">
        <is>
          <t>082276470424</t>
        </is>
      </c>
      <c r="D47" t="inlineStr">
        <is>
          <t>cvbimasena17@gmail.com</t>
        </is>
      </c>
      <c r="E47" t="inlineStr">
        <is>
          <t>https://lpjk.pu.go.id/search-badan-usaha-detail/RGlQTUdOWE5XUE5GeHNCa2RKNjQxQT09</t>
        </is>
      </c>
      <c r="F47" t="n">
        <v>2</v>
      </c>
      <c r="G47" t="inlineStr">
        <is>
          <t>BS004, BS006</t>
        </is>
      </c>
      <c r="H47" t="inlineStr">
        <is>
          <t>7 Juli 2017</t>
        </is>
      </c>
      <c r="I47" s="2" t="n">
        <v>46278</v>
      </c>
      <c r="J47" t="inlineStr">
        <is>
          <t>Disetujui</t>
        </is>
      </c>
      <c r="K47" t="n">
        <v>60</v>
      </c>
      <c r="L47" t="inlineStr">
        <is>
          <t>13 September 2026</t>
        </is>
      </c>
      <c r="M47" t="inlineStr">
        <is>
          <t>Konstruksi Bangunan Sipil Prasarana dan Sarana Sistem Pengolahan Limbah Padat, Cair, dan Gas, Konstruksi Jaringan Irigasi dan Drainase</t>
        </is>
      </c>
      <c r="N47" t="inlineStr">
        <is>
          <t>K</t>
        </is>
      </c>
      <c r="O47" t="inlineStr">
        <is>
          <t>20230914</t>
        </is>
      </c>
      <c r="P47" t="inlineStr">
        <is>
          <t>Sumatera Utara</t>
        </is>
      </c>
      <c r="Q47" t="inlineStr"/>
    </row>
    <row r="48">
      <c r="A48" t="inlineStr">
        <is>
          <t>BIMA UTAMA RAYA</t>
        </is>
      </c>
      <c r="B48" t="inlineStr">
        <is>
          <t>Kab. Bojonegoro</t>
        </is>
      </c>
      <c r="C48" t="inlineStr">
        <is>
          <t>085335655295</t>
        </is>
      </c>
      <c r="D48" t="inlineStr">
        <is>
          <t>cvbimautamaraya@gmail.com</t>
        </is>
      </c>
      <c r="E48" t="inlineStr">
        <is>
          <t>https://lpjk.pu.go.id/search-badan-usaha-detail/dGdRNVg3UFpvVVBKY1pKYm15WWludz09</t>
        </is>
      </c>
      <c r="F48" t="n">
        <v>2</v>
      </c>
      <c r="G48" t="inlineStr">
        <is>
          <t>BS002, BS010</t>
        </is>
      </c>
      <c r="H48" t="inlineStr">
        <is>
          <t>8 Juni 2023</t>
        </is>
      </c>
      <c r="I48" s="2" t="n">
        <v>46278</v>
      </c>
      <c r="J48" t="inlineStr">
        <is>
          <t>Disetujui</t>
        </is>
      </c>
      <c r="K48" t="n">
        <v>60</v>
      </c>
      <c r="L48" t="inlineStr">
        <is>
          <t>13 September 2026</t>
        </is>
      </c>
      <c r="M48" t="inlineStr">
        <is>
          <t>Bangunan Sipil Jembatan, Jalan Layang, Fly Over, dan Underpass, Konstruksi Bangunan Prasarana Sumber Daya Air</t>
        </is>
      </c>
      <c r="N48" t="inlineStr">
        <is>
          <t>K</t>
        </is>
      </c>
      <c r="O48" t="inlineStr">
        <is>
          <t>20230819</t>
        </is>
      </c>
      <c r="P48" t="inlineStr">
        <is>
          <t>Jawa Timur</t>
        </is>
      </c>
      <c r="Q48" t="inlineStr"/>
    </row>
    <row r="49">
      <c r="A49" t="inlineStr">
        <is>
          <t>BINA BANUA</t>
        </is>
      </c>
      <c r="B49" t="inlineStr">
        <is>
          <t>Kota Banjarmasin</t>
        </is>
      </c>
      <c r="C49" t="inlineStr">
        <is>
          <t>05113250569</t>
        </is>
      </c>
      <c r="D49" t="inlineStr">
        <is>
          <t>biba_cvbjm@yahoo.co.id</t>
        </is>
      </c>
      <c r="E49" t="inlineStr">
        <is>
          <t>https://lpjk.pu.go.id/search-badan-usaha-detail/NlZMQ1FNRmdDZEJ0V3BHcUw5eGtqZz09</t>
        </is>
      </c>
      <c r="F49" t="n">
        <v>1</v>
      </c>
      <c r="G49" t="inlineStr">
        <is>
          <t>RK002</t>
        </is>
      </c>
      <c r="H49" t="inlineStr">
        <is>
          <t>28 Maret 1981</t>
        </is>
      </c>
      <c r="I49" s="2" t="n">
        <v>46278</v>
      </c>
      <c r="J49" t="inlineStr">
        <is>
          <t>Disetujui</t>
        </is>
      </c>
      <c r="K49" t="n">
        <v>60</v>
      </c>
      <c r="L49" t="inlineStr">
        <is>
          <t>13 September 2026</t>
        </is>
      </c>
      <c r="M49" t="inlineStr">
        <is>
          <t>Jasa Rekayasa Pekerjaan Teknik Sipil Sumber Daya Air</t>
        </is>
      </c>
      <c r="N49" t="inlineStr">
        <is>
          <t>K</t>
        </is>
      </c>
      <c r="O49" t="inlineStr">
        <is>
          <t>20230821</t>
        </is>
      </c>
      <c r="P49" t="inlineStr">
        <is>
          <t>Kalimantan Selatan</t>
        </is>
      </c>
      <c r="Q49" t="inlineStr"/>
    </row>
    <row r="50">
      <c r="A50" t="inlineStr">
        <is>
          <t>BINA CIPTA DASALINDO</t>
        </is>
      </c>
      <c r="B50" t="inlineStr">
        <is>
          <t>Kota Banjarmasin</t>
        </is>
      </c>
      <c r="C50" t="inlineStr">
        <is>
          <t>05113261664</t>
        </is>
      </c>
      <c r="D50" t="inlineStr">
        <is>
          <t>pt.binaciptadasalindo@gmail.com</t>
        </is>
      </c>
      <c r="E50" t="inlineStr">
        <is>
          <t>https://lpjk.pu.go.id/search-badan-usaha-detail/SnE5VUlDRlF6WEJhQlhiK0gwclhCUT09</t>
        </is>
      </c>
      <c r="F50" t="n">
        <v>2</v>
      </c>
      <c r="G50" t="inlineStr">
        <is>
          <t>RK002, RK003</t>
        </is>
      </c>
      <c r="H50" t="inlineStr">
        <is>
          <t>28 Agustus 1991</t>
        </is>
      </c>
      <c r="I50" s="2" t="n">
        <v>46278</v>
      </c>
      <c r="J50" t="inlineStr">
        <is>
          <t>Disetujui</t>
        </is>
      </c>
      <c r="K50" t="n">
        <v>60</v>
      </c>
      <c r="L50" t="inlineStr">
        <is>
          <t>13 September 2026</t>
        </is>
      </c>
      <c r="M50" t="inlineStr">
        <is>
          <t>Jasa Rekayasa Pekerjaan Teknik Sipil Sumber Daya Air, Jasa Rekayasa Pekerjaan Teknik Sipil Transportasi</t>
        </is>
      </c>
      <c r="N50" t="inlineStr">
        <is>
          <t>K</t>
        </is>
      </c>
      <c r="O50" t="inlineStr">
        <is>
          <t>20230908</t>
        </is>
      </c>
      <c r="P50" t="inlineStr">
        <is>
          <t>Kalimantan Selatan</t>
        </is>
      </c>
      <c r="Q50" t="inlineStr"/>
    </row>
    <row r="51">
      <c r="A51" t="inlineStr">
        <is>
          <t>BINTAN SWAKARYA AGUNG</t>
        </is>
      </c>
      <c r="B51" t="inlineStr">
        <is>
          <t>Kota Adm. Jakarta Barat</t>
        </is>
      </c>
      <c r="C51" t="inlineStr">
        <is>
          <t>085369507777</t>
        </is>
      </c>
      <c r="D51" t="inlineStr">
        <is>
          <t>info.bintanswakaryaagung@gmail.com</t>
        </is>
      </c>
      <c r="E51" t="inlineStr">
        <is>
          <t>https://lpjk.pu.go.id/search-badan-usaha-detail/a3daQUIrRWxEdm5JZzV0KytxTWlFUT09</t>
        </is>
      </c>
      <c r="F51" t="n">
        <v>2</v>
      </c>
      <c r="G51" t="inlineStr">
        <is>
          <t>BS013, BS018</t>
        </is>
      </c>
      <c r="H51" t="inlineStr">
        <is>
          <t>30 Maret 2016</t>
        </is>
      </c>
      <c r="I51" s="2" t="n">
        <v>46278</v>
      </c>
      <c r="J51" t="inlineStr">
        <is>
          <t>Pencabutan</t>
        </is>
      </c>
      <c r="K51" t="n">
        <v>60</v>
      </c>
      <c r="L51" t="inlineStr">
        <is>
          <t>13 September 2026</t>
        </is>
      </c>
      <c r="M51" t="inlineStr">
        <is>
          <t>Konstruksi Bangunan Sipil Fasilitas Pengolahan Produk Kimia, Petrokimia, Farmasi, dan Industri Lainnya, Konstruksi Bangunan Sipil Minyak dan Gas Bumi</t>
        </is>
      </c>
      <c r="N51" t="inlineStr">
        <is>
          <t>B</t>
        </is>
      </c>
      <c r="O51" t="inlineStr">
        <is>
          <t>20230831</t>
        </is>
      </c>
      <c r="P51" t="inlineStr">
        <is>
          <t>DKI Jakarta</t>
        </is>
      </c>
      <c r="Q51" t="inlineStr"/>
    </row>
    <row r="52">
      <c r="A52" t="inlineStr">
        <is>
          <t>BINTANG MUDA PERDANA</t>
        </is>
      </c>
      <c r="B52" t="inlineStr">
        <is>
          <t>Kota Banda Aceh</t>
        </is>
      </c>
      <c r="C52" t="inlineStr">
        <is>
          <t>085260102390</t>
        </is>
      </c>
      <c r="D52" t="inlineStr">
        <is>
          <t>bintangmudaperdana@yahoo.co.id</t>
        </is>
      </c>
      <c r="E52" t="inlineStr">
        <is>
          <t>https://lpjk.pu.go.id/search-badan-usaha-detail/WXBuVGxVR0F4M3pwNURicTAyb1diZz09</t>
        </is>
      </c>
      <c r="F52" t="n">
        <v>10</v>
      </c>
      <c r="G52" t="inlineStr">
        <is>
          <t>BG001, BG002, BG005, BG006, BG009</t>
        </is>
      </c>
      <c r="H52" t="inlineStr">
        <is>
          <t>17 September 2009</t>
        </is>
      </c>
      <c r="I52" s="2" t="n">
        <v>46278</v>
      </c>
      <c r="J52" t="inlineStr">
        <is>
          <t>Disetujui</t>
        </is>
      </c>
      <c r="K52" t="n">
        <v>60</v>
      </c>
      <c r="L52" t="inlineStr">
        <is>
          <t>13 September 2026</t>
        </is>
      </c>
      <c r="M52" t="inlineStr">
        <is>
          <t>Konstruksi Gedung Hunian, Konstruksi Gedung Kesehatan, Konstruksi Gedung Lainnya, Konstruksi Gedung Pendidikan, Konstruksi Gedung Perkantoran</t>
        </is>
      </c>
      <c r="N52" t="inlineStr">
        <is>
          <t>K</t>
        </is>
      </c>
      <c r="O52" t="inlineStr">
        <is>
          <t>20230828, 20230908</t>
        </is>
      </c>
      <c r="P52" t="inlineStr">
        <is>
          <t>Aceh</t>
        </is>
      </c>
      <c r="Q52" t="inlineStr"/>
    </row>
    <row r="53">
      <c r="A53" t="inlineStr">
        <is>
          <t>BINTANG SELA</t>
        </is>
      </c>
      <c r="B53" t="inlineStr">
        <is>
          <t>Kab. Pamekasan</t>
        </is>
      </c>
      <c r="C53" t="inlineStr">
        <is>
          <t>087841386988</t>
        </is>
      </c>
      <c r="D53" t="inlineStr">
        <is>
          <t>cv.bintangsela77@gmail.com</t>
        </is>
      </c>
      <c r="E53" t="inlineStr">
        <is>
          <t>https://lpjk.pu.go.id/search-badan-usaha-detail/ZG1xZVlCMFV3NlBMWnFSVmJhUGVNZz09</t>
        </is>
      </c>
      <c r="F53" t="n">
        <v>8</v>
      </c>
      <c r="G53" t="inlineStr">
        <is>
          <t>BG003, BG009, BS001, BS004</t>
        </is>
      </c>
      <c r="H53" t="inlineStr">
        <is>
          <t>7 Juni 2023</t>
        </is>
      </c>
      <c r="I53" s="2" t="n">
        <v>46278</v>
      </c>
      <c r="J53" t="inlineStr">
        <is>
          <t>Disetujui, Pencabutan</t>
        </is>
      </c>
      <c r="K53" t="n">
        <v>60</v>
      </c>
      <c r="L53" t="inlineStr">
        <is>
          <t>13 September 2026</t>
        </is>
      </c>
      <c r="M53" t="inlineStr">
        <is>
          <t>Konstruksi Bangunan Sipil Jalan, Konstruksi Gedung Industri, Konstruksi Gedung Lainnya, Konstruksi Jaringan Irigasi dan Drainase</t>
        </is>
      </c>
      <c r="N53" t="inlineStr">
        <is>
          <t>K</t>
        </is>
      </c>
      <c r="O53" t="inlineStr">
        <is>
          <t>20230914</t>
        </is>
      </c>
      <c r="P53" t="inlineStr">
        <is>
          <t>Jawa Timur</t>
        </is>
      </c>
      <c r="Q53" t="inlineStr"/>
    </row>
    <row r="54">
      <c r="A54" t="inlineStr">
        <is>
          <t>BUKAKA MANDIRI JAYA</t>
        </is>
      </c>
      <c r="B54" t="inlineStr">
        <is>
          <t>Kab. Sragen</t>
        </is>
      </c>
      <c r="C54" t="inlineStr">
        <is>
          <t>085220050305</t>
        </is>
      </c>
      <c r="D54" t="inlineStr">
        <is>
          <t>cvbukaka@yahoo.com</t>
        </is>
      </c>
      <c r="E54" t="inlineStr">
        <is>
          <t>https://lpjk.pu.go.id/search-badan-usaha-detail/Vmw2bFBEWGhtMCtQSlVDc1lUcWdTQT09</t>
        </is>
      </c>
      <c r="F54" t="n">
        <v>1</v>
      </c>
      <c r="G54" t="inlineStr">
        <is>
          <t>BS001</t>
        </is>
      </c>
      <c r="H54" t="inlineStr">
        <is>
          <t>3 Agustus 1999</t>
        </is>
      </c>
      <c r="I54" s="2" t="n">
        <v>46278</v>
      </c>
      <c r="J54" t="inlineStr">
        <is>
          <t>Disetujui</t>
        </is>
      </c>
      <c r="K54" t="n">
        <v>60</v>
      </c>
      <c r="L54" t="inlineStr">
        <is>
          <t>13 September 2026</t>
        </is>
      </c>
      <c r="M54" t="inlineStr">
        <is>
          <t>Konstruksi Bangunan Sipil Jalan</t>
        </is>
      </c>
      <c r="N54" t="inlineStr">
        <is>
          <t>K</t>
        </is>
      </c>
      <c r="O54" t="inlineStr">
        <is>
          <t>20230907</t>
        </is>
      </c>
      <c r="P54" t="inlineStr">
        <is>
          <t>Jawa Tengah</t>
        </is>
      </c>
      <c r="Q54" t="inlineStr"/>
    </row>
    <row r="55">
      <c r="A55" t="inlineStr">
        <is>
          <t>BUKIT SION ITAH</t>
        </is>
      </c>
      <c r="B55" t="inlineStr">
        <is>
          <t>Kota Palangkaraya</t>
        </is>
      </c>
      <c r="C55" t="inlineStr">
        <is>
          <t>081349233207</t>
        </is>
      </c>
      <c r="D55" t="inlineStr">
        <is>
          <t>cvbukitsionitah@gmail.com</t>
        </is>
      </c>
      <c r="E55" t="inlineStr">
        <is>
          <t>https://lpjk.pu.go.id/search-badan-usaha-detail/S0dzc0Q1cnBJSkNSMnpUUHpnbzdSdz09</t>
        </is>
      </c>
      <c r="F55" t="n">
        <v>1</v>
      </c>
      <c r="G55" t="inlineStr">
        <is>
          <t>BS001</t>
        </is>
      </c>
      <c r="H55" t="inlineStr">
        <is>
          <t>3 Agustus 2023</t>
        </is>
      </c>
      <c r="I55" s="2" t="n">
        <v>46278</v>
      </c>
      <c r="J55" t="inlineStr">
        <is>
          <t>Disetujui</t>
        </is>
      </c>
      <c r="K55" t="n">
        <v>60</v>
      </c>
      <c r="L55" t="inlineStr">
        <is>
          <t>13 September 2026</t>
        </is>
      </c>
      <c r="M55" t="inlineStr">
        <is>
          <t>Konstruksi Bangunan Sipil Jalan</t>
        </is>
      </c>
      <c r="N55" t="inlineStr">
        <is>
          <t>K</t>
        </is>
      </c>
      <c r="O55" t="inlineStr">
        <is>
          <t>20230914</t>
        </is>
      </c>
      <c r="P55" t="inlineStr">
        <is>
          <t>Kalimantan Tengah</t>
        </is>
      </c>
      <c r="Q55" t="inlineStr"/>
    </row>
    <row r="56">
      <c r="A56" t="inlineStr">
        <is>
          <t>CAHAYA HATI</t>
        </is>
      </c>
      <c r="B56" t="inlineStr">
        <is>
          <t>Kab. Pamekasan</t>
        </is>
      </c>
      <c r="C56" t="inlineStr">
        <is>
          <t>082140000089</t>
        </is>
      </c>
      <c r="D56" t="inlineStr">
        <is>
          <t>cahayahati0000089@gmail.com</t>
        </is>
      </c>
      <c r="E56" t="inlineStr">
        <is>
          <t>https://lpjk.pu.go.id/search-badan-usaha-detail/VTcvcWVhSldXWHFjTUxTTlRiOXRjQT09</t>
        </is>
      </c>
      <c r="F56" t="n">
        <v>1</v>
      </c>
      <c r="G56" t="inlineStr">
        <is>
          <t>BG001</t>
        </is>
      </c>
      <c r="H56" t="inlineStr">
        <is>
          <t>14 Februari 2014</t>
        </is>
      </c>
      <c r="I56" s="2" t="n">
        <v>46278</v>
      </c>
      <c r="J56" t="inlineStr">
        <is>
          <t>Disetujui</t>
        </is>
      </c>
      <c r="K56" t="n">
        <v>60</v>
      </c>
      <c r="L56" t="inlineStr">
        <is>
          <t>13 September 2026</t>
        </is>
      </c>
      <c r="M56" t="inlineStr">
        <is>
          <t>Konstruksi Gedung Hunian</t>
        </is>
      </c>
      <c r="N56" t="inlineStr">
        <is>
          <t>K</t>
        </is>
      </c>
      <c r="O56" t="inlineStr">
        <is>
          <t>20230913</t>
        </is>
      </c>
      <c r="P56" t="inlineStr">
        <is>
          <t>Jawa Timur</t>
        </is>
      </c>
      <c r="Q56" t="inlineStr"/>
    </row>
    <row r="57">
      <c r="A57" t="inlineStr">
        <is>
          <t>CAHAYA TIGA PUTRA</t>
        </is>
      </c>
      <c r="B57" t="inlineStr">
        <is>
          <t>Kota Makassar</t>
        </is>
      </c>
      <c r="C57" t="inlineStr">
        <is>
          <t>08114446898</t>
        </is>
      </c>
      <c r="D57" t="inlineStr">
        <is>
          <t>cv.cahayatigaputra@gmail.com</t>
        </is>
      </c>
      <c r="E57" t="inlineStr">
        <is>
          <t>https://lpjk.pu.go.id/search-badan-usaha-detail/ZnV5NmlyUGZqNmo5UmNIN1VDWEhCQT09</t>
        </is>
      </c>
      <c r="F57" t="n">
        <v>1</v>
      </c>
      <c r="G57" t="inlineStr">
        <is>
          <t>BS004</t>
        </is>
      </c>
      <c r="H57" t="inlineStr">
        <is>
          <t>26 Februari 2019</t>
        </is>
      </c>
      <c r="I57" s="2" t="n">
        <v>46278</v>
      </c>
      <c r="J57" t="inlineStr">
        <is>
          <t>Disetujui</t>
        </is>
      </c>
      <c r="K57" t="n">
        <v>60</v>
      </c>
      <c r="L57" t="inlineStr">
        <is>
          <t>13 September 2026</t>
        </is>
      </c>
      <c r="M57" t="inlineStr">
        <is>
          <t>Konstruksi Jaringan Irigasi dan Drainase</t>
        </is>
      </c>
      <c r="N57" t="inlineStr">
        <is>
          <t>K</t>
        </is>
      </c>
      <c r="O57" t="inlineStr">
        <is>
          <t>20230910</t>
        </is>
      </c>
      <c r="P57" t="inlineStr">
        <is>
          <t>Sulawesi Selatan</t>
        </is>
      </c>
      <c r="Q57" t="inlineStr"/>
    </row>
    <row r="58">
      <c r="A58" t="inlineStr">
        <is>
          <t>CANTIKA AERO INDONESIA</t>
        </is>
      </c>
      <c r="B58" t="inlineStr">
        <is>
          <t>Kab. Belitung Timur</t>
        </is>
      </c>
      <c r="C58" t="inlineStr">
        <is>
          <t>081353010303</t>
        </is>
      </c>
      <c r="D58" t="inlineStr">
        <is>
          <t>pt_cantikaaeroindonesia@yahoo.com</t>
        </is>
      </c>
      <c r="E58" t="inlineStr">
        <is>
          <t>https://lpjk.pu.go.id/search-badan-usaha-detail/ODFOVDJ4MEo1bG51OFd0N3dVMGdWZz09</t>
        </is>
      </c>
      <c r="F58" t="n">
        <v>1</v>
      </c>
      <c r="G58" t="inlineStr">
        <is>
          <t>BG005</t>
        </is>
      </c>
      <c r="H58" t="inlineStr">
        <is>
          <t>9 Juli 2020</t>
        </is>
      </c>
      <c r="I58" s="2" t="n">
        <v>46278</v>
      </c>
      <c r="J58" t="inlineStr">
        <is>
          <t>Pencabutan</t>
        </is>
      </c>
      <c r="K58" t="n">
        <v>60</v>
      </c>
      <c r="L58" t="inlineStr">
        <is>
          <t>13 September 2026</t>
        </is>
      </c>
      <c r="M58" t="inlineStr">
        <is>
          <t>Konstruksi Gedung Kesehatan</t>
        </is>
      </c>
      <c r="N58" t="inlineStr">
        <is>
          <t>K</t>
        </is>
      </c>
      <c r="O58" t="inlineStr">
        <is>
          <t>20230907</t>
        </is>
      </c>
      <c r="P58" t="inlineStr">
        <is>
          <t>Kepulauan Bangka Belitung</t>
        </is>
      </c>
      <c r="Q58" t="inlineStr"/>
    </row>
    <row r="59">
      <c r="A59" t="inlineStr">
        <is>
          <t>CIPTA ADI GRAHA</t>
        </is>
      </c>
      <c r="B59" t="inlineStr">
        <is>
          <t>Kota Pekanbaru</t>
        </is>
      </c>
      <c r="C59" t="inlineStr">
        <is>
          <t>081378754298</t>
        </is>
      </c>
      <c r="D59" t="inlineStr">
        <is>
          <t>ciptadigrha@yahoo.co.id</t>
        </is>
      </c>
      <c r="E59" t="inlineStr">
        <is>
          <t>https://lpjk.pu.go.id/search-badan-usaha-detail/WnI1ejJqTnBlNFhvbXZ4aE9pOXZHdz09</t>
        </is>
      </c>
      <c r="F59" t="n">
        <v>18</v>
      </c>
      <c r="G59" t="inlineStr">
        <is>
          <t>BG001, BG002, BG003, BG004, BG005, BG006, BG007, BG008, BG009</t>
        </is>
      </c>
      <c r="H59" t="inlineStr">
        <is>
          <t>24 Juni 2013</t>
        </is>
      </c>
      <c r="I59" s="2" t="n">
        <v>46278</v>
      </c>
      <c r="J59" t="inlineStr">
        <is>
          <t>Disetujui, Pencabutan</t>
        </is>
      </c>
      <c r="K59" t="n">
        <v>60</v>
      </c>
      <c r="L59" t="inlineStr">
        <is>
          <t>13 September 2026</t>
        </is>
      </c>
      <c r="M59" t="inlineStr">
        <is>
          <t>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59" t="inlineStr">
        <is>
          <t>K</t>
        </is>
      </c>
      <c r="O59" t="inlineStr">
        <is>
          <t>20230905, 20230914</t>
        </is>
      </c>
      <c r="P59" t="inlineStr">
        <is>
          <t>Riau</t>
        </is>
      </c>
      <c r="Q59" t="inlineStr"/>
    </row>
    <row r="60">
      <c r="A60" t="inlineStr">
        <is>
          <t>CIPTA DEKOR INDAH</t>
        </is>
      </c>
      <c r="B60" t="inlineStr">
        <is>
          <t>Kota Adm. Jakarta Barat</t>
        </is>
      </c>
      <c r="C60" t="inlineStr">
        <is>
          <t>08159123469</t>
        </is>
      </c>
      <c r="D60" t="inlineStr">
        <is>
          <t>pt.cipta.dekor.indah@gmail.com</t>
        </is>
      </c>
      <c r="E60" t="inlineStr">
        <is>
          <t>https://lpjk.pu.go.id/search-badan-usaha-detail/NWp0QWQrN3V6Z296VkI1TDROb0wxUT09</t>
        </is>
      </c>
      <c r="F60" t="n">
        <v>2</v>
      </c>
      <c r="G60" t="inlineStr">
        <is>
          <t>PB004</t>
        </is>
      </c>
      <c r="H60" t="inlineStr">
        <is>
          <t>7 Agustus 2009</t>
        </is>
      </c>
      <c r="I60" s="2" t="n">
        <v>46278</v>
      </c>
      <c r="J60" t="inlineStr">
        <is>
          <t>Pembekuan</t>
        </is>
      </c>
      <c r="K60" t="n">
        <v>60</v>
      </c>
      <c r="L60" t="inlineStr">
        <is>
          <t>13 September 2026</t>
        </is>
      </c>
      <c r="M60" t="inlineStr">
        <is>
          <t>Dekorasi Interior</t>
        </is>
      </c>
      <c r="N60" t="inlineStr">
        <is>
          <t>Spesialis</t>
        </is>
      </c>
      <c r="O60" t="inlineStr">
        <is>
          <t>20230905</t>
        </is>
      </c>
      <c r="P60" t="inlineStr">
        <is>
          <t>DKI Jakarta</t>
        </is>
      </c>
      <c r="Q60" t="inlineStr"/>
    </row>
    <row r="61">
      <c r="A61" t="inlineStr">
        <is>
          <t>CIPTA TOTABUAN CONSULTINDO</t>
        </is>
      </c>
      <c r="B61" t="inlineStr">
        <is>
          <t>Kota Kotamobagu</t>
        </is>
      </c>
      <c r="C61" t="inlineStr">
        <is>
          <t>085299944456</t>
        </is>
      </c>
      <c r="D61" t="inlineStr">
        <is>
          <t>ctckotamobagu@gmail.com</t>
        </is>
      </c>
      <c r="E61" t="inlineStr">
        <is>
          <t>https://lpjk.pu.go.id/search-badan-usaha-detail/NjJ1RmlkbXZpRldxdkRlclBkWUR6Zz09</t>
        </is>
      </c>
      <c r="F61" t="n">
        <v>2</v>
      </c>
      <c r="G61" t="inlineStr">
        <is>
          <t>AR001</t>
        </is>
      </c>
      <c r="H61" t="inlineStr">
        <is>
          <t>13 Desember 2014</t>
        </is>
      </c>
      <c r="I61" s="2" t="n">
        <v>46278</v>
      </c>
      <c r="J61" t="inlineStr">
        <is>
          <t>Disetujui</t>
        </is>
      </c>
      <c r="K61" t="n">
        <v>60</v>
      </c>
      <c r="L61" t="inlineStr">
        <is>
          <t>13 September 2026</t>
        </is>
      </c>
      <c r="M61" t="inlineStr">
        <is>
          <t>Jasa Arsitektural Bangunan Gedung Hunian dan Non Hunian</t>
        </is>
      </c>
      <c r="N61" t="inlineStr">
        <is>
          <t>K</t>
        </is>
      </c>
      <c r="O61" t="inlineStr">
        <is>
          <t>20230812</t>
        </is>
      </c>
      <c r="P61" t="inlineStr">
        <is>
          <t>Sulawesi Utara</t>
        </is>
      </c>
      <c r="Q61" t="inlineStr"/>
    </row>
    <row r="62">
      <c r="A62" t="inlineStr">
        <is>
          <t>CND GEOTEKNIKA</t>
        </is>
      </c>
      <c r="B62" t="inlineStr">
        <is>
          <t>Kota Cimahi</t>
        </is>
      </c>
      <c r="C62" t="inlineStr">
        <is>
          <t>022-6611917</t>
        </is>
      </c>
      <c r="D62" t="inlineStr">
        <is>
          <t>cndoffice@gmail.com</t>
        </is>
      </c>
      <c r="E62" t="inlineStr">
        <is>
          <t>https://lpjk.pu.go.id/search-badan-usaha-detail/UWdkN1RYcDEzZ1QwR3Jqa2MwSFJNZz09</t>
        </is>
      </c>
      <c r="F62" t="n">
        <v>1</v>
      </c>
      <c r="G62" t="inlineStr">
        <is>
          <t>PL003</t>
        </is>
      </c>
      <c r="H62" t="inlineStr">
        <is>
          <t>16 Maret 2002</t>
        </is>
      </c>
      <c r="I62" s="2" t="n">
        <v>46278</v>
      </c>
      <c r="J62" t="inlineStr">
        <is>
          <t>Disetujui</t>
        </is>
      </c>
      <c r="K62" t="n">
        <v>60</v>
      </c>
      <c r="L62" t="inlineStr">
        <is>
          <t>13 September 2026</t>
        </is>
      </c>
      <c r="M62" t="inlineStr">
        <is>
          <t>Penyiapan Lahan Konstruksi</t>
        </is>
      </c>
      <c r="N62" t="inlineStr">
        <is>
          <t>Spesialis</t>
        </is>
      </c>
      <c r="O62" t="inlineStr">
        <is>
          <t>20230905</t>
        </is>
      </c>
      <c r="P62" t="inlineStr">
        <is>
          <t>Jawa Barat</t>
        </is>
      </c>
      <c r="Q62" t="inlineStr"/>
    </row>
    <row r="63">
      <c r="A63" t="inlineStr">
        <is>
          <t>CV. GLOBAL KREATIF KONSULTAN</t>
        </is>
      </c>
      <c r="B63" t="inlineStr">
        <is>
          <t>Kota Tanjung Pinang</t>
        </is>
      </c>
      <c r="C63" t="inlineStr">
        <is>
          <t>81364707013</t>
        </is>
      </c>
      <c r="D63" t="inlineStr">
        <is>
          <t>kglobalkreatif@gmail.com</t>
        </is>
      </c>
      <c r="E63" t="inlineStr">
        <is>
          <t>https://lpjk.pu.go.id/search-badan-usaha-detail/Rm4vUDFRaHpuQnNiSjBza3BhbWdIQT09</t>
        </is>
      </c>
      <c r="F63" t="n">
        <v>1</v>
      </c>
      <c r="G63" t="inlineStr">
        <is>
          <t>RK001</t>
        </is>
      </c>
      <c r="H63" t="inlineStr">
        <is>
          <t>16 Januari 2019</t>
        </is>
      </c>
      <c r="I63" s="2" t="n">
        <v>46278</v>
      </c>
      <c r="J63" t="inlineStr">
        <is>
          <t>Disetujui</t>
        </is>
      </c>
      <c r="K63" t="n">
        <v>60</v>
      </c>
      <c r="L63" t="inlineStr">
        <is>
          <t>13 September 2026</t>
        </is>
      </c>
      <c r="M63" t="inlineStr">
        <is>
          <t>Jasa Rekayasa Konstruksi Bangunan Gedung Hunian dan Non Hunian</t>
        </is>
      </c>
      <c r="N63" t="inlineStr">
        <is>
          <t>K</t>
        </is>
      </c>
      <c r="O63" t="inlineStr">
        <is>
          <t>20230816</t>
        </is>
      </c>
      <c r="P63" t="inlineStr">
        <is>
          <t>Kepulauan Riau</t>
        </is>
      </c>
      <c r="Q63" t="inlineStr"/>
    </row>
    <row r="64">
      <c r="A64" t="inlineStr">
        <is>
          <t>CV. KHATAMI</t>
        </is>
      </c>
      <c r="B64" t="inlineStr">
        <is>
          <t>Kab. Aceh Utara</t>
        </is>
      </c>
      <c r="C64" t="inlineStr">
        <is>
          <t>085288613329</t>
        </is>
      </c>
      <c r="D64" t="inlineStr">
        <is>
          <t>khatami_alpbkt@yahoo.com</t>
        </is>
      </c>
      <c r="E64" t="inlineStr">
        <is>
          <t>https://lpjk.pu.go.id/search-badan-usaha-detail/M3JlWWRTWkFTU25VVHdkNi83U2dCQT09</t>
        </is>
      </c>
      <c r="F64" t="n">
        <v>10</v>
      </c>
      <c r="G64" t="inlineStr">
        <is>
          <t>BG001, BG002, BG005, BG006, BG009, BS001, BS004</t>
        </is>
      </c>
      <c r="H64" t="inlineStr">
        <is>
          <t>6 Februari 2007</t>
        </is>
      </c>
      <c r="I64" s="2" t="n">
        <v>46278</v>
      </c>
      <c r="J64" t="inlineStr">
        <is>
          <t>Disetujui</t>
        </is>
      </c>
      <c r="K64" t="n">
        <v>60</v>
      </c>
      <c r="L64" t="inlineStr">
        <is>
          <t>13 September 2026</t>
        </is>
      </c>
      <c r="M64" t="inlineStr">
        <is>
          <t>Konstruksi Bangunan Sipil Jalan, Konstruksi Gedung Hunian, Konstruksi Gedung Kesehatan, Konstruksi Gedung Lainnya, Konstruksi Gedung Pendidikan, Konstruksi Gedung Perkantoran, Konstruksi Jaringan Irigasi dan Drainase</t>
        </is>
      </c>
      <c r="N64" t="inlineStr">
        <is>
          <t>K</t>
        </is>
      </c>
      <c r="O64" t="inlineStr">
        <is>
          <t>20230831, 20230904, 20230907</t>
        </is>
      </c>
      <c r="P64" t="inlineStr">
        <is>
          <t>Aceh</t>
        </is>
      </c>
      <c r="Q64" t="inlineStr"/>
    </row>
    <row r="65">
      <c r="A65" t="inlineStr">
        <is>
          <t>DADI JOYO</t>
        </is>
      </c>
      <c r="B65" t="inlineStr">
        <is>
          <t>Kota Pasuruan</t>
        </is>
      </c>
      <c r="C65" t="inlineStr">
        <is>
          <t>082141739192</t>
        </is>
      </c>
      <c r="D65" t="inlineStr">
        <is>
          <t>cv.dadijoyo@yahoo.com</t>
        </is>
      </c>
      <c r="E65" t="inlineStr">
        <is>
          <t>https://lpjk.pu.go.id/search-badan-usaha-detail/c3FhekJSNFgxREdjd1F4YStIV0RhQT09</t>
        </is>
      </c>
      <c r="F65" t="n">
        <v>3</v>
      </c>
      <c r="G65" t="inlineStr">
        <is>
          <t>BG005, BG006, BS004</t>
        </is>
      </c>
      <c r="H65" t="inlineStr">
        <is>
          <t>7 September 2001</t>
        </is>
      </c>
      <c r="I65" s="2" t="n">
        <v>46278</v>
      </c>
      <c r="J65" t="inlineStr">
        <is>
          <t>Disetujui</t>
        </is>
      </c>
      <c r="K65" t="n">
        <v>60</v>
      </c>
      <c r="L65" t="inlineStr">
        <is>
          <t>13 September 2026</t>
        </is>
      </c>
      <c r="M65" t="inlineStr">
        <is>
          <t>Konstruksi Gedung Kesehatan, Konstruksi Gedung Pendidikan, Konstruksi Jaringan Irigasi dan Drainase</t>
        </is>
      </c>
      <c r="N65" t="inlineStr">
        <is>
          <t>K</t>
        </is>
      </c>
      <c r="O65" t="inlineStr">
        <is>
          <t>20230904, 20230905</t>
        </is>
      </c>
      <c r="P65" t="inlineStr">
        <is>
          <t>Jawa Timur</t>
        </is>
      </c>
      <c r="Q65" t="inlineStr"/>
    </row>
    <row r="66">
      <c r="A66" t="inlineStr">
        <is>
          <t>DARMA MEGATAMA MANDIRI</t>
        </is>
      </c>
      <c r="B66" t="inlineStr">
        <is>
          <t>Kota Jambi</t>
        </is>
      </c>
      <c r="C66" t="inlineStr">
        <is>
          <t>08126718282</t>
        </is>
      </c>
      <c r="D66" t="inlineStr">
        <is>
          <t>darma.megatama.mandiri.cv@gmail.com</t>
        </is>
      </c>
      <c r="E66" t="inlineStr">
        <is>
          <t>https://lpjk.pu.go.id/search-badan-usaha-detail/Z0hNWTlhNW1NbzVBR2pGaUdkTitpQT09</t>
        </is>
      </c>
      <c r="F66" t="n">
        <v>1</v>
      </c>
      <c r="G66" t="inlineStr">
        <is>
          <t>RK001</t>
        </is>
      </c>
      <c r="H66" t="inlineStr">
        <is>
          <t>15 Januari 2007</t>
        </is>
      </c>
      <c r="I66" s="2" t="n">
        <v>46278</v>
      </c>
      <c r="J66" t="inlineStr">
        <is>
          <t>Disetujui</t>
        </is>
      </c>
      <c r="K66" t="n">
        <v>60</v>
      </c>
      <c r="L66" t="inlineStr">
        <is>
          <t>13 September 2026</t>
        </is>
      </c>
      <c r="M66" t="inlineStr">
        <is>
          <t>Jasa Rekayasa Konstruksi Bangunan Gedung Hunian dan Non Hunian</t>
        </is>
      </c>
      <c r="N66" t="inlineStr">
        <is>
          <t>K</t>
        </is>
      </c>
      <c r="O66" t="inlineStr">
        <is>
          <t>20230905</t>
        </is>
      </c>
      <c r="P66" t="inlineStr">
        <is>
          <t>Jambi</t>
        </is>
      </c>
      <c r="Q66" t="inlineStr"/>
    </row>
    <row r="67">
      <c r="A67" t="inlineStr">
        <is>
          <t>DAYA NUSANTARA ADYATAMA</t>
        </is>
      </c>
      <c r="B67" t="inlineStr">
        <is>
          <t>Kab. Bojonegoro</t>
        </is>
      </c>
      <c r="C67" t="inlineStr">
        <is>
          <t>-</t>
        </is>
      </c>
      <c r="D67" t="inlineStr">
        <is>
          <t>dayanusantaraadyatama.cv@gmail.com</t>
        </is>
      </c>
      <c r="E67" t="inlineStr">
        <is>
          <t>https://lpjk.pu.go.id/search-badan-usaha-detail/bkFqNlNVL0dVNzA5RjBPYzJOQXVqdz09</t>
        </is>
      </c>
      <c r="F67" t="n">
        <v>1</v>
      </c>
      <c r="G67" t="inlineStr">
        <is>
          <t>BS001</t>
        </is>
      </c>
      <c r="H67" t="inlineStr">
        <is>
          <t>27 Juli 2017</t>
        </is>
      </c>
      <c r="I67" s="2" t="n">
        <v>46278</v>
      </c>
      <c r="J67" t="inlineStr">
        <is>
          <t>Pencabutan</t>
        </is>
      </c>
      <c r="K67" t="n">
        <v>60</v>
      </c>
      <c r="L67" t="inlineStr">
        <is>
          <t>13 September 2026</t>
        </is>
      </c>
      <c r="M67" t="inlineStr">
        <is>
          <t>Konstruksi Bangunan Sipil Jalan</t>
        </is>
      </c>
      <c r="N67" t="inlineStr">
        <is>
          <t>K</t>
        </is>
      </c>
      <c r="O67" t="inlineStr">
        <is>
          <t>20230724</t>
        </is>
      </c>
      <c r="P67" t="inlineStr">
        <is>
          <t>Jawa Timur</t>
        </is>
      </c>
      <c r="Q67" t="inlineStr"/>
    </row>
    <row r="68">
      <c r="A68" t="inlineStr">
        <is>
          <t>DIAN AYU SEJAHTERA</t>
        </is>
      </c>
      <c r="B68" t="inlineStr">
        <is>
          <t>Kab. Sigi</t>
        </is>
      </c>
      <c r="C68" t="inlineStr">
        <is>
          <t>081320216867</t>
        </is>
      </c>
      <c r="D68" t="inlineStr">
        <is>
          <t>dianayusejahtera@yahoo.co.id</t>
        </is>
      </c>
      <c r="E68" t="inlineStr">
        <is>
          <t>https://lpjk.pu.go.id/search-badan-usaha-detail/T3Q3SDJLcGMwWjdhSlNabU5oSDRZQT09</t>
        </is>
      </c>
      <c r="F68" t="n">
        <v>4</v>
      </c>
      <c r="G68" t="inlineStr">
        <is>
          <t>BG001, BG004, BG007, BG008</t>
        </is>
      </c>
      <c r="H68" t="inlineStr">
        <is>
          <t>8 November 1994</t>
        </is>
      </c>
      <c r="I68" s="2" t="n">
        <v>46278</v>
      </c>
      <c r="J68" t="inlineStr">
        <is>
          <t>Disetujui</t>
        </is>
      </c>
      <c r="K68" t="n">
        <v>60</v>
      </c>
      <c r="L68" t="inlineStr">
        <is>
          <t>13 September 2026</t>
        </is>
      </c>
      <c r="M68" t="inlineStr">
        <is>
          <t>Konstruksi Gedung Hunian, Konstruksi Gedung Penginapan, Konstruksi Gedung Perbelanjaan, Konstruksi Gedung Tempat Hiburan dan Olahraga</t>
        </is>
      </c>
      <c r="N68" t="inlineStr">
        <is>
          <t>K</t>
        </is>
      </c>
      <c r="O68" t="inlineStr">
        <is>
          <t>20230914</t>
        </is>
      </c>
      <c r="P68" t="inlineStr">
        <is>
          <t>Sulawesi Tengah</t>
        </is>
      </c>
      <c r="Q68" t="inlineStr"/>
    </row>
    <row r="69">
      <c r="A69" t="inlineStr">
        <is>
          <t>DINAR CONSULTANT</t>
        </is>
      </c>
      <c r="B69" t="inlineStr">
        <is>
          <t>Kota Bandar Lampung</t>
        </is>
      </c>
      <c r="C69" t="inlineStr">
        <is>
          <t>0</t>
        </is>
      </c>
      <c r="D69" t="inlineStr">
        <is>
          <t>dinarconsultant.cv@yahoo.com</t>
        </is>
      </c>
      <c r="E69" t="inlineStr">
        <is>
          <t>https://lpjk.pu.go.id/search-badan-usaha-detail/MUFVM05FWmlNdlN5REVMczIreVdrdz09</t>
        </is>
      </c>
      <c r="F69" t="n">
        <v>3</v>
      </c>
      <c r="G69" t="inlineStr">
        <is>
          <t>RK001</t>
        </is>
      </c>
      <c r="H69" t="inlineStr">
        <is>
          <t>27 September 2005</t>
        </is>
      </c>
      <c r="I69" s="2" t="n">
        <v>46278</v>
      </c>
      <c r="J69" t="inlineStr">
        <is>
          <t>Pencabutan</t>
        </is>
      </c>
      <c r="K69" t="n">
        <v>60</v>
      </c>
      <c r="L69" t="inlineStr">
        <is>
          <t>13 September 2026</t>
        </is>
      </c>
      <c r="M69" t="inlineStr">
        <is>
          <t>Jasa Rekayasa Konstruksi Bangunan Gedung Hunian dan Non Hunian</t>
        </is>
      </c>
      <c r="N69" t="inlineStr">
        <is>
          <t>K</t>
        </is>
      </c>
      <c r="O69" t="inlineStr">
        <is>
          <t>20230830</t>
        </is>
      </c>
      <c r="P69" t="inlineStr">
        <is>
          <t>Lampung</t>
        </is>
      </c>
      <c r="Q69" t="inlineStr"/>
    </row>
    <row r="70">
      <c r="A70" t="inlineStr">
        <is>
          <t>DUA SATU BERSAUDARA</t>
        </is>
      </c>
      <c r="B70" t="inlineStr">
        <is>
          <t>Kota Cilegon</t>
        </is>
      </c>
      <c r="C70" t="inlineStr">
        <is>
          <t>083192333904</t>
        </is>
      </c>
      <c r="D70" t="inlineStr">
        <is>
          <t>lsbubanten@gmail.com</t>
        </is>
      </c>
      <c r="E70" t="inlineStr">
        <is>
          <t>https://lpjk.pu.go.id/search-badan-usaha-detail/SU9icFVRSWFWRXhUdkQwbC9ud1RMUT09</t>
        </is>
      </c>
      <c r="F70" t="n">
        <v>2</v>
      </c>
      <c r="G70" t="inlineStr">
        <is>
          <t>BG001</t>
        </is>
      </c>
      <c r="H70" t="inlineStr">
        <is>
          <t>28 Januari 2022</t>
        </is>
      </c>
      <c r="I70" s="2" t="n">
        <v>46278</v>
      </c>
      <c r="J70" t="inlineStr">
        <is>
          <t>Pencabutan</t>
        </is>
      </c>
      <c r="K70" t="n">
        <v>60</v>
      </c>
      <c r="L70" t="inlineStr">
        <is>
          <t>13 September 2026</t>
        </is>
      </c>
      <c r="M70" t="inlineStr">
        <is>
          <t>Konstruksi Gedung Hunian</t>
        </is>
      </c>
      <c r="N70" t="inlineStr">
        <is>
          <t>K</t>
        </is>
      </c>
      <c r="O70" t="inlineStr">
        <is>
          <t>20230824</t>
        </is>
      </c>
      <c r="P70" t="inlineStr">
        <is>
          <t>Banten</t>
        </is>
      </c>
      <c r="Q70" t="inlineStr"/>
    </row>
    <row r="71">
      <c r="A71" t="inlineStr">
        <is>
          <t>DZAKIR KONSULTAN</t>
        </is>
      </c>
      <c r="B71" t="inlineStr">
        <is>
          <t>Kab. Sumbawa Barat</t>
        </is>
      </c>
      <c r="C71" t="inlineStr">
        <is>
          <t>082187824747</t>
        </is>
      </c>
      <c r="D71" t="inlineStr">
        <is>
          <t>cvdzakir@yahoo.com</t>
        </is>
      </c>
      <c r="E71" t="inlineStr">
        <is>
          <t>https://lpjk.pu.go.id/search-badan-usaha-detail/K0NhVXZUbXJIQUtZS2pNRFB2N0RLdz09</t>
        </is>
      </c>
      <c r="F71" t="n">
        <v>1</v>
      </c>
      <c r="G71" t="inlineStr">
        <is>
          <t>RK002</t>
        </is>
      </c>
      <c r="H71" t="inlineStr">
        <is>
          <t>24 November 2018</t>
        </is>
      </c>
      <c r="I71" s="2" t="n">
        <v>46278</v>
      </c>
      <c r="J71" t="inlineStr">
        <is>
          <t>Disetujui</t>
        </is>
      </c>
      <c r="K71" t="n">
        <v>60</v>
      </c>
      <c r="L71" t="inlineStr">
        <is>
          <t>13 September 2026</t>
        </is>
      </c>
      <c r="M71" t="inlineStr">
        <is>
          <t>Jasa Rekayasa Pekerjaan Teknik Sipil Sumber Daya Air</t>
        </is>
      </c>
      <c r="N71" t="inlineStr">
        <is>
          <t>K</t>
        </is>
      </c>
      <c r="O71" t="inlineStr">
        <is>
          <t>20230829</t>
        </is>
      </c>
      <c r="P71" t="inlineStr">
        <is>
          <t>Nusa Tenggara Barat</t>
        </is>
      </c>
      <c r="Q71" t="inlineStr"/>
    </row>
    <row r="72">
      <c r="A72" t="inlineStr">
        <is>
          <t>EDELWEISS RAKKA ARJUNA</t>
        </is>
      </c>
      <c r="B72" t="inlineStr">
        <is>
          <t>Kab. Bojonegoro</t>
        </is>
      </c>
      <c r="C72" t="inlineStr">
        <is>
          <t>085158079005</t>
        </is>
      </c>
      <c r="D72" t="inlineStr">
        <is>
          <t>edelweissrakkaarjuna@gmail.com</t>
        </is>
      </c>
      <c r="E72" t="inlineStr">
        <is>
          <t>https://lpjk.pu.go.id/search-badan-usaha-detail/V3pVTmxJMytKMENVaUs5SkxMNXE2Zz09</t>
        </is>
      </c>
      <c r="F72" t="n">
        <v>2</v>
      </c>
      <c r="G72" t="inlineStr">
        <is>
          <t>BG001</t>
        </is>
      </c>
      <c r="H72" t="inlineStr">
        <is>
          <t>6 Desember 2022</t>
        </is>
      </c>
      <c r="I72" s="2" t="n">
        <v>46278</v>
      </c>
      <c r="J72" t="inlineStr">
        <is>
          <t>Disetujui</t>
        </is>
      </c>
      <c r="K72" t="n">
        <v>60</v>
      </c>
      <c r="L72" t="inlineStr">
        <is>
          <t>13 September 2026</t>
        </is>
      </c>
      <c r="M72" t="inlineStr">
        <is>
          <t>Konstruksi Gedung Hunian</t>
        </is>
      </c>
      <c r="N72" t="inlineStr">
        <is>
          <t>K</t>
        </is>
      </c>
      <c r="O72" t="inlineStr">
        <is>
          <t>20230913</t>
        </is>
      </c>
      <c r="P72" t="inlineStr">
        <is>
          <t>Jawa Timur</t>
        </is>
      </c>
      <c r="Q72" t="inlineStr"/>
    </row>
    <row r="73">
      <c r="A73" t="inlineStr">
        <is>
          <t>ELSAMBA PUTRA</t>
        </is>
      </c>
      <c r="B73" t="inlineStr">
        <is>
          <t>Kab. Cilacap</t>
        </is>
      </c>
      <c r="C73" t="inlineStr">
        <is>
          <t>0282545519</t>
        </is>
      </c>
      <c r="D73" t="inlineStr">
        <is>
          <t>elsambaputra@gmail.com</t>
        </is>
      </c>
      <c r="E73" t="inlineStr">
        <is>
          <t>https://lpjk.pu.go.id/search-badan-usaha-detail/NXU5Q1BFR2E2OHRZUXFDekR6eEFUdz09</t>
        </is>
      </c>
      <c r="F73" t="n">
        <v>3</v>
      </c>
      <c r="G73" t="inlineStr">
        <is>
          <t>BG001, BG003, IN004</t>
        </is>
      </c>
      <c r="H73" t="inlineStr">
        <is>
          <t>22 Juni 2012</t>
        </is>
      </c>
      <c r="I73" s="2" t="n">
        <v>46278</v>
      </c>
      <c r="J73" t="inlineStr">
        <is>
          <t>Disetujui</t>
        </is>
      </c>
      <c r="K73" t="n">
        <v>60</v>
      </c>
      <c r="L73" t="inlineStr">
        <is>
          <t>13 September 2026</t>
        </is>
      </c>
      <c r="M73" t="inlineStr">
        <is>
          <t>Instalasi Minyak dan Gas, Konstruksi Gedung Hunian, Konstruksi Gedung Industri</t>
        </is>
      </c>
      <c r="N73" t="inlineStr">
        <is>
          <t>M, Spesialis</t>
        </is>
      </c>
      <c r="O73" t="inlineStr">
        <is>
          <t>20230822, 20230907</t>
        </is>
      </c>
      <c r="P73" t="inlineStr">
        <is>
          <t>Jawa Tengah</t>
        </is>
      </c>
      <c r="Q73" t="inlineStr"/>
    </row>
    <row r="74">
      <c r="A74" t="inlineStr">
        <is>
          <t>EMPAT PILAR KONSULTAN</t>
        </is>
      </c>
      <c r="B74" t="inlineStr">
        <is>
          <t>Kab. Lombok Barat</t>
        </is>
      </c>
      <c r="C74" t="inlineStr">
        <is>
          <t>081260779359</t>
        </is>
      </c>
      <c r="D74" t="inlineStr">
        <is>
          <t>empatpilar20@gmail.com</t>
        </is>
      </c>
      <c r="E74" t="inlineStr">
        <is>
          <t>https://lpjk.pu.go.id/search-badan-usaha-detail/ajQ2WVh2NHVCU3RNVEdLenlmdWkvQT09</t>
        </is>
      </c>
      <c r="F74" t="n">
        <v>2</v>
      </c>
      <c r="G74" t="inlineStr">
        <is>
          <t>RK001, RK002</t>
        </is>
      </c>
      <c r="H74" t="inlineStr">
        <is>
          <t>10 Juni 2020</t>
        </is>
      </c>
      <c r="I74" s="2" t="n">
        <v>46278</v>
      </c>
      <c r="J74" t="inlineStr">
        <is>
          <t>Disetujui</t>
        </is>
      </c>
      <c r="K74" t="n">
        <v>60</v>
      </c>
      <c r="L74" t="inlineStr">
        <is>
          <t>13 September 2026</t>
        </is>
      </c>
      <c r="M74" t="inlineStr">
        <is>
          <t>Jasa Rekayasa Konstruksi Bangunan Gedung Hunian dan Non Hunian, Jasa Rekayasa Pekerjaan Teknik Sipil Sumber Daya Air</t>
        </is>
      </c>
      <c r="N74" t="inlineStr">
        <is>
          <t>K</t>
        </is>
      </c>
      <c r="O74" t="inlineStr">
        <is>
          <t>20230821, 20230823</t>
        </is>
      </c>
      <c r="P74" t="inlineStr">
        <is>
          <t>Nusa Tenggara Barat</t>
        </is>
      </c>
      <c r="Q74" t="inlineStr"/>
    </row>
    <row r="75">
      <c r="A75" t="inlineStr">
        <is>
          <t>ENJINIRING PILAR CAKRAWALA</t>
        </is>
      </c>
      <c r="B75" t="inlineStr">
        <is>
          <t>Kota Bandung</t>
        </is>
      </c>
      <c r="C75" t="inlineStr">
        <is>
          <t>082121926548</t>
        </is>
      </c>
      <c r="D75" t="inlineStr">
        <is>
          <t>admin@epicstudio.co.id</t>
        </is>
      </c>
      <c r="E75" t="inlineStr">
        <is>
          <t>https://lpjk.pu.go.id/search-badan-usaha-detail/VnZqdTZ3UlRLUkdnNmlvakVsL0dOdz09</t>
        </is>
      </c>
      <c r="F75" t="n">
        <v>2</v>
      </c>
      <c r="G75" t="inlineStr">
        <is>
          <t>RK003</t>
        </is>
      </c>
      <c r="H75" t="inlineStr">
        <is>
          <t>7 November 2017</t>
        </is>
      </c>
      <c r="I75" s="2" t="n">
        <v>46278</v>
      </c>
      <c r="J75" t="inlineStr">
        <is>
          <t>Disetujui</t>
        </is>
      </c>
      <c r="K75" t="n">
        <v>60</v>
      </c>
      <c r="L75" t="inlineStr">
        <is>
          <t>13 September 2026</t>
        </is>
      </c>
      <c r="M75" t="inlineStr">
        <is>
          <t>Jasa Rekayasa Pekerjaan Teknik Sipil Transportasi</t>
        </is>
      </c>
      <c r="N75" t="inlineStr">
        <is>
          <t>K</t>
        </is>
      </c>
      <c r="O75" t="inlineStr">
        <is>
          <t>20230829</t>
        </is>
      </c>
      <c r="P75" t="inlineStr">
        <is>
          <t>Jawa Barat</t>
        </is>
      </c>
      <c r="Q75" t="inlineStr"/>
    </row>
    <row r="76">
      <c r="A76" t="inlineStr">
        <is>
          <t>FAQIH ENGINEER KONSULTAN</t>
        </is>
      </c>
      <c r="B76" t="inlineStr">
        <is>
          <t>Kota Tarakan</t>
        </is>
      </c>
      <c r="C76" t="inlineStr">
        <is>
          <t>085347007273</t>
        </is>
      </c>
      <c r="D76" t="inlineStr">
        <is>
          <t>Fek.engineer@yahoo.com</t>
        </is>
      </c>
      <c r="E76" t="inlineStr">
        <is>
          <t>https://lpjk.pu.go.id/search-badan-usaha-detail/M1l1TUJueTAwaU9LbnBjZXFVd0tTZz09</t>
        </is>
      </c>
      <c r="F76" t="n">
        <v>1</v>
      </c>
      <c r="G76" t="inlineStr">
        <is>
          <t>RT002</t>
        </is>
      </c>
      <c r="H76" t="inlineStr">
        <is>
          <t>30 Januari 2020</t>
        </is>
      </c>
      <c r="I76" s="2" t="n">
        <v>46278</v>
      </c>
      <c r="J76" t="inlineStr">
        <is>
          <t>Disetujui</t>
        </is>
      </c>
      <c r="K76" t="n">
        <v>60</v>
      </c>
      <c r="L76" t="inlineStr">
        <is>
          <t>13 September 2026</t>
        </is>
      </c>
      <c r="M76" t="inlineStr">
        <is>
          <t>Jasa Rekayasa Konstruksi Pembangkit, Jaringan Transmisi, Gardu Induk, dan Distribusi Tenaga Listrik</t>
        </is>
      </c>
      <c r="N76" t="inlineStr">
        <is>
          <t>K</t>
        </is>
      </c>
      <c r="O76" t="inlineStr">
        <is>
          <t>20230905</t>
        </is>
      </c>
      <c r="P76" t="inlineStr">
        <is>
          <t>Kalimantan Utara</t>
        </is>
      </c>
      <c r="Q76" t="inlineStr"/>
    </row>
    <row r="77">
      <c r="A77" t="inlineStr">
        <is>
          <t>GHINA NABILA GRAHA</t>
        </is>
      </c>
      <c r="B77" t="inlineStr">
        <is>
          <t>Kota Pariaman</t>
        </is>
      </c>
      <c r="C77" t="inlineStr">
        <is>
          <t>085355667979</t>
        </is>
      </c>
      <c r="D77" t="inlineStr">
        <is>
          <t>ghinanabilagraha@gmail.com</t>
        </is>
      </c>
      <c r="E77" t="inlineStr">
        <is>
          <t>https://lpjk.pu.go.id/search-badan-usaha-detail/alBwNTFra0lBNFRaWGJpZjVoWW1JUT09</t>
        </is>
      </c>
      <c r="F77" t="n">
        <v>1</v>
      </c>
      <c r="G77" t="inlineStr">
        <is>
          <t>BG001</t>
        </is>
      </c>
      <c r="H77" t="inlineStr">
        <is>
          <t>7 September 2023</t>
        </is>
      </c>
      <c r="I77" s="2" t="n">
        <v>46278</v>
      </c>
      <c r="J77" t="inlineStr">
        <is>
          <t>Pencabutan</t>
        </is>
      </c>
      <c r="K77" t="n">
        <v>60</v>
      </c>
      <c r="L77" t="inlineStr">
        <is>
          <t>13 September 2026</t>
        </is>
      </c>
      <c r="M77" t="inlineStr">
        <is>
          <t>Konstruksi Gedung Hunian</t>
        </is>
      </c>
      <c r="N77" t="inlineStr">
        <is>
          <t>K</t>
        </is>
      </c>
      <c r="O77" t="inlineStr">
        <is>
          <t>20230912</t>
        </is>
      </c>
      <c r="P77" t="inlineStr">
        <is>
          <t>Sumatera Barat</t>
        </is>
      </c>
      <c r="Q77" t="inlineStr"/>
    </row>
    <row r="78">
      <c r="A78" t="inlineStr">
        <is>
          <t>GIRI MANDE KONSTRUKSINDO</t>
        </is>
      </c>
      <c r="B78" t="inlineStr">
        <is>
          <t>Kab. Pangandaran</t>
        </is>
      </c>
      <c r="C78" t="inlineStr">
        <is>
          <t>082216947634</t>
        </is>
      </c>
      <c r="D78" t="inlineStr">
        <is>
          <t>girimande88@gmail.com</t>
        </is>
      </c>
      <c r="E78" t="inlineStr">
        <is>
          <t>https://lpjk.pu.go.id/search-badan-usaha-detail/NXRKUkNZMUVqN01OTzd6bDJ2OWhxUT09</t>
        </is>
      </c>
      <c r="F78" t="n">
        <v>2</v>
      </c>
      <c r="G78" t="inlineStr">
        <is>
          <t>BS001, BS004</t>
        </is>
      </c>
      <c r="H78" t="inlineStr">
        <is>
          <t>14 Maret 2019</t>
        </is>
      </c>
      <c r="I78" s="2" t="n">
        <v>46278</v>
      </c>
      <c r="J78" t="inlineStr">
        <is>
          <t>Disetujui</t>
        </is>
      </c>
      <c r="K78" t="n">
        <v>60</v>
      </c>
      <c r="L78" t="inlineStr">
        <is>
          <t>13 September 2026</t>
        </is>
      </c>
      <c r="M78" t="inlineStr">
        <is>
          <t>Konstruksi Bangunan Sipil Jalan, Konstruksi Jaringan Irigasi dan Drainase</t>
        </is>
      </c>
      <c r="N78" t="inlineStr">
        <is>
          <t>K</t>
        </is>
      </c>
      <c r="O78" t="inlineStr">
        <is>
          <t>20230912</t>
        </is>
      </c>
      <c r="P78" t="inlineStr">
        <is>
          <t>Jawa Barat</t>
        </is>
      </c>
      <c r="Q78" t="inlineStr"/>
    </row>
    <row r="79">
      <c r="A79" t="inlineStr">
        <is>
          <t>GRAHA KOKOH KONSTRUKSI</t>
        </is>
      </c>
      <c r="B79" t="inlineStr">
        <is>
          <t>Kota Batam</t>
        </is>
      </c>
      <c r="C79" t="inlineStr">
        <is>
          <t>08117708899</t>
        </is>
      </c>
      <c r="D79" t="inlineStr">
        <is>
          <t>pt.grahakokohkonstruksi@gmail.com</t>
        </is>
      </c>
      <c r="E79" t="inlineStr">
        <is>
          <t>https://lpjk.pu.go.id/search-badan-usaha-detail/UGs5YmduakdwcWJFRXlFYU91ak9pQT09</t>
        </is>
      </c>
      <c r="F79" t="n">
        <v>1</v>
      </c>
      <c r="G79" t="inlineStr">
        <is>
          <t>BG001</t>
        </is>
      </c>
      <c r="H79" t="inlineStr">
        <is>
          <t>25 Agustus 2023</t>
        </is>
      </c>
      <c r="I79" s="2" t="n">
        <v>46278</v>
      </c>
      <c r="J79" t="inlineStr">
        <is>
          <t>Disetujui</t>
        </is>
      </c>
      <c r="K79" t="n">
        <v>60</v>
      </c>
      <c r="L79" t="inlineStr">
        <is>
          <t>13 September 2026</t>
        </is>
      </c>
      <c r="M79" t="inlineStr">
        <is>
          <t>Konstruksi Gedung Hunian</t>
        </is>
      </c>
      <c r="N79" t="inlineStr">
        <is>
          <t>K</t>
        </is>
      </c>
      <c r="O79" t="inlineStr">
        <is>
          <t>20230911</t>
        </is>
      </c>
      <c r="P79" t="inlineStr">
        <is>
          <t>Kepulauan Riau</t>
        </is>
      </c>
      <c r="Q79" t="inlineStr"/>
    </row>
    <row r="80">
      <c r="A80" t="inlineStr">
        <is>
          <t>HIKMAH PERDANA PERKASA</t>
        </is>
      </c>
      <c r="B80" t="inlineStr">
        <is>
          <t>Kab. Kampar</t>
        </is>
      </c>
      <c r="C80" t="inlineStr">
        <is>
          <t>087793297857</t>
        </is>
      </c>
      <c r="D80" t="inlineStr">
        <is>
          <t>hikmahperdanaperkasa.cv@gmail.com</t>
        </is>
      </c>
      <c r="E80" t="inlineStr">
        <is>
          <t>https://lpjk.pu.go.id/search-badan-usaha-detail/eklXMnhHUWJvSm5rZ1NhTmM2STJBUT09</t>
        </is>
      </c>
      <c r="F80" t="n">
        <v>6</v>
      </c>
      <c r="G80" t="inlineStr">
        <is>
          <t>BG006, BS001, BS002</t>
        </is>
      </c>
      <c r="H80" t="inlineStr">
        <is>
          <t>27 April 2001</t>
        </is>
      </c>
      <c r="I80" s="2" t="n">
        <v>46278</v>
      </c>
      <c r="J80" t="inlineStr">
        <is>
          <t>Pencabutan</t>
        </is>
      </c>
      <c r="K80" t="n">
        <v>60</v>
      </c>
      <c r="L80" t="inlineStr">
        <is>
          <t>13 September 2026</t>
        </is>
      </c>
      <c r="M80" t="inlineStr">
        <is>
          <t>Bangunan Sipil Jembatan, Jalan Layang, Fly Over, dan Underpass, Konstruksi Bangunan Sipil Jalan, Konstruksi Gedung Pendidikan</t>
        </is>
      </c>
      <c r="N80" t="inlineStr">
        <is>
          <t>K</t>
        </is>
      </c>
      <c r="O80" t="inlineStr">
        <is>
          <t>20230913</t>
        </is>
      </c>
      <c r="P80" t="inlineStr">
        <is>
          <t>Riau</t>
        </is>
      </c>
      <c r="Q80" t="inlineStr"/>
    </row>
    <row r="81">
      <c r="A81" t="inlineStr">
        <is>
          <t>HORISON CONSTRUCTION</t>
        </is>
      </c>
      <c r="B81" t="inlineStr">
        <is>
          <t>Kota Surabaya</t>
        </is>
      </c>
      <c r="C81" t="inlineStr">
        <is>
          <t>03199144199</t>
        </is>
      </c>
      <c r="D81" t="inlineStr">
        <is>
          <t>horisonconstruction@yahoo.com</t>
        </is>
      </c>
      <c r="E81" t="inlineStr">
        <is>
          <t>https://lpjk.pu.go.id/search-badan-usaha-detail/NVJnY0M5K2RQSGVVOFBJTjloVHRpQT09</t>
        </is>
      </c>
      <c r="F81" t="n">
        <v>1</v>
      </c>
      <c r="G81" t="inlineStr">
        <is>
          <t>BG001</t>
        </is>
      </c>
      <c r="H81" t="inlineStr">
        <is>
          <t>15 Juni 2023</t>
        </is>
      </c>
      <c r="I81" s="2" t="n">
        <v>46278</v>
      </c>
      <c r="J81" t="inlineStr">
        <is>
          <t>Disetujui</t>
        </is>
      </c>
      <c r="K81" t="n">
        <v>60</v>
      </c>
      <c r="L81" t="inlineStr">
        <is>
          <t>13 September 2026</t>
        </is>
      </c>
      <c r="M81" t="inlineStr">
        <is>
          <t>Konstruksi Gedung Hunian</t>
        </is>
      </c>
      <c r="N81" t="inlineStr">
        <is>
          <t>K</t>
        </is>
      </c>
      <c r="O81" t="inlineStr">
        <is>
          <t>20230913</t>
        </is>
      </c>
      <c r="P81" t="inlineStr">
        <is>
          <t>Jawa Timur</t>
        </is>
      </c>
      <c r="Q81" t="inlineStr"/>
    </row>
    <row r="82">
      <c r="A82" t="inlineStr">
        <is>
          <t>INDO RAYA MANDIRI</t>
        </is>
      </c>
      <c r="B82" t="inlineStr">
        <is>
          <t>Kab. Mamuju</t>
        </is>
      </c>
      <c r="C82" t="inlineStr">
        <is>
          <t>085255736241</t>
        </is>
      </c>
      <c r="D82" t="inlineStr">
        <is>
          <t>cvindorayamandiri03@gmail.com</t>
        </is>
      </c>
      <c r="E82" t="inlineStr">
        <is>
          <t>https://lpjk.pu.go.id/search-badan-usaha-detail/SzNXOU9HeHpjTi9seWxZMit1OEFoZz09</t>
        </is>
      </c>
      <c r="F82" t="n">
        <v>1</v>
      </c>
      <c r="G82" t="inlineStr">
        <is>
          <t>BG006</t>
        </is>
      </c>
      <c r="H82" t="inlineStr">
        <is>
          <t>18 Juni 2014</t>
        </is>
      </c>
      <c r="I82" s="2" t="n">
        <v>46278</v>
      </c>
      <c r="J82" t="inlineStr">
        <is>
          <t>Pencabutan</t>
        </is>
      </c>
      <c r="K82" t="n">
        <v>60</v>
      </c>
      <c r="L82" t="inlineStr">
        <is>
          <t>13 September 2026</t>
        </is>
      </c>
      <c r="M82" t="inlineStr">
        <is>
          <t>Konstruksi Gedung Pendidikan</t>
        </is>
      </c>
      <c r="N82" t="inlineStr">
        <is>
          <t>K</t>
        </is>
      </c>
      <c r="O82" t="inlineStr">
        <is>
          <t>20230603</t>
        </is>
      </c>
      <c r="P82" t="inlineStr">
        <is>
          <t>Sulawesi Barat</t>
        </is>
      </c>
      <c r="Q82" t="inlineStr"/>
    </row>
    <row r="83">
      <c r="A83" t="inlineStr">
        <is>
          <t>INDOCIVIL CORPORATION</t>
        </is>
      </c>
      <c r="B83" t="inlineStr">
        <is>
          <t>Kab. Luwu</t>
        </is>
      </c>
      <c r="C83" t="inlineStr">
        <is>
          <t>081242806600</t>
        </is>
      </c>
      <c r="D83" t="inlineStr">
        <is>
          <t>lapposadaruddin@gmail.com</t>
        </is>
      </c>
      <c r="E83" t="inlineStr">
        <is>
          <t>https://lpjk.pu.go.id/search-badan-usaha-detail/WVlJMW9nUWQwY1hXLzBteXNoYng1UT09</t>
        </is>
      </c>
      <c r="F83" t="n">
        <v>2</v>
      </c>
      <c r="G83" t="inlineStr">
        <is>
          <t>BS001, BS005</t>
        </is>
      </c>
      <c r="H83" t="inlineStr">
        <is>
          <t>9 Februari 2015</t>
        </is>
      </c>
      <c r="I83" s="2" t="n">
        <v>46278</v>
      </c>
      <c r="J83" t="inlineStr">
        <is>
          <t>Disetujui</t>
        </is>
      </c>
      <c r="K83" t="n">
        <v>60</v>
      </c>
      <c r="L83" t="inlineStr">
        <is>
          <t>13 September 2026</t>
        </is>
      </c>
      <c r="M83" t="inlineStr">
        <is>
          <t>Konstruksi Bangunan Sipil Jalan, Konstruksi Bangunan Sipil Pengolahan Air Bersih</t>
        </is>
      </c>
      <c r="N83" t="inlineStr">
        <is>
          <t>K</t>
        </is>
      </c>
      <c r="O83" t="inlineStr">
        <is>
          <t>20230909</t>
        </is>
      </c>
      <c r="P83" t="inlineStr">
        <is>
          <t>Sulawesi Selatan</t>
        </is>
      </c>
      <c r="Q83" t="inlineStr"/>
    </row>
    <row r="84">
      <c r="A84" t="inlineStr">
        <is>
          <t>INDRA JAYA EMPAT DUA</t>
        </is>
      </c>
      <c r="B84" t="inlineStr">
        <is>
          <t>Kab. Kotabaru</t>
        </is>
      </c>
      <c r="C84" t="inlineStr">
        <is>
          <t>081255042226</t>
        </is>
      </c>
      <c r="D84" t="inlineStr">
        <is>
          <t>cvindrajayaempatdua@gmail.com</t>
        </is>
      </c>
      <c r="E84" t="inlineStr">
        <is>
          <t>https://lpjk.pu.go.id/search-badan-usaha-detail/b21BVXB3VlA3ZFNmQUdvMVp1eXhtdz09</t>
        </is>
      </c>
      <c r="F84" t="n">
        <v>1</v>
      </c>
      <c r="G84" t="inlineStr">
        <is>
          <t>BG009</t>
        </is>
      </c>
      <c r="H84" t="inlineStr">
        <is>
          <t>12 Juli 2023</t>
        </is>
      </c>
      <c r="I84" s="2" t="n">
        <v>46278</v>
      </c>
      <c r="J84" t="inlineStr">
        <is>
          <t>Disetujui</t>
        </is>
      </c>
      <c r="K84" t="n">
        <v>60</v>
      </c>
      <c r="L84" t="inlineStr">
        <is>
          <t>13 September 2026</t>
        </is>
      </c>
      <c r="M84" t="inlineStr">
        <is>
          <t>Konstruksi Gedung Lainnya</t>
        </is>
      </c>
      <c r="N84" t="inlineStr">
        <is>
          <t>K</t>
        </is>
      </c>
      <c r="O84" t="inlineStr">
        <is>
          <t>20230907</t>
        </is>
      </c>
      <c r="P84" t="inlineStr">
        <is>
          <t>Kalimantan Selatan</t>
        </is>
      </c>
      <c r="Q84" t="inlineStr"/>
    </row>
    <row r="85">
      <c r="A85" t="inlineStr">
        <is>
          <t>INSANA ABADI</t>
        </is>
      </c>
      <c r="B85" t="inlineStr">
        <is>
          <t>Kab. Jayawijaya</t>
        </is>
      </c>
      <c r="C85" t="inlineStr">
        <is>
          <t>081339429896</t>
        </is>
      </c>
      <c r="D85" t="inlineStr">
        <is>
          <t>insana.abadi.cv@gmail.com</t>
        </is>
      </c>
      <c r="E85" t="inlineStr">
        <is>
          <t>https://lpjk.pu.go.id/search-badan-usaha-detail/UXY3UkczS2N2Zkg5Y2l3OGl6dk1hQT09</t>
        </is>
      </c>
      <c r="F85" t="n">
        <v>1</v>
      </c>
      <c r="G85" t="inlineStr">
        <is>
          <t>BS005</t>
        </is>
      </c>
      <c r="H85" t="inlineStr">
        <is>
          <t>6 Oktober 2011</t>
        </is>
      </c>
      <c r="I85" s="2" t="n">
        <v>46278</v>
      </c>
      <c r="J85" t="inlineStr">
        <is>
          <t>Disetujui</t>
        </is>
      </c>
      <c r="K85" t="n">
        <v>60</v>
      </c>
      <c r="L85" t="inlineStr">
        <is>
          <t>13 September 2026</t>
        </is>
      </c>
      <c r="M85" t="inlineStr">
        <is>
          <t>Konstruksi Bangunan Sipil Pengolahan Air Bersih</t>
        </is>
      </c>
      <c r="N85" t="inlineStr">
        <is>
          <t>K</t>
        </is>
      </c>
      <c r="O85" t="inlineStr">
        <is>
          <t>20230914</t>
        </is>
      </c>
      <c r="P85" t="inlineStr">
        <is>
          <t>Papua</t>
        </is>
      </c>
      <c r="Q85" t="inlineStr"/>
    </row>
    <row r="86">
      <c r="A86" t="inlineStr">
        <is>
          <t>JAGAD LANGLANGBUANA</t>
        </is>
      </c>
      <c r="B86" t="inlineStr">
        <is>
          <t>Kota Serang</t>
        </is>
      </c>
      <c r="C86" t="inlineStr">
        <is>
          <t>08176544468</t>
        </is>
      </c>
      <c r="D86" t="inlineStr">
        <is>
          <t>jagad.cv2023@gmail.com</t>
        </is>
      </c>
      <c r="E86" t="inlineStr">
        <is>
          <t>https://lpjk.pu.go.id/search-badan-usaha-detail/ajRnTXU1aWw1YWVSMGZRaXNEaUxyQT09</t>
        </is>
      </c>
      <c r="F86" t="n">
        <v>1</v>
      </c>
      <c r="G86" t="inlineStr">
        <is>
          <t>PB010</t>
        </is>
      </c>
      <c r="H86" t="inlineStr">
        <is>
          <t>26 Januari 2023</t>
        </is>
      </c>
      <c r="I86" s="2" t="n">
        <v>46278</v>
      </c>
      <c r="J86" t="inlineStr">
        <is>
          <t>Pencabutan</t>
        </is>
      </c>
      <c r="K86" t="n">
        <v>60</v>
      </c>
      <c r="L86" t="inlineStr">
        <is>
          <t>13 September 2026</t>
        </is>
      </c>
      <c r="M86" t="inlineStr">
        <is>
          <t>Pekerjaan Lanskap, Pertamanan, dan Penanaman Vegetasi</t>
        </is>
      </c>
      <c r="N86" t="inlineStr">
        <is>
          <t>Spesialis</t>
        </is>
      </c>
      <c r="O86" t="inlineStr">
        <is>
          <t>20230911</t>
        </is>
      </c>
      <c r="P86" t="inlineStr">
        <is>
          <t>Banten</t>
        </is>
      </c>
      <c r="Q86" t="inlineStr"/>
    </row>
    <row r="87">
      <c r="A87" t="inlineStr">
        <is>
          <t>JAYA MANDIRI</t>
        </is>
      </c>
      <c r="B87" t="inlineStr">
        <is>
          <t>Kota Pariaman</t>
        </is>
      </c>
      <c r="C87" t="inlineStr">
        <is>
          <t>081363408139</t>
        </is>
      </c>
      <c r="D87" t="inlineStr">
        <is>
          <t>cvjayamandiri488@yahoo.com</t>
        </is>
      </c>
      <c r="E87" t="inlineStr">
        <is>
          <t>https://lpjk.pu.go.id/search-badan-usaha-detail/QURwY0JrTzVJYVI5YnRGajJZcmt0QT09</t>
        </is>
      </c>
      <c r="F87" t="n">
        <v>6</v>
      </c>
      <c r="G87" t="inlineStr">
        <is>
          <t>BG005, BG006, BG009, BS001, BS002, BS004</t>
        </is>
      </c>
      <c r="H87" t="inlineStr">
        <is>
          <t>14 September 1993</t>
        </is>
      </c>
      <c r="I87" s="2" t="n">
        <v>46278</v>
      </c>
      <c r="J87" t="inlineStr">
        <is>
          <t>Disetujui</t>
        </is>
      </c>
      <c r="K87" t="n">
        <v>60</v>
      </c>
      <c r="L87" t="inlineStr">
        <is>
          <t>13 September 2026</t>
        </is>
      </c>
      <c r="M87" t="inlineStr">
        <is>
          <t>Bangunan Sipil Jembatan, Jalan Layang, Fly Over, dan Underpass, Konstruksi Bangunan Sipil Jalan, Konstruksi Gedung Kesehatan, Konstruksi Gedung Lainnya, Konstruksi Gedung Pendidikan, Konstruksi Jaringan Irigasi dan Drainase</t>
        </is>
      </c>
      <c r="N87" t="inlineStr">
        <is>
          <t>K</t>
        </is>
      </c>
      <c r="O87" t="inlineStr">
        <is>
          <t>20230905, 20230906, 20230907</t>
        </is>
      </c>
      <c r="P87" t="inlineStr">
        <is>
          <t>Sumatera Barat</t>
        </is>
      </c>
      <c r="Q87" t="inlineStr"/>
    </row>
    <row r="88">
      <c r="A88" t="inlineStr">
        <is>
          <t>KALIPTRA MURUHITA</t>
        </is>
      </c>
      <c r="B88" t="inlineStr">
        <is>
          <t>Kab. Poso</t>
        </is>
      </c>
      <c r="C88" t="inlineStr">
        <is>
          <t>081241413838</t>
        </is>
      </c>
      <c r="D88" t="inlineStr">
        <is>
          <t>cv.kamu2022@gmail.com</t>
        </is>
      </c>
      <c r="E88" t="inlineStr">
        <is>
          <t>https://lpjk.pu.go.id/search-badan-usaha-detail/UkErV2crdVc2bURubFRtODN4WkFuZz09</t>
        </is>
      </c>
      <c r="F88" t="n">
        <v>2</v>
      </c>
      <c r="G88" t="inlineStr">
        <is>
          <t>BG003, BS002</t>
        </is>
      </c>
      <c r="H88" t="inlineStr">
        <is>
          <t>9 September 2022</t>
        </is>
      </c>
      <c r="I88" s="2" t="n">
        <v>46278</v>
      </c>
      <c r="J88" t="inlineStr">
        <is>
          <t>Disetujui</t>
        </is>
      </c>
      <c r="K88" t="n">
        <v>60</v>
      </c>
      <c r="L88" t="inlineStr">
        <is>
          <t>13 September 2026</t>
        </is>
      </c>
      <c r="M88" t="inlineStr">
        <is>
          <t>Bangunan Sipil Jembatan, Jalan Layang, Fly Over, dan Underpass, Konstruksi Gedung Industri</t>
        </is>
      </c>
      <c r="N88" t="inlineStr">
        <is>
          <t>K</t>
        </is>
      </c>
      <c r="O88" t="inlineStr">
        <is>
          <t>20230913, 20230914</t>
        </is>
      </c>
      <c r="P88" t="inlineStr">
        <is>
          <t>Sulawesi Tengah</t>
        </is>
      </c>
      <c r="Q88" t="inlineStr"/>
    </row>
    <row r="89">
      <c r="A89" t="inlineStr">
        <is>
          <t>KARYA MANDIRI KONTRUKSI</t>
        </is>
      </c>
      <c r="B89" t="inlineStr">
        <is>
          <t>Kota Padang</t>
        </is>
      </c>
      <c r="C89" t="inlineStr">
        <is>
          <t>081363141712</t>
        </is>
      </c>
      <c r="D89" t="inlineStr">
        <is>
          <t>ptkaryamandirikontruksi@gmail.com</t>
        </is>
      </c>
      <c r="E89" t="inlineStr">
        <is>
          <t>https://lpjk.pu.go.id/search-badan-usaha-detail/cnJLUW9LTWt5SFdBblBHRS9uKzVDUT09</t>
        </is>
      </c>
      <c r="F89" t="n">
        <v>3</v>
      </c>
      <c r="G89" t="inlineStr">
        <is>
          <t>BG002, BG004, BG007</t>
        </is>
      </c>
      <c r="H89" t="inlineStr">
        <is>
          <t>18 Juli 2023</t>
        </is>
      </c>
      <c r="I89" s="2" t="n">
        <v>46278</v>
      </c>
      <c r="J89" t="inlineStr">
        <is>
          <t>Disetujui</t>
        </is>
      </c>
      <c r="K89" t="n">
        <v>60</v>
      </c>
      <c r="L89" t="inlineStr">
        <is>
          <t>13 September 2026</t>
        </is>
      </c>
      <c r="M89" t="inlineStr">
        <is>
          <t>Konstruksi Gedung Penginapan, Konstruksi Gedung Perbelanjaan, Konstruksi Gedung Perkantoran</t>
        </is>
      </c>
      <c r="N89" t="inlineStr">
        <is>
          <t>K</t>
        </is>
      </c>
      <c r="O89" t="inlineStr">
        <is>
          <t>20230911</t>
        </is>
      </c>
      <c r="P89" t="inlineStr">
        <is>
          <t>Sumatera Barat</t>
        </is>
      </c>
      <c r="Q89" t="inlineStr"/>
    </row>
    <row r="90">
      <c r="A90" t="inlineStr">
        <is>
          <t>KARYA PARANG SEBILAH</t>
        </is>
      </c>
      <c r="B90" t="inlineStr">
        <is>
          <t>Kab. Penukal Abab Lematang</t>
        </is>
      </c>
      <c r="C90" t="inlineStr">
        <is>
          <t>081274296337</t>
        </is>
      </c>
      <c r="D90" t="inlineStr">
        <is>
          <t>cvkaryaparangsebilah@gmail.com</t>
        </is>
      </c>
      <c r="E90" t="inlineStr">
        <is>
          <t>https://lpjk.pu.go.id/search-badan-usaha-detail/a1l5aG1EeFRidDJPSHgrcDBCSThlUT09</t>
        </is>
      </c>
      <c r="F90" t="n">
        <v>3</v>
      </c>
      <c r="G90" t="inlineStr">
        <is>
          <t>BG006, BG009, BS004</t>
        </is>
      </c>
      <c r="H90" t="inlineStr">
        <is>
          <t>10 Agustus 2023</t>
        </is>
      </c>
      <c r="I90" s="2" t="n">
        <v>46278</v>
      </c>
      <c r="J90" t="inlineStr">
        <is>
          <t>Disetujui</t>
        </is>
      </c>
      <c r="K90" t="n">
        <v>60</v>
      </c>
      <c r="L90" t="inlineStr">
        <is>
          <t>13 September 2026</t>
        </is>
      </c>
      <c r="M90" t="inlineStr">
        <is>
          <t>Konstruksi Gedung Lainnya, Konstruksi Gedung Pendidikan, Konstruksi Jaringan Irigasi dan Drainase</t>
        </is>
      </c>
      <c r="N90" t="inlineStr">
        <is>
          <t>K</t>
        </is>
      </c>
      <c r="O90" t="inlineStr">
        <is>
          <t>20230912, 20230913</t>
        </is>
      </c>
      <c r="P90" t="inlineStr">
        <is>
          <t>Sumatera Selatan</t>
        </is>
      </c>
      <c r="Q90" t="inlineStr"/>
    </row>
    <row r="91">
      <c r="A91" t="inlineStr">
        <is>
          <t>KARYA TITRI KONSTRUKSI</t>
        </is>
      </c>
      <c r="B91" t="inlineStr">
        <is>
          <t>Kota Padang</t>
        </is>
      </c>
      <c r="C91" t="inlineStr">
        <is>
          <t>081374357575</t>
        </is>
      </c>
      <c r="D91" t="inlineStr">
        <is>
          <t>cvkaryatitrikonstruksi@gmail.com</t>
        </is>
      </c>
      <c r="E91" t="inlineStr">
        <is>
          <t>https://lpjk.pu.go.id/search-badan-usaha-detail/ODV0TFlRS2V1aEhrNFVGaks2YkJxUT09</t>
        </is>
      </c>
      <c r="F91" t="n">
        <v>2</v>
      </c>
      <c r="G91" t="inlineStr">
        <is>
          <t>BG006, BG009</t>
        </is>
      </c>
      <c r="H91" t="inlineStr">
        <is>
          <t>18 Juli 2023</t>
        </is>
      </c>
      <c r="I91" s="2" t="n">
        <v>46278</v>
      </c>
      <c r="J91" t="inlineStr">
        <is>
          <t>Disetujui</t>
        </is>
      </c>
      <c r="K91" t="n">
        <v>60</v>
      </c>
      <c r="L91" t="inlineStr">
        <is>
          <t>13 September 2026</t>
        </is>
      </c>
      <c r="M91" t="inlineStr">
        <is>
          <t>Konstruksi Gedung Lainnya, Konstruksi Gedung Pendidikan</t>
        </is>
      </c>
      <c r="N91" t="inlineStr">
        <is>
          <t>K</t>
        </is>
      </c>
      <c r="O91" t="inlineStr">
        <is>
          <t>20230911</t>
        </is>
      </c>
      <c r="P91" t="inlineStr">
        <is>
          <t>Sumatera Barat</t>
        </is>
      </c>
      <c r="Q91" t="inlineStr"/>
    </row>
    <row r="92">
      <c r="A92" t="inlineStr">
        <is>
          <t>KARYA WIJAYA</t>
        </is>
      </c>
      <c r="B92" t="inlineStr">
        <is>
          <t>Kab. Pekalongan</t>
        </is>
      </c>
      <c r="C92" t="inlineStr">
        <is>
          <t>081298489554</t>
        </is>
      </c>
      <c r="D92" t="inlineStr">
        <is>
          <t>cv.karyawijaya16@gmail.com</t>
        </is>
      </c>
      <c r="E92" t="inlineStr">
        <is>
          <t>https://lpjk.pu.go.id/search-badan-usaha-detail/MmkrQmVTbTdQSERldS9hY0ZLYVZZUT09</t>
        </is>
      </c>
      <c r="F92" t="n">
        <v>5</v>
      </c>
      <c r="G92" t="inlineStr">
        <is>
          <t>BG005, BG006, BG009, BS001, BS004</t>
        </is>
      </c>
      <c r="H92" t="inlineStr">
        <is>
          <t>9 Desember 2016</t>
        </is>
      </c>
      <c r="I92" s="2" t="n">
        <v>46278</v>
      </c>
      <c r="J92" t="inlineStr">
        <is>
          <t>Disetujui</t>
        </is>
      </c>
      <c r="K92" t="n">
        <v>60</v>
      </c>
      <c r="L92" t="inlineStr">
        <is>
          <t>13 September 2026</t>
        </is>
      </c>
      <c r="M92" t="inlineStr">
        <is>
          <t>Konstruksi Bangunan Sipil Jalan, Konstruksi Gedung Kesehatan, Konstruksi Gedung Lainnya, Konstruksi Gedung Pendidikan, Konstruksi Jaringan Irigasi dan Drainase</t>
        </is>
      </c>
      <c r="N92" t="inlineStr">
        <is>
          <t>K</t>
        </is>
      </c>
      <c r="O92" t="inlineStr">
        <is>
          <t>20230908, 20230911</t>
        </is>
      </c>
      <c r="P92" t="inlineStr">
        <is>
          <t>Jawa Tengah</t>
        </is>
      </c>
      <c r="Q92" t="inlineStr"/>
    </row>
    <row r="93">
      <c r="A93" t="inlineStr">
        <is>
          <t>KAYAR TAMA</t>
        </is>
      </c>
      <c r="B93" t="inlineStr">
        <is>
          <t>Kab. Kubu Raya</t>
        </is>
      </c>
      <c r="C93" t="inlineStr">
        <is>
          <t>081258852244</t>
        </is>
      </c>
      <c r="D93" t="inlineStr">
        <is>
          <t>kayar.tama18@gmail.com</t>
        </is>
      </c>
      <c r="E93" t="inlineStr">
        <is>
          <t>https://lpjk.pu.go.id/search-badan-usaha-detail/ZVB0RkdMU3RvNWNxcFd3NGVCUWUzQT09</t>
        </is>
      </c>
      <c r="F93" t="n">
        <v>1</v>
      </c>
      <c r="G93" t="inlineStr">
        <is>
          <t>BS001</t>
        </is>
      </c>
      <c r="H93" t="inlineStr">
        <is>
          <t>19 September 2018</t>
        </is>
      </c>
      <c r="I93" s="2" t="n">
        <v>46278</v>
      </c>
      <c r="J93" t="inlineStr">
        <is>
          <t>Disetujui</t>
        </is>
      </c>
      <c r="K93" t="n">
        <v>60</v>
      </c>
      <c r="L93" t="inlineStr">
        <is>
          <t>13 September 2026</t>
        </is>
      </c>
      <c r="M93" t="inlineStr">
        <is>
          <t>Konstruksi Bangunan Sipil Jalan</t>
        </is>
      </c>
      <c r="N93" t="inlineStr">
        <is>
          <t>K</t>
        </is>
      </c>
      <c r="O93" t="inlineStr">
        <is>
          <t>20230903</t>
        </is>
      </c>
      <c r="P93" t="inlineStr">
        <is>
          <t>Kalimantan Barat</t>
        </is>
      </c>
      <c r="Q93" t="inlineStr"/>
    </row>
    <row r="94">
      <c r="A94" t="inlineStr">
        <is>
          <t>KIANDRA ALAM SEMESTA</t>
        </is>
      </c>
      <c r="B94" t="inlineStr">
        <is>
          <t>Kota Bandung</t>
        </is>
      </c>
      <c r="C94" t="inlineStr">
        <is>
          <t>08156002421</t>
        </is>
      </c>
      <c r="D94" t="inlineStr">
        <is>
          <t>eizetindonesia@gmail.com</t>
        </is>
      </c>
      <c r="E94" t="inlineStr">
        <is>
          <t>https://lpjk.pu.go.id/search-badan-usaha-detail/cWh1cHBsN29aRndjZHVNNFdpTDFOQT09</t>
        </is>
      </c>
      <c r="F94" t="n">
        <v>2</v>
      </c>
      <c r="G94" t="inlineStr">
        <is>
          <t>BG006</t>
        </is>
      </c>
      <c r="H94" t="inlineStr">
        <is>
          <t>7 Desember 2015</t>
        </is>
      </c>
      <c r="I94" s="2" t="n">
        <v>46278</v>
      </c>
      <c r="J94" t="inlineStr">
        <is>
          <t>Disetujui</t>
        </is>
      </c>
      <c r="K94" t="n">
        <v>60</v>
      </c>
      <c r="L94" t="inlineStr">
        <is>
          <t>13 September 2026</t>
        </is>
      </c>
      <c r="M94" t="inlineStr">
        <is>
          <t>Konstruksi Gedung Pendidikan</t>
        </is>
      </c>
      <c r="N94" t="inlineStr">
        <is>
          <t>K</t>
        </is>
      </c>
      <c r="O94" t="inlineStr">
        <is>
          <t>20230914</t>
        </is>
      </c>
      <c r="P94" t="inlineStr">
        <is>
          <t>Jawa Barat</t>
        </is>
      </c>
      <c r="Q94" t="inlineStr"/>
    </row>
    <row r="95">
      <c r="A95" t="inlineStr">
        <is>
          <t>KIRANA PERSADA</t>
        </is>
      </c>
      <c r="B95" t="inlineStr">
        <is>
          <t>Kab. Lombok Barat</t>
        </is>
      </c>
      <c r="C95" t="inlineStr">
        <is>
          <t>082144355882</t>
        </is>
      </c>
      <c r="D95" t="inlineStr">
        <is>
          <t>kirana.persadacv@gmail.com</t>
        </is>
      </c>
      <c r="E95" t="inlineStr">
        <is>
          <t>https://lpjk.pu.go.id/search-badan-usaha-detail/U3NSSFlQMWNDOFhXQ01scnVqbnZxZz09</t>
        </is>
      </c>
      <c r="F95" t="n">
        <v>1</v>
      </c>
      <c r="G95" t="inlineStr">
        <is>
          <t>BG006</t>
        </is>
      </c>
      <c r="H95" t="inlineStr">
        <is>
          <t>6 April 2015</t>
        </is>
      </c>
      <c r="I95" s="2" t="n">
        <v>46278</v>
      </c>
      <c r="J95" t="inlineStr">
        <is>
          <t>Pencabutan</t>
        </is>
      </c>
      <c r="K95" t="n">
        <v>60</v>
      </c>
      <c r="L95" t="inlineStr">
        <is>
          <t>13 September 2026</t>
        </is>
      </c>
      <c r="M95" t="inlineStr">
        <is>
          <t>Konstruksi Gedung Pendidikan</t>
        </is>
      </c>
      <c r="N95" t="inlineStr">
        <is>
          <t>K</t>
        </is>
      </c>
      <c r="O95" t="inlineStr">
        <is>
          <t>20230622</t>
        </is>
      </c>
      <c r="P95" t="inlineStr">
        <is>
          <t>Nusa Tenggara Barat</t>
        </is>
      </c>
      <c r="Q95" t="inlineStr"/>
    </row>
    <row r="96">
      <c r="A96" t="inlineStr">
        <is>
          <t>KONSTRUKSI UFUK TIMUR</t>
        </is>
      </c>
      <c r="B96" t="inlineStr">
        <is>
          <t>Kab. Fak Fak</t>
        </is>
      </c>
      <c r="C96" t="inlineStr">
        <is>
          <t>081240929325</t>
        </is>
      </c>
      <c r="D96" t="inlineStr">
        <is>
          <t>konstruksiufuktimur@gmail.com</t>
        </is>
      </c>
      <c r="E96" t="inlineStr">
        <is>
          <t>https://lpjk.pu.go.id/search-badan-usaha-detail/VnBlOVBBM0thdmt3Y1NvOGRKYTd2UT09</t>
        </is>
      </c>
      <c r="F96" t="n">
        <v>1</v>
      </c>
      <c r="G96" t="inlineStr">
        <is>
          <t>BS001</t>
        </is>
      </c>
      <c r="H96" t="inlineStr">
        <is>
          <t>18 Agustus 2023</t>
        </is>
      </c>
      <c r="I96" s="2" t="n">
        <v>46278</v>
      </c>
      <c r="J96" t="inlineStr">
        <is>
          <t>Disetujui</t>
        </is>
      </c>
      <c r="K96" t="n">
        <v>60</v>
      </c>
      <c r="L96" t="inlineStr">
        <is>
          <t>13 September 2026</t>
        </is>
      </c>
      <c r="M96" t="inlineStr">
        <is>
          <t>Konstruksi Bangunan Sipil Jalan</t>
        </is>
      </c>
      <c r="N96" t="inlineStr">
        <is>
          <t>K</t>
        </is>
      </c>
      <c r="O96" t="inlineStr">
        <is>
          <t>20230913</t>
        </is>
      </c>
      <c r="P96" t="inlineStr">
        <is>
          <t>Papua Barat</t>
        </is>
      </c>
      <c r="Q96" t="inlineStr"/>
    </row>
    <row r="97">
      <c r="A97" t="inlineStr">
        <is>
          <t>KRAKATAU</t>
        </is>
      </c>
      <c r="B97" t="inlineStr">
        <is>
          <t>Kab. Kapuas Hulu</t>
        </is>
      </c>
      <c r="C97" t="inlineStr">
        <is>
          <t>082198654885</t>
        </is>
      </c>
      <c r="D97" t="inlineStr">
        <is>
          <t>sjm070288@gmail.com</t>
        </is>
      </c>
      <c r="E97" t="inlineStr">
        <is>
          <t>https://lpjk.pu.go.id/search-badan-usaha-detail/UmxSNE82MnZJQ0RBV1I3UmJFSGp6dz09</t>
        </is>
      </c>
      <c r="F97" t="n">
        <v>1</v>
      </c>
      <c r="G97" t="inlineStr">
        <is>
          <t>BS004</t>
        </is>
      </c>
      <c r="H97" t="inlineStr">
        <is>
          <t>22 Juli 2003</t>
        </is>
      </c>
      <c r="I97" s="2" t="n">
        <v>46278</v>
      </c>
      <c r="J97" t="inlineStr">
        <is>
          <t>Disetujui</t>
        </is>
      </c>
      <c r="K97" t="n">
        <v>60</v>
      </c>
      <c r="L97" t="inlineStr">
        <is>
          <t>13 September 2026</t>
        </is>
      </c>
      <c r="M97" t="inlineStr">
        <is>
          <t>Konstruksi Jaringan Irigasi dan Drainase</t>
        </is>
      </c>
      <c r="N97" t="inlineStr">
        <is>
          <t>K</t>
        </is>
      </c>
      <c r="O97" t="inlineStr">
        <is>
          <t>20230913</t>
        </is>
      </c>
      <c r="P97" t="inlineStr">
        <is>
          <t>Kalimantan Barat</t>
        </is>
      </c>
      <c r="Q97" t="inlineStr"/>
    </row>
    <row r="98">
      <c r="A98" t="inlineStr">
        <is>
          <t>LAMPUNG PERSADA</t>
        </is>
      </c>
      <c r="B98" t="inlineStr">
        <is>
          <t>Kota Bandar Lampung</t>
        </is>
      </c>
      <c r="C98" t="inlineStr">
        <is>
          <t>085766813614</t>
        </is>
      </c>
      <c r="D98" t="inlineStr">
        <is>
          <t>lampungpersada@yahoo.com</t>
        </is>
      </c>
      <c r="E98" t="inlineStr">
        <is>
          <t>https://lpjk.pu.go.id/search-badan-usaha-detail/c3BmaWhROWRtZzdzbFRKamdVTmJEZz09</t>
        </is>
      </c>
      <c r="F98" t="n">
        <v>2</v>
      </c>
      <c r="G98" t="inlineStr">
        <is>
          <t>BS001, BS004</t>
        </is>
      </c>
      <c r="H98" t="inlineStr">
        <is>
          <t>4 Februari 2015</t>
        </is>
      </c>
      <c r="I98" s="2" t="n">
        <v>46278</v>
      </c>
      <c r="J98" t="inlineStr">
        <is>
          <t>Disetujui</t>
        </is>
      </c>
      <c r="K98" t="n">
        <v>60</v>
      </c>
      <c r="L98" t="inlineStr">
        <is>
          <t>13 September 2026</t>
        </is>
      </c>
      <c r="M98" t="inlineStr">
        <is>
          <t>Konstruksi Bangunan Sipil Jalan, Konstruksi Jaringan Irigasi dan Drainase</t>
        </is>
      </c>
      <c r="N98" t="inlineStr">
        <is>
          <t>K</t>
        </is>
      </c>
      <c r="O98" t="inlineStr">
        <is>
          <t>20230825, 20230907</t>
        </is>
      </c>
      <c r="P98" t="inlineStr">
        <is>
          <t>Lampung</t>
        </is>
      </c>
      <c r="Q98" t="inlineStr"/>
    </row>
    <row r="99">
      <c r="A99" t="inlineStr">
        <is>
          <t>LUTHFI JAYA</t>
        </is>
      </c>
      <c r="B99" t="inlineStr">
        <is>
          <t>Kab. Belitung Timur</t>
        </is>
      </c>
      <c r="C99" t="inlineStr">
        <is>
          <t>081949416578</t>
        </is>
      </c>
      <c r="D99" t="inlineStr">
        <is>
          <t>cv.luthfijaya@gmail.com</t>
        </is>
      </c>
      <c r="E99" t="inlineStr">
        <is>
          <t>https://lpjk.pu.go.id/search-badan-usaha-detail/VURya3UrSnVkdWszbmkvamxhZ3Vndz09</t>
        </is>
      </c>
      <c r="F99" t="n">
        <v>3</v>
      </c>
      <c r="G99" t="inlineStr">
        <is>
          <t>BG006, BG009, BS004</t>
        </is>
      </c>
      <c r="H99" t="inlineStr">
        <is>
          <t>7 Januari 2017</t>
        </is>
      </c>
      <c r="I99" s="2" t="n">
        <v>46278</v>
      </c>
      <c r="J99" t="inlineStr">
        <is>
          <t>Disetujui</t>
        </is>
      </c>
      <c r="K99" t="n">
        <v>60</v>
      </c>
      <c r="L99" t="inlineStr">
        <is>
          <t>13 September 2026</t>
        </is>
      </c>
      <c r="M99" t="inlineStr">
        <is>
          <t>Konstruksi Gedung Lainnya, Konstruksi Gedung Pendidikan, Konstruksi Jaringan Irigasi dan Drainase</t>
        </is>
      </c>
      <c r="N99" t="inlineStr">
        <is>
          <t>K</t>
        </is>
      </c>
      <c r="O99" t="inlineStr">
        <is>
          <t>20230914</t>
        </is>
      </c>
      <c r="P99" t="inlineStr">
        <is>
          <t>Kepulauan Bangka Belitung</t>
        </is>
      </c>
      <c r="Q99" t="inlineStr"/>
    </row>
    <row r="100">
      <c r="A100" t="inlineStr">
        <is>
          <t>MAHADIRAJA BERKAT AMANAH</t>
        </is>
      </c>
      <c r="B100" t="inlineStr">
        <is>
          <t>Kab. Tanah Bumbu</t>
        </is>
      </c>
      <c r="C100" t="inlineStr">
        <is>
          <t>081348551505</t>
        </is>
      </c>
      <c r="D100" t="inlineStr">
        <is>
          <t>cvmahadiraja57@gmail.com</t>
        </is>
      </c>
      <c r="E100" t="inlineStr">
        <is>
          <t>https://lpjk.pu.go.id/search-badan-usaha-detail/NkkwRVFZdVFGQUJ0NE1udThIMndodz09</t>
        </is>
      </c>
      <c r="F100" t="n">
        <v>6</v>
      </c>
      <c r="G100" t="inlineStr">
        <is>
          <t>BG001, BG002, BG005, BG006, BG008, BS004</t>
        </is>
      </c>
      <c r="H100" t="inlineStr">
        <is>
          <t>9 April 2020</t>
        </is>
      </c>
      <c r="I100" s="2" t="n">
        <v>46278</v>
      </c>
      <c r="J100" t="inlineStr">
        <is>
          <t>Disetujui, Pencabutan</t>
        </is>
      </c>
      <c r="K100" t="n">
        <v>60</v>
      </c>
      <c r="L100" t="inlineStr">
        <is>
          <t>13 September 2026</t>
        </is>
      </c>
      <c r="M100" t="inlineStr">
        <is>
          <t>Konstruksi Gedung Hunian, Konstruksi Gedung Kesehatan, Konstruksi Gedung Pendidikan, Konstruksi Gedung Perkantoran, Konstruksi Gedung Tempat Hiburan dan Olahraga, Konstruksi Jaringan Irigasi dan Drainase</t>
        </is>
      </c>
      <c r="N100" t="inlineStr">
        <is>
          <t>K</t>
        </is>
      </c>
      <c r="O100" t="inlineStr">
        <is>
          <t>20230903, 20230908, 20230909</t>
        </is>
      </c>
      <c r="P100" t="inlineStr">
        <is>
          <t>Kalimantan Selatan</t>
        </is>
      </c>
      <c r="Q100" t="inlineStr"/>
    </row>
    <row r="101">
      <c r="A101" t="inlineStr">
        <is>
          <t>MAHAGA PRATAMA</t>
        </is>
      </c>
      <c r="B101" t="inlineStr">
        <is>
          <t>Kota Adm. Jakarta Selatan</t>
        </is>
      </c>
      <c r="C101" t="inlineStr">
        <is>
          <t>0215722125</t>
        </is>
      </c>
      <c r="D101" t="inlineStr">
        <is>
          <t>sales@mahaga-pratama.co.id</t>
        </is>
      </c>
      <c r="E101" t="inlineStr">
        <is>
          <t>https://lpjk.pu.go.id/search-badan-usaha-detail/WnhaalpTMTZWcFN2cVRTdDFBKzJnQT09</t>
        </is>
      </c>
      <c r="F101" t="n">
        <v>1</v>
      </c>
      <c r="G101" t="inlineStr">
        <is>
          <t>IN002</t>
        </is>
      </c>
      <c r="H101" t="inlineStr">
        <is>
          <t>21 Januari 1997</t>
        </is>
      </c>
      <c r="I101" s="2" t="n">
        <v>46278</v>
      </c>
      <c r="J101" t="inlineStr">
        <is>
          <t>Disetujui</t>
        </is>
      </c>
      <c r="K101" t="n">
        <v>60</v>
      </c>
      <c r="L101" t="inlineStr">
        <is>
          <t>13 September 2026</t>
        </is>
      </c>
      <c r="M101" t="inlineStr">
        <is>
          <t>Instalasi Telekomunikasi</t>
        </is>
      </c>
      <c r="N101" t="inlineStr">
        <is>
          <t>Spesialis</t>
        </is>
      </c>
      <c r="O101" t="inlineStr">
        <is>
          <t>20230706</t>
        </is>
      </c>
      <c r="P101" t="inlineStr">
        <is>
          <t>DKI Jakarta</t>
        </is>
      </c>
      <c r="Q101" t="inlineStr"/>
    </row>
    <row r="102">
      <c r="A102" t="inlineStr">
        <is>
          <t>MAHAJAYA MULTI SINERGI</t>
        </is>
      </c>
      <c r="B102" t="inlineStr">
        <is>
          <t>Kota Makassar</t>
        </is>
      </c>
      <c r="C102" t="inlineStr">
        <is>
          <t>082349123600</t>
        </is>
      </c>
      <c r="D102" t="inlineStr">
        <is>
          <t>mahajayajaya7@gmail.com</t>
        </is>
      </c>
      <c r="E102" t="inlineStr">
        <is>
          <t>https://lpjk.pu.go.id/search-badan-usaha-detail/U3duU1dnU0Jad2VqcG1qUmNKcUVFUT09</t>
        </is>
      </c>
      <c r="F102" t="n">
        <v>3</v>
      </c>
      <c r="G102" t="inlineStr">
        <is>
          <t>BG005, BG006, BS007</t>
        </is>
      </c>
      <c r="H102" t="inlineStr">
        <is>
          <t>16 Juni 2022</t>
        </is>
      </c>
      <c r="I102" s="2" t="n">
        <v>46278</v>
      </c>
      <c r="J102" t="inlineStr">
        <is>
          <t>Disetujui</t>
        </is>
      </c>
      <c r="K102" t="n">
        <v>60</v>
      </c>
      <c r="L102" t="inlineStr">
        <is>
          <t>13 September 2026</t>
        </is>
      </c>
      <c r="M102" t="inlineStr">
        <is>
          <t>Konstruksi Bangunan Sipil Elektrikal, Konstruksi Gedung Kesehatan, Konstruksi Gedung Pendidikan</t>
        </is>
      </c>
      <c r="N102" t="inlineStr">
        <is>
          <t>K</t>
        </is>
      </c>
      <c r="O102" t="inlineStr">
        <is>
          <t>20230829, 20230914</t>
        </is>
      </c>
      <c r="P102" t="inlineStr">
        <is>
          <t>Sulawesi Selatan</t>
        </is>
      </c>
      <c r="Q102" t="inlineStr"/>
    </row>
    <row r="103">
      <c r="A103" t="inlineStr">
        <is>
          <t>MAKMUR KONSTRUKSI PRATAMA</t>
        </is>
      </c>
      <c r="B103" t="inlineStr">
        <is>
          <t>Kota Makassar</t>
        </is>
      </c>
      <c r="C103" t="inlineStr">
        <is>
          <t>0811412728</t>
        </is>
      </c>
      <c r="D103" t="inlineStr">
        <is>
          <t>mkp.pt@yahoo.com</t>
        </is>
      </c>
      <c r="E103" t="inlineStr">
        <is>
          <t>https://lpjk.pu.go.id/search-badan-usaha-detail/MjBDbEJ6WDQzejg2blFzQjRUMHhVdz09</t>
        </is>
      </c>
      <c r="F103" t="n">
        <v>1</v>
      </c>
      <c r="G103" t="inlineStr">
        <is>
          <t>BG002</t>
        </is>
      </c>
      <c r="H103" t="inlineStr">
        <is>
          <t>28 Desember 2017</t>
        </is>
      </c>
      <c r="I103" s="2" t="n">
        <v>46278</v>
      </c>
      <c r="J103" t="inlineStr">
        <is>
          <t>Pencabutan</t>
        </is>
      </c>
      <c r="K103" t="n">
        <v>60</v>
      </c>
      <c r="L103" t="inlineStr">
        <is>
          <t>13 September 2026</t>
        </is>
      </c>
      <c r="M103" t="inlineStr">
        <is>
          <t>Konstruksi Gedung Perkantoran</t>
        </is>
      </c>
      <c r="N103" t="inlineStr">
        <is>
          <t>K</t>
        </is>
      </c>
      <c r="O103" t="inlineStr">
        <is>
          <t>20230913</t>
        </is>
      </c>
      <c r="P103" t="inlineStr">
        <is>
          <t>Sulawesi Selatan</t>
        </is>
      </c>
      <c r="Q103" t="inlineStr"/>
    </row>
    <row r="104">
      <c r="A104" t="inlineStr">
        <is>
          <t>MANDIRI JAYA PRIBUMI</t>
        </is>
      </c>
      <c r="B104" t="inlineStr">
        <is>
          <t>Kab. Tuban</t>
        </is>
      </c>
      <c r="C104" t="inlineStr">
        <is>
          <t>082139486681</t>
        </is>
      </c>
      <c r="D104" t="inlineStr">
        <is>
          <t>mandirijayap@yahoo.com</t>
        </is>
      </c>
      <c r="E104" t="inlineStr">
        <is>
          <t>https://lpjk.pu.go.id/search-badan-usaha-detail/TE9ibVlUVkZXVDFST2NqRDRneUduQT09</t>
        </is>
      </c>
      <c r="F104" t="n">
        <v>2</v>
      </c>
      <c r="G104" t="inlineStr">
        <is>
          <t>BG006, BG009</t>
        </is>
      </c>
      <c r="H104" t="inlineStr">
        <is>
          <t>27 Agustus 2014</t>
        </is>
      </c>
      <c r="I104" s="2" t="n">
        <v>46278</v>
      </c>
      <c r="J104" t="inlineStr">
        <is>
          <t>Disetujui</t>
        </is>
      </c>
      <c r="K104" t="n">
        <v>60</v>
      </c>
      <c r="L104" t="inlineStr">
        <is>
          <t>13 September 2026</t>
        </is>
      </c>
      <c r="M104" t="inlineStr">
        <is>
          <t>Konstruksi Gedung Lainnya, Konstruksi Gedung Pendidikan</t>
        </is>
      </c>
      <c r="N104" t="inlineStr">
        <is>
          <t>K</t>
        </is>
      </c>
      <c r="O104" t="inlineStr">
        <is>
          <t>20230902</t>
        </is>
      </c>
      <c r="P104" t="inlineStr">
        <is>
          <t>Jawa Timur</t>
        </is>
      </c>
      <c r="Q104" t="inlineStr"/>
    </row>
    <row r="105">
      <c r="A105" t="inlineStr">
        <is>
          <t>MANDIRI USAHA</t>
        </is>
      </c>
      <c r="B105" t="inlineStr">
        <is>
          <t>Kab. Indramayu</t>
        </is>
      </c>
      <c r="C105" t="inlineStr">
        <is>
          <t>087708774074</t>
        </is>
      </c>
      <c r="D105" t="inlineStr">
        <is>
          <t>mandiriusaha_cv@ymail.com</t>
        </is>
      </c>
      <c r="E105" t="inlineStr">
        <is>
          <t>https://lpjk.pu.go.id/search-badan-usaha-detail/Mmgxamd3WWxjU25MTGhnTUxKRWh5UT09</t>
        </is>
      </c>
      <c r="F105" t="n">
        <v>1</v>
      </c>
      <c r="G105" t="inlineStr">
        <is>
          <t>BS004</t>
        </is>
      </c>
      <c r="H105" t="inlineStr">
        <is>
          <t>9 September 2002</t>
        </is>
      </c>
      <c r="I105" s="2" t="n">
        <v>46278</v>
      </c>
      <c r="J105" t="inlineStr">
        <is>
          <t>Disetujui</t>
        </is>
      </c>
      <c r="K105" t="n">
        <v>60</v>
      </c>
      <c r="L105" t="inlineStr">
        <is>
          <t>13 September 2026</t>
        </is>
      </c>
      <c r="M105" t="inlineStr">
        <is>
          <t>Konstruksi Jaringan Irigasi dan Drainase</t>
        </is>
      </c>
      <c r="N105" t="inlineStr">
        <is>
          <t>K</t>
        </is>
      </c>
      <c r="O105" t="inlineStr">
        <is>
          <t>20230911</t>
        </is>
      </c>
      <c r="P105" t="inlineStr">
        <is>
          <t>Jawa Barat</t>
        </is>
      </c>
      <c r="Q105" t="inlineStr"/>
    </row>
    <row r="106">
      <c r="A106" t="inlineStr">
        <is>
          <t>MANGGALA</t>
        </is>
      </c>
      <c r="B106" t="inlineStr">
        <is>
          <t>Kota Bima</t>
        </is>
      </c>
      <c r="C106" t="inlineStr">
        <is>
          <t>085338465235</t>
        </is>
      </c>
      <c r="D106" t="inlineStr">
        <is>
          <t>manggalabima20@gmail.com</t>
        </is>
      </c>
      <c r="E106" t="inlineStr">
        <is>
          <t>https://lpjk.pu.go.id/search-badan-usaha-detail/MHZEL1AyRW9mRDJUNXVoTEo4RmFHQT09</t>
        </is>
      </c>
      <c r="F106" t="n">
        <v>2</v>
      </c>
      <c r="G106" t="inlineStr">
        <is>
          <t>BG009, BS010</t>
        </is>
      </c>
      <c r="H106" t="inlineStr">
        <is>
          <t>27 September 1993</t>
        </is>
      </c>
      <c r="I106" s="2" t="n">
        <v>46278</v>
      </c>
      <c r="J106" t="inlineStr">
        <is>
          <t>Disetujui, Pencabutan</t>
        </is>
      </c>
      <c r="K106" t="n">
        <v>60</v>
      </c>
      <c r="L106" t="inlineStr">
        <is>
          <t>13 September 2026</t>
        </is>
      </c>
      <c r="M106" t="inlineStr">
        <is>
          <t>Konstruksi Bangunan Prasarana Sumber Daya Air, Konstruksi Gedung Lainnya</t>
        </is>
      </c>
      <c r="N106" t="inlineStr">
        <is>
          <t>K</t>
        </is>
      </c>
      <c r="O106" t="inlineStr">
        <is>
          <t>20230824, 20230913</t>
        </is>
      </c>
      <c r="P106" t="inlineStr">
        <is>
          <t>Nusa Tenggara Barat</t>
        </is>
      </c>
      <c r="Q106" t="inlineStr"/>
    </row>
    <row r="107">
      <c r="A107" t="inlineStr">
        <is>
          <t>MANGGALA GITA KARYA</t>
        </is>
      </c>
      <c r="B107" t="inlineStr">
        <is>
          <t>Kota Adm. Jakarta Utara</t>
        </is>
      </c>
      <c r="C107" t="inlineStr">
        <is>
          <t>02145865675</t>
        </is>
      </c>
      <c r="D107" t="inlineStr">
        <is>
          <t>manggalagkarya@gmail.com</t>
        </is>
      </c>
      <c r="E107" t="inlineStr">
        <is>
          <t>https://lpjk.pu.go.id/search-badan-usaha-detail/Z3o3M1M5cEJ3clhQK29RZHM5c25rQT09</t>
        </is>
      </c>
      <c r="F107" t="n">
        <v>1</v>
      </c>
      <c r="G107" t="inlineStr">
        <is>
          <t>IN010</t>
        </is>
      </c>
      <c r="H107" t="inlineStr">
        <is>
          <t>19 Februari 1986</t>
        </is>
      </c>
      <c r="I107" s="2" t="n">
        <v>46278</v>
      </c>
      <c r="J107" t="inlineStr">
        <is>
          <t>Disetujui</t>
        </is>
      </c>
      <c r="K107" t="n">
        <v>60</v>
      </c>
      <c r="L107" t="inlineStr">
        <is>
          <t>13 September 2026</t>
        </is>
      </c>
      <c r="M107" t="inlineStr">
        <is>
          <t>Instalasi Pengolahan Air Untuk Pembangkit Listrik</t>
        </is>
      </c>
      <c r="N107" t="inlineStr">
        <is>
          <t>Spesialis</t>
        </is>
      </c>
      <c r="O107" t="inlineStr">
        <is>
          <t>20230811</t>
        </is>
      </c>
      <c r="P107" t="inlineStr">
        <is>
          <t>DKI Jakarta</t>
        </is>
      </c>
      <c r="Q107" t="inlineStr"/>
    </row>
    <row r="108">
      <c r="A108" t="inlineStr">
        <is>
          <t>MASA INDAH</t>
        </is>
      </c>
      <c r="B108" t="inlineStr">
        <is>
          <t>Kota Banjarmasin</t>
        </is>
      </c>
      <c r="C108" t="inlineStr">
        <is>
          <t>0811504537</t>
        </is>
      </c>
      <c r="D108" t="inlineStr">
        <is>
          <t>masa.indah03@gmail.com</t>
        </is>
      </c>
      <c r="E108" t="inlineStr">
        <is>
          <t>https://lpjk.pu.go.id/search-badan-usaha-detail/a1dzdDJIZVB5VzM2bVE3SCtsVVgzdz09</t>
        </is>
      </c>
      <c r="F108" t="n">
        <v>1</v>
      </c>
      <c r="G108" t="inlineStr">
        <is>
          <t>BS004</t>
        </is>
      </c>
      <c r="H108" t="inlineStr">
        <is>
          <t>19 Desember 1984</t>
        </is>
      </c>
      <c r="I108" s="2" t="n">
        <v>46278</v>
      </c>
      <c r="J108" t="inlineStr">
        <is>
          <t>Disetujui</t>
        </is>
      </c>
      <c r="K108" t="n">
        <v>60</v>
      </c>
      <c r="L108" t="inlineStr">
        <is>
          <t>13 September 2026</t>
        </is>
      </c>
      <c r="M108" t="inlineStr">
        <is>
          <t>Konstruksi Jaringan Irigasi dan Drainase</t>
        </is>
      </c>
      <c r="N108" t="inlineStr">
        <is>
          <t>K</t>
        </is>
      </c>
      <c r="O108" t="inlineStr">
        <is>
          <t>20230905</t>
        </is>
      </c>
      <c r="P108" t="inlineStr">
        <is>
          <t>Kalimantan Selatan</t>
        </is>
      </c>
      <c r="Q108" t="inlineStr"/>
    </row>
    <row r="109">
      <c r="A109" t="inlineStr">
        <is>
          <t>MENARA PRIMA SEJAHTERA</t>
        </is>
      </c>
      <c r="B109" t="inlineStr">
        <is>
          <t>Kota Makassar</t>
        </is>
      </c>
      <c r="C109" t="inlineStr">
        <is>
          <t>085255735404</t>
        </is>
      </c>
      <c r="D109" t="inlineStr">
        <is>
          <t>menaraprimasejahtera@gmail.com</t>
        </is>
      </c>
      <c r="E109" t="inlineStr">
        <is>
          <t>https://lpjk.pu.go.id/search-badan-usaha-detail/bkk2UzR6azlhTWxzRnIrY3JnMTd1Zz09</t>
        </is>
      </c>
      <c r="F109" t="n">
        <v>2</v>
      </c>
      <c r="G109" t="inlineStr">
        <is>
          <t>BG002, BG006</t>
        </is>
      </c>
      <c r="H109" t="inlineStr">
        <is>
          <t>23 November 2012</t>
        </is>
      </c>
      <c r="I109" s="2" t="n">
        <v>46278</v>
      </c>
      <c r="J109" t="inlineStr">
        <is>
          <t>Disetujui</t>
        </is>
      </c>
      <c r="K109" t="n">
        <v>60</v>
      </c>
      <c r="L109" t="inlineStr">
        <is>
          <t>13 September 2026</t>
        </is>
      </c>
      <c r="M109" t="inlineStr">
        <is>
          <t>Konstruksi Gedung Pendidikan, Konstruksi Gedung Perkantoran</t>
        </is>
      </c>
      <c r="N109" t="inlineStr">
        <is>
          <t>K</t>
        </is>
      </c>
      <c r="O109" t="inlineStr">
        <is>
          <t>20230910</t>
        </is>
      </c>
      <c r="P109" t="inlineStr">
        <is>
          <t>Sulawesi Selatan</t>
        </is>
      </c>
      <c r="Q109" t="inlineStr"/>
    </row>
    <row r="110">
      <c r="A110" t="inlineStr">
        <is>
          <t>MENTARI PINANG KENCANA</t>
        </is>
      </c>
      <c r="B110" t="inlineStr">
        <is>
          <t>Kota Tanjung Pinang</t>
        </is>
      </c>
      <c r="C110" t="inlineStr">
        <is>
          <t>81277390318</t>
        </is>
      </c>
      <c r="D110" t="inlineStr">
        <is>
          <t>mentaripk@gmail.com</t>
        </is>
      </c>
      <c r="E110" t="inlineStr">
        <is>
          <t>https://lpjk.pu.go.id/search-badan-usaha-detail/Z295N2cwL3N4cW9LVkFzUkI5dHBaUT09</t>
        </is>
      </c>
      <c r="F110" t="n">
        <v>1</v>
      </c>
      <c r="G110" t="inlineStr">
        <is>
          <t>BS001</t>
        </is>
      </c>
      <c r="H110" t="inlineStr">
        <is>
          <t>8 Februari 2021</t>
        </is>
      </c>
      <c r="I110" s="2" t="n">
        <v>46278</v>
      </c>
      <c r="J110" t="inlineStr">
        <is>
          <t>Pencabutan</t>
        </is>
      </c>
      <c r="K110" t="n">
        <v>60</v>
      </c>
      <c r="L110" t="inlineStr">
        <is>
          <t>13 September 2026</t>
        </is>
      </c>
      <c r="M110" t="inlineStr">
        <is>
          <t>Konstruksi Bangunan Sipil Jalan</t>
        </is>
      </c>
      <c r="N110" t="inlineStr">
        <is>
          <t>K</t>
        </is>
      </c>
      <c r="O110" t="inlineStr">
        <is>
          <t>20230908</t>
        </is>
      </c>
      <c r="P110" t="inlineStr">
        <is>
          <t>Kepulauan Riau</t>
        </is>
      </c>
      <c r="Q110" t="inlineStr"/>
    </row>
    <row r="111">
      <c r="A111" t="inlineStr">
        <is>
          <t>MIRSEL</t>
        </is>
      </c>
      <c r="B111" t="inlineStr">
        <is>
          <t>Kab. Subang</t>
        </is>
      </c>
      <c r="C111" t="inlineStr">
        <is>
          <t>082112045355</t>
        </is>
      </c>
      <c r="D111" t="inlineStr">
        <is>
          <t>mirsel9079@gmail.com</t>
        </is>
      </c>
      <c r="E111" t="inlineStr">
        <is>
          <t>https://lpjk.pu.go.id/search-badan-usaha-detail/S2l3aCs4eXU1RDBocytua3ZuczZ6UT09</t>
        </is>
      </c>
      <c r="F111" t="n">
        <v>1</v>
      </c>
      <c r="G111" t="inlineStr">
        <is>
          <t>BS001</t>
        </is>
      </c>
      <c r="H111" t="inlineStr">
        <is>
          <t>25 September 2019</t>
        </is>
      </c>
      <c r="I111" s="2" t="n">
        <v>46278</v>
      </c>
      <c r="J111" t="inlineStr">
        <is>
          <t>Pencabutan</t>
        </is>
      </c>
      <c r="K111" t="n">
        <v>60</v>
      </c>
      <c r="L111" t="inlineStr">
        <is>
          <t>13 September 2026</t>
        </is>
      </c>
      <c r="M111" t="inlineStr">
        <is>
          <t>Konstruksi Bangunan Sipil Jalan</t>
        </is>
      </c>
      <c r="N111" t="inlineStr">
        <is>
          <t>K</t>
        </is>
      </c>
      <c r="O111" t="inlineStr">
        <is>
          <t>20230911</t>
        </is>
      </c>
      <c r="P111" t="inlineStr">
        <is>
          <t>Jawa Barat</t>
        </is>
      </c>
      <c r="Q111" t="inlineStr"/>
    </row>
    <row r="112">
      <c r="A112" t="inlineStr">
        <is>
          <t>MITRA BERSAUDARA MANDIRI</t>
        </is>
      </c>
      <c r="B112" t="inlineStr">
        <is>
          <t>Kab. Padang Lawas Utara</t>
        </is>
      </c>
      <c r="C112" t="inlineStr">
        <is>
          <t>082278270029</t>
        </is>
      </c>
      <c r="D112" t="inlineStr">
        <is>
          <t>cvmitrasaudaram@gmail.com</t>
        </is>
      </c>
      <c r="E112" t="inlineStr">
        <is>
          <t>https://lpjk.pu.go.id/search-badan-usaha-detail/eGp6OVFyNFFuSFZRNVYwajliekN5Zz09</t>
        </is>
      </c>
      <c r="F112" t="n">
        <v>1</v>
      </c>
      <c r="G112" t="inlineStr">
        <is>
          <t>BS004</t>
        </is>
      </c>
      <c r="H112" t="inlineStr">
        <is>
          <t>14 Juli 2023</t>
        </is>
      </c>
      <c r="I112" s="2" t="n">
        <v>46278</v>
      </c>
      <c r="J112" t="inlineStr">
        <is>
          <t>Disetujui</t>
        </is>
      </c>
      <c r="K112" t="n">
        <v>60</v>
      </c>
      <c r="L112" t="inlineStr">
        <is>
          <t>13 September 2026</t>
        </is>
      </c>
      <c r="M112" t="inlineStr">
        <is>
          <t>Konstruksi Jaringan Irigasi dan Drainase</t>
        </is>
      </c>
      <c r="N112" t="inlineStr">
        <is>
          <t>K</t>
        </is>
      </c>
      <c r="O112" t="inlineStr">
        <is>
          <t>20230912</t>
        </is>
      </c>
      <c r="P112" t="inlineStr">
        <is>
          <t>Sumatera Utara</t>
        </is>
      </c>
      <c r="Q112" t="inlineStr"/>
    </row>
    <row r="113">
      <c r="A113" t="inlineStr">
        <is>
          <t>MITRA HARAPAN KITA</t>
        </is>
      </c>
      <c r="B113" t="inlineStr">
        <is>
          <t>Kab. Halmahera Selatan</t>
        </is>
      </c>
      <c r="C113" t="inlineStr">
        <is>
          <t>081312364353</t>
        </is>
      </c>
      <c r="D113" t="inlineStr">
        <is>
          <t>cv.mitraharapankita@gmail.com</t>
        </is>
      </c>
      <c r="E113" t="inlineStr">
        <is>
          <t>https://lpjk.pu.go.id/search-badan-usaha-detail/WTQwVUIzRG9paFQyTHZXK3dnRjRJUT09</t>
        </is>
      </c>
      <c r="F113" t="n">
        <v>1</v>
      </c>
      <c r="G113" t="inlineStr">
        <is>
          <t>BS010</t>
        </is>
      </c>
      <c r="H113" t="inlineStr">
        <is>
          <t>6 Juni 2023</t>
        </is>
      </c>
      <c r="I113" s="2" t="n">
        <v>46278</v>
      </c>
      <c r="J113" t="inlineStr">
        <is>
          <t>Pencabutan</t>
        </is>
      </c>
      <c r="K113" t="n">
        <v>60</v>
      </c>
      <c r="L113" t="inlineStr">
        <is>
          <t>13 September 2026</t>
        </is>
      </c>
      <c r="M113" t="inlineStr">
        <is>
          <t>Konstruksi Bangunan Prasarana Sumber Daya Air</t>
        </is>
      </c>
      <c r="N113" t="inlineStr">
        <is>
          <t>K</t>
        </is>
      </c>
      <c r="O113" t="inlineStr">
        <is>
          <t>20230913</t>
        </is>
      </c>
      <c r="P113" t="inlineStr">
        <is>
          <t>Maluku Utara</t>
        </is>
      </c>
      <c r="Q113" t="inlineStr"/>
    </row>
    <row r="114">
      <c r="A114" t="inlineStr">
        <is>
          <t>MITRA SARANA MEMBANGUN</t>
        </is>
      </c>
      <c r="B114" t="inlineStr">
        <is>
          <t>Kota Tangerang Selatan</t>
        </is>
      </c>
      <c r="C114" t="inlineStr">
        <is>
          <t>02122271331</t>
        </is>
      </c>
      <c r="D114" t="inlineStr">
        <is>
          <t>PIC@MSMGROUP.CO</t>
        </is>
      </c>
      <c r="E114" t="inlineStr">
        <is>
          <t>https://lpjk.pu.go.id/search-badan-usaha-detail/Tm1DNFlWMnIwN2xMQ0RTVzYxUS9lZz09</t>
        </is>
      </c>
      <c r="F114" t="n">
        <v>4</v>
      </c>
      <c r="G114" t="inlineStr">
        <is>
          <t>KK001, KK012, KK016</t>
        </is>
      </c>
      <c r="H114" t="inlineStr">
        <is>
          <t>17 Juni 2019</t>
        </is>
      </c>
      <c r="I114" s="2" t="n">
        <v>46278</v>
      </c>
      <c r="J114" t="inlineStr">
        <is>
          <t>Disetujui</t>
        </is>
      </c>
      <c r="K114" t="n">
        <v>60</v>
      </c>
      <c r="L114" t="inlineStr">
        <is>
          <t>13 September 2026</t>
        </is>
      </c>
      <c r="M114" t="inlineStr">
        <is>
          <t>Pekerjaan Struktur Beton, Pemasangan Kerangka Baja, Pondasi Konstruksi</t>
        </is>
      </c>
      <c r="N114" t="inlineStr">
        <is>
          <t>Spesialis</t>
        </is>
      </c>
      <c r="O114" t="inlineStr">
        <is>
          <t>20230914</t>
        </is>
      </c>
      <c r="P114" t="inlineStr">
        <is>
          <t>Banten</t>
        </is>
      </c>
      <c r="Q114" t="inlineStr"/>
    </row>
    <row r="115">
      <c r="A115" t="inlineStr">
        <is>
          <t>MUARA MITRA RIAU</t>
        </is>
      </c>
      <c r="B115" t="inlineStr">
        <is>
          <t>Kota Pekanbaru</t>
        </is>
      </c>
      <c r="C115" t="inlineStr">
        <is>
          <t>082387745888</t>
        </is>
      </c>
      <c r="D115" t="inlineStr">
        <is>
          <t>cv.mmriau@gmail.com</t>
        </is>
      </c>
      <c r="E115" t="inlineStr">
        <is>
          <t>https://lpjk.pu.go.id/search-badan-usaha-detail/NElnT051STY4Sk10dC9IZFhhUmcwQT09</t>
        </is>
      </c>
      <c r="F115" t="n">
        <v>2</v>
      </c>
      <c r="G115" t="inlineStr">
        <is>
          <t>BS001, BS004</t>
        </is>
      </c>
      <c r="H115" t="inlineStr">
        <is>
          <t>11 Oktober 2003</t>
        </is>
      </c>
      <c r="I115" s="2" t="n">
        <v>46278</v>
      </c>
      <c r="J115" t="inlineStr">
        <is>
          <t>Disetujui</t>
        </is>
      </c>
      <c r="K115" t="n">
        <v>60</v>
      </c>
      <c r="L115" t="inlineStr">
        <is>
          <t>13 September 2026</t>
        </is>
      </c>
      <c r="M115" t="inlineStr">
        <is>
          <t>Konstruksi Bangunan Sipil Jalan, Konstruksi Jaringan Irigasi dan Drainase</t>
        </is>
      </c>
      <c r="N115" t="inlineStr">
        <is>
          <t>K</t>
        </is>
      </c>
      <c r="O115" t="inlineStr">
        <is>
          <t>20230912, 20230913</t>
        </is>
      </c>
      <c r="P115" t="inlineStr">
        <is>
          <t>Riau</t>
        </is>
      </c>
      <c r="Q115" t="inlineStr"/>
    </row>
    <row r="116">
      <c r="A116" t="inlineStr">
        <is>
          <t>MULTIPLAN KONSULTAN</t>
        </is>
      </c>
      <c r="B116" t="inlineStr">
        <is>
          <t>Kota Jambi</t>
        </is>
      </c>
      <c r="C116" t="inlineStr">
        <is>
          <t>-</t>
        </is>
      </c>
      <c r="D116" t="inlineStr">
        <is>
          <t>ardityaaulia@gmail.com</t>
        </is>
      </c>
      <c r="E116" t="inlineStr">
        <is>
          <t>https://lpjk.pu.go.id/search-badan-usaha-detail/R0Fsc0hHYmFxUFZJVHZ1cmw3Z2FuQT09</t>
        </is>
      </c>
      <c r="F116" t="n">
        <v>2</v>
      </c>
      <c r="G116" t="inlineStr">
        <is>
          <t>AR001, AR002</t>
        </is>
      </c>
      <c r="H116" t="inlineStr">
        <is>
          <t>25 Februari 2020</t>
        </is>
      </c>
      <c r="I116" s="2" t="n">
        <v>46278</v>
      </c>
      <c r="J116" t="inlineStr">
        <is>
          <t>Disetujui</t>
        </is>
      </c>
      <c r="K116" t="n">
        <v>60</v>
      </c>
      <c r="L116" t="inlineStr">
        <is>
          <t>13 September 2026</t>
        </is>
      </c>
      <c r="M116" t="inlineStr">
        <is>
          <t>Jasa Arsitektural Bangunan Gedung Hunian dan Non Hunian, Jasa Arsitektural Lainnya</t>
        </is>
      </c>
      <c r="N116" t="inlineStr">
        <is>
          <t>K</t>
        </is>
      </c>
      <c r="O116" t="inlineStr">
        <is>
          <t>20230825</t>
        </is>
      </c>
      <c r="P116" t="inlineStr">
        <is>
          <t>Jambi</t>
        </is>
      </c>
      <c r="Q116" t="inlineStr"/>
    </row>
    <row r="117">
      <c r="A117" t="inlineStr">
        <is>
          <t>MUTIARA PASIFIK SEJAHTERA</t>
        </is>
      </c>
      <c r="B117" t="inlineStr">
        <is>
          <t>Kab. Biak Numfor</t>
        </is>
      </c>
      <c r="C117" t="inlineStr">
        <is>
          <t>08114827664</t>
        </is>
      </c>
      <c r="D117" t="inlineStr">
        <is>
          <t>pt.mutiarapasifiksejahtera@yahoo.co.id</t>
        </is>
      </c>
      <c r="E117" t="inlineStr">
        <is>
          <t>https://lpjk.pu.go.id/search-badan-usaha-detail/c05udUwxY3lLUm93QWwzaXRyckhDdz09</t>
        </is>
      </c>
      <c r="F117" t="n">
        <v>8</v>
      </c>
      <c r="G117" t="inlineStr">
        <is>
          <t>BG002, BG005, BG006, BG009</t>
        </is>
      </c>
      <c r="H117" t="inlineStr">
        <is>
          <t>20 Desember 2011</t>
        </is>
      </c>
      <c r="I117" s="2" t="n">
        <v>46278</v>
      </c>
      <c r="J117" t="inlineStr">
        <is>
          <t>Disetujui</t>
        </is>
      </c>
      <c r="K117" t="n">
        <v>60</v>
      </c>
      <c r="L117" t="inlineStr">
        <is>
          <t>13 September 2026</t>
        </is>
      </c>
      <c r="M117" t="inlineStr">
        <is>
          <t>Konstruksi Gedung Kesehatan, Konstruksi Gedung Lainnya, Konstruksi Gedung Pendidikan, Konstruksi Gedung Perkantoran</t>
        </is>
      </c>
      <c r="N117" t="inlineStr">
        <is>
          <t>K</t>
        </is>
      </c>
      <c r="O117" t="inlineStr">
        <is>
          <t>20230913, 20230914</t>
        </is>
      </c>
      <c r="P117" t="inlineStr">
        <is>
          <t>Papua</t>
        </is>
      </c>
      <c r="Q117" t="inlineStr"/>
    </row>
    <row r="118">
      <c r="A118" t="inlineStr">
        <is>
          <t>MUTIARA UTAMA</t>
        </is>
      </c>
      <c r="B118" t="inlineStr">
        <is>
          <t>Kab. Kotawaringin Timur</t>
        </is>
      </c>
      <c r="C118" t="inlineStr">
        <is>
          <t>081343321700</t>
        </is>
      </c>
      <c r="D118" t="inlineStr">
        <is>
          <t>cv.mutiara_utama@yahoo.co.id</t>
        </is>
      </c>
      <c r="E118" t="inlineStr">
        <is>
          <t>https://lpjk.pu.go.id/search-badan-usaha-detail/UE9VckhnREl0YkV1ak01Rk1JdjljZz09</t>
        </is>
      </c>
      <c r="F118" t="n">
        <v>2</v>
      </c>
      <c r="G118" t="inlineStr">
        <is>
          <t>BG009</t>
        </is>
      </c>
      <c r="H118" t="inlineStr">
        <is>
          <t>2 Februari 2015</t>
        </is>
      </c>
      <c r="I118" s="2" t="n">
        <v>46278</v>
      </c>
      <c r="J118" t="inlineStr">
        <is>
          <t>Disetujui</t>
        </is>
      </c>
      <c r="K118" t="n">
        <v>60</v>
      </c>
      <c r="L118" t="inlineStr">
        <is>
          <t>13 September 2026</t>
        </is>
      </c>
      <c r="M118" t="inlineStr">
        <is>
          <t>Konstruksi Gedung Lainnya</t>
        </is>
      </c>
      <c r="N118" t="inlineStr">
        <is>
          <t>K</t>
        </is>
      </c>
      <c r="O118" t="inlineStr">
        <is>
          <t>20230911</t>
        </is>
      </c>
      <c r="P118" t="inlineStr">
        <is>
          <t>Kalimantan Tengah</t>
        </is>
      </c>
      <c r="Q118" t="inlineStr"/>
    </row>
    <row r="119">
      <c r="A119" t="inlineStr">
        <is>
          <t>NAGABE JAYA MANDIRI</t>
        </is>
      </c>
      <c r="B119" t="inlineStr">
        <is>
          <t>Kota Padang Sidempuan</t>
        </is>
      </c>
      <c r="C119" t="inlineStr">
        <is>
          <t>082260211854</t>
        </is>
      </c>
      <c r="D119" t="inlineStr">
        <is>
          <t>nagabejayamandiripsp@gmail.com</t>
        </is>
      </c>
      <c r="E119" t="inlineStr">
        <is>
          <t>https://lpjk.pu.go.id/search-badan-usaha-detail/ZktaNE1TSjlhb0twU0psWGVkNm9OUT09</t>
        </is>
      </c>
      <c r="F119" t="n">
        <v>1</v>
      </c>
      <c r="G119" t="inlineStr">
        <is>
          <t>BG006</t>
        </is>
      </c>
      <c r="H119" t="inlineStr">
        <is>
          <t>15 Juli 2023</t>
        </is>
      </c>
      <c r="I119" s="2" t="n">
        <v>46278</v>
      </c>
      <c r="J119" t="inlineStr">
        <is>
          <t>Pencabutan</t>
        </is>
      </c>
      <c r="K119" t="n">
        <v>60</v>
      </c>
      <c r="L119" t="inlineStr">
        <is>
          <t>13 September 2026</t>
        </is>
      </c>
      <c r="M119" t="inlineStr">
        <is>
          <t>Konstruksi Gedung Pendidikan</t>
        </is>
      </c>
      <c r="N119" t="inlineStr">
        <is>
          <t>K</t>
        </is>
      </c>
      <c r="O119" t="inlineStr">
        <is>
          <t>20230912</t>
        </is>
      </c>
      <c r="P119" t="inlineStr">
        <is>
          <t>Sumatera Utara</t>
        </is>
      </c>
      <c r="Q119" t="inlineStr"/>
    </row>
    <row r="120">
      <c r="A120" t="inlineStr">
        <is>
          <t>NAROTAMA TENAN</t>
        </is>
      </c>
      <c r="B120" t="inlineStr">
        <is>
          <t>Kab. Ngawi</t>
        </is>
      </c>
      <c r="C120" t="inlineStr">
        <is>
          <t>081553070732</t>
        </is>
      </c>
      <c r="D120" t="inlineStr">
        <is>
          <t>cv.narotamatenan.ngawi@gmail.com</t>
        </is>
      </c>
      <c r="E120" t="inlineStr">
        <is>
          <t>https://lpjk.pu.go.id/search-badan-usaha-detail/dEFla2VLN2QzeUliOG1yczF0TEhzUT09</t>
        </is>
      </c>
      <c r="F120" t="n">
        <v>6</v>
      </c>
      <c r="G120" t="inlineStr">
        <is>
          <t>BG002, BG004, BG005, BG006, BG009, BS001</t>
        </is>
      </c>
      <c r="H120" t="inlineStr">
        <is>
          <t>3 Juli 2020</t>
        </is>
      </c>
      <c r="I120" s="2" t="n">
        <v>46278</v>
      </c>
      <c r="J120" t="inlineStr">
        <is>
          <t>Disetujui</t>
        </is>
      </c>
      <c r="K120" t="n">
        <v>60</v>
      </c>
      <c r="L120" t="inlineStr">
        <is>
          <t>13 September 2026</t>
        </is>
      </c>
      <c r="M120" t="inlineStr">
        <is>
          <t>Konstruksi Bangunan Sipil Jalan, Konstruksi Gedung Kesehatan, Konstruksi Gedung Lainnya, Konstruksi Gedung Pendidikan, Konstruksi Gedung Perbelanjaan, Konstruksi Gedung Perkantoran</t>
        </is>
      </c>
      <c r="N120" t="inlineStr">
        <is>
          <t>K</t>
        </is>
      </c>
      <c r="O120" t="inlineStr">
        <is>
          <t>20230911, 20230913, 20230914</t>
        </is>
      </c>
      <c r="P120" t="inlineStr">
        <is>
          <t>Jawa Timur</t>
        </is>
      </c>
      <c r="Q120" t="inlineStr"/>
    </row>
    <row r="121">
      <c r="A121" t="inlineStr">
        <is>
          <t>NINDY PRATAMA</t>
        </is>
      </c>
      <c r="B121" t="inlineStr">
        <is>
          <t>Kab. Mamuju</t>
        </is>
      </c>
      <c r="C121" t="inlineStr">
        <is>
          <t>085275444062</t>
        </is>
      </c>
      <c r="D121" t="inlineStr">
        <is>
          <t>cv.nindypratama@gmail.com</t>
        </is>
      </c>
      <c r="E121" t="inlineStr">
        <is>
          <t>https://lpjk.pu.go.id/search-badan-usaha-detail/dE54d0pHUHRNUXZmNXpJSGRzNEEyQT09</t>
        </is>
      </c>
      <c r="F121" t="n">
        <v>2</v>
      </c>
      <c r="G121" t="inlineStr">
        <is>
          <t>BG005, BG006</t>
        </is>
      </c>
      <c r="H121" t="inlineStr">
        <is>
          <t>9 Januari 2007</t>
        </is>
      </c>
      <c r="I121" s="2" t="n">
        <v>46278</v>
      </c>
      <c r="J121" t="inlineStr">
        <is>
          <t>Disetujui</t>
        </is>
      </c>
      <c r="K121" t="n">
        <v>60</v>
      </c>
      <c r="L121" t="inlineStr">
        <is>
          <t>13 September 2026</t>
        </is>
      </c>
      <c r="M121" t="inlineStr">
        <is>
          <t>Konstruksi Gedung Kesehatan, Konstruksi Gedung Pendidikan</t>
        </is>
      </c>
      <c r="N121" t="inlineStr">
        <is>
          <t>K</t>
        </is>
      </c>
      <c r="O121" t="inlineStr">
        <is>
          <t>20230911</t>
        </is>
      </c>
      <c r="P121" t="inlineStr">
        <is>
          <t>Sulawesi Barat</t>
        </is>
      </c>
      <c r="Q121" t="inlineStr"/>
    </row>
    <row r="122">
      <c r="A122" t="inlineStr">
        <is>
          <t>NUSA INDAH RAYA</t>
        </is>
      </c>
      <c r="B122" t="inlineStr">
        <is>
          <t>Kota Banjarmasin</t>
        </is>
      </c>
      <c r="C122" t="inlineStr">
        <is>
          <t>081251994739</t>
        </is>
      </c>
      <c r="D122" t="inlineStr">
        <is>
          <t>cv_nusaindahraya@yahoo.com</t>
        </is>
      </c>
      <c r="E122" t="inlineStr">
        <is>
          <t>https://lpjk.pu.go.id/search-badan-usaha-detail/SkJqSTVVZG1iUytIeEg0WlBNOFp5UT09</t>
        </is>
      </c>
      <c r="F122" t="n">
        <v>1</v>
      </c>
      <c r="G122" t="inlineStr">
        <is>
          <t>BG009</t>
        </is>
      </c>
      <c r="H122" t="inlineStr">
        <is>
          <t>18 Desember 2000</t>
        </is>
      </c>
      <c r="I122" s="2" t="n">
        <v>46278</v>
      </c>
      <c r="J122" t="inlineStr">
        <is>
          <t>Disetujui</t>
        </is>
      </c>
      <c r="K122" t="n">
        <v>60</v>
      </c>
      <c r="L122" t="inlineStr">
        <is>
          <t>13 September 2026</t>
        </is>
      </c>
      <c r="M122" t="inlineStr">
        <is>
          <t>Konstruksi Gedung Lainnya</t>
        </is>
      </c>
      <c r="N122" t="inlineStr">
        <is>
          <t>K</t>
        </is>
      </c>
      <c r="O122" t="inlineStr">
        <is>
          <t>20230828</t>
        </is>
      </c>
      <c r="P122" t="inlineStr">
        <is>
          <t>Kalimantan Selatan</t>
        </is>
      </c>
      <c r="Q122" t="inlineStr"/>
    </row>
    <row r="123">
      <c r="A123" t="inlineStr">
        <is>
          <t>NUSA MANDIRI</t>
        </is>
      </c>
      <c r="B123" t="inlineStr">
        <is>
          <t>Kab. Katingan</t>
        </is>
      </c>
      <c r="C123" t="inlineStr">
        <is>
          <t>085249071979</t>
        </is>
      </c>
      <c r="D123" t="inlineStr">
        <is>
          <t>nusamandiricv@gmail.com</t>
        </is>
      </c>
      <c r="E123" t="inlineStr">
        <is>
          <t>https://lpjk.pu.go.id/search-badan-usaha-detail/N1VudjcwL2hnYm9NeCtOVjdEWk5FUT09</t>
        </is>
      </c>
      <c r="F123" t="n">
        <v>3</v>
      </c>
      <c r="G123" t="inlineStr">
        <is>
          <t>BG005, BG006, BG009</t>
        </is>
      </c>
      <c r="H123" t="inlineStr">
        <is>
          <t>11 Januari 2016</t>
        </is>
      </c>
      <c r="I123" s="2" t="n">
        <v>46278</v>
      </c>
      <c r="J123" t="inlineStr">
        <is>
          <t>Disetujui</t>
        </is>
      </c>
      <c r="K123" t="n">
        <v>60</v>
      </c>
      <c r="L123" t="inlineStr">
        <is>
          <t>13 September 2026</t>
        </is>
      </c>
      <c r="M123" t="inlineStr">
        <is>
          <t>Konstruksi Gedung Kesehatan, Konstruksi Gedung Lainnya, Konstruksi Gedung Pendidikan</t>
        </is>
      </c>
      <c r="N123" t="inlineStr">
        <is>
          <t>K</t>
        </is>
      </c>
      <c r="O123" t="inlineStr">
        <is>
          <t>20230912</t>
        </is>
      </c>
      <c r="P123" t="inlineStr">
        <is>
          <t>Kalimantan Tengah</t>
        </is>
      </c>
      <c r="Q123" t="inlineStr"/>
    </row>
    <row r="124">
      <c r="A124" t="inlineStr">
        <is>
          <t>PALMA UTAMA LESTARI</t>
        </is>
      </c>
      <c r="B124" t="inlineStr">
        <is>
          <t>Kota Medan</t>
        </is>
      </c>
      <c r="C124" t="inlineStr">
        <is>
          <t>0811610251</t>
        </is>
      </c>
      <c r="D124" t="inlineStr">
        <is>
          <t>pt.palmautamalestari@gmail.com</t>
        </is>
      </c>
      <c r="E124" t="inlineStr">
        <is>
          <t>https://lpjk.pu.go.id/search-badan-usaha-detail/N0krL2JuNmVCQWcyZ2hRN2tkQ1ZlQT09</t>
        </is>
      </c>
      <c r="F124" t="n">
        <v>1</v>
      </c>
      <c r="G124" t="inlineStr">
        <is>
          <t>BG009</t>
        </is>
      </c>
      <c r="H124" t="inlineStr">
        <is>
          <t>13 Mei 2014</t>
        </is>
      </c>
      <c r="I124" s="2" t="n">
        <v>46278</v>
      </c>
      <c r="J124" t="inlineStr">
        <is>
          <t>Pencabutan</t>
        </is>
      </c>
      <c r="K124" t="n">
        <v>60</v>
      </c>
      <c r="L124" t="inlineStr">
        <is>
          <t>13 September 2026</t>
        </is>
      </c>
      <c r="M124" t="inlineStr">
        <is>
          <t>Konstruksi Gedung Lainnya</t>
        </is>
      </c>
      <c r="N124" t="inlineStr">
        <is>
          <t>K</t>
        </is>
      </c>
      <c r="O124" t="inlineStr">
        <is>
          <t>20230913</t>
        </is>
      </c>
      <c r="P124" t="inlineStr">
        <is>
          <t>Sumatera Utara</t>
        </is>
      </c>
      <c r="Q124" t="inlineStr"/>
    </row>
    <row r="125">
      <c r="A125" t="inlineStr">
        <is>
          <t>PANCANG JAYA</t>
        </is>
      </c>
      <c r="B125" t="inlineStr">
        <is>
          <t>Kab. Kebumen</t>
        </is>
      </c>
      <c r="C125" t="inlineStr">
        <is>
          <t>081392447977</t>
        </is>
      </c>
      <c r="D125" t="inlineStr">
        <is>
          <t>cvpancangjaya@gmail.com</t>
        </is>
      </c>
      <c r="E125" t="inlineStr">
        <is>
          <t>https://lpjk.pu.go.id/search-badan-usaha-detail/RzRjaTA4YkNRSGhkbHRMV0xmNzViUT09</t>
        </is>
      </c>
      <c r="F125" t="n">
        <v>8</v>
      </c>
      <c r="G125" t="inlineStr">
        <is>
          <t>BG005, BG006, BG009, BS002</t>
        </is>
      </c>
      <c r="H125" t="inlineStr">
        <is>
          <t>4 Januari 2011</t>
        </is>
      </c>
      <c r="I125" s="2" t="n">
        <v>46278</v>
      </c>
      <c r="J125" t="inlineStr">
        <is>
          <t>Disetujui</t>
        </is>
      </c>
      <c r="K125" t="n">
        <v>60</v>
      </c>
      <c r="L125" t="inlineStr">
        <is>
          <t>13 September 2026</t>
        </is>
      </c>
      <c r="M125" t="inlineStr">
        <is>
          <t>Bangunan Sipil Jembatan, Jalan Layang, Fly Over, dan Underpass, Konstruksi Gedung Kesehatan, Konstruksi Gedung Lainnya, Konstruksi Gedung Pendidikan</t>
        </is>
      </c>
      <c r="N125" t="inlineStr">
        <is>
          <t>K</t>
        </is>
      </c>
      <c r="O125" t="inlineStr">
        <is>
          <t>20230816</t>
        </is>
      </c>
      <c r="P125" t="inlineStr">
        <is>
          <t>Jawa Tengah</t>
        </is>
      </c>
      <c r="Q125" t="inlineStr"/>
    </row>
    <row r="126">
      <c r="A126" t="inlineStr">
        <is>
          <t>PANDAWA</t>
        </is>
      </c>
      <c r="B126" t="inlineStr">
        <is>
          <t>Kab. Kudus</t>
        </is>
      </c>
      <c r="C126" t="inlineStr">
        <is>
          <t>082242405888</t>
        </is>
      </c>
      <c r="D126" t="inlineStr">
        <is>
          <t>pranoto.cvpandawa123@yahoo.com</t>
        </is>
      </c>
      <c r="E126" t="inlineStr">
        <is>
          <t>https://lpjk.pu.go.id/search-badan-usaha-detail/aUtaMEdXRGZ2OWJYZ21LUXloN3dRQT09</t>
        </is>
      </c>
      <c r="F126" t="n">
        <v>6</v>
      </c>
      <c r="G126" t="inlineStr">
        <is>
          <t>BG001, BG002, BG009</t>
        </is>
      </c>
      <c r="H126" t="inlineStr">
        <is>
          <t>17 Juli 2012</t>
        </is>
      </c>
      <c r="I126" s="2" t="n">
        <v>46278</v>
      </c>
      <c r="J126" t="inlineStr">
        <is>
          <t>Pencabutan</t>
        </is>
      </c>
      <c r="K126" t="n">
        <v>60</v>
      </c>
      <c r="L126" t="inlineStr">
        <is>
          <t>13 September 2026</t>
        </is>
      </c>
      <c r="M126" t="inlineStr">
        <is>
          <t>Konstruksi Gedung Hunian, Konstruksi Gedung Lainnya, Konstruksi Gedung Perkantoran</t>
        </is>
      </c>
      <c r="N126" t="inlineStr">
        <is>
          <t>K</t>
        </is>
      </c>
      <c r="O126" t="inlineStr">
        <is>
          <t>20230911</t>
        </is>
      </c>
      <c r="P126" t="inlineStr">
        <is>
          <t>Jawa Tengah</t>
        </is>
      </c>
      <c r="Q126" t="inlineStr"/>
    </row>
    <row r="127">
      <c r="A127" t="inlineStr">
        <is>
          <t>PERKASA BERKAT MANDIRI</t>
        </is>
      </c>
      <c r="B127" t="inlineStr">
        <is>
          <t>Kota Tangerang</t>
        </is>
      </c>
      <c r="C127" t="inlineStr">
        <is>
          <t>081315734734</t>
        </is>
      </c>
      <c r="D127" t="inlineStr">
        <is>
          <t>perkasaberkat@yahoo.com</t>
        </is>
      </c>
      <c r="E127" t="inlineStr">
        <is>
          <t>https://lpjk.pu.go.id/search-badan-usaha-detail/QnRsai92ZTAvckdwTEthQmIxc2dSdz09</t>
        </is>
      </c>
      <c r="F127" t="n">
        <v>1</v>
      </c>
      <c r="G127" t="inlineStr">
        <is>
          <t>BG001</t>
        </is>
      </c>
      <c r="H127" t="inlineStr">
        <is>
          <t>22 Juni 2012</t>
        </is>
      </c>
      <c r="I127" s="2" t="n">
        <v>46278</v>
      </c>
      <c r="J127" t="inlineStr">
        <is>
          <t>Disetujui</t>
        </is>
      </c>
      <c r="K127" t="n">
        <v>60</v>
      </c>
      <c r="L127" t="inlineStr">
        <is>
          <t>13 September 2026</t>
        </is>
      </c>
      <c r="M127" t="inlineStr">
        <is>
          <t>Konstruksi Gedung Hunian</t>
        </is>
      </c>
      <c r="N127" t="inlineStr">
        <is>
          <t>K</t>
        </is>
      </c>
      <c r="O127" t="inlineStr">
        <is>
          <t>20230908</t>
        </is>
      </c>
      <c r="P127" t="inlineStr">
        <is>
          <t>Banten</t>
        </is>
      </c>
      <c r="Q127" t="inlineStr"/>
    </row>
    <row r="128">
      <c r="A128" t="inlineStr">
        <is>
          <t>PESONA ALAM MULIA</t>
        </is>
      </c>
      <c r="B128" t="inlineStr">
        <is>
          <t>Kab. Madiun</t>
        </is>
      </c>
      <c r="C128" t="inlineStr">
        <is>
          <t>081359538946</t>
        </is>
      </c>
      <c r="D128" t="inlineStr">
        <is>
          <t>pesonaalammulia@gmail.com</t>
        </is>
      </c>
      <c r="E128" t="inlineStr">
        <is>
          <t>https://lpjk.pu.go.id/search-badan-usaha-detail/RG8zZVMyNHY1TEFIT2dPeml2eEVsdz09</t>
        </is>
      </c>
      <c r="F128" t="n">
        <v>2</v>
      </c>
      <c r="G128" t="inlineStr">
        <is>
          <t>BS001, BS004</t>
        </is>
      </c>
      <c r="H128" t="inlineStr">
        <is>
          <t>19 Desember 2018</t>
        </is>
      </c>
      <c r="I128" s="2" t="n">
        <v>46278</v>
      </c>
      <c r="J128" t="inlineStr">
        <is>
          <t>Disetujui</t>
        </is>
      </c>
      <c r="K128" t="n">
        <v>60</v>
      </c>
      <c r="L128" t="inlineStr">
        <is>
          <t>13 September 2026</t>
        </is>
      </c>
      <c r="M128" t="inlineStr">
        <is>
          <t>Konstruksi Bangunan Sipil Jalan, Konstruksi Jaringan Irigasi dan Drainase</t>
        </is>
      </c>
      <c r="N128" t="inlineStr">
        <is>
          <t>K</t>
        </is>
      </c>
      <c r="O128" t="inlineStr">
        <is>
          <t>20230906, 20230907</t>
        </is>
      </c>
      <c r="P128" t="inlineStr">
        <is>
          <t>Jawa Timur</t>
        </is>
      </c>
      <c r="Q128" t="inlineStr"/>
    </row>
    <row r="129">
      <c r="A129" t="inlineStr">
        <is>
          <t>PETRA SEJAHTERA</t>
        </is>
      </c>
      <c r="B129" t="inlineStr">
        <is>
          <t>Kab. Nabire</t>
        </is>
      </c>
      <c r="C129" t="inlineStr">
        <is>
          <t>081344449900</t>
        </is>
      </c>
      <c r="D129" t="inlineStr">
        <is>
          <t>bigbosqu1975@gmail.com</t>
        </is>
      </c>
      <c r="E129" t="inlineStr">
        <is>
          <t>https://lpjk.pu.go.id/search-badan-usaha-detail/ZVFHVWtzQjFxTUFDM3o1S0lIbkRvQT09</t>
        </is>
      </c>
      <c r="F129" t="n">
        <v>1</v>
      </c>
      <c r="G129" t="inlineStr">
        <is>
          <t>BS007</t>
        </is>
      </c>
      <c r="H129" t="inlineStr">
        <is>
          <t>11 Maret 2013</t>
        </is>
      </c>
      <c r="I129" s="2" t="n">
        <v>46278</v>
      </c>
      <c r="J129" t="inlineStr">
        <is>
          <t>Disetujui</t>
        </is>
      </c>
      <c r="K129" t="n">
        <v>60</v>
      </c>
      <c r="L129" t="inlineStr">
        <is>
          <t>13 September 2026</t>
        </is>
      </c>
      <c r="M129" t="inlineStr">
        <is>
          <t>Konstruksi Bangunan Sipil Elektrikal</t>
        </is>
      </c>
      <c r="N129" t="inlineStr">
        <is>
          <t>K</t>
        </is>
      </c>
      <c r="O129" t="inlineStr">
        <is>
          <t>20230911</t>
        </is>
      </c>
      <c r="P129" t="inlineStr">
        <is>
          <t>Papua</t>
        </is>
      </c>
      <c r="Q129" t="inlineStr"/>
    </row>
    <row r="130">
      <c r="A130" t="inlineStr">
        <is>
          <t>PRIMA DARMA</t>
        </is>
      </c>
      <c r="B130" t="inlineStr">
        <is>
          <t>Kota Makassar</t>
        </is>
      </c>
      <c r="C130" t="inlineStr">
        <is>
          <t>085299239170</t>
        </is>
      </c>
      <c r="D130" t="inlineStr">
        <is>
          <t>primadarma22@gmail.com</t>
        </is>
      </c>
      <c r="E130" t="inlineStr">
        <is>
          <t>https://lpjk.pu.go.id/search-badan-usaha-detail/ZERidCszT1BqNmRmY3VjdTRSRkF3dz09</t>
        </is>
      </c>
      <c r="F130" t="n">
        <v>2</v>
      </c>
      <c r="G130" t="inlineStr">
        <is>
          <t>BG001, BS001</t>
        </is>
      </c>
      <c r="H130" t="inlineStr">
        <is>
          <t>27 Oktober 2017</t>
        </is>
      </c>
      <c r="I130" s="2" t="n">
        <v>46278</v>
      </c>
      <c r="J130" t="inlineStr">
        <is>
          <t>Disetujui, Pencabutan</t>
        </is>
      </c>
      <c r="K130" t="n">
        <v>60</v>
      </c>
      <c r="L130" t="inlineStr">
        <is>
          <t>13 September 2026</t>
        </is>
      </c>
      <c r="M130" t="inlineStr">
        <is>
          <t>Konstruksi Bangunan Sipil Jalan, Konstruksi Gedung Hunian</t>
        </is>
      </c>
      <c r="N130" t="inlineStr">
        <is>
          <t>K</t>
        </is>
      </c>
      <c r="O130" t="inlineStr">
        <is>
          <t>20230914</t>
        </is>
      </c>
      <c r="P130" t="inlineStr">
        <is>
          <t>Sulawesi Selatan</t>
        </is>
      </c>
      <c r="Q130" t="inlineStr"/>
    </row>
    <row r="131">
      <c r="A131" t="inlineStr">
        <is>
          <t>PRIMA MAULANA</t>
        </is>
      </c>
      <c r="B131" t="inlineStr">
        <is>
          <t>Kota Pariaman</t>
        </is>
      </c>
      <c r="C131" t="inlineStr">
        <is>
          <t>081267158353</t>
        </is>
      </c>
      <c r="D131" t="inlineStr">
        <is>
          <t>maulanacvprima7@gmail.com</t>
        </is>
      </c>
      <c r="E131" t="inlineStr">
        <is>
          <t>https://lpjk.pu.go.id/search-badan-usaha-detail/bnhzK2FOSDZ1ZHhYZFlYTmZ6QUpqZz09</t>
        </is>
      </c>
      <c r="F131" t="n">
        <v>1</v>
      </c>
      <c r="G131" t="inlineStr">
        <is>
          <t>BS001</t>
        </is>
      </c>
      <c r="H131" t="inlineStr">
        <is>
          <t>5 Januari 2005</t>
        </is>
      </c>
      <c r="I131" s="2" t="n">
        <v>46278</v>
      </c>
      <c r="J131" t="inlineStr">
        <is>
          <t>Disetujui</t>
        </is>
      </c>
      <c r="K131" t="n">
        <v>60</v>
      </c>
      <c r="L131" t="inlineStr">
        <is>
          <t>13 September 2026</t>
        </is>
      </c>
      <c r="M131" t="inlineStr">
        <is>
          <t>Konstruksi Bangunan Sipil Jalan</t>
        </is>
      </c>
      <c r="N131" t="inlineStr">
        <is>
          <t>K</t>
        </is>
      </c>
      <c r="O131" t="inlineStr">
        <is>
          <t>20230913</t>
        </is>
      </c>
      <c r="P131" t="inlineStr">
        <is>
          <t>Sumatera Barat</t>
        </is>
      </c>
      <c r="Q131" t="inlineStr"/>
    </row>
    <row r="132">
      <c r="A132" t="inlineStr">
        <is>
          <t>PRIMARAYA DIGAZTA</t>
        </is>
      </c>
      <c r="B132" t="inlineStr">
        <is>
          <t>Kab. Sanggau</t>
        </is>
      </c>
      <c r="C132" t="inlineStr">
        <is>
          <t>082255015447</t>
        </is>
      </c>
      <c r="D132" t="inlineStr">
        <is>
          <t>cvprimarayadigazta2@protonmail.com</t>
        </is>
      </c>
      <c r="E132" t="inlineStr">
        <is>
          <t>https://lpjk.pu.go.id/search-badan-usaha-detail/VDh6VDdzTTZzODhVcG5PRmlPUWVBQT09</t>
        </is>
      </c>
      <c r="F132" t="n">
        <v>1</v>
      </c>
      <c r="G132" t="inlineStr">
        <is>
          <t>BS002</t>
        </is>
      </c>
      <c r="H132" t="inlineStr">
        <is>
          <t>20 Mei 2020</t>
        </is>
      </c>
      <c r="I132" s="2" t="n">
        <v>46278</v>
      </c>
      <c r="J132" t="inlineStr">
        <is>
          <t>Disetujui</t>
        </is>
      </c>
      <c r="K132" t="n">
        <v>60</v>
      </c>
      <c r="L132" t="inlineStr">
        <is>
          <t>13 September 2026</t>
        </is>
      </c>
      <c r="M132" t="inlineStr">
        <is>
          <t>Bangunan Sipil Jembatan, Jalan Layang, Fly Over, dan Underpass</t>
        </is>
      </c>
      <c r="N132" t="inlineStr">
        <is>
          <t>K</t>
        </is>
      </c>
      <c r="O132" t="inlineStr">
        <is>
          <t>20230910</t>
        </is>
      </c>
      <c r="P132" t="inlineStr">
        <is>
          <t>Kalimantan Barat</t>
        </is>
      </c>
      <c r="Q132" t="inlineStr"/>
    </row>
    <row r="133">
      <c r="A133" t="inlineStr">
        <is>
          <t>PUTRA CORA</t>
        </is>
      </c>
      <c r="B133" t="inlineStr">
        <is>
          <t>Kota Metro</t>
        </is>
      </c>
      <c r="C133" t="inlineStr">
        <is>
          <t>081279209939</t>
        </is>
      </c>
      <c r="D133" t="inlineStr">
        <is>
          <t>putracora21@gmail.com</t>
        </is>
      </c>
      <c r="E133" t="inlineStr">
        <is>
          <t>https://lpjk.pu.go.id/search-badan-usaha-detail/cEt6MjR3d2FNUzNGZ2FCazNXUmt4Zz09</t>
        </is>
      </c>
      <c r="F133" t="n">
        <v>1</v>
      </c>
      <c r="G133" t="inlineStr">
        <is>
          <t>BS004</t>
        </is>
      </c>
      <c r="H133" t="inlineStr">
        <is>
          <t>6 Juli 1999</t>
        </is>
      </c>
      <c r="I133" s="2" t="n">
        <v>46278</v>
      </c>
      <c r="J133" t="inlineStr">
        <is>
          <t>Disetujui</t>
        </is>
      </c>
      <c r="K133" t="n">
        <v>60</v>
      </c>
      <c r="L133" t="inlineStr">
        <is>
          <t>13 September 2026</t>
        </is>
      </c>
      <c r="M133" t="inlineStr">
        <is>
          <t>Konstruksi Jaringan Irigasi dan Drainase</t>
        </is>
      </c>
      <c r="N133" t="inlineStr">
        <is>
          <t>K</t>
        </is>
      </c>
      <c r="O133" t="inlineStr">
        <is>
          <t>20230914</t>
        </is>
      </c>
      <c r="P133" t="inlineStr">
        <is>
          <t>Lampung</t>
        </is>
      </c>
      <c r="Q133" t="inlineStr"/>
    </row>
    <row r="134">
      <c r="A134" t="inlineStr">
        <is>
          <t>PUTRA MAHKOTA ADYAKSA</t>
        </is>
      </c>
      <c r="B134" t="inlineStr">
        <is>
          <t>Kab. Luwu Utara</t>
        </is>
      </c>
      <c r="C134" t="inlineStr">
        <is>
          <t>085396177272</t>
        </is>
      </c>
      <c r="D134" t="inlineStr">
        <is>
          <t>mahkota_adyaksa@yahoo.com</t>
        </is>
      </c>
      <c r="E134" t="inlineStr">
        <is>
          <t>https://lpjk.pu.go.id/search-badan-usaha-detail/ZEVZaFQvcG5WREYvZ1F3T1RxQ3dZQT09</t>
        </is>
      </c>
      <c r="F134" t="n">
        <v>3</v>
      </c>
      <c r="G134" t="inlineStr">
        <is>
          <t>BG002, BG006, BG009</t>
        </is>
      </c>
      <c r="H134" t="inlineStr">
        <is>
          <t>11 Januari 2016</t>
        </is>
      </c>
      <c r="I134" s="2" t="n">
        <v>46278</v>
      </c>
      <c r="J134" t="inlineStr">
        <is>
          <t>Disetujui</t>
        </is>
      </c>
      <c r="K134" t="n">
        <v>60</v>
      </c>
      <c r="L134" t="inlineStr">
        <is>
          <t>13 September 2026</t>
        </is>
      </c>
      <c r="M134" t="inlineStr">
        <is>
          <t>Konstruksi Gedung Lainnya, Konstruksi Gedung Pendidikan, Konstruksi Gedung Perkantoran</t>
        </is>
      </c>
      <c r="N134" t="inlineStr">
        <is>
          <t>K</t>
        </is>
      </c>
      <c r="O134" t="inlineStr">
        <is>
          <t>20230914</t>
        </is>
      </c>
      <c r="P134" t="inlineStr">
        <is>
          <t>Sulawesi Selatan</t>
        </is>
      </c>
      <c r="Q134" t="inlineStr"/>
    </row>
    <row r="135">
      <c r="A135" t="inlineStr">
        <is>
          <t>PUTRA MAHKOTA MADANI</t>
        </is>
      </c>
      <c r="B135" t="inlineStr">
        <is>
          <t>Kab. Langkat</t>
        </is>
      </c>
      <c r="C135" t="inlineStr">
        <is>
          <t>085297258778</t>
        </is>
      </c>
      <c r="D135" t="inlineStr">
        <is>
          <t>putramahkotamadani@gmail.com</t>
        </is>
      </c>
      <c r="E135" t="inlineStr">
        <is>
          <t>https://lpjk.pu.go.id/search-badan-usaha-detail/VHVJeHVwN1RXMmszNmZxR2xjL1FPQT09</t>
        </is>
      </c>
      <c r="F135" t="n">
        <v>3</v>
      </c>
      <c r="G135" t="inlineStr">
        <is>
          <t>BG005, BG006, BG009</t>
        </is>
      </c>
      <c r="H135" t="inlineStr">
        <is>
          <t>18 September 2017</t>
        </is>
      </c>
      <c r="I135" s="2" t="n">
        <v>46278</v>
      </c>
      <c r="J135" t="inlineStr">
        <is>
          <t>Disetujui</t>
        </is>
      </c>
      <c r="K135" t="n">
        <v>60</v>
      </c>
      <c r="L135" t="inlineStr">
        <is>
          <t>13 September 2026</t>
        </is>
      </c>
      <c r="M135" t="inlineStr">
        <is>
          <t>Konstruksi Gedung Kesehatan, Konstruksi Gedung Lainnya, Konstruksi Gedung Pendidikan</t>
        </is>
      </c>
      <c r="N135" t="inlineStr">
        <is>
          <t>K</t>
        </is>
      </c>
      <c r="O135" t="inlineStr">
        <is>
          <t>20230913</t>
        </is>
      </c>
      <c r="P135" t="inlineStr">
        <is>
          <t>Sumatera Utara</t>
        </is>
      </c>
      <c r="Q135" t="inlineStr"/>
    </row>
    <row r="136">
      <c r="A136" t="inlineStr">
        <is>
          <t>PUTRA MAHKOTA TELUK PANDAN</t>
        </is>
      </c>
      <c r="B136" t="inlineStr">
        <is>
          <t>Kab. Kutai Timur</t>
        </is>
      </c>
      <c r="C136" t="inlineStr">
        <is>
          <t>082252590553</t>
        </is>
      </c>
      <c r="D136" t="inlineStr">
        <is>
          <t>putramahkotatelukpandan.cv@gmail.com</t>
        </is>
      </c>
      <c r="E136" t="inlineStr">
        <is>
          <t>https://lpjk.pu.go.id/search-badan-usaha-detail/V3hjNEw2T1pkY1VQVTdJby81T1MzUT09</t>
        </is>
      </c>
      <c r="F136" t="n">
        <v>1</v>
      </c>
      <c r="G136" t="inlineStr">
        <is>
          <t>BG006</t>
        </is>
      </c>
      <c r="H136" t="inlineStr">
        <is>
          <t>2 September 2019</t>
        </is>
      </c>
      <c r="I136" s="2" t="n">
        <v>46278</v>
      </c>
      <c r="J136" t="inlineStr">
        <is>
          <t>Disetujui</t>
        </is>
      </c>
      <c r="K136" t="n">
        <v>60</v>
      </c>
      <c r="L136" t="inlineStr">
        <is>
          <t>13 September 2026</t>
        </is>
      </c>
      <c r="M136" t="inlineStr">
        <is>
          <t>Konstruksi Gedung Pendidikan</t>
        </is>
      </c>
      <c r="N136" t="inlineStr">
        <is>
          <t>K</t>
        </is>
      </c>
      <c r="O136" t="inlineStr">
        <is>
          <t>20230913</t>
        </is>
      </c>
      <c r="P136" t="inlineStr">
        <is>
          <t>Kalimantan Timur</t>
        </is>
      </c>
      <c r="Q136" t="inlineStr"/>
    </row>
    <row r="137">
      <c r="A137" t="inlineStr">
        <is>
          <t>PUTRASINDO MULTI PERKASA</t>
        </is>
      </c>
      <c r="B137" t="inlineStr">
        <is>
          <t>Kota Tangerang Selatan</t>
        </is>
      </c>
      <c r="C137" t="inlineStr">
        <is>
          <t>02122226549</t>
        </is>
      </c>
      <c r="D137" t="inlineStr">
        <is>
          <t>putrasindo_eddy@yahoo.com</t>
        </is>
      </c>
      <c r="E137" t="inlineStr">
        <is>
          <t>https://lpjk.pu.go.id/search-badan-usaha-detail/Tjlla3NNVkZlSDV5L0dLdTlGT29Odz09</t>
        </is>
      </c>
      <c r="F137" t="n">
        <v>2</v>
      </c>
      <c r="G137" t="inlineStr">
        <is>
          <t>BG001, BG002</t>
        </is>
      </c>
      <c r="H137" t="inlineStr">
        <is>
          <t>20 April 2012</t>
        </is>
      </c>
      <c r="I137" s="2" t="n">
        <v>46278</v>
      </c>
      <c r="J137" t="inlineStr">
        <is>
          <t>Disetujui</t>
        </is>
      </c>
      <c r="K137" t="n">
        <v>60</v>
      </c>
      <c r="L137" t="inlineStr">
        <is>
          <t>13 September 2026</t>
        </is>
      </c>
      <c r="M137" t="inlineStr">
        <is>
          <t>Konstruksi Gedung Hunian, Konstruksi Gedung Perkantoran</t>
        </is>
      </c>
      <c r="N137" t="inlineStr">
        <is>
          <t>K</t>
        </is>
      </c>
      <c r="O137" t="inlineStr">
        <is>
          <t>20221213</t>
        </is>
      </c>
      <c r="P137" t="inlineStr">
        <is>
          <t>Banten</t>
        </is>
      </c>
      <c r="Q137" t="inlineStr"/>
    </row>
    <row r="138">
      <c r="A138" t="inlineStr">
        <is>
          <t>RAF DIFFERENT</t>
        </is>
      </c>
      <c r="B138" t="inlineStr">
        <is>
          <t>Kab. Kapuas</t>
        </is>
      </c>
      <c r="C138" t="inlineStr">
        <is>
          <t>082259011764</t>
        </is>
      </c>
      <c r="D138" t="inlineStr">
        <is>
          <t>rafdifferent@gmail.com</t>
        </is>
      </c>
      <c r="E138" t="inlineStr">
        <is>
          <t>https://lpjk.pu.go.id/search-badan-usaha-detail/a0YrWjZWZU9yaWpsZEFGWWtIMW1Rdz09</t>
        </is>
      </c>
      <c r="F138" t="n">
        <v>3</v>
      </c>
      <c r="G138" t="inlineStr">
        <is>
          <t>BG009, BS001, BS004</t>
        </is>
      </c>
      <c r="H138" t="inlineStr">
        <is>
          <t>25 Juli 2023</t>
        </is>
      </c>
      <c r="I138" s="2" t="n">
        <v>46278</v>
      </c>
      <c r="J138" t="inlineStr">
        <is>
          <t>Disetujui, Pencabutan</t>
        </is>
      </c>
      <c r="K138" t="n">
        <v>60</v>
      </c>
      <c r="L138" t="inlineStr">
        <is>
          <t>13 September 2026</t>
        </is>
      </c>
      <c r="M138" t="inlineStr">
        <is>
          <t>Konstruksi Bangunan Sipil Jalan, Konstruksi Gedung Lainnya, Konstruksi Jaringan Irigasi dan Drainase</t>
        </is>
      </c>
      <c r="N138" t="inlineStr">
        <is>
          <t>K</t>
        </is>
      </c>
      <c r="O138" t="inlineStr">
        <is>
          <t>20230908</t>
        </is>
      </c>
      <c r="P138" t="inlineStr">
        <is>
          <t>Kalimantan Tengah</t>
        </is>
      </c>
      <c r="Q138" t="inlineStr"/>
    </row>
    <row r="139">
      <c r="A139" t="inlineStr">
        <is>
          <t>RAJA KARYA MANDIRI</t>
        </is>
      </c>
      <c r="B139" t="inlineStr">
        <is>
          <t>Kab. Minahasa</t>
        </is>
      </c>
      <c r="C139" t="inlineStr">
        <is>
          <t>082290579797</t>
        </is>
      </c>
      <c r="D139" t="inlineStr">
        <is>
          <t>pt.rajakaryamandiri@yahoo.com</t>
        </is>
      </c>
      <c r="E139" t="inlineStr">
        <is>
          <t>https://lpjk.pu.go.id/search-badan-usaha-detail/WHZHOHZoZzYxbzhqNVhGU2NIaWFmdz09</t>
        </is>
      </c>
      <c r="F139" t="n">
        <v>1</v>
      </c>
      <c r="G139" t="inlineStr">
        <is>
          <t>BS001</t>
        </is>
      </c>
      <c r="H139" t="inlineStr">
        <is>
          <t>2 Juni 2014</t>
        </is>
      </c>
      <c r="I139" s="2" t="n">
        <v>46278</v>
      </c>
      <c r="J139" t="inlineStr">
        <is>
          <t>Disetujui</t>
        </is>
      </c>
      <c r="K139" t="n">
        <v>60</v>
      </c>
      <c r="L139" t="inlineStr">
        <is>
          <t>13 September 2026</t>
        </is>
      </c>
      <c r="M139" t="inlineStr">
        <is>
          <t>Konstruksi Bangunan Sipil Jalan</t>
        </is>
      </c>
      <c r="N139" t="inlineStr">
        <is>
          <t>M</t>
        </is>
      </c>
      <c r="O139" t="inlineStr">
        <is>
          <t>20230908</t>
        </is>
      </c>
      <c r="P139" t="inlineStr">
        <is>
          <t>Sulawesi Utara</t>
        </is>
      </c>
      <c r="Q139" t="inlineStr"/>
    </row>
    <row r="140">
      <c r="A140" t="inlineStr">
        <is>
          <t>RIDOAJI PUTRA</t>
        </is>
      </c>
      <c r="B140" t="inlineStr">
        <is>
          <t>Kota Sukabumi</t>
        </is>
      </c>
      <c r="C140" t="inlineStr">
        <is>
          <t>085603886063</t>
        </is>
      </c>
      <c r="D140" t="inlineStr">
        <is>
          <t>putraridoaji@gmail.com</t>
        </is>
      </c>
      <c r="E140" t="inlineStr">
        <is>
          <t>https://lpjk.pu.go.id/search-badan-usaha-detail/THZSZVBjSmxwNThENloweUhNOHRRdz09</t>
        </is>
      </c>
      <c r="F140" t="n">
        <v>2</v>
      </c>
      <c r="G140" t="inlineStr">
        <is>
          <t>BS004</t>
        </is>
      </c>
      <c r="H140" t="inlineStr">
        <is>
          <t>1 Februari 2018</t>
        </is>
      </c>
      <c r="I140" s="2" t="n">
        <v>46278</v>
      </c>
      <c r="J140" t="inlineStr">
        <is>
          <t>Pencabutan</t>
        </is>
      </c>
      <c r="K140" t="n">
        <v>60</v>
      </c>
      <c r="L140" t="inlineStr">
        <is>
          <t>13 September 2026</t>
        </is>
      </c>
      <c r="M140" t="inlineStr">
        <is>
          <t>Konstruksi Jaringan Irigasi dan Drainase</t>
        </is>
      </c>
      <c r="N140" t="inlineStr">
        <is>
          <t>K</t>
        </is>
      </c>
      <c r="O140" t="inlineStr">
        <is>
          <t>20230823</t>
        </is>
      </c>
      <c r="P140" t="inlineStr">
        <is>
          <t>Jawa Barat</t>
        </is>
      </c>
      <c r="Q140" t="inlineStr"/>
    </row>
    <row r="141">
      <c r="A141" t="inlineStr">
        <is>
          <t>RISWANA SATU DARAH</t>
        </is>
      </c>
      <c r="B141" t="inlineStr">
        <is>
          <t>Kab. Bandung</t>
        </is>
      </c>
      <c r="C141" t="inlineStr">
        <is>
          <t>081222841451</t>
        </is>
      </c>
      <c r="D141" t="inlineStr">
        <is>
          <t>riswana.satu.darah@gmail.com</t>
        </is>
      </c>
      <c r="E141" t="inlineStr">
        <is>
          <t>https://lpjk.pu.go.id/search-badan-usaha-detail/Z0Z2U3lZdzBPS3RjL041a2tINStNQT09</t>
        </is>
      </c>
      <c r="F141" t="n">
        <v>4</v>
      </c>
      <c r="G141" t="inlineStr">
        <is>
          <t>BG007, BG008</t>
        </is>
      </c>
      <c r="H141" t="inlineStr">
        <is>
          <t>1 Agustus 2022</t>
        </is>
      </c>
      <c r="I141" s="2" t="n">
        <v>46278</v>
      </c>
      <c r="J141" t="inlineStr">
        <is>
          <t>Pencabutan</t>
        </is>
      </c>
      <c r="K141" t="n">
        <v>60</v>
      </c>
      <c r="L141" t="inlineStr">
        <is>
          <t>13 September 2026</t>
        </is>
      </c>
      <c r="M141" t="inlineStr">
        <is>
          <t>Konstruksi Gedung Penginapan, Konstruksi Gedung Tempat Hiburan dan Olahraga</t>
        </is>
      </c>
      <c r="N141" t="inlineStr">
        <is>
          <t>K</t>
        </is>
      </c>
      <c r="O141" t="inlineStr">
        <is>
          <t>20230914</t>
        </is>
      </c>
      <c r="P141" t="inlineStr">
        <is>
          <t>Jawa Barat</t>
        </is>
      </c>
      <c r="Q141" t="inlineStr"/>
    </row>
    <row r="142">
      <c r="A142" t="inlineStr">
        <is>
          <t>ROMAS RAYA</t>
        </is>
      </c>
      <c r="B142" t="inlineStr">
        <is>
          <t>Kota Palu</t>
        </is>
      </c>
      <c r="C142" t="inlineStr">
        <is>
          <t>085397707796</t>
        </is>
      </c>
      <c r="D142" t="inlineStr">
        <is>
          <t>cvromasraya22@gmail.com</t>
        </is>
      </c>
      <c r="E142" t="inlineStr">
        <is>
          <t>https://lpjk.pu.go.id/search-badan-usaha-detail/QlI0K3F4YWczaUJyM0hLRjJ1OUFnZz09</t>
        </is>
      </c>
      <c r="F142" t="n">
        <v>1</v>
      </c>
      <c r="G142" t="inlineStr">
        <is>
          <t>PL003</t>
        </is>
      </c>
      <c r="H142" t="inlineStr">
        <is>
          <t>9 Januari 2013</t>
        </is>
      </c>
      <c r="I142" s="2" t="n">
        <v>46278</v>
      </c>
      <c r="J142" t="inlineStr">
        <is>
          <t>Pembekuan</t>
        </is>
      </c>
      <c r="K142" t="n">
        <v>60</v>
      </c>
      <c r="L142" t="inlineStr">
        <is>
          <t>13 September 2026</t>
        </is>
      </c>
      <c r="M142" t="inlineStr">
        <is>
          <t>Penyiapan Lahan Konstruksi</t>
        </is>
      </c>
      <c r="N142" t="inlineStr">
        <is>
          <t>Spesialis</t>
        </is>
      </c>
      <c r="O142" t="inlineStr">
        <is>
          <t>20230913</t>
        </is>
      </c>
      <c r="P142" t="inlineStr">
        <is>
          <t>Sulawesi Tengah</t>
        </is>
      </c>
      <c r="Q142" t="inlineStr"/>
    </row>
    <row r="143">
      <c r="A143" t="inlineStr">
        <is>
          <t>SALMAN MAHAJAYA</t>
        </is>
      </c>
      <c r="B143" t="inlineStr">
        <is>
          <t>Kab. Pesisir Selatan</t>
        </is>
      </c>
      <c r="C143" t="inlineStr">
        <is>
          <t>081374661754</t>
        </is>
      </c>
      <c r="D143" t="inlineStr">
        <is>
          <t>cvsalmanmahajaya23@gmail.com</t>
        </is>
      </c>
      <c r="E143" t="inlineStr">
        <is>
          <t>https://lpjk.pu.go.id/search-badan-usaha-detail/OENKaWpJQnVSQjNGWkZJTTQwSFk2dz09</t>
        </is>
      </c>
      <c r="F143" t="n">
        <v>8</v>
      </c>
      <c r="G143" t="inlineStr">
        <is>
          <t>BG002, BG005, BG006, BG009</t>
        </is>
      </c>
      <c r="H143" t="inlineStr">
        <is>
          <t>8 Agustus 2023</t>
        </is>
      </c>
      <c r="I143" s="2" t="n">
        <v>46278</v>
      </c>
      <c r="J143" t="inlineStr">
        <is>
          <t>Pencabutan</t>
        </is>
      </c>
      <c r="K143" t="n">
        <v>60</v>
      </c>
      <c r="L143" t="inlineStr">
        <is>
          <t>13 September 2026</t>
        </is>
      </c>
      <c r="M143" t="inlineStr">
        <is>
          <t>Konstruksi Gedung Kesehatan, Konstruksi Gedung Lainnya, Konstruksi Gedung Pendidikan, Konstruksi Gedung Perkantoran</t>
        </is>
      </c>
      <c r="N143" t="inlineStr">
        <is>
          <t>K</t>
        </is>
      </c>
      <c r="O143" t="inlineStr">
        <is>
          <t>20230913</t>
        </is>
      </c>
      <c r="P143" t="inlineStr">
        <is>
          <t>Sumatera Barat</t>
        </is>
      </c>
      <c r="Q143" t="inlineStr"/>
    </row>
    <row r="144">
      <c r="A144" t="inlineStr">
        <is>
          <t>SAMADYA PILAR KONSTRUKSI</t>
        </is>
      </c>
      <c r="B144" t="inlineStr">
        <is>
          <t>Kab. Serang</t>
        </is>
      </c>
      <c r="C144" t="inlineStr">
        <is>
          <t>087871024452</t>
        </is>
      </c>
      <c r="D144" t="inlineStr">
        <is>
          <t>Samadyakonstruksi@gmail.com</t>
        </is>
      </c>
      <c r="E144" t="inlineStr">
        <is>
          <t>https://lpjk.pu.go.id/search-badan-usaha-detail/ejRaL0dVY2ZzanhySkxGYkpsYit4UT09</t>
        </is>
      </c>
      <c r="F144" t="n">
        <v>1</v>
      </c>
      <c r="G144" t="inlineStr">
        <is>
          <t>BS001</t>
        </is>
      </c>
      <c r="H144" t="inlineStr">
        <is>
          <t>12 September 2020</t>
        </is>
      </c>
      <c r="I144" s="2" t="n">
        <v>46278</v>
      </c>
      <c r="J144" t="inlineStr">
        <is>
          <t>Disetujui</t>
        </is>
      </c>
      <c r="K144" t="n">
        <v>60</v>
      </c>
      <c r="L144" t="inlineStr">
        <is>
          <t>13 September 2026</t>
        </is>
      </c>
      <c r="M144" t="inlineStr">
        <is>
          <t>Konstruksi Bangunan Sipil Jalan</t>
        </is>
      </c>
      <c r="N144" t="inlineStr">
        <is>
          <t>K</t>
        </is>
      </c>
      <c r="O144" t="inlineStr">
        <is>
          <t>20230227</t>
        </is>
      </c>
      <c r="P144" t="inlineStr">
        <is>
          <t>Banten</t>
        </is>
      </c>
      <c r="Q144" t="inlineStr"/>
    </row>
    <row r="145">
      <c r="A145" t="inlineStr">
        <is>
          <t>SAPUTRA RAMBANG BERJAYA</t>
        </is>
      </c>
      <c r="B145" t="inlineStr">
        <is>
          <t>Kota Prabumulih</t>
        </is>
      </c>
      <c r="C145" t="inlineStr">
        <is>
          <t>081368477882</t>
        </is>
      </c>
      <c r="D145" t="inlineStr">
        <is>
          <t>saputrarambangberjaya@gmail.com</t>
        </is>
      </c>
      <c r="E145" t="inlineStr">
        <is>
          <t>https://lpjk.pu.go.id/search-badan-usaha-detail/TmxCMlZmT2Y1bnlWdk1DY21IR1E2dz09</t>
        </is>
      </c>
      <c r="F145" t="n">
        <v>2</v>
      </c>
      <c r="G145" t="inlineStr">
        <is>
          <t>BG006</t>
        </is>
      </c>
      <c r="H145" t="inlineStr">
        <is>
          <t>1 September 2023</t>
        </is>
      </c>
      <c r="I145" s="2" t="n">
        <v>46278</v>
      </c>
      <c r="J145" t="inlineStr">
        <is>
          <t>Disetujui</t>
        </is>
      </c>
      <c r="K145" t="n">
        <v>60</v>
      </c>
      <c r="L145" t="inlineStr">
        <is>
          <t>13 September 2026</t>
        </is>
      </c>
      <c r="M145" t="inlineStr">
        <is>
          <t>Konstruksi Gedung Pendidikan</t>
        </is>
      </c>
      <c r="N145" t="inlineStr">
        <is>
          <t>K</t>
        </is>
      </c>
      <c r="O145" t="inlineStr">
        <is>
          <t>20230913</t>
        </is>
      </c>
      <c r="P145" t="inlineStr">
        <is>
          <t>Sumatera Selatan</t>
        </is>
      </c>
      <c r="Q145" t="inlineStr"/>
    </row>
    <row r="146">
      <c r="A146" t="inlineStr">
        <is>
          <t>SARANA JAYA</t>
        </is>
      </c>
      <c r="B146" t="inlineStr">
        <is>
          <t>Kab. Jepara</t>
        </is>
      </c>
      <c r="C146" t="inlineStr">
        <is>
          <t>08122801528</t>
        </is>
      </c>
      <c r="D146" t="inlineStr">
        <is>
          <t>saranajaya.jpr@gmail.com</t>
        </is>
      </c>
      <c r="E146" t="inlineStr">
        <is>
          <t>https://lpjk.pu.go.id/search-badan-usaha-detail/NTdscWFyVWZhQUFick9oMy8wQTNOZz09</t>
        </is>
      </c>
      <c r="F146" t="n">
        <v>1</v>
      </c>
      <c r="G146" t="inlineStr">
        <is>
          <t>BS004</t>
        </is>
      </c>
      <c r="H146" t="inlineStr">
        <is>
          <t>7 Desember 2009</t>
        </is>
      </c>
      <c r="I146" s="2" t="n">
        <v>46278</v>
      </c>
      <c r="J146" t="inlineStr">
        <is>
          <t>Disetujui</t>
        </is>
      </c>
      <c r="K146" t="n">
        <v>60</v>
      </c>
      <c r="L146" t="inlineStr">
        <is>
          <t>13 September 2026</t>
        </is>
      </c>
      <c r="M146" t="inlineStr">
        <is>
          <t>Konstruksi Jaringan Irigasi dan Drainase</t>
        </is>
      </c>
      <c r="N146" t="inlineStr">
        <is>
          <t>K</t>
        </is>
      </c>
      <c r="O146" t="inlineStr">
        <is>
          <t>20230912</t>
        </is>
      </c>
      <c r="P146" t="inlineStr">
        <is>
          <t>Jawa Tengah</t>
        </is>
      </c>
      <c r="Q146" t="inlineStr"/>
    </row>
    <row r="147">
      <c r="A147" t="inlineStr">
        <is>
          <t>SEMBILAN SEMBILAN</t>
        </is>
      </c>
      <c r="B147" t="inlineStr">
        <is>
          <t>Kab. Demak</t>
        </is>
      </c>
      <c r="C147" t="inlineStr">
        <is>
          <t>082323947999</t>
        </is>
      </c>
      <c r="D147" t="inlineStr">
        <is>
          <t>cvsembilansembilan@yahoo.co.id</t>
        </is>
      </c>
      <c r="E147" t="inlineStr">
        <is>
          <t>https://lpjk.pu.go.id/search-badan-usaha-detail/SVpBajRERUp6RkdQeDlJNjlGOVk4dz09</t>
        </is>
      </c>
      <c r="F147" t="n">
        <v>4</v>
      </c>
      <c r="G147" t="inlineStr">
        <is>
          <t>BG002, BG005, BG006, BG009</t>
        </is>
      </c>
      <c r="H147" t="inlineStr">
        <is>
          <t>22 Juni 2012</t>
        </is>
      </c>
      <c r="I147" s="2" t="n">
        <v>46278</v>
      </c>
      <c r="J147" t="inlineStr">
        <is>
          <t>Disetujui</t>
        </is>
      </c>
      <c r="K147" t="n">
        <v>60</v>
      </c>
      <c r="L147" t="inlineStr">
        <is>
          <t>13 September 2026</t>
        </is>
      </c>
      <c r="M147" t="inlineStr">
        <is>
          <t>Konstruksi Gedung Kesehatan, Konstruksi Gedung Lainnya, Konstruksi Gedung Pendidikan, Konstruksi Gedung Perkantoran</t>
        </is>
      </c>
      <c r="N147" t="inlineStr">
        <is>
          <t>K</t>
        </is>
      </c>
      <c r="O147" t="inlineStr">
        <is>
          <t>20230830, 20230912</t>
        </is>
      </c>
      <c r="P147" t="inlineStr">
        <is>
          <t>Jawa Tengah</t>
        </is>
      </c>
      <c r="Q147" t="inlineStr"/>
    </row>
    <row r="148">
      <c r="A148" t="inlineStr">
        <is>
          <t>SEMPURNA</t>
        </is>
      </c>
      <c r="B148" t="inlineStr">
        <is>
          <t>Kota Bima</t>
        </is>
      </c>
      <c r="C148" t="inlineStr">
        <is>
          <t>085338378223</t>
        </is>
      </c>
      <c r="D148" t="inlineStr">
        <is>
          <t>cvsempurnab@gmail.com</t>
        </is>
      </c>
      <c r="E148" t="inlineStr">
        <is>
          <t>https://lpjk.pu.go.id/search-badan-usaha-detail/TkVrbHM2cDdDTFVGLytlRDAzWkZjUT09</t>
        </is>
      </c>
      <c r="F148" t="n">
        <v>4</v>
      </c>
      <c r="G148" t="inlineStr">
        <is>
          <t>BS001, BS004</t>
        </is>
      </c>
      <c r="H148" t="inlineStr">
        <is>
          <t>7 Februari 2011</t>
        </is>
      </c>
      <c r="I148" s="2" t="n">
        <v>46278</v>
      </c>
      <c r="J148" t="inlineStr">
        <is>
          <t>Disetujui</t>
        </is>
      </c>
      <c r="K148" t="n">
        <v>60</v>
      </c>
      <c r="L148" t="inlineStr">
        <is>
          <t>13 September 2026</t>
        </is>
      </c>
      <c r="M148" t="inlineStr">
        <is>
          <t>Konstruksi Bangunan Sipil Jalan, Konstruksi Jaringan Irigasi dan Drainase</t>
        </is>
      </c>
      <c r="N148" t="inlineStr">
        <is>
          <t>K</t>
        </is>
      </c>
      <c r="O148" t="inlineStr">
        <is>
          <t>20230907</t>
        </is>
      </c>
      <c r="P148" t="inlineStr">
        <is>
          <t>Nusa Tenggara Barat</t>
        </is>
      </c>
      <c r="Q148" t="inlineStr"/>
    </row>
    <row r="149">
      <c r="A149" t="inlineStr">
        <is>
          <t>SIMALUNGUN MILENIAL BERKARYA</t>
        </is>
      </c>
      <c r="B149" t="inlineStr">
        <is>
          <t>Kab. Simalungun</t>
        </is>
      </c>
      <c r="C149" t="inlineStr">
        <is>
          <t>081370310890</t>
        </is>
      </c>
      <c r="D149" t="inlineStr">
        <is>
          <t>simalungun.milenial@gmail.com</t>
        </is>
      </c>
      <c r="E149" t="inlineStr">
        <is>
          <t>https://lpjk.pu.go.id/search-badan-usaha-detail/cEt3ZENQWVlmbHU5REZlM0oySitOZz09</t>
        </is>
      </c>
      <c r="F149" t="n">
        <v>1</v>
      </c>
      <c r="G149" t="inlineStr">
        <is>
          <t>BG006</t>
        </is>
      </c>
      <c r="H149" t="inlineStr">
        <is>
          <t>1 Januari 2018</t>
        </is>
      </c>
      <c r="I149" s="2" t="n">
        <v>46278</v>
      </c>
      <c r="J149" t="inlineStr">
        <is>
          <t>Disetujui</t>
        </is>
      </c>
      <c r="K149" t="n">
        <v>60</v>
      </c>
      <c r="L149" t="inlineStr">
        <is>
          <t>13 September 2026</t>
        </is>
      </c>
      <c r="M149" t="inlineStr">
        <is>
          <t>Konstruksi Gedung Pendidikan</t>
        </is>
      </c>
      <c r="N149" t="inlineStr">
        <is>
          <t>K</t>
        </is>
      </c>
      <c r="O149" t="inlineStr">
        <is>
          <t>20230831</t>
        </is>
      </c>
      <c r="P149" t="inlineStr">
        <is>
          <t>Sumatera Utara</t>
        </is>
      </c>
      <c r="Q149" t="inlineStr"/>
    </row>
    <row r="150">
      <c r="A150" t="inlineStr">
        <is>
          <t>SINAR ARIFIN UNGGUL</t>
        </is>
      </c>
      <c r="B150" t="inlineStr">
        <is>
          <t>Kab. Pandeglang</t>
        </is>
      </c>
      <c r="C150" t="inlineStr">
        <is>
          <t>087805626131</t>
        </is>
      </c>
      <c r="D150" t="inlineStr">
        <is>
          <t>sinararifinunggulpt@yahoo.com</t>
        </is>
      </c>
      <c r="E150" t="inlineStr">
        <is>
          <t>https://lpjk.pu.go.id/search-badan-usaha-detail/K08xd1V4d2NXUHg4L28vajJ2QWdlQT09</t>
        </is>
      </c>
      <c r="F150" t="n">
        <v>1</v>
      </c>
      <c r="G150" t="inlineStr">
        <is>
          <t>BG009</t>
        </is>
      </c>
      <c r="H150" t="inlineStr">
        <is>
          <t>3 Februari 2014</t>
        </is>
      </c>
      <c r="I150" s="2" t="n">
        <v>46278</v>
      </c>
      <c r="J150" t="inlineStr">
        <is>
          <t>Disetujui</t>
        </is>
      </c>
      <c r="K150" t="n">
        <v>60</v>
      </c>
      <c r="L150" t="inlineStr">
        <is>
          <t>13 September 2026</t>
        </is>
      </c>
      <c r="M150" t="inlineStr">
        <is>
          <t>Konstruksi Gedung Lainnya</t>
        </is>
      </c>
      <c r="N150" t="inlineStr">
        <is>
          <t>K</t>
        </is>
      </c>
      <c r="O150" t="inlineStr">
        <is>
          <t>20230905</t>
        </is>
      </c>
      <c r="P150" t="inlineStr">
        <is>
          <t>Banten</t>
        </is>
      </c>
      <c r="Q150" t="inlineStr"/>
    </row>
    <row r="151">
      <c r="A151" t="inlineStr">
        <is>
          <t>SINAR CAHAYA ABADI</t>
        </is>
      </c>
      <c r="B151" t="inlineStr">
        <is>
          <t>Kota Serang</t>
        </is>
      </c>
      <c r="C151" t="inlineStr">
        <is>
          <t>087871163469</t>
        </is>
      </c>
      <c r="D151" t="inlineStr">
        <is>
          <t>aprilyta.ramandha15@gmail.com</t>
        </is>
      </c>
      <c r="E151" t="inlineStr">
        <is>
          <t>https://lpjk.pu.go.id/search-badan-usaha-detail/SkpGUnpjSDBndTJ0WjArMGk4Q2tFQT09</t>
        </is>
      </c>
      <c r="F151" t="n">
        <v>1</v>
      </c>
      <c r="G151" t="inlineStr">
        <is>
          <t>BS001</t>
        </is>
      </c>
      <c r="H151" t="inlineStr">
        <is>
          <t>11 Januari 2017</t>
        </is>
      </c>
      <c r="I151" s="2" t="n">
        <v>46278</v>
      </c>
      <c r="J151" t="inlineStr">
        <is>
          <t>Disetujui</t>
        </is>
      </c>
      <c r="K151" t="n">
        <v>60</v>
      </c>
      <c r="L151" t="inlineStr">
        <is>
          <t>13 September 2026</t>
        </is>
      </c>
      <c r="M151" t="inlineStr">
        <is>
          <t>Konstruksi Bangunan Sipil Jalan</t>
        </is>
      </c>
      <c r="N151" t="inlineStr">
        <is>
          <t>K</t>
        </is>
      </c>
      <c r="O151" t="inlineStr">
        <is>
          <t>20230905</t>
        </is>
      </c>
      <c r="P151" t="inlineStr">
        <is>
          <t>Banten</t>
        </is>
      </c>
      <c r="Q151" t="inlineStr"/>
    </row>
    <row r="152">
      <c r="A152" t="inlineStr">
        <is>
          <t>SINAR MANDIRI</t>
        </is>
      </c>
      <c r="B152" t="inlineStr">
        <is>
          <t>Kota Semarang</t>
        </is>
      </c>
      <c r="C152" t="inlineStr">
        <is>
          <t>081575880202</t>
        </is>
      </c>
      <c r="D152" t="inlineStr">
        <is>
          <t>sinarmandiri.srg@gmail.com</t>
        </is>
      </c>
      <c r="E152" t="inlineStr">
        <is>
          <t>https://lpjk.pu.go.id/search-badan-usaha-detail/Z3NlTzZ5RHpWME5KbmhxT2MvOHg0UT09</t>
        </is>
      </c>
      <c r="F152" t="n">
        <v>3</v>
      </c>
      <c r="G152" t="inlineStr">
        <is>
          <t>BG006, BG009, BS001</t>
        </is>
      </c>
      <c r="H152" t="inlineStr">
        <is>
          <t>17 Desember 2015</t>
        </is>
      </c>
      <c r="I152" s="2" t="n">
        <v>46278</v>
      </c>
      <c r="J152" t="inlineStr">
        <is>
          <t>Disetujui</t>
        </is>
      </c>
      <c r="K152" t="n">
        <v>60</v>
      </c>
      <c r="L152" t="inlineStr">
        <is>
          <t>13 September 2026</t>
        </is>
      </c>
      <c r="M152" t="inlineStr">
        <is>
          <t>Konstruksi Bangunan Sipil Jalan, Konstruksi Gedung Lainnya, Konstruksi Gedung Pendidikan</t>
        </is>
      </c>
      <c r="N152" t="inlineStr">
        <is>
          <t>K</t>
        </is>
      </c>
      <c r="O152" t="inlineStr">
        <is>
          <t>20230913</t>
        </is>
      </c>
      <c r="P152" t="inlineStr">
        <is>
          <t>Jawa Tengah</t>
        </is>
      </c>
      <c r="Q152" t="inlineStr"/>
    </row>
    <row r="153">
      <c r="A153" t="inlineStr">
        <is>
          <t>SINERGI KARYA UTAMA</t>
        </is>
      </c>
      <c r="B153" t="inlineStr">
        <is>
          <t>Kota Pontianak</t>
        </is>
      </c>
      <c r="C153" t="inlineStr">
        <is>
          <t>08125642804</t>
        </is>
      </c>
      <c r="D153" t="inlineStr">
        <is>
          <t>ptsinergikaryautama08@gmail.com</t>
        </is>
      </c>
      <c r="E153" t="inlineStr">
        <is>
          <t>https://lpjk.pu.go.id/search-badan-usaha-detail/K2N4YTZ1KzFYbUthWWZ6RC9HK2JSQT09</t>
        </is>
      </c>
      <c r="F153" t="n">
        <v>1</v>
      </c>
      <c r="G153" t="inlineStr">
        <is>
          <t>AL003</t>
        </is>
      </c>
      <c r="H153" t="inlineStr">
        <is>
          <t>16 Desember 2009</t>
        </is>
      </c>
      <c r="I153" s="2" t="n">
        <v>46278</v>
      </c>
      <c r="J153" t="inlineStr">
        <is>
          <t>Disetujui</t>
        </is>
      </c>
      <c r="K153" t="n">
        <v>60</v>
      </c>
      <c r="L153" t="inlineStr">
        <is>
          <t>13 September 2026</t>
        </is>
      </c>
      <c r="M153" t="inlineStr">
        <is>
          <t>Jasa Pengembangan Perkotaan</t>
        </is>
      </c>
      <c r="N153" t="inlineStr">
        <is>
          <t>K</t>
        </is>
      </c>
      <c r="O153" t="inlineStr">
        <is>
          <t>20230906</t>
        </is>
      </c>
      <c r="P153" t="inlineStr">
        <is>
          <t>Kalimantan Barat</t>
        </is>
      </c>
      <c r="Q153" t="inlineStr"/>
    </row>
    <row r="154">
      <c r="A154" t="inlineStr">
        <is>
          <t>SOCA INTEN</t>
        </is>
      </c>
      <c r="B154" t="inlineStr">
        <is>
          <t>Kab. Sukabumi</t>
        </is>
      </c>
      <c r="C154" t="inlineStr">
        <is>
          <t>085871309079</t>
        </is>
      </c>
      <c r="D154" t="inlineStr">
        <is>
          <t>cvsocainten22@gmail.com</t>
        </is>
      </c>
      <c r="E154" t="inlineStr">
        <is>
          <t>https://lpjk.pu.go.id/search-badan-usaha-detail/T2ZSb3NiK2JEeVBQTnk2OWdKWkRkdz09</t>
        </is>
      </c>
      <c r="F154" t="n">
        <v>2</v>
      </c>
      <c r="G154" t="inlineStr">
        <is>
          <t>BS001, BS004</t>
        </is>
      </c>
      <c r="H154" t="inlineStr">
        <is>
          <t>4 Desember 2012</t>
        </is>
      </c>
      <c r="I154" s="2" t="n">
        <v>46278</v>
      </c>
      <c r="J154" t="inlineStr">
        <is>
          <t>Disetujui</t>
        </is>
      </c>
      <c r="K154" t="n">
        <v>60</v>
      </c>
      <c r="L154" t="inlineStr">
        <is>
          <t>13 September 2026</t>
        </is>
      </c>
      <c r="M154" t="inlineStr">
        <is>
          <t>Konstruksi Bangunan Sipil Jalan, Konstruksi Jaringan Irigasi dan Drainase</t>
        </is>
      </c>
      <c r="N154" t="inlineStr">
        <is>
          <t>K</t>
        </is>
      </c>
      <c r="O154" t="inlineStr">
        <is>
          <t>20230913</t>
        </is>
      </c>
      <c r="P154" t="inlineStr">
        <is>
          <t>Jawa Barat</t>
        </is>
      </c>
      <c r="Q154" t="inlineStr"/>
    </row>
    <row r="155">
      <c r="A155" t="inlineStr">
        <is>
          <t>SUKAMAJU</t>
        </is>
      </c>
      <c r="B155" t="inlineStr">
        <is>
          <t>Kab. Mimika</t>
        </is>
      </c>
      <c r="C155" t="inlineStr">
        <is>
          <t>081240382950</t>
        </is>
      </c>
      <c r="D155" t="inlineStr">
        <is>
          <t>pt.sukamaju@yahoo.co.id</t>
        </is>
      </c>
      <c r="E155" t="inlineStr">
        <is>
          <t>https://lpjk.pu.go.id/search-badan-usaha-detail/ZTlibE1TQUtJRTBMQUtlOWc2Wk9MQT09</t>
        </is>
      </c>
      <c r="F155" t="n">
        <v>2</v>
      </c>
      <c r="G155" t="inlineStr">
        <is>
          <t>BS001</t>
        </is>
      </c>
      <c r="H155" t="inlineStr">
        <is>
          <t>5 Maret 2007</t>
        </is>
      </c>
      <c r="I155" s="2" t="n">
        <v>46278</v>
      </c>
      <c r="J155" t="inlineStr">
        <is>
          <t>Pembekuan</t>
        </is>
      </c>
      <c r="K155" t="n">
        <v>60</v>
      </c>
      <c r="L155" t="inlineStr">
        <is>
          <t>13 September 2026</t>
        </is>
      </c>
      <c r="M155" t="inlineStr">
        <is>
          <t>Konstruksi Bangunan Sipil Jalan</t>
        </is>
      </c>
      <c r="N155" t="inlineStr">
        <is>
          <t>M</t>
        </is>
      </c>
      <c r="O155" t="inlineStr">
        <is>
          <t>20230912</t>
        </is>
      </c>
      <c r="P155" t="inlineStr">
        <is>
          <t>Papua</t>
        </is>
      </c>
      <c r="Q155" t="inlineStr"/>
    </row>
    <row r="156">
      <c r="A156" t="inlineStr">
        <is>
          <t>SULTAN ASROFI</t>
        </is>
      </c>
      <c r="B156" t="inlineStr">
        <is>
          <t>Kab. Lombok Timur</t>
        </is>
      </c>
      <c r="C156" t="inlineStr">
        <is>
          <t>081910221828</t>
        </is>
      </c>
      <c r="D156" t="inlineStr">
        <is>
          <t>sadulabsor1984@gmail.com</t>
        </is>
      </c>
      <c r="E156" t="inlineStr">
        <is>
          <t>https://lpjk.pu.go.id/search-badan-usaha-detail/dmxCNUczR1hVRytlRHYwdm9GeTJvdz09</t>
        </is>
      </c>
      <c r="F156" t="n">
        <v>4</v>
      </c>
      <c r="G156" t="inlineStr">
        <is>
          <t>BG001, BG009, BS001, BS004</t>
        </is>
      </c>
      <c r="H156" t="inlineStr">
        <is>
          <t>13 Maret 2023</t>
        </is>
      </c>
      <c r="I156" s="2" t="n">
        <v>46278</v>
      </c>
      <c r="J156" t="inlineStr">
        <is>
          <t>Disetujui</t>
        </is>
      </c>
      <c r="K156" t="n">
        <v>60</v>
      </c>
      <c r="L156" t="inlineStr">
        <is>
          <t>13 September 2026</t>
        </is>
      </c>
      <c r="M156" t="inlineStr">
        <is>
          <t>Konstruksi Bangunan Sipil Jalan, Konstruksi Gedung Hunian, Konstruksi Gedung Lainnya, Konstruksi Jaringan Irigasi dan Drainase</t>
        </is>
      </c>
      <c r="N156" t="inlineStr">
        <is>
          <t>K</t>
        </is>
      </c>
      <c r="O156" t="inlineStr">
        <is>
          <t>20230513, 20230908</t>
        </is>
      </c>
      <c r="P156" t="inlineStr">
        <is>
          <t>Nusa Tenggara Barat</t>
        </is>
      </c>
      <c r="Q156" t="inlineStr"/>
    </row>
    <row r="157">
      <c r="A157" t="inlineStr">
        <is>
          <t>SUMBER MAKMUR</t>
        </is>
      </c>
      <c r="B157" t="inlineStr">
        <is>
          <t>Kab. Gunungkidul</t>
        </is>
      </c>
      <c r="C157" t="inlineStr">
        <is>
          <t>08112516155</t>
        </is>
      </c>
      <c r="D157" t="inlineStr">
        <is>
          <t>giyantoro411@gmail.com</t>
        </is>
      </c>
      <c r="E157" t="inlineStr">
        <is>
          <t>https://lpjk.pu.go.id/search-badan-usaha-detail/NmkvTkVUaVFETzJ0SXprYzJWb1hyZz09</t>
        </is>
      </c>
      <c r="F157" t="n">
        <v>2</v>
      </c>
      <c r="G157" t="inlineStr">
        <is>
          <t>BG005, BG006</t>
        </is>
      </c>
      <c r="H157" t="inlineStr">
        <is>
          <t>22 Juni 2012</t>
        </is>
      </c>
      <c r="I157" s="2" t="n">
        <v>46278</v>
      </c>
      <c r="J157" t="inlineStr">
        <is>
          <t>Pencabutan</t>
        </is>
      </c>
      <c r="K157" t="n">
        <v>60</v>
      </c>
      <c r="L157" t="inlineStr">
        <is>
          <t>13 September 2026</t>
        </is>
      </c>
      <c r="M157" t="inlineStr">
        <is>
          <t>Konstruksi Gedung Kesehatan, Konstruksi Gedung Pendidikan</t>
        </is>
      </c>
      <c r="N157" t="inlineStr">
        <is>
          <t>K</t>
        </is>
      </c>
      <c r="O157" t="inlineStr">
        <is>
          <t>20230814, 20230815</t>
        </is>
      </c>
      <c r="P157" t="inlineStr">
        <is>
          <t>DI Yogyakarta</t>
        </is>
      </c>
      <c r="Q157" t="inlineStr"/>
    </row>
    <row r="158">
      <c r="A158" t="inlineStr">
        <is>
          <t>TAKALLUF ANDALAN PRATAMA</t>
        </is>
      </c>
      <c r="B158" t="inlineStr">
        <is>
          <t>Kab. Pangandaran</t>
        </is>
      </c>
      <c r="C158" t="inlineStr">
        <is>
          <t>08128006840</t>
        </is>
      </c>
      <c r="D158" t="inlineStr">
        <is>
          <t>maunk.cipicung@gmail.com</t>
        </is>
      </c>
      <c r="E158" t="inlineStr">
        <is>
          <t>https://lpjk.pu.go.id/search-badan-usaha-detail/SnNSVnViS3M4MkdkaWhhZW9xRFMzdz09</t>
        </is>
      </c>
      <c r="F158" t="n">
        <v>2</v>
      </c>
      <c r="G158" t="inlineStr">
        <is>
          <t>BG009</t>
        </is>
      </c>
      <c r="H158" t="inlineStr">
        <is>
          <t>16 November 2013</t>
        </is>
      </c>
      <c r="I158" s="2" t="n">
        <v>46278</v>
      </c>
      <c r="J158" t="inlineStr">
        <is>
          <t>Disetujui</t>
        </is>
      </c>
      <c r="K158" t="n">
        <v>60</v>
      </c>
      <c r="L158" t="inlineStr">
        <is>
          <t>13 September 2026</t>
        </is>
      </c>
      <c r="M158" t="inlineStr">
        <is>
          <t>Konstruksi Gedung Lainnya</t>
        </is>
      </c>
      <c r="N158" t="inlineStr">
        <is>
          <t>K</t>
        </is>
      </c>
      <c r="O158" t="inlineStr">
        <is>
          <t>20230911</t>
        </is>
      </c>
      <c r="P158" t="inlineStr">
        <is>
          <t>Jawa Barat</t>
        </is>
      </c>
      <c r="Q158" t="inlineStr"/>
    </row>
    <row r="159">
      <c r="A159" t="inlineStr">
        <is>
          <t>TELATENIKA JAYA</t>
        </is>
      </c>
      <c r="B159" t="inlineStr">
        <is>
          <t>Kab. Cirebon</t>
        </is>
      </c>
      <c r="C159" t="inlineStr">
        <is>
          <t>0231205504</t>
        </is>
      </c>
      <c r="D159" t="inlineStr">
        <is>
          <t>telatenika@yahoo.co.id</t>
        </is>
      </c>
      <c r="E159" t="inlineStr">
        <is>
          <t>https://lpjk.pu.go.id/search-badan-usaha-detail/T0ZKT1NIbitveS9tRkdKWnhodGhSdz09</t>
        </is>
      </c>
      <c r="F159" t="n">
        <v>1</v>
      </c>
      <c r="G159" t="inlineStr">
        <is>
          <t>BS003</t>
        </is>
      </c>
      <c r="H159" t="inlineStr">
        <is>
          <t>24 April 2008</t>
        </is>
      </c>
      <c r="I159" s="2" t="n">
        <v>46278</v>
      </c>
      <c r="J159" t="inlineStr">
        <is>
          <t>Pembekuan</t>
        </is>
      </c>
      <c r="K159" t="n">
        <v>60</v>
      </c>
      <c r="L159" t="inlineStr">
        <is>
          <t>13 September 2026</t>
        </is>
      </c>
      <c r="M159" t="inlineStr">
        <is>
          <t>Konstruksi Jalan Rel</t>
        </is>
      </c>
      <c r="N159" t="inlineStr">
        <is>
          <t>M</t>
        </is>
      </c>
      <c r="O159" t="inlineStr">
        <is>
          <t>20230910</t>
        </is>
      </c>
      <c r="P159" t="inlineStr">
        <is>
          <t>Jawa Barat</t>
        </is>
      </c>
      <c r="Q159" t="inlineStr"/>
    </row>
    <row r="160">
      <c r="A160" t="inlineStr">
        <is>
          <t>THOMAS ADITYA JAYA ABADI</t>
        </is>
      </c>
      <c r="B160" t="inlineStr">
        <is>
          <t>Kab. Karawang</t>
        </is>
      </c>
      <c r="C160" t="inlineStr">
        <is>
          <t>087773175590</t>
        </is>
      </c>
      <c r="D160" t="inlineStr">
        <is>
          <t>cv.thomasaja1@gmail.com</t>
        </is>
      </c>
      <c r="E160" t="inlineStr">
        <is>
          <t>https://lpjk.pu.go.id/search-badan-usaha-detail/ZzJBL3pEcm92YUxoa205VTM1RkY5UT09</t>
        </is>
      </c>
      <c r="F160" t="n">
        <v>4</v>
      </c>
      <c r="G160" t="inlineStr">
        <is>
          <t>BG006, BG009, BS001, BS004</t>
        </is>
      </c>
      <c r="H160" t="inlineStr">
        <is>
          <t>31 Agustus 2023</t>
        </is>
      </c>
      <c r="I160" s="2" t="n">
        <v>46278</v>
      </c>
      <c r="J160" t="inlineStr">
        <is>
          <t>Disetujui</t>
        </is>
      </c>
      <c r="K160" t="n">
        <v>60</v>
      </c>
      <c r="L160" t="inlineStr">
        <is>
          <t>13 September 2026</t>
        </is>
      </c>
      <c r="M160" t="inlineStr">
        <is>
          <t>Konstruksi Bangunan Sipil Jalan, Konstruksi Gedung Lainnya, Konstruksi Gedung Pendidikan, Konstruksi Jaringan Irigasi dan Drainase</t>
        </is>
      </c>
      <c r="N160" t="inlineStr">
        <is>
          <t>K</t>
        </is>
      </c>
      <c r="O160" t="inlineStr">
        <is>
          <t>20230913</t>
        </is>
      </c>
      <c r="P160" t="inlineStr">
        <is>
          <t>Jawa Barat</t>
        </is>
      </c>
      <c r="Q160" t="inlineStr"/>
    </row>
    <row r="161">
      <c r="A161" t="inlineStr">
        <is>
          <t>TIGA PUTRA</t>
        </is>
      </c>
      <c r="B161" t="inlineStr">
        <is>
          <t>Kab. Banjarnegara</t>
        </is>
      </c>
      <c r="C161" t="inlineStr">
        <is>
          <t>089665674878</t>
        </is>
      </c>
      <c r="D161" t="inlineStr">
        <is>
          <t>cv_tigaputra93@yahoo.com</t>
        </is>
      </c>
      <c r="E161" t="inlineStr">
        <is>
          <t>https://lpjk.pu.go.id/search-badan-usaha-detail/ekJtcDFUVnNaYTNSSjFPeitZQVRBZz09</t>
        </is>
      </c>
      <c r="F161" t="n">
        <v>3</v>
      </c>
      <c r="G161" t="inlineStr">
        <is>
          <t>BG001, BG002, BS001</t>
        </is>
      </c>
      <c r="H161" t="inlineStr">
        <is>
          <t>5 April 2013</t>
        </is>
      </c>
      <c r="I161" s="2" t="n">
        <v>46278</v>
      </c>
      <c r="J161" t="inlineStr">
        <is>
          <t>Disetujui</t>
        </is>
      </c>
      <c r="K161" t="n">
        <v>60</v>
      </c>
      <c r="L161" t="inlineStr">
        <is>
          <t>13 September 2026</t>
        </is>
      </c>
      <c r="M161" t="inlineStr">
        <is>
          <t>Konstruksi Bangunan Sipil Jalan, Konstruksi Gedung Hunian, Konstruksi Gedung Perkantoran</t>
        </is>
      </c>
      <c r="N161" t="inlineStr">
        <is>
          <t>K</t>
        </is>
      </c>
      <c r="O161" t="inlineStr">
        <is>
          <t>20230907, 20230908</t>
        </is>
      </c>
      <c r="P161" t="inlineStr">
        <is>
          <t>Jawa Tengah</t>
        </is>
      </c>
      <c r="Q161" t="inlineStr"/>
    </row>
    <row r="162">
      <c r="A162" t="inlineStr">
        <is>
          <t>TIRTA HARUM</t>
        </is>
      </c>
      <c r="B162" t="inlineStr">
        <is>
          <t>Kab. Karangasem</t>
        </is>
      </c>
      <c r="C162" t="inlineStr">
        <is>
          <t>08123913947</t>
        </is>
      </c>
      <c r="D162" t="inlineStr">
        <is>
          <t>tirtaharum16@yahoo.com</t>
        </is>
      </c>
      <c r="E162" t="inlineStr">
        <is>
          <t>https://lpjk.pu.go.id/search-badan-usaha-detail/MFdXTkNXNGhqVit3c2FjRUJwRE5xZz09</t>
        </is>
      </c>
      <c r="F162" t="n">
        <v>1</v>
      </c>
      <c r="G162" t="inlineStr">
        <is>
          <t>BS001</t>
        </is>
      </c>
      <c r="H162" t="inlineStr">
        <is>
          <t>24 Juni 1993</t>
        </is>
      </c>
      <c r="I162" s="2" t="n">
        <v>46278</v>
      </c>
      <c r="J162" t="inlineStr">
        <is>
          <t>Disetujui</t>
        </is>
      </c>
      <c r="K162" t="n">
        <v>60</v>
      </c>
      <c r="L162" t="inlineStr">
        <is>
          <t>13 September 2026</t>
        </is>
      </c>
      <c r="M162" t="inlineStr">
        <is>
          <t>Konstruksi Bangunan Sipil Jalan</t>
        </is>
      </c>
      <c r="N162" t="inlineStr">
        <is>
          <t>K</t>
        </is>
      </c>
      <c r="O162" t="inlineStr">
        <is>
          <t>20230620</t>
        </is>
      </c>
      <c r="P162" t="inlineStr">
        <is>
          <t>Bali</t>
        </is>
      </c>
      <c r="Q162" t="inlineStr"/>
    </row>
    <row r="163">
      <c r="A163" t="inlineStr">
        <is>
          <t>TRI MANUNGGAL BAWANA</t>
        </is>
      </c>
      <c r="B163" t="inlineStr">
        <is>
          <t>Kab. Sleman</t>
        </is>
      </c>
      <c r="C163" t="inlineStr">
        <is>
          <t>081328705333</t>
        </is>
      </c>
      <c r="D163" t="inlineStr">
        <is>
          <t>tritunggalciptasarana@gmail.com</t>
        </is>
      </c>
      <c r="E163" t="inlineStr">
        <is>
          <t>https://lpjk.pu.go.id/search-badan-usaha-detail/MWRjMzg1OU5SbGJSK1EwVC9EKy9wUT09</t>
        </is>
      </c>
      <c r="F163" t="n">
        <v>2</v>
      </c>
      <c r="G163" t="inlineStr">
        <is>
          <t>BG002</t>
        </is>
      </c>
      <c r="H163" t="inlineStr">
        <is>
          <t>14 Agustus 2023</t>
        </is>
      </c>
      <c r="I163" s="2" t="n">
        <v>46278</v>
      </c>
      <c r="J163" t="inlineStr">
        <is>
          <t>Pencabutan</t>
        </is>
      </c>
      <c r="K163" t="n">
        <v>60</v>
      </c>
      <c r="L163" t="inlineStr">
        <is>
          <t>13 September 2026</t>
        </is>
      </c>
      <c r="M163" t="inlineStr">
        <is>
          <t>Konstruksi Gedung Perkantoran</t>
        </is>
      </c>
      <c r="N163" t="inlineStr">
        <is>
          <t>K</t>
        </is>
      </c>
      <c r="O163" t="inlineStr">
        <is>
          <t>20230912</t>
        </is>
      </c>
      <c r="P163" t="inlineStr">
        <is>
          <t>DI Yogyakarta</t>
        </is>
      </c>
      <c r="Q163" t="inlineStr"/>
    </row>
    <row r="164">
      <c r="A164" t="inlineStr">
        <is>
          <t>USAHA BERSAMA</t>
        </is>
      </c>
      <c r="B164" t="inlineStr">
        <is>
          <t>Kab. Solok</t>
        </is>
      </c>
      <c r="C164" t="inlineStr">
        <is>
          <t>08534720252</t>
        </is>
      </c>
      <c r="D164" t="inlineStr">
        <is>
          <t>cvzulhendri44@gmail.com</t>
        </is>
      </c>
      <c r="E164" t="inlineStr">
        <is>
          <t>https://lpjk.pu.go.id/search-badan-usaha-detail/dFdEMStXV0xiY1pXaUNhSEozRTF5Zz09</t>
        </is>
      </c>
      <c r="F164" t="n">
        <v>1</v>
      </c>
      <c r="G164" t="inlineStr">
        <is>
          <t>BS001</t>
        </is>
      </c>
      <c r="H164" t="inlineStr">
        <is>
          <t>28 Januari 2019</t>
        </is>
      </c>
      <c r="I164" s="2" t="n">
        <v>46278</v>
      </c>
      <c r="J164" t="inlineStr">
        <is>
          <t>Pencabutan</t>
        </is>
      </c>
      <c r="K164" t="n">
        <v>60</v>
      </c>
      <c r="L164" t="inlineStr">
        <is>
          <t>13 September 2026</t>
        </is>
      </c>
      <c r="M164" t="inlineStr">
        <is>
          <t>Konstruksi Bangunan Sipil Jalan</t>
        </is>
      </c>
      <c r="N164" t="inlineStr">
        <is>
          <t>K</t>
        </is>
      </c>
      <c r="O164" t="inlineStr">
        <is>
          <t>20230828</t>
        </is>
      </c>
      <c r="P164" t="inlineStr">
        <is>
          <t>Sumatera Barat</t>
        </is>
      </c>
      <c r="Q164" t="inlineStr"/>
    </row>
    <row r="165">
      <c r="A165" t="inlineStr">
        <is>
          <t>WAHANA MITRA ABADI</t>
        </is>
      </c>
      <c r="B165" t="inlineStr">
        <is>
          <t>Kab. Muaro Jambi</t>
        </is>
      </c>
      <c r="C165" t="inlineStr">
        <is>
          <t>085268509536</t>
        </is>
      </c>
      <c r="D165" t="inlineStr">
        <is>
          <t>wmajambi@yahoo.com</t>
        </is>
      </c>
      <c r="E165" t="inlineStr">
        <is>
          <t>https://lpjk.pu.go.id/search-badan-usaha-detail/ZnovZ2MxMm1yTmNVOVJ4UXZQME0zdz09</t>
        </is>
      </c>
      <c r="F165" t="n">
        <v>3</v>
      </c>
      <c r="G165" t="inlineStr">
        <is>
          <t>BG009</t>
        </is>
      </c>
      <c r="H165" t="inlineStr">
        <is>
          <t>14 Agustus 2019</t>
        </is>
      </c>
      <c r="I165" s="2" t="n">
        <v>46278</v>
      </c>
      <c r="J165" t="inlineStr">
        <is>
          <t>Disetujui</t>
        </is>
      </c>
      <c r="K165" t="n">
        <v>60</v>
      </c>
      <c r="L165" t="inlineStr">
        <is>
          <t>13 September 2026</t>
        </is>
      </c>
      <c r="M165" t="inlineStr">
        <is>
          <t>Konstruksi Gedung Lainnya</t>
        </is>
      </c>
      <c r="N165" t="inlineStr">
        <is>
          <t>K</t>
        </is>
      </c>
      <c r="O165" t="inlineStr">
        <is>
          <t>20230911</t>
        </is>
      </c>
      <c r="P165" t="inlineStr">
        <is>
          <t>Jambi</t>
        </is>
      </c>
      <c r="Q165" t="inlineStr"/>
    </row>
    <row r="166">
      <c r="A166" t="inlineStr">
        <is>
          <t>WAHYU RAMADHAN</t>
        </is>
      </c>
      <c r="B166" t="inlineStr">
        <is>
          <t>Kota Batu</t>
        </is>
      </c>
      <c r="C166" t="inlineStr">
        <is>
          <t>0341468181</t>
        </is>
      </c>
      <c r="D166" t="inlineStr">
        <is>
          <t>wahyuramadhan.cv@gmail.com</t>
        </is>
      </c>
      <c r="E166" t="inlineStr">
        <is>
          <t>https://lpjk.pu.go.id/search-badan-usaha-detail/T2drMnVYOHB0NHJaZWxZdG93Nlg1QT09</t>
        </is>
      </c>
      <c r="F166" t="n">
        <v>1</v>
      </c>
      <c r="G166" t="inlineStr">
        <is>
          <t>BS004</t>
        </is>
      </c>
      <c r="H166" t="inlineStr">
        <is>
          <t>29 Agustus 2009</t>
        </is>
      </c>
      <c r="I166" s="2" t="n">
        <v>46278</v>
      </c>
      <c r="J166" t="inlineStr">
        <is>
          <t>Disetujui</t>
        </is>
      </c>
      <c r="K166" t="n">
        <v>60</v>
      </c>
      <c r="L166" t="inlineStr">
        <is>
          <t>13 September 2026</t>
        </is>
      </c>
      <c r="M166" t="inlineStr">
        <is>
          <t>Konstruksi Jaringan Irigasi dan Drainase</t>
        </is>
      </c>
      <c r="N166" t="inlineStr">
        <is>
          <t>K</t>
        </is>
      </c>
      <c r="O166" t="inlineStr">
        <is>
          <t>20230724</t>
        </is>
      </c>
      <c r="P166" t="inlineStr">
        <is>
          <t>Jawa Timur</t>
        </is>
      </c>
      <c r="Q166" t="inlineStr"/>
    </row>
    <row r="167">
      <c r="A167" t="inlineStr">
        <is>
          <t>WELLTECH POWERIC INDONESIA</t>
        </is>
      </c>
      <c r="B167" t="inlineStr">
        <is>
          <t>Kota Batam</t>
        </is>
      </c>
      <c r="C167" t="inlineStr">
        <is>
          <t>085374537333</t>
        </is>
      </c>
      <c r="D167" t="inlineStr">
        <is>
          <t>Ptwelltechpoweric@gmail.com</t>
        </is>
      </c>
      <c r="E167" t="inlineStr">
        <is>
          <t>https://lpjk.pu.go.id/search-badan-usaha-detail/Sk9qZDNENHJQTDgrSWpNYmFxTWZrZz09</t>
        </is>
      </c>
      <c r="F167" t="n">
        <v>4</v>
      </c>
      <c r="G167" t="inlineStr">
        <is>
          <t>BG001, BG002, BG003, BS007</t>
        </is>
      </c>
      <c r="H167" t="inlineStr">
        <is>
          <t>15 Mei 2023</t>
        </is>
      </c>
      <c r="I167" s="2" t="n">
        <v>46278</v>
      </c>
      <c r="J167" t="inlineStr">
        <is>
          <t>Disetujui</t>
        </is>
      </c>
      <c r="K167" t="n">
        <v>60</v>
      </c>
      <c r="L167" t="inlineStr">
        <is>
          <t>13 September 2026</t>
        </is>
      </c>
      <c r="M167" t="inlineStr">
        <is>
          <t>Konstruksi Bangunan Sipil Elektrikal, Konstruksi Gedung Hunian, Konstruksi Gedung Industri, Konstruksi Gedung Perkantoran</t>
        </is>
      </c>
      <c r="N167" t="inlineStr">
        <is>
          <t>K</t>
        </is>
      </c>
      <c r="O167" t="inlineStr">
        <is>
          <t>20230913</t>
        </is>
      </c>
      <c r="P167" t="inlineStr">
        <is>
          <t>Kepulauan Riau</t>
        </is>
      </c>
      <c r="Q167" t="inlineStr"/>
    </row>
    <row r="168">
      <c r="A168" t="inlineStr">
        <is>
          <t>WIRA AGUNG</t>
        </is>
      </c>
      <c r="B168" t="inlineStr">
        <is>
          <t>Kab. Indramayu</t>
        </is>
      </c>
      <c r="C168" t="inlineStr">
        <is>
          <t>0234271740</t>
        </is>
      </c>
      <c r="D168" t="inlineStr">
        <is>
          <t>wira.agung88@gmail.com</t>
        </is>
      </c>
      <c r="E168" t="inlineStr">
        <is>
          <t>https://lpjk.pu.go.id/search-badan-usaha-detail/aXBLc3ptUEFQeGdWM2R5c0JocGl4dz09</t>
        </is>
      </c>
      <c r="F168" t="n">
        <v>1</v>
      </c>
      <c r="G168" t="inlineStr">
        <is>
          <t>KK005</t>
        </is>
      </c>
      <c r="H168" t="inlineStr">
        <is>
          <t>30 Januari 2003</t>
        </is>
      </c>
      <c r="I168" s="2" t="n">
        <v>46278</v>
      </c>
      <c r="J168" t="inlineStr">
        <is>
          <t>Disetujui</t>
        </is>
      </c>
      <c r="K168" t="n">
        <v>60</v>
      </c>
      <c r="L168" t="inlineStr">
        <is>
          <t>13 September 2026</t>
        </is>
      </c>
      <c r="M168" t="inlineStr">
        <is>
          <t>Pekerjaan Lapis Perkerasan Beton (Rigid Pavement)</t>
        </is>
      </c>
      <c r="N168" t="inlineStr">
        <is>
          <t>Spesialis</t>
        </is>
      </c>
      <c r="O168" t="inlineStr">
        <is>
          <t>20230831</t>
        </is>
      </c>
      <c r="P168" t="inlineStr">
        <is>
          <t>Jawa Barat</t>
        </is>
      </c>
      <c r="Q168" t="inlineStr"/>
    </row>
    <row r="169">
      <c r="A169" t="inlineStr">
        <is>
          <t>ZAKY ZIKRI</t>
        </is>
      </c>
      <c r="B169" t="inlineStr">
        <is>
          <t>Kab. Aceh Utara</t>
        </is>
      </c>
      <c r="C169" t="inlineStr">
        <is>
          <t>082288216008</t>
        </is>
      </c>
      <c r="D169" t="inlineStr">
        <is>
          <t>zakyzikri@yahoo.co.id</t>
        </is>
      </c>
      <c r="E169" t="inlineStr">
        <is>
          <t>https://lpjk.pu.go.id/search-badan-usaha-detail/YmcxaGJyUFVZUFV6aVZhL3ZXdzVpZz09</t>
        </is>
      </c>
      <c r="F169" t="n">
        <v>2</v>
      </c>
      <c r="G169" t="inlineStr">
        <is>
          <t>BG002, BG004</t>
        </is>
      </c>
      <c r="H169" t="inlineStr">
        <is>
          <t>5 Januari 2016</t>
        </is>
      </c>
      <c r="I169" s="2" t="n">
        <v>46278</v>
      </c>
      <c r="J169" t="inlineStr">
        <is>
          <t>Disetujui</t>
        </is>
      </c>
      <c r="K169" t="n">
        <v>60</v>
      </c>
      <c r="L169" t="inlineStr">
        <is>
          <t>13 September 2026</t>
        </is>
      </c>
      <c r="M169" t="inlineStr">
        <is>
          <t>Konstruksi Gedung Perbelanjaan, Konstruksi Gedung Perkantoran</t>
        </is>
      </c>
      <c r="N169" t="inlineStr">
        <is>
          <t>K</t>
        </is>
      </c>
      <c r="O169" t="inlineStr">
        <is>
          <t>20230913, 20230914</t>
        </is>
      </c>
      <c r="P169" t="inlineStr">
        <is>
          <t>Aceh</t>
        </is>
      </c>
      <c r="Q169" t="inlineStr"/>
    </row>
    <row r="170">
      <c r="A170" t="inlineStr">
        <is>
          <t>ZARA FARADISE</t>
        </is>
      </c>
      <c r="B170" t="inlineStr">
        <is>
          <t>Kota Tegal</t>
        </is>
      </c>
      <c r="C170" t="inlineStr">
        <is>
          <t>082313859005</t>
        </is>
      </c>
      <c r="D170" t="inlineStr">
        <is>
          <t>zarafaradise2020@gmail.com</t>
        </is>
      </c>
      <c r="E170" t="inlineStr">
        <is>
          <t>https://lpjk.pu.go.id/search-badan-usaha-detail/eUZxVHV5Z0x4ZndBTCtXeGZLVWZJUT09</t>
        </is>
      </c>
      <c r="F170" t="n">
        <v>1</v>
      </c>
      <c r="G170" t="inlineStr">
        <is>
          <t>BS004</t>
        </is>
      </c>
      <c r="H170" t="inlineStr">
        <is>
          <t>24 Juli 2020</t>
        </is>
      </c>
      <c r="I170" s="2" t="n">
        <v>46278</v>
      </c>
      <c r="J170" t="inlineStr">
        <is>
          <t>Pencabutan</t>
        </is>
      </c>
      <c r="K170" t="n">
        <v>60</v>
      </c>
      <c r="L170" t="inlineStr">
        <is>
          <t>13 September 2026</t>
        </is>
      </c>
      <c r="M170" t="inlineStr">
        <is>
          <t>Konstruksi Jaringan Irigasi dan Drainase</t>
        </is>
      </c>
      <c r="N170" t="inlineStr">
        <is>
          <t>K</t>
        </is>
      </c>
      <c r="O170" t="inlineStr">
        <is>
          <t>20230913</t>
        </is>
      </c>
      <c r="P170" t="inlineStr">
        <is>
          <t>Jawa Tengah</t>
        </is>
      </c>
      <c r="Q1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cols>
    <col width="34"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BERKAT BUNDA MELIMPAH</t>
        </is>
      </c>
      <c r="B2" t="inlineStr">
        <is>
          <t>Kota Bogor</t>
        </is>
      </c>
      <c r="C2" t="inlineStr">
        <is>
          <t>085219581348</t>
        </is>
      </c>
      <c r="D2" t="inlineStr">
        <is>
          <t>berkatbundamelimpah@gmail.com</t>
        </is>
      </c>
      <c r="E2" t="inlineStr">
        <is>
          <t>https://lpjk.pu.go.id/search-badan-usaha-detail/K2Q2NGdxRFBrMC92WnJzTm54YkFQUT09</t>
        </is>
      </c>
      <c r="F2" t="n">
        <v>8</v>
      </c>
      <c r="G2" t="inlineStr">
        <is>
          <t>BG001, BG003, BS001, BS011</t>
        </is>
      </c>
      <c r="H2" t="inlineStr">
        <is>
          <t>4 Juni 2018</t>
        </is>
      </c>
      <c r="I2" s="2" t="n">
        <v>46248</v>
      </c>
      <c r="J2" t="inlineStr">
        <is>
          <t>Disetujui</t>
        </is>
      </c>
      <c r="K2" t="n">
        <v>30</v>
      </c>
      <c r="L2" t="inlineStr">
        <is>
          <t>14 Agustus 2026</t>
        </is>
      </c>
      <c r="M2" t="inlineStr">
        <is>
          <t>Konstruksi Bangunan Pelabuhan Bukan Perikanan, Konstruksi Bangunan Sipil Jalan, Konstruksi Gedung Hunian, Konstruksi Gedung Industri</t>
        </is>
      </c>
      <c r="N2" t="inlineStr">
        <is>
          <t>K</t>
        </is>
      </c>
      <c r="O2" t="inlineStr">
        <is>
          <t>20230812</t>
        </is>
      </c>
      <c r="P2" t="inlineStr">
        <is>
          <t>Jawa Barat</t>
        </is>
      </c>
      <c r="Q2" s="3">
        <f>HYPERLINK("https://wa.me/6285219581348?text=*[Pengingat Masa Berlaku SBU BERKAT BUNDA MELIMPAH]*%0A%0AYth. Pimpinan BERKAT BUNDA MELIMPAH,%0AMohon izin menginformasikan status SBU Anda:%0A%0A📄 SBU: BG001, BG003, BS001, BS011%0A📅 Expired: 14 Agustus 2026 (30 Hari Lagi)%0A%0AKami tim PT. ESDEA Assistance Management siap men-support proses perpanjangan segera agar administrasi proyek tidak terhambat%0A%0AApakah boleh saya bantu siapkan estimasi biaya dan waktu pengerjaannya?.", "Hubungi")</f>
        <v/>
      </c>
    </row>
    <row r="3">
      <c r="A3" t="inlineStr">
        <is>
          <t>CAKRA BANGUN SUKSES</t>
        </is>
      </c>
      <c r="B3" t="inlineStr">
        <is>
          <t>Kota Depok</t>
        </is>
      </c>
      <c r="C3" t="inlineStr">
        <is>
          <t>02129519909</t>
        </is>
      </c>
      <c r="D3" t="inlineStr">
        <is>
          <t>cakrabangunsukses@gmail.com</t>
        </is>
      </c>
      <c r="E3" t="inlineStr">
        <is>
          <t>https://lpjk.pu.go.id/search-badan-usaha-detail/VEpwVXVwdlg5b3hRWitTNjBzSEx5Zz09</t>
        </is>
      </c>
      <c r="F3" t="n">
        <v>1</v>
      </c>
      <c r="G3" t="inlineStr">
        <is>
          <t>PB004</t>
        </is>
      </c>
      <c r="H3" t="inlineStr">
        <is>
          <t>18 April 2017</t>
        </is>
      </c>
      <c r="I3" s="2" t="n">
        <v>46248</v>
      </c>
      <c r="J3" t="inlineStr">
        <is>
          <t>Disetujui</t>
        </is>
      </c>
      <c r="K3" t="n">
        <v>30</v>
      </c>
      <c r="L3" t="inlineStr">
        <is>
          <t>14 Agustus 2026</t>
        </is>
      </c>
      <c r="M3" t="inlineStr">
        <is>
          <t>Dekorasi Interior</t>
        </is>
      </c>
      <c r="N3" t="inlineStr">
        <is>
          <t>Spesialis</t>
        </is>
      </c>
      <c r="O3" t="inlineStr">
        <is>
          <t>20230814</t>
        </is>
      </c>
      <c r="P3" t="inlineStr">
        <is>
          <t>Jawa Barat</t>
        </is>
      </c>
      <c r="Q3" t="inlineStr"/>
    </row>
    <row r="4">
      <c r="A4" t="inlineStr">
        <is>
          <t>DINASTI RAJA SEJAGAT</t>
        </is>
      </c>
      <c r="B4" t="inlineStr">
        <is>
          <t>Kota Bekasi</t>
        </is>
      </c>
      <c r="C4" t="inlineStr">
        <is>
          <t>02122865165</t>
        </is>
      </c>
      <c r="D4" t="inlineStr">
        <is>
          <t>dinastirajasejagat22@gmail.com</t>
        </is>
      </c>
      <c r="E4" t="inlineStr">
        <is>
          <t>https://lpjk.pu.go.id/search-badan-usaha-detail/Y01GZHFlZll0UVhHYkMzQnZncHVKUT09</t>
        </is>
      </c>
      <c r="F4" t="n">
        <v>3</v>
      </c>
      <c r="G4" t="inlineStr">
        <is>
          <t>BG005</t>
        </is>
      </c>
      <c r="H4" t="inlineStr">
        <is>
          <t>20 Juli 2010</t>
        </is>
      </c>
      <c r="I4" s="2" t="n">
        <v>46248</v>
      </c>
      <c r="J4" t="inlineStr">
        <is>
          <t>Disetujui</t>
        </is>
      </c>
      <c r="K4" t="n">
        <v>30</v>
      </c>
      <c r="L4" t="inlineStr">
        <is>
          <t>14 Agustus 2026</t>
        </is>
      </c>
      <c r="M4" t="inlineStr">
        <is>
          <t>Konstruksi Gedung Kesehatan</t>
        </is>
      </c>
      <c r="N4" t="inlineStr">
        <is>
          <t>M</t>
        </is>
      </c>
      <c r="O4" t="inlineStr">
        <is>
          <t>20230809</t>
        </is>
      </c>
      <c r="P4" t="inlineStr">
        <is>
          <t>Jawa Barat</t>
        </is>
      </c>
      <c r="Q4" t="inlineStr"/>
    </row>
    <row r="5">
      <c r="A5" t="inlineStr">
        <is>
          <t>DUA PUTRA CONSULT</t>
        </is>
      </c>
      <c r="B5" t="inlineStr">
        <is>
          <t>Kota Bogor</t>
        </is>
      </c>
      <c r="C5" t="inlineStr">
        <is>
          <t>081286836877</t>
        </is>
      </c>
      <c r="D5" t="inlineStr">
        <is>
          <t>duaputraconsult@gmail.com</t>
        </is>
      </c>
      <c r="E5" t="inlineStr">
        <is>
          <t>https://lpjk.pu.go.id/search-badan-usaha-detail/WEpKb2ZBQWZxWnJSaFBycGtkNEhqUT09</t>
        </is>
      </c>
      <c r="F5" t="n">
        <v>3</v>
      </c>
      <c r="G5" t="inlineStr">
        <is>
          <t>RK001, RK002, RK003</t>
        </is>
      </c>
      <c r="H5" t="inlineStr">
        <is>
          <t>13 Juli 2018</t>
        </is>
      </c>
      <c r="I5" s="2" t="n">
        <v>46248</v>
      </c>
      <c r="J5" t="inlineStr">
        <is>
          <t>Disetujui, Pencabutan</t>
        </is>
      </c>
      <c r="K5" t="n">
        <v>30</v>
      </c>
      <c r="L5" t="inlineStr">
        <is>
          <t>14 Agustus 2026</t>
        </is>
      </c>
      <c r="M5" t="inlineStr">
        <is>
          <t>Jasa Rekayasa Konstruksi Bangunan Gedung Hunian dan Non Hunian, Jasa Rekayasa Pekerjaan Teknik Sipil Sumber Daya Air, Jasa Rekayasa Pekerjaan Teknik Sipil Transportasi</t>
        </is>
      </c>
      <c r="N5" t="inlineStr">
        <is>
          <t>K</t>
        </is>
      </c>
      <c r="O5" t="inlineStr">
        <is>
          <t>20230804</t>
        </is>
      </c>
      <c r="P5" t="inlineStr">
        <is>
          <t>Jawa Barat</t>
        </is>
      </c>
      <c r="Q5" s="3">
        <f>HYPERLINK("https://wa.me/6281286836877?text=*[Pengingat Masa Berlaku SBU DUA PUTRA CONSULT]*%0A%0AYth. Pimpinan DUA PUTRA CONSULT,%0AMohon izin menginformasikan status SBU Anda:%0A%0A📄 SBU: RK001, RK002, RK003%0A📅 Expired: 14 Agustus 2026 (30 Hari Lagi)%0A%0AKami tim PT. ESDEA Assistance Management siap men-support proses perpanjangan segera agar administrasi proyek tidak terhambat%0A%0AApakah boleh saya bantu siapkan estimasi biaya dan waktu pengerjaannya?.", "Hubungi")</f>
        <v/>
      </c>
    </row>
    <row r="6">
      <c r="A6" t="inlineStr">
        <is>
          <t>FALDISA UTAMA</t>
        </is>
      </c>
      <c r="B6" t="inlineStr">
        <is>
          <t>Kab. Bogor</t>
        </is>
      </c>
      <c r="C6" t="inlineStr">
        <is>
          <t>082122126077</t>
        </is>
      </c>
      <c r="D6" t="inlineStr">
        <is>
          <t>faldisa.utama@yahoo.com</t>
        </is>
      </c>
      <c r="E6" t="inlineStr">
        <is>
          <t>https://lpjk.pu.go.id/search-badan-usaha-detail/VFNuN2NyVjFQemhBSWxkYnBVOXdXZz09</t>
        </is>
      </c>
      <c r="F6" t="n">
        <v>1</v>
      </c>
      <c r="G6" t="inlineStr">
        <is>
          <t>BS004</t>
        </is>
      </c>
      <c r="H6" t="inlineStr">
        <is>
          <t>28 April 1999</t>
        </is>
      </c>
      <c r="I6" s="2" t="n">
        <v>46248</v>
      </c>
      <c r="J6" t="inlineStr">
        <is>
          <t>Disetujui</t>
        </is>
      </c>
      <c r="K6" t="n">
        <v>30</v>
      </c>
      <c r="L6" t="inlineStr">
        <is>
          <t>14 Agustus 2026</t>
        </is>
      </c>
      <c r="M6" t="inlineStr">
        <is>
          <t>Konstruksi Jaringan Irigasi dan Drainase</t>
        </is>
      </c>
      <c r="N6" t="inlineStr">
        <is>
          <t>K</t>
        </is>
      </c>
      <c r="O6" t="inlineStr">
        <is>
          <t>20230802</t>
        </is>
      </c>
      <c r="P6" t="inlineStr">
        <is>
          <t>Jawa Barat</t>
        </is>
      </c>
      <c r="Q6" s="3">
        <f>HYPERLINK("https://wa.me/6282122126077?text=*[Pengingat Masa Berlaku SBU FALDISA UTAMA]*%0A%0AYth. Pimpinan FALDISA UTAMA,%0AMohon izin menginformasikan status SBU Anda:%0A%0A📄 SBU: BS004%0A📅 Expired: 14 Agustus 2026 (30 Hari Lagi)%0A%0AKami tim PT. ESDEA Assistance Management siap men-support proses perpanjangan segera agar administrasi proyek tidak terhambat%0A%0AApakah boleh saya bantu siapkan estimasi biaya dan waktu pengerjaannya?.", "Hubungi")</f>
        <v/>
      </c>
    </row>
    <row r="7">
      <c r="A7" t="inlineStr">
        <is>
          <t>FETA FITO DAMAI SEJAHTERA</t>
        </is>
      </c>
      <c r="B7" t="inlineStr">
        <is>
          <t>Kota Bekasi</t>
        </is>
      </c>
      <c r="C7" t="inlineStr">
        <is>
          <t>0811891255</t>
        </is>
      </c>
      <c r="D7" t="inlineStr">
        <is>
          <t>fetafito.ds@gmail.com</t>
        </is>
      </c>
      <c r="E7" t="inlineStr">
        <is>
          <t>https://lpjk.pu.go.id/search-badan-usaha-detail/TS9QTTZkSnViRkpVZ1BPM0pObm1yZz09</t>
        </is>
      </c>
      <c r="F7" t="n">
        <v>1</v>
      </c>
      <c r="G7" t="inlineStr">
        <is>
          <t>BS001</t>
        </is>
      </c>
      <c r="H7" t="inlineStr">
        <is>
          <t>29 April 2016</t>
        </is>
      </c>
      <c r="I7" s="2" t="n">
        <v>46248</v>
      </c>
      <c r="J7" t="inlineStr">
        <is>
          <t>Pencabutan</t>
        </is>
      </c>
      <c r="K7" t="n">
        <v>30</v>
      </c>
      <c r="L7" t="inlineStr">
        <is>
          <t>14 Agustus 2026</t>
        </is>
      </c>
      <c r="M7" t="inlineStr">
        <is>
          <t>Konstruksi Bangunan Sipil Jalan</t>
        </is>
      </c>
      <c r="N7" t="inlineStr">
        <is>
          <t>K</t>
        </is>
      </c>
      <c r="O7" t="inlineStr">
        <is>
          <t>20230814</t>
        </is>
      </c>
      <c r="P7" t="inlineStr">
        <is>
          <t>Jawa Barat</t>
        </is>
      </c>
      <c r="Q7" s="3">
        <f>HYPERLINK("https://wa.me/62811891255?text=*[Pengingat Masa Berlaku SBU FETA FITO DAMAI SEJAHTERA]*%0A%0AYth. Pimpinan FETA FITO DAMAI SEJAHTERA,%0AMohon izin menginformasikan status SBU Anda:%0A%0A📄 SBU: BS001%0A📅 Expired: 14 Agustus 2026 (30 Hari Lagi)%0A%0AKami tim PT. ESDEA Assistance Management siap men-support proses perpanjangan segera agar administrasi proyek tidak terhambat%0A%0AApakah boleh saya bantu siapkan estimasi biaya dan waktu pengerjaannya?.", "Hubungi")</f>
        <v/>
      </c>
    </row>
    <row r="8">
      <c r="A8" t="inlineStr">
        <is>
          <t>KARTIKA EKA JAYA ABADI</t>
        </is>
      </c>
      <c r="B8" t="inlineStr">
        <is>
          <t>Kota Adm. Jakarta Timur</t>
        </is>
      </c>
      <c r="C8" t="inlineStr">
        <is>
          <t>0218190666</t>
        </is>
      </c>
      <c r="D8" t="inlineStr">
        <is>
          <t>kartikaekajayaabadi@gmail.com</t>
        </is>
      </c>
      <c r="E8" t="inlineStr">
        <is>
          <t>https://lpjk.pu.go.id/search-badan-usaha-detail/dUx3WHcxRTZxVTVzSWtNOHNtK0t6Zz09</t>
        </is>
      </c>
      <c r="F8" t="n">
        <v>1</v>
      </c>
      <c r="G8" t="inlineStr">
        <is>
          <t>BG002</t>
        </is>
      </c>
      <c r="H8" t="inlineStr">
        <is>
          <t>5 Desember 1977</t>
        </is>
      </c>
      <c r="I8" s="2" t="n">
        <v>46248</v>
      </c>
      <c r="J8" t="inlineStr">
        <is>
          <t>Disetujui</t>
        </is>
      </c>
      <c r="K8" t="n">
        <v>30</v>
      </c>
      <c r="L8" t="inlineStr">
        <is>
          <t>14 Agustus 2026</t>
        </is>
      </c>
      <c r="M8" t="inlineStr">
        <is>
          <t>Konstruksi Gedung Perkantoran</t>
        </is>
      </c>
      <c r="N8" t="inlineStr">
        <is>
          <t>K</t>
        </is>
      </c>
      <c r="O8" t="inlineStr">
        <is>
          <t>20230808</t>
        </is>
      </c>
      <c r="P8" t="inlineStr">
        <is>
          <t>DKI Jakarta</t>
        </is>
      </c>
      <c r="Q8" t="inlineStr"/>
    </row>
    <row r="9">
      <c r="A9" t="inlineStr">
        <is>
          <t>KENTA INDO TUNGGAL</t>
        </is>
      </c>
      <c r="B9" t="inlineStr">
        <is>
          <t>Kota Bekasi</t>
        </is>
      </c>
      <c r="C9" t="inlineStr">
        <is>
          <t>087870333361</t>
        </is>
      </c>
      <c r="D9" t="inlineStr">
        <is>
          <t>kentaindotunggalcv@gmail.com</t>
        </is>
      </c>
      <c r="E9" t="inlineStr">
        <is>
          <t>https://lpjk.pu.go.id/search-badan-usaha-detail/WE9MSlUyNExWelNXZndhL253UTcvZz09</t>
        </is>
      </c>
      <c r="F9" t="n">
        <v>1</v>
      </c>
      <c r="G9" t="inlineStr">
        <is>
          <t>BG009</t>
        </is>
      </c>
      <c r="H9" t="inlineStr">
        <is>
          <t>21 Maret 2022</t>
        </is>
      </c>
      <c r="I9" s="2" t="n">
        <v>46248</v>
      </c>
      <c r="J9" t="inlineStr">
        <is>
          <t>Disetujui</t>
        </is>
      </c>
      <c r="K9" t="n">
        <v>30</v>
      </c>
      <c r="L9" t="inlineStr">
        <is>
          <t>14 Agustus 2026</t>
        </is>
      </c>
      <c r="M9" t="inlineStr">
        <is>
          <t>Konstruksi Gedung Lainnya</t>
        </is>
      </c>
      <c r="N9" t="inlineStr">
        <is>
          <t>K</t>
        </is>
      </c>
      <c r="O9" t="inlineStr">
        <is>
          <t>20230815</t>
        </is>
      </c>
      <c r="P9" t="inlineStr">
        <is>
          <t>Jawa Barat</t>
        </is>
      </c>
      <c r="Q9" s="3">
        <f>HYPERLINK("https://wa.me/6287870333361?text=*[Pengingat Masa Berlaku SBU KENTA INDO TUNGGAL]*%0A%0AYth. Pimpinan KENTA INDO TUNGGAL,%0AMohon izin menginformasikan status SBU Anda:%0A%0A📄 SBU: BG009%0A📅 Expired: 14 Agustus 2026 (30 Hari Lagi)%0A%0AKami tim PT. ESDEA Assistance Management siap men-support proses perpanjangan segera agar administrasi proyek tidak terhambat%0A%0AApakah boleh saya bantu siapkan estimasi biaya dan waktu pengerjaannya?.", "Hubungi")</f>
        <v/>
      </c>
    </row>
    <row r="10">
      <c r="A10" t="inlineStr">
        <is>
          <t>MITRA PANGRANGO AZRISYA</t>
        </is>
      </c>
      <c r="B10" t="inlineStr">
        <is>
          <t>Kab. Bogor</t>
        </is>
      </c>
      <c r="C10" t="inlineStr">
        <is>
          <t>081284764000</t>
        </is>
      </c>
      <c r="D10" t="inlineStr">
        <is>
          <t>mitrapangrango@gmail.com</t>
        </is>
      </c>
      <c r="E10" t="inlineStr">
        <is>
          <t>https://lpjk.pu.go.id/search-badan-usaha-detail/cDN4N0x0NVFEUEVxQ1dMVGFPbU1VUT09</t>
        </is>
      </c>
      <c r="F10" t="n">
        <v>2</v>
      </c>
      <c r="G10" t="inlineStr">
        <is>
          <t>BG006, BS004</t>
        </is>
      </c>
      <c r="H10" t="inlineStr">
        <is>
          <t>25 Agustus 2022</t>
        </is>
      </c>
      <c r="I10" s="2" t="n">
        <v>46248</v>
      </c>
      <c r="J10" t="inlineStr">
        <is>
          <t>Disetujui</t>
        </is>
      </c>
      <c r="K10" t="n">
        <v>30</v>
      </c>
      <c r="L10" t="inlineStr">
        <is>
          <t>14 Agustus 2026</t>
        </is>
      </c>
      <c r="M10" t="inlineStr">
        <is>
          <t>Konstruksi Gedung Pendidikan, Konstruksi Jaringan Irigasi dan Drainase</t>
        </is>
      </c>
      <c r="N10" t="inlineStr">
        <is>
          <t>K</t>
        </is>
      </c>
      <c r="O10" t="inlineStr">
        <is>
          <t>20230402, 20230809</t>
        </is>
      </c>
      <c r="P10" t="inlineStr">
        <is>
          <t>Jawa Barat</t>
        </is>
      </c>
      <c r="Q10" s="3">
        <f>HYPERLINK("https://wa.me/6281284764000?text=*[Pengingat Masa Berlaku SBU MITRA PANGRANGO AZRISYA]*%0A%0AYth. Pimpinan MITRA PANGRANGO AZRISYA,%0AMohon izin menginformasikan status SBU Anda:%0A%0A📄 SBU: BG006, BS004%0A📅 Expired: 14 Agustus 2026 (30 Hari Lagi)%0A%0AKami tim PT. ESDEA Assistance Management siap men-support proses perpanjangan segera agar administrasi proyek tidak terhambat%0A%0AApakah boleh saya bantu siapkan estimasi biaya dan waktu pengerjaannya?.", "Hubungi")</f>
        <v/>
      </c>
    </row>
    <row r="11">
      <c r="A11" t="inlineStr">
        <is>
          <t>PURNA KARYA ENERGI</t>
        </is>
      </c>
      <c r="B11" t="inlineStr">
        <is>
          <t>Kota Bogor</t>
        </is>
      </c>
      <c r="C11" t="inlineStr">
        <is>
          <t>08129539402</t>
        </is>
      </c>
      <c r="D11" t="inlineStr">
        <is>
          <t>pt.purnakaryaenergi@gmail.com</t>
        </is>
      </c>
      <c r="E11" t="inlineStr">
        <is>
          <t>https://lpjk.pu.go.id/search-badan-usaha-detail/SHQrSXpVRkxpd3B2eGM3Z3Q5NENidz09</t>
        </is>
      </c>
      <c r="F11" t="n">
        <v>2</v>
      </c>
      <c r="G11" t="inlineStr">
        <is>
          <t>BG005, BG009</t>
        </is>
      </c>
      <c r="H11" t="inlineStr">
        <is>
          <t>22 Juni 2012</t>
        </is>
      </c>
      <c r="I11" s="2" t="n">
        <v>46248</v>
      </c>
      <c r="J11" t="inlineStr">
        <is>
          <t>Disetujui</t>
        </is>
      </c>
      <c r="K11" t="n">
        <v>30</v>
      </c>
      <c r="L11" t="inlineStr">
        <is>
          <t>14 Agustus 2026</t>
        </is>
      </c>
      <c r="M11" t="inlineStr">
        <is>
          <t>Konstruksi Gedung Kesehatan, Konstruksi Gedung Lainnya</t>
        </is>
      </c>
      <c r="N11" t="inlineStr">
        <is>
          <t>K</t>
        </is>
      </c>
      <c r="O11" t="inlineStr">
        <is>
          <t>20230808</t>
        </is>
      </c>
      <c r="P11" t="inlineStr">
        <is>
          <t>Jawa Barat</t>
        </is>
      </c>
      <c r="Q11" s="3">
        <f>HYPERLINK("https://wa.me/628129539402?text=*[Pengingat Masa Berlaku SBU PURNA KARYA ENERGI]*%0A%0AYth. Pimpinan PURNA KARYA ENERGI,%0AMohon izin menginformasikan status SBU Anda:%0A%0A📄 SBU: BG005, BG009%0A📅 Expired: 14 Agustus 2026 (30 Hari Lagi)%0A%0AKami tim PT. ESDEA Assistance Management siap men-support proses perpanjangan segera agar administrasi proyek tidak terhambat%0A%0AApakah boleh saya bantu siapkan estimasi biaya dan waktu pengerjaannya?.", "Hubungi")</f>
        <v/>
      </c>
    </row>
    <row r="12">
      <c r="A12" t="inlineStr">
        <is>
          <t>PURNAMA TUNGGAL ABADI</t>
        </is>
      </c>
      <c r="B12" t="inlineStr">
        <is>
          <t>Kab. Bogor</t>
        </is>
      </c>
      <c r="C12" t="inlineStr">
        <is>
          <t>085891488850</t>
        </is>
      </c>
      <c r="D12" t="inlineStr">
        <is>
          <t>purnamatungalabadi@gmail.com</t>
        </is>
      </c>
      <c r="E12" t="inlineStr">
        <is>
          <t>https://lpjk.pu.go.id/search-badan-usaha-detail/R29vWEFBeXhpZWtONTFxRDlJMzlYdz09</t>
        </is>
      </c>
      <c r="F12" t="n">
        <v>2</v>
      </c>
      <c r="G12" t="inlineStr">
        <is>
          <t>BS001</t>
        </is>
      </c>
      <c r="H12" t="inlineStr">
        <is>
          <t>23 November 2022</t>
        </is>
      </c>
      <c r="I12" s="2" t="n">
        <v>46248</v>
      </c>
      <c r="J12" t="inlineStr">
        <is>
          <t>Pencabutan</t>
        </is>
      </c>
      <c r="K12" t="n">
        <v>30</v>
      </c>
      <c r="L12" t="inlineStr">
        <is>
          <t>14 Agustus 2026</t>
        </is>
      </c>
      <c r="M12" t="inlineStr">
        <is>
          <t>Konstruksi Bangunan Sipil Jalan</t>
        </is>
      </c>
      <c r="N12" t="inlineStr">
        <is>
          <t>K</t>
        </is>
      </c>
      <c r="O12" t="inlineStr">
        <is>
          <t>20230814</t>
        </is>
      </c>
      <c r="P12" t="inlineStr">
        <is>
          <t>Jawa Barat</t>
        </is>
      </c>
      <c r="Q12" s="3">
        <f>HYPERLINK("https://wa.me/6285891488850?text=*[Pengingat Masa Berlaku SBU PURNAMA TUNGGAL ABADI]*%0A%0AYth. Pimpinan PURNAMA TUNGGAL ABADI,%0AMohon izin menginformasikan status SBU Anda:%0A%0A📄 SBU: BS001%0A📅 Expired: 14 Agustus 2026 (30 Hari Lagi)%0A%0AKami tim PT. ESDEA Assistance Management siap men-support proses perpanjangan segera agar administrasi proyek tidak terhambat%0A%0AApakah boleh saya bantu siapkan estimasi biaya dan waktu pengerjaannya?.", "Hubungi")</f>
        <v/>
      </c>
    </row>
    <row r="13">
      <c r="A13" t="inlineStr">
        <is>
          <t>VITALOKA JUNIOR</t>
        </is>
      </c>
      <c r="B13" t="inlineStr">
        <is>
          <t>Kab. Bogor</t>
        </is>
      </c>
      <c r="C13" t="inlineStr">
        <is>
          <t>082111306262</t>
        </is>
      </c>
      <c r="D13" t="inlineStr">
        <is>
          <t>cv.vitalokajunior@yahoo.com</t>
        </is>
      </c>
      <c r="E13" t="inlineStr">
        <is>
          <t>https://lpjk.pu.go.id/search-badan-usaha-detail/aUxoUDJMZllRZ084bDl6MHVDMnA2UT09</t>
        </is>
      </c>
      <c r="F13" t="n">
        <v>1</v>
      </c>
      <c r="G13" t="inlineStr">
        <is>
          <t>BG001</t>
        </is>
      </c>
      <c r="H13" t="inlineStr">
        <is>
          <t>22 Oktober 2013</t>
        </is>
      </c>
      <c r="I13" s="2" t="n">
        <v>46248</v>
      </c>
      <c r="J13" t="inlineStr">
        <is>
          <t>Disetujui</t>
        </is>
      </c>
      <c r="K13" t="n">
        <v>30</v>
      </c>
      <c r="L13" t="inlineStr">
        <is>
          <t>14 Agustus 2026</t>
        </is>
      </c>
      <c r="M13" t="inlineStr">
        <is>
          <t>Konstruksi Gedung Hunian</t>
        </is>
      </c>
      <c r="N13" t="inlineStr">
        <is>
          <t>K</t>
        </is>
      </c>
      <c r="O13" t="inlineStr">
        <is>
          <t>20230812</t>
        </is>
      </c>
      <c r="P13" t="inlineStr">
        <is>
          <t>Jawa Barat</t>
        </is>
      </c>
      <c r="Q13" s="3">
        <f>HYPERLINK("https://wa.me/6282111306262?text=*[Pengingat Masa Berlaku SBU VITALOKA JUNIOR]*%0A%0AYth. Pimpinan VITALOKA JUNIOR,%0AMohon izin menginformasikan status SBU Anda:%0A%0A📄 SBU: BG001%0A📅 Expired: 14 Agustus 2026 (30 Hari Lagi)%0A%0AKami tim PT. ESDEA Assistance Management siap men-support proses perpanjangan segera agar administrasi proyek tidak terhambat%0A%0AApakah boleh saya bantu siapkan estimasi biaya dan waktu pengerjaannya?.", "Hubungi")</f>
        <v/>
      </c>
    </row>
    <row r="14">
      <c r="A14" t="inlineStr">
        <is>
          <t>ABDUL QODIR AL JAELANI</t>
        </is>
      </c>
      <c r="B14" t="inlineStr">
        <is>
          <t>Kab. Bojonegoro</t>
        </is>
      </c>
      <c r="C14" t="inlineStr">
        <is>
          <t>081357504270</t>
        </is>
      </c>
      <c r="D14" t="inlineStr">
        <is>
          <t>qodirabdulbjn123@gmail.com</t>
        </is>
      </c>
      <c r="E14" t="inlineStr">
        <is>
          <t>https://lpjk.pu.go.id/search-badan-usaha-detail/bWZTKzNTZkFSYWJDeTJVWVRySzBydz09</t>
        </is>
      </c>
      <c r="F14" t="n">
        <v>1</v>
      </c>
      <c r="G14" t="inlineStr">
        <is>
          <t>BS010</t>
        </is>
      </c>
      <c r="H14" t="inlineStr">
        <is>
          <t>25 Mei 2023</t>
        </is>
      </c>
      <c r="I14" s="2" t="n">
        <v>46248</v>
      </c>
      <c r="J14" t="inlineStr">
        <is>
          <t>Disetujui</t>
        </is>
      </c>
      <c r="K14" t="n">
        <v>30</v>
      </c>
      <c r="L14" t="inlineStr">
        <is>
          <t>14 Agustus 2026</t>
        </is>
      </c>
      <c r="M14" t="inlineStr">
        <is>
          <t>Konstruksi Bangunan Prasarana Sumber Daya Air</t>
        </is>
      </c>
      <c r="N14" t="inlineStr">
        <is>
          <t>K</t>
        </is>
      </c>
      <c r="O14" t="inlineStr">
        <is>
          <t>20230810</t>
        </is>
      </c>
      <c r="P14" t="inlineStr">
        <is>
          <t>Jawa Timur</t>
        </is>
      </c>
      <c r="Q14" t="inlineStr"/>
    </row>
    <row r="15">
      <c r="A15" t="inlineStr">
        <is>
          <t>ADA GROUP MANDIRI</t>
        </is>
      </c>
      <c r="B15" t="inlineStr">
        <is>
          <t>Kab. Toba Samosir</t>
        </is>
      </c>
      <c r="C15" t="inlineStr">
        <is>
          <t>082165935068</t>
        </is>
      </c>
      <c r="D15" t="inlineStr">
        <is>
          <t>ptadagroupmandiriagm@gmail.com</t>
        </is>
      </c>
      <c r="E15" t="inlineStr">
        <is>
          <t>https://lpjk.pu.go.id/search-badan-usaha-detail/ZGo5aXJWMUhVRWpVRUw5WWFuREJ4dz09</t>
        </is>
      </c>
      <c r="F15" t="n">
        <v>1</v>
      </c>
      <c r="G15" t="inlineStr">
        <is>
          <t>BS001</t>
        </is>
      </c>
      <c r="H15" t="inlineStr">
        <is>
          <t>1 Agustus 2023</t>
        </is>
      </c>
      <c r="I15" s="2" t="n">
        <v>46248</v>
      </c>
      <c r="J15" t="inlineStr">
        <is>
          <t>Pencabutan</t>
        </is>
      </c>
      <c r="K15" t="n">
        <v>30</v>
      </c>
      <c r="L15" t="inlineStr">
        <is>
          <t>14 Agustus 2026</t>
        </is>
      </c>
      <c r="M15" t="inlineStr">
        <is>
          <t>Konstruksi Bangunan Sipil Jalan</t>
        </is>
      </c>
      <c r="N15" t="inlineStr">
        <is>
          <t>M</t>
        </is>
      </c>
      <c r="O15" t="inlineStr">
        <is>
          <t>20230803</t>
        </is>
      </c>
      <c r="P15" t="inlineStr">
        <is>
          <t>Sumatera Utara</t>
        </is>
      </c>
      <c r="Q15" t="inlineStr"/>
    </row>
    <row r="16">
      <c r="A16" t="inlineStr">
        <is>
          <t>ADHITAMA GANIA SEJAHTERA</t>
        </is>
      </c>
      <c r="B16" t="inlineStr">
        <is>
          <t>Kab. Jember</t>
        </is>
      </c>
      <c r="C16" t="inlineStr">
        <is>
          <t>03315441007</t>
        </is>
      </c>
      <c r="D16" t="inlineStr">
        <is>
          <t>adhitama.gania.sejahtera@gmail.com</t>
        </is>
      </c>
      <c r="E16" t="inlineStr">
        <is>
          <t>https://lpjk.pu.go.id/search-badan-usaha-detail/QUN1ZXgxQXFEaC9LOWg5MUNydmhRQT09</t>
        </is>
      </c>
      <c r="F16" t="n">
        <v>2</v>
      </c>
      <c r="G16" t="inlineStr">
        <is>
          <t>BS009</t>
        </is>
      </c>
      <c r="H16" t="inlineStr">
        <is>
          <t>6 Agustus 2019</t>
        </is>
      </c>
      <c r="I16" s="2" t="n">
        <v>46248</v>
      </c>
      <c r="J16" t="inlineStr">
        <is>
          <t>Disetujui</t>
        </is>
      </c>
      <c r="K16" t="n">
        <v>30</v>
      </c>
      <c r="L16" t="inlineStr">
        <is>
          <t>14 Agustus 2026</t>
        </is>
      </c>
      <c r="M16" t="inlineStr">
        <is>
          <t>Konstruksi Sentral Telekomunikasi</t>
        </is>
      </c>
      <c r="N16" t="inlineStr">
        <is>
          <t>K</t>
        </is>
      </c>
      <c r="O16" t="inlineStr">
        <is>
          <t>20230813</t>
        </is>
      </c>
      <c r="P16" t="inlineStr">
        <is>
          <t>Jawa Timur</t>
        </is>
      </c>
      <c r="Q16" t="inlineStr"/>
    </row>
    <row r="17">
      <c r="A17" t="inlineStr">
        <is>
          <t>AGRO MANDIRI</t>
        </is>
      </c>
      <c r="B17" t="inlineStr">
        <is>
          <t>Kota Pontianak</t>
        </is>
      </c>
      <c r="C17" t="inlineStr">
        <is>
          <t>081522631199</t>
        </is>
      </c>
      <c r="D17" t="inlineStr">
        <is>
          <t>cvagromandiri2019@gmail.com</t>
        </is>
      </c>
      <c r="E17" t="inlineStr">
        <is>
          <t>https://lpjk.pu.go.id/search-badan-usaha-detail/TkdxMlBHcXBpQVJET1VhM3FVM1M5Zz09</t>
        </is>
      </c>
      <c r="F17" t="n">
        <v>3</v>
      </c>
      <c r="G17" t="inlineStr">
        <is>
          <t>BG002, BS001, BS002</t>
        </is>
      </c>
      <c r="H17" t="inlineStr">
        <is>
          <t>25 Januari 2017</t>
        </is>
      </c>
      <c r="I17" s="2" t="n">
        <v>46248</v>
      </c>
      <c r="J17" t="inlineStr">
        <is>
          <t>Disetujui</t>
        </is>
      </c>
      <c r="K17" t="n">
        <v>30</v>
      </c>
      <c r="L17" t="inlineStr">
        <is>
          <t>14 Agustus 2026</t>
        </is>
      </c>
      <c r="M17" t="inlineStr">
        <is>
          <t>Bangunan Sipil Jembatan, Jalan Layang, Fly Over, dan Underpass, Konstruksi Bangunan Sipil Jalan, Konstruksi Gedung Perkantoran</t>
        </is>
      </c>
      <c r="N17" t="inlineStr">
        <is>
          <t>K</t>
        </is>
      </c>
      <c r="O17" t="inlineStr">
        <is>
          <t>20230809</t>
        </is>
      </c>
      <c r="P17" t="inlineStr">
        <is>
          <t>Kalimantan Barat</t>
        </is>
      </c>
      <c r="Q17" t="inlineStr"/>
    </row>
    <row r="18">
      <c r="A18" t="inlineStr">
        <is>
          <t>AGRO NUSANTARA</t>
        </is>
      </c>
      <c r="B18" t="inlineStr">
        <is>
          <t>Kota Medan</t>
        </is>
      </c>
      <c r="C18" t="inlineStr">
        <is>
          <t>081397529010</t>
        </is>
      </c>
      <c r="D18" t="inlineStr">
        <is>
          <t>agro_nusantara123@yahoo.com</t>
        </is>
      </c>
      <c r="E18" t="inlineStr">
        <is>
          <t>https://lpjk.pu.go.id/search-badan-usaha-detail/Ni90cFdrNFBDWTM3VU5SMHA1aHR1UT09</t>
        </is>
      </c>
      <c r="F18" t="n">
        <v>2</v>
      </c>
      <c r="G18" t="inlineStr">
        <is>
          <t>BS001, IN001</t>
        </is>
      </c>
      <c r="H18" t="inlineStr">
        <is>
          <t>13 Maret 2009</t>
        </is>
      </c>
      <c r="I18" s="2" t="n">
        <v>46248</v>
      </c>
      <c r="J18" t="inlineStr">
        <is>
          <t>Disetujui, Pembekuan</t>
        </is>
      </c>
      <c r="K18" t="n">
        <v>30</v>
      </c>
      <c r="L18" t="inlineStr">
        <is>
          <t>14 Agustus 2026</t>
        </is>
      </c>
      <c r="M18" t="inlineStr">
        <is>
          <t>Instalasi Mekanikal, Konstruksi Bangunan Sipil Jalan</t>
        </is>
      </c>
      <c r="N18" t="inlineStr">
        <is>
          <t>K, Spesialis</t>
        </is>
      </c>
      <c r="O18" t="inlineStr">
        <is>
          <t>20230813, 20230815</t>
        </is>
      </c>
      <c r="P18" t="inlineStr">
        <is>
          <t>Sumatera Utara</t>
        </is>
      </c>
      <c r="Q18" t="inlineStr"/>
    </row>
    <row r="19">
      <c r="A19" t="inlineStr">
        <is>
          <t>ALFATAH</t>
        </is>
      </c>
      <c r="B19" t="inlineStr">
        <is>
          <t>Kab. Tulungagung</t>
        </is>
      </c>
      <c r="C19" t="inlineStr">
        <is>
          <t>081234331515</t>
        </is>
      </c>
      <c r="D19" t="inlineStr">
        <is>
          <t>CV.ALFATAH@GMAIL.COM</t>
        </is>
      </c>
      <c r="E19" t="inlineStr">
        <is>
          <t>https://lpjk.pu.go.id/search-badan-usaha-detail/dHVlSGR6SFFHZDJlVGtNREpTR25FQT09</t>
        </is>
      </c>
      <c r="F19" t="n">
        <v>3</v>
      </c>
      <c r="G19" t="inlineStr">
        <is>
          <t>BS002</t>
        </is>
      </c>
      <c r="H19" t="inlineStr">
        <is>
          <t>25 Mei 1999</t>
        </is>
      </c>
      <c r="I19" s="2" t="n">
        <v>46248</v>
      </c>
      <c r="J19" t="inlineStr">
        <is>
          <t>Disetujui</t>
        </is>
      </c>
      <c r="K19" t="n">
        <v>30</v>
      </c>
      <c r="L19" t="inlineStr">
        <is>
          <t>14 Agustus 2026</t>
        </is>
      </c>
      <c r="M19" t="inlineStr">
        <is>
          <t>Bangunan Sipil Jembatan, Jalan Layang, Fly Over, dan Underpass</t>
        </is>
      </c>
      <c r="N19" t="inlineStr">
        <is>
          <t>K</t>
        </is>
      </c>
      <c r="O19" t="inlineStr">
        <is>
          <t>20230807</t>
        </is>
      </c>
      <c r="P19" t="inlineStr">
        <is>
          <t>Jawa Timur</t>
        </is>
      </c>
      <c r="Q19" t="inlineStr"/>
    </row>
    <row r="20">
      <c r="A20" t="inlineStr">
        <is>
          <t>ALFAZZA TRIXIE KONSTRUKSI</t>
        </is>
      </c>
      <c r="B20" t="inlineStr">
        <is>
          <t>Kota Adm. Jakarta Barat</t>
        </is>
      </c>
      <c r="C20" t="inlineStr">
        <is>
          <t>081352567207</t>
        </is>
      </c>
      <c r="D20" t="inlineStr">
        <is>
          <t>alfazzatrixie@gmail.com</t>
        </is>
      </c>
      <c r="E20" t="inlineStr">
        <is>
          <t>https://lpjk.pu.go.id/search-badan-usaha-detail/dDF3Wk9BamRSYnJxaGVweUFHQ1RkQT09</t>
        </is>
      </c>
      <c r="F20" t="n">
        <v>2</v>
      </c>
      <c r="G20" t="inlineStr">
        <is>
          <t>BS017</t>
        </is>
      </c>
      <c r="H20" t="inlineStr">
        <is>
          <t>3 Maret 2021</t>
        </is>
      </c>
      <c r="I20" s="2" t="n">
        <v>46248</v>
      </c>
      <c r="J20" t="inlineStr">
        <is>
          <t>Disetujui</t>
        </is>
      </c>
      <c r="K20" t="n">
        <v>30</v>
      </c>
      <c r="L20" t="inlineStr">
        <is>
          <t>14 Agustus 2026</t>
        </is>
      </c>
      <c r="M20" t="inlineStr">
        <is>
          <t>Konstruksi Bangunan Sipil Lainnya Ytdl</t>
        </is>
      </c>
      <c r="N20" t="inlineStr">
        <is>
          <t>K</t>
        </is>
      </c>
      <c r="O20" t="inlineStr">
        <is>
          <t>20230811</t>
        </is>
      </c>
      <c r="P20" t="inlineStr">
        <is>
          <t>DKI Jakarta</t>
        </is>
      </c>
      <c r="Q20" t="inlineStr"/>
    </row>
    <row r="21">
      <c r="A21" t="inlineStr">
        <is>
          <t>ANGKASA CIPTA MADANI</t>
        </is>
      </c>
      <c r="B21" t="inlineStr">
        <is>
          <t>Kota Bontang</t>
        </is>
      </c>
      <c r="C21" t="inlineStr">
        <is>
          <t>081350287944</t>
        </is>
      </c>
      <c r="D21" t="inlineStr">
        <is>
          <t>angkasaciptamadani123@gmail.com</t>
        </is>
      </c>
      <c r="E21" t="inlineStr">
        <is>
          <t>https://lpjk.pu.go.id/search-badan-usaha-detail/WlhlZTliSHhiY3dEWHg1bndKUWVaZz09</t>
        </is>
      </c>
      <c r="F21" t="n">
        <v>8</v>
      </c>
      <c r="G21" t="inlineStr">
        <is>
          <t>BG001, BG002, BG003, BG009</t>
        </is>
      </c>
      <c r="H21" t="inlineStr">
        <is>
          <t>1 Januari 2018</t>
        </is>
      </c>
      <c r="I21" s="2" t="n">
        <v>46248</v>
      </c>
      <c r="J21" t="inlineStr">
        <is>
          <t>Disetujui</t>
        </is>
      </c>
      <c r="K21" t="n">
        <v>30</v>
      </c>
      <c r="L21" t="inlineStr">
        <is>
          <t>14 Agustus 2026</t>
        </is>
      </c>
      <c r="M21" t="inlineStr">
        <is>
          <t>Konstruksi Gedung Hunian, Konstruksi Gedung Industri, Konstruksi Gedung Lainnya, Konstruksi Gedung Perkantoran</t>
        </is>
      </c>
      <c r="N21" t="inlineStr">
        <is>
          <t>K</t>
        </is>
      </c>
      <c r="O21" t="inlineStr">
        <is>
          <t>20230814</t>
        </is>
      </c>
      <c r="P21" t="inlineStr">
        <is>
          <t>Kalimantan Timur</t>
        </is>
      </c>
      <c r="Q21" t="inlineStr"/>
    </row>
    <row r="22">
      <c r="A22" t="inlineStr">
        <is>
          <t>ANTARA JAYA KARYA</t>
        </is>
      </c>
      <c r="B22" t="inlineStr">
        <is>
          <t>Kota Adm. Jakarta Pusat</t>
        </is>
      </c>
      <c r="C22" t="inlineStr">
        <is>
          <t>081319474171</t>
        </is>
      </c>
      <c r="D22" t="inlineStr">
        <is>
          <t>antarajayakarya@gmail.com</t>
        </is>
      </c>
      <c r="E22" t="inlineStr">
        <is>
          <t>https://lpjk.pu.go.id/search-badan-usaha-detail/RXozcE1GbFRJSU1IUTZkZDY4bnkwQT09</t>
        </is>
      </c>
      <c r="F22" t="n">
        <v>8</v>
      </c>
      <c r="G22" t="inlineStr">
        <is>
          <t>BG001, BG002, BG004, BG007</t>
        </is>
      </c>
      <c r="H22" t="inlineStr">
        <is>
          <t>4 Februari 2022</t>
        </is>
      </c>
      <c r="I22" s="2" t="n">
        <v>46248</v>
      </c>
      <c r="J22" t="inlineStr">
        <is>
          <t>Disetujui</t>
        </is>
      </c>
      <c r="K22" t="n">
        <v>30</v>
      </c>
      <c r="L22" t="inlineStr">
        <is>
          <t>14 Agustus 2026</t>
        </is>
      </c>
      <c r="M22" t="inlineStr">
        <is>
          <t>Konstruksi Gedung Hunian, Konstruksi Gedung Penginapan, Konstruksi Gedung Perbelanjaan, Konstruksi Gedung Perkantoran</t>
        </is>
      </c>
      <c r="N22" t="inlineStr">
        <is>
          <t>K</t>
        </is>
      </c>
      <c r="O22" t="inlineStr">
        <is>
          <t>20230803</t>
        </is>
      </c>
      <c r="P22" t="inlineStr">
        <is>
          <t>DKI Jakarta</t>
        </is>
      </c>
      <c r="Q22" t="inlineStr"/>
    </row>
    <row r="23">
      <c r="A23" t="inlineStr">
        <is>
          <t>ANUGRAH TRI TUNGGAL</t>
        </is>
      </c>
      <c r="B23" t="inlineStr">
        <is>
          <t>Kab. Belu</t>
        </is>
      </c>
      <c r="C23" t="inlineStr">
        <is>
          <t>081336400226</t>
        </is>
      </c>
      <c r="D23" t="inlineStr">
        <is>
          <t>ptanugrahtritunggal05@gmail.com</t>
        </is>
      </c>
      <c r="E23" t="inlineStr">
        <is>
          <t>https://lpjk.pu.go.id/search-badan-usaha-detail/b2t6c0hvUFdlZm1jYjZVd2puenRVUT09</t>
        </is>
      </c>
      <c r="F23" t="n">
        <v>4</v>
      </c>
      <c r="G23" t="inlineStr">
        <is>
          <t>BG005, BG009</t>
        </is>
      </c>
      <c r="H23" t="inlineStr">
        <is>
          <t>2 Maret 2015</t>
        </is>
      </c>
      <c r="I23" s="2" t="n">
        <v>46248</v>
      </c>
      <c r="J23" t="inlineStr">
        <is>
          <t>Disetujui</t>
        </is>
      </c>
      <c r="K23" t="n">
        <v>30</v>
      </c>
      <c r="L23" t="inlineStr">
        <is>
          <t>14 Agustus 2026</t>
        </is>
      </c>
      <c r="M23" t="inlineStr">
        <is>
          <t>Konstruksi Gedung Kesehatan, Konstruksi Gedung Lainnya</t>
        </is>
      </c>
      <c r="N23" t="inlineStr">
        <is>
          <t>K</t>
        </is>
      </c>
      <c r="O23" t="inlineStr">
        <is>
          <t>20230814</t>
        </is>
      </c>
      <c r="P23" t="inlineStr">
        <is>
          <t>Nusa Tenggara Timur</t>
        </is>
      </c>
      <c r="Q23" t="inlineStr"/>
    </row>
    <row r="24">
      <c r="A24" t="inlineStr">
        <is>
          <t>ARAH PENUJAK</t>
        </is>
      </c>
      <c r="B24" t="inlineStr">
        <is>
          <t>Kab. Lombok Tengah</t>
        </is>
      </c>
      <c r="C24" t="inlineStr">
        <is>
          <t>087863126190</t>
        </is>
      </c>
      <c r="D24" t="inlineStr">
        <is>
          <t>arah_penujak@yahoo.com</t>
        </is>
      </c>
      <c r="E24" t="inlineStr">
        <is>
          <t>https://lpjk.pu.go.id/search-badan-usaha-detail/NGRsVXRBNDJPa0x0OUx2UGxXVUIvQT09</t>
        </is>
      </c>
      <c r="F24" t="n">
        <v>4</v>
      </c>
      <c r="G24" t="inlineStr">
        <is>
          <t>BG002, BG004, BS001, BS004</t>
        </is>
      </c>
      <c r="H24" t="inlineStr">
        <is>
          <t>7 Maret 2016</t>
        </is>
      </c>
      <c r="I24" s="2" t="n">
        <v>46248</v>
      </c>
      <c r="J24" t="inlineStr">
        <is>
          <t>Disetujui</t>
        </is>
      </c>
      <c r="K24" t="n">
        <v>30</v>
      </c>
      <c r="L24" t="inlineStr">
        <is>
          <t>14 Agustus 2026</t>
        </is>
      </c>
      <c r="M24" t="inlineStr">
        <is>
          <t>Konstruksi Bangunan Sipil Jalan, Konstruksi Gedung Perbelanjaan, Konstruksi Gedung Perkantoran, Konstruksi Jaringan Irigasi dan Drainase</t>
        </is>
      </c>
      <c r="N24" t="inlineStr">
        <is>
          <t>K</t>
        </is>
      </c>
      <c r="O24" t="inlineStr">
        <is>
          <t>20230813</t>
        </is>
      </c>
      <c r="P24" t="inlineStr">
        <is>
          <t>Nusa Tenggara Barat</t>
        </is>
      </c>
      <c r="Q24" t="inlineStr"/>
    </row>
    <row r="25">
      <c r="A25" t="inlineStr">
        <is>
          <t>ARAYA TAMA</t>
        </is>
      </c>
      <c r="B25" t="inlineStr">
        <is>
          <t>Kab. Aceh Besar</t>
        </is>
      </c>
      <c r="C25" t="inlineStr">
        <is>
          <t>085260198154</t>
        </is>
      </c>
      <c r="D25" t="inlineStr">
        <is>
          <t>cvarayatama1927@gmail.com</t>
        </is>
      </c>
      <c r="E25" t="inlineStr">
        <is>
          <t>https://lpjk.pu.go.id/search-badan-usaha-detail/dWR5WkRFTE44R00rNHo3Z0c1NWt3Zz09</t>
        </is>
      </c>
      <c r="F25" t="n">
        <v>8</v>
      </c>
      <c r="G25" t="inlineStr">
        <is>
          <t>BG001, BG002, BG006, BG009</t>
        </is>
      </c>
      <c r="H25" t="inlineStr">
        <is>
          <t>23 September 2022</t>
        </is>
      </c>
      <c r="I25" s="2" t="n">
        <v>46248</v>
      </c>
      <c r="J25" t="inlineStr">
        <is>
          <t>Pencabutan</t>
        </is>
      </c>
      <c r="K25" t="n">
        <v>30</v>
      </c>
      <c r="L25" t="inlineStr">
        <is>
          <t>14 Agustus 2026</t>
        </is>
      </c>
      <c r="M25" t="inlineStr">
        <is>
          <t>Konstruksi Gedung Hunian, Konstruksi Gedung Lainnya, Konstruksi Gedung Pendidikan, Konstruksi Gedung Perkantoran</t>
        </is>
      </c>
      <c r="N25" t="inlineStr">
        <is>
          <t>K</t>
        </is>
      </c>
      <c r="O25" t="inlineStr">
        <is>
          <t>20230814</t>
        </is>
      </c>
      <c r="P25" t="inlineStr">
        <is>
          <t>Aceh</t>
        </is>
      </c>
      <c r="Q25" t="inlineStr"/>
    </row>
    <row r="26">
      <c r="A26" t="inlineStr">
        <is>
          <t>ARDILA PRATAMA</t>
        </is>
      </c>
      <c r="B26" t="inlineStr">
        <is>
          <t>Kota Madiun</t>
        </is>
      </c>
      <c r="C26" t="inlineStr">
        <is>
          <t>081259687879</t>
        </is>
      </c>
      <c r="D26" t="inlineStr">
        <is>
          <t>cvardilapratama@gmail.com</t>
        </is>
      </c>
      <c r="E26" t="inlineStr">
        <is>
          <t>https://lpjk.pu.go.id/search-badan-usaha-detail/U05zM05mMkE3ZmtVaGUxcDdOZjhhdz09</t>
        </is>
      </c>
      <c r="F26" t="n">
        <v>1</v>
      </c>
      <c r="G26" t="inlineStr">
        <is>
          <t>BG009</t>
        </is>
      </c>
      <c r="H26" t="inlineStr">
        <is>
          <t>7 Juni 2007</t>
        </is>
      </c>
      <c r="I26" s="2" t="n">
        <v>46248</v>
      </c>
      <c r="J26" t="inlineStr">
        <is>
          <t>Disetujui</t>
        </is>
      </c>
      <c r="K26" t="n">
        <v>30</v>
      </c>
      <c r="L26" t="inlineStr">
        <is>
          <t>14 Agustus 2026</t>
        </is>
      </c>
      <c r="M26" t="inlineStr">
        <is>
          <t>Konstruksi Gedung Lainnya</t>
        </is>
      </c>
      <c r="N26" t="inlineStr">
        <is>
          <t>K</t>
        </is>
      </c>
      <c r="O26" t="inlineStr">
        <is>
          <t>20230811</t>
        </is>
      </c>
      <c r="P26" t="inlineStr">
        <is>
          <t>Jawa Timur</t>
        </is>
      </c>
      <c r="Q26" t="inlineStr"/>
    </row>
    <row r="27">
      <c r="A27" t="inlineStr">
        <is>
          <t>ARKATAMA JAYA</t>
        </is>
      </c>
      <c r="B27" t="inlineStr">
        <is>
          <t>Kab. Jember</t>
        </is>
      </c>
      <c r="C27" t="inlineStr">
        <is>
          <t>082337040985</t>
        </is>
      </c>
      <c r="D27" t="inlineStr">
        <is>
          <t>arkatamajaya@gmail.com</t>
        </is>
      </c>
      <c r="E27" t="inlineStr">
        <is>
          <t>https://lpjk.pu.go.id/search-badan-usaha-detail/VHlQRjVJc2ZoWXgzdzk2R05aVlk0UT09</t>
        </is>
      </c>
      <c r="F27" t="n">
        <v>8</v>
      </c>
      <c r="G27" t="inlineStr">
        <is>
          <t>BG002, BG005, BG006, BG007</t>
        </is>
      </c>
      <c r="H27" t="inlineStr">
        <is>
          <t>15 September 2019</t>
        </is>
      </c>
      <c r="I27" s="2" t="n">
        <v>46248</v>
      </c>
      <c r="J27" t="inlineStr">
        <is>
          <t>Disetujui</t>
        </is>
      </c>
      <c r="K27" t="n">
        <v>30</v>
      </c>
      <c r="L27" t="inlineStr">
        <is>
          <t>14 Agustus 2026</t>
        </is>
      </c>
      <c r="M27" t="inlineStr">
        <is>
          <t>Konstruksi Gedung Kesehatan, Konstruksi Gedung Pendidikan, Konstruksi Gedung Penginapan, Konstruksi Gedung Perkantoran</t>
        </is>
      </c>
      <c r="N27" t="inlineStr">
        <is>
          <t>K</t>
        </is>
      </c>
      <c r="O27" t="inlineStr">
        <is>
          <t>20230809, 20230810</t>
        </is>
      </c>
      <c r="P27" t="inlineStr">
        <is>
          <t>Jawa Timur</t>
        </is>
      </c>
      <c r="Q27" t="inlineStr"/>
    </row>
    <row r="28">
      <c r="A28" t="inlineStr">
        <is>
          <t>ARTA BIMANTARA KARYA</t>
        </is>
      </c>
      <c r="B28" t="inlineStr">
        <is>
          <t>Kota Adm. Jakarta Selatan</t>
        </is>
      </c>
      <c r="C28" t="inlineStr">
        <is>
          <t>0811833341</t>
        </is>
      </c>
      <c r="D28" t="inlineStr">
        <is>
          <t>artabimantarakarya@gmail.com</t>
        </is>
      </c>
      <c r="E28" t="inlineStr">
        <is>
          <t>https://lpjk.pu.go.id/search-badan-usaha-detail/cFBtQmNmOXNBa1lBdHFJV3FLYlc2UT09</t>
        </is>
      </c>
      <c r="F28" t="n">
        <v>1</v>
      </c>
      <c r="G28" t="inlineStr">
        <is>
          <t>BS007</t>
        </is>
      </c>
      <c r="H28" t="inlineStr">
        <is>
          <t>23 Juni 2023</t>
        </is>
      </c>
      <c r="I28" s="2" t="n">
        <v>46248</v>
      </c>
      <c r="J28" t="inlineStr">
        <is>
          <t>Disetujui</t>
        </is>
      </c>
      <c r="K28" t="n">
        <v>30</v>
      </c>
      <c r="L28" t="inlineStr">
        <is>
          <t>14 Agustus 2026</t>
        </is>
      </c>
      <c r="M28" t="inlineStr">
        <is>
          <t>Konstruksi Bangunan Sipil Elektrikal</t>
        </is>
      </c>
      <c r="N28" t="inlineStr">
        <is>
          <t>K</t>
        </is>
      </c>
      <c r="O28" t="inlineStr">
        <is>
          <t>20230811</t>
        </is>
      </c>
      <c r="P28" t="inlineStr">
        <is>
          <t>DKI Jakarta</t>
        </is>
      </c>
      <c r="Q28" t="inlineStr"/>
    </row>
    <row r="29">
      <c r="A29" t="inlineStr">
        <is>
          <t>ARTA BINTAN JAYA</t>
        </is>
      </c>
      <c r="B29" t="inlineStr">
        <is>
          <t>Kota Tanjung Pinang</t>
        </is>
      </c>
      <c r="C29" t="inlineStr">
        <is>
          <t>081364700808</t>
        </is>
      </c>
      <c r="D29" t="inlineStr">
        <is>
          <t>cv.artasederhana01@gmail.com</t>
        </is>
      </c>
      <c r="E29" t="inlineStr">
        <is>
          <t>https://lpjk.pu.go.id/search-badan-usaha-detail/OG9tMGpacTNVTUVQWjhoM2NlVXVnQT09</t>
        </is>
      </c>
      <c r="F29" t="n">
        <v>2</v>
      </c>
      <c r="G29" t="inlineStr">
        <is>
          <t>BS001, BS004</t>
        </is>
      </c>
      <c r="H29" t="inlineStr">
        <is>
          <t>9 Juni 2023</t>
        </is>
      </c>
      <c r="I29" s="2" t="n">
        <v>46248</v>
      </c>
      <c r="J29" t="inlineStr">
        <is>
          <t>Disetujui, Pencabutan</t>
        </is>
      </c>
      <c r="K29" t="n">
        <v>30</v>
      </c>
      <c r="L29" t="inlineStr">
        <is>
          <t>14 Agustus 2026</t>
        </is>
      </c>
      <c r="M29" t="inlineStr">
        <is>
          <t>Konstruksi Bangunan Sipil Jalan, Konstruksi Jaringan Irigasi dan Drainase</t>
        </is>
      </c>
      <c r="N29" t="inlineStr">
        <is>
          <t>K</t>
        </is>
      </c>
      <c r="O29" t="inlineStr">
        <is>
          <t>20230813, 20230814</t>
        </is>
      </c>
      <c r="P29" t="inlineStr">
        <is>
          <t>Kepulauan Riau</t>
        </is>
      </c>
      <c r="Q29" t="inlineStr"/>
    </row>
    <row r="30">
      <c r="A30" t="inlineStr">
        <is>
          <t>ARTHA KARYA</t>
        </is>
      </c>
      <c r="B30" t="inlineStr">
        <is>
          <t>Kab. Pasaman Barat</t>
        </is>
      </c>
      <c r="C30" t="inlineStr">
        <is>
          <t>081268130209</t>
        </is>
      </c>
      <c r="D30" t="inlineStr">
        <is>
          <t>arthakarya.yusuf@gmail.com</t>
        </is>
      </c>
      <c r="E30" t="inlineStr">
        <is>
          <t>https://lpjk.pu.go.id/search-badan-usaha-detail/dUV2WjVUZm1RT29tZ3NzNHNUeHVvdz09</t>
        </is>
      </c>
      <c r="F30" t="n">
        <v>3</v>
      </c>
      <c r="G30" t="inlineStr">
        <is>
          <t>BG005, BG006, BG009</t>
        </is>
      </c>
      <c r="H30" t="inlineStr">
        <is>
          <t>20 Februari 2007</t>
        </is>
      </c>
      <c r="I30" s="2" t="n">
        <v>46248</v>
      </c>
      <c r="J30" t="inlineStr">
        <is>
          <t>Disetujui</t>
        </is>
      </c>
      <c r="K30" t="n">
        <v>30</v>
      </c>
      <c r="L30" t="inlineStr">
        <is>
          <t>14 Agustus 2026</t>
        </is>
      </c>
      <c r="M30" t="inlineStr">
        <is>
          <t>Konstruksi Gedung Kesehatan, Konstruksi Gedung Lainnya, Konstruksi Gedung Pendidikan</t>
        </is>
      </c>
      <c r="N30" t="inlineStr">
        <is>
          <t>K</t>
        </is>
      </c>
      <c r="O30" t="inlineStr">
        <is>
          <t>20230812, 20230814</t>
        </is>
      </c>
      <c r="P30" t="inlineStr">
        <is>
          <t>Sumatera Barat</t>
        </is>
      </c>
      <c r="Q30" t="inlineStr"/>
    </row>
    <row r="31">
      <c r="A31" t="inlineStr">
        <is>
          <t>ARTHA RIATAMA JAYA</t>
        </is>
      </c>
      <c r="B31" t="inlineStr">
        <is>
          <t>Kota Samarinda</t>
        </is>
      </c>
      <c r="C31" t="inlineStr">
        <is>
          <t>081253021000</t>
        </is>
      </c>
      <c r="D31" t="inlineStr">
        <is>
          <t>arthariatamajaya@gmail.com</t>
        </is>
      </c>
      <c r="E31" t="inlineStr">
        <is>
          <t>https://lpjk.pu.go.id/search-badan-usaha-detail/SnNYUm8xK09VTDdEV1NYWG5LYzhDQT09</t>
        </is>
      </c>
      <c r="F31" t="n">
        <v>1</v>
      </c>
      <c r="G31" t="inlineStr">
        <is>
          <t>BG009</t>
        </is>
      </c>
      <c r="H31" t="inlineStr">
        <is>
          <t>30 Januari 2008</t>
        </is>
      </c>
      <c r="I31" s="2" t="n">
        <v>46248</v>
      </c>
      <c r="J31" t="inlineStr">
        <is>
          <t>Disetujui</t>
        </is>
      </c>
      <c r="K31" t="n">
        <v>30</v>
      </c>
      <c r="L31" t="inlineStr">
        <is>
          <t>14 Agustus 2026</t>
        </is>
      </c>
      <c r="M31" t="inlineStr">
        <is>
          <t>Konstruksi Gedung Lainnya</t>
        </is>
      </c>
      <c r="N31" t="inlineStr">
        <is>
          <t>K</t>
        </is>
      </c>
      <c r="O31" t="inlineStr">
        <is>
          <t>20230806</t>
        </is>
      </c>
      <c r="P31" t="inlineStr">
        <is>
          <t>Kalimantan Timur</t>
        </is>
      </c>
      <c r="Q31" t="inlineStr"/>
    </row>
    <row r="32">
      <c r="A32" t="inlineStr">
        <is>
          <t>ARTHAMA ENGINEERING CONSULTANT</t>
        </is>
      </c>
      <c r="B32" t="inlineStr">
        <is>
          <t>Kab. Pandeglang</t>
        </is>
      </c>
      <c r="C32" t="inlineStr">
        <is>
          <t>089507877774</t>
        </is>
      </c>
      <c r="D32" t="inlineStr">
        <is>
          <t>arthama.engineering@gmail.com</t>
        </is>
      </c>
      <c r="E32" t="inlineStr">
        <is>
          <t>https://lpjk.pu.go.id/search-badan-usaha-detail/MEY3bXAxTncydVQ5emlVbnhwSExvdz09</t>
        </is>
      </c>
      <c r="F32" t="n">
        <v>2</v>
      </c>
      <c r="G32" t="inlineStr">
        <is>
          <t>RK001, RK003</t>
        </is>
      </c>
      <c r="H32" t="inlineStr">
        <is>
          <t>10 Juli 2020</t>
        </is>
      </c>
      <c r="I32" s="2" t="n">
        <v>46248</v>
      </c>
      <c r="J32" t="inlineStr">
        <is>
          <t>Pencabutan</t>
        </is>
      </c>
      <c r="K32" t="n">
        <v>30</v>
      </c>
      <c r="L32" t="inlineStr">
        <is>
          <t>14 Agustus 2026</t>
        </is>
      </c>
      <c r="M32" t="inlineStr">
        <is>
          <t>Jasa Rekayasa Konstruksi Bangunan Gedung Hunian dan Non Hunian, Jasa Rekayasa Pekerjaan Teknik Sipil Transportasi</t>
        </is>
      </c>
      <c r="N32" t="inlineStr">
        <is>
          <t>K</t>
        </is>
      </c>
      <c r="O32" t="inlineStr">
        <is>
          <t>20230724</t>
        </is>
      </c>
      <c r="P32" t="inlineStr">
        <is>
          <t>Banten</t>
        </is>
      </c>
      <c r="Q32" t="inlineStr"/>
    </row>
    <row r="33">
      <c r="A33" t="inlineStr">
        <is>
          <t>ASASTA GRAHA</t>
        </is>
      </c>
      <c r="B33" t="inlineStr">
        <is>
          <t>Kota Malang</t>
        </is>
      </c>
      <c r="C33" t="inlineStr">
        <is>
          <t>081233997180</t>
        </is>
      </c>
      <c r="D33" t="inlineStr">
        <is>
          <t>asastagraha@gmail.com</t>
        </is>
      </c>
      <c r="E33" t="inlineStr">
        <is>
          <t>https://lpjk.pu.go.id/search-badan-usaha-detail/U1Mrc2hWcW1WNTlPTDFJYVBzSVk2Zz09</t>
        </is>
      </c>
      <c r="F33" t="n">
        <v>1</v>
      </c>
      <c r="G33" t="inlineStr">
        <is>
          <t>BG002</t>
        </is>
      </c>
      <c r="H33" t="inlineStr">
        <is>
          <t>11 Juni 2018</t>
        </is>
      </c>
      <c r="I33" s="2" t="n">
        <v>46248</v>
      </c>
      <c r="J33" t="inlineStr">
        <is>
          <t>Disetujui</t>
        </is>
      </c>
      <c r="K33" t="n">
        <v>30</v>
      </c>
      <c r="L33" t="inlineStr">
        <is>
          <t>14 Agustus 2026</t>
        </is>
      </c>
      <c r="M33" t="inlineStr">
        <is>
          <t>Konstruksi Gedung Perkantoran</t>
        </is>
      </c>
      <c r="N33" t="inlineStr">
        <is>
          <t>K</t>
        </is>
      </c>
      <c r="O33" t="inlineStr">
        <is>
          <t>20230802</t>
        </is>
      </c>
      <c r="P33" t="inlineStr">
        <is>
          <t>Jawa Timur</t>
        </is>
      </c>
      <c r="Q33" t="inlineStr"/>
    </row>
    <row r="34">
      <c r="A34" t="inlineStr">
        <is>
          <t>ASGHON BANGUN PERSADA</t>
        </is>
      </c>
      <c r="B34" t="inlineStr">
        <is>
          <t>Kab. Majalengka</t>
        </is>
      </c>
      <c r="C34" t="inlineStr">
        <is>
          <t>0811241220</t>
        </is>
      </c>
      <c r="D34" t="inlineStr">
        <is>
          <t>asghonbangunpersada768@gmail.com</t>
        </is>
      </c>
      <c r="E34" t="inlineStr">
        <is>
          <t>https://lpjk.pu.go.id/search-badan-usaha-detail/NmJqbVYvaTErd0hISzNzRzMrY0JiZz09</t>
        </is>
      </c>
      <c r="F34" t="n">
        <v>1</v>
      </c>
      <c r="G34" t="inlineStr">
        <is>
          <t>BG001</t>
        </is>
      </c>
      <c r="H34" t="inlineStr">
        <is>
          <t>26 November 2018</t>
        </is>
      </c>
      <c r="I34" s="2" t="n">
        <v>46248</v>
      </c>
      <c r="J34" t="inlineStr">
        <is>
          <t>Disetujui</t>
        </is>
      </c>
      <c r="K34" t="n">
        <v>30</v>
      </c>
      <c r="L34" t="inlineStr">
        <is>
          <t>14 Agustus 2026</t>
        </is>
      </c>
      <c r="M34" t="inlineStr">
        <is>
          <t>Konstruksi Gedung Hunian</t>
        </is>
      </c>
      <c r="N34" t="inlineStr">
        <is>
          <t>K</t>
        </is>
      </c>
      <c r="O34" t="inlineStr">
        <is>
          <t>20230814</t>
        </is>
      </c>
      <c r="P34" t="inlineStr">
        <is>
          <t>Jawa Barat</t>
        </is>
      </c>
      <c r="Q34" t="inlineStr"/>
    </row>
    <row r="35">
      <c r="A35" t="inlineStr">
        <is>
          <t>ASTA PERKASA</t>
        </is>
      </c>
      <c r="B35" t="inlineStr">
        <is>
          <t>Kota Sawahlunto</t>
        </is>
      </c>
      <c r="C35" t="inlineStr">
        <is>
          <t>081363335555</t>
        </is>
      </c>
      <c r="D35" t="inlineStr">
        <is>
          <t>astaperkasa74@gmail.com</t>
        </is>
      </c>
      <c r="E35" t="inlineStr">
        <is>
          <t>https://lpjk.pu.go.id/search-badan-usaha-detail/SldwcnM3aTJjNlArTHR6dldRcElHdz09</t>
        </is>
      </c>
      <c r="F35" t="n">
        <v>1</v>
      </c>
      <c r="G35" t="inlineStr">
        <is>
          <t>BG002</t>
        </is>
      </c>
      <c r="H35" t="inlineStr">
        <is>
          <t>18 Agustus 2014</t>
        </is>
      </c>
      <c r="I35" s="2" t="n">
        <v>46248</v>
      </c>
      <c r="J35" t="inlineStr">
        <is>
          <t>Disetujui</t>
        </is>
      </c>
      <c r="K35" t="n">
        <v>30</v>
      </c>
      <c r="L35" t="inlineStr">
        <is>
          <t>14 Agustus 2026</t>
        </is>
      </c>
      <c r="M35" t="inlineStr">
        <is>
          <t>Konstruksi Gedung Perkantoran</t>
        </is>
      </c>
      <c r="N35" t="inlineStr">
        <is>
          <t>K</t>
        </is>
      </c>
      <c r="O35" t="inlineStr">
        <is>
          <t>20230807</t>
        </is>
      </c>
      <c r="P35" t="inlineStr">
        <is>
          <t>Sumatera Barat</t>
        </is>
      </c>
      <c r="Q35" t="inlineStr"/>
    </row>
    <row r="36">
      <c r="A36" t="inlineStr">
        <is>
          <t>ATHARRAZKA JAYA MANDIRI</t>
        </is>
      </c>
      <c r="B36" t="inlineStr">
        <is>
          <t>Kota Padang</t>
        </is>
      </c>
      <c r="C36" t="inlineStr">
        <is>
          <t>081366599602</t>
        </is>
      </c>
      <c r="D36" t="inlineStr">
        <is>
          <t>atharrazkajayamandiri@gmail.com</t>
        </is>
      </c>
      <c r="E36" t="inlineStr">
        <is>
          <t>https://lpjk.pu.go.id/search-badan-usaha-detail/R1hYdXZyV29LTFlnTUtFaU1DQUxmdz09</t>
        </is>
      </c>
      <c r="F36" t="n">
        <v>1</v>
      </c>
      <c r="G36" t="inlineStr">
        <is>
          <t>BS001</t>
        </is>
      </c>
      <c r="H36" t="inlineStr">
        <is>
          <t>18 Oktober 2019</t>
        </is>
      </c>
      <c r="I36" s="2" t="n">
        <v>46248</v>
      </c>
      <c r="J36" t="inlineStr">
        <is>
          <t>Disetujui</t>
        </is>
      </c>
      <c r="K36" t="n">
        <v>30</v>
      </c>
      <c r="L36" t="inlineStr">
        <is>
          <t>14 Agustus 2026</t>
        </is>
      </c>
      <c r="M36" t="inlineStr">
        <is>
          <t>Konstruksi Bangunan Sipil Jalan</t>
        </is>
      </c>
      <c r="N36" t="inlineStr">
        <is>
          <t>K</t>
        </is>
      </c>
      <c r="O36" t="inlineStr">
        <is>
          <t>20230813</t>
        </is>
      </c>
      <c r="P36" t="inlineStr">
        <is>
          <t>Sumatera Barat</t>
        </is>
      </c>
      <c r="Q36" t="inlineStr"/>
    </row>
    <row r="37">
      <c r="A37" t="inlineStr">
        <is>
          <t>AZOYA CULASEMESTA PERKASA</t>
        </is>
      </c>
      <c r="B37" t="inlineStr">
        <is>
          <t>Kab. Cirebon</t>
        </is>
      </c>
      <c r="C37" t="inlineStr">
        <is>
          <t>02318401465</t>
        </is>
      </c>
      <c r="D37" t="inlineStr">
        <is>
          <t>pt.azoya@yahoo.co.id</t>
        </is>
      </c>
      <c r="E37" t="inlineStr">
        <is>
          <t>https://lpjk.pu.go.id/search-badan-usaha-detail/bkQzOSs5YmtNOXJzcnhhUUQvSEY1dz09</t>
        </is>
      </c>
      <c r="F37" t="n">
        <v>1</v>
      </c>
      <c r="G37" t="inlineStr">
        <is>
          <t>BS001</t>
        </is>
      </c>
      <c r="H37" t="inlineStr">
        <is>
          <t>25 November 2013</t>
        </is>
      </c>
      <c r="I37" s="2" t="n">
        <v>46248</v>
      </c>
      <c r="J37" t="inlineStr">
        <is>
          <t>Disetujui</t>
        </is>
      </c>
      <c r="K37" t="n">
        <v>30</v>
      </c>
      <c r="L37" t="inlineStr">
        <is>
          <t>14 Agustus 2026</t>
        </is>
      </c>
      <c r="M37" t="inlineStr">
        <is>
          <t>Konstruksi Bangunan Sipil Jalan</t>
        </is>
      </c>
      <c r="N37" t="inlineStr">
        <is>
          <t>M</t>
        </is>
      </c>
      <c r="O37" t="inlineStr">
        <is>
          <t>20230725</t>
        </is>
      </c>
      <c r="P37" t="inlineStr">
        <is>
          <t>Jawa Barat</t>
        </is>
      </c>
      <c r="Q37" t="inlineStr"/>
    </row>
    <row r="38">
      <c r="A38" t="inlineStr">
        <is>
          <t>BANGUN INDAH PERKASA</t>
        </is>
      </c>
      <c r="B38" t="inlineStr">
        <is>
          <t>Kota Semarang</t>
        </is>
      </c>
      <c r="C38" t="inlineStr">
        <is>
          <t>0243517751</t>
        </is>
      </c>
      <c r="D38" t="inlineStr">
        <is>
          <t>cv.bangunindahperkasa010@gmail.com</t>
        </is>
      </c>
      <c r="E38" t="inlineStr">
        <is>
          <t>https://lpjk.pu.go.id/search-badan-usaha-detail/bjZwQkk2SlNXMXlIU0xCY240ZHFMZz09</t>
        </is>
      </c>
      <c r="F38" t="n">
        <v>1</v>
      </c>
      <c r="G38" t="inlineStr">
        <is>
          <t>BS004</t>
        </is>
      </c>
      <c r="H38" t="inlineStr">
        <is>
          <t>17 November 2007</t>
        </is>
      </c>
      <c r="I38" s="2" t="n">
        <v>46248</v>
      </c>
      <c r="J38" t="inlineStr">
        <is>
          <t>Pencabutan</t>
        </is>
      </c>
      <c r="K38" t="n">
        <v>30</v>
      </c>
      <c r="L38" t="inlineStr">
        <is>
          <t>14 Agustus 2026</t>
        </is>
      </c>
      <c r="M38" t="inlineStr">
        <is>
          <t>Konstruksi Jaringan Irigasi dan Drainase</t>
        </is>
      </c>
      <c r="N38" t="inlineStr">
        <is>
          <t>K</t>
        </is>
      </c>
      <c r="O38" t="inlineStr">
        <is>
          <t>20230815</t>
        </is>
      </c>
      <c r="P38" t="inlineStr">
        <is>
          <t>Jawa Tengah</t>
        </is>
      </c>
      <c r="Q38" t="inlineStr"/>
    </row>
    <row r="39">
      <c r="A39" t="inlineStr">
        <is>
          <t>BANGUN JAYA</t>
        </is>
      </c>
      <c r="B39" t="inlineStr">
        <is>
          <t>Kota Bima</t>
        </is>
      </c>
      <c r="C39" t="inlineStr">
        <is>
          <t>085238403955</t>
        </is>
      </c>
      <c r="D39" t="inlineStr">
        <is>
          <t>bangunjaya69@yahoo.com</t>
        </is>
      </c>
      <c r="E39" t="inlineStr">
        <is>
          <t>https://lpjk.pu.go.id/search-badan-usaha-detail/VDBYRHYvbVFxRHQyanVaQnI5QnZzQT09</t>
        </is>
      </c>
      <c r="F39" t="n">
        <v>1</v>
      </c>
      <c r="G39" t="inlineStr">
        <is>
          <t>BG007</t>
        </is>
      </c>
      <c r="H39" t="inlineStr">
        <is>
          <t>15 Juli 2016</t>
        </is>
      </c>
      <c r="I39" s="2" t="n">
        <v>46248</v>
      </c>
      <c r="J39" t="inlineStr">
        <is>
          <t>Pencabutan</t>
        </is>
      </c>
      <c r="K39" t="n">
        <v>30</v>
      </c>
      <c r="L39" t="inlineStr">
        <is>
          <t>14 Agustus 2026</t>
        </is>
      </c>
      <c r="M39" t="inlineStr">
        <is>
          <t>Konstruksi Gedung Penginapan</t>
        </is>
      </c>
      <c r="N39" t="inlineStr">
        <is>
          <t>K</t>
        </is>
      </c>
      <c r="O39" t="inlineStr">
        <is>
          <t>20230814</t>
        </is>
      </c>
      <c r="P39" t="inlineStr">
        <is>
          <t>Nusa Tenggara Barat</t>
        </is>
      </c>
      <c r="Q39" t="inlineStr"/>
    </row>
    <row r="40">
      <c r="A40" t="inlineStr">
        <is>
          <t>BANGUN KARYA PERKASA JAYA</t>
        </is>
      </c>
      <c r="B40" t="inlineStr">
        <is>
          <t>Kota Surabaya</t>
        </is>
      </c>
      <c r="C40" t="inlineStr">
        <is>
          <t>082230570908</t>
        </is>
      </c>
      <c r="D40" t="inlineStr">
        <is>
          <t>pt_bkpjaya@yahoo.com</t>
        </is>
      </c>
      <c r="E40" t="inlineStr">
        <is>
          <t>https://lpjk.pu.go.id/search-badan-usaha-detail/dG5iUFJFaWdzKzZBS1pOQ1FRbnpJdz09</t>
        </is>
      </c>
      <c r="F40" t="n">
        <v>1</v>
      </c>
      <c r="G40" t="inlineStr">
        <is>
          <t>BG002</t>
        </is>
      </c>
      <c r="H40" t="inlineStr">
        <is>
          <t>7 Januari 2007</t>
        </is>
      </c>
      <c r="I40" s="2" t="n">
        <v>46248</v>
      </c>
      <c r="J40" t="inlineStr">
        <is>
          <t>Disetujui</t>
        </is>
      </c>
      <c r="K40" t="n">
        <v>30</v>
      </c>
      <c r="L40" t="inlineStr">
        <is>
          <t>14 Agustus 2026</t>
        </is>
      </c>
      <c r="M40" t="inlineStr">
        <is>
          <t>Konstruksi Gedung Perkantoran</t>
        </is>
      </c>
      <c r="N40" t="inlineStr">
        <is>
          <t>M</t>
        </is>
      </c>
      <c r="O40" t="inlineStr">
        <is>
          <t>20230810</t>
        </is>
      </c>
      <c r="P40" t="inlineStr">
        <is>
          <t>Jawa Timur</t>
        </is>
      </c>
      <c r="Q40" t="inlineStr"/>
    </row>
    <row r="41">
      <c r="A41" t="inlineStr">
        <is>
          <t>BANGUN PALAS</t>
        </is>
      </c>
      <c r="B41" t="inlineStr">
        <is>
          <t>Kab. Padang Lawas</t>
        </is>
      </c>
      <c r="C41" t="inlineStr">
        <is>
          <t>085206711586</t>
        </is>
      </c>
      <c r="D41" t="inlineStr">
        <is>
          <t>bangunpalas@gmail.com</t>
        </is>
      </c>
      <c r="E41" t="inlineStr">
        <is>
          <t>https://lpjk.pu.go.id/search-badan-usaha-detail/dGZyMGVCcXl5UmIzTkpwZ2ZRbDNyQT09</t>
        </is>
      </c>
      <c r="F41" t="n">
        <v>2</v>
      </c>
      <c r="G41" t="inlineStr">
        <is>
          <t>BG006</t>
        </is>
      </c>
      <c r="H41" t="inlineStr">
        <is>
          <t>11 November 2013</t>
        </is>
      </c>
      <c r="I41" s="2" t="n">
        <v>46248</v>
      </c>
      <c r="J41" t="inlineStr">
        <is>
          <t>Disetujui</t>
        </is>
      </c>
      <c r="K41" t="n">
        <v>30</v>
      </c>
      <c r="L41" t="inlineStr">
        <is>
          <t>14 Agustus 2026</t>
        </is>
      </c>
      <c r="M41" t="inlineStr">
        <is>
          <t>Konstruksi Gedung Pendidikan</t>
        </is>
      </c>
      <c r="N41" t="inlineStr">
        <is>
          <t>K</t>
        </is>
      </c>
      <c r="O41" t="inlineStr">
        <is>
          <t>20230815</t>
        </is>
      </c>
      <c r="P41" t="inlineStr">
        <is>
          <t>Sumatera Utara</t>
        </is>
      </c>
      <c r="Q41" t="inlineStr"/>
    </row>
    <row r="42">
      <c r="A42" t="inlineStr">
        <is>
          <t>BANUA KARYA TEKNIK</t>
        </is>
      </c>
      <c r="B42" t="inlineStr">
        <is>
          <t>Kota Banjarmasin</t>
        </is>
      </c>
      <c r="C42" t="inlineStr">
        <is>
          <t>085246794545</t>
        </is>
      </c>
      <c r="D42" t="inlineStr">
        <is>
          <t>cvbkt@yahoo.com</t>
        </is>
      </c>
      <c r="E42" t="inlineStr">
        <is>
          <t>https://lpjk.pu.go.id/search-badan-usaha-detail/TFY4LzNYWkRLMEwzdWVSSkZLUWRwUT09</t>
        </is>
      </c>
      <c r="F42" t="n">
        <v>1</v>
      </c>
      <c r="G42" t="inlineStr">
        <is>
          <t>BS004</t>
        </is>
      </c>
      <c r="H42" t="inlineStr">
        <is>
          <t>5 Januari 2017</t>
        </is>
      </c>
      <c r="I42" s="2" t="n">
        <v>46248</v>
      </c>
      <c r="J42" t="inlineStr">
        <is>
          <t>Disetujui</t>
        </is>
      </c>
      <c r="K42" t="n">
        <v>30</v>
      </c>
      <c r="L42" t="inlineStr">
        <is>
          <t>14 Agustus 2026</t>
        </is>
      </c>
      <c r="M42" t="inlineStr">
        <is>
          <t>Konstruksi Jaringan Irigasi dan Drainase</t>
        </is>
      </c>
      <c r="N42" t="inlineStr">
        <is>
          <t>K</t>
        </is>
      </c>
      <c r="O42" t="inlineStr">
        <is>
          <t>20230811</t>
        </is>
      </c>
      <c r="P42" t="inlineStr">
        <is>
          <t>Kalimantan Selatan</t>
        </is>
      </c>
      <c r="Q42" t="inlineStr"/>
    </row>
    <row r="43">
      <c r="A43" t="inlineStr">
        <is>
          <t>BENUA KHATULISTIWA</t>
        </is>
      </c>
      <c r="B43" t="inlineStr">
        <is>
          <t>Kab. Kutai Timur</t>
        </is>
      </c>
      <c r="C43" t="inlineStr">
        <is>
          <t>081936582428</t>
        </is>
      </c>
      <c r="D43" t="inlineStr">
        <is>
          <t>benuakhatulistiwa1111@gmail.com</t>
        </is>
      </c>
      <c r="E43" t="inlineStr">
        <is>
          <t>https://lpjk.pu.go.id/search-badan-usaha-detail/MytJaXZrU1pHMk4zTml6TjZDSXZEUT09</t>
        </is>
      </c>
      <c r="F43" t="n">
        <v>1</v>
      </c>
      <c r="G43" t="inlineStr">
        <is>
          <t>PB004</t>
        </is>
      </c>
      <c r="H43" t="inlineStr">
        <is>
          <t>28 Januari 2020</t>
        </is>
      </c>
      <c r="I43" s="2" t="n">
        <v>46248</v>
      </c>
      <c r="J43" t="inlineStr">
        <is>
          <t>Disetujui</t>
        </is>
      </c>
      <c r="K43" t="n">
        <v>30</v>
      </c>
      <c r="L43" t="inlineStr">
        <is>
          <t>14 Agustus 2026</t>
        </is>
      </c>
      <c r="M43" t="inlineStr">
        <is>
          <t>Dekorasi Interior</t>
        </is>
      </c>
      <c r="N43" t="inlineStr">
        <is>
          <t>Spesialis</t>
        </is>
      </c>
      <c r="O43" t="inlineStr">
        <is>
          <t>20230813</t>
        </is>
      </c>
      <c r="P43" t="inlineStr">
        <is>
          <t>Kalimantan Timur</t>
        </is>
      </c>
      <c r="Q43" t="inlineStr"/>
    </row>
    <row r="44">
      <c r="A44" t="inlineStr">
        <is>
          <t>BERKAH</t>
        </is>
      </c>
      <c r="B44" t="inlineStr">
        <is>
          <t>Kota Bima</t>
        </is>
      </c>
      <c r="C44" t="inlineStr">
        <is>
          <t>081239538242</t>
        </is>
      </c>
      <c r="D44" t="inlineStr">
        <is>
          <t>cvberkah25@gmail.com</t>
        </is>
      </c>
      <c r="E44" t="inlineStr">
        <is>
          <t>https://lpjk.pu.go.id/search-badan-usaha-detail/R3BwT1oxaUp5Z3dNdXF4bGVUY0ttZz09</t>
        </is>
      </c>
      <c r="F44" t="n">
        <v>4</v>
      </c>
      <c r="G44" t="inlineStr">
        <is>
          <t>BG005, BG006</t>
        </is>
      </c>
      <c r="H44" t="inlineStr">
        <is>
          <t>18 November 1992</t>
        </is>
      </c>
      <c r="I44" s="2" t="n">
        <v>46248</v>
      </c>
      <c r="J44" t="inlineStr">
        <is>
          <t>Disetujui</t>
        </is>
      </c>
      <c r="K44" t="n">
        <v>30</v>
      </c>
      <c r="L44" t="inlineStr">
        <is>
          <t>14 Agustus 2026</t>
        </is>
      </c>
      <c r="M44" t="inlineStr">
        <is>
          <t>Konstruksi Gedung Kesehatan, Konstruksi Gedung Pendidikan</t>
        </is>
      </c>
      <c r="N44" t="inlineStr">
        <is>
          <t>K</t>
        </is>
      </c>
      <c r="O44" t="inlineStr">
        <is>
          <t>20230812</t>
        </is>
      </c>
      <c r="P44" t="inlineStr">
        <is>
          <t>Nusa Tenggara Barat</t>
        </is>
      </c>
      <c r="Q44" t="inlineStr"/>
    </row>
    <row r="45">
      <c r="A45" t="inlineStr">
        <is>
          <t>BERKAH KARYA JAYA MAKMUR</t>
        </is>
      </c>
      <c r="B45" t="inlineStr">
        <is>
          <t>Kab. Jember</t>
        </is>
      </c>
      <c r="C45" t="inlineStr">
        <is>
          <t>085334831231</t>
        </is>
      </c>
      <c r="D45" t="inlineStr">
        <is>
          <t>berkahkaryajayamakmur46@gmail.com</t>
        </is>
      </c>
      <c r="E45" t="inlineStr">
        <is>
          <t>https://lpjk.pu.go.id/search-badan-usaha-detail/NWNNamphQVhkSlBLSWNrTDRrY09Odz09</t>
        </is>
      </c>
      <c r="F45" t="n">
        <v>2</v>
      </c>
      <c r="G45" t="inlineStr">
        <is>
          <t>BS004</t>
        </is>
      </c>
      <c r="H45" t="inlineStr">
        <is>
          <t>13 Maret 2023</t>
        </is>
      </c>
      <c r="I45" s="2" t="n">
        <v>46248</v>
      </c>
      <c r="J45" t="inlineStr">
        <is>
          <t>Disetujui</t>
        </is>
      </c>
      <c r="K45" t="n">
        <v>30</v>
      </c>
      <c r="L45" t="inlineStr">
        <is>
          <t>14 Agustus 2026</t>
        </is>
      </c>
      <c r="M45" t="inlineStr">
        <is>
          <t>Konstruksi Jaringan Irigasi dan Drainase</t>
        </is>
      </c>
      <c r="N45" t="inlineStr">
        <is>
          <t>K</t>
        </is>
      </c>
      <c r="O45" t="inlineStr">
        <is>
          <t>20230808</t>
        </is>
      </c>
      <c r="P45" t="inlineStr">
        <is>
          <t>Jawa Timur</t>
        </is>
      </c>
      <c r="Q45" t="inlineStr"/>
    </row>
    <row r="46">
      <c r="A46" t="inlineStr">
        <is>
          <t>BERKAT TRINITAS</t>
        </is>
      </c>
      <c r="B46" t="inlineStr">
        <is>
          <t>Kab. Minahasa Utara</t>
        </is>
      </c>
      <c r="C46" t="inlineStr">
        <is>
          <t>0431-7243689</t>
        </is>
      </c>
      <c r="D46" t="inlineStr">
        <is>
          <t>cv.berkattrinitas@gmail.com</t>
        </is>
      </c>
      <c r="E46" t="inlineStr">
        <is>
          <t>https://lpjk.pu.go.id/search-badan-usaha-detail/MW1tN0dhbk9xZERYeXdjRlZEV0JBQT09</t>
        </is>
      </c>
      <c r="F46" t="n">
        <v>2</v>
      </c>
      <c r="G46" t="inlineStr">
        <is>
          <t>BG006</t>
        </is>
      </c>
      <c r="H46" t="inlineStr">
        <is>
          <t>30 April 2004</t>
        </is>
      </c>
      <c r="I46" s="2" t="n">
        <v>46248</v>
      </c>
      <c r="J46" t="inlineStr">
        <is>
          <t>Disetujui</t>
        </is>
      </c>
      <c r="K46" t="n">
        <v>30</v>
      </c>
      <c r="L46" t="inlineStr">
        <is>
          <t>14 Agustus 2026</t>
        </is>
      </c>
      <c r="M46" t="inlineStr">
        <is>
          <t>Konstruksi Gedung Pendidikan</t>
        </is>
      </c>
      <c r="N46" t="inlineStr">
        <is>
          <t>K</t>
        </is>
      </c>
      <c r="O46" t="inlineStr">
        <is>
          <t>20230815</t>
        </is>
      </c>
      <c r="P46" t="inlineStr">
        <is>
          <t>Sulawesi Utara</t>
        </is>
      </c>
      <c r="Q46" t="inlineStr"/>
    </row>
    <row r="47">
      <c r="A47" t="inlineStr">
        <is>
          <t>BHUMI LANGIT SELARAS</t>
        </is>
      </c>
      <c r="B47" t="inlineStr">
        <is>
          <t>Kab. Lombok Tengah</t>
        </is>
      </c>
      <c r="C47" t="inlineStr">
        <is>
          <t>0818367094</t>
        </is>
      </c>
      <c r="D47" t="inlineStr">
        <is>
          <t>cv.bhumilangitselaras@gmail.com</t>
        </is>
      </c>
      <c r="E47" t="inlineStr">
        <is>
          <t>https://lpjk.pu.go.id/search-badan-usaha-detail/SGh0QmROa1JydWRYdTBCaUZITk5nQT09</t>
        </is>
      </c>
      <c r="F47" t="n">
        <v>1</v>
      </c>
      <c r="G47" t="inlineStr">
        <is>
          <t>BG006</t>
        </is>
      </c>
      <c r="H47" t="inlineStr">
        <is>
          <t>23 Juni 2022</t>
        </is>
      </c>
      <c r="I47" s="2" t="n">
        <v>46248</v>
      </c>
      <c r="J47" t="inlineStr">
        <is>
          <t>Disetujui</t>
        </is>
      </c>
      <c r="K47" t="n">
        <v>30</v>
      </c>
      <c r="L47" t="inlineStr">
        <is>
          <t>14 Agustus 2026</t>
        </is>
      </c>
      <c r="M47" t="inlineStr">
        <is>
          <t>Konstruksi Gedung Pendidikan</t>
        </is>
      </c>
      <c r="N47" t="inlineStr">
        <is>
          <t>K</t>
        </is>
      </c>
      <c r="O47" t="inlineStr">
        <is>
          <t>20230810</t>
        </is>
      </c>
      <c r="P47" t="inlineStr">
        <is>
          <t>Nusa Tenggara Barat</t>
        </is>
      </c>
      <c r="Q47" t="inlineStr"/>
    </row>
    <row r="48">
      <c r="A48" t="inlineStr">
        <is>
          <t>BIMA PUTRA NUSANTARA</t>
        </is>
      </c>
      <c r="B48" t="inlineStr">
        <is>
          <t>Kab. Jember</t>
        </is>
      </c>
      <c r="C48" t="inlineStr">
        <is>
          <t>081249066415</t>
        </is>
      </c>
      <c r="D48" t="inlineStr">
        <is>
          <t>bimaputranusantara2019@gmail.com</t>
        </is>
      </c>
      <c r="E48" t="inlineStr">
        <is>
          <t>https://lpjk.pu.go.id/search-badan-usaha-detail/ejQwMzNWVXdJV0UxazJhKzhQVkI2UT09</t>
        </is>
      </c>
      <c r="F48" t="n">
        <v>2</v>
      </c>
      <c r="G48" t="inlineStr">
        <is>
          <t>BS001, BS002</t>
        </is>
      </c>
      <c r="H48" t="inlineStr">
        <is>
          <t>15 Januari 2019</t>
        </is>
      </c>
      <c r="I48" s="2" t="n">
        <v>46248</v>
      </c>
      <c r="J48" t="inlineStr">
        <is>
          <t>Disetujui</t>
        </is>
      </c>
      <c r="K48" t="n">
        <v>30</v>
      </c>
      <c r="L48" t="inlineStr">
        <is>
          <t>14 Agustus 2026</t>
        </is>
      </c>
      <c r="M48" t="inlineStr">
        <is>
          <t>Bangunan Sipil Jembatan, Jalan Layang, Fly Over, dan Underpass, Konstruksi Bangunan Sipil Jalan</t>
        </is>
      </c>
      <c r="N48" t="inlineStr">
        <is>
          <t>K</t>
        </is>
      </c>
      <c r="O48" t="inlineStr">
        <is>
          <t>20230808, 20230809</t>
        </is>
      </c>
      <c r="P48" t="inlineStr">
        <is>
          <t>Jawa Timur</t>
        </is>
      </c>
      <c r="Q48" t="inlineStr"/>
    </row>
    <row r="49">
      <c r="A49" t="inlineStr">
        <is>
          <t>BINA ARUM</t>
        </is>
      </c>
      <c r="B49" t="inlineStr">
        <is>
          <t>Kota Semarang</t>
        </is>
      </c>
      <c r="C49" t="inlineStr">
        <is>
          <t>0811272695</t>
        </is>
      </c>
      <c r="D49" t="inlineStr">
        <is>
          <t>binaarum@yahoo.com</t>
        </is>
      </c>
      <c r="E49" t="inlineStr">
        <is>
          <t>https://lpjk.pu.go.id/search-badan-usaha-detail/eWZzYVpTaG96S3ZLVW10MXEvU0dvZz09</t>
        </is>
      </c>
      <c r="F49" t="n">
        <v>7</v>
      </c>
      <c r="G49" t="inlineStr">
        <is>
          <t>BG001, BG002, BG005, BG006, BG009, BS001, BS004</t>
        </is>
      </c>
      <c r="H49" t="inlineStr">
        <is>
          <t>12 Maret 2010</t>
        </is>
      </c>
      <c r="I49" s="2" t="n">
        <v>46248</v>
      </c>
      <c r="J49" t="inlineStr">
        <is>
          <t>Disetujui</t>
        </is>
      </c>
      <c r="K49" t="n">
        <v>30</v>
      </c>
      <c r="L49" t="inlineStr">
        <is>
          <t>14 Agustus 2026</t>
        </is>
      </c>
      <c r="M49" t="inlineStr">
        <is>
          <t>Konstruksi Bangunan Sipil Jalan, Konstruksi Gedung Hunian, Konstruksi Gedung Kesehatan, Konstruksi Gedung Lainnya, Konstruksi Gedung Pendidikan, Konstruksi Gedung Perkantoran, Konstruksi Jaringan Irigasi dan Drainase</t>
        </is>
      </c>
      <c r="N49" t="inlineStr">
        <is>
          <t>K</t>
        </is>
      </c>
      <c r="O49" t="inlineStr">
        <is>
          <t>20230809, 20230810</t>
        </is>
      </c>
      <c r="P49" t="inlineStr">
        <is>
          <t>Jawa Tengah</t>
        </is>
      </c>
      <c r="Q49" t="inlineStr"/>
    </row>
    <row r="50">
      <c r="A50" t="inlineStr">
        <is>
          <t>BINA KARYA MANDIRI</t>
        </is>
      </c>
      <c r="B50" t="inlineStr">
        <is>
          <t>Kab. Bengkalis</t>
        </is>
      </c>
      <c r="C50" t="inlineStr">
        <is>
          <t>085279999353</t>
        </is>
      </c>
      <c r="D50" t="inlineStr">
        <is>
          <t>cv.binakaryamandiri2022@gmail.com</t>
        </is>
      </c>
      <c r="E50" t="inlineStr">
        <is>
          <t>https://lpjk.pu.go.id/search-badan-usaha-detail/STZ3TnNBemdiVmswS28waG5EVVMvdz09</t>
        </is>
      </c>
      <c r="F50" t="n">
        <v>2</v>
      </c>
      <c r="G50" t="inlineStr">
        <is>
          <t>BG001, BG006</t>
        </is>
      </c>
      <c r="H50" t="inlineStr">
        <is>
          <t>29 Desember 2011</t>
        </is>
      </c>
      <c r="I50" s="2" t="n">
        <v>46248</v>
      </c>
      <c r="J50" t="inlineStr">
        <is>
          <t>Pencabutan</t>
        </is>
      </c>
      <c r="K50" t="n">
        <v>30</v>
      </c>
      <c r="L50" t="inlineStr">
        <is>
          <t>14 Agustus 2026</t>
        </is>
      </c>
      <c r="M50" t="inlineStr">
        <is>
          <t>Konstruksi Gedung Hunian, Konstruksi Gedung Pendidikan</t>
        </is>
      </c>
      <c r="N50" t="inlineStr">
        <is>
          <t>K</t>
        </is>
      </c>
      <c r="O50" t="inlineStr">
        <is>
          <t>20230814</t>
        </is>
      </c>
      <c r="P50" t="inlineStr">
        <is>
          <t>Riau</t>
        </is>
      </c>
      <c r="Q50" t="inlineStr"/>
    </row>
    <row r="51">
      <c r="A51" t="inlineStr">
        <is>
          <t>BINTANG LEO</t>
        </is>
      </c>
      <c r="B51" t="inlineStr">
        <is>
          <t>Kab. Humbang Hasundutan</t>
        </is>
      </c>
      <c r="C51" t="inlineStr">
        <is>
          <t>082167411871</t>
        </is>
      </c>
      <c r="D51" t="inlineStr">
        <is>
          <t>bintangleo34@ymail.com</t>
        </is>
      </c>
      <c r="E51" t="inlineStr">
        <is>
          <t>https://lpjk.pu.go.id/search-badan-usaha-detail/cGdtSW5ZQlpMWW1pUmZidjViM2tadz09</t>
        </is>
      </c>
      <c r="F51" t="n">
        <v>2</v>
      </c>
      <c r="G51" t="inlineStr">
        <is>
          <t>BS005</t>
        </is>
      </c>
      <c r="H51" t="inlineStr">
        <is>
          <t>2 Agustus 2005</t>
        </is>
      </c>
      <c r="I51" s="2" t="n">
        <v>46248</v>
      </c>
      <c r="J51" t="inlineStr">
        <is>
          <t>Pencabutan</t>
        </is>
      </c>
      <c r="K51" t="n">
        <v>30</v>
      </c>
      <c r="L51" t="inlineStr">
        <is>
          <t>14 Agustus 2026</t>
        </is>
      </c>
      <c r="M51" t="inlineStr">
        <is>
          <t>Konstruksi Bangunan Sipil Pengolahan Air Bersih</t>
        </is>
      </c>
      <c r="N51" t="inlineStr">
        <is>
          <t>K</t>
        </is>
      </c>
      <c r="O51" t="inlineStr">
        <is>
          <t>20230814</t>
        </is>
      </c>
      <c r="P51" t="inlineStr">
        <is>
          <t>Sumatera Utara</t>
        </is>
      </c>
      <c r="Q51" t="inlineStr"/>
    </row>
    <row r="52">
      <c r="A52" t="inlineStr">
        <is>
          <t>BINTANG MULIA</t>
        </is>
      </c>
      <c r="B52" t="inlineStr">
        <is>
          <t>Kab. Banyuwangi</t>
        </is>
      </c>
      <c r="C52" t="inlineStr">
        <is>
          <t>082330733215</t>
        </is>
      </c>
      <c r="D52" t="inlineStr">
        <is>
          <t>bimas309@gmail.com</t>
        </is>
      </c>
      <c r="E52" t="inlineStr">
        <is>
          <t>https://lpjk.pu.go.id/search-badan-usaha-detail/UUloVnk3aDVqUzlHTU9sanpvMTBZZz09</t>
        </is>
      </c>
      <c r="F52" t="n">
        <v>2</v>
      </c>
      <c r="G52" t="inlineStr">
        <is>
          <t>BS001</t>
        </is>
      </c>
      <c r="H52" t="inlineStr">
        <is>
          <t>6 Januari 2014</t>
        </is>
      </c>
      <c r="I52" s="2" t="n">
        <v>46248</v>
      </c>
      <c r="J52" t="inlineStr">
        <is>
          <t>Disetujui</t>
        </is>
      </c>
      <c r="K52" t="n">
        <v>30</v>
      </c>
      <c r="L52" t="inlineStr">
        <is>
          <t>14 Agustus 2026</t>
        </is>
      </c>
      <c r="M52" t="inlineStr">
        <is>
          <t>Konstruksi Bangunan Sipil Jalan</t>
        </is>
      </c>
      <c r="N52" t="inlineStr">
        <is>
          <t>K</t>
        </is>
      </c>
      <c r="O52" t="inlineStr">
        <is>
          <t>20230814</t>
        </is>
      </c>
      <c r="P52" t="inlineStr">
        <is>
          <t>Jawa Timur</t>
        </is>
      </c>
      <c r="Q52" t="inlineStr"/>
    </row>
    <row r="53">
      <c r="A53" t="inlineStr">
        <is>
          <t>BINTANG TEKNIK SELARAS</t>
        </is>
      </c>
      <c r="B53" t="inlineStr">
        <is>
          <t>Kab. Karawang</t>
        </is>
      </c>
      <c r="C53" t="inlineStr">
        <is>
          <t>085217717062</t>
        </is>
      </c>
      <c r="D53" t="inlineStr">
        <is>
          <t>bintangteknik.selaras@gmail.com</t>
        </is>
      </c>
      <c r="E53" t="inlineStr">
        <is>
          <t>https://lpjk.pu.go.id/search-badan-usaha-detail/UEdSYkNwbFR0anpmVmNpMlRsT2tyZz09</t>
        </is>
      </c>
      <c r="F53" t="n">
        <v>2</v>
      </c>
      <c r="G53" t="inlineStr">
        <is>
          <t>BG005</t>
        </is>
      </c>
      <c r="H53" t="inlineStr">
        <is>
          <t>12 Agustus 2022</t>
        </is>
      </c>
      <c r="I53" s="2" t="n">
        <v>46248</v>
      </c>
      <c r="J53" t="inlineStr">
        <is>
          <t>Disetujui</t>
        </is>
      </c>
      <c r="K53" t="n">
        <v>30</v>
      </c>
      <c r="L53" t="inlineStr">
        <is>
          <t>14 Agustus 2026</t>
        </is>
      </c>
      <c r="M53" t="inlineStr">
        <is>
          <t>Konstruksi Gedung Kesehatan</t>
        </is>
      </c>
      <c r="N53" t="inlineStr">
        <is>
          <t>K</t>
        </is>
      </c>
      <c r="O53" t="inlineStr">
        <is>
          <t>20230808</t>
        </is>
      </c>
      <c r="P53" t="inlineStr">
        <is>
          <t>Jawa Barat</t>
        </is>
      </c>
      <c r="Q53" t="inlineStr"/>
    </row>
    <row r="54">
      <c r="A54" t="inlineStr">
        <is>
          <t>BINTANG ZULFA UTAMA</t>
        </is>
      </c>
      <c r="B54" t="inlineStr">
        <is>
          <t>Kab. Cianjur</t>
        </is>
      </c>
      <c r="C54" t="inlineStr">
        <is>
          <t>081214405176</t>
        </is>
      </c>
      <c r="D54" t="inlineStr">
        <is>
          <t>ptbintangzulfa@gmail.com</t>
        </is>
      </c>
      <c r="E54" t="inlineStr">
        <is>
          <t>https://lpjk.pu.go.id/search-badan-usaha-detail/L0Z1Tk1LQ3BrUnpwbXB1Q2FhYkw0UT09</t>
        </is>
      </c>
      <c r="F54" t="n">
        <v>4</v>
      </c>
      <c r="G54" t="inlineStr">
        <is>
          <t>BG002, BG009</t>
        </is>
      </c>
      <c r="H54" t="inlineStr">
        <is>
          <t>15 April 2019</t>
        </is>
      </c>
      <c r="I54" s="2" t="n">
        <v>46248</v>
      </c>
      <c r="J54" t="inlineStr">
        <is>
          <t>Disetujui</t>
        </is>
      </c>
      <c r="K54" t="n">
        <v>30</v>
      </c>
      <c r="L54" t="inlineStr">
        <is>
          <t>14 Agustus 2026</t>
        </is>
      </c>
      <c r="M54" t="inlineStr">
        <is>
          <t>Konstruksi Gedung Lainnya, Konstruksi Gedung Perkantoran</t>
        </is>
      </c>
      <c r="N54" t="inlineStr">
        <is>
          <t>K</t>
        </is>
      </c>
      <c r="O54" t="inlineStr">
        <is>
          <t>20230813, 20230814</t>
        </is>
      </c>
      <c r="P54" t="inlineStr">
        <is>
          <t>Jawa Barat</t>
        </is>
      </c>
      <c r="Q54" t="inlineStr"/>
    </row>
    <row r="55">
      <c r="A55" t="inlineStr">
        <is>
          <t>BUDI JAYA PERSADA</t>
        </is>
      </c>
      <c r="B55" t="inlineStr">
        <is>
          <t>Kab. Jembrana</t>
        </is>
      </c>
      <c r="C55" t="inlineStr">
        <is>
          <t>085238239446</t>
        </is>
      </c>
      <c r="D55" t="inlineStr">
        <is>
          <t>ptbudijayapersada2021@gmail.com</t>
        </is>
      </c>
      <c r="E55" t="inlineStr">
        <is>
          <t>https://lpjk.pu.go.id/search-badan-usaha-detail/dUFrdVRTT283bmpENDdmQlh0OERGQT09</t>
        </is>
      </c>
      <c r="F55" t="n">
        <v>1</v>
      </c>
      <c r="G55" t="inlineStr">
        <is>
          <t>BG001</t>
        </is>
      </c>
      <c r="H55" t="inlineStr">
        <is>
          <t>27 Januari 1986</t>
        </is>
      </c>
      <c r="I55" s="2" t="n">
        <v>46248</v>
      </c>
      <c r="J55" t="inlineStr">
        <is>
          <t>Disetujui</t>
        </is>
      </c>
      <c r="K55" t="n">
        <v>30</v>
      </c>
      <c r="L55" t="inlineStr">
        <is>
          <t>14 Agustus 2026</t>
        </is>
      </c>
      <c r="M55" t="inlineStr">
        <is>
          <t>Konstruksi Gedung Hunian</t>
        </is>
      </c>
      <c r="N55" t="inlineStr">
        <is>
          <t>K</t>
        </is>
      </c>
      <c r="O55" t="inlineStr">
        <is>
          <t>20230810</t>
        </is>
      </c>
      <c r="P55" t="inlineStr">
        <is>
          <t>Bali</t>
        </is>
      </c>
      <c r="Q55" t="inlineStr"/>
    </row>
    <row r="56">
      <c r="A56" t="inlineStr">
        <is>
          <t>BUKIT SIMPANG PERKASA</t>
        </is>
      </c>
      <c r="B56" t="inlineStr">
        <is>
          <t>Kab. Kampar</t>
        </is>
      </c>
      <c r="C56" t="inlineStr">
        <is>
          <t>087793297857</t>
        </is>
      </c>
      <c r="D56" t="inlineStr">
        <is>
          <t>cv.bukitsimpangperkasa1@gmail.com</t>
        </is>
      </c>
      <c r="E56" t="inlineStr">
        <is>
          <t>https://lpjk.pu.go.id/search-badan-usaha-detail/UGQ4NXo3YTY5dWFNb0d5QU1TcHJPQT09</t>
        </is>
      </c>
      <c r="F56" t="n">
        <v>1</v>
      </c>
      <c r="G56" t="inlineStr">
        <is>
          <t>BS004</t>
        </is>
      </c>
      <c r="H56" t="inlineStr">
        <is>
          <t>31 Desember 1999</t>
        </is>
      </c>
      <c r="I56" s="2" t="n">
        <v>46248</v>
      </c>
      <c r="J56" t="inlineStr">
        <is>
          <t>Disetujui</t>
        </is>
      </c>
      <c r="K56" t="n">
        <v>30</v>
      </c>
      <c r="L56" t="inlineStr">
        <is>
          <t>14 Agustus 2026</t>
        </is>
      </c>
      <c r="M56" t="inlineStr">
        <is>
          <t>Konstruksi Jaringan Irigasi dan Drainase</t>
        </is>
      </c>
      <c r="N56" t="inlineStr">
        <is>
          <t>K</t>
        </is>
      </c>
      <c r="O56" t="inlineStr">
        <is>
          <t>20230809</t>
        </is>
      </c>
      <c r="P56" t="inlineStr">
        <is>
          <t>Riau</t>
        </is>
      </c>
      <c r="Q56" t="inlineStr"/>
    </row>
    <row r="57">
      <c r="A57" t="inlineStr">
        <is>
          <t>BUMI SAMPIRAN</t>
        </is>
      </c>
      <c r="B57" t="inlineStr">
        <is>
          <t>Kab. Serang</t>
        </is>
      </c>
      <c r="C57" t="inlineStr">
        <is>
          <t>087771258117</t>
        </is>
      </c>
      <c r="D57" t="inlineStr">
        <is>
          <t>bumisampiran_Pt1@yahoo.com</t>
        </is>
      </c>
      <c r="E57" t="inlineStr">
        <is>
          <t>https://lpjk.pu.go.id/search-badan-usaha-detail/VXpmQy8wa24ram5XOGc2bEd2U3lqUT09</t>
        </is>
      </c>
      <c r="F57" t="n">
        <v>2</v>
      </c>
      <c r="G57" t="inlineStr">
        <is>
          <t>BG005, BG006</t>
        </is>
      </c>
      <c r="H57" t="inlineStr">
        <is>
          <t>28 April 2009</t>
        </is>
      </c>
      <c r="I57" s="2" t="n">
        <v>46248</v>
      </c>
      <c r="J57" t="inlineStr">
        <is>
          <t>Disetujui</t>
        </is>
      </c>
      <c r="K57" t="n">
        <v>30</v>
      </c>
      <c r="L57" t="inlineStr">
        <is>
          <t>14 Agustus 2026</t>
        </is>
      </c>
      <c r="M57" t="inlineStr">
        <is>
          <t>Konstruksi Gedung Kesehatan, Konstruksi Gedung Pendidikan</t>
        </is>
      </c>
      <c r="N57" t="inlineStr">
        <is>
          <t>K</t>
        </is>
      </c>
      <c r="O57" t="inlineStr">
        <is>
          <t>20221103, 20230811</t>
        </is>
      </c>
      <c r="P57" t="inlineStr">
        <is>
          <t>Banten</t>
        </is>
      </c>
      <c r="Q57" t="inlineStr"/>
    </row>
    <row r="58">
      <c r="A58" t="inlineStr">
        <is>
          <t>CAHAYA ADYA PERKASA</t>
        </is>
      </c>
      <c r="B58" t="inlineStr">
        <is>
          <t>Kota Surabaya</t>
        </is>
      </c>
      <c r="C58" t="inlineStr">
        <is>
          <t>08123009481</t>
        </is>
      </c>
      <c r="D58" t="inlineStr">
        <is>
          <t>cahayaadyaperkasa@yahoo.com</t>
        </is>
      </c>
      <c r="E58" t="inlineStr">
        <is>
          <t>https://lpjk.pu.go.id/search-badan-usaha-detail/U3UwOWxiQ094aUZsbkFJQmVKQnRodz09</t>
        </is>
      </c>
      <c r="F58" t="n">
        <v>1</v>
      </c>
      <c r="G58" t="inlineStr">
        <is>
          <t>IN008</t>
        </is>
      </c>
      <c r="H58" t="inlineStr">
        <is>
          <t>5 Mei 2015</t>
        </is>
      </c>
      <c r="I58" s="2" t="n">
        <v>46248</v>
      </c>
      <c r="J58" t="inlineStr">
        <is>
          <t>Pembekuan</t>
        </is>
      </c>
      <c r="K58" t="n">
        <v>30</v>
      </c>
      <c r="L58" t="inlineStr">
        <is>
          <t>14 Agustus 2026</t>
        </is>
      </c>
      <c r="M58" t="inlineStr">
        <is>
          <t>Instalasi Pendingin Dan Ventilasi Udara</t>
        </is>
      </c>
      <c r="N58" t="inlineStr">
        <is>
          <t>Spesialis</t>
        </is>
      </c>
      <c r="O58" t="inlineStr">
        <is>
          <t>20230810</t>
        </is>
      </c>
      <c r="P58" t="inlineStr">
        <is>
          <t>Jawa Timur</t>
        </is>
      </c>
      <c r="Q58" t="inlineStr"/>
    </row>
    <row r="59">
      <c r="A59" t="inlineStr">
        <is>
          <t>CAHAYA KARYA MANDIRI</t>
        </is>
      </c>
      <c r="B59" t="inlineStr">
        <is>
          <t>Kota Semarang</t>
        </is>
      </c>
      <c r="C59" t="inlineStr">
        <is>
          <t>082225261280</t>
        </is>
      </c>
      <c r="D59" t="inlineStr">
        <is>
          <t>afifcahya77@gmail.com</t>
        </is>
      </c>
      <c r="E59" t="inlineStr">
        <is>
          <t>https://lpjk.pu.go.id/search-badan-usaha-detail/OVphdkRlZzZUeTdJOUtzK0xiOWhOQT09</t>
        </is>
      </c>
      <c r="F59" t="n">
        <v>1</v>
      </c>
      <c r="G59" t="inlineStr">
        <is>
          <t>BS001</t>
        </is>
      </c>
      <c r="H59" t="inlineStr">
        <is>
          <t>21 Januari 2019</t>
        </is>
      </c>
      <c r="I59" s="2" t="n">
        <v>46248</v>
      </c>
      <c r="J59" t="inlineStr">
        <is>
          <t>Disetujui</t>
        </is>
      </c>
      <c r="K59" t="n">
        <v>30</v>
      </c>
      <c r="L59" t="inlineStr">
        <is>
          <t>14 Agustus 2026</t>
        </is>
      </c>
      <c r="M59" t="inlineStr">
        <is>
          <t>Konstruksi Bangunan Sipil Jalan</t>
        </is>
      </c>
      <c r="N59" t="inlineStr">
        <is>
          <t>K</t>
        </is>
      </c>
      <c r="O59" t="inlineStr">
        <is>
          <t>20230814</t>
        </is>
      </c>
      <c r="P59" t="inlineStr">
        <is>
          <t>Jawa Tengah</t>
        </is>
      </c>
      <c r="Q59" t="inlineStr"/>
    </row>
    <row r="60">
      <c r="A60" t="inlineStr">
        <is>
          <t>CAHAYA TIMUR</t>
        </is>
      </c>
      <c r="B60" t="inlineStr">
        <is>
          <t>Kota Tomohon</t>
        </is>
      </c>
      <c r="C60" t="inlineStr">
        <is>
          <t>085145454888</t>
        </is>
      </c>
      <c r="D60" t="inlineStr">
        <is>
          <t>cahayatimurtomohon@gmail.com</t>
        </is>
      </c>
      <c r="E60" t="inlineStr">
        <is>
          <t>https://lpjk.pu.go.id/search-badan-usaha-detail/NldocG80Y3BCdS9VMS9FdkRxTVpYZz09</t>
        </is>
      </c>
      <c r="F60" t="n">
        <v>2</v>
      </c>
      <c r="G60" t="inlineStr">
        <is>
          <t>BS001, BS004</t>
        </is>
      </c>
      <c r="H60" t="inlineStr">
        <is>
          <t>22 Januari 2014</t>
        </is>
      </c>
      <c r="I60" s="2" t="n">
        <v>46248</v>
      </c>
      <c r="J60" t="inlineStr">
        <is>
          <t>Disetujui</t>
        </is>
      </c>
      <c r="K60" t="n">
        <v>30</v>
      </c>
      <c r="L60" t="inlineStr">
        <is>
          <t>14 Agustus 2026</t>
        </is>
      </c>
      <c r="M60" t="inlineStr">
        <is>
          <t>Konstruksi Bangunan Sipil Jalan, Konstruksi Jaringan Irigasi dan Drainase</t>
        </is>
      </c>
      <c r="N60" t="inlineStr">
        <is>
          <t>K</t>
        </is>
      </c>
      <c r="O60" t="inlineStr">
        <is>
          <t>20230810</t>
        </is>
      </c>
      <c r="P60" t="inlineStr">
        <is>
          <t>Sulawesi Utara</t>
        </is>
      </c>
      <c r="Q60" t="inlineStr"/>
    </row>
    <row r="61">
      <c r="A61" t="inlineStr">
        <is>
          <t>CIPTA KARYA NUSANTARA</t>
        </is>
      </c>
      <c r="B61" t="inlineStr">
        <is>
          <t>Kota Medan</t>
        </is>
      </c>
      <c r="C61" t="inlineStr">
        <is>
          <t>085311511270</t>
        </is>
      </c>
      <c r="D61" t="inlineStr">
        <is>
          <t>ciptakaryanusantara04@gmail.com</t>
        </is>
      </c>
      <c r="E61" t="inlineStr">
        <is>
          <t>https://lpjk.pu.go.id/search-badan-usaha-detail/Y2wxbnJSNXdHajdCUHdXQzNFNVJBdz09</t>
        </is>
      </c>
      <c r="F61" t="n">
        <v>1</v>
      </c>
      <c r="G61" t="inlineStr">
        <is>
          <t>BG002</t>
        </is>
      </c>
      <c r="H61" t="inlineStr">
        <is>
          <t>27 Mei 2015</t>
        </is>
      </c>
      <c r="I61" s="2" t="n">
        <v>46248</v>
      </c>
      <c r="J61" t="inlineStr">
        <is>
          <t>Disetujui</t>
        </is>
      </c>
      <c r="K61" t="n">
        <v>30</v>
      </c>
      <c r="L61" t="inlineStr">
        <is>
          <t>14 Agustus 2026</t>
        </is>
      </c>
      <c r="M61" t="inlineStr">
        <is>
          <t>Konstruksi Gedung Perkantoran</t>
        </is>
      </c>
      <c r="N61" t="inlineStr">
        <is>
          <t>K</t>
        </is>
      </c>
      <c r="O61" t="inlineStr">
        <is>
          <t>20230814</t>
        </is>
      </c>
      <c r="P61" t="inlineStr">
        <is>
          <t>Sumatera Utara</t>
        </is>
      </c>
      <c r="Q61" t="inlineStr"/>
    </row>
    <row r="62">
      <c r="A62" t="inlineStr">
        <is>
          <t>CIPTA MANDIRI</t>
        </is>
      </c>
      <c r="B62" t="inlineStr">
        <is>
          <t>Kab. Bandung Barat</t>
        </is>
      </c>
      <c r="C62" t="inlineStr">
        <is>
          <t>082120056493</t>
        </is>
      </c>
      <c r="D62" t="inlineStr">
        <is>
          <t>ciptamndr@yahoo.com</t>
        </is>
      </c>
      <c r="E62" t="inlineStr">
        <is>
          <t>https://lpjk.pu.go.id/search-badan-usaha-detail/WDlrYys1VFhSaDlQV0E0WTNSaUNaUT09</t>
        </is>
      </c>
      <c r="F62" t="n">
        <v>3</v>
      </c>
      <c r="G62" t="inlineStr">
        <is>
          <t>BS001, BS004, BS005</t>
        </is>
      </c>
      <c r="H62" t="inlineStr">
        <is>
          <t>3 Februari 2006</t>
        </is>
      </c>
      <c r="I62" s="2" t="n">
        <v>46248</v>
      </c>
      <c r="J62" t="inlineStr">
        <is>
          <t>Disetujui</t>
        </is>
      </c>
      <c r="K62" t="n">
        <v>30</v>
      </c>
      <c r="L62" t="inlineStr">
        <is>
          <t>14 Agustus 2026</t>
        </is>
      </c>
      <c r="M62" t="inlineStr">
        <is>
          <t>Konstruksi Bangunan Sipil Jalan, Konstruksi Bangunan Sipil Pengolahan Air Bersih, Konstruksi Jaringan Irigasi dan Drainase</t>
        </is>
      </c>
      <c r="N62" t="inlineStr">
        <is>
          <t>K</t>
        </is>
      </c>
      <c r="O62" t="inlineStr">
        <is>
          <t>20230725</t>
        </is>
      </c>
      <c r="P62" t="inlineStr">
        <is>
          <t>Jawa Barat</t>
        </is>
      </c>
      <c r="Q62" t="inlineStr"/>
    </row>
    <row r="63">
      <c r="A63" t="inlineStr">
        <is>
          <t>CIPTA MANDIRI JAYA SENTOSA</t>
        </is>
      </c>
      <c r="B63" t="inlineStr">
        <is>
          <t>Kab. Langkat</t>
        </is>
      </c>
      <c r="C63" t="inlineStr">
        <is>
          <t>085276929555</t>
        </is>
      </c>
      <c r="D63" t="inlineStr">
        <is>
          <t>ciptamandirijayasentosapt@gmail.com</t>
        </is>
      </c>
      <c r="E63" t="inlineStr">
        <is>
          <t>https://lpjk.pu.go.id/search-badan-usaha-detail/KzFIelNzSG82TGs1N1BWbHNZZ1ZUUT09</t>
        </is>
      </c>
      <c r="F63" t="n">
        <v>1</v>
      </c>
      <c r="G63" t="inlineStr">
        <is>
          <t>BS004</t>
        </is>
      </c>
      <c r="H63" t="inlineStr">
        <is>
          <t>25 November 2019</t>
        </is>
      </c>
      <c r="I63" s="2" t="n">
        <v>46248</v>
      </c>
      <c r="J63" t="inlineStr">
        <is>
          <t>Disetujui</t>
        </is>
      </c>
      <c r="K63" t="n">
        <v>30</v>
      </c>
      <c r="L63" t="inlineStr">
        <is>
          <t>14 Agustus 2026</t>
        </is>
      </c>
      <c r="M63" t="inlineStr">
        <is>
          <t>Konstruksi Jaringan Irigasi dan Drainase</t>
        </is>
      </c>
      <c r="N63" t="inlineStr">
        <is>
          <t>K</t>
        </is>
      </c>
      <c r="O63" t="inlineStr">
        <is>
          <t>20230814</t>
        </is>
      </c>
      <c r="P63" t="inlineStr">
        <is>
          <t>Sumatera Utara</t>
        </is>
      </c>
      <c r="Q63" t="inlineStr"/>
    </row>
    <row r="64">
      <c r="A64" t="inlineStr">
        <is>
          <t>CIRATA KARYA LESTARI</t>
        </is>
      </c>
      <c r="B64" t="inlineStr">
        <is>
          <t>Kab. Bandung Barat</t>
        </is>
      </c>
      <c r="C64" t="inlineStr">
        <is>
          <t>0226973740</t>
        </is>
      </c>
      <c r="D64" t="inlineStr">
        <is>
          <t>cikalcirata@gmail.com</t>
        </is>
      </c>
      <c r="E64" t="inlineStr">
        <is>
          <t>https://lpjk.pu.go.id/search-badan-usaha-detail/dVdCcGdNdXNWZmJnc1JCSmVqODZ1UT09</t>
        </is>
      </c>
      <c r="F64" t="n">
        <v>2</v>
      </c>
      <c r="G64" t="inlineStr">
        <is>
          <t>BG003</t>
        </is>
      </c>
      <c r="H64" t="inlineStr">
        <is>
          <t>24 Desember 1996</t>
        </is>
      </c>
      <c r="I64" s="2" t="n">
        <v>46248</v>
      </c>
      <c r="J64" t="inlineStr">
        <is>
          <t>Pencabutan</t>
        </is>
      </c>
      <c r="K64" t="n">
        <v>30</v>
      </c>
      <c r="L64" t="inlineStr">
        <is>
          <t>14 Agustus 2026</t>
        </is>
      </c>
      <c r="M64" t="inlineStr">
        <is>
          <t>Konstruksi Gedung Industri</t>
        </is>
      </c>
      <c r="N64" t="inlineStr">
        <is>
          <t>K</t>
        </is>
      </c>
      <c r="O64" t="inlineStr">
        <is>
          <t>20230803</t>
        </is>
      </c>
      <c r="P64" t="inlineStr">
        <is>
          <t>Jawa Barat</t>
        </is>
      </c>
      <c r="Q64" t="inlineStr"/>
    </row>
    <row r="65">
      <c r="A65" t="inlineStr">
        <is>
          <t>CITA ADI KARYA</t>
        </is>
      </c>
      <c r="B65" t="inlineStr">
        <is>
          <t>Kab. Tegal</t>
        </is>
      </c>
      <c r="C65" t="inlineStr">
        <is>
          <t>0816622716</t>
        </is>
      </c>
      <c r="D65" t="inlineStr">
        <is>
          <t>citaadikarya@gmail.com</t>
        </is>
      </c>
      <c r="E65" t="inlineStr">
        <is>
          <t>https://lpjk.pu.go.id/search-badan-usaha-detail/emNDZDRaMnlLTmpYQytCb1pnUkQvdz09</t>
        </is>
      </c>
      <c r="F65" t="n">
        <v>1</v>
      </c>
      <c r="G65" t="inlineStr">
        <is>
          <t>BG005</t>
        </is>
      </c>
      <c r="H65" t="inlineStr">
        <is>
          <t>5 Juni 2015</t>
        </is>
      </c>
      <c r="I65" s="2" t="n">
        <v>46248</v>
      </c>
      <c r="J65" t="inlineStr">
        <is>
          <t>Pencabutan</t>
        </is>
      </c>
      <c r="K65" t="n">
        <v>30</v>
      </c>
      <c r="L65" t="inlineStr">
        <is>
          <t>14 Agustus 2026</t>
        </is>
      </c>
      <c r="M65" t="inlineStr">
        <is>
          <t>Konstruksi Gedung Kesehatan</t>
        </is>
      </c>
      <c r="N65" t="inlineStr">
        <is>
          <t>K</t>
        </is>
      </c>
      <c r="O65" t="inlineStr">
        <is>
          <t>20230814</t>
        </is>
      </c>
      <c r="P65" t="inlineStr">
        <is>
          <t>Jawa Tengah</t>
        </is>
      </c>
      <c r="Q65" t="inlineStr"/>
    </row>
    <row r="66">
      <c r="A66" t="inlineStr">
        <is>
          <t>CITRA SYELLEN LESTARI</t>
        </is>
      </c>
      <c r="B66" t="inlineStr">
        <is>
          <t>Kab. Melawi</t>
        </is>
      </c>
      <c r="C66" t="inlineStr">
        <is>
          <t>081255155877</t>
        </is>
      </c>
      <c r="D66" t="inlineStr">
        <is>
          <t>citrasyellen@gmail.com</t>
        </is>
      </c>
      <c r="E66" t="inlineStr">
        <is>
          <t>https://lpjk.pu.go.id/search-badan-usaha-detail/QjBqaWJLWXkvdnNSN0lScGpJU1l6dz09</t>
        </is>
      </c>
      <c r="F66" t="n">
        <v>4</v>
      </c>
      <c r="G66" t="inlineStr">
        <is>
          <t>BG006, BG009, BS001, BS004</t>
        </is>
      </c>
      <c r="H66" t="inlineStr">
        <is>
          <t>12 Juni 2023</t>
        </is>
      </c>
      <c r="I66" s="2" t="n">
        <v>46248</v>
      </c>
      <c r="J66" t="inlineStr">
        <is>
          <t>Disetujui</t>
        </is>
      </c>
      <c r="K66" t="n">
        <v>30</v>
      </c>
      <c r="L66" t="inlineStr">
        <is>
          <t>14 Agustus 2026</t>
        </is>
      </c>
      <c r="M66" t="inlineStr">
        <is>
          <t>Konstruksi Bangunan Sipil Jalan, Konstruksi Gedung Lainnya, Konstruksi Gedung Pendidikan, Konstruksi Jaringan Irigasi dan Drainase</t>
        </is>
      </c>
      <c r="N66" t="inlineStr">
        <is>
          <t>K</t>
        </is>
      </c>
      <c r="O66" t="inlineStr">
        <is>
          <t>20230814, 20230815</t>
        </is>
      </c>
      <c r="P66" t="inlineStr">
        <is>
          <t>Kalimantan Barat</t>
        </is>
      </c>
      <c r="Q66" t="inlineStr"/>
    </row>
    <row r="67">
      <c r="A67" t="inlineStr">
        <is>
          <t>CV. PAPUA SEJAHTERA BERSAMA</t>
        </is>
      </c>
      <c r="B67" t="inlineStr">
        <is>
          <t>Kota Sorong</t>
        </is>
      </c>
      <c r="C67" t="inlineStr">
        <is>
          <t>09513173262</t>
        </is>
      </c>
      <c r="D67" t="inlineStr">
        <is>
          <t>cv.papuasejahterabersama@gmail.com</t>
        </is>
      </c>
      <c r="E67" t="inlineStr">
        <is>
          <t>https://lpjk.pu.go.id/search-badan-usaha-detail/R08vUkFSNjIvUmZ6T3RIY1FOdGcyQT09</t>
        </is>
      </c>
      <c r="F67" t="n">
        <v>3</v>
      </c>
      <c r="G67" t="inlineStr">
        <is>
          <t>BG004, BG005, BG006</t>
        </is>
      </c>
      <c r="H67" t="inlineStr">
        <is>
          <t>6 Agustus 2020</t>
        </is>
      </c>
      <c r="I67" s="2" t="n">
        <v>46248</v>
      </c>
      <c r="J67" t="inlineStr">
        <is>
          <t>Disetujui, Pencabutan</t>
        </is>
      </c>
      <c r="K67" t="n">
        <v>30</v>
      </c>
      <c r="L67" t="inlineStr">
        <is>
          <t>14 Agustus 2026</t>
        </is>
      </c>
      <c r="M67" t="inlineStr">
        <is>
          <t>Konstruksi Gedung Kesehatan, Konstruksi Gedung Pendidikan, Konstruksi Gedung Perbelanjaan</t>
        </is>
      </c>
      <c r="N67" t="inlineStr">
        <is>
          <t>K</t>
        </is>
      </c>
      <c r="O67" t="inlineStr">
        <is>
          <t>20230814, 20230815</t>
        </is>
      </c>
      <c r="P67" t="inlineStr">
        <is>
          <t>Papua Barat Daya</t>
        </is>
      </c>
      <c r="Q67" t="inlineStr"/>
    </row>
    <row r="68">
      <c r="A68" t="inlineStr">
        <is>
          <t>CV. ZAREN JAYA PRATAMA</t>
        </is>
      </c>
      <c r="B68" t="inlineStr">
        <is>
          <t>Kota Pontianak</t>
        </is>
      </c>
      <c r="C68" t="inlineStr">
        <is>
          <t>082251353023</t>
        </is>
      </c>
      <c r="D68" t="inlineStr">
        <is>
          <t>cv.zarenjayapratama21@gmail.com</t>
        </is>
      </c>
      <c r="E68" t="inlineStr">
        <is>
          <t>https://lpjk.pu.go.id/search-badan-usaha-detail/V3hsTmtoSmFrdHN4NXkzQ0dIMTJxUT09</t>
        </is>
      </c>
      <c r="F68" t="n">
        <v>1</v>
      </c>
      <c r="G68" t="inlineStr">
        <is>
          <t>PB005</t>
        </is>
      </c>
      <c r="H68" t="inlineStr">
        <is>
          <t>28 Desember 2020</t>
        </is>
      </c>
      <c r="I68" s="2" t="n">
        <v>46248</v>
      </c>
      <c r="J68" t="inlineStr">
        <is>
          <t>Pencabutan</t>
        </is>
      </c>
      <c r="K68" t="n">
        <v>30</v>
      </c>
      <c r="L68" t="inlineStr">
        <is>
          <t>14 Agustus 2026</t>
        </is>
      </c>
      <c r="M68" t="inlineStr">
        <is>
          <t>Pemasangan Ornamen dan Pekerjaan Seni</t>
        </is>
      </c>
      <c r="N68" t="inlineStr">
        <is>
          <t>Spesialis</t>
        </is>
      </c>
      <c r="O68" t="inlineStr">
        <is>
          <t>20230802</t>
        </is>
      </c>
      <c r="P68" t="inlineStr">
        <is>
          <t>Kalimantan Barat</t>
        </is>
      </c>
      <c r="Q68" t="inlineStr"/>
    </row>
    <row r="69">
      <c r="A69" t="inlineStr">
        <is>
          <t>DAFFA JAYA MANDIRI</t>
        </is>
      </c>
      <c r="B69" t="inlineStr">
        <is>
          <t>Kota Singkawang</t>
        </is>
      </c>
      <c r="C69" t="inlineStr">
        <is>
          <t>085245900091</t>
        </is>
      </c>
      <c r="D69" t="inlineStr">
        <is>
          <t>daffajayamandiri16@gmail.com</t>
        </is>
      </c>
      <c r="E69" t="inlineStr">
        <is>
          <t>https://lpjk.pu.go.id/search-badan-usaha-detail/dk5ZdkpxMVpJbE5NRkZKU0hkZXh2Zz09</t>
        </is>
      </c>
      <c r="F69" t="n">
        <v>2</v>
      </c>
      <c r="G69" t="inlineStr">
        <is>
          <t>BG006</t>
        </is>
      </c>
      <c r="H69" t="inlineStr">
        <is>
          <t>28 Januari 2016</t>
        </is>
      </c>
      <c r="I69" s="2" t="n">
        <v>46248</v>
      </c>
      <c r="J69" t="inlineStr">
        <is>
          <t>Disetujui</t>
        </is>
      </c>
      <c r="K69" t="n">
        <v>30</v>
      </c>
      <c r="L69" t="inlineStr">
        <is>
          <t>14 Agustus 2026</t>
        </is>
      </c>
      <c r="M69" t="inlineStr">
        <is>
          <t>Konstruksi Gedung Pendidikan</t>
        </is>
      </c>
      <c r="N69" t="inlineStr">
        <is>
          <t>K</t>
        </is>
      </c>
      <c r="O69" t="inlineStr">
        <is>
          <t>20230813</t>
        </is>
      </c>
      <c r="P69" t="inlineStr">
        <is>
          <t>Kalimantan Barat</t>
        </is>
      </c>
      <c r="Q69" t="inlineStr"/>
    </row>
    <row r="70">
      <c r="A70" t="inlineStr">
        <is>
          <t>DAMARULAN</t>
        </is>
      </c>
      <c r="B70" t="inlineStr">
        <is>
          <t>Kab. Kutai Kartanegara</t>
        </is>
      </c>
      <c r="C70" t="inlineStr">
        <is>
          <t>081258242053</t>
        </is>
      </c>
      <c r="D70" t="inlineStr">
        <is>
          <t>damarulancv@gmail.com</t>
        </is>
      </c>
      <c r="E70" t="inlineStr">
        <is>
          <t>https://lpjk.pu.go.id/search-badan-usaha-detail/NnhRUXJ6SFI1Zy9pZUd1NzBFemprdz09</t>
        </is>
      </c>
      <c r="F70" t="n">
        <v>2</v>
      </c>
      <c r="G70" t="inlineStr">
        <is>
          <t>BS001</t>
        </is>
      </c>
      <c r="H70" t="inlineStr">
        <is>
          <t>13 Desember 2019</t>
        </is>
      </c>
      <c r="I70" s="2" t="n">
        <v>46248</v>
      </c>
      <c r="J70" t="inlineStr">
        <is>
          <t>Disetujui</t>
        </is>
      </c>
      <c r="K70" t="n">
        <v>30</v>
      </c>
      <c r="L70" t="inlineStr">
        <is>
          <t>14 Agustus 2026</t>
        </is>
      </c>
      <c r="M70" t="inlineStr">
        <is>
          <t>Konstruksi Bangunan Sipil Jalan</t>
        </is>
      </c>
      <c r="N70" t="inlineStr">
        <is>
          <t>K</t>
        </is>
      </c>
      <c r="O70" t="inlineStr">
        <is>
          <t>20230726</t>
        </is>
      </c>
      <c r="P70" t="inlineStr">
        <is>
          <t>Kalimantan Timur</t>
        </is>
      </c>
      <c r="Q70" t="inlineStr"/>
    </row>
    <row r="71">
      <c r="A71" t="inlineStr">
        <is>
          <t>DAUN BIRU</t>
        </is>
      </c>
      <c r="B71" t="inlineStr">
        <is>
          <t>Kab. Tulungagung</t>
        </is>
      </c>
      <c r="C71" t="inlineStr">
        <is>
          <t>082336929134</t>
        </is>
      </c>
      <c r="D71" t="inlineStr">
        <is>
          <t>daunbiru_ta@yahoo.co.id</t>
        </is>
      </c>
      <c r="E71" t="inlineStr">
        <is>
          <t>https://lpjk.pu.go.id/search-badan-usaha-detail/MWpCNG5JNU53bkkxdHY0b0xTaUl4QT09</t>
        </is>
      </c>
      <c r="F71" t="n">
        <v>5</v>
      </c>
      <c r="G71" t="inlineStr">
        <is>
          <t>BG002, BG004, BG005, BG006, BG009</t>
        </is>
      </c>
      <c r="H71" t="inlineStr">
        <is>
          <t>10 April 2012</t>
        </is>
      </c>
      <c r="I71" s="2" t="n">
        <v>46248</v>
      </c>
      <c r="J71" t="inlineStr">
        <is>
          <t>Disetujui, Pencabutan</t>
        </is>
      </c>
      <c r="K71" t="n">
        <v>30</v>
      </c>
      <c r="L71" t="inlineStr">
        <is>
          <t>14 Agustus 2026</t>
        </is>
      </c>
      <c r="M71" t="inlineStr">
        <is>
          <t>Konstruksi Gedung Kesehatan, Konstruksi Gedung Lainnya, Konstruksi Gedung Pendidikan, Konstruksi Gedung Perbelanjaan, Konstruksi Gedung Perkantoran</t>
        </is>
      </c>
      <c r="N71" t="inlineStr">
        <is>
          <t>K</t>
        </is>
      </c>
      <c r="O71" t="inlineStr">
        <is>
          <t>20230803, 20230815</t>
        </is>
      </c>
      <c r="P71" t="inlineStr">
        <is>
          <t>Jawa Timur</t>
        </is>
      </c>
      <c r="Q71" t="inlineStr"/>
    </row>
    <row r="72">
      <c r="A72" t="inlineStr">
        <is>
          <t>DEWA RUCI</t>
        </is>
      </c>
      <c r="B72" t="inlineStr">
        <is>
          <t>Kab. Cilacap</t>
        </is>
      </c>
      <c r="C72" t="inlineStr">
        <is>
          <t>085642371261</t>
        </is>
      </c>
      <c r="D72" t="inlineStr">
        <is>
          <t>cv.dewaruci@gmail.com</t>
        </is>
      </c>
      <c r="E72" t="inlineStr">
        <is>
          <t>https://lpjk.pu.go.id/search-badan-usaha-detail/ZUxXYkcxbUV2V0E2Q2E2aGFNdm1EQT09</t>
        </is>
      </c>
      <c r="F72" t="n">
        <v>2</v>
      </c>
      <c r="G72" t="inlineStr">
        <is>
          <t>BS001, BS004</t>
        </is>
      </c>
      <c r="H72" t="inlineStr">
        <is>
          <t>8 Mei 2005</t>
        </is>
      </c>
      <c r="I72" s="2" t="n">
        <v>46248</v>
      </c>
      <c r="J72" t="inlineStr">
        <is>
          <t>Disetujui</t>
        </is>
      </c>
      <c r="K72" t="n">
        <v>30</v>
      </c>
      <c r="L72" t="inlineStr">
        <is>
          <t>14 Agustus 2026</t>
        </is>
      </c>
      <c r="M72" t="inlineStr">
        <is>
          <t>Konstruksi Bangunan Sipil Jalan, Konstruksi Jaringan Irigasi dan Drainase</t>
        </is>
      </c>
      <c r="N72" t="inlineStr">
        <is>
          <t>K</t>
        </is>
      </c>
      <c r="O72" t="inlineStr">
        <is>
          <t>20230731, 20230807</t>
        </is>
      </c>
      <c r="P72" t="inlineStr">
        <is>
          <t>Jawa Tengah</t>
        </is>
      </c>
      <c r="Q72" t="inlineStr"/>
    </row>
    <row r="73">
      <c r="A73" t="inlineStr">
        <is>
          <t>DEWI SRI MULIA</t>
        </is>
      </c>
      <c r="B73" t="inlineStr">
        <is>
          <t>Kab. Bojonegoro</t>
        </is>
      </c>
      <c r="C73" t="inlineStr">
        <is>
          <t>081330007302</t>
        </is>
      </c>
      <c r="D73" t="inlineStr">
        <is>
          <t>cv.muliadewisri@gmail.com</t>
        </is>
      </c>
      <c r="E73" t="inlineStr">
        <is>
          <t>https://lpjk.pu.go.id/search-badan-usaha-detail/U0F6ejRDQjM0MGljWnFCNnFESlVqZz09</t>
        </is>
      </c>
      <c r="F73" t="n">
        <v>1</v>
      </c>
      <c r="G73" t="inlineStr">
        <is>
          <t>BS001</t>
        </is>
      </c>
      <c r="H73" t="inlineStr">
        <is>
          <t>30 Januari 2023</t>
        </is>
      </c>
      <c r="I73" s="2" t="n">
        <v>46248</v>
      </c>
      <c r="J73" t="inlineStr">
        <is>
          <t>Disetujui</t>
        </is>
      </c>
      <c r="K73" t="n">
        <v>30</v>
      </c>
      <c r="L73" t="inlineStr">
        <is>
          <t>14 Agustus 2026</t>
        </is>
      </c>
      <c r="M73" t="inlineStr">
        <is>
          <t>Konstruksi Bangunan Sipil Jalan</t>
        </is>
      </c>
      <c r="N73" t="inlineStr">
        <is>
          <t>K</t>
        </is>
      </c>
      <c r="O73" t="inlineStr">
        <is>
          <t>20230814</t>
        </is>
      </c>
      <c r="P73" t="inlineStr">
        <is>
          <t>Jawa Timur</t>
        </is>
      </c>
      <c r="Q73" t="inlineStr"/>
    </row>
    <row r="74">
      <c r="A74" t="inlineStr">
        <is>
          <t>DHEA PUTRI</t>
        </is>
      </c>
      <c r="B74" t="inlineStr">
        <is>
          <t>Kota Bengkulu</t>
        </is>
      </c>
      <c r="C74" t="inlineStr">
        <is>
          <t>081271741967</t>
        </is>
      </c>
      <c r="D74" t="inlineStr">
        <is>
          <t>dheaputri2802@gmail.com</t>
        </is>
      </c>
      <c r="E74" t="inlineStr">
        <is>
          <t>https://lpjk.pu.go.id/search-badan-usaha-detail/T2h3TGhGU1lQaW9STFk3bWt4eEFudz09</t>
        </is>
      </c>
      <c r="F74" t="n">
        <v>2</v>
      </c>
      <c r="G74" t="inlineStr">
        <is>
          <t>BG001, BG005</t>
        </is>
      </c>
      <c r="H74" t="inlineStr">
        <is>
          <t>21 Oktober 1999</t>
        </is>
      </c>
      <c r="I74" s="2" t="n">
        <v>46248</v>
      </c>
      <c r="J74" t="inlineStr">
        <is>
          <t>Disetujui</t>
        </is>
      </c>
      <c r="K74" t="n">
        <v>30</v>
      </c>
      <c r="L74" t="inlineStr">
        <is>
          <t>14 Agustus 2026</t>
        </is>
      </c>
      <c r="M74" t="inlineStr">
        <is>
          <t>Konstruksi Gedung Hunian, Konstruksi Gedung Kesehatan</t>
        </is>
      </c>
      <c r="N74" t="inlineStr">
        <is>
          <t>K</t>
        </is>
      </c>
      <c r="O74" t="inlineStr">
        <is>
          <t>20230306</t>
        </is>
      </c>
      <c r="P74" t="inlineStr">
        <is>
          <t>Bengkulu</t>
        </is>
      </c>
      <c r="Q74" t="inlineStr"/>
    </row>
    <row r="75">
      <c r="A75" t="inlineStr">
        <is>
          <t>DINANDO KEMBAR</t>
        </is>
      </c>
      <c r="B75" t="inlineStr">
        <is>
          <t>Kab. Toba Samosir</t>
        </is>
      </c>
      <c r="C75" t="inlineStr">
        <is>
          <t>085361636544</t>
        </is>
      </c>
      <c r="D75" t="inlineStr">
        <is>
          <t>cv.dinandokembar@gmail.com</t>
        </is>
      </c>
      <c r="E75" t="inlineStr">
        <is>
          <t>https://lpjk.pu.go.id/search-badan-usaha-detail/TkUrOXBnVkJUUHk5ajl6b3JKRkFXdz09</t>
        </is>
      </c>
      <c r="F75" t="n">
        <v>2</v>
      </c>
      <c r="G75" t="inlineStr">
        <is>
          <t>BG009</t>
        </is>
      </c>
      <c r="H75" t="inlineStr">
        <is>
          <t>2 Juli 2020</t>
        </is>
      </c>
      <c r="I75" s="2" t="n">
        <v>46248</v>
      </c>
      <c r="J75" t="inlineStr">
        <is>
          <t>Disetujui</t>
        </is>
      </c>
      <c r="K75" t="n">
        <v>30</v>
      </c>
      <c r="L75" t="inlineStr">
        <is>
          <t>14 Agustus 2026</t>
        </is>
      </c>
      <c r="M75" t="inlineStr">
        <is>
          <t>Konstruksi Gedung Lainnya</t>
        </is>
      </c>
      <c r="N75" t="inlineStr">
        <is>
          <t>K</t>
        </is>
      </c>
      <c r="O75" t="inlineStr">
        <is>
          <t>20230814</t>
        </is>
      </c>
      <c r="P75" t="inlineStr">
        <is>
          <t>Sumatera Utara</t>
        </is>
      </c>
      <c r="Q75" t="inlineStr"/>
    </row>
    <row r="76">
      <c r="A76" t="inlineStr">
        <is>
          <t>DUA PUTRI</t>
        </is>
      </c>
      <c r="B76" t="inlineStr">
        <is>
          <t>Kab. Banyumas</t>
        </is>
      </c>
      <c r="C76" t="inlineStr">
        <is>
          <t>085227639999</t>
        </is>
      </c>
      <c r="D76" t="inlineStr">
        <is>
          <t>cvduaputri97@gmail.com</t>
        </is>
      </c>
      <c r="E76" t="inlineStr">
        <is>
          <t>https://lpjk.pu.go.id/search-badan-usaha-detail/OW42YUFlQjlBT1ZVRXpKdW11Sk1Cdz09</t>
        </is>
      </c>
      <c r="F76" t="n">
        <v>2</v>
      </c>
      <c r="G76" t="inlineStr">
        <is>
          <t>BS002, BS004</t>
        </is>
      </c>
      <c r="H76" t="inlineStr">
        <is>
          <t>11 Februari 2019</t>
        </is>
      </c>
      <c r="I76" s="2" t="n">
        <v>46248</v>
      </c>
      <c r="J76" t="inlineStr">
        <is>
          <t>Disetujui</t>
        </is>
      </c>
      <c r="K76" t="n">
        <v>30</v>
      </c>
      <c r="L76" t="inlineStr">
        <is>
          <t>14 Agustus 2026</t>
        </is>
      </c>
      <c r="M76" t="inlineStr">
        <is>
          <t>Bangunan Sipil Jembatan, Jalan Layang, Fly Over, dan Underpass, Konstruksi Jaringan Irigasi dan Drainase</t>
        </is>
      </c>
      <c r="N76" t="inlineStr">
        <is>
          <t>K</t>
        </is>
      </c>
      <c r="O76" t="inlineStr">
        <is>
          <t>20230814</t>
        </is>
      </c>
      <c r="P76" t="inlineStr">
        <is>
          <t>Jawa Tengah</t>
        </is>
      </c>
      <c r="Q76" t="inlineStr"/>
    </row>
    <row r="77">
      <c r="A77" t="inlineStr">
        <is>
          <t>DUTA ANGKASA</t>
        </is>
      </c>
      <c r="B77" t="inlineStr">
        <is>
          <t>Kab. Gunungkidul</t>
        </is>
      </c>
      <c r="C77" t="inlineStr">
        <is>
          <t>082139191561</t>
        </is>
      </c>
      <c r="D77" t="inlineStr">
        <is>
          <t>dutaangkasa.gk@gmail.com</t>
        </is>
      </c>
      <c r="E77" t="inlineStr">
        <is>
          <t>https://lpjk.pu.go.id/search-badan-usaha-detail/M2kvTExSc1NuQ0o4aE5tUjl2dVU0UT09</t>
        </is>
      </c>
      <c r="F77" t="n">
        <v>1</v>
      </c>
      <c r="G77" t="inlineStr">
        <is>
          <t>BG002</t>
        </is>
      </c>
      <c r="H77" t="inlineStr">
        <is>
          <t>13 Mei 2019</t>
        </is>
      </c>
      <c r="I77" s="2" t="n">
        <v>46248</v>
      </c>
      <c r="J77" t="inlineStr">
        <is>
          <t>Disetujui</t>
        </is>
      </c>
      <c r="K77" t="n">
        <v>30</v>
      </c>
      <c r="L77" t="inlineStr">
        <is>
          <t>14 Agustus 2026</t>
        </is>
      </c>
      <c r="M77" t="inlineStr">
        <is>
          <t>Konstruksi Gedung Perkantoran</t>
        </is>
      </c>
      <c r="N77" t="inlineStr">
        <is>
          <t>K</t>
        </is>
      </c>
      <c r="O77" t="inlineStr">
        <is>
          <t>20230807</t>
        </is>
      </c>
      <c r="P77" t="inlineStr">
        <is>
          <t>DI Yogyakarta</t>
        </is>
      </c>
      <c r="Q77" t="inlineStr"/>
    </row>
    <row r="78">
      <c r="A78" t="inlineStr">
        <is>
          <t>DWI PURWITA AGUNG</t>
        </is>
      </c>
      <c r="B78" t="inlineStr">
        <is>
          <t>Kota Bandung</t>
        </is>
      </c>
      <c r="C78" t="inlineStr">
        <is>
          <t>081321368986</t>
        </is>
      </c>
      <c r="D78" t="inlineStr">
        <is>
          <t>dwipurwita86@gmail.com</t>
        </is>
      </c>
      <c r="E78" t="inlineStr">
        <is>
          <t>https://lpjk.pu.go.id/search-badan-usaha-detail/T1pReHhONDd6TGFBUG45bFdjQjVFdz09</t>
        </is>
      </c>
      <c r="F78" t="n">
        <v>1</v>
      </c>
      <c r="G78" t="inlineStr">
        <is>
          <t>BS001</t>
        </is>
      </c>
      <c r="H78" t="inlineStr">
        <is>
          <t>4 Maret 1998</t>
        </is>
      </c>
      <c r="I78" s="2" t="n">
        <v>46248</v>
      </c>
      <c r="J78" t="inlineStr">
        <is>
          <t>Disetujui</t>
        </is>
      </c>
      <c r="K78" t="n">
        <v>30</v>
      </c>
      <c r="L78" t="inlineStr">
        <is>
          <t>14 Agustus 2026</t>
        </is>
      </c>
      <c r="M78" t="inlineStr">
        <is>
          <t>Konstruksi Bangunan Sipil Jalan</t>
        </is>
      </c>
      <c r="N78" t="inlineStr">
        <is>
          <t>K</t>
        </is>
      </c>
      <c r="O78" t="inlineStr">
        <is>
          <t>20230810</t>
        </is>
      </c>
      <c r="P78" t="inlineStr">
        <is>
          <t>Jawa Barat</t>
        </is>
      </c>
      <c r="Q78" t="inlineStr"/>
    </row>
    <row r="79">
      <c r="A79" t="inlineStr">
        <is>
          <t>ELVANA</t>
        </is>
      </c>
      <c r="B79" t="inlineStr">
        <is>
          <t>Kota Cirebon</t>
        </is>
      </c>
      <c r="C79" t="inlineStr">
        <is>
          <t>08156461122</t>
        </is>
      </c>
      <c r="D79" t="inlineStr">
        <is>
          <t>elvana_cv08@yahoo.com</t>
        </is>
      </c>
      <c r="E79" t="inlineStr">
        <is>
          <t>https://lpjk.pu.go.id/search-badan-usaha-detail/UWFVVTlldjFrS1FDWDVra3dOSS9udz09</t>
        </is>
      </c>
      <c r="F79" t="n">
        <v>1</v>
      </c>
      <c r="G79" t="inlineStr">
        <is>
          <t>BG006</t>
        </is>
      </c>
      <c r="H79" t="inlineStr">
        <is>
          <t>6 Agustus 2008</t>
        </is>
      </c>
      <c r="I79" s="2" t="n">
        <v>46248</v>
      </c>
      <c r="J79" t="inlineStr">
        <is>
          <t>Disetujui</t>
        </is>
      </c>
      <c r="K79" t="n">
        <v>30</v>
      </c>
      <c r="L79" t="inlineStr">
        <is>
          <t>14 Agustus 2026</t>
        </is>
      </c>
      <c r="M79" t="inlineStr">
        <is>
          <t>Konstruksi Gedung Pendidikan</t>
        </is>
      </c>
      <c r="N79" t="inlineStr">
        <is>
          <t>K</t>
        </is>
      </c>
      <c r="O79" t="inlineStr">
        <is>
          <t>20230814</t>
        </is>
      </c>
      <c r="P79" t="inlineStr">
        <is>
          <t>Jawa Barat</t>
        </is>
      </c>
      <c r="Q79" t="inlineStr"/>
    </row>
    <row r="80">
      <c r="A80" t="inlineStr">
        <is>
          <t>ENDAR SRI WIJAYA</t>
        </is>
      </c>
      <c r="B80" t="inlineStr">
        <is>
          <t>Kota Balikpapan</t>
        </is>
      </c>
      <c r="C80" t="inlineStr">
        <is>
          <t>0542410068</t>
        </is>
      </c>
      <c r="D80" t="inlineStr">
        <is>
          <t>endarsriwijaya@yahoo.com</t>
        </is>
      </c>
      <c r="E80" t="inlineStr">
        <is>
          <t>https://lpjk.pu.go.id/search-badan-usaha-detail/ZkVsUXZXeC9Dc2VJUzd4aTZnM2dIQT09</t>
        </is>
      </c>
      <c r="F80" t="n">
        <v>1</v>
      </c>
      <c r="G80" t="inlineStr">
        <is>
          <t>IN004</t>
        </is>
      </c>
      <c r="H80" t="inlineStr">
        <is>
          <t>2 Januari 2014</t>
        </is>
      </c>
      <c r="I80" s="2" t="n">
        <v>46248</v>
      </c>
      <c r="J80" t="inlineStr">
        <is>
          <t>Pencabutan</t>
        </is>
      </c>
      <c r="K80" t="n">
        <v>30</v>
      </c>
      <c r="L80" t="inlineStr">
        <is>
          <t>14 Agustus 2026</t>
        </is>
      </c>
      <c r="M80" t="inlineStr">
        <is>
          <t>Instalasi Minyak dan Gas</t>
        </is>
      </c>
      <c r="N80" t="inlineStr">
        <is>
          <t>Spesialis</t>
        </is>
      </c>
      <c r="O80" t="inlineStr">
        <is>
          <t>20230713</t>
        </is>
      </c>
      <c r="P80" t="inlineStr">
        <is>
          <t>Kalimantan Timur</t>
        </is>
      </c>
      <c r="Q80" t="inlineStr"/>
    </row>
    <row r="81">
      <c r="A81" t="inlineStr">
        <is>
          <t>EVANA</t>
        </is>
      </c>
      <c r="B81" t="inlineStr">
        <is>
          <t>Kab. Sekadau</t>
        </is>
      </c>
      <c r="C81" t="inlineStr">
        <is>
          <t>082358416880</t>
        </is>
      </c>
      <c r="D81" t="inlineStr">
        <is>
          <t>evanasekadau@gmail.com</t>
        </is>
      </c>
      <c r="E81" t="inlineStr">
        <is>
          <t>https://lpjk.pu.go.id/search-badan-usaha-detail/bytqU3pPNVBYTVJOYmI0OVhuVFk0dz09</t>
        </is>
      </c>
      <c r="F81" t="n">
        <v>1</v>
      </c>
      <c r="G81" t="inlineStr">
        <is>
          <t>BS002</t>
        </is>
      </c>
      <c r="H81" t="inlineStr">
        <is>
          <t>26 Januari 2021</t>
        </is>
      </c>
      <c r="I81" s="2" t="n">
        <v>46248</v>
      </c>
      <c r="J81" t="inlineStr">
        <is>
          <t>Pencabutan</t>
        </is>
      </c>
      <c r="K81" t="n">
        <v>30</v>
      </c>
      <c r="L81" t="inlineStr">
        <is>
          <t>14 Agustus 2026</t>
        </is>
      </c>
      <c r="M81" t="inlineStr">
        <is>
          <t>Bangunan Sipil Jembatan, Jalan Layang, Fly Over, dan Underpass</t>
        </is>
      </c>
      <c r="N81" t="inlineStr">
        <is>
          <t>K</t>
        </is>
      </c>
      <c r="O81" t="inlineStr">
        <is>
          <t>20230811</t>
        </is>
      </c>
      <c r="P81" t="inlineStr">
        <is>
          <t>Kalimantan Barat</t>
        </is>
      </c>
      <c r="Q81" t="inlineStr"/>
    </row>
    <row r="82">
      <c r="A82" t="inlineStr">
        <is>
          <t>FADLLI ROBBII</t>
        </is>
      </c>
      <c r="B82" t="inlineStr">
        <is>
          <t>Kab. Cianjur</t>
        </is>
      </c>
      <c r="C82" t="inlineStr">
        <is>
          <t>089633014045</t>
        </is>
      </c>
      <c r="D82" t="inlineStr">
        <is>
          <t>cv.fadllirabbii@gmail.com</t>
        </is>
      </c>
      <c r="E82" t="inlineStr">
        <is>
          <t>https://lpjk.pu.go.id/search-badan-usaha-detail/elFHRElVVmdTdTNHbW5NL1kxSklsdz09</t>
        </is>
      </c>
      <c r="F82" t="n">
        <v>1</v>
      </c>
      <c r="G82" t="inlineStr">
        <is>
          <t>BG005</t>
        </is>
      </c>
      <c r="H82" t="inlineStr">
        <is>
          <t>18 April 2022</t>
        </is>
      </c>
      <c r="I82" s="2" t="n">
        <v>46248</v>
      </c>
      <c r="J82" t="inlineStr">
        <is>
          <t>Pencabutan</t>
        </is>
      </c>
      <c r="K82" t="n">
        <v>30</v>
      </c>
      <c r="L82" t="inlineStr">
        <is>
          <t>14 Agustus 2026</t>
        </is>
      </c>
      <c r="M82" t="inlineStr">
        <is>
          <t>Konstruksi Gedung Kesehatan</t>
        </is>
      </c>
      <c r="N82" t="inlineStr">
        <is>
          <t>K</t>
        </is>
      </c>
      <c r="O82" t="inlineStr">
        <is>
          <t>20230815</t>
        </is>
      </c>
      <c r="P82" t="inlineStr">
        <is>
          <t>Jawa Barat</t>
        </is>
      </c>
      <c r="Q82" t="inlineStr"/>
    </row>
    <row r="83">
      <c r="A83" t="inlineStr">
        <is>
          <t>FAJAR INDONUSATAMA</t>
        </is>
      </c>
      <c r="B83" t="inlineStr">
        <is>
          <t>Kab. Aceh Besar</t>
        </is>
      </c>
      <c r="C83" t="inlineStr">
        <is>
          <t>0813604443710</t>
        </is>
      </c>
      <c r="D83" t="inlineStr">
        <is>
          <t>cv.indonusatama@gmail.com</t>
        </is>
      </c>
      <c r="E83" t="inlineStr">
        <is>
          <t>https://lpjk.pu.go.id/search-badan-usaha-detail/eFFJRXFSV3RMYXl0ZmxXV1JQaUg3QT09</t>
        </is>
      </c>
      <c r="F83" t="n">
        <v>4</v>
      </c>
      <c r="G83" t="inlineStr">
        <is>
          <t>BG001, BG005, BG006, BG009</t>
        </is>
      </c>
      <c r="H83" t="inlineStr">
        <is>
          <t>2 September 2006</t>
        </is>
      </c>
      <c r="I83" s="2" t="n">
        <v>46248</v>
      </c>
      <c r="J83" t="inlineStr">
        <is>
          <t>Disetujui</t>
        </is>
      </c>
      <c r="K83" t="n">
        <v>30</v>
      </c>
      <c r="L83" t="inlineStr">
        <is>
          <t>14 Agustus 2026</t>
        </is>
      </c>
      <c r="M83" t="inlineStr">
        <is>
          <t>Konstruksi Gedung Hunian, Konstruksi Gedung Kesehatan, Konstruksi Gedung Lainnya, Konstruksi Gedung Pendidikan</t>
        </is>
      </c>
      <c r="N83" t="inlineStr">
        <is>
          <t>K</t>
        </is>
      </c>
      <c r="O83" t="inlineStr">
        <is>
          <t>20230814</t>
        </is>
      </c>
      <c r="P83" t="inlineStr">
        <is>
          <t>Aceh</t>
        </is>
      </c>
      <c r="Q83" t="inlineStr"/>
    </row>
    <row r="84">
      <c r="A84" t="inlineStr">
        <is>
          <t>FAUZAN ZEE ROKS</t>
        </is>
      </c>
      <c r="B84" t="inlineStr">
        <is>
          <t>Kab. Sijunjung</t>
        </is>
      </c>
      <c r="C84" t="inlineStr">
        <is>
          <t>082387428619</t>
        </is>
      </c>
      <c r="D84" t="inlineStr">
        <is>
          <t>avraamazis@gmail.com</t>
        </is>
      </c>
      <c r="E84" t="inlineStr">
        <is>
          <t>https://lpjk.pu.go.id/search-badan-usaha-detail/RVdIWGJrTXlqNXRNMlRmME5OTTJzdz09</t>
        </is>
      </c>
      <c r="F84" t="n">
        <v>4</v>
      </c>
      <c r="G84" t="inlineStr">
        <is>
          <t>BG009, BS004</t>
        </is>
      </c>
      <c r="H84" t="inlineStr">
        <is>
          <t>31 Januari 2025</t>
        </is>
      </c>
      <c r="I84" s="2" t="n">
        <v>46248</v>
      </c>
      <c r="J84" t="inlineStr">
        <is>
          <t>Disetujui</t>
        </is>
      </c>
      <c r="K84" t="n">
        <v>30</v>
      </c>
      <c r="L84" t="inlineStr">
        <is>
          <t>14 Agustus 2026</t>
        </is>
      </c>
      <c r="M84" t="inlineStr">
        <is>
          <t>Konstruksi Gedung Lainnya, Konstruksi Jaringan Irigasi dan Drainase</t>
        </is>
      </c>
      <c r="N84" t="inlineStr">
        <is>
          <t>K</t>
        </is>
      </c>
      <c r="O84" t="inlineStr">
        <is>
          <t>20230814</t>
        </is>
      </c>
      <c r="P84" t="inlineStr">
        <is>
          <t>Sumatera Barat</t>
        </is>
      </c>
      <c r="Q84" t="inlineStr"/>
    </row>
    <row r="85">
      <c r="A85" t="inlineStr">
        <is>
          <t>FAWWAZZ</t>
        </is>
      </c>
      <c r="B85" t="inlineStr">
        <is>
          <t>Kab. Bojonegoro</t>
        </is>
      </c>
      <c r="C85" t="inlineStr">
        <is>
          <t>081331916070</t>
        </is>
      </c>
      <c r="D85" t="inlineStr">
        <is>
          <t>cvfawwazzbojonegoro@gmail.com</t>
        </is>
      </c>
      <c r="E85" t="inlineStr">
        <is>
          <t>https://lpjk.pu.go.id/search-badan-usaha-detail/NnBwTDZndEpXWGtBUVNqRzk4eVVlQT09</t>
        </is>
      </c>
      <c r="F85" t="n">
        <v>4</v>
      </c>
      <c r="G85" t="inlineStr">
        <is>
          <t>BG002, BS001, BS002, BS004</t>
        </is>
      </c>
      <c r="H85" t="inlineStr">
        <is>
          <t>9 Mei 2023</t>
        </is>
      </c>
      <c r="I85" s="2" t="n">
        <v>46248</v>
      </c>
      <c r="J85" t="inlineStr">
        <is>
          <t>Disetujui</t>
        </is>
      </c>
      <c r="K85" t="n">
        <v>30</v>
      </c>
      <c r="L85" t="inlineStr">
        <is>
          <t>14 Agustus 2026</t>
        </is>
      </c>
      <c r="M85" t="inlineStr">
        <is>
          <t>Bangunan Sipil Jembatan, Jalan Layang, Fly Over, dan Underpass, Konstruksi Bangunan Sipil Jalan, Konstruksi Gedung Perkantoran, Konstruksi Jaringan Irigasi dan Drainase</t>
        </is>
      </c>
      <c r="N85" t="inlineStr">
        <is>
          <t>K</t>
        </is>
      </c>
      <c r="O85" t="inlineStr">
        <is>
          <t>20230814</t>
        </is>
      </c>
      <c r="P85" t="inlineStr">
        <is>
          <t>Jawa Timur</t>
        </is>
      </c>
      <c r="Q85" t="inlineStr"/>
    </row>
    <row r="86">
      <c r="A86" t="inlineStr">
        <is>
          <t>FAZA KARYA PANGESTU</t>
        </is>
      </c>
      <c r="B86" t="inlineStr">
        <is>
          <t>Kab. Malang</t>
        </is>
      </c>
      <c r="C86" t="inlineStr">
        <is>
          <t>081233198072</t>
        </is>
      </c>
      <c r="D86" t="inlineStr">
        <is>
          <t>alfazakarya5@gmail.com</t>
        </is>
      </c>
      <c r="E86" t="inlineStr">
        <is>
          <t>https://lpjk.pu.go.id/search-badan-usaha-detail/TVdadTFNeUIxNGR4SmhRWitpWW1tUT09</t>
        </is>
      </c>
      <c r="F86" t="n">
        <v>1</v>
      </c>
      <c r="G86" t="inlineStr">
        <is>
          <t>BS004</t>
        </is>
      </c>
      <c r="H86" t="inlineStr">
        <is>
          <t>28 Februari 2023</t>
        </is>
      </c>
      <c r="I86" s="2" t="n">
        <v>46248</v>
      </c>
      <c r="J86" t="inlineStr">
        <is>
          <t>Disetujui</t>
        </is>
      </c>
      <c r="K86" t="n">
        <v>30</v>
      </c>
      <c r="L86" t="inlineStr">
        <is>
          <t>14 Agustus 2026</t>
        </is>
      </c>
      <c r="M86" t="inlineStr">
        <is>
          <t>Konstruksi Jaringan Irigasi dan Drainase</t>
        </is>
      </c>
      <c r="N86" t="inlineStr">
        <is>
          <t>K</t>
        </is>
      </c>
      <c r="O86" t="inlineStr">
        <is>
          <t>20230814</t>
        </is>
      </c>
      <c r="P86" t="inlineStr">
        <is>
          <t>Jawa Timur</t>
        </is>
      </c>
      <c r="Q86" t="inlineStr"/>
    </row>
    <row r="87">
      <c r="A87" t="inlineStr">
        <is>
          <t>FIKANOVA SRI MANUNGGAL</t>
        </is>
      </c>
      <c r="B87" t="inlineStr">
        <is>
          <t>Kota Semarang</t>
        </is>
      </c>
      <c r="C87" t="inlineStr">
        <is>
          <t>0247615290</t>
        </is>
      </c>
      <c r="D87" t="inlineStr">
        <is>
          <t>pt.fikanovasrimanunggal@gmail.com</t>
        </is>
      </c>
      <c r="E87" t="inlineStr">
        <is>
          <t>https://lpjk.pu.go.id/search-badan-usaha-detail/aWhwb1YyVEdQVC83LzNsRGlrcUdSdz09</t>
        </is>
      </c>
      <c r="F87" t="n">
        <v>4</v>
      </c>
      <c r="G87" t="inlineStr">
        <is>
          <t>BG005, BG009, BS001, BS002</t>
        </is>
      </c>
      <c r="H87" t="inlineStr">
        <is>
          <t>24 Februari 2004</t>
        </is>
      </c>
      <c r="I87" s="2" t="n">
        <v>46248</v>
      </c>
      <c r="J87" t="inlineStr">
        <is>
          <t>Disetujui, Pencabutan</t>
        </is>
      </c>
      <c r="K87" t="n">
        <v>30</v>
      </c>
      <c r="L87" t="inlineStr">
        <is>
          <t>14 Agustus 2026</t>
        </is>
      </c>
      <c r="M87" t="inlineStr">
        <is>
          <t>Bangunan Sipil Jembatan, Jalan Layang, Fly Over, dan Underpass, Konstruksi Bangunan Sipil Jalan, Konstruksi Gedung Kesehatan, Konstruksi Gedung Lainnya</t>
        </is>
      </c>
      <c r="N87" t="inlineStr">
        <is>
          <t>K</t>
        </is>
      </c>
      <c r="O87" t="inlineStr">
        <is>
          <t>20230720</t>
        </is>
      </c>
      <c r="P87" t="inlineStr">
        <is>
          <t>Jawa Tengah</t>
        </is>
      </c>
      <c r="Q87" t="inlineStr"/>
    </row>
    <row r="88">
      <c r="A88" t="inlineStr">
        <is>
          <t>FIRDAUS JAYA ABADI</t>
        </is>
      </c>
      <c r="B88" t="inlineStr">
        <is>
          <t>Kab. Lampung Tengah</t>
        </is>
      </c>
      <c r="C88" t="inlineStr">
        <is>
          <t>082183976299</t>
        </is>
      </c>
      <c r="D88" t="inlineStr">
        <is>
          <t>firdausjayaabadi74@gmail.com</t>
        </is>
      </c>
      <c r="E88" t="inlineStr">
        <is>
          <t>https://lpjk.pu.go.id/search-badan-usaha-detail/QTV6OFlzcStGZGhLYnlBTjRvaVNEUT09</t>
        </is>
      </c>
      <c r="F88" t="n">
        <v>2</v>
      </c>
      <c r="G88" t="inlineStr">
        <is>
          <t>BG006</t>
        </is>
      </c>
      <c r="H88" t="inlineStr">
        <is>
          <t>13 Februari 2008</t>
        </is>
      </c>
      <c r="I88" s="2" t="n">
        <v>46248</v>
      </c>
      <c r="J88" t="inlineStr">
        <is>
          <t>Disetujui</t>
        </is>
      </c>
      <c r="K88" t="n">
        <v>30</v>
      </c>
      <c r="L88" t="inlineStr">
        <is>
          <t>14 Agustus 2026</t>
        </is>
      </c>
      <c r="M88" t="inlineStr">
        <is>
          <t>Konstruksi Gedung Pendidikan</t>
        </is>
      </c>
      <c r="N88" t="inlineStr">
        <is>
          <t>K</t>
        </is>
      </c>
      <c r="O88" t="inlineStr">
        <is>
          <t>20230807</t>
        </is>
      </c>
      <c r="P88" t="inlineStr">
        <is>
          <t>Lampung</t>
        </is>
      </c>
      <c r="Q88" t="inlineStr"/>
    </row>
    <row r="89">
      <c r="A89" t="inlineStr">
        <is>
          <t>FORA GROUP CONSTRUCTION</t>
        </is>
      </c>
      <c r="B89" t="inlineStr">
        <is>
          <t>Kab. Bandung</t>
        </is>
      </c>
      <c r="C89" t="inlineStr">
        <is>
          <t>081394682403</t>
        </is>
      </c>
      <c r="D89" t="inlineStr">
        <is>
          <t>ptforagroup@gmail.com</t>
        </is>
      </c>
      <c r="E89" t="inlineStr">
        <is>
          <t>https://lpjk.pu.go.id/search-badan-usaha-detail/aHhHcURHUDNwTzd4SXNFenU4b2VTdz09</t>
        </is>
      </c>
      <c r="F89" t="n">
        <v>1</v>
      </c>
      <c r="G89" t="inlineStr">
        <is>
          <t>BG001</t>
        </is>
      </c>
      <c r="H89" t="inlineStr">
        <is>
          <t>7 Juli 2022</t>
        </is>
      </c>
      <c r="I89" s="2" t="n">
        <v>46248</v>
      </c>
      <c r="J89" t="inlineStr">
        <is>
          <t>Disetujui</t>
        </is>
      </c>
      <c r="K89" t="n">
        <v>30</v>
      </c>
      <c r="L89" t="inlineStr">
        <is>
          <t>14 Agustus 2026</t>
        </is>
      </c>
      <c r="M89" t="inlineStr">
        <is>
          <t>Konstruksi Gedung Hunian</t>
        </is>
      </c>
      <c r="N89" t="inlineStr">
        <is>
          <t>K</t>
        </is>
      </c>
      <c r="O89" t="inlineStr">
        <is>
          <t>20230727</t>
        </is>
      </c>
      <c r="P89" t="inlineStr">
        <is>
          <t>Jawa Barat</t>
        </is>
      </c>
      <c r="Q89" t="inlineStr"/>
    </row>
    <row r="90">
      <c r="A90" t="inlineStr">
        <is>
          <t>GAPURA AGUNG</t>
        </is>
      </c>
      <c r="B90" t="inlineStr">
        <is>
          <t>Kab. Mojokerto</t>
        </is>
      </c>
      <c r="C90" t="inlineStr">
        <is>
          <t>081330494488</t>
        </is>
      </c>
      <c r="D90" t="inlineStr">
        <is>
          <t>gapurakonsultan@gmail.com</t>
        </is>
      </c>
      <c r="E90" t="inlineStr">
        <is>
          <t>https://lpjk.pu.go.id/search-badan-usaha-detail/anUySDFqYVFUdXYvd3o0MGplR0ozdz09</t>
        </is>
      </c>
      <c r="F90" t="n">
        <v>2</v>
      </c>
      <c r="G90" t="inlineStr">
        <is>
          <t>RK002, RK003</t>
        </is>
      </c>
      <c r="H90" t="inlineStr">
        <is>
          <t>8 Februari 2007</t>
        </is>
      </c>
      <c r="I90" s="2" t="n">
        <v>46248</v>
      </c>
      <c r="J90" t="inlineStr">
        <is>
          <t>Disetujui</t>
        </is>
      </c>
      <c r="K90" t="n">
        <v>30</v>
      </c>
      <c r="L90" t="inlineStr">
        <is>
          <t>14 Agustus 2026</t>
        </is>
      </c>
      <c r="M90" t="inlineStr">
        <is>
          <t>Jasa Rekayasa Pekerjaan Teknik Sipil Sumber Daya Air, Jasa Rekayasa Pekerjaan Teknik Sipil Transportasi</t>
        </is>
      </c>
      <c r="N90" t="inlineStr">
        <is>
          <t>K</t>
        </is>
      </c>
      <c r="O90" t="inlineStr">
        <is>
          <t>20230808</t>
        </is>
      </c>
      <c r="P90" t="inlineStr">
        <is>
          <t>Jawa Timur</t>
        </is>
      </c>
      <c r="Q90" t="inlineStr"/>
    </row>
    <row r="91">
      <c r="A91" t="inlineStr">
        <is>
          <t>GLOBAL ENGINERING CONSULTANT</t>
        </is>
      </c>
      <c r="B91" t="inlineStr">
        <is>
          <t>Kab. Buton Utara</t>
        </is>
      </c>
      <c r="C91" t="inlineStr">
        <is>
          <t>082283346130</t>
        </is>
      </c>
      <c r="D91" t="inlineStr">
        <is>
          <t>globalengineringconsultant@gmail.com</t>
        </is>
      </c>
      <c r="E91" t="inlineStr">
        <is>
          <t>https://lpjk.pu.go.id/search-badan-usaha-detail/ZWR6eDM3TWk3bEJwZlNHNjJrV3E4UT09</t>
        </is>
      </c>
      <c r="F91" t="n">
        <v>2</v>
      </c>
      <c r="G91" t="inlineStr">
        <is>
          <t>AR001, RK002</t>
        </is>
      </c>
      <c r="H91" t="inlineStr">
        <is>
          <t>26 Mei 2023</t>
        </is>
      </c>
      <c r="I91" s="2" t="n">
        <v>46248</v>
      </c>
      <c r="J91" t="inlineStr">
        <is>
          <t>Disetujui</t>
        </is>
      </c>
      <c r="K91" t="n">
        <v>30</v>
      </c>
      <c r="L91" t="inlineStr">
        <is>
          <t>14 Agustus 2026</t>
        </is>
      </c>
      <c r="M91" t="inlineStr">
        <is>
          <t>Jasa Arsitektural Bangunan Gedung Hunian dan Non Hunian, Jasa Rekayasa Pekerjaan Teknik Sipil Sumber Daya Air</t>
        </is>
      </c>
      <c r="N91" t="inlineStr">
        <is>
          <t>K</t>
        </is>
      </c>
      <c r="O91" t="inlineStr">
        <is>
          <t>20230804</t>
        </is>
      </c>
      <c r="P91" t="inlineStr">
        <is>
          <t>Sulawesi Tenggara</t>
        </is>
      </c>
      <c r="Q91" t="inlineStr"/>
    </row>
    <row r="92">
      <c r="A92" t="inlineStr">
        <is>
          <t>GRAHA LAKSANA ABADI</t>
        </is>
      </c>
      <c r="B92" t="inlineStr">
        <is>
          <t>Kota Adm. Jakarta Selatan</t>
        </is>
      </c>
      <c r="C92" t="inlineStr">
        <is>
          <t>081239223373</t>
        </is>
      </c>
      <c r="D92" t="inlineStr">
        <is>
          <t>ptgrahalaksanaabadi@gmail.com</t>
        </is>
      </c>
      <c r="E92" t="inlineStr">
        <is>
          <t>https://lpjk.pu.go.id/search-badan-usaha-detail/ZnpuRWFWZUp1a012bmtUZHdYZm4xTyt5M1VpNlJ1YjYxa3Y0OGlaVFhscz0</t>
        </is>
      </c>
      <c r="F92" t="n">
        <v>1</v>
      </c>
      <c r="G92" t="inlineStr">
        <is>
          <t>BS004</t>
        </is>
      </c>
      <c r="H92" t="inlineStr">
        <is>
          <t>27 Juli 2023</t>
        </is>
      </c>
      <c r="I92" s="2" t="n">
        <v>46248</v>
      </c>
      <c r="J92" t="inlineStr">
        <is>
          <t>Disetujui</t>
        </is>
      </c>
      <c r="K92" t="n">
        <v>30</v>
      </c>
      <c r="L92" t="inlineStr">
        <is>
          <t>14 Agustus 2026</t>
        </is>
      </c>
      <c r="M92" t="inlineStr">
        <is>
          <t>Konstruksi Jaringan Irigasi dan Drainase</t>
        </is>
      </c>
      <c r="N92" t="inlineStr">
        <is>
          <t>K</t>
        </is>
      </c>
      <c r="O92" t="inlineStr">
        <is>
          <t>20230815</t>
        </is>
      </c>
      <c r="P92" t="inlineStr">
        <is>
          <t>DKI Jakarta</t>
        </is>
      </c>
      <c r="Q92" t="inlineStr"/>
    </row>
    <row r="93">
      <c r="A93" t="inlineStr">
        <is>
          <t>GRAHA TALENTA INSANI INDONESIA</t>
        </is>
      </c>
      <c r="B93" t="inlineStr">
        <is>
          <t>Kota Adm. Jakarta Barat</t>
        </is>
      </c>
      <c r="C93" t="inlineStr">
        <is>
          <t>08112555702</t>
        </is>
      </c>
      <c r="D93" t="inlineStr">
        <is>
          <t>grahatalentainsani8@gmail.com</t>
        </is>
      </c>
      <c r="E93" t="inlineStr">
        <is>
          <t>https://lpjk.pu.go.id/search-badan-usaha-detail/cGNodHZhOCtYTURaT1llY05mZEd5QT09</t>
        </is>
      </c>
      <c r="F93" t="n">
        <v>1</v>
      </c>
      <c r="G93" t="inlineStr">
        <is>
          <t>BG001</t>
        </is>
      </c>
      <c r="H93" t="inlineStr">
        <is>
          <t>26 Juli 2023</t>
        </is>
      </c>
      <c r="I93" s="2" t="n">
        <v>46248</v>
      </c>
      <c r="J93" t="inlineStr">
        <is>
          <t>Disetujui</t>
        </is>
      </c>
      <c r="K93" t="n">
        <v>30</v>
      </c>
      <c r="L93" t="inlineStr">
        <is>
          <t>14 Agustus 2026</t>
        </is>
      </c>
      <c r="M93" t="inlineStr">
        <is>
          <t>Konstruksi Gedung Hunian</t>
        </is>
      </c>
      <c r="N93" t="inlineStr">
        <is>
          <t>K</t>
        </is>
      </c>
      <c r="O93" t="inlineStr">
        <is>
          <t>20230811</t>
        </is>
      </c>
      <c r="P93" t="inlineStr">
        <is>
          <t>DKI Jakarta</t>
        </is>
      </c>
      <c r="Q93" t="inlineStr"/>
    </row>
    <row r="94">
      <c r="A94" t="inlineStr">
        <is>
          <t>GUNA UTAMA MANDIRI</t>
        </is>
      </c>
      <c r="B94" t="inlineStr">
        <is>
          <t>Kota Denpasar</t>
        </is>
      </c>
      <c r="C94" t="inlineStr">
        <is>
          <t>082144175497</t>
        </is>
      </c>
      <c r="D94" t="inlineStr">
        <is>
          <t>cvgunautamamandiri@gmail.com</t>
        </is>
      </c>
      <c r="E94" t="inlineStr">
        <is>
          <t>https://lpjk.pu.go.id/search-badan-usaha-detail/cENxR0dMajFWcVlvVVJlMVN3MkMxZz09</t>
        </is>
      </c>
      <c r="F94" t="n">
        <v>2</v>
      </c>
      <c r="G94" t="inlineStr">
        <is>
          <t>BG006, BG009</t>
        </is>
      </c>
      <c r="H94" t="inlineStr">
        <is>
          <t>21 Oktober 2019</t>
        </is>
      </c>
      <c r="I94" s="2" t="n">
        <v>46248</v>
      </c>
      <c r="J94" t="inlineStr">
        <is>
          <t>Disetujui</t>
        </is>
      </c>
      <c r="K94" t="n">
        <v>30</v>
      </c>
      <c r="L94" t="inlineStr">
        <is>
          <t>14 Agustus 2026</t>
        </is>
      </c>
      <c r="M94" t="inlineStr">
        <is>
          <t>Konstruksi Gedung Lainnya, Konstruksi Gedung Pendidikan</t>
        </is>
      </c>
      <c r="N94" t="inlineStr">
        <is>
          <t>K</t>
        </is>
      </c>
      <c r="O94" t="inlineStr">
        <is>
          <t>20230814</t>
        </is>
      </c>
      <c r="P94" t="inlineStr">
        <is>
          <t>Bali</t>
        </is>
      </c>
      <c r="Q94" t="inlineStr"/>
    </row>
    <row r="95">
      <c r="A95" t="inlineStr">
        <is>
          <t>HADIRA MEGANTARA</t>
        </is>
      </c>
      <c r="B95" t="inlineStr">
        <is>
          <t>Kota Surakarta</t>
        </is>
      </c>
      <c r="C95" t="inlineStr">
        <is>
          <t>081325890371</t>
        </is>
      </c>
      <c r="D95" t="inlineStr">
        <is>
          <t>admin.smg@hadira.co.id</t>
        </is>
      </c>
      <c r="E95" t="inlineStr">
        <is>
          <t>https://lpjk.pu.go.id/search-badan-usaha-detail/S3ZZTXk0M2NROG1EOC9jb3QwSTZ5QT09</t>
        </is>
      </c>
      <c r="F95" t="n">
        <v>2</v>
      </c>
      <c r="G95" t="inlineStr">
        <is>
          <t>BG002, BG003</t>
        </is>
      </c>
      <c r="H95" t="inlineStr">
        <is>
          <t>14 Februari 1992</t>
        </is>
      </c>
      <c r="I95" s="2" t="n">
        <v>46248</v>
      </c>
      <c r="J95" t="inlineStr">
        <is>
          <t>Disetujui</t>
        </is>
      </c>
      <c r="K95" t="n">
        <v>30</v>
      </c>
      <c r="L95" t="inlineStr">
        <is>
          <t>14 Agustus 2026</t>
        </is>
      </c>
      <c r="M95" t="inlineStr">
        <is>
          <t>Konstruksi Gedung Industri, Konstruksi Gedung Perkantoran</t>
        </is>
      </c>
      <c r="N95" t="inlineStr">
        <is>
          <t>K</t>
        </is>
      </c>
      <c r="O95" t="inlineStr">
        <is>
          <t>20230703, 20230808</t>
        </is>
      </c>
      <c r="P95" t="inlineStr">
        <is>
          <t>Jawa Tengah</t>
        </is>
      </c>
      <c r="Q95" t="inlineStr"/>
    </row>
    <row r="96">
      <c r="A96" t="inlineStr">
        <is>
          <t>HARAPAN BARU CEMERLANG</t>
        </is>
      </c>
      <c r="B96" t="inlineStr">
        <is>
          <t>Kab. Muaro Jambi</t>
        </is>
      </c>
      <c r="C96" t="inlineStr">
        <is>
          <t>085212741345</t>
        </is>
      </c>
      <c r="D96" t="inlineStr">
        <is>
          <t>cvharapanbarucemerlang@gmail.com</t>
        </is>
      </c>
      <c r="E96" t="inlineStr">
        <is>
          <t>https://lpjk.pu.go.id/search-badan-usaha-detail/ck0xRGhXWVAxREMrSkZ6RzZZU0J4UT09</t>
        </is>
      </c>
      <c r="F96" t="n">
        <v>6</v>
      </c>
      <c r="G96" t="inlineStr">
        <is>
          <t>BG005, BG006, BG009</t>
        </is>
      </c>
      <c r="H96" t="inlineStr">
        <is>
          <t>1 Agustus 2024</t>
        </is>
      </c>
      <c r="I96" s="2" t="n">
        <v>46248</v>
      </c>
      <c r="J96" t="inlineStr">
        <is>
          <t>Disetujui</t>
        </is>
      </c>
      <c r="K96" t="n">
        <v>30</v>
      </c>
      <c r="L96" t="inlineStr">
        <is>
          <t>14 Agustus 2026</t>
        </is>
      </c>
      <c r="M96" t="inlineStr">
        <is>
          <t>Konstruksi Gedung Kesehatan, Konstruksi Gedung Lainnya, Konstruksi Gedung Pendidikan</t>
        </is>
      </c>
      <c r="N96" t="inlineStr">
        <is>
          <t>K</t>
        </is>
      </c>
      <c r="O96" t="inlineStr">
        <is>
          <t>20230812</t>
        </is>
      </c>
      <c r="P96" t="inlineStr">
        <is>
          <t>Jambi</t>
        </is>
      </c>
      <c r="Q96" t="inlineStr"/>
    </row>
    <row r="97">
      <c r="A97" t="inlineStr">
        <is>
          <t>IDEAL</t>
        </is>
      </c>
      <c r="B97" t="inlineStr">
        <is>
          <t>Kab. Malang</t>
        </is>
      </c>
      <c r="C97" t="inlineStr">
        <is>
          <t>082231006250</t>
        </is>
      </c>
      <c r="D97" t="inlineStr">
        <is>
          <t>ramansyah4965@gmail.com</t>
        </is>
      </c>
      <c r="E97" t="inlineStr">
        <is>
          <t>https://lpjk.pu.go.id/search-badan-usaha-detail/azcyZVJSTGtxVGFkalNvUW9zOXBDUT09</t>
        </is>
      </c>
      <c r="F97" t="n">
        <v>2</v>
      </c>
      <c r="G97" t="inlineStr">
        <is>
          <t>BG006</t>
        </is>
      </c>
      <c r="H97" t="inlineStr">
        <is>
          <t>27 Januari 2007</t>
        </is>
      </c>
      <c r="I97" s="2" t="n">
        <v>46248</v>
      </c>
      <c r="J97" t="inlineStr">
        <is>
          <t>Disetujui</t>
        </is>
      </c>
      <c r="K97" t="n">
        <v>30</v>
      </c>
      <c r="L97" t="inlineStr">
        <is>
          <t>14 Agustus 2026</t>
        </is>
      </c>
      <c r="M97" t="inlineStr">
        <is>
          <t>Konstruksi Gedung Pendidikan</t>
        </is>
      </c>
      <c r="N97" t="inlineStr">
        <is>
          <t>K</t>
        </is>
      </c>
      <c r="O97" t="inlineStr">
        <is>
          <t>20230811</t>
        </is>
      </c>
      <c r="P97" t="inlineStr">
        <is>
          <t>Jawa Timur</t>
        </is>
      </c>
      <c r="Q97" t="inlineStr"/>
    </row>
    <row r="98">
      <c r="A98" t="inlineStr">
        <is>
          <t>INDAH PERKASA KONSTRUKSI</t>
        </is>
      </c>
      <c r="B98" t="inlineStr">
        <is>
          <t>Kab. Banjar</t>
        </is>
      </c>
      <c r="C98" t="inlineStr">
        <is>
          <t>05114789444</t>
        </is>
      </c>
      <c r="D98" t="inlineStr">
        <is>
          <t>keratonindahpt@gmail.com</t>
        </is>
      </c>
      <c r="E98" t="inlineStr">
        <is>
          <t>https://lpjk.pu.go.id/search-badan-usaha-detail/WUNLVTluS3ZGM05MbWZrOUhVZlpJdz09</t>
        </is>
      </c>
      <c r="F98" t="n">
        <v>3</v>
      </c>
      <c r="G98" t="inlineStr">
        <is>
          <t>BG005, BG006, BG009</t>
        </is>
      </c>
      <c r="H98" t="inlineStr">
        <is>
          <t>8 Maret 1983</t>
        </is>
      </c>
      <c r="I98" s="2" t="n">
        <v>46248</v>
      </c>
      <c r="J98" t="inlineStr">
        <is>
          <t>Disetujui</t>
        </is>
      </c>
      <c r="K98" t="n">
        <v>30</v>
      </c>
      <c r="L98" t="inlineStr">
        <is>
          <t>14 Agustus 2026</t>
        </is>
      </c>
      <c r="M98" t="inlineStr">
        <is>
          <t>Konstruksi Gedung Kesehatan, Konstruksi Gedung Lainnya, Konstruksi Gedung Pendidikan</t>
        </is>
      </c>
      <c r="N98" t="inlineStr">
        <is>
          <t>K</t>
        </is>
      </c>
      <c r="O98" t="inlineStr">
        <is>
          <t>20230814</t>
        </is>
      </c>
      <c r="P98" t="inlineStr">
        <is>
          <t>Kalimantan Selatan</t>
        </is>
      </c>
      <c r="Q98" t="inlineStr"/>
    </row>
    <row r="99">
      <c r="A99" t="inlineStr">
        <is>
          <t>INDONESIA TEKNOLOGI BARU</t>
        </is>
      </c>
      <c r="B99" t="inlineStr">
        <is>
          <t>Kab. Tangerang</t>
        </is>
      </c>
      <c r="C99" t="inlineStr">
        <is>
          <t>081212461164</t>
        </is>
      </c>
      <c r="D99" t="inlineStr">
        <is>
          <t>indotek@indo-tek.com</t>
        </is>
      </c>
      <c r="E99" t="inlineStr">
        <is>
          <t>https://lpjk.pu.go.id/search-badan-usaha-detail/S3ZDa3h0SVN2QUNxKzBHSTZCUFRQUT09</t>
        </is>
      </c>
      <c r="F99" t="n">
        <v>4</v>
      </c>
      <c r="G99" t="inlineStr">
        <is>
          <t>BG001, BG002, BG003, BG004</t>
        </is>
      </c>
      <c r="H99" t="inlineStr">
        <is>
          <t>26 Agustus 2020</t>
        </is>
      </c>
      <c r="I99" s="2" t="n">
        <v>46248</v>
      </c>
      <c r="J99" t="inlineStr">
        <is>
          <t>Disetujui, Pencabutan</t>
        </is>
      </c>
      <c r="K99" t="n">
        <v>30</v>
      </c>
      <c r="L99" t="inlineStr">
        <is>
          <t>14 Agustus 2026</t>
        </is>
      </c>
      <c r="M99" t="inlineStr">
        <is>
          <t>Konstruksi Gedung Hunian, Konstruksi Gedung Industri, Konstruksi Gedung Perbelanjaan, Konstruksi Gedung Perkantoran</t>
        </is>
      </c>
      <c r="N99" t="inlineStr">
        <is>
          <t>K</t>
        </is>
      </c>
      <c r="O99" t="inlineStr">
        <is>
          <t>20230814, 20230815</t>
        </is>
      </c>
      <c r="P99" t="inlineStr">
        <is>
          <t>Banten</t>
        </is>
      </c>
      <c r="Q99" t="inlineStr"/>
    </row>
    <row r="100">
      <c r="A100" t="inlineStr">
        <is>
          <t>INTAN ARSHAKA</t>
        </is>
      </c>
      <c r="B100" t="inlineStr">
        <is>
          <t>Kota Jayapura</t>
        </is>
      </c>
      <c r="C100" t="inlineStr">
        <is>
          <t>081247737753</t>
        </is>
      </c>
      <c r="D100" t="inlineStr">
        <is>
          <t>baiqmega01@gmail.com</t>
        </is>
      </c>
      <c r="E100" t="inlineStr">
        <is>
          <t>https://lpjk.pu.go.id/search-badan-usaha-detail/UlBPL2RiUG91VzFrbCtpRnVFRzM3Zz09</t>
        </is>
      </c>
      <c r="F100" t="n">
        <v>1</v>
      </c>
      <c r="G100" t="inlineStr">
        <is>
          <t>BG002</t>
        </is>
      </c>
      <c r="H100" t="inlineStr">
        <is>
          <t>1 Agustus 2023</t>
        </is>
      </c>
      <c r="I100" s="2" t="n">
        <v>46248</v>
      </c>
      <c r="J100" t="inlineStr">
        <is>
          <t>Pencabutan</t>
        </is>
      </c>
      <c r="K100" t="n">
        <v>30</v>
      </c>
      <c r="L100" t="inlineStr">
        <is>
          <t>14 Agustus 2026</t>
        </is>
      </c>
      <c r="M100" t="inlineStr">
        <is>
          <t>Konstruksi Gedung Perkantoran</t>
        </is>
      </c>
      <c r="N100" t="inlineStr">
        <is>
          <t>K</t>
        </is>
      </c>
      <c r="O100" t="inlineStr">
        <is>
          <t>20230815</t>
        </is>
      </c>
      <c r="P100" t="inlineStr">
        <is>
          <t>Papua</t>
        </is>
      </c>
      <c r="Q100" t="inlineStr"/>
    </row>
    <row r="101">
      <c r="A101" t="inlineStr">
        <is>
          <t>INTEGRA LINTAS TEKNOLOGI</t>
        </is>
      </c>
      <c r="B101" t="inlineStr">
        <is>
          <t>Kota Adm. Jakarta Pusat</t>
        </is>
      </c>
      <c r="C101" t="inlineStr">
        <is>
          <t>08118881656</t>
        </is>
      </c>
      <c r="D101" t="inlineStr">
        <is>
          <t>integralintasteknologi@gmail.com</t>
        </is>
      </c>
      <c r="E101" t="inlineStr">
        <is>
          <t>https://lpjk.pu.go.id/search-badan-usaha-detail/K3k0UVV4Zk5EQUxUc1VkWWI1TWI1QT09</t>
        </is>
      </c>
      <c r="F101" t="n">
        <v>3</v>
      </c>
      <c r="G101" t="inlineStr">
        <is>
          <t>BG001, BG002, BS009</t>
        </is>
      </c>
      <c r="H101" t="inlineStr">
        <is>
          <t>12 Maret 2021</t>
        </is>
      </c>
      <c r="I101" s="2" t="n">
        <v>46248</v>
      </c>
      <c r="J101" t="inlineStr">
        <is>
          <t>Disetujui</t>
        </is>
      </c>
      <c r="K101" t="n">
        <v>30</v>
      </c>
      <c r="L101" t="inlineStr">
        <is>
          <t>14 Agustus 2026</t>
        </is>
      </c>
      <c r="M101" t="inlineStr">
        <is>
          <t>Konstruksi Gedung Hunian, Konstruksi Gedung Perkantoran, Konstruksi Sentral Telekomunikasi</t>
        </is>
      </c>
      <c r="N101" t="inlineStr">
        <is>
          <t>K</t>
        </is>
      </c>
      <c r="O101" t="inlineStr">
        <is>
          <t>20230804, 20230807, 20230811</t>
        </is>
      </c>
      <c r="P101" t="inlineStr">
        <is>
          <t>DKI Jakarta</t>
        </is>
      </c>
      <c r="Q101" t="inlineStr"/>
    </row>
    <row r="102">
      <c r="A102" t="inlineStr">
        <is>
          <t>INTRANUSA EM</t>
        </is>
      </c>
      <c r="B102" t="inlineStr">
        <is>
          <t>Kota Palopo</t>
        </is>
      </c>
      <c r="C102" t="inlineStr">
        <is>
          <t>085343808280</t>
        </is>
      </c>
      <c r="D102" t="inlineStr">
        <is>
          <t>cvintranusa@yahoo.co.id</t>
        </is>
      </c>
      <c r="E102" t="inlineStr">
        <is>
          <t>https://lpjk.pu.go.id/search-badan-usaha-detail/Wm1EbTMwRUtqcEZKN3QzbGMwSlBKQT09</t>
        </is>
      </c>
      <c r="F102" t="n">
        <v>2</v>
      </c>
      <c r="G102" t="inlineStr">
        <is>
          <t>AR001, RK003</t>
        </is>
      </c>
      <c r="H102" t="inlineStr">
        <is>
          <t>21 Februari 2000</t>
        </is>
      </c>
      <c r="I102" s="2" t="n">
        <v>46248</v>
      </c>
      <c r="J102" t="inlineStr">
        <is>
          <t>Disetujui</t>
        </is>
      </c>
      <c r="K102" t="n">
        <v>30</v>
      </c>
      <c r="L102" t="inlineStr">
        <is>
          <t>14 Agustus 2026</t>
        </is>
      </c>
      <c r="M102" t="inlineStr">
        <is>
          <t>Jasa Arsitektural Bangunan Gedung Hunian dan Non Hunian, Jasa Rekayasa Pekerjaan Teknik Sipil Transportasi</t>
        </is>
      </c>
      <c r="N102" t="inlineStr">
        <is>
          <t>K</t>
        </is>
      </c>
      <c r="O102" t="inlineStr">
        <is>
          <t>20230727, 20230728</t>
        </is>
      </c>
      <c r="P102" t="inlineStr">
        <is>
          <t>Sulawesi Selatan</t>
        </is>
      </c>
      <c r="Q102" t="inlineStr"/>
    </row>
    <row r="103">
      <c r="A103" t="inlineStr">
        <is>
          <t>JATNIKA &amp; CO</t>
        </is>
      </c>
      <c r="B103" t="inlineStr">
        <is>
          <t>Kab. Garut</t>
        </is>
      </c>
      <c r="C103" t="inlineStr">
        <is>
          <t>081322393394</t>
        </is>
      </c>
      <c r="D103" t="inlineStr">
        <is>
          <t>jatnika_co@yahoo.co.id</t>
        </is>
      </c>
      <c r="E103" t="inlineStr">
        <is>
          <t>https://lpjk.pu.go.id/search-badan-usaha-detail/cllWYTV5cVJmcXVJWEdRQlFFSEt0Zz09</t>
        </is>
      </c>
      <c r="F103" t="n">
        <v>1</v>
      </c>
      <c r="G103" t="inlineStr">
        <is>
          <t>BG009</t>
        </is>
      </c>
      <c r="H103" t="inlineStr">
        <is>
          <t>8 Maret 1983</t>
        </is>
      </c>
      <c r="I103" s="2" t="n">
        <v>46248</v>
      </c>
      <c r="J103" t="inlineStr">
        <is>
          <t>Pencabutan</t>
        </is>
      </c>
      <c r="K103" t="n">
        <v>30</v>
      </c>
      <c r="L103" t="inlineStr">
        <is>
          <t>14 Agustus 2026</t>
        </is>
      </c>
      <c r="M103" t="inlineStr">
        <is>
          <t>Konstruksi Gedung Lainnya</t>
        </is>
      </c>
      <c r="N103" t="inlineStr">
        <is>
          <t>K</t>
        </is>
      </c>
      <c r="O103" t="inlineStr">
        <is>
          <t>20230809</t>
        </is>
      </c>
      <c r="P103" t="inlineStr">
        <is>
          <t>Jawa Barat</t>
        </is>
      </c>
      <c r="Q103" t="inlineStr"/>
    </row>
    <row r="104">
      <c r="A104" t="inlineStr">
        <is>
          <t>JAWARA KONSTRUKSI INDONESIA</t>
        </is>
      </c>
      <c r="B104" t="inlineStr">
        <is>
          <t>Kab. Sleman</t>
        </is>
      </c>
      <c r="C104" t="inlineStr">
        <is>
          <t>082386569813</t>
        </is>
      </c>
      <c r="D104" t="inlineStr">
        <is>
          <t>jawarakonstruksiindonesia@gmail.com</t>
        </is>
      </c>
      <c r="E104" t="inlineStr">
        <is>
          <t>https://lpjk.pu.go.id/search-badan-usaha-detail/TGdaTnloaWxaRzVlVVJaN1FwNG1sUT09</t>
        </is>
      </c>
      <c r="F104" t="n">
        <v>8</v>
      </c>
      <c r="G104" t="inlineStr">
        <is>
          <t>BG005, BG009, BS001, BS004</t>
        </is>
      </c>
      <c r="H104" t="inlineStr">
        <is>
          <t>10 Juli 2023</t>
        </is>
      </c>
      <c r="I104" s="2" t="n">
        <v>46248</v>
      </c>
      <c r="J104" t="inlineStr">
        <is>
          <t>Disetujui</t>
        </is>
      </c>
      <c r="K104" t="n">
        <v>30</v>
      </c>
      <c r="L104" t="inlineStr">
        <is>
          <t>14 Agustus 2026</t>
        </is>
      </c>
      <c r="M104" t="inlineStr">
        <is>
          <t>Konstruksi Bangunan Sipil Jalan, Konstruksi Gedung Kesehatan, Konstruksi Gedung Lainnya, Konstruksi Jaringan Irigasi dan Drainase</t>
        </is>
      </c>
      <c r="N104" t="inlineStr">
        <is>
          <t>K</t>
        </is>
      </c>
      <c r="O104" t="inlineStr">
        <is>
          <t>20230811</t>
        </is>
      </c>
      <c r="P104" t="inlineStr">
        <is>
          <t>DI Yogyakarta</t>
        </is>
      </c>
      <c r="Q104" t="inlineStr"/>
    </row>
    <row r="105">
      <c r="A105" t="inlineStr">
        <is>
          <t>JUAN</t>
        </is>
      </c>
      <c r="B105" t="inlineStr">
        <is>
          <t>Kota Singkawang</t>
        </is>
      </c>
      <c r="C105" t="inlineStr">
        <is>
          <t>085252282988</t>
        </is>
      </c>
      <c r="D105" t="inlineStr">
        <is>
          <t>cv_juan2011@yahoo.com</t>
        </is>
      </c>
      <c r="E105" t="inlineStr">
        <is>
          <t>https://lpjk.pu.go.id/search-badan-usaha-detail/cEErNEQzZHBFRk05dGI0UXU2VTNnZz09</t>
        </is>
      </c>
      <c r="F105" t="n">
        <v>5</v>
      </c>
      <c r="G105" t="inlineStr">
        <is>
          <t>BG002, BG004, BG005, BG006, BG009</t>
        </is>
      </c>
      <c r="H105" t="inlineStr">
        <is>
          <t>11 Mei 2012</t>
        </is>
      </c>
      <c r="I105" s="2" t="n">
        <v>46248</v>
      </c>
      <c r="J105" t="inlineStr">
        <is>
          <t>Pembekuan</t>
        </is>
      </c>
      <c r="K105" t="n">
        <v>30</v>
      </c>
      <c r="L105" t="inlineStr">
        <is>
          <t>14 Agustus 2026</t>
        </is>
      </c>
      <c r="M105" t="inlineStr">
        <is>
          <t>Konstruksi Gedung Kesehatan, Konstruksi Gedung Lainnya, Konstruksi Gedung Pendidikan, Konstruksi Gedung Perbelanjaan, Konstruksi Gedung Perkantoran</t>
        </is>
      </c>
      <c r="N105" t="inlineStr">
        <is>
          <t>K</t>
        </is>
      </c>
      <c r="O105" t="inlineStr">
        <is>
          <t>20230715</t>
        </is>
      </c>
      <c r="P105" t="inlineStr">
        <is>
          <t>Kalimantan Barat</t>
        </is>
      </c>
      <c r="Q105" t="inlineStr"/>
    </row>
    <row r="106">
      <c r="A106" t="inlineStr">
        <is>
          <t>KARYA AGUNG GUMILAR</t>
        </is>
      </c>
      <c r="B106" t="inlineStr">
        <is>
          <t>Kab. Indramayu</t>
        </is>
      </c>
      <c r="C106" t="inlineStr">
        <is>
          <t>02345744905</t>
        </is>
      </c>
      <c r="D106" t="inlineStr">
        <is>
          <t>cv.kag72@gmail.com</t>
        </is>
      </c>
      <c r="E106" t="inlineStr">
        <is>
          <t>https://lpjk.pu.go.id/search-badan-usaha-detail/QzhoTXJIUjdOOTNwSUVDdExsU1hqdz09</t>
        </is>
      </c>
      <c r="F106" t="n">
        <v>1</v>
      </c>
      <c r="G106" t="inlineStr">
        <is>
          <t>BG008</t>
        </is>
      </c>
      <c r="H106" t="inlineStr">
        <is>
          <t>4 April 2006</t>
        </is>
      </c>
      <c r="I106" s="2" t="n">
        <v>46248</v>
      </c>
      <c r="J106" t="inlineStr">
        <is>
          <t>Disetujui</t>
        </is>
      </c>
      <c r="K106" t="n">
        <v>30</v>
      </c>
      <c r="L106" t="inlineStr">
        <is>
          <t>14 Agustus 2026</t>
        </is>
      </c>
      <c r="M106" t="inlineStr">
        <is>
          <t>Konstruksi Gedung Tempat Hiburan dan Olahraga</t>
        </is>
      </c>
      <c r="N106" t="inlineStr">
        <is>
          <t>K</t>
        </is>
      </c>
      <c r="O106" t="inlineStr">
        <is>
          <t>20230811</t>
        </is>
      </c>
      <c r="P106" t="inlineStr">
        <is>
          <t>Jawa Barat</t>
        </is>
      </c>
      <c r="Q106" t="inlineStr"/>
    </row>
    <row r="107">
      <c r="A107" t="inlineStr">
        <is>
          <t>KARYA AGUNG MANDIRI JAYA</t>
        </is>
      </c>
      <c r="B107" t="inlineStr">
        <is>
          <t>Kab. Cirebon</t>
        </is>
      </c>
      <c r="C107" t="inlineStr">
        <is>
          <t>02318338121</t>
        </is>
      </c>
      <c r="D107" t="inlineStr">
        <is>
          <t>kamanja_pt@yahoo.com</t>
        </is>
      </c>
      <c r="E107" t="inlineStr">
        <is>
          <t>https://lpjk.pu.go.id/search-badan-usaha-detail/Y0cwUnNzQ3FiaVlCSUw1TmZndGtnZz09</t>
        </is>
      </c>
      <c r="F107" t="n">
        <v>1</v>
      </c>
      <c r="G107" t="inlineStr">
        <is>
          <t>BS003</t>
        </is>
      </c>
      <c r="H107" t="inlineStr">
        <is>
          <t>25 September 2008</t>
        </is>
      </c>
      <c r="I107" s="2" t="n">
        <v>46248</v>
      </c>
      <c r="J107" t="inlineStr">
        <is>
          <t>Disetujui</t>
        </is>
      </c>
      <c r="K107" t="n">
        <v>30</v>
      </c>
      <c r="L107" t="inlineStr">
        <is>
          <t>14 Agustus 2026</t>
        </is>
      </c>
      <c r="M107" t="inlineStr">
        <is>
          <t>Konstruksi Jalan Rel</t>
        </is>
      </c>
      <c r="N107" t="inlineStr">
        <is>
          <t>M</t>
        </is>
      </c>
      <c r="O107" t="inlineStr">
        <is>
          <t>20230812</t>
        </is>
      </c>
      <c r="P107" t="inlineStr">
        <is>
          <t>Jawa Barat</t>
        </is>
      </c>
      <c r="Q107" t="inlineStr"/>
    </row>
    <row r="108">
      <c r="A108" t="inlineStr">
        <is>
          <t>KARYA JATI INDAH</t>
        </is>
      </c>
      <c r="B108" t="inlineStr">
        <is>
          <t>Kab. Jombang</t>
        </is>
      </c>
      <c r="C108" t="inlineStr">
        <is>
          <t>085648942641</t>
        </is>
      </c>
      <c r="D108" t="inlineStr">
        <is>
          <t>karyajatiindah25@gmail.com</t>
        </is>
      </c>
      <c r="E108" t="inlineStr">
        <is>
          <t>https://lpjk.pu.go.id/search-badan-usaha-detail/M2lFV3FTaU1QT0R5QmkzMXJxTEkvdz09</t>
        </is>
      </c>
      <c r="F108" t="n">
        <v>1</v>
      </c>
      <c r="G108" t="inlineStr">
        <is>
          <t>BS004</t>
        </is>
      </c>
      <c r="H108" t="inlineStr">
        <is>
          <t>2 November 2015</t>
        </is>
      </c>
      <c r="I108" s="2" t="n">
        <v>46248</v>
      </c>
      <c r="J108" t="inlineStr">
        <is>
          <t>Disetujui</t>
        </is>
      </c>
      <c r="K108" t="n">
        <v>30</v>
      </c>
      <c r="L108" t="inlineStr">
        <is>
          <t>14 Agustus 2026</t>
        </is>
      </c>
      <c r="M108" t="inlineStr">
        <is>
          <t>Konstruksi Jaringan Irigasi dan Drainase</t>
        </is>
      </c>
      <c r="N108" t="inlineStr">
        <is>
          <t>K</t>
        </is>
      </c>
      <c r="O108" t="inlineStr">
        <is>
          <t>20230810</t>
        </is>
      </c>
      <c r="P108" t="inlineStr">
        <is>
          <t>Jawa Timur</t>
        </is>
      </c>
      <c r="Q108" t="inlineStr"/>
    </row>
    <row r="109">
      <c r="A109" t="inlineStr">
        <is>
          <t>KARYA JAYA PRATAMA</t>
        </is>
      </c>
      <c r="B109" t="inlineStr">
        <is>
          <t>Kota Tanjung Pinang</t>
        </is>
      </c>
      <c r="C109" t="inlineStr">
        <is>
          <t>085322457567</t>
        </is>
      </c>
      <c r="D109" t="inlineStr">
        <is>
          <t>cv.karyajayapratama1@gmail.com</t>
        </is>
      </c>
      <c r="E109" t="inlineStr">
        <is>
          <t>https://lpjk.pu.go.id/search-badan-usaha-detail/a1QraVltbGJJS0cySytXeEpHNjB2QT09</t>
        </is>
      </c>
      <c r="F109" t="n">
        <v>1</v>
      </c>
      <c r="G109" t="inlineStr">
        <is>
          <t>BG001</t>
        </is>
      </c>
      <c r="H109" t="inlineStr">
        <is>
          <t>29 Mei 2002</t>
        </is>
      </c>
      <c r="I109" s="2" t="n">
        <v>46248</v>
      </c>
      <c r="J109" t="inlineStr">
        <is>
          <t>Disetujui</t>
        </is>
      </c>
      <c r="K109" t="n">
        <v>30</v>
      </c>
      <c r="L109" t="inlineStr">
        <is>
          <t>14 Agustus 2026</t>
        </is>
      </c>
      <c r="M109" t="inlineStr">
        <is>
          <t>Konstruksi Gedung Hunian</t>
        </is>
      </c>
      <c r="N109" t="inlineStr">
        <is>
          <t>K</t>
        </is>
      </c>
      <c r="O109" t="inlineStr">
        <is>
          <t>20230807</t>
        </is>
      </c>
      <c r="P109" t="inlineStr">
        <is>
          <t>Kepulauan Riau</t>
        </is>
      </c>
      <c r="Q109" t="inlineStr"/>
    </row>
    <row r="110">
      <c r="A110" t="inlineStr">
        <is>
          <t>KARYA MANDIRI PERKASA</t>
        </is>
      </c>
      <c r="B110" t="inlineStr">
        <is>
          <t>Kab. Gunungkidul</t>
        </is>
      </c>
      <c r="C110" t="inlineStr">
        <is>
          <t>085292044539</t>
        </is>
      </c>
      <c r="D110" t="inlineStr">
        <is>
          <t>karya.mandiri_perkasa@yahoo.co.id</t>
        </is>
      </c>
      <c r="E110" t="inlineStr">
        <is>
          <t>https://lpjk.pu.go.id/search-badan-usaha-detail/WkRZdzZ0eS9RZCtnWUtndWp6T3RhUT09</t>
        </is>
      </c>
      <c r="F110" t="n">
        <v>1</v>
      </c>
      <c r="G110" t="inlineStr">
        <is>
          <t>BG002</t>
        </is>
      </c>
      <c r="H110" t="inlineStr">
        <is>
          <t>22 Januari 2009</t>
        </is>
      </c>
      <c r="I110" s="2" t="n">
        <v>46248</v>
      </c>
      <c r="J110" t="inlineStr">
        <is>
          <t>Disetujui</t>
        </is>
      </c>
      <c r="K110" t="n">
        <v>30</v>
      </c>
      <c r="L110" t="inlineStr">
        <is>
          <t>14 Agustus 2026</t>
        </is>
      </c>
      <c r="M110" t="inlineStr">
        <is>
          <t>Konstruksi Gedung Perkantoran</t>
        </is>
      </c>
      <c r="N110" t="inlineStr">
        <is>
          <t>K</t>
        </is>
      </c>
      <c r="O110" t="inlineStr">
        <is>
          <t>20230809</t>
        </is>
      </c>
      <c r="P110" t="inlineStr">
        <is>
          <t>DI Yogyakarta</t>
        </is>
      </c>
      <c r="Q110" t="inlineStr"/>
    </row>
    <row r="111">
      <c r="A111" t="inlineStr">
        <is>
          <t>KARYA PRATAMA</t>
        </is>
      </c>
      <c r="B111" t="inlineStr">
        <is>
          <t>Kab. Balangan</t>
        </is>
      </c>
      <c r="C111" t="inlineStr">
        <is>
          <t>081349522230</t>
        </is>
      </c>
      <c r="D111" t="inlineStr">
        <is>
          <t>karyapratamacv1@gmail.com</t>
        </is>
      </c>
      <c r="E111" t="inlineStr">
        <is>
          <t>https://lpjk.pu.go.id/search-badan-usaha-detail/V3dqMlpENTgvdG9SNm5iTlRzTU9NQT09</t>
        </is>
      </c>
      <c r="F111" t="n">
        <v>2</v>
      </c>
      <c r="G111" t="inlineStr">
        <is>
          <t>BS001, BS004</t>
        </is>
      </c>
      <c r="H111" t="inlineStr">
        <is>
          <t>5 Februari 2014</t>
        </is>
      </c>
      <c r="I111" s="2" t="n">
        <v>46248</v>
      </c>
      <c r="J111" t="inlineStr">
        <is>
          <t>Disetujui</t>
        </is>
      </c>
      <c r="K111" t="n">
        <v>30</v>
      </c>
      <c r="L111" t="inlineStr">
        <is>
          <t>14 Agustus 2026</t>
        </is>
      </c>
      <c r="M111" t="inlineStr">
        <is>
          <t>Konstruksi Bangunan Sipil Jalan, Konstruksi Jaringan Irigasi dan Drainase</t>
        </is>
      </c>
      <c r="N111" t="inlineStr">
        <is>
          <t>K</t>
        </is>
      </c>
      <c r="O111" t="inlineStr">
        <is>
          <t>20230815</t>
        </is>
      </c>
      <c r="P111" t="inlineStr">
        <is>
          <t>Kalimantan Selatan</t>
        </is>
      </c>
      <c r="Q111" t="inlineStr"/>
    </row>
    <row r="112">
      <c r="A112" t="inlineStr">
        <is>
          <t>KARYA RAGAM INDO AGUNG</t>
        </is>
      </c>
      <c r="B112" t="inlineStr">
        <is>
          <t>Kab. Ketapang</t>
        </is>
      </c>
      <c r="C112" t="inlineStr">
        <is>
          <t>082153317891</t>
        </is>
      </c>
      <c r="D112" t="inlineStr">
        <is>
          <t>kridakalbar@yahoo.com</t>
        </is>
      </c>
      <c r="E112" t="inlineStr">
        <is>
          <t>https://lpjk.pu.go.id/search-badan-usaha-detail/eGV1cXVLa1dwb215d1NNSjBEa3pXUT09</t>
        </is>
      </c>
      <c r="F112" t="n">
        <v>1</v>
      </c>
      <c r="G112" t="inlineStr">
        <is>
          <t>BG001</t>
        </is>
      </c>
      <c r="H112" t="inlineStr">
        <is>
          <t>23 Maret 2019</t>
        </is>
      </c>
      <c r="I112" s="2" t="n">
        <v>46248</v>
      </c>
      <c r="J112" t="inlineStr">
        <is>
          <t>Disetujui</t>
        </is>
      </c>
      <c r="K112" t="n">
        <v>30</v>
      </c>
      <c r="L112" t="inlineStr">
        <is>
          <t>14 Agustus 2026</t>
        </is>
      </c>
      <c r="M112" t="inlineStr">
        <is>
          <t>Konstruksi Gedung Hunian</t>
        </is>
      </c>
      <c r="N112" t="inlineStr">
        <is>
          <t>K</t>
        </is>
      </c>
      <c r="O112" t="inlineStr">
        <is>
          <t>20230808</t>
        </is>
      </c>
      <c r="P112" t="inlineStr">
        <is>
          <t>Kalimantan Barat</t>
        </is>
      </c>
      <c r="Q112" t="inlineStr"/>
    </row>
    <row r="113">
      <c r="A113" t="inlineStr">
        <is>
          <t>KAWAN KOTA</t>
        </is>
      </c>
      <c r="B113" t="inlineStr">
        <is>
          <t>Kota Manado</t>
        </is>
      </c>
      <c r="C113" t="inlineStr">
        <is>
          <t>085298575799</t>
        </is>
      </c>
      <c r="D113" t="inlineStr">
        <is>
          <t>kawankota2023@gmail.com</t>
        </is>
      </c>
      <c r="E113" t="inlineStr">
        <is>
          <t>https://lpjk.pu.go.id/search-badan-usaha-detail/Uks4UUY2eWhxczI3RmxUaDJEZHpPUT09</t>
        </is>
      </c>
      <c r="F113" t="n">
        <v>2</v>
      </c>
      <c r="G113" t="inlineStr">
        <is>
          <t>BG006</t>
        </is>
      </c>
      <c r="H113" t="inlineStr">
        <is>
          <t>5 Juni 2023</t>
        </is>
      </c>
      <c r="I113" s="2" t="n">
        <v>46248</v>
      </c>
      <c r="J113" t="inlineStr">
        <is>
          <t>Disetujui</t>
        </is>
      </c>
      <c r="K113" t="n">
        <v>30</v>
      </c>
      <c r="L113" t="inlineStr">
        <is>
          <t>14 Agustus 2026</t>
        </is>
      </c>
      <c r="M113" t="inlineStr">
        <is>
          <t>Konstruksi Gedung Pendidikan</t>
        </is>
      </c>
      <c r="N113" t="inlineStr">
        <is>
          <t>K</t>
        </is>
      </c>
      <c r="O113" t="inlineStr">
        <is>
          <t>20230811</t>
        </is>
      </c>
      <c r="P113" t="inlineStr">
        <is>
          <t>Sulawesi Utara</t>
        </is>
      </c>
      <c r="Q113" t="inlineStr"/>
    </row>
    <row r="114">
      <c r="A114" t="inlineStr">
        <is>
          <t>KELUARGA JAYA MANDIRI</t>
        </is>
      </c>
      <c r="B114" t="inlineStr">
        <is>
          <t>Kab. Aceh Tamiang</t>
        </is>
      </c>
      <c r="C114" t="inlineStr">
        <is>
          <t>082129991874</t>
        </is>
      </c>
      <c r="D114" t="inlineStr">
        <is>
          <t>keluarga.jayamandiri2022@gmail.com</t>
        </is>
      </c>
      <c r="E114" t="inlineStr">
        <is>
          <t>https://lpjk.pu.go.id/search-badan-usaha-detail/bW9sZThVR1dvU3Vaak44OGN0VGpMUT09</t>
        </is>
      </c>
      <c r="F114" t="n">
        <v>1</v>
      </c>
      <c r="G114" t="inlineStr">
        <is>
          <t>BG006</t>
        </is>
      </c>
      <c r="H114" t="inlineStr">
        <is>
          <t>13 Mei 2022</t>
        </is>
      </c>
      <c r="I114" s="2" t="n">
        <v>46248</v>
      </c>
      <c r="J114" t="inlineStr">
        <is>
          <t>Disetujui</t>
        </is>
      </c>
      <c r="K114" t="n">
        <v>30</v>
      </c>
      <c r="L114" t="inlineStr">
        <is>
          <t>14 Agustus 2026</t>
        </is>
      </c>
      <c r="M114" t="inlineStr">
        <is>
          <t>Konstruksi Gedung Pendidikan</t>
        </is>
      </c>
      <c r="N114" t="inlineStr">
        <is>
          <t>K</t>
        </is>
      </c>
      <c r="O114" t="inlineStr">
        <is>
          <t>20230812</t>
        </is>
      </c>
      <c r="P114" t="inlineStr">
        <is>
          <t>Aceh</t>
        </is>
      </c>
      <c r="Q114" t="inlineStr"/>
    </row>
    <row r="115">
      <c r="A115" t="inlineStr">
        <is>
          <t>KEZIA TRIMEGAH</t>
        </is>
      </c>
      <c r="B115" t="inlineStr">
        <is>
          <t>Kota Adm. Jakarta Pusat</t>
        </is>
      </c>
      <c r="C115" t="inlineStr">
        <is>
          <t>081295183339</t>
        </is>
      </c>
      <c r="D115" t="inlineStr">
        <is>
          <t>trimegahkezia@gmail.com</t>
        </is>
      </c>
      <c r="E115" t="inlineStr">
        <is>
          <t>https://lpjk.pu.go.id/search-badan-usaha-detail/cHV0WGdFd2U2NEoyVldkUkxQZzNYQT09</t>
        </is>
      </c>
      <c r="F115" t="n">
        <v>1</v>
      </c>
      <c r="G115" t="inlineStr">
        <is>
          <t>BG002</t>
        </is>
      </c>
      <c r="H115" t="inlineStr">
        <is>
          <t>4 Januari 2008</t>
        </is>
      </c>
      <c r="I115" s="2" t="n">
        <v>46248</v>
      </c>
      <c r="J115" t="inlineStr">
        <is>
          <t>Disetujui</t>
        </is>
      </c>
      <c r="K115" t="n">
        <v>30</v>
      </c>
      <c r="L115" t="inlineStr">
        <is>
          <t>14 Agustus 2026</t>
        </is>
      </c>
      <c r="M115" t="inlineStr">
        <is>
          <t>Konstruksi Gedung Perkantoran</t>
        </is>
      </c>
      <c r="N115" t="inlineStr">
        <is>
          <t>K</t>
        </is>
      </c>
      <c r="O115" t="inlineStr">
        <is>
          <t>20230814</t>
        </is>
      </c>
      <c r="P115" t="inlineStr">
        <is>
          <t>DKI Jakarta</t>
        </is>
      </c>
      <c r="Q115" t="inlineStr"/>
    </row>
    <row r="116">
      <c r="A116" t="inlineStr">
        <is>
          <t>KHARISMA ARTA NUGRAHA</t>
        </is>
      </c>
      <c r="B116" t="inlineStr">
        <is>
          <t>Kab. Landak</t>
        </is>
      </c>
      <c r="C116" t="inlineStr">
        <is>
          <t>081345508248</t>
        </is>
      </c>
      <c r="D116" t="inlineStr">
        <is>
          <t>cv.kharismaarthanugraha@yahoo.com</t>
        </is>
      </c>
      <c r="E116" t="inlineStr">
        <is>
          <t>https://lpjk.pu.go.id/search-badan-usaha-detail/Y0VScWh6d0o1V1RoZlJENmVsQkRTQT09</t>
        </is>
      </c>
      <c r="F116" t="n">
        <v>2</v>
      </c>
      <c r="G116" t="inlineStr">
        <is>
          <t>BS001</t>
        </is>
      </c>
      <c r="H116" t="inlineStr">
        <is>
          <t>21 September 1993</t>
        </is>
      </c>
      <c r="I116" s="2" t="n">
        <v>46248</v>
      </c>
      <c r="J116" t="inlineStr">
        <is>
          <t>Disetujui</t>
        </is>
      </c>
      <c r="K116" t="n">
        <v>30</v>
      </c>
      <c r="L116" t="inlineStr">
        <is>
          <t>14 Agustus 2026</t>
        </is>
      </c>
      <c r="M116" t="inlineStr">
        <is>
          <t>Konstruksi Bangunan Sipil Jalan</t>
        </is>
      </c>
      <c r="N116" t="inlineStr">
        <is>
          <t>K</t>
        </is>
      </c>
      <c r="O116" t="inlineStr">
        <is>
          <t>20230808</t>
        </is>
      </c>
      <c r="P116" t="inlineStr">
        <is>
          <t>Kalimantan Barat</t>
        </is>
      </c>
      <c r="Q116" t="inlineStr"/>
    </row>
    <row r="117">
      <c r="A117" t="inlineStr">
        <is>
          <t>KIRATAMA ABDI KARYA</t>
        </is>
      </c>
      <c r="B117" t="inlineStr">
        <is>
          <t>Kota Bandung</t>
        </is>
      </c>
      <c r="C117" t="inlineStr">
        <is>
          <t>02263721689</t>
        </is>
      </c>
      <c r="D117" t="inlineStr">
        <is>
          <t>kiratamaabdikarya@gmail.com</t>
        </is>
      </c>
      <c r="E117" t="inlineStr">
        <is>
          <t>https://lpjk.pu.go.id/search-badan-usaha-detail/VS9qZ1hIYkdYWS9TQWpJME02VmtOQT09</t>
        </is>
      </c>
      <c r="F117" t="n">
        <v>4</v>
      </c>
      <c r="G117" t="inlineStr">
        <is>
          <t>AR001, AR002</t>
        </is>
      </c>
      <c r="H117" t="inlineStr">
        <is>
          <t>14 Maret 2014</t>
        </is>
      </c>
      <c r="I117" s="2" t="n">
        <v>46248</v>
      </c>
      <c r="J117" t="inlineStr">
        <is>
          <t>Disetujui</t>
        </is>
      </c>
      <c r="K117" t="n">
        <v>30</v>
      </c>
      <c r="L117" t="inlineStr">
        <is>
          <t>14 Agustus 2026</t>
        </is>
      </c>
      <c r="M117" t="inlineStr">
        <is>
          <t>Jasa Arsitektural Bangunan Gedung Hunian dan Non Hunian, Jasa Arsitektural Lainnya</t>
        </is>
      </c>
      <c r="N117" t="inlineStr">
        <is>
          <t>K</t>
        </is>
      </c>
      <c r="O117" t="inlineStr">
        <is>
          <t>20221124, 20230808</t>
        </is>
      </c>
      <c r="P117" t="inlineStr">
        <is>
          <t>Jawa Barat</t>
        </is>
      </c>
      <c r="Q117" t="inlineStr"/>
    </row>
    <row r="118">
      <c r="A118" t="inlineStr">
        <is>
          <t>KUALA BATEE INDONESIA</t>
        </is>
      </c>
      <c r="B118" t="inlineStr">
        <is>
          <t>Kota Banda Aceh</t>
        </is>
      </c>
      <c r="C118" t="inlineStr">
        <is>
          <t>0811685970</t>
        </is>
      </c>
      <c r="D118" t="inlineStr">
        <is>
          <t>kuala_batee_indonesia44@yahoo.com</t>
        </is>
      </c>
      <c r="E118" t="inlineStr">
        <is>
          <t>https://lpjk.pu.go.id/search-badan-usaha-detail/eDdnZE9VL2lnMzNBM3IzRUY3OTBZQT09</t>
        </is>
      </c>
      <c r="F118" t="n">
        <v>1</v>
      </c>
      <c r="G118" t="inlineStr">
        <is>
          <t>BS010</t>
        </is>
      </c>
      <c r="H118" t="inlineStr">
        <is>
          <t>9 Januari 2003</t>
        </is>
      </c>
      <c r="I118" s="2" t="n">
        <v>46248</v>
      </c>
      <c r="J118" t="inlineStr">
        <is>
          <t>Disetujui</t>
        </is>
      </c>
      <c r="K118" t="n">
        <v>30</v>
      </c>
      <c r="L118" t="inlineStr">
        <is>
          <t>14 Agustus 2026</t>
        </is>
      </c>
      <c r="M118" t="inlineStr">
        <is>
          <t>Konstruksi Bangunan Prasarana Sumber Daya Air</t>
        </is>
      </c>
      <c r="N118" t="inlineStr">
        <is>
          <t>M</t>
        </is>
      </c>
      <c r="O118" t="inlineStr">
        <is>
          <t>20230608</t>
        </is>
      </c>
      <c r="P118" t="inlineStr">
        <is>
          <t>Aceh</t>
        </is>
      </c>
      <c r="Q118" t="inlineStr"/>
    </row>
    <row r="119">
      <c r="A119" t="inlineStr">
        <is>
          <t>KURNIA PERKASA</t>
        </is>
      </c>
      <c r="B119" t="inlineStr">
        <is>
          <t>Kab. Bondowoso</t>
        </is>
      </c>
      <c r="C119" t="inlineStr">
        <is>
          <t>081234858571</t>
        </is>
      </c>
      <c r="D119" t="inlineStr">
        <is>
          <t>kurniaperkasa2024@gmail.com</t>
        </is>
      </c>
      <c r="E119" t="inlineStr">
        <is>
          <t>https://lpjk.pu.go.id/search-badan-usaha-detail/MWVGcHp0bFROdDhOcWNlRE5LME5RZz09</t>
        </is>
      </c>
      <c r="F119" t="n">
        <v>1</v>
      </c>
      <c r="G119" t="inlineStr">
        <is>
          <t>BG005</t>
        </is>
      </c>
      <c r="H119" t="inlineStr">
        <is>
          <t>4 September 2007</t>
        </is>
      </c>
      <c r="I119" s="2" t="n">
        <v>46248</v>
      </c>
      <c r="J119" t="inlineStr">
        <is>
          <t>Disetujui</t>
        </is>
      </c>
      <c r="K119" t="n">
        <v>30</v>
      </c>
      <c r="L119" t="inlineStr">
        <is>
          <t>14 Agustus 2026</t>
        </is>
      </c>
      <c r="M119" t="inlineStr">
        <is>
          <t>Konstruksi Gedung Kesehatan</t>
        </is>
      </c>
      <c r="N119" t="inlineStr">
        <is>
          <t>K</t>
        </is>
      </c>
      <c r="O119" t="inlineStr">
        <is>
          <t>20230811</t>
        </is>
      </c>
      <c r="P119" t="inlineStr">
        <is>
          <t>Jawa Timur</t>
        </is>
      </c>
      <c r="Q119" t="inlineStr"/>
    </row>
    <row r="120">
      <c r="A120" t="inlineStr">
        <is>
          <t>LAENDRA PUTRA</t>
        </is>
      </c>
      <c r="B120" t="inlineStr">
        <is>
          <t>Kab. Garut</t>
        </is>
      </c>
      <c r="C120" t="inlineStr">
        <is>
          <t>082118442234</t>
        </is>
      </c>
      <c r="D120" t="inlineStr">
        <is>
          <t>laendraputracv@gmail.com</t>
        </is>
      </c>
      <c r="E120" t="inlineStr">
        <is>
          <t>https://lpjk.pu.go.id/search-badan-usaha-detail/ckZhTEpjWERSUzBDTWozNzEweXhWUT09</t>
        </is>
      </c>
      <c r="F120" t="n">
        <v>4</v>
      </c>
      <c r="G120" t="inlineStr">
        <is>
          <t>BG004, BG005, BG007, BG008</t>
        </is>
      </c>
      <c r="H120" t="inlineStr">
        <is>
          <t>12 Januari 2017</t>
        </is>
      </c>
      <c r="I120" s="2" t="n">
        <v>46248</v>
      </c>
      <c r="J120" t="inlineStr">
        <is>
          <t>Pencabutan</t>
        </is>
      </c>
      <c r="K120" t="n">
        <v>30</v>
      </c>
      <c r="L120" t="inlineStr">
        <is>
          <t>14 Agustus 2026</t>
        </is>
      </c>
      <c r="M120" t="inlineStr">
        <is>
          <t>Konstruksi Gedung Kesehatan, Konstruksi Gedung Penginapan, Konstruksi Gedung Perbelanjaan, Konstruksi Gedung Tempat Hiburan dan Olahraga</t>
        </is>
      </c>
      <c r="N120" t="inlineStr">
        <is>
          <t>K</t>
        </is>
      </c>
      <c r="O120" t="inlineStr">
        <is>
          <t>20230811, 20230813</t>
        </is>
      </c>
      <c r="P120" t="inlineStr">
        <is>
          <t>Jawa Barat</t>
        </is>
      </c>
      <c r="Q120" t="inlineStr"/>
    </row>
    <row r="121">
      <c r="A121" t="inlineStr">
        <is>
          <t>LANGIT BIRU BERKAH</t>
        </is>
      </c>
      <c r="B121" t="inlineStr">
        <is>
          <t>Kota Samarinda</t>
        </is>
      </c>
      <c r="C121" t="inlineStr">
        <is>
          <t>085251197451</t>
        </is>
      </c>
      <c r="D121" t="inlineStr">
        <is>
          <t>langitbiruberkah@gmail.com</t>
        </is>
      </c>
      <c r="E121" t="inlineStr">
        <is>
          <t>https://lpjk.pu.go.id/search-badan-usaha-detail/aVNvODFuYVNtTHpEeE9ZNk04cklyQT09</t>
        </is>
      </c>
      <c r="F121" t="n">
        <v>2</v>
      </c>
      <c r="G121" t="inlineStr">
        <is>
          <t>BS001, BS002</t>
        </is>
      </c>
      <c r="H121" t="inlineStr">
        <is>
          <t>26 Januari 2016</t>
        </is>
      </c>
      <c r="I121" s="2" t="n">
        <v>46248</v>
      </c>
      <c r="J121" t="inlineStr">
        <is>
          <t>Disetujui</t>
        </is>
      </c>
      <c r="K121" t="n">
        <v>30</v>
      </c>
      <c r="L121" t="inlineStr">
        <is>
          <t>14 Agustus 2026</t>
        </is>
      </c>
      <c r="M121" t="inlineStr">
        <is>
          <t>Bangunan Sipil Jembatan, Jalan Layang, Fly Over, dan Underpass, Konstruksi Bangunan Sipil Jalan</t>
        </is>
      </c>
      <c r="N121" t="inlineStr">
        <is>
          <t>K</t>
        </is>
      </c>
      <c r="O121" t="inlineStr">
        <is>
          <t>20230810, 20230814</t>
        </is>
      </c>
      <c r="P121" t="inlineStr">
        <is>
          <t>Kalimantan Timur</t>
        </is>
      </c>
      <c r="Q121" t="inlineStr"/>
    </row>
    <row r="122">
      <c r="A122" t="inlineStr">
        <is>
          <t>LIA PUTRA UTAMA</t>
        </is>
      </c>
      <c r="B122" t="inlineStr">
        <is>
          <t>Kab. Belitung Timur</t>
        </is>
      </c>
      <c r="C122" t="inlineStr">
        <is>
          <t>08197856101</t>
        </is>
      </c>
      <c r="D122" t="inlineStr">
        <is>
          <t>liaputrautama12345@gmail.com</t>
        </is>
      </c>
      <c r="E122" t="inlineStr">
        <is>
          <t>https://lpjk.pu.go.id/search-badan-usaha-detail/a0ZJa1o5VEczaHZneE5sL3JtM1pqUT09</t>
        </is>
      </c>
      <c r="F122" t="n">
        <v>1</v>
      </c>
      <c r="G122" t="inlineStr">
        <is>
          <t>BS001</t>
        </is>
      </c>
      <c r="H122" t="inlineStr">
        <is>
          <t>30 Juni 2000</t>
        </is>
      </c>
      <c r="I122" s="2" t="n">
        <v>46248</v>
      </c>
      <c r="J122" t="inlineStr">
        <is>
          <t>Disetujui</t>
        </is>
      </c>
      <c r="K122" t="n">
        <v>30</v>
      </c>
      <c r="L122" t="inlineStr">
        <is>
          <t>14 Agustus 2026</t>
        </is>
      </c>
      <c r="M122" t="inlineStr">
        <is>
          <t>Konstruksi Bangunan Sipil Jalan</t>
        </is>
      </c>
      <c r="N122" t="inlineStr">
        <is>
          <t>K</t>
        </is>
      </c>
      <c r="O122" t="inlineStr">
        <is>
          <t>20230814</t>
        </is>
      </c>
      <c r="P122" t="inlineStr">
        <is>
          <t>Kepulauan Bangka Belitung</t>
        </is>
      </c>
      <c r="Q122" t="inlineStr"/>
    </row>
    <row r="123">
      <c r="A123" t="inlineStr">
        <is>
          <t>LIMAN KARYA PRIMA</t>
        </is>
      </c>
      <c r="B123" t="inlineStr">
        <is>
          <t>Kab. Sidoarjo</t>
        </is>
      </c>
      <c r="C123" t="inlineStr">
        <is>
          <t>081347019199</t>
        </is>
      </c>
      <c r="D123" t="inlineStr">
        <is>
          <t>cv.limankaryaprima@gmail.com</t>
        </is>
      </c>
      <c r="E123" t="inlineStr">
        <is>
          <t>https://lpjk.pu.go.id/search-badan-usaha-detail/RUk3MU5jckNQYklKUXQxaVdCaHVyUT09</t>
        </is>
      </c>
      <c r="F123" t="n">
        <v>3</v>
      </c>
      <c r="G123" t="inlineStr">
        <is>
          <t>BG001, BG003, BG009</t>
        </is>
      </c>
      <c r="H123" t="inlineStr">
        <is>
          <t>20 Juni 2023</t>
        </is>
      </c>
      <c r="I123" s="2" t="n">
        <v>46248</v>
      </c>
      <c r="J123" t="inlineStr">
        <is>
          <t>Disetujui</t>
        </is>
      </c>
      <c r="K123" t="n">
        <v>30</v>
      </c>
      <c r="L123" t="inlineStr">
        <is>
          <t>14 Agustus 2026</t>
        </is>
      </c>
      <c r="M123" t="inlineStr">
        <is>
          <t>Konstruksi Gedung Hunian, Konstruksi Gedung Industri, Konstruksi Gedung Lainnya</t>
        </is>
      </c>
      <c r="N123" t="inlineStr">
        <is>
          <t>K</t>
        </is>
      </c>
      <c r="O123" t="inlineStr">
        <is>
          <t>20230814, 20230815</t>
        </is>
      </c>
      <c r="P123" t="inlineStr">
        <is>
          <t>Jawa Timur</t>
        </is>
      </c>
      <c r="Q123" t="inlineStr"/>
    </row>
    <row r="124">
      <c r="A124" t="inlineStr">
        <is>
          <t>MAHA KARYA</t>
        </is>
      </c>
      <c r="B124" t="inlineStr">
        <is>
          <t>Kab. Kutai Kartanegara</t>
        </is>
      </c>
      <c r="C124" t="inlineStr">
        <is>
          <t>08125375262</t>
        </is>
      </c>
      <c r="D124" t="inlineStr">
        <is>
          <t>karyamahakarya@gmail.com</t>
        </is>
      </c>
      <c r="E124" t="inlineStr">
        <is>
          <t>https://lpjk.pu.go.id/search-badan-usaha-detail/a243Z01KdE12WUpVU2hnbGE4ZzM2QT09</t>
        </is>
      </c>
      <c r="F124" t="n">
        <v>5</v>
      </c>
      <c r="G124" t="inlineStr">
        <is>
          <t>BG006, BG009, BS001, BS002, BS004</t>
        </is>
      </c>
      <c r="H124" t="inlineStr">
        <is>
          <t>18 Agustus 2023</t>
        </is>
      </c>
      <c r="I124" s="2" t="n">
        <v>46248</v>
      </c>
      <c r="J124" t="inlineStr">
        <is>
          <t>Disetujui</t>
        </is>
      </c>
      <c r="K124" t="n">
        <v>30</v>
      </c>
      <c r="L124" t="inlineStr">
        <is>
          <t>14 Agustus 2026</t>
        </is>
      </c>
      <c r="M124" t="inlineStr">
        <is>
          <t>Bangunan Sipil Jembatan, Jalan Layang, Fly Over, dan Underpass, Konstruksi Bangunan Sipil Jalan, Konstruksi Gedung Lainnya, Konstruksi Gedung Pendidikan, Konstruksi Jaringan Irigasi dan Drainase</t>
        </is>
      </c>
      <c r="N124" t="inlineStr">
        <is>
          <t>K</t>
        </is>
      </c>
      <c r="O124" t="inlineStr">
        <is>
          <t>20230811, 20230812</t>
        </is>
      </c>
      <c r="P124" t="inlineStr">
        <is>
          <t>Kalimantan Timur</t>
        </is>
      </c>
      <c r="Q124" t="inlineStr"/>
    </row>
    <row r="125">
      <c r="A125" t="inlineStr">
        <is>
          <t>MALESUNG</t>
        </is>
      </c>
      <c r="B125" t="inlineStr">
        <is>
          <t>Kab. Minahasa</t>
        </is>
      </c>
      <c r="C125" t="inlineStr">
        <is>
          <t>085340382613</t>
        </is>
      </c>
      <c r="D125" t="inlineStr">
        <is>
          <t>cv.malesung.minahasa@gmail.com</t>
        </is>
      </c>
      <c r="E125" t="inlineStr">
        <is>
          <t>https://lpjk.pu.go.id/search-badan-usaha-detail/R0xqMUE0ZmwzUzdzcmxsL2VMVUdLZz09</t>
        </is>
      </c>
      <c r="F125" t="n">
        <v>2</v>
      </c>
      <c r="G125" t="inlineStr">
        <is>
          <t>BG005, BG009</t>
        </is>
      </c>
      <c r="H125" t="inlineStr">
        <is>
          <t>3 September 2002</t>
        </is>
      </c>
      <c r="I125" s="2" t="n">
        <v>46248</v>
      </c>
      <c r="J125" t="inlineStr">
        <is>
          <t>Disetujui</t>
        </is>
      </c>
      <c r="K125" t="n">
        <v>30</v>
      </c>
      <c r="L125" t="inlineStr">
        <is>
          <t>14 Agustus 2026</t>
        </is>
      </c>
      <c r="M125" t="inlineStr">
        <is>
          <t>Konstruksi Gedung Kesehatan, Konstruksi Gedung Lainnya</t>
        </is>
      </c>
      <c r="N125" t="inlineStr">
        <is>
          <t>K</t>
        </is>
      </c>
      <c r="O125" t="inlineStr">
        <is>
          <t>20230808</t>
        </is>
      </c>
      <c r="P125" t="inlineStr">
        <is>
          <t>Sulawesi Utara</t>
        </is>
      </c>
      <c r="Q125" t="inlineStr"/>
    </row>
    <row r="126">
      <c r="A126" t="inlineStr">
        <is>
          <t>MANDIRI</t>
        </is>
      </c>
      <c r="B126" t="inlineStr">
        <is>
          <t>Kota Palu</t>
        </is>
      </c>
      <c r="C126" t="inlineStr">
        <is>
          <t>0811452422</t>
        </is>
      </c>
      <c r="D126" t="inlineStr">
        <is>
          <t>cvmandiri69@gmail.com</t>
        </is>
      </c>
      <c r="E126" t="inlineStr">
        <is>
          <t>https://lpjk.pu.go.id/search-badan-usaha-detail/WEhHTWRtcG5oeXRQTGR3SWVqVDZaUT09</t>
        </is>
      </c>
      <c r="F126" t="n">
        <v>1</v>
      </c>
      <c r="G126" t="inlineStr">
        <is>
          <t>BG009</t>
        </is>
      </c>
      <c r="H126" t="inlineStr">
        <is>
          <t>22 Juni 2012</t>
        </is>
      </c>
      <c r="I126" s="2" t="n">
        <v>46248</v>
      </c>
      <c r="J126" t="inlineStr">
        <is>
          <t>Disetujui</t>
        </is>
      </c>
      <c r="K126" t="n">
        <v>30</v>
      </c>
      <c r="L126" t="inlineStr">
        <is>
          <t>14 Agustus 2026</t>
        </is>
      </c>
      <c r="M126" t="inlineStr">
        <is>
          <t>Konstruksi Gedung Lainnya</t>
        </is>
      </c>
      <c r="N126" t="inlineStr">
        <is>
          <t>K</t>
        </is>
      </c>
      <c r="O126" t="inlineStr">
        <is>
          <t>20230810</t>
        </is>
      </c>
      <c r="P126" t="inlineStr">
        <is>
          <t>Sulawesi Tengah</t>
        </is>
      </c>
      <c r="Q126" t="inlineStr"/>
    </row>
    <row r="127">
      <c r="A127" t="inlineStr">
        <is>
          <t>MARAJA UTAMA</t>
        </is>
      </c>
      <c r="B127" t="inlineStr">
        <is>
          <t>Kab. Sumbawa</t>
        </is>
      </c>
      <c r="C127" t="inlineStr">
        <is>
          <t>081353638222</t>
        </is>
      </c>
      <c r="D127" t="inlineStr">
        <is>
          <t>putramarajautama@gmail.com</t>
        </is>
      </c>
      <c r="E127" t="inlineStr">
        <is>
          <t>https://lpjk.pu.go.id/search-badan-usaha-detail/UXpkQXdxUk8vTTIyZjFWQUlINXBxQT09</t>
        </is>
      </c>
      <c r="F127" t="n">
        <v>1</v>
      </c>
      <c r="G127" t="inlineStr">
        <is>
          <t>BG006</t>
        </is>
      </c>
      <c r="H127" t="inlineStr">
        <is>
          <t>16 Juni 2014</t>
        </is>
      </c>
      <c r="I127" s="2" t="n">
        <v>46248</v>
      </c>
      <c r="J127" t="inlineStr">
        <is>
          <t>Disetujui</t>
        </is>
      </c>
      <c r="K127" t="n">
        <v>30</v>
      </c>
      <c r="L127" t="inlineStr">
        <is>
          <t>14 Agustus 2026</t>
        </is>
      </c>
      <c r="M127" t="inlineStr">
        <is>
          <t>Konstruksi Gedung Pendidikan</t>
        </is>
      </c>
      <c r="N127" t="inlineStr">
        <is>
          <t>K</t>
        </is>
      </c>
      <c r="O127" t="inlineStr">
        <is>
          <t>20230814</t>
        </is>
      </c>
      <c r="P127" t="inlineStr">
        <is>
          <t>Nusa Tenggara Barat</t>
        </is>
      </c>
      <c r="Q127" t="inlineStr"/>
    </row>
    <row r="128">
      <c r="A128" t="inlineStr">
        <is>
          <t>MARGO KARYA MANDIRI</t>
        </is>
      </c>
      <c r="B128" t="inlineStr">
        <is>
          <t>Kab. Bojonegoro</t>
        </is>
      </c>
      <c r="C128" t="inlineStr">
        <is>
          <t>085288986779</t>
        </is>
      </c>
      <c r="D128" t="inlineStr">
        <is>
          <t>cvmargokaryamandiri@gmail.com</t>
        </is>
      </c>
      <c r="E128" t="inlineStr">
        <is>
          <t>https://lpjk.pu.go.id/search-badan-usaha-detail/RnBva0FSc3FhRmZCblhBN1IvQVdoQT09</t>
        </is>
      </c>
      <c r="F128" t="n">
        <v>1</v>
      </c>
      <c r="G128" t="inlineStr">
        <is>
          <t>BS001</t>
        </is>
      </c>
      <c r="H128" t="inlineStr">
        <is>
          <t>12 Mei 2023</t>
        </is>
      </c>
      <c r="I128" s="2" t="n">
        <v>46248</v>
      </c>
      <c r="J128" t="inlineStr">
        <is>
          <t>Disetujui</t>
        </is>
      </c>
      <c r="K128" t="n">
        <v>30</v>
      </c>
      <c r="L128" t="inlineStr">
        <is>
          <t>14 Agustus 2026</t>
        </is>
      </c>
      <c r="M128" t="inlineStr">
        <is>
          <t>Konstruksi Bangunan Sipil Jalan</t>
        </is>
      </c>
      <c r="N128" t="inlineStr">
        <is>
          <t>K</t>
        </is>
      </c>
      <c r="O128" t="inlineStr">
        <is>
          <t>20230804</t>
        </is>
      </c>
      <c r="P128" t="inlineStr">
        <is>
          <t>Jawa Timur</t>
        </is>
      </c>
      <c r="Q128" t="inlineStr"/>
    </row>
    <row r="129">
      <c r="A129" t="inlineStr">
        <is>
          <t>MATA AIR</t>
        </is>
      </c>
      <c r="B129" t="inlineStr">
        <is>
          <t>Kab. Kuantan Singingi</t>
        </is>
      </c>
      <c r="C129" t="inlineStr">
        <is>
          <t>082268560411</t>
        </is>
      </c>
      <c r="D129" t="inlineStr">
        <is>
          <t>cv.mataair23@gmail.com</t>
        </is>
      </c>
      <c r="E129" t="inlineStr">
        <is>
          <t>https://lpjk.pu.go.id/search-badan-usaha-detail/MVFXTk9IQm5TYlpRUFFtTEMvZllhQT09</t>
        </is>
      </c>
      <c r="F129" t="n">
        <v>2</v>
      </c>
      <c r="G129" t="inlineStr">
        <is>
          <t>BG009, BS001</t>
        </is>
      </c>
      <c r="H129" t="inlineStr">
        <is>
          <t>19 Desember 2003</t>
        </is>
      </c>
      <c r="I129" s="2" t="n">
        <v>46248</v>
      </c>
      <c r="J129" t="inlineStr">
        <is>
          <t>Disetujui</t>
        </is>
      </c>
      <c r="K129" t="n">
        <v>30</v>
      </c>
      <c r="L129" t="inlineStr">
        <is>
          <t>14 Agustus 2026</t>
        </is>
      </c>
      <c r="M129" t="inlineStr">
        <is>
          <t>Konstruksi Bangunan Sipil Jalan, Konstruksi Gedung Lainnya</t>
        </is>
      </c>
      <c r="N129" t="inlineStr">
        <is>
          <t>K</t>
        </is>
      </c>
      <c r="O129" t="inlineStr">
        <is>
          <t>20230804</t>
        </is>
      </c>
      <c r="P129" t="inlineStr">
        <is>
          <t>Riau</t>
        </is>
      </c>
      <c r="Q129" t="inlineStr"/>
    </row>
    <row r="130">
      <c r="A130" t="inlineStr">
        <is>
          <t>MATA AIR</t>
        </is>
      </c>
      <c r="B130" t="inlineStr">
        <is>
          <t>Kota Sawahlunto</t>
        </is>
      </c>
      <c r="C130" t="inlineStr">
        <is>
          <t>081363486633</t>
        </is>
      </c>
      <c r="D130" t="inlineStr">
        <is>
          <t>mataaircv@yahoo.com</t>
        </is>
      </c>
      <c r="E130" t="inlineStr">
        <is>
          <t>https://lpjk.pu.go.id/search-badan-usaha-detail/cVRUNHpKSkpUZ0YrOGVjK3hTYjFwUT09</t>
        </is>
      </c>
      <c r="F130" t="n">
        <v>1</v>
      </c>
      <c r="G130" t="inlineStr">
        <is>
          <t>BG009</t>
        </is>
      </c>
      <c r="H130" t="inlineStr">
        <is>
          <t>3 Februari 2016</t>
        </is>
      </c>
      <c r="I130" s="2" t="n">
        <v>46248</v>
      </c>
      <c r="J130" t="inlineStr">
        <is>
          <t>Disetujui</t>
        </is>
      </c>
      <c r="K130" t="n">
        <v>30</v>
      </c>
      <c r="L130" t="inlineStr">
        <is>
          <t>14 Agustus 2026</t>
        </is>
      </c>
      <c r="M130" t="inlineStr">
        <is>
          <t>Konstruksi Gedung Lainnya</t>
        </is>
      </c>
      <c r="N130" t="inlineStr">
        <is>
          <t>K</t>
        </is>
      </c>
      <c r="O130" t="inlineStr">
        <is>
          <t>20230808</t>
        </is>
      </c>
      <c r="P130" t="inlineStr">
        <is>
          <t>Sumatera Barat</t>
        </is>
      </c>
      <c r="Q130" t="inlineStr"/>
    </row>
    <row r="131">
      <c r="A131" t="inlineStr">
        <is>
          <t>MATAHARI TERBIT</t>
        </is>
      </c>
      <c r="B131" t="inlineStr">
        <is>
          <t>Kab. Bandung</t>
        </is>
      </c>
      <c r="C131" t="inlineStr">
        <is>
          <t>081321884988</t>
        </is>
      </c>
      <c r="D131" t="inlineStr">
        <is>
          <t>matahariterbit2009@gmail.com</t>
        </is>
      </c>
      <c r="E131" t="inlineStr">
        <is>
          <t>https://lpjk.pu.go.id/search-badan-usaha-detail/d3pQRzVJelgvbTc0ZVZQKzBYZUhVQT09</t>
        </is>
      </c>
      <c r="F131" t="n">
        <v>2</v>
      </c>
      <c r="G131" t="inlineStr">
        <is>
          <t>BS004</t>
        </is>
      </c>
      <c r="H131" t="inlineStr">
        <is>
          <t>5 Desember 2008</t>
        </is>
      </c>
      <c r="I131" s="2" t="n">
        <v>46248</v>
      </c>
      <c r="J131" t="inlineStr">
        <is>
          <t>Pencabutan</t>
        </is>
      </c>
      <c r="K131" t="n">
        <v>30</v>
      </c>
      <c r="L131" t="inlineStr">
        <is>
          <t>14 Agustus 2026</t>
        </is>
      </c>
      <c r="M131" t="inlineStr">
        <is>
          <t>Konstruksi Jaringan Irigasi dan Drainase</t>
        </is>
      </c>
      <c r="N131" t="inlineStr">
        <is>
          <t>K</t>
        </is>
      </c>
      <c r="O131" t="inlineStr">
        <is>
          <t>20230808</t>
        </is>
      </c>
      <c r="P131" t="inlineStr">
        <is>
          <t>Jawa Barat</t>
        </is>
      </c>
      <c r="Q131" t="inlineStr"/>
    </row>
    <row r="132">
      <c r="A132" t="inlineStr">
        <is>
          <t>MEGA SARO UTAMA</t>
        </is>
      </c>
      <c r="B132" t="inlineStr">
        <is>
          <t>Kota Makassar</t>
        </is>
      </c>
      <c r="C132" t="inlineStr">
        <is>
          <t>081242080335</t>
        </is>
      </c>
      <c r="D132" t="inlineStr">
        <is>
          <t>CV.megasaro.utama@gmail.com</t>
        </is>
      </c>
      <c r="E132" t="inlineStr">
        <is>
          <t>https://lpjk.pu.go.id/search-badan-usaha-detail/TmFDZG05aDNLZlJQSnZGYlFrWHVZUT09</t>
        </is>
      </c>
      <c r="F132" t="n">
        <v>3</v>
      </c>
      <c r="G132" t="inlineStr">
        <is>
          <t>BG001, BS001, BS004</t>
        </is>
      </c>
      <c r="H132" t="inlineStr">
        <is>
          <t>8 Februari 2019</t>
        </is>
      </c>
      <c r="I132" s="2" t="n">
        <v>46248</v>
      </c>
      <c r="J132" t="inlineStr">
        <is>
          <t>Disetujui</t>
        </is>
      </c>
      <c r="K132" t="n">
        <v>30</v>
      </c>
      <c r="L132" t="inlineStr">
        <is>
          <t>14 Agustus 2026</t>
        </is>
      </c>
      <c r="M132" t="inlineStr">
        <is>
          <t>Konstruksi Bangunan Sipil Jalan, Konstruksi Gedung Hunian, Konstruksi Jaringan Irigasi dan Drainase</t>
        </is>
      </c>
      <c r="N132" t="inlineStr">
        <is>
          <t>K</t>
        </is>
      </c>
      <c r="O132" t="inlineStr">
        <is>
          <t>20230806</t>
        </is>
      </c>
      <c r="P132" t="inlineStr">
        <is>
          <t>Sulawesi Selatan</t>
        </is>
      </c>
      <c r="Q132" t="inlineStr"/>
    </row>
    <row r="133">
      <c r="A133" t="inlineStr">
        <is>
          <t>MEGAH ARTARA RAYA</t>
        </is>
      </c>
      <c r="B133" t="inlineStr">
        <is>
          <t>Kota Ambon</t>
        </is>
      </c>
      <c r="C133" t="inlineStr">
        <is>
          <t>081333362685</t>
        </is>
      </c>
      <c r="D133" t="inlineStr">
        <is>
          <t>megahartara@yahoo.com</t>
        </is>
      </c>
      <c r="E133" t="inlineStr">
        <is>
          <t>https://lpjk.pu.go.id/search-badan-usaha-detail/VjhVajZScnBtQTU5ckNwUjZOZ3ZsUT09</t>
        </is>
      </c>
      <c r="F133" t="n">
        <v>6</v>
      </c>
      <c r="G133" t="inlineStr">
        <is>
          <t>BG002, BG006</t>
        </is>
      </c>
      <c r="H133" t="inlineStr">
        <is>
          <t>16 Agustus 2018</t>
        </is>
      </c>
      <c r="I133" s="2" t="n">
        <v>46248</v>
      </c>
      <c r="J133" t="inlineStr">
        <is>
          <t>Disetujui</t>
        </is>
      </c>
      <c r="K133" t="n">
        <v>30</v>
      </c>
      <c r="L133" t="inlineStr">
        <is>
          <t>14 Agustus 2026</t>
        </is>
      </c>
      <c r="M133" t="inlineStr">
        <is>
          <t>Konstruksi Gedung Pendidikan, Konstruksi Gedung Perkantoran</t>
        </is>
      </c>
      <c r="N133" t="inlineStr">
        <is>
          <t>K</t>
        </is>
      </c>
      <c r="O133" t="inlineStr">
        <is>
          <t>20230812</t>
        </is>
      </c>
      <c r="P133" t="inlineStr">
        <is>
          <t>Maluku</t>
        </is>
      </c>
      <c r="Q133" t="inlineStr"/>
    </row>
    <row r="134">
      <c r="A134" t="inlineStr">
        <is>
          <t>MEKAR MAFIF</t>
        </is>
      </c>
      <c r="B134" t="inlineStr">
        <is>
          <t>Kab. Maybrat</t>
        </is>
      </c>
      <c r="C134" t="inlineStr">
        <is>
          <t>081240016283</t>
        </is>
      </c>
      <c r="D134" t="inlineStr">
        <is>
          <t>mekarmafif22@gmail.com</t>
        </is>
      </c>
      <c r="E134" t="inlineStr">
        <is>
          <t>https://lpjk.pu.go.id/search-badan-usaha-detail/MFhOYjN3a0JvMURRbUNiVDZsTmFUZz09</t>
        </is>
      </c>
      <c r="F134" t="n">
        <v>2</v>
      </c>
      <c r="G134" t="inlineStr">
        <is>
          <t>BS001</t>
        </is>
      </c>
      <c r="H134" t="inlineStr">
        <is>
          <t>26 April 2023</t>
        </is>
      </c>
      <c r="I134" s="2" t="n">
        <v>46248</v>
      </c>
      <c r="J134" t="inlineStr">
        <is>
          <t>Disetujui</t>
        </is>
      </c>
      <c r="K134" t="n">
        <v>30</v>
      </c>
      <c r="L134" t="inlineStr">
        <is>
          <t>14 Agustus 2026</t>
        </is>
      </c>
      <c r="M134" t="inlineStr">
        <is>
          <t>Konstruksi Bangunan Sipil Jalan</t>
        </is>
      </c>
      <c r="N134" t="inlineStr">
        <is>
          <t>K</t>
        </is>
      </c>
      <c r="O134" t="inlineStr">
        <is>
          <t>20230814</t>
        </is>
      </c>
      <c r="P134" t="inlineStr">
        <is>
          <t>Papua Barat</t>
        </is>
      </c>
      <c r="Q134" t="inlineStr"/>
    </row>
    <row r="135">
      <c r="A135" t="inlineStr">
        <is>
          <t>MIKAEL PERKASA</t>
        </is>
      </c>
      <c r="B135" t="inlineStr">
        <is>
          <t>Kota Pasuruan</t>
        </is>
      </c>
      <c r="C135" t="inlineStr">
        <is>
          <t>082341647060</t>
        </is>
      </c>
      <c r="D135" t="inlineStr">
        <is>
          <t>mikaelperkasa.cv@gmail.com</t>
        </is>
      </c>
      <c r="E135" t="inlineStr">
        <is>
          <t>https://lpjk.pu.go.id/search-badan-usaha-detail/Yzh2cXBVcjdEcnBIeCtjeVQ3S1l2Zz09</t>
        </is>
      </c>
      <c r="F135" t="n">
        <v>1</v>
      </c>
      <c r="G135" t="inlineStr">
        <is>
          <t>BG002</t>
        </is>
      </c>
      <c r="H135" t="inlineStr">
        <is>
          <t>15 Juni 2023</t>
        </is>
      </c>
      <c r="I135" s="2" t="n">
        <v>46248</v>
      </c>
      <c r="J135" t="inlineStr">
        <is>
          <t>Pencabutan</t>
        </is>
      </c>
      <c r="K135" t="n">
        <v>30</v>
      </c>
      <c r="L135" t="inlineStr">
        <is>
          <t>14 Agustus 2026</t>
        </is>
      </c>
      <c r="M135" t="inlineStr">
        <is>
          <t>Konstruksi Gedung Perkantoran</t>
        </is>
      </c>
      <c r="N135" t="inlineStr">
        <is>
          <t>K</t>
        </is>
      </c>
      <c r="O135" t="inlineStr">
        <is>
          <t>20230808</t>
        </is>
      </c>
      <c r="P135" t="inlineStr">
        <is>
          <t>Jawa Timur</t>
        </is>
      </c>
      <c r="Q135" t="inlineStr"/>
    </row>
    <row r="136">
      <c r="A136" t="inlineStr">
        <is>
          <t>MITRA AZAM</t>
        </is>
      </c>
      <c r="B136" t="inlineStr">
        <is>
          <t>Kab. Sumbawa</t>
        </is>
      </c>
      <c r="C136" t="inlineStr">
        <is>
          <t>0853 3935 3497</t>
        </is>
      </c>
      <c r="D136" t="inlineStr">
        <is>
          <t>cv.mitraazam@gmail.com</t>
        </is>
      </c>
      <c r="E136" t="inlineStr">
        <is>
          <t>https://lpjk.pu.go.id/search-badan-usaha-detail/WFJoUVdIazNPdWFWMGFwWHJZYVlydz09</t>
        </is>
      </c>
      <c r="F136" t="n">
        <v>2</v>
      </c>
      <c r="G136" t="inlineStr">
        <is>
          <t>BG005, BG006</t>
        </is>
      </c>
      <c r="H136" t="inlineStr">
        <is>
          <t>19 Januari 2017</t>
        </is>
      </c>
      <c r="I136" s="2" t="n">
        <v>46248</v>
      </c>
      <c r="J136" t="inlineStr">
        <is>
          <t>Disetujui</t>
        </is>
      </c>
      <c r="K136" t="n">
        <v>30</v>
      </c>
      <c r="L136" t="inlineStr">
        <is>
          <t>14 Agustus 2026</t>
        </is>
      </c>
      <c r="M136" t="inlineStr">
        <is>
          <t>Konstruksi Gedung Kesehatan, Konstruksi Gedung Pendidikan</t>
        </is>
      </c>
      <c r="N136" t="inlineStr">
        <is>
          <t>K</t>
        </is>
      </c>
      <c r="O136" t="inlineStr">
        <is>
          <t>20230809</t>
        </is>
      </c>
      <c r="P136" t="inlineStr">
        <is>
          <t>Nusa Tenggara Barat</t>
        </is>
      </c>
      <c r="Q136" t="inlineStr"/>
    </row>
    <row r="137">
      <c r="A137" t="inlineStr">
        <is>
          <t>MITRA INSANI</t>
        </is>
      </c>
      <c r="B137" t="inlineStr">
        <is>
          <t>Kota Bandung</t>
        </is>
      </c>
      <c r="C137" t="inlineStr">
        <is>
          <t>085797186133</t>
        </is>
      </c>
      <c r="D137" t="inlineStr">
        <is>
          <t>insani_mitra@yahoo.com</t>
        </is>
      </c>
      <c r="E137" t="inlineStr">
        <is>
          <t>https://lpjk.pu.go.id/search-badan-usaha-detail/aldhYjJoSzR4cU1lenZhUkJ6VTNwUT09</t>
        </is>
      </c>
      <c r="F137" t="n">
        <v>1</v>
      </c>
      <c r="G137" t="inlineStr">
        <is>
          <t>BG006</t>
        </is>
      </c>
      <c r="H137" t="inlineStr">
        <is>
          <t>8 Maret 2019</t>
        </is>
      </c>
      <c r="I137" s="2" t="n">
        <v>46248</v>
      </c>
      <c r="J137" t="inlineStr">
        <is>
          <t>Pencabutan</t>
        </is>
      </c>
      <c r="K137" t="n">
        <v>30</v>
      </c>
      <c r="L137" t="inlineStr">
        <is>
          <t>14 Agustus 2026</t>
        </is>
      </c>
      <c r="M137" t="inlineStr">
        <is>
          <t>Konstruksi Gedung Pendidikan</t>
        </is>
      </c>
      <c r="N137" t="inlineStr">
        <is>
          <t>K</t>
        </is>
      </c>
      <c r="O137" t="inlineStr">
        <is>
          <t>20230810</t>
        </is>
      </c>
      <c r="P137" t="inlineStr">
        <is>
          <t>Jawa Barat</t>
        </is>
      </c>
      <c r="Q137" t="inlineStr"/>
    </row>
    <row r="138">
      <c r="A138" t="inlineStr">
        <is>
          <t>MITRA JAYA ABADI</t>
        </is>
      </c>
      <c r="B138" t="inlineStr">
        <is>
          <t>Kab. Badung</t>
        </is>
      </c>
      <c r="C138" t="inlineStr">
        <is>
          <t>085100021344</t>
        </is>
      </c>
      <c r="D138" t="inlineStr">
        <is>
          <t>jayabadimitra9@yahoo.com</t>
        </is>
      </c>
      <c r="E138" t="inlineStr">
        <is>
          <t>https://lpjk.pu.go.id/search-badan-usaha-detail/d0ovN2k1bGxKMTV4SFgzbXhpQnFqdz09</t>
        </is>
      </c>
      <c r="F138" t="n">
        <v>1</v>
      </c>
      <c r="G138" t="inlineStr">
        <is>
          <t>BG001</t>
        </is>
      </c>
      <c r="H138" t="inlineStr">
        <is>
          <t>28 Juli 2012</t>
        </is>
      </c>
      <c r="I138" s="2" t="n">
        <v>46248</v>
      </c>
      <c r="J138" t="inlineStr">
        <is>
          <t>Pencabutan</t>
        </is>
      </c>
      <c r="K138" t="n">
        <v>30</v>
      </c>
      <c r="L138" t="inlineStr">
        <is>
          <t>14 Agustus 2026</t>
        </is>
      </c>
      <c r="M138" t="inlineStr">
        <is>
          <t>Konstruksi Gedung Hunian</t>
        </is>
      </c>
      <c r="N138" t="inlineStr">
        <is>
          <t>K</t>
        </is>
      </c>
      <c r="O138" t="inlineStr">
        <is>
          <t>20230809</t>
        </is>
      </c>
      <c r="P138" t="inlineStr">
        <is>
          <t>Bali</t>
        </is>
      </c>
      <c r="Q138" t="inlineStr"/>
    </row>
    <row r="139">
      <c r="A139" t="inlineStr">
        <is>
          <t>MITRA JAYA KENCANA INDAH</t>
        </is>
      </c>
      <c r="B139" t="inlineStr">
        <is>
          <t>Kab. Deli Serdang</t>
        </is>
      </c>
      <c r="C139" t="inlineStr">
        <is>
          <t>082165976011</t>
        </is>
      </c>
      <c r="D139" t="inlineStr">
        <is>
          <t>PT.mjkindah@gmail.com</t>
        </is>
      </c>
      <c r="E139" t="inlineStr">
        <is>
          <t>https://lpjk.pu.go.id/search-badan-usaha-detail/dXRiOG9ndmR5Wm1PaFdrS20zR2pXUT09</t>
        </is>
      </c>
      <c r="F139" t="n">
        <v>1</v>
      </c>
      <c r="G139" t="inlineStr">
        <is>
          <t>PL003</t>
        </is>
      </c>
      <c r="H139" t="inlineStr">
        <is>
          <t>25 November 2000</t>
        </is>
      </c>
      <c r="I139" s="2" t="n">
        <v>46248</v>
      </c>
      <c r="J139" t="inlineStr">
        <is>
          <t>Pencabutan</t>
        </is>
      </c>
      <c r="K139" t="n">
        <v>30</v>
      </c>
      <c r="L139" t="inlineStr">
        <is>
          <t>14 Agustus 2026</t>
        </is>
      </c>
      <c r="M139" t="inlineStr">
        <is>
          <t>Penyiapan Lahan Konstruksi</t>
        </is>
      </c>
      <c r="N139" t="inlineStr">
        <is>
          <t>Spesialis</t>
        </is>
      </c>
      <c r="O139" t="inlineStr">
        <is>
          <t>20230803</t>
        </is>
      </c>
      <c r="P139" t="inlineStr">
        <is>
          <t>Sumatera Utara</t>
        </is>
      </c>
      <c r="Q139" t="inlineStr"/>
    </row>
    <row r="140">
      <c r="A140" t="inlineStr">
        <is>
          <t>MITRA KERJA MANDIRI</t>
        </is>
      </c>
      <c r="B140" t="inlineStr">
        <is>
          <t>Kota Bandung</t>
        </is>
      </c>
      <c r="C140" t="inlineStr">
        <is>
          <t>081572664840</t>
        </is>
      </c>
      <c r="D140" t="inlineStr">
        <is>
          <t>mitrakerjamandiri@yahoo.com</t>
        </is>
      </c>
      <c r="E140" t="inlineStr">
        <is>
          <t>https://lpjk.pu.go.id/search-badan-usaha-detail/aGhHc3B5TGtxMWV4aDg5dnBaUXRaZz09</t>
        </is>
      </c>
      <c r="F140" t="n">
        <v>1</v>
      </c>
      <c r="G140" t="inlineStr">
        <is>
          <t>BS002</t>
        </is>
      </c>
      <c r="H140" t="inlineStr">
        <is>
          <t>23 Agustus 2018</t>
        </is>
      </c>
      <c r="I140" s="2" t="n">
        <v>46248</v>
      </c>
      <c r="J140" t="inlineStr">
        <is>
          <t>Disetujui</t>
        </is>
      </c>
      <c r="K140" t="n">
        <v>30</v>
      </c>
      <c r="L140" t="inlineStr">
        <is>
          <t>14 Agustus 2026</t>
        </is>
      </c>
      <c r="M140" t="inlineStr">
        <is>
          <t>Bangunan Sipil Jembatan, Jalan Layang, Fly Over, dan Underpass</t>
        </is>
      </c>
      <c r="N140" t="inlineStr">
        <is>
          <t>K</t>
        </is>
      </c>
      <c r="O140" t="inlineStr">
        <is>
          <t>20230727</t>
        </is>
      </c>
      <c r="P140" t="inlineStr">
        <is>
          <t>Jawa Barat</t>
        </is>
      </c>
      <c r="Q140" t="inlineStr"/>
    </row>
    <row r="141">
      <c r="A141" t="inlineStr">
        <is>
          <t>MITRA USAHA</t>
        </is>
      </c>
      <c r="B141" t="inlineStr">
        <is>
          <t>Kota Medan</t>
        </is>
      </c>
      <c r="C141" t="inlineStr">
        <is>
          <t>82268034003</t>
        </is>
      </c>
      <c r="D141" t="inlineStr">
        <is>
          <t>usahamitra65@yahoo.co.id</t>
        </is>
      </c>
      <c r="E141" t="inlineStr">
        <is>
          <t>https://lpjk.pu.go.id/search-badan-usaha-detail/dXZmZmFXdWFjY2owWkNlb092V1lPUT09</t>
        </is>
      </c>
      <c r="F141" t="n">
        <v>1</v>
      </c>
      <c r="G141" t="inlineStr">
        <is>
          <t>BS002</t>
        </is>
      </c>
      <c r="H141" t="inlineStr">
        <is>
          <t>10 November 1993</t>
        </is>
      </c>
      <c r="I141" s="2" t="n">
        <v>46248</v>
      </c>
      <c r="J141" t="inlineStr">
        <is>
          <t>Disetujui</t>
        </is>
      </c>
      <c r="K141" t="n">
        <v>30</v>
      </c>
      <c r="L141" t="inlineStr">
        <is>
          <t>14 Agustus 2026</t>
        </is>
      </c>
      <c r="M141" t="inlineStr">
        <is>
          <t>Bangunan Sipil Jembatan, Jalan Layang, Fly Over, dan Underpass</t>
        </is>
      </c>
      <c r="N141" t="inlineStr">
        <is>
          <t>K</t>
        </is>
      </c>
      <c r="O141" t="inlineStr">
        <is>
          <t>20230804</t>
        </is>
      </c>
      <c r="P141" t="inlineStr">
        <is>
          <t>Sumatera Utara</t>
        </is>
      </c>
      <c r="Q141" t="inlineStr"/>
    </row>
    <row r="142">
      <c r="A142" t="inlineStr">
        <is>
          <t>MULIA ANUGRAH</t>
        </is>
      </c>
      <c r="B142" t="inlineStr">
        <is>
          <t>Kab. Ketapang</t>
        </is>
      </c>
      <c r="C142" t="inlineStr">
        <is>
          <t>081345368224</t>
        </is>
      </c>
      <c r="D142" t="inlineStr">
        <is>
          <t>cv_mulia_anugrah@yahoo.co.id</t>
        </is>
      </c>
      <c r="E142" t="inlineStr">
        <is>
          <t>https://lpjk.pu.go.id/search-badan-usaha-detail/NitPQ3BQWmpjRStkMS9MVGpwZXl2dz09</t>
        </is>
      </c>
      <c r="F142" t="n">
        <v>3</v>
      </c>
      <c r="G142" t="inlineStr">
        <is>
          <t>BG002, BG005, BG009</t>
        </is>
      </c>
      <c r="H142" t="inlineStr">
        <is>
          <t>2 Februari 2015</t>
        </is>
      </c>
      <c r="I142" s="2" t="n">
        <v>46248</v>
      </c>
      <c r="J142" t="inlineStr">
        <is>
          <t>Disetujui</t>
        </is>
      </c>
      <c r="K142" t="n">
        <v>30</v>
      </c>
      <c r="L142" t="inlineStr">
        <is>
          <t>14 Agustus 2026</t>
        </is>
      </c>
      <c r="M142" t="inlineStr">
        <is>
          <t>Konstruksi Gedung Kesehatan, Konstruksi Gedung Lainnya, Konstruksi Gedung Perkantoran</t>
        </is>
      </c>
      <c r="N142" t="inlineStr">
        <is>
          <t>K</t>
        </is>
      </c>
      <c r="O142" t="inlineStr">
        <is>
          <t>20230512, 20230814, 20230815</t>
        </is>
      </c>
      <c r="P142" t="inlineStr">
        <is>
          <t>Kalimantan Barat</t>
        </is>
      </c>
      <c r="Q142" t="inlineStr"/>
    </row>
    <row r="143">
      <c r="A143" t="inlineStr">
        <is>
          <t>MULTI PROS</t>
        </is>
      </c>
      <c r="B143" t="inlineStr">
        <is>
          <t>Kota Adm. Jakarta Selatan</t>
        </is>
      </c>
      <c r="C143" t="inlineStr">
        <is>
          <t>08176745045</t>
        </is>
      </c>
      <c r="D143" t="inlineStr">
        <is>
          <t>multipros.jkt@gmail.com</t>
        </is>
      </c>
      <c r="E143" t="inlineStr">
        <is>
          <t>https://lpjk.pu.go.id/search-badan-usaha-detail/Nnp2cmtsMXd2OW1qMkIrRjlqN1BkQT09</t>
        </is>
      </c>
      <c r="F143" t="n">
        <v>1</v>
      </c>
      <c r="G143" t="inlineStr">
        <is>
          <t>AL004</t>
        </is>
      </c>
      <c r="H143" t="inlineStr">
        <is>
          <t>8 April 1976</t>
        </is>
      </c>
      <c r="I143" s="2" t="n">
        <v>46248</v>
      </c>
      <c r="J143" t="inlineStr">
        <is>
          <t>Disetujui</t>
        </is>
      </c>
      <c r="K143" t="n">
        <v>30</v>
      </c>
      <c r="L143" t="inlineStr">
        <is>
          <t>14 Agustus 2026</t>
        </is>
      </c>
      <c r="M143" t="inlineStr">
        <is>
          <t>Jasa Pengembangan Lingkungan Bangunan dan Lanskap</t>
        </is>
      </c>
      <c r="N143" t="inlineStr">
        <is>
          <t>K</t>
        </is>
      </c>
      <c r="O143" t="inlineStr">
        <is>
          <t>20230808</t>
        </is>
      </c>
      <c r="P143" t="inlineStr">
        <is>
          <t>DKI Jakarta</t>
        </is>
      </c>
      <c r="Q143" t="inlineStr"/>
    </row>
    <row r="144">
      <c r="A144" t="inlineStr">
        <is>
          <t>MULYA DWIPUTRA</t>
        </is>
      </c>
      <c r="B144" t="inlineStr">
        <is>
          <t>Kab. Demak</t>
        </is>
      </c>
      <c r="C144" t="inlineStr">
        <is>
          <t>081325677411</t>
        </is>
      </c>
      <c r="D144" t="inlineStr">
        <is>
          <t>riyanto.mulyadwi@gmail.com</t>
        </is>
      </c>
      <c r="E144" t="inlineStr">
        <is>
          <t>https://lpjk.pu.go.id/search-badan-usaha-detail/YzJLUlpraFFQV3JGNXB3Mk1HaWNBUT09</t>
        </is>
      </c>
      <c r="F144" t="n">
        <v>1</v>
      </c>
      <c r="G144" t="inlineStr">
        <is>
          <t>BG009</t>
        </is>
      </c>
      <c r="H144" t="inlineStr">
        <is>
          <t>11 Februari 2022</t>
        </is>
      </c>
      <c r="I144" s="2" t="n">
        <v>46248</v>
      </c>
      <c r="J144" t="inlineStr">
        <is>
          <t>Disetujui</t>
        </is>
      </c>
      <c r="K144" t="n">
        <v>30</v>
      </c>
      <c r="L144" t="inlineStr">
        <is>
          <t>14 Agustus 2026</t>
        </is>
      </c>
      <c r="M144" t="inlineStr">
        <is>
          <t>Konstruksi Gedung Lainnya</t>
        </is>
      </c>
      <c r="N144" t="inlineStr">
        <is>
          <t>K</t>
        </is>
      </c>
      <c r="O144" t="inlineStr">
        <is>
          <t>20230812</t>
        </is>
      </c>
      <c r="P144" t="inlineStr">
        <is>
          <t>Jawa Tengah</t>
        </is>
      </c>
      <c r="Q144" t="inlineStr"/>
    </row>
    <row r="145">
      <c r="A145" t="inlineStr">
        <is>
          <t>MURAI INDAH</t>
        </is>
      </c>
      <c r="B145" t="inlineStr">
        <is>
          <t>Kab. Majalengka</t>
        </is>
      </c>
      <c r="C145" t="inlineStr">
        <is>
          <t>082316547561</t>
        </is>
      </c>
      <c r="D145" t="inlineStr">
        <is>
          <t>denyapunk68@gmail.com</t>
        </is>
      </c>
      <c r="E145" t="inlineStr">
        <is>
          <t>https://lpjk.pu.go.id/search-badan-usaha-detail/Mko2MDhiSndZNWxFQlRCN1g1anl2Zz09</t>
        </is>
      </c>
      <c r="F145" t="n">
        <v>2</v>
      </c>
      <c r="G145" t="inlineStr">
        <is>
          <t>BS001</t>
        </is>
      </c>
      <c r="H145" t="inlineStr">
        <is>
          <t>24 Agustus 1990</t>
        </is>
      </c>
      <c r="I145" s="2" t="n">
        <v>46248</v>
      </c>
      <c r="J145" t="inlineStr">
        <is>
          <t>Disetujui</t>
        </is>
      </c>
      <c r="K145" t="n">
        <v>30</v>
      </c>
      <c r="L145" t="inlineStr">
        <is>
          <t>14 Agustus 2026</t>
        </is>
      </c>
      <c r="M145" t="inlineStr">
        <is>
          <t>Konstruksi Bangunan Sipil Jalan</t>
        </is>
      </c>
      <c r="N145" t="inlineStr">
        <is>
          <t>K</t>
        </is>
      </c>
      <c r="O145" t="inlineStr">
        <is>
          <t>20230811</t>
        </is>
      </c>
      <c r="P145" t="inlineStr">
        <is>
          <t>Jawa Barat</t>
        </is>
      </c>
      <c r="Q145" t="inlineStr"/>
    </row>
    <row r="146">
      <c r="A146" t="inlineStr">
        <is>
          <t>MUSTIKA JATI</t>
        </is>
      </c>
      <c r="B146" t="inlineStr">
        <is>
          <t>Kab. Demak</t>
        </is>
      </c>
      <c r="C146" t="inlineStr">
        <is>
          <t>08122829717</t>
        </is>
      </c>
      <c r="D146" t="inlineStr">
        <is>
          <t>cv.mustikajatidmk@gmail.com</t>
        </is>
      </c>
      <c r="E146" t="inlineStr">
        <is>
          <t>https://lpjk.pu.go.id/search-badan-usaha-detail/SVF3aUNieDc5dmtteEJJTWorTHhjdz09</t>
        </is>
      </c>
      <c r="F146" t="n">
        <v>1</v>
      </c>
      <c r="G146" t="inlineStr">
        <is>
          <t>BG006</t>
        </is>
      </c>
      <c r="H146" t="inlineStr">
        <is>
          <t>18 Maret 1985</t>
        </is>
      </c>
      <c r="I146" s="2" t="n">
        <v>46248</v>
      </c>
      <c r="J146" t="inlineStr">
        <is>
          <t>Disetujui</t>
        </is>
      </c>
      <c r="K146" t="n">
        <v>30</v>
      </c>
      <c r="L146" t="inlineStr">
        <is>
          <t>14 Agustus 2026</t>
        </is>
      </c>
      <c r="M146" t="inlineStr">
        <is>
          <t>Konstruksi Gedung Pendidikan</t>
        </is>
      </c>
      <c r="N146" t="inlineStr">
        <is>
          <t>K</t>
        </is>
      </c>
      <c r="O146" t="inlineStr">
        <is>
          <t>20230814</t>
        </is>
      </c>
      <c r="P146" t="inlineStr">
        <is>
          <t>Jawa Tengah</t>
        </is>
      </c>
      <c r="Q146" t="inlineStr"/>
    </row>
    <row r="147">
      <c r="A147" t="inlineStr">
        <is>
          <t>MUTIARA HITAM</t>
        </is>
      </c>
      <c r="B147" t="inlineStr">
        <is>
          <t>Kab. Bone</t>
        </is>
      </c>
      <c r="C147" t="inlineStr">
        <is>
          <t>082194258350</t>
        </is>
      </c>
      <c r="D147" t="inlineStr">
        <is>
          <t>Mutiara.hitam074@gmail.com</t>
        </is>
      </c>
      <c r="E147" t="inlineStr">
        <is>
          <t>https://lpjk.pu.go.id/search-badan-usaha-detail/RFgxSEpMQ2U1WnlrTlUvUUUzMEFpUT09</t>
        </is>
      </c>
      <c r="F147" t="n">
        <v>2</v>
      </c>
      <c r="G147" t="inlineStr">
        <is>
          <t>BS005</t>
        </is>
      </c>
      <c r="H147" t="inlineStr">
        <is>
          <t>8 Januari 2014</t>
        </is>
      </c>
      <c r="I147" s="2" t="n">
        <v>46248</v>
      </c>
      <c r="J147" t="inlineStr">
        <is>
          <t>Disetujui</t>
        </is>
      </c>
      <c r="K147" t="n">
        <v>30</v>
      </c>
      <c r="L147" t="inlineStr">
        <is>
          <t>14 Agustus 2026</t>
        </is>
      </c>
      <c r="M147" t="inlineStr">
        <is>
          <t>Konstruksi Bangunan Sipil Pengolahan Air Bersih</t>
        </is>
      </c>
      <c r="N147" t="inlineStr">
        <is>
          <t>K</t>
        </is>
      </c>
      <c r="O147" t="inlineStr">
        <is>
          <t>20230814</t>
        </is>
      </c>
      <c r="P147" t="inlineStr">
        <is>
          <t>Sulawesi Selatan</t>
        </is>
      </c>
      <c r="Q147" t="inlineStr"/>
    </row>
    <row r="148">
      <c r="A148" t="inlineStr">
        <is>
          <t>NAURA KARYA UTAMA</t>
        </is>
      </c>
      <c r="B148" t="inlineStr">
        <is>
          <t>Kab. Tapin</t>
        </is>
      </c>
      <c r="C148" t="inlineStr">
        <is>
          <t>081250142444</t>
        </is>
      </c>
      <c r="D148" t="inlineStr">
        <is>
          <t>cv.naurakaryautama@gmail.com</t>
        </is>
      </c>
      <c r="E148" t="inlineStr">
        <is>
          <t>https://lpjk.pu.go.id/search-badan-usaha-detail/TW1xeWNvK2JWdS9pNzZMaFF1M2JzUT09</t>
        </is>
      </c>
      <c r="F148" t="n">
        <v>2</v>
      </c>
      <c r="G148" t="inlineStr">
        <is>
          <t>BG009, BS001</t>
        </is>
      </c>
      <c r="H148" t="inlineStr">
        <is>
          <t>11 Februari 2022</t>
        </is>
      </c>
      <c r="I148" s="2" t="n">
        <v>46248</v>
      </c>
      <c r="J148" t="inlineStr">
        <is>
          <t>Disetujui</t>
        </is>
      </c>
      <c r="K148" t="n">
        <v>30</v>
      </c>
      <c r="L148" t="inlineStr">
        <is>
          <t>14 Agustus 2026</t>
        </is>
      </c>
      <c r="M148" t="inlineStr">
        <is>
          <t>Konstruksi Bangunan Sipil Jalan, Konstruksi Gedung Lainnya</t>
        </is>
      </c>
      <c r="N148" t="inlineStr">
        <is>
          <t>K</t>
        </is>
      </c>
      <c r="O148" t="inlineStr">
        <is>
          <t>20230809</t>
        </is>
      </c>
      <c r="P148" t="inlineStr">
        <is>
          <t>Kalimantan Selatan</t>
        </is>
      </c>
      <c r="Q148" t="inlineStr"/>
    </row>
    <row r="149">
      <c r="A149" t="inlineStr">
        <is>
          <t>NINA &amp; CO</t>
        </is>
      </c>
      <c r="B149" t="inlineStr">
        <is>
          <t>Kota Tangerang</t>
        </is>
      </c>
      <c r="C149" t="inlineStr">
        <is>
          <t>0215524284</t>
        </is>
      </c>
      <c r="D149" t="inlineStr">
        <is>
          <t>nina_n_co@yahoo.co.id</t>
        </is>
      </c>
      <c r="E149" t="inlineStr">
        <is>
          <t>https://lpjk.pu.go.id/search-badan-usaha-detail/cW1HRnNiRlZwdk1qTTkxSmlkbmc2UT09</t>
        </is>
      </c>
      <c r="F149" t="n">
        <v>3</v>
      </c>
      <c r="G149" t="inlineStr">
        <is>
          <t>BG005, BG006, BG009</t>
        </is>
      </c>
      <c r="H149" t="inlineStr">
        <is>
          <t>24 Maret 1990</t>
        </is>
      </c>
      <c r="I149" s="2" t="n">
        <v>46248</v>
      </c>
      <c r="J149" t="inlineStr">
        <is>
          <t>Disetujui</t>
        </is>
      </c>
      <c r="K149" t="n">
        <v>30</v>
      </c>
      <c r="L149" t="inlineStr">
        <is>
          <t>14 Agustus 2026</t>
        </is>
      </c>
      <c r="M149" t="inlineStr">
        <is>
          <t>Konstruksi Gedung Kesehatan, Konstruksi Gedung Lainnya, Konstruksi Gedung Pendidikan</t>
        </is>
      </c>
      <c r="N149" t="inlineStr">
        <is>
          <t>K</t>
        </is>
      </c>
      <c r="O149" t="inlineStr">
        <is>
          <t>20230809</t>
        </is>
      </c>
      <c r="P149" t="inlineStr">
        <is>
          <t>Banten</t>
        </is>
      </c>
      <c r="Q149" t="inlineStr"/>
    </row>
    <row r="150">
      <c r="A150" t="inlineStr">
        <is>
          <t>NURANI JAYA</t>
        </is>
      </c>
      <c r="B150" t="inlineStr">
        <is>
          <t>Kab. Jember</t>
        </is>
      </c>
      <c r="C150" t="inlineStr">
        <is>
          <t>082228008883</t>
        </is>
      </c>
      <c r="D150" t="inlineStr">
        <is>
          <t>nuranijayajember@gmail.com</t>
        </is>
      </c>
      <c r="E150" t="inlineStr">
        <is>
          <t>https://lpjk.pu.go.id/search-badan-usaha-detail/MWQwNFRLVFZOOXNPY1Y0eGoxZFRzQT09</t>
        </is>
      </c>
      <c r="F150" t="n">
        <v>6</v>
      </c>
      <c r="G150" t="inlineStr">
        <is>
          <t>BG002, BG005</t>
        </is>
      </c>
      <c r="H150" t="inlineStr">
        <is>
          <t>1 November 1994</t>
        </is>
      </c>
      <c r="I150" s="2" t="n">
        <v>46248</v>
      </c>
      <c r="J150" t="inlineStr">
        <is>
          <t>Disetujui</t>
        </is>
      </c>
      <c r="K150" t="n">
        <v>30</v>
      </c>
      <c r="L150" t="inlineStr">
        <is>
          <t>14 Agustus 2026</t>
        </is>
      </c>
      <c r="M150" t="inlineStr">
        <is>
          <t>Konstruksi Gedung Kesehatan, Konstruksi Gedung Perkantoran</t>
        </is>
      </c>
      <c r="N150" t="inlineStr">
        <is>
          <t>K</t>
        </is>
      </c>
      <c r="O150" t="inlineStr">
        <is>
          <t>20230807</t>
        </is>
      </c>
      <c r="P150" t="inlineStr">
        <is>
          <t>Jawa Timur</t>
        </is>
      </c>
      <c r="Q150" t="inlineStr"/>
    </row>
    <row r="151">
      <c r="A151" t="inlineStr">
        <is>
          <t>NURUL MAIMUNAH</t>
        </is>
      </c>
      <c r="B151" t="inlineStr">
        <is>
          <t>Kab. Wajo</t>
        </is>
      </c>
      <c r="C151" t="inlineStr">
        <is>
          <t>08114167555</t>
        </is>
      </c>
      <c r="D151" t="inlineStr">
        <is>
          <t>nurul.maimunah99@gmail.com</t>
        </is>
      </c>
      <c r="E151" t="inlineStr">
        <is>
          <t>https://lpjk.pu.go.id/search-badan-usaha-detail/b2MyaWRoMVE2ejZZS3EycjN5VTJZdz09</t>
        </is>
      </c>
      <c r="F151" t="n">
        <v>1</v>
      </c>
      <c r="G151" t="inlineStr">
        <is>
          <t>BG004</t>
        </is>
      </c>
      <c r="H151" t="inlineStr">
        <is>
          <t>25 Februari 2016</t>
        </is>
      </c>
      <c r="I151" s="2" t="n">
        <v>46248</v>
      </c>
      <c r="J151" t="inlineStr">
        <is>
          <t>Disetujui</t>
        </is>
      </c>
      <c r="K151" t="n">
        <v>30</v>
      </c>
      <c r="L151" t="inlineStr">
        <is>
          <t>14 Agustus 2026</t>
        </is>
      </c>
      <c r="M151" t="inlineStr">
        <is>
          <t>Konstruksi Gedung Perbelanjaan</t>
        </is>
      </c>
      <c r="N151" t="inlineStr">
        <is>
          <t>K</t>
        </is>
      </c>
      <c r="O151" t="inlineStr">
        <is>
          <t>20230809</t>
        </is>
      </c>
      <c r="P151" t="inlineStr">
        <is>
          <t>Sulawesi Selatan</t>
        </is>
      </c>
      <c r="Q151" t="inlineStr"/>
    </row>
    <row r="152">
      <c r="A152" t="inlineStr">
        <is>
          <t>PADATINDO</t>
        </is>
      </c>
      <c r="B152" t="inlineStr">
        <is>
          <t>Kab. Muna</t>
        </is>
      </c>
      <c r="C152" t="inlineStr">
        <is>
          <t>081341633259</t>
        </is>
      </c>
      <c r="D152" t="inlineStr">
        <is>
          <t>yopimarampa03@gmail.com</t>
        </is>
      </c>
      <c r="E152" t="inlineStr">
        <is>
          <t>https://lpjk.pu.go.id/search-badan-usaha-detail/NXRTMVl3cSs1enA4S1NGRnd6NDhWUT09</t>
        </is>
      </c>
      <c r="F152" t="n">
        <v>1</v>
      </c>
      <c r="G152" t="inlineStr">
        <is>
          <t>BG001</t>
        </is>
      </c>
      <c r="H152" t="inlineStr">
        <is>
          <t>18 September 2000</t>
        </is>
      </c>
      <c r="I152" s="2" t="n">
        <v>46248</v>
      </c>
      <c r="J152" t="inlineStr">
        <is>
          <t>Disetujui</t>
        </is>
      </c>
      <c r="K152" t="n">
        <v>30</v>
      </c>
      <c r="L152" t="inlineStr">
        <is>
          <t>14 Agustus 2026</t>
        </is>
      </c>
      <c r="M152" t="inlineStr">
        <is>
          <t>Konstruksi Gedung Hunian</t>
        </is>
      </c>
      <c r="N152" t="inlineStr">
        <is>
          <t>K</t>
        </is>
      </c>
      <c r="O152" t="inlineStr">
        <is>
          <t>20230808</t>
        </is>
      </c>
      <c r="P152" t="inlineStr">
        <is>
          <t>Sulawesi Tenggara</t>
        </is>
      </c>
      <c r="Q152" t="inlineStr"/>
    </row>
    <row r="153">
      <c r="A153" t="inlineStr">
        <is>
          <t>PANCA SONA</t>
        </is>
      </c>
      <c r="B153" t="inlineStr">
        <is>
          <t>Kab. Lampung Tengah</t>
        </is>
      </c>
      <c r="C153" t="inlineStr">
        <is>
          <t>0895320606298</t>
        </is>
      </c>
      <c r="D153" t="inlineStr">
        <is>
          <t>pancasona016@gmail.com</t>
        </is>
      </c>
      <c r="E153" t="inlineStr">
        <is>
          <t>https://lpjk.pu.go.id/search-badan-usaha-detail/NUVaUFdlQXg1UE4vU3hCeUdLTWhFZz09</t>
        </is>
      </c>
      <c r="F153" t="n">
        <v>3</v>
      </c>
      <c r="G153" t="inlineStr">
        <is>
          <t>BG002, BG005, BG006</t>
        </is>
      </c>
      <c r="H153" t="inlineStr">
        <is>
          <t>3 Januari 2008</t>
        </is>
      </c>
      <c r="I153" s="2" t="n">
        <v>46248</v>
      </c>
      <c r="J153" t="inlineStr">
        <is>
          <t>Disetujui</t>
        </is>
      </c>
      <c r="K153" t="n">
        <v>30</v>
      </c>
      <c r="L153" t="inlineStr">
        <is>
          <t>14 Agustus 2026</t>
        </is>
      </c>
      <c r="M153" t="inlineStr">
        <is>
          <t>Konstruksi Gedung Kesehatan, Konstruksi Gedung Pendidikan, Konstruksi Gedung Perkantoran</t>
        </is>
      </c>
      <c r="N153" t="inlineStr">
        <is>
          <t>K</t>
        </is>
      </c>
      <c r="O153" t="inlineStr">
        <is>
          <t>20230803, 20230814</t>
        </is>
      </c>
      <c r="P153" t="inlineStr">
        <is>
          <t>Lampung</t>
        </is>
      </c>
      <c r="Q153" t="inlineStr"/>
    </row>
    <row r="154">
      <c r="A154" t="inlineStr">
        <is>
          <t>PELANGI PRIMA BAROKAH</t>
        </is>
      </c>
      <c r="B154" t="inlineStr">
        <is>
          <t>Kab. Banyuwangi</t>
        </is>
      </c>
      <c r="C154" t="inlineStr">
        <is>
          <t>082331683007</t>
        </is>
      </c>
      <c r="D154" t="inlineStr">
        <is>
          <t>pelangiprimabarokah@gmail.com</t>
        </is>
      </c>
      <c r="E154" t="inlineStr">
        <is>
          <t>https://lpjk.pu.go.id/search-badan-usaha-detail/WWRQdmRhakdTL2hNME1LRnBmOHBTUT09</t>
        </is>
      </c>
      <c r="F154" t="n">
        <v>3</v>
      </c>
      <c r="G154" t="inlineStr">
        <is>
          <t>BG006, BG009, BS001</t>
        </is>
      </c>
      <c r="H154" t="inlineStr">
        <is>
          <t>27 Oktober 2014</t>
        </is>
      </c>
      <c r="I154" s="2" t="n">
        <v>46248</v>
      </c>
      <c r="J154" t="inlineStr">
        <is>
          <t>Disetujui</t>
        </is>
      </c>
      <c r="K154" t="n">
        <v>30</v>
      </c>
      <c r="L154" t="inlineStr">
        <is>
          <t>14 Agustus 2026</t>
        </is>
      </c>
      <c r="M154" t="inlineStr">
        <is>
          <t>Konstruksi Bangunan Sipil Jalan, Konstruksi Gedung Lainnya, Konstruksi Gedung Pendidikan</t>
        </is>
      </c>
      <c r="N154" t="inlineStr">
        <is>
          <t>K</t>
        </is>
      </c>
      <c r="O154" t="inlineStr">
        <is>
          <t>20230814</t>
        </is>
      </c>
      <c r="P154" t="inlineStr">
        <is>
          <t>Jawa Timur</t>
        </is>
      </c>
      <c r="Q154" t="inlineStr"/>
    </row>
    <row r="155">
      <c r="A155" t="inlineStr">
        <is>
          <t>PERMAI</t>
        </is>
      </c>
      <c r="B155" t="inlineStr">
        <is>
          <t>Kota Denpasar</t>
        </is>
      </c>
      <c r="C155" t="inlineStr">
        <is>
          <t>085100967997</t>
        </is>
      </c>
      <c r="D155" t="inlineStr">
        <is>
          <t>cvpermaidps@gmail.com</t>
        </is>
      </c>
      <c r="E155" t="inlineStr">
        <is>
          <t>https://lpjk.pu.go.id/search-badan-usaha-detail/SFlMZ1VFRE5LMFRSZm9WbUZkM1BWZz09</t>
        </is>
      </c>
      <c r="F155" t="n">
        <v>4</v>
      </c>
      <c r="G155" t="inlineStr">
        <is>
          <t>BG001, BG004, BG006, BG009</t>
        </is>
      </c>
      <c r="H155" t="inlineStr">
        <is>
          <t>12 November 1984</t>
        </is>
      </c>
      <c r="I155" s="2" t="n">
        <v>46248</v>
      </c>
      <c r="J155" t="inlineStr">
        <is>
          <t>Disetujui</t>
        </is>
      </c>
      <c r="K155" t="n">
        <v>30</v>
      </c>
      <c r="L155" t="inlineStr">
        <is>
          <t>14 Agustus 2026</t>
        </is>
      </c>
      <c r="M155" t="inlineStr">
        <is>
          <t>Konstruksi Gedung Hunian, Konstruksi Gedung Lainnya, Konstruksi Gedung Pendidikan, Konstruksi Gedung Perbelanjaan</t>
        </is>
      </c>
      <c r="N155" t="inlineStr">
        <is>
          <t>K</t>
        </is>
      </c>
      <c r="O155" t="inlineStr">
        <is>
          <t>20230807</t>
        </is>
      </c>
      <c r="P155" t="inlineStr">
        <is>
          <t>Bali</t>
        </is>
      </c>
      <c r="Q155" t="inlineStr"/>
    </row>
    <row r="156">
      <c r="A156" t="inlineStr">
        <is>
          <t>PERMATA BUNDA</t>
        </is>
      </c>
      <c r="B156" t="inlineStr">
        <is>
          <t>Kota Palembang</t>
        </is>
      </c>
      <c r="C156" t="inlineStr">
        <is>
          <t>085273891666</t>
        </is>
      </c>
      <c r="D156" t="inlineStr">
        <is>
          <t>permatabunda212@yahoo.co.id</t>
        </is>
      </c>
      <c r="E156" t="inlineStr">
        <is>
          <t>https://lpjk.pu.go.id/search-badan-usaha-detail/VnNVQVlQRmNRMjlaYVBSMmpiSDVoZz09</t>
        </is>
      </c>
      <c r="F156" t="n">
        <v>1</v>
      </c>
      <c r="G156" t="inlineStr">
        <is>
          <t>BG009</t>
        </is>
      </c>
      <c r="H156" t="inlineStr">
        <is>
          <t>7 Januari 2015</t>
        </is>
      </c>
      <c r="I156" s="2" t="n">
        <v>46248</v>
      </c>
      <c r="J156" t="inlineStr">
        <is>
          <t>Disetujui</t>
        </is>
      </c>
      <c r="K156" t="n">
        <v>30</v>
      </c>
      <c r="L156" t="inlineStr">
        <is>
          <t>14 Agustus 2026</t>
        </is>
      </c>
      <c r="M156" t="inlineStr">
        <is>
          <t>Konstruksi Gedung Lainnya</t>
        </is>
      </c>
      <c r="N156" t="inlineStr">
        <is>
          <t>K</t>
        </is>
      </c>
      <c r="O156" t="inlineStr">
        <is>
          <t>20230814</t>
        </is>
      </c>
      <c r="P156" t="inlineStr">
        <is>
          <t>Sumatera Selatan</t>
        </is>
      </c>
      <c r="Q156" t="inlineStr"/>
    </row>
    <row r="157">
      <c r="A157" t="inlineStr">
        <is>
          <t>PRAMUDYA TATA LAKSANA</t>
        </is>
      </c>
      <c r="B157" t="inlineStr">
        <is>
          <t>Kota Tangerang</t>
        </is>
      </c>
      <c r="C157" t="inlineStr">
        <is>
          <t>02158901318</t>
        </is>
      </c>
      <c r="D157" t="inlineStr">
        <is>
          <t>pramudyatatalaksana@gmail.com</t>
        </is>
      </c>
      <c r="E157" t="inlineStr">
        <is>
          <t>https://lpjk.pu.go.id/search-badan-usaha-detail/QmVoRkdabC9yalYzbW9QWUlISDh3anNRRElqVDZ5VGd4RFBFaVRSYkxXYz0</t>
        </is>
      </c>
      <c r="F157" t="n">
        <v>1</v>
      </c>
      <c r="G157" t="inlineStr">
        <is>
          <t>BG008</t>
        </is>
      </c>
      <c r="H157" t="inlineStr">
        <is>
          <t>6 Agustus 2024</t>
        </is>
      </c>
      <c r="I157" s="2" t="n">
        <v>46248</v>
      </c>
      <c r="J157" t="inlineStr">
        <is>
          <t>Disetujui</t>
        </is>
      </c>
      <c r="K157" t="n">
        <v>30</v>
      </c>
      <c r="L157" t="inlineStr">
        <is>
          <t>14 Agustus 2026</t>
        </is>
      </c>
      <c r="M157" t="inlineStr">
        <is>
          <t>Konstruksi Gedung Tempat Hiburan dan Olahraga</t>
        </is>
      </c>
      <c r="N157" t="inlineStr">
        <is>
          <t>K</t>
        </is>
      </c>
      <c r="O157" t="inlineStr">
        <is>
          <t>20230810</t>
        </is>
      </c>
      <c r="P157" t="inlineStr">
        <is>
          <t>Banten</t>
        </is>
      </c>
      <c r="Q157" t="inlineStr"/>
    </row>
    <row r="158">
      <c r="A158" t="inlineStr">
        <is>
          <t>PRANATA BAGYA UTAMA</t>
        </is>
      </c>
      <c r="B158" t="inlineStr">
        <is>
          <t>Kab. Tangerang</t>
        </is>
      </c>
      <c r="C158" t="inlineStr">
        <is>
          <t>087808313799</t>
        </is>
      </c>
      <c r="D158" t="inlineStr">
        <is>
          <t>pranatabagyautama@gmail.com</t>
        </is>
      </c>
      <c r="E158" t="inlineStr">
        <is>
          <t>https://lpjk.pu.go.id/search-badan-usaha-detail/RDRlcXFCeGU5Tno2SisyNHZYVXhzQT09</t>
        </is>
      </c>
      <c r="F158" t="n">
        <v>2</v>
      </c>
      <c r="G158" t="inlineStr">
        <is>
          <t>BG001</t>
        </is>
      </c>
      <c r="H158" t="inlineStr">
        <is>
          <t>30 Mei 2022</t>
        </is>
      </c>
      <c r="I158" s="2" t="n">
        <v>46248</v>
      </c>
      <c r="J158" t="inlineStr">
        <is>
          <t>Disetujui</t>
        </is>
      </c>
      <c r="K158" t="n">
        <v>30</v>
      </c>
      <c r="L158" t="inlineStr">
        <is>
          <t>14 Agustus 2026</t>
        </is>
      </c>
      <c r="M158" t="inlineStr">
        <is>
          <t>Konstruksi Gedung Hunian</t>
        </is>
      </c>
      <c r="N158" t="inlineStr">
        <is>
          <t>K</t>
        </is>
      </c>
      <c r="O158" t="inlineStr">
        <is>
          <t>20230801</t>
        </is>
      </c>
      <c r="P158" t="inlineStr">
        <is>
          <t>Banten</t>
        </is>
      </c>
      <c r="Q158" t="inlineStr"/>
    </row>
    <row r="159">
      <c r="A159" t="inlineStr">
        <is>
          <t>PRIMA NUSA BERDAYA</t>
        </is>
      </c>
      <c r="B159" t="inlineStr">
        <is>
          <t>Kab. Tuban</t>
        </is>
      </c>
      <c r="C159" t="inlineStr">
        <is>
          <t>08125900720</t>
        </is>
      </c>
      <c r="D159" t="inlineStr">
        <is>
          <t>primanusaberdaya@gmail.com</t>
        </is>
      </c>
      <c r="E159" t="inlineStr">
        <is>
          <t>https://lpjk.pu.go.id/search-badan-usaha-detail/L1pNek04ZHBFaEV5NU1VMzBBa3J1Zz09</t>
        </is>
      </c>
      <c r="F159" t="n">
        <v>3</v>
      </c>
      <c r="G159" t="inlineStr">
        <is>
          <t>BG002, BG008, BS005</t>
        </is>
      </c>
      <c r="H159" t="inlineStr">
        <is>
          <t>6 April 2023</t>
        </is>
      </c>
      <c r="I159" s="2" t="n">
        <v>46248</v>
      </c>
      <c r="J159" t="inlineStr">
        <is>
          <t>Disetujui</t>
        </is>
      </c>
      <c r="K159" t="n">
        <v>30</v>
      </c>
      <c r="L159" t="inlineStr">
        <is>
          <t>14 Agustus 2026</t>
        </is>
      </c>
      <c r="M159" t="inlineStr">
        <is>
          <t>Konstruksi Bangunan Sipil Pengolahan Air Bersih, Konstruksi Gedung Perkantoran, Konstruksi Gedung Tempat Hiburan dan Olahraga</t>
        </is>
      </c>
      <c r="N159" t="inlineStr">
        <is>
          <t>K</t>
        </is>
      </c>
      <c r="O159" t="inlineStr">
        <is>
          <t>20230809, 20230810</t>
        </is>
      </c>
      <c r="P159" t="inlineStr">
        <is>
          <t>Jawa Timur</t>
        </is>
      </c>
      <c r="Q159" t="inlineStr"/>
    </row>
    <row r="160">
      <c r="A160" t="inlineStr">
        <is>
          <t>PUTRA AL GHIFARI</t>
        </is>
      </c>
      <c r="B160" t="inlineStr">
        <is>
          <t>Kab. Wonosobo</t>
        </is>
      </c>
      <c r="C160" t="inlineStr">
        <is>
          <t>081231649419</t>
        </is>
      </c>
      <c r="D160" t="inlineStr">
        <is>
          <t>cv.putraalghifari@gmail.com</t>
        </is>
      </c>
      <c r="E160" t="inlineStr">
        <is>
          <t>https://lpjk.pu.go.id/search-badan-usaha-detail/emRQZUtDOFR3RkNQTWp1Ti95ZXluZz09</t>
        </is>
      </c>
      <c r="F160" t="n">
        <v>1</v>
      </c>
      <c r="G160" t="inlineStr">
        <is>
          <t>BG006</t>
        </is>
      </c>
      <c r="H160" t="inlineStr">
        <is>
          <t>26 September 2019</t>
        </is>
      </c>
      <c r="I160" s="2" t="n">
        <v>46248</v>
      </c>
      <c r="J160" t="inlineStr">
        <is>
          <t>Disetujui</t>
        </is>
      </c>
      <c r="K160" t="n">
        <v>30</v>
      </c>
      <c r="L160" t="inlineStr">
        <is>
          <t>14 Agustus 2026</t>
        </is>
      </c>
      <c r="M160" t="inlineStr">
        <is>
          <t>Konstruksi Gedung Pendidikan</t>
        </is>
      </c>
      <c r="N160" t="inlineStr">
        <is>
          <t>K</t>
        </is>
      </c>
      <c r="O160" t="inlineStr">
        <is>
          <t>20230814</t>
        </is>
      </c>
      <c r="P160" t="inlineStr">
        <is>
          <t>Jawa Tengah</t>
        </is>
      </c>
      <c r="Q160" t="inlineStr"/>
    </row>
    <row r="161">
      <c r="A161" t="inlineStr">
        <is>
          <t>PUTRA ANANTA</t>
        </is>
      </c>
      <c r="B161" t="inlineStr">
        <is>
          <t>Kab. Kendal</t>
        </is>
      </c>
      <c r="C161" t="inlineStr">
        <is>
          <t>087834686598</t>
        </is>
      </c>
      <c r="D161" t="inlineStr">
        <is>
          <t>cv_putra_ananta@yahoo.co.id</t>
        </is>
      </c>
      <c r="E161" t="inlineStr">
        <is>
          <t>https://lpjk.pu.go.id/search-badan-usaha-detail/V2VrQTFBUDZ4ZVBMRGJUamRWMVBpUT09</t>
        </is>
      </c>
      <c r="F161" t="n">
        <v>1</v>
      </c>
      <c r="G161" t="inlineStr">
        <is>
          <t>BS001</t>
        </is>
      </c>
      <c r="H161" t="inlineStr">
        <is>
          <t>15 Januari 2003</t>
        </is>
      </c>
      <c r="I161" s="2" t="n">
        <v>46248</v>
      </c>
      <c r="J161" t="inlineStr">
        <is>
          <t>Pencabutan</t>
        </is>
      </c>
      <c r="K161" t="n">
        <v>30</v>
      </c>
      <c r="L161" t="inlineStr">
        <is>
          <t>14 Agustus 2026</t>
        </is>
      </c>
      <c r="M161" t="inlineStr">
        <is>
          <t>Konstruksi Bangunan Sipil Jalan</t>
        </is>
      </c>
      <c r="N161" t="inlineStr">
        <is>
          <t>K</t>
        </is>
      </c>
      <c r="O161" t="inlineStr">
        <is>
          <t>20230811</t>
        </is>
      </c>
      <c r="P161" t="inlineStr">
        <is>
          <t>Jawa Tengah</t>
        </is>
      </c>
      <c r="Q161" t="inlineStr"/>
    </row>
    <row r="162">
      <c r="A162" t="inlineStr">
        <is>
          <t>PUTRA ANDIKA PRATAMA</t>
        </is>
      </c>
      <c r="B162" t="inlineStr">
        <is>
          <t>Kab. Tasikmalaya</t>
        </is>
      </c>
      <c r="C162" t="inlineStr">
        <is>
          <t>085220353017</t>
        </is>
      </c>
      <c r="D162" t="inlineStr">
        <is>
          <t>putraandikapratama2022@gmail.com</t>
        </is>
      </c>
      <c r="E162" t="inlineStr">
        <is>
          <t>https://lpjk.pu.go.id/search-badan-usaha-detail/U2dmeEFPeG45bGFvMC9UeStYZUZGQT09</t>
        </is>
      </c>
      <c r="F162" t="n">
        <v>1</v>
      </c>
      <c r="G162" t="inlineStr">
        <is>
          <t>BG009</t>
        </is>
      </c>
      <c r="H162" t="inlineStr">
        <is>
          <t>12 September 2022</t>
        </is>
      </c>
      <c r="I162" s="2" t="n">
        <v>46248</v>
      </c>
      <c r="J162" t="inlineStr">
        <is>
          <t>Disetujui</t>
        </is>
      </c>
      <c r="K162" t="n">
        <v>30</v>
      </c>
      <c r="L162" t="inlineStr">
        <is>
          <t>14 Agustus 2026</t>
        </is>
      </c>
      <c r="M162" t="inlineStr">
        <is>
          <t>Konstruksi Gedung Lainnya</t>
        </is>
      </c>
      <c r="N162" t="inlineStr">
        <is>
          <t>K</t>
        </is>
      </c>
      <c r="O162" t="inlineStr">
        <is>
          <t>20230810</t>
        </is>
      </c>
      <c r="P162" t="inlineStr">
        <is>
          <t>Jawa Barat</t>
        </is>
      </c>
      <c r="Q162" t="inlineStr"/>
    </row>
    <row r="163">
      <c r="A163" t="inlineStr">
        <is>
          <t>PUTRA BANGSA MEMBANGUN INDONESIA</t>
        </is>
      </c>
      <c r="B163" t="inlineStr">
        <is>
          <t>Kota Semarang</t>
        </is>
      </c>
      <c r="C163" t="inlineStr">
        <is>
          <t>082138858715</t>
        </is>
      </c>
      <c r="D163" t="inlineStr">
        <is>
          <t>mitrabangun.id.official@gmail.com</t>
        </is>
      </c>
      <c r="E163" t="inlineStr">
        <is>
          <t>https://lpjk.pu.go.id/search-badan-usaha-detail/SnlIQU1sclVhdmF1U2wvdFRGREFsZz09</t>
        </is>
      </c>
      <c r="F163" t="n">
        <v>3</v>
      </c>
      <c r="G163" t="inlineStr">
        <is>
          <t>BG001, BG008, BG009</t>
        </is>
      </c>
      <c r="H163" t="inlineStr">
        <is>
          <t>19 Oktober 2022</t>
        </is>
      </c>
      <c r="I163" s="2" t="n">
        <v>46248</v>
      </c>
      <c r="J163" t="inlineStr">
        <is>
          <t>Disetujui</t>
        </is>
      </c>
      <c r="K163" t="n">
        <v>30</v>
      </c>
      <c r="L163" t="inlineStr">
        <is>
          <t>14 Agustus 2026</t>
        </is>
      </c>
      <c r="M163" t="inlineStr">
        <is>
          <t>Konstruksi Gedung Hunian, Konstruksi Gedung Lainnya, Konstruksi Gedung Tempat Hiburan dan Olahraga</t>
        </is>
      </c>
      <c r="N163" t="inlineStr">
        <is>
          <t>K</t>
        </is>
      </c>
      <c r="O163" t="inlineStr">
        <is>
          <t>20230810</t>
        </is>
      </c>
      <c r="P163" t="inlineStr">
        <is>
          <t>Jawa Tengah</t>
        </is>
      </c>
      <c r="Q163" t="inlineStr"/>
    </row>
    <row r="164">
      <c r="A164" t="inlineStr">
        <is>
          <t>PUTRA LANGIT</t>
        </is>
      </c>
      <c r="B164" t="inlineStr">
        <is>
          <t>Kab. Konawe Selatan</t>
        </is>
      </c>
      <c r="C164" t="inlineStr">
        <is>
          <t>085241649568</t>
        </is>
      </c>
      <c r="D164" t="inlineStr">
        <is>
          <t>cvputralangit45@gmail.com</t>
        </is>
      </c>
      <c r="E164" t="inlineStr">
        <is>
          <t>https://lpjk.pu.go.id/search-badan-usaha-detail/MXlsVlFHWFdTVWRmejNHRmpKb3pnUT09</t>
        </is>
      </c>
      <c r="F164" t="n">
        <v>4</v>
      </c>
      <c r="G164" t="inlineStr">
        <is>
          <t>BG002, BG006, BG008, BG009</t>
        </is>
      </c>
      <c r="H164" t="inlineStr">
        <is>
          <t>10 Januari 2020</t>
        </is>
      </c>
      <c r="I164" s="2" t="n">
        <v>46248</v>
      </c>
      <c r="J164" t="inlineStr">
        <is>
          <t>Disetujui</t>
        </is>
      </c>
      <c r="K164" t="n">
        <v>30</v>
      </c>
      <c r="L164" t="inlineStr">
        <is>
          <t>14 Agustus 2026</t>
        </is>
      </c>
      <c r="M164" t="inlineStr">
        <is>
          <t>Konstruksi Gedung Lainnya, Konstruksi Gedung Pendidikan, Konstruksi Gedung Perkantoran, Konstruksi Gedung Tempat Hiburan dan Olahraga</t>
        </is>
      </c>
      <c r="N164" t="inlineStr">
        <is>
          <t>K</t>
        </is>
      </c>
      <c r="O164" t="inlineStr">
        <is>
          <t>20230810</t>
        </is>
      </c>
      <c r="P164" t="inlineStr">
        <is>
          <t>Sulawesi Tenggara</t>
        </is>
      </c>
      <c r="Q164" t="inlineStr"/>
    </row>
    <row r="165">
      <c r="A165" t="inlineStr">
        <is>
          <t>PUTRA NATAMA ENGINEERING</t>
        </is>
      </c>
      <c r="B165" t="inlineStr">
        <is>
          <t>Kota Medan</t>
        </is>
      </c>
      <c r="C165" t="inlineStr">
        <is>
          <t>081314075327</t>
        </is>
      </c>
      <c r="D165" t="inlineStr">
        <is>
          <t>putra.natama@ymail.com</t>
        </is>
      </c>
      <c r="E165" t="inlineStr">
        <is>
          <t>https://lpjk.pu.go.id/search-badan-usaha-detail/ZXlpbDdwaW9ZeWUvSzhaRkJWdFNvdz09</t>
        </is>
      </c>
      <c r="F165" t="n">
        <v>1</v>
      </c>
      <c r="G165" t="inlineStr">
        <is>
          <t>BG003</t>
        </is>
      </c>
      <c r="H165" t="inlineStr">
        <is>
          <t>16 Desember 1999</t>
        </is>
      </c>
      <c r="I165" s="2" t="n">
        <v>46248</v>
      </c>
      <c r="J165" t="inlineStr">
        <is>
          <t>Disetujui</t>
        </is>
      </c>
      <c r="K165" t="n">
        <v>30</v>
      </c>
      <c r="L165" t="inlineStr">
        <is>
          <t>14 Agustus 2026</t>
        </is>
      </c>
      <c r="M165" t="inlineStr">
        <is>
          <t>Konstruksi Gedung Industri</t>
        </is>
      </c>
      <c r="N165" t="inlineStr">
        <is>
          <t>K</t>
        </is>
      </c>
      <c r="O165" t="inlineStr">
        <is>
          <t>20230812</t>
        </is>
      </c>
      <c r="P165" t="inlineStr">
        <is>
          <t>Sumatera Utara</t>
        </is>
      </c>
      <c r="Q165" t="inlineStr"/>
    </row>
    <row r="166">
      <c r="A166" t="inlineStr">
        <is>
          <t>PUTRA PANCA DELIMA</t>
        </is>
      </c>
      <c r="B166" t="inlineStr">
        <is>
          <t>Kab. Kepulauan Meranti</t>
        </is>
      </c>
      <c r="C166" t="inlineStr">
        <is>
          <t>082384622757</t>
        </is>
      </c>
      <c r="D166" t="inlineStr">
        <is>
          <t>putrapancadelima90@gmail.com</t>
        </is>
      </c>
      <c r="E166" t="inlineStr">
        <is>
          <t>https://lpjk.pu.go.id/search-badan-usaha-detail/T1hZdWJ2d3NaUGNIaEttZEJUNFNWdz09</t>
        </is>
      </c>
      <c r="F166" t="n">
        <v>1</v>
      </c>
      <c r="G166" t="inlineStr">
        <is>
          <t>BG001</t>
        </is>
      </c>
      <c r="H166" t="inlineStr">
        <is>
          <t>27 Oktober 1999</t>
        </is>
      </c>
      <c r="I166" s="2" t="n">
        <v>46248</v>
      </c>
      <c r="J166" t="inlineStr">
        <is>
          <t>Disetujui</t>
        </is>
      </c>
      <c r="K166" t="n">
        <v>30</v>
      </c>
      <c r="L166" t="inlineStr">
        <is>
          <t>14 Agustus 2026</t>
        </is>
      </c>
      <c r="M166" t="inlineStr">
        <is>
          <t>Konstruksi Gedung Hunian</t>
        </is>
      </c>
      <c r="N166" t="inlineStr">
        <is>
          <t>K</t>
        </is>
      </c>
      <c r="O166" t="inlineStr">
        <is>
          <t>20230811</t>
        </is>
      </c>
      <c r="P166" t="inlineStr">
        <is>
          <t>Riau</t>
        </is>
      </c>
      <c r="Q166" t="inlineStr"/>
    </row>
    <row r="167">
      <c r="A167" t="inlineStr">
        <is>
          <t>PUTRA PERDANA</t>
        </is>
      </c>
      <c r="B167" t="inlineStr">
        <is>
          <t>Kab. Purbalingga</t>
        </is>
      </c>
      <c r="C167" t="inlineStr">
        <is>
          <t>081327037333</t>
        </is>
      </c>
      <c r="D167" t="inlineStr">
        <is>
          <t>putra_perdana_cv70@yahoo.co.id</t>
        </is>
      </c>
      <c r="E167" t="inlineStr">
        <is>
          <t>https://lpjk.pu.go.id/search-badan-usaha-detail/WjVxY0N1anJ6eGFQRE42VEN6Q0xrdz09</t>
        </is>
      </c>
      <c r="F167" t="n">
        <v>1</v>
      </c>
      <c r="G167" t="inlineStr">
        <is>
          <t>BS004</t>
        </is>
      </c>
      <c r="H167" t="inlineStr">
        <is>
          <t>30 April 2008</t>
        </is>
      </c>
      <c r="I167" s="2" t="n">
        <v>46248</v>
      </c>
      <c r="J167" t="inlineStr">
        <is>
          <t>Disetujui</t>
        </is>
      </c>
      <c r="K167" t="n">
        <v>30</v>
      </c>
      <c r="L167" t="inlineStr">
        <is>
          <t>14 Agustus 2026</t>
        </is>
      </c>
      <c r="M167" t="inlineStr">
        <is>
          <t>Konstruksi Jaringan Irigasi dan Drainase</t>
        </is>
      </c>
      <c r="N167" t="inlineStr">
        <is>
          <t>K</t>
        </is>
      </c>
      <c r="O167" t="inlineStr">
        <is>
          <t>20230810</t>
        </is>
      </c>
      <c r="P167" t="inlineStr">
        <is>
          <t>Jawa Tengah</t>
        </is>
      </c>
      <c r="Q167" t="inlineStr"/>
    </row>
    <row r="168">
      <c r="A168" t="inlineStr">
        <is>
          <t>PUTRA SYASNAT</t>
        </is>
      </c>
      <c r="B168" t="inlineStr">
        <is>
          <t>Kab. Tambrauw</t>
        </is>
      </c>
      <c r="C168" t="inlineStr">
        <is>
          <t>081393744681</t>
        </is>
      </c>
      <c r="D168" t="inlineStr">
        <is>
          <t>cvputrasyasnas@gmail.com</t>
        </is>
      </c>
      <c r="E168" t="inlineStr">
        <is>
          <t>https://lpjk.pu.go.id/search-badan-usaha-detail/WTNjeXU3K3JJYmNpbDh6NjdzTVFYZz09</t>
        </is>
      </c>
      <c r="F168" t="n">
        <v>1</v>
      </c>
      <c r="G168" t="inlineStr">
        <is>
          <t>BG005</t>
        </is>
      </c>
      <c r="H168" t="inlineStr">
        <is>
          <t>19 Juli 2019</t>
        </is>
      </c>
      <c r="I168" s="2" t="n">
        <v>46248</v>
      </c>
      <c r="J168" t="inlineStr">
        <is>
          <t>Disetujui</t>
        </is>
      </c>
      <c r="K168" t="n">
        <v>30</v>
      </c>
      <c r="L168" t="inlineStr">
        <is>
          <t>14 Agustus 2026</t>
        </is>
      </c>
      <c r="M168" t="inlineStr">
        <is>
          <t>Konstruksi Gedung Kesehatan</t>
        </is>
      </c>
      <c r="N168" t="inlineStr">
        <is>
          <t>K</t>
        </is>
      </c>
      <c r="O168" t="inlineStr">
        <is>
          <t>20230809</t>
        </is>
      </c>
      <c r="P168" t="inlineStr">
        <is>
          <t>Papua Barat</t>
        </is>
      </c>
      <c r="Q168" t="inlineStr"/>
    </row>
    <row r="169">
      <c r="A169" t="inlineStr">
        <is>
          <t>RAHMAN RAYA</t>
        </is>
      </c>
      <c r="B169" t="inlineStr">
        <is>
          <t>Kab. Lombok Timur</t>
        </is>
      </c>
      <c r="C169" t="inlineStr">
        <is>
          <t>081239390098</t>
        </is>
      </c>
      <c r="D169" t="inlineStr">
        <is>
          <t>cvrahmanraya@gmail.com</t>
        </is>
      </c>
      <c r="E169" t="inlineStr">
        <is>
          <t>https://lpjk.pu.go.id/search-badan-usaha-detail/cUJCRFlVcUtZSm4yNkxkbkxaYThPZz09</t>
        </is>
      </c>
      <c r="F169" t="n">
        <v>2</v>
      </c>
      <c r="G169" t="inlineStr">
        <is>
          <t>BG009</t>
        </is>
      </c>
      <c r="H169" t="inlineStr">
        <is>
          <t>28 Juli 2023</t>
        </is>
      </c>
      <c r="I169" s="2" t="n">
        <v>46248</v>
      </c>
      <c r="J169" t="inlineStr">
        <is>
          <t>Pencabutan</t>
        </is>
      </c>
      <c r="K169" t="n">
        <v>30</v>
      </c>
      <c r="L169" t="inlineStr">
        <is>
          <t>14 Agustus 2026</t>
        </is>
      </c>
      <c r="M169" t="inlineStr">
        <is>
          <t>Konstruksi Gedung Lainnya</t>
        </is>
      </c>
      <c r="N169" t="inlineStr">
        <is>
          <t>K</t>
        </is>
      </c>
      <c r="O169" t="inlineStr">
        <is>
          <t>20230810</t>
        </is>
      </c>
      <c r="P169" t="inlineStr">
        <is>
          <t>Nusa Tenggara Barat</t>
        </is>
      </c>
      <c r="Q169" t="inlineStr"/>
    </row>
    <row r="170">
      <c r="A170" t="inlineStr">
        <is>
          <t>RAJA ALAM RAYA</t>
        </is>
      </c>
      <c r="B170" t="inlineStr">
        <is>
          <t>Kota Adm. Jakarta Selatan</t>
        </is>
      </c>
      <c r="C170" t="inlineStr">
        <is>
          <t>02127091977</t>
        </is>
      </c>
      <c r="D170" t="inlineStr">
        <is>
          <t>alamrayaraja@gmail.com</t>
        </is>
      </c>
      <c r="E170" t="inlineStr">
        <is>
          <t>https://lpjk.pu.go.id/search-badan-usaha-detail/cEZnblhOb1JETG1nQ2VMMlQ4RkNKQT09</t>
        </is>
      </c>
      <c r="F170" t="n">
        <v>1</v>
      </c>
      <c r="G170" t="inlineStr">
        <is>
          <t>PA001</t>
        </is>
      </c>
      <c r="H170" t="inlineStr">
        <is>
          <t>10 Juni 2016</t>
        </is>
      </c>
      <c r="I170" s="2" t="n">
        <v>46248</v>
      </c>
      <c r="J170" t="inlineStr">
        <is>
          <t>Pembekuan</t>
        </is>
      </c>
      <c r="K170" t="n">
        <v>30</v>
      </c>
      <c r="L170" t="inlineStr">
        <is>
          <t>14 Agustus 2026</t>
        </is>
      </c>
      <c r="M170" t="inlineStr">
        <is>
          <t>Penyewaan Peralatan Konstruksi</t>
        </is>
      </c>
      <c r="N170" t="inlineStr">
        <is>
          <t>Spesialis</t>
        </is>
      </c>
      <c r="O170" t="inlineStr">
        <is>
          <t>20230809</t>
        </is>
      </c>
      <c r="P170" t="inlineStr">
        <is>
          <t>DKI Jakarta</t>
        </is>
      </c>
      <c r="Q170" t="inlineStr"/>
    </row>
    <row r="171">
      <c r="A171" t="inlineStr">
        <is>
          <t>RAJATRA OETAMA SARANA</t>
        </is>
      </c>
      <c r="B171" t="inlineStr">
        <is>
          <t>Kota Pangkal Pinang</t>
        </is>
      </c>
      <c r="C171" t="inlineStr">
        <is>
          <t>07179100150</t>
        </is>
      </c>
      <c r="D171" t="inlineStr">
        <is>
          <t>rajatraoetama_sarana@yahoo.co.id</t>
        </is>
      </c>
      <c r="E171" t="inlineStr">
        <is>
          <t>https://lpjk.pu.go.id/search-badan-usaha-detail/K2JyUmkzaUdTdzE0VjhpRWlQRmVQdz09</t>
        </is>
      </c>
      <c r="F171" t="n">
        <v>2</v>
      </c>
      <c r="G171" t="inlineStr">
        <is>
          <t>BG006, BG008</t>
        </is>
      </c>
      <c r="H171" t="inlineStr">
        <is>
          <t>7 Januari 2013</t>
        </is>
      </c>
      <c r="I171" s="2" t="n">
        <v>46248</v>
      </c>
      <c r="J171" t="inlineStr">
        <is>
          <t>Disetujui</t>
        </is>
      </c>
      <c r="K171" t="n">
        <v>30</v>
      </c>
      <c r="L171" t="inlineStr">
        <is>
          <t>14 Agustus 2026</t>
        </is>
      </c>
      <c r="M171" t="inlineStr">
        <is>
          <t>Konstruksi Gedung Pendidikan, Konstruksi Gedung Tempat Hiburan dan Olahraga</t>
        </is>
      </c>
      <c r="N171" t="inlineStr">
        <is>
          <t>K</t>
        </is>
      </c>
      <c r="O171" t="inlineStr">
        <is>
          <t>20230809</t>
        </is>
      </c>
      <c r="P171" t="inlineStr">
        <is>
          <t>Kepulauan Bangka Belitung</t>
        </is>
      </c>
      <c r="Q171" t="inlineStr"/>
    </row>
    <row r="172">
      <c r="A172" t="inlineStr">
        <is>
          <t>RAJAWALI COMPANY</t>
        </is>
      </c>
      <c r="B172" t="inlineStr">
        <is>
          <t>Kab. Bengkalis</t>
        </is>
      </c>
      <c r="C172" t="inlineStr">
        <is>
          <t>085262795740</t>
        </is>
      </c>
      <c r="D172" t="inlineStr">
        <is>
          <t>adechandra050580@gmail.com</t>
        </is>
      </c>
      <c r="E172" t="inlineStr">
        <is>
          <t>https://lpjk.pu.go.id/search-badan-usaha-detail/UDhvMVNBdlNGQ1ZFUStneXBhZE9LQT09</t>
        </is>
      </c>
      <c r="F172" t="n">
        <v>2</v>
      </c>
      <c r="G172" t="inlineStr">
        <is>
          <t>BS001</t>
        </is>
      </c>
      <c r="H172" t="inlineStr">
        <is>
          <t>22 Juni 2012</t>
        </is>
      </c>
      <c r="I172" s="2" t="n">
        <v>46248</v>
      </c>
      <c r="J172" t="inlineStr">
        <is>
          <t>Pencabutan</t>
        </is>
      </c>
      <c r="K172" t="n">
        <v>30</v>
      </c>
      <c r="L172" t="inlineStr">
        <is>
          <t>14 Agustus 2026</t>
        </is>
      </c>
      <c r="M172" t="inlineStr">
        <is>
          <t>Konstruksi Bangunan Sipil Jalan</t>
        </is>
      </c>
      <c r="N172" t="inlineStr">
        <is>
          <t>K</t>
        </is>
      </c>
      <c r="O172" t="inlineStr">
        <is>
          <t>20230814</t>
        </is>
      </c>
      <c r="P172" t="inlineStr">
        <is>
          <t>Riau</t>
        </is>
      </c>
      <c r="Q172" t="inlineStr"/>
    </row>
    <row r="173">
      <c r="A173" t="inlineStr">
        <is>
          <t>REINEKA PANCA BUANA CONSULTANT</t>
        </is>
      </c>
      <c r="B173" t="inlineStr">
        <is>
          <t>Kab. Ciamis</t>
        </is>
      </c>
      <c r="C173" t="inlineStr">
        <is>
          <t>08112119170</t>
        </is>
      </c>
      <c r="D173" t="inlineStr">
        <is>
          <t>rpbconsultant2023@gmail.com</t>
        </is>
      </c>
      <c r="E173" t="inlineStr">
        <is>
          <t>https://lpjk.pu.go.id/search-badan-usaha-detail/blp5aWpCcmx1MUdMU1UxcU9zQng1dz09</t>
        </is>
      </c>
      <c r="F173" t="n">
        <v>5</v>
      </c>
      <c r="G173" t="inlineStr">
        <is>
          <t>AR001, AR002, AR003, RK001, RK003</t>
        </is>
      </c>
      <c r="H173" t="inlineStr">
        <is>
          <t>6 Februari 2023</t>
        </is>
      </c>
      <c r="I173" s="2" t="n">
        <v>46248</v>
      </c>
      <c r="J173" t="inlineStr">
        <is>
          <t>Disetujui</t>
        </is>
      </c>
      <c r="K173" t="n">
        <v>30</v>
      </c>
      <c r="L173" t="inlineStr">
        <is>
          <t>14 Agustus 2026</t>
        </is>
      </c>
      <c r="M173" t="inlineStr">
        <is>
          <t>Jasa Arsitektural Bangunan Gedung Hunian dan Non Hunian, Jasa Arsitektural Lainnya, Jasa Desain Interior pada Bangunan Gedung dan Bangunan Sipil, Jasa Rekayasa Konstruksi Bangunan Gedung Hunian dan Non Hunian, Jasa Rekayasa Pekerjaan Teknik Sipil Transportasi</t>
        </is>
      </c>
      <c r="N173" t="inlineStr">
        <is>
          <t>K</t>
        </is>
      </c>
      <c r="O173" t="inlineStr">
        <is>
          <t>20230803</t>
        </is>
      </c>
      <c r="P173" t="inlineStr">
        <is>
          <t>Jawa Barat</t>
        </is>
      </c>
      <c r="Q173" t="inlineStr"/>
    </row>
    <row r="174">
      <c r="A174" t="inlineStr">
        <is>
          <t>REJEKI TETAP MENGALIR</t>
        </is>
      </c>
      <c r="B174" t="inlineStr">
        <is>
          <t>Kota Adm. Jakarta Barat</t>
        </is>
      </c>
      <c r="C174" t="inlineStr">
        <is>
          <t>0811991400</t>
        </is>
      </c>
      <c r="D174" t="inlineStr">
        <is>
          <t>ptrejekiterusmengalir@gmail.com</t>
        </is>
      </c>
      <c r="E174" t="inlineStr">
        <is>
          <t>https://lpjk.pu.go.id/search-badan-usaha-detail/S3ZRM3VTaGxYRWZVcVk2cHBlbUhNUT09</t>
        </is>
      </c>
      <c r="F174" t="n">
        <v>1</v>
      </c>
      <c r="G174" t="inlineStr">
        <is>
          <t>BG002</t>
        </is>
      </c>
      <c r="H174" t="inlineStr">
        <is>
          <t>21 Juni 2022</t>
        </is>
      </c>
      <c r="I174" s="2" t="n">
        <v>46248</v>
      </c>
      <c r="J174" t="inlineStr">
        <is>
          <t>Pencabutan</t>
        </is>
      </c>
      <c r="K174" t="n">
        <v>30</v>
      </c>
      <c r="L174" t="inlineStr">
        <is>
          <t>14 Agustus 2026</t>
        </is>
      </c>
      <c r="M174" t="inlineStr">
        <is>
          <t>Konstruksi Gedung Perkantoran</t>
        </is>
      </c>
      <c r="N174" t="inlineStr">
        <is>
          <t>K</t>
        </is>
      </c>
      <c r="O174" t="inlineStr">
        <is>
          <t>20230731</t>
        </is>
      </c>
      <c r="P174" t="inlineStr">
        <is>
          <t>DKI Jakarta</t>
        </is>
      </c>
      <c r="Q174" t="inlineStr"/>
    </row>
    <row r="175">
      <c r="A175" t="inlineStr">
        <is>
          <t>REKA RANCANG GEMILANG</t>
        </is>
      </c>
      <c r="B175" t="inlineStr">
        <is>
          <t>Kab. Kutai Barat</t>
        </is>
      </c>
      <c r="C175" t="inlineStr">
        <is>
          <t>081347022247</t>
        </is>
      </c>
      <c r="D175" t="inlineStr">
        <is>
          <t>cvrekarancanggemilang@gmail.com</t>
        </is>
      </c>
      <c r="E175" t="inlineStr">
        <is>
          <t>https://lpjk.pu.go.id/search-badan-usaha-detail/dXpISVdiR3JoVzF0QUo5V1g1QWZrZz09</t>
        </is>
      </c>
      <c r="F175" t="n">
        <v>3</v>
      </c>
      <c r="G175" t="inlineStr">
        <is>
          <t>RK001, RK002, RK003</t>
        </is>
      </c>
      <c r="H175" t="inlineStr">
        <is>
          <t>8 Februari 2023</t>
        </is>
      </c>
      <c r="I175" s="2" t="n">
        <v>46248</v>
      </c>
      <c r="J175" t="inlineStr">
        <is>
          <t>Disetujui</t>
        </is>
      </c>
      <c r="K175" t="n">
        <v>30</v>
      </c>
      <c r="L175" t="inlineStr">
        <is>
          <t>14 Agustus 2026</t>
        </is>
      </c>
      <c r="M175" t="inlineStr">
        <is>
          <t>Jasa Rekayasa Konstruksi Bangunan Gedung Hunian dan Non Hunian, Jasa Rekayasa Pekerjaan Teknik Sipil Sumber Daya Air, Jasa Rekayasa Pekerjaan Teknik Sipil Transportasi</t>
        </is>
      </c>
      <c r="N175" t="inlineStr">
        <is>
          <t>K</t>
        </is>
      </c>
      <c r="O175" t="inlineStr">
        <is>
          <t>20230807</t>
        </is>
      </c>
      <c r="P175" t="inlineStr">
        <is>
          <t>Kalimantan Timur</t>
        </is>
      </c>
      <c r="Q175" t="inlineStr"/>
    </row>
    <row r="176">
      <c r="A176" t="inlineStr">
        <is>
          <t>RIFKY AGUNG PERKASA</t>
        </is>
      </c>
      <c r="B176" t="inlineStr">
        <is>
          <t>Kota Pontianak</t>
        </is>
      </c>
      <c r="C176" t="inlineStr">
        <is>
          <t>081345164963</t>
        </is>
      </c>
      <c r="D176" t="inlineStr">
        <is>
          <t>rifkyagungperkasa@gmail.com</t>
        </is>
      </c>
      <c r="E176" t="inlineStr">
        <is>
          <t>https://lpjk.pu.go.id/search-badan-usaha-detail/bnM4SUN0UEUyNU1sVmFvMGd6bkViUT09</t>
        </is>
      </c>
      <c r="F176" t="n">
        <v>1</v>
      </c>
      <c r="G176" t="inlineStr">
        <is>
          <t>BG002</t>
        </is>
      </c>
      <c r="H176" t="inlineStr">
        <is>
          <t>25 November 2015</t>
        </is>
      </c>
      <c r="I176" s="2" t="n">
        <v>46248</v>
      </c>
      <c r="J176" t="inlineStr">
        <is>
          <t>Pencabutan</t>
        </is>
      </c>
      <c r="K176" t="n">
        <v>30</v>
      </c>
      <c r="L176" t="inlineStr">
        <is>
          <t>14 Agustus 2026</t>
        </is>
      </c>
      <c r="M176" t="inlineStr">
        <is>
          <t>Konstruksi Gedung Perkantoran</t>
        </is>
      </c>
      <c r="N176" t="inlineStr">
        <is>
          <t>K</t>
        </is>
      </c>
      <c r="O176" t="inlineStr">
        <is>
          <t>20230812</t>
        </is>
      </c>
      <c r="P176" t="inlineStr">
        <is>
          <t>Kalimantan Barat</t>
        </is>
      </c>
      <c r="Q176" t="inlineStr"/>
    </row>
    <row r="177">
      <c r="A177" t="inlineStr">
        <is>
          <t>RIZKIA MULTI ABADI</t>
        </is>
      </c>
      <c r="B177" t="inlineStr">
        <is>
          <t>Kota Sukabumi</t>
        </is>
      </c>
      <c r="C177" t="inlineStr">
        <is>
          <t>085283871384</t>
        </is>
      </c>
      <c r="D177" t="inlineStr">
        <is>
          <t>Cvrizkiamultiabadi123@gmail.com</t>
        </is>
      </c>
      <c r="E177" t="inlineStr">
        <is>
          <t>https://lpjk.pu.go.id/search-badan-usaha-detail/cVJ4MTA0Vm5CT3J2TFVIcTY1RzFmQT09</t>
        </is>
      </c>
      <c r="F177" t="n">
        <v>4</v>
      </c>
      <c r="G177" t="inlineStr">
        <is>
          <t>BG005, BS004</t>
        </is>
      </c>
      <c r="H177" t="inlineStr">
        <is>
          <t>5 Maret 2023</t>
        </is>
      </c>
      <c r="I177" s="2" t="n">
        <v>46248</v>
      </c>
      <c r="J177" t="inlineStr">
        <is>
          <t>Disetujui</t>
        </is>
      </c>
      <c r="K177" t="n">
        <v>30</v>
      </c>
      <c r="L177" t="inlineStr">
        <is>
          <t>14 Agustus 2026</t>
        </is>
      </c>
      <c r="M177" t="inlineStr">
        <is>
          <t>Konstruksi Gedung Kesehatan, Konstruksi Jaringan Irigasi dan Drainase</t>
        </is>
      </c>
      <c r="N177" t="inlineStr">
        <is>
          <t>K</t>
        </is>
      </c>
      <c r="O177" t="inlineStr">
        <is>
          <t>20230815</t>
        </is>
      </c>
      <c r="P177" t="inlineStr">
        <is>
          <t>Jawa Barat</t>
        </is>
      </c>
      <c r="Q177" t="inlineStr"/>
    </row>
    <row r="178">
      <c r="A178" t="inlineStr">
        <is>
          <t>RIZQI ILAHI</t>
        </is>
      </c>
      <c r="B178" t="inlineStr">
        <is>
          <t>Kota Pasuruan</t>
        </is>
      </c>
      <c r="C178" t="inlineStr">
        <is>
          <t>081220326021</t>
        </is>
      </c>
      <c r="D178" t="inlineStr">
        <is>
          <t>rizqiilahi.cv@gmail.com</t>
        </is>
      </c>
      <c r="E178" t="inlineStr">
        <is>
          <t>https://lpjk.pu.go.id/search-badan-usaha-detail/RHErZ3d6VnNLQ0dMc2x3eEg4dnYzQT09</t>
        </is>
      </c>
      <c r="F178" t="n">
        <v>1</v>
      </c>
      <c r="G178" t="inlineStr">
        <is>
          <t>BG005</t>
        </is>
      </c>
      <c r="H178" t="inlineStr">
        <is>
          <t>21 Agustus 2019</t>
        </is>
      </c>
      <c r="I178" s="2" t="n">
        <v>46248</v>
      </c>
      <c r="J178" t="inlineStr">
        <is>
          <t>Disetujui</t>
        </is>
      </c>
      <c r="K178" t="n">
        <v>30</v>
      </c>
      <c r="L178" t="inlineStr">
        <is>
          <t>14 Agustus 2026</t>
        </is>
      </c>
      <c r="M178" t="inlineStr">
        <is>
          <t>Konstruksi Gedung Kesehatan</t>
        </is>
      </c>
      <c r="N178" t="inlineStr">
        <is>
          <t>K</t>
        </is>
      </c>
      <c r="O178" t="inlineStr">
        <is>
          <t>20230815</t>
        </is>
      </c>
      <c r="P178" t="inlineStr">
        <is>
          <t>Jawa Timur</t>
        </is>
      </c>
      <c r="Q178" t="inlineStr"/>
    </row>
    <row r="179">
      <c r="A179" t="inlineStr">
        <is>
          <t>SAKA NEGARA</t>
        </is>
      </c>
      <c r="B179" t="inlineStr">
        <is>
          <t>Kab. Wonosobo</t>
        </is>
      </c>
      <c r="C179" t="inlineStr">
        <is>
          <t>081327034179</t>
        </is>
      </c>
      <c r="D179" t="inlineStr">
        <is>
          <t>cvsakanegara2022@gmail.com</t>
        </is>
      </c>
      <c r="E179" t="inlineStr">
        <is>
          <t>https://lpjk.pu.go.id/search-badan-usaha-detail/Z203VHBURVltTE5qOEFqNEpQMkN3dz09</t>
        </is>
      </c>
      <c r="F179" t="n">
        <v>3</v>
      </c>
      <c r="G179" t="inlineStr">
        <is>
          <t>BG005, BG006, BG009</t>
        </is>
      </c>
      <c r="H179" t="inlineStr">
        <is>
          <t>13 Januari 2016</t>
        </is>
      </c>
      <c r="I179" s="2" t="n">
        <v>46248</v>
      </c>
      <c r="J179" t="inlineStr">
        <is>
          <t>Disetujui</t>
        </is>
      </c>
      <c r="K179" t="n">
        <v>30</v>
      </c>
      <c r="L179" t="inlineStr">
        <is>
          <t>14 Agustus 2026</t>
        </is>
      </c>
      <c r="M179" t="inlineStr">
        <is>
          <t>Konstruksi Gedung Kesehatan, Konstruksi Gedung Lainnya, Konstruksi Gedung Pendidikan</t>
        </is>
      </c>
      <c r="N179" t="inlineStr">
        <is>
          <t>K</t>
        </is>
      </c>
      <c r="O179" t="inlineStr">
        <is>
          <t>20230811, 20230812</t>
        </is>
      </c>
      <c r="P179" t="inlineStr">
        <is>
          <t>Jawa Tengah</t>
        </is>
      </c>
      <c r="Q179" t="inlineStr"/>
    </row>
    <row r="180">
      <c r="A180" t="inlineStr">
        <is>
          <t>SAMPURNA PUTRA ABADI</t>
        </is>
      </c>
      <c r="B180" t="inlineStr">
        <is>
          <t>Kota Adm. Jakarta Utara</t>
        </is>
      </c>
      <c r="C180" t="inlineStr">
        <is>
          <t>02145847811</t>
        </is>
      </c>
      <c r="D180" t="inlineStr">
        <is>
          <t>sampurnaputraabadi@gmail.com</t>
        </is>
      </c>
      <c r="E180" t="inlineStr">
        <is>
          <t>https://lpjk.pu.go.id/search-badan-usaha-detail/aExHNlRGcjhIbHpRZkZMaW00UEdEQT09</t>
        </is>
      </c>
      <c r="F180" t="n">
        <v>1</v>
      </c>
      <c r="G180" t="inlineStr">
        <is>
          <t>BG007</t>
        </is>
      </c>
      <c r="H180" t="inlineStr">
        <is>
          <t>1 Januari 2018</t>
        </is>
      </c>
      <c r="I180" s="2" t="n">
        <v>46248</v>
      </c>
      <c r="J180" t="inlineStr">
        <is>
          <t>Disetujui</t>
        </is>
      </c>
      <c r="K180" t="n">
        <v>30</v>
      </c>
      <c r="L180" t="inlineStr">
        <is>
          <t>14 Agustus 2026</t>
        </is>
      </c>
      <c r="M180" t="inlineStr">
        <is>
          <t>Konstruksi Gedung Penginapan</t>
        </is>
      </c>
      <c r="N180" t="inlineStr">
        <is>
          <t>K</t>
        </is>
      </c>
      <c r="O180" t="inlineStr">
        <is>
          <t>20230804</t>
        </is>
      </c>
      <c r="P180" t="inlineStr">
        <is>
          <t>DKI Jakarta</t>
        </is>
      </c>
      <c r="Q180" t="inlineStr"/>
    </row>
    <row r="181">
      <c r="A181" t="inlineStr">
        <is>
          <t>SANGGA BUANA BAKTI</t>
        </is>
      </c>
      <c r="B181" t="inlineStr">
        <is>
          <t>Kab. Barito Kuala</t>
        </is>
      </c>
      <c r="C181" t="inlineStr">
        <is>
          <t>05114311124</t>
        </is>
      </c>
      <c r="D181" t="inlineStr">
        <is>
          <t>cv.sangga.buana.batola@gmail.com</t>
        </is>
      </c>
      <c r="E181" t="inlineStr">
        <is>
          <t>https://lpjk.pu.go.id/search-badan-usaha-detail/WTVEVUU1bGh1UVFDUjdWMjVDWVhpQT09</t>
        </is>
      </c>
      <c r="F181" t="n">
        <v>2</v>
      </c>
      <c r="G181" t="inlineStr">
        <is>
          <t>BS001</t>
        </is>
      </c>
      <c r="H181" t="inlineStr">
        <is>
          <t>15 Februari 2012</t>
        </is>
      </c>
      <c r="I181" s="2" t="n">
        <v>46248</v>
      </c>
      <c r="J181" t="inlineStr">
        <is>
          <t>Disetujui</t>
        </is>
      </c>
      <c r="K181" t="n">
        <v>30</v>
      </c>
      <c r="L181" t="inlineStr">
        <is>
          <t>14 Agustus 2026</t>
        </is>
      </c>
      <c r="M181" t="inlineStr">
        <is>
          <t>Konstruksi Bangunan Sipil Jalan</t>
        </is>
      </c>
      <c r="N181" t="inlineStr">
        <is>
          <t>K</t>
        </is>
      </c>
      <c r="O181" t="inlineStr">
        <is>
          <t>20230811</t>
        </is>
      </c>
      <c r="P181" t="inlineStr">
        <is>
          <t>Kalimantan Selatan</t>
        </is>
      </c>
      <c r="Q181" t="inlineStr"/>
    </row>
    <row r="182">
      <c r="A182" t="inlineStr">
        <is>
          <t>SAR GEDE</t>
        </is>
      </c>
      <c r="B182" t="inlineStr">
        <is>
          <t>Kab. Jepara</t>
        </is>
      </c>
      <c r="C182" t="inlineStr">
        <is>
          <t>081326212739</t>
        </is>
      </c>
      <c r="D182" t="inlineStr">
        <is>
          <t>sargedecv@gmail.com</t>
        </is>
      </c>
      <c r="E182" t="inlineStr">
        <is>
          <t>https://lpjk.pu.go.id/search-badan-usaha-detail/ZkpkNk9ndUJySmZvMVF1dFVMTE55UT09</t>
        </is>
      </c>
      <c r="F182" t="n">
        <v>1</v>
      </c>
      <c r="G182" t="inlineStr">
        <is>
          <t>BG003</t>
        </is>
      </c>
      <c r="H182" t="inlineStr">
        <is>
          <t>17 Desember 2007</t>
        </is>
      </c>
      <c r="I182" s="2" t="n">
        <v>46248</v>
      </c>
      <c r="J182" t="inlineStr">
        <is>
          <t>Disetujui</t>
        </is>
      </c>
      <c r="K182" t="n">
        <v>30</v>
      </c>
      <c r="L182" t="inlineStr">
        <is>
          <t>14 Agustus 2026</t>
        </is>
      </c>
      <c r="M182" t="inlineStr">
        <is>
          <t>Konstruksi Gedung Industri</t>
        </is>
      </c>
      <c r="N182" t="inlineStr">
        <is>
          <t>K</t>
        </is>
      </c>
      <c r="O182" t="inlineStr">
        <is>
          <t>20230808</t>
        </is>
      </c>
      <c r="P182" t="inlineStr">
        <is>
          <t>Jawa Tengah</t>
        </is>
      </c>
      <c r="Q182" t="inlineStr"/>
    </row>
    <row r="183">
      <c r="A183" t="inlineStr">
        <is>
          <t>SARANA ABADI JAYA RAYA</t>
        </is>
      </c>
      <c r="B183" t="inlineStr">
        <is>
          <t>Kab. Karawang</t>
        </is>
      </c>
      <c r="C183" t="inlineStr">
        <is>
          <t>082213858951</t>
        </is>
      </c>
      <c r="D183" t="inlineStr">
        <is>
          <t>abadi_sarana@yahoo.com</t>
        </is>
      </c>
      <c r="E183" t="inlineStr">
        <is>
          <t>https://lpjk.pu.go.id/search-badan-usaha-detail/eVpIOFBsQkxySWhqREd4d1liY1MrUT09</t>
        </is>
      </c>
      <c r="F183" t="n">
        <v>1</v>
      </c>
      <c r="G183" t="inlineStr">
        <is>
          <t>BS001</t>
        </is>
      </c>
      <c r="H183" t="inlineStr">
        <is>
          <t>3 September 2014</t>
        </is>
      </c>
      <c r="I183" s="2" t="n">
        <v>46248</v>
      </c>
      <c r="J183" t="inlineStr">
        <is>
          <t>Pencabutan</t>
        </is>
      </c>
      <c r="K183" t="n">
        <v>30</v>
      </c>
      <c r="L183" t="inlineStr">
        <is>
          <t>14 Agustus 2026</t>
        </is>
      </c>
      <c r="M183" t="inlineStr">
        <is>
          <t>Konstruksi Bangunan Sipil Jalan</t>
        </is>
      </c>
      <c r="N183" t="inlineStr">
        <is>
          <t>B</t>
        </is>
      </c>
      <c r="O183" t="inlineStr">
        <is>
          <t>20230814</t>
        </is>
      </c>
      <c r="P183" t="inlineStr">
        <is>
          <t>Jawa Barat</t>
        </is>
      </c>
      <c r="Q183" t="inlineStr"/>
    </row>
    <row r="184">
      <c r="A184" t="inlineStr">
        <is>
          <t>SHANNON JAYA PERKASA</t>
        </is>
      </c>
      <c r="B184" t="inlineStr">
        <is>
          <t>Kab. Kutai Kartanegara</t>
        </is>
      </c>
      <c r="C184" t="inlineStr">
        <is>
          <t>085220700052</t>
        </is>
      </c>
      <c r="D184" t="inlineStr">
        <is>
          <t>sjp.tenggarong@gmail.com</t>
        </is>
      </c>
      <c r="E184" t="inlineStr">
        <is>
          <t>https://lpjk.pu.go.id/search-badan-usaha-detail/Z09kVkE5eTRJZnlpVkxIOGF4aGVwUT09</t>
        </is>
      </c>
      <c r="F184" t="n">
        <v>1</v>
      </c>
      <c r="G184" t="inlineStr">
        <is>
          <t>BS002</t>
        </is>
      </c>
      <c r="H184" t="inlineStr">
        <is>
          <t>1 November 2016</t>
        </is>
      </c>
      <c r="I184" s="2" t="n">
        <v>46248</v>
      </c>
      <c r="J184" t="inlineStr">
        <is>
          <t>Disetujui</t>
        </is>
      </c>
      <c r="K184" t="n">
        <v>30</v>
      </c>
      <c r="L184" t="inlineStr">
        <is>
          <t>14 Agustus 2026</t>
        </is>
      </c>
      <c r="M184" t="inlineStr">
        <is>
          <t>Bangunan Sipil Jembatan, Jalan Layang, Fly Over, dan Underpass</t>
        </is>
      </c>
      <c r="N184" t="inlineStr">
        <is>
          <t>K</t>
        </is>
      </c>
      <c r="O184" t="inlineStr">
        <is>
          <t>20230811</t>
        </is>
      </c>
      <c r="P184" t="inlineStr">
        <is>
          <t>Kalimantan Timur</t>
        </is>
      </c>
      <c r="Q184" t="inlineStr"/>
    </row>
    <row r="185">
      <c r="A185" t="inlineStr">
        <is>
          <t>SINAR TERANG</t>
        </is>
      </c>
      <c r="B185" t="inlineStr">
        <is>
          <t>Kota Cimahi</t>
        </is>
      </c>
      <c r="C185" t="inlineStr">
        <is>
          <t>-</t>
        </is>
      </c>
      <c r="D185" t="inlineStr">
        <is>
          <t>sinar.terang.cimahi@gmail.com</t>
        </is>
      </c>
      <c r="E185" t="inlineStr">
        <is>
          <t>https://lpjk.pu.go.id/search-badan-usaha-detail/Z245RXpZc284K3h4cEFheGNGL0d0QW40cE8raDBZemtFTmNCbUNOWDhvTT0</t>
        </is>
      </c>
      <c r="F185" t="n">
        <v>1</v>
      </c>
      <c r="G185" t="inlineStr">
        <is>
          <t>BG006</t>
        </is>
      </c>
      <c r="H185" t="inlineStr">
        <is>
          <t>6 September 2022</t>
        </is>
      </c>
      <c r="I185" s="2" t="n">
        <v>46248</v>
      </c>
      <c r="J185" t="inlineStr">
        <is>
          <t>Disetujui</t>
        </is>
      </c>
      <c r="K185" t="n">
        <v>30</v>
      </c>
      <c r="L185" t="inlineStr">
        <is>
          <t>14 Agustus 2026</t>
        </is>
      </c>
      <c r="M185" t="inlineStr">
        <is>
          <t>Konstruksi Gedung Pendidikan</t>
        </is>
      </c>
      <c r="N185" t="inlineStr">
        <is>
          <t>K</t>
        </is>
      </c>
      <c r="O185" t="inlineStr">
        <is>
          <t>20230814</t>
        </is>
      </c>
      <c r="P185" t="inlineStr">
        <is>
          <t>Jawa Barat</t>
        </is>
      </c>
      <c r="Q185" t="inlineStr"/>
    </row>
    <row r="186">
      <c r="A186" t="inlineStr">
        <is>
          <t>SINERGI JAGAT KONSTRUKSI</t>
        </is>
      </c>
      <c r="B186" t="inlineStr">
        <is>
          <t>Kota Adm. Jakarta Pusat</t>
        </is>
      </c>
      <c r="C186" t="inlineStr">
        <is>
          <t>08118955000</t>
        </is>
      </c>
      <c r="D186" t="inlineStr">
        <is>
          <t>sinergijagatkonstruksi@gmail.com</t>
        </is>
      </c>
      <c r="E186" t="inlineStr">
        <is>
          <t>https://lpjk.pu.go.id/search-badan-usaha-detail/YS8rdVZtdDhQcnMyTVJCdHdWVTQ3Zz09</t>
        </is>
      </c>
      <c r="F186" t="n">
        <v>1</v>
      </c>
      <c r="G186" t="inlineStr">
        <is>
          <t>BG009</t>
        </is>
      </c>
      <c r="H186" t="inlineStr">
        <is>
          <t>12 November 2022</t>
        </is>
      </c>
      <c r="I186" s="2" t="n">
        <v>46248</v>
      </c>
      <c r="J186" t="inlineStr">
        <is>
          <t>Disetujui</t>
        </is>
      </c>
      <c r="K186" t="n">
        <v>30</v>
      </c>
      <c r="L186" t="inlineStr">
        <is>
          <t>14 Agustus 2026</t>
        </is>
      </c>
      <c r="M186" t="inlineStr">
        <is>
          <t>Konstruksi Gedung Lainnya</t>
        </is>
      </c>
      <c r="N186" t="inlineStr">
        <is>
          <t>K</t>
        </is>
      </c>
      <c r="O186" t="inlineStr">
        <is>
          <t>20230814</t>
        </is>
      </c>
      <c r="P186" t="inlineStr">
        <is>
          <t>DKI Jakarta</t>
        </is>
      </c>
      <c r="Q186" t="inlineStr"/>
    </row>
    <row r="187">
      <c r="A187" t="inlineStr">
        <is>
          <t>SRIKANDI SAKTI</t>
        </is>
      </c>
      <c r="B187" t="inlineStr">
        <is>
          <t>Kab. Tanah Datar</t>
        </is>
      </c>
      <c r="C187" t="inlineStr">
        <is>
          <t>081364006488</t>
        </is>
      </c>
      <c r="D187" t="inlineStr">
        <is>
          <t>srikandisakti1@gmail.com</t>
        </is>
      </c>
      <c r="E187" t="inlineStr">
        <is>
          <t>https://lpjk.pu.go.id/search-badan-usaha-detail/MjNpODE4MXU2a3RHc3NudnpSMm9aQT09</t>
        </is>
      </c>
      <c r="F187" t="n">
        <v>1</v>
      </c>
      <c r="G187" t="inlineStr">
        <is>
          <t>BS005</t>
        </is>
      </c>
      <c r="H187" t="inlineStr">
        <is>
          <t>10 November 2008</t>
        </is>
      </c>
      <c r="I187" s="2" t="n">
        <v>46248</v>
      </c>
      <c r="J187" t="inlineStr">
        <is>
          <t>Disetujui</t>
        </is>
      </c>
      <c r="K187" t="n">
        <v>30</v>
      </c>
      <c r="L187" t="inlineStr">
        <is>
          <t>14 Agustus 2026</t>
        </is>
      </c>
      <c r="M187" t="inlineStr">
        <is>
          <t>Konstruksi Bangunan Sipil Pengolahan Air Bersih</t>
        </is>
      </c>
      <c r="N187" t="inlineStr">
        <is>
          <t>K</t>
        </is>
      </c>
      <c r="O187" t="inlineStr">
        <is>
          <t>20230810</t>
        </is>
      </c>
      <c r="P187" t="inlineStr">
        <is>
          <t>Sumatera Barat</t>
        </is>
      </c>
      <c r="Q187" t="inlineStr"/>
    </row>
    <row r="188">
      <c r="A188" t="inlineStr">
        <is>
          <t>TANGGUH TIARA PERMAI</t>
        </is>
      </c>
      <c r="B188" t="inlineStr">
        <is>
          <t>Kota Malang</t>
        </is>
      </c>
      <c r="C188" t="inlineStr">
        <is>
          <t>089636204910</t>
        </is>
      </c>
      <c r="D188" t="inlineStr">
        <is>
          <t>tangguhtiarapermai@gmail.com</t>
        </is>
      </c>
      <c r="E188" t="inlineStr">
        <is>
          <t>https://lpjk.pu.go.id/search-badan-usaha-detail/SFNKRm9LUng5UXBBRmVGOUtxbGpCZz09</t>
        </is>
      </c>
      <c r="F188" t="n">
        <v>1</v>
      </c>
      <c r="G188" t="inlineStr">
        <is>
          <t>BG009</t>
        </is>
      </c>
      <c r="H188" t="inlineStr">
        <is>
          <t>12 November 1988</t>
        </is>
      </c>
      <c r="I188" s="2" t="n">
        <v>46248</v>
      </c>
      <c r="J188" t="inlineStr">
        <is>
          <t>Disetujui</t>
        </is>
      </c>
      <c r="K188" t="n">
        <v>30</v>
      </c>
      <c r="L188" t="inlineStr">
        <is>
          <t>14 Agustus 2026</t>
        </is>
      </c>
      <c r="M188" t="inlineStr">
        <is>
          <t>Konstruksi Gedung Lainnya</t>
        </is>
      </c>
      <c r="N188" t="inlineStr">
        <is>
          <t>K</t>
        </is>
      </c>
      <c r="O188" t="inlineStr">
        <is>
          <t>20230814</t>
        </is>
      </c>
      <c r="P188" t="inlineStr">
        <is>
          <t>Jawa Timur</t>
        </is>
      </c>
      <c r="Q188" t="inlineStr"/>
    </row>
    <row r="189">
      <c r="A189" t="inlineStr">
        <is>
          <t>TIARA MULIA PRATAMA</t>
        </is>
      </c>
      <c r="B189" t="inlineStr">
        <is>
          <t>Kab. Bengkalis</t>
        </is>
      </c>
      <c r="C189" t="inlineStr">
        <is>
          <t>08117504811</t>
        </is>
      </c>
      <c r="D189" t="inlineStr">
        <is>
          <t>pttmp@pttiara.com</t>
        </is>
      </c>
      <c r="E189" t="inlineStr">
        <is>
          <t>https://lpjk.pu.go.id/search-badan-usaha-detail/d3M4N04wVGRvd1U2ZEZwK1g3Z1FEUT09</t>
        </is>
      </c>
      <c r="F189" t="n">
        <v>1</v>
      </c>
      <c r="G189" t="inlineStr">
        <is>
          <t>PA001</t>
        </is>
      </c>
      <c r="H189" t="inlineStr">
        <is>
          <t>11 Mei 2023</t>
        </is>
      </c>
      <c r="I189" s="2" t="n">
        <v>46248</v>
      </c>
      <c r="J189" t="inlineStr">
        <is>
          <t>Pembekuan</t>
        </is>
      </c>
      <c r="K189" t="n">
        <v>30</v>
      </c>
      <c r="L189" t="inlineStr">
        <is>
          <t>14 Agustus 2026</t>
        </is>
      </c>
      <c r="M189" t="inlineStr">
        <is>
          <t>Penyewaan Peralatan Konstruksi</t>
        </is>
      </c>
      <c r="N189" t="inlineStr">
        <is>
          <t>Spesialis</t>
        </is>
      </c>
      <c r="O189" t="inlineStr">
        <is>
          <t>20230815</t>
        </is>
      </c>
      <c r="P189" t="inlineStr">
        <is>
          <t>Riau</t>
        </is>
      </c>
      <c r="Q189" t="inlineStr"/>
    </row>
    <row r="190">
      <c r="A190" t="inlineStr">
        <is>
          <t>TIGA A</t>
        </is>
      </c>
      <c r="B190" t="inlineStr">
        <is>
          <t>Kab. Banyuwangi</t>
        </is>
      </c>
      <c r="C190" t="inlineStr">
        <is>
          <t>0333410700</t>
        </is>
      </c>
      <c r="D190" t="inlineStr">
        <is>
          <t>cvtigaa@gmail.com</t>
        </is>
      </c>
      <c r="E190" t="inlineStr">
        <is>
          <t>https://lpjk.pu.go.id/search-badan-usaha-detail/N3JuMjB2d2JtbTMyaFZsMWZQTVJJdz09</t>
        </is>
      </c>
      <c r="F190" t="n">
        <v>1</v>
      </c>
      <c r="G190" t="inlineStr">
        <is>
          <t>BS001</t>
        </is>
      </c>
      <c r="H190" t="inlineStr">
        <is>
          <t>12 Oktober 2017</t>
        </is>
      </c>
      <c r="I190" s="2" t="n">
        <v>46248</v>
      </c>
      <c r="J190" t="inlineStr">
        <is>
          <t>Disetujui</t>
        </is>
      </c>
      <c r="K190" t="n">
        <v>30</v>
      </c>
      <c r="L190" t="inlineStr">
        <is>
          <t>14 Agustus 2026</t>
        </is>
      </c>
      <c r="M190" t="inlineStr">
        <is>
          <t>Konstruksi Bangunan Sipil Jalan</t>
        </is>
      </c>
      <c r="N190" t="inlineStr">
        <is>
          <t>K</t>
        </is>
      </c>
      <c r="O190" t="inlineStr">
        <is>
          <t>20230802</t>
        </is>
      </c>
      <c r="P190" t="inlineStr">
        <is>
          <t>Jawa Timur</t>
        </is>
      </c>
      <c r="Q190" t="inlineStr"/>
    </row>
    <row r="191">
      <c r="A191" t="inlineStr">
        <is>
          <t>TIGA SEKAWAN MAKMUR</t>
        </is>
      </c>
      <c r="B191" t="inlineStr">
        <is>
          <t>Kota Jambi</t>
        </is>
      </c>
      <c r="C191" t="inlineStr">
        <is>
          <t>082280554556</t>
        </is>
      </c>
      <c r="D191" t="inlineStr">
        <is>
          <t>tigasekawanmakmur@gmail.com</t>
        </is>
      </c>
      <c r="E191" t="inlineStr">
        <is>
          <t>https://lpjk.pu.go.id/search-badan-usaha-detail/andFSzVYNWlqdWp2Z0g2Y3ZwZ2NGdz09</t>
        </is>
      </c>
      <c r="F191" t="n">
        <v>2</v>
      </c>
      <c r="G191" t="inlineStr">
        <is>
          <t>BG006, BG009</t>
        </is>
      </c>
      <c r="H191" t="inlineStr">
        <is>
          <t>23 November 2018</t>
        </is>
      </c>
      <c r="I191" s="2" t="n">
        <v>46248</v>
      </c>
      <c r="J191" t="inlineStr">
        <is>
          <t>Disetujui</t>
        </is>
      </c>
      <c r="K191" t="n">
        <v>30</v>
      </c>
      <c r="L191" t="inlineStr">
        <is>
          <t>14 Agustus 2026</t>
        </is>
      </c>
      <c r="M191" t="inlineStr">
        <is>
          <t>Konstruksi Gedung Lainnya, Konstruksi Gedung Pendidikan</t>
        </is>
      </c>
      <c r="N191" t="inlineStr">
        <is>
          <t>K</t>
        </is>
      </c>
      <c r="O191" t="inlineStr">
        <is>
          <t>20230807, 20230814</t>
        </is>
      </c>
      <c r="P191" t="inlineStr">
        <is>
          <t>Jambi</t>
        </is>
      </c>
      <c r="Q191" t="inlineStr"/>
    </row>
    <row r="192">
      <c r="A192" t="inlineStr">
        <is>
          <t>TIGA TALENTA JAYA</t>
        </is>
      </c>
      <c r="B192" t="inlineStr">
        <is>
          <t>Kota Tangerang Selatan</t>
        </is>
      </c>
      <c r="C192" t="inlineStr">
        <is>
          <t>081382671888</t>
        </is>
      </c>
      <c r="D192" t="inlineStr">
        <is>
          <t>tigatalentajaya@gmail.com</t>
        </is>
      </c>
      <c r="E192" t="inlineStr">
        <is>
          <t>https://lpjk.pu.go.id/search-badan-usaha-detail/d21tM28yOU1hUFExRElqaEFCWHFMdz09</t>
        </is>
      </c>
      <c r="F192" t="n">
        <v>1</v>
      </c>
      <c r="G192" t="inlineStr">
        <is>
          <t>BS010</t>
        </is>
      </c>
      <c r="H192" t="inlineStr">
        <is>
          <t>11 Maret 2020</t>
        </is>
      </c>
      <c r="I192" s="2" t="n">
        <v>46248</v>
      </c>
      <c r="J192" t="inlineStr">
        <is>
          <t>Pencabutan</t>
        </is>
      </c>
      <c r="K192" t="n">
        <v>30</v>
      </c>
      <c r="L192" t="inlineStr">
        <is>
          <t>14 Agustus 2026</t>
        </is>
      </c>
      <c r="M192" t="inlineStr">
        <is>
          <t>Konstruksi Bangunan Prasarana Sumber Daya Air</t>
        </is>
      </c>
      <c r="N192" t="inlineStr">
        <is>
          <t>K</t>
        </is>
      </c>
      <c r="O192" t="inlineStr">
        <is>
          <t>20230814</t>
        </is>
      </c>
      <c r="P192" t="inlineStr">
        <is>
          <t>Banten</t>
        </is>
      </c>
      <c r="Q192" t="inlineStr"/>
    </row>
    <row r="193">
      <c r="A193" t="inlineStr">
        <is>
          <t>TINAMPI BAROKAH</t>
        </is>
      </c>
      <c r="B193" t="inlineStr">
        <is>
          <t>Kab. Klaten</t>
        </is>
      </c>
      <c r="C193" t="inlineStr">
        <is>
          <t>085743777801</t>
        </is>
      </c>
      <c r="D193" t="inlineStr">
        <is>
          <t>tinampi.barokah@gmail.com</t>
        </is>
      </c>
      <c r="E193" t="inlineStr">
        <is>
          <t>https://lpjk.pu.go.id/search-badan-usaha-detail/dzU4N28wV28yMExMQWdSYTFyMzhYZz09</t>
        </is>
      </c>
      <c r="F193" t="n">
        <v>1</v>
      </c>
      <c r="G193" t="inlineStr">
        <is>
          <t>BG005</t>
        </is>
      </c>
      <c r="H193" t="inlineStr">
        <is>
          <t>22 Juni 2012</t>
        </is>
      </c>
      <c r="I193" s="2" t="n">
        <v>46248</v>
      </c>
      <c r="J193" t="inlineStr">
        <is>
          <t>Disetujui</t>
        </is>
      </c>
      <c r="K193" t="n">
        <v>30</v>
      </c>
      <c r="L193" t="inlineStr">
        <is>
          <t>14 Agustus 2026</t>
        </is>
      </c>
      <c r="M193" t="inlineStr">
        <is>
          <t>Konstruksi Gedung Kesehatan</t>
        </is>
      </c>
      <c r="N193" t="inlineStr">
        <is>
          <t>K</t>
        </is>
      </c>
      <c r="O193" t="inlineStr">
        <is>
          <t>20230814</t>
        </is>
      </c>
      <c r="P193" t="inlineStr">
        <is>
          <t>Jawa Tengah</t>
        </is>
      </c>
      <c r="Q193" t="inlineStr"/>
    </row>
    <row r="194">
      <c r="A194" t="inlineStr">
        <is>
          <t>TINULUNG ASIH</t>
        </is>
      </c>
      <c r="B194" t="inlineStr">
        <is>
          <t>Kab. Kediri</t>
        </is>
      </c>
      <c r="C194" t="inlineStr">
        <is>
          <t>08123253934</t>
        </is>
      </c>
      <c r="D194" t="inlineStr">
        <is>
          <t>tinulungasihcv@yahoo.co.id</t>
        </is>
      </c>
      <c r="E194" t="inlineStr">
        <is>
          <t>https://lpjk.pu.go.id/search-badan-usaha-detail/TTEyS2QrL3BrTmFQcStRWkRpUE40Zz09</t>
        </is>
      </c>
      <c r="F194" t="n">
        <v>1</v>
      </c>
      <c r="G194" t="inlineStr">
        <is>
          <t>BG009</t>
        </is>
      </c>
      <c r="H194" t="inlineStr">
        <is>
          <t>31 Oktober 1984</t>
        </is>
      </c>
      <c r="I194" s="2" t="n">
        <v>46248</v>
      </c>
      <c r="J194" t="inlineStr">
        <is>
          <t>Disetujui</t>
        </is>
      </c>
      <c r="K194" t="n">
        <v>30</v>
      </c>
      <c r="L194" t="inlineStr">
        <is>
          <t>14 Agustus 2026</t>
        </is>
      </c>
      <c r="M194" t="inlineStr">
        <is>
          <t>Konstruksi Gedung Lainnya</t>
        </is>
      </c>
      <c r="N194" t="inlineStr">
        <is>
          <t>K</t>
        </is>
      </c>
      <c r="O194" t="inlineStr">
        <is>
          <t>20230809</t>
        </is>
      </c>
      <c r="P194" t="inlineStr">
        <is>
          <t>Jawa Timur</t>
        </is>
      </c>
      <c r="Q194" t="inlineStr"/>
    </row>
    <row r="195">
      <c r="A195" t="inlineStr">
        <is>
          <t>TUAI SEJAHTERA</t>
        </is>
      </c>
      <c r="B195" t="inlineStr">
        <is>
          <t>Kab. Bandung</t>
        </is>
      </c>
      <c r="C195" t="inlineStr">
        <is>
          <t>0811201605</t>
        </is>
      </c>
      <c r="D195" t="inlineStr">
        <is>
          <t>cvtuaisejahtera@gmail.com</t>
        </is>
      </c>
      <c r="E195" t="inlineStr">
        <is>
          <t>https://lpjk.pu.go.id/search-badan-usaha-detail/MTdYeWxtRUxINGJwKzl5b1JFdE1QQT09</t>
        </is>
      </c>
      <c r="F195" t="n">
        <v>3</v>
      </c>
      <c r="G195" t="inlineStr">
        <is>
          <t>BG004, BS001</t>
        </is>
      </c>
      <c r="H195" t="inlineStr">
        <is>
          <t>20 Desember 2011</t>
        </is>
      </c>
      <c r="I195" s="2" t="n">
        <v>46248</v>
      </c>
      <c r="J195" t="inlineStr">
        <is>
          <t>Disetujui</t>
        </is>
      </c>
      <c r="K195" t="n">
        <v>30</v>
      </c>
      <c r="L195" t="inlineStr">
        <is>
          <t>14 Agustus 2026</t>
        </is>
      </c>
      <c r="M195" t="inlineStr">
        <is>
          <t>Konstruksi Bangunan Sipil Jalan, Konstruksi Gedung Perbelanjaan</t>
        </is>
      </c>
      <c r="N195" t="inlineStr">
        <is>
          <t>K</t>
        </is>
      </c>
      <c r="O195" t="inlineStr">
        <is>
          <t>20230812, 20230813</t>
        </is>
      </c>
      <c r="P195" t="inlineStr">
        <is>
          <t>Jawa Barat</t>
        </is>
      </c>
      <c r="Q195" t="inlineStr"/>
    </row>
    <row r="196">
      <c r="A196" t="inlineStr">
        <is>
          <t>TUNAS AGUNG PRADANA</t>
        </is>
      </c>
      <c r="B196" t="inlineStr">
        <is>
          <t>Kota Kupang</t>
        </is>
      </c>
      <c r="C196" t="inlineStr">
        <is>
          <t>081288208070</t>
        </is>
      </c>
      <c r="D196" t="inlineStr">
        <is>
          <t>cvtunasagungpradana@gmail.com</t>
        </is>
      </c>
      <c r="E196" t="inlineStr">
        <is>
          <t>https://lpjk.pu.go.id/search-badan-usaha-detail/a1QyaVNITkR4TFhBd0hCSVFaaEpCdz09</t>
        </is>
      </c>
      <c r="F196" t="n">
        <v>1</v>
      </c>
      <c r="G196" t="inlineStr">
        <is>
          <t>BG006</t>
        </is>
      </c>
      <c r="H196" t="inlineStr">
        <is>
          <t>10 Januari 2020</t>
        </is>
      </c>
      <c r="I196" s="2" t="n">
        <v>46248</v>
      </c>
      <c r="J196" t="inlineStr">
        <is>
          <t>Disetujui</t>
        </is>
      </c>
      <c r="K196" t="n">
        <v>30</v>
      </c>
      <c r="L196" t="inlineStr">
        <is>
          <t>14 Agustus 2026</t>
        </is>
      </c>
      <c r="M196" t="inlineStr">
        <is>
          <t>Konstruksi Gedung Pendidikan</t>
        </is>
      </c>
      <c r="N196" t="inlineStr">
        <is>
          <t>K</t>
        </is>
      </c>
      <c r="O196" t="inlineStr">
        <is>
          <t>20230726</t>
        </is>
      </c>
      <c r="P196" t="inlineStr">
        <is>
          <t>Nusa Tenggara Timur</t>
        </is>
      </c>
      <c r="Q196" t="inlineStr"/>
    </row>
    <row r="197">
      <c r="A197" t="inlineStr">
        <is>
          <t>TUNAS BANTEN JAYA</t>
        </is>
      </c>
      <c r="B197" t="inlineStr">
        <is>
          <t>Kota Serang</t>
        </is>
      </c>
      <c r="C197" t="inlineStr">
        <is>
          <t>087871158777</t>
        </is>
      </c>
      <c r="D197" t="inlineStr">
        <is>
          <t>tunasbantenjayapt@yahoo.com</t>
        </is>
      </c>
      <c r="E197" t="inlineStr">
        <is>
          <t>https://lpjk.pu.go.id/search-badan-usaha-detail/b3YweHh6MVF0TFpVZU5uQWErdXFxQT09</t>
        </is>
      </c>
      <c r="F197" t="n">
        <v>2</v>
      </c>
      <c r="G197" t="inlineStr">
        <is>
          <t>BG002, BG009</t>
        </is>
      </c>
      <c r="H197" t="inlineStr">
        <is>
          <t>23 Juli 2020</t>
        </is>
      </c>
      <c r="I197" s="2" t="n">
        <v>46248</v>
      </c>
      <c r="J197" t="inlineStr">
        <is>
          <t>Disetujui</t>
        </is>
      </c>
      <c r="K197" t="n">
        <v>30</v>
      </c>
      <c r="L197" t="inlineStr">
        <is>
          <t>14 Agustus 2026</t>
        </is>
      </c>
      <c r="M197" t="inlineStr">
        <is>
          <t>Konstruksi Gedung Lainnya, Konstruksi Gedung Perkantoran</t>
        </is>
      </c>
      <c r="N197" t="inlineStr">
        <is>
          <t>K</t>
        </is>
      </c>
      <c r="O197" t="inlineStr">
        <is>
          <t>20230814</t>
        </is>
      </c>
      <c r="P197" t="inlineStr">
        <is>
          <t>Banten</t>
        </is>
      </c>
      <c r="Q197" t="inlineStr"/>
    </row>
    <row r="198">
      <c r="A198" t="inlineStr">
        <is>
          <t>UNGGUL</t>
        </is>
      </c>
      <c r="B198" t="inlineStr">
        <is>
          <t>Kab. Situbondo</t>
        </is>
      </c>
      <c r="C198" t="inlineStr">
        <is>
          <t>082140591454</t>
        </is>
      </c>
      <c r="D198" t="inlineStr">
        <is>
          <t>lsbugkb3512@gmail.com</t>
        </is>
      </c>
      <c r="E198" t="inlineStr">
        <is>
          <t>https://lpjk.pu.go.id/search-badan-usaha-detail/dWNodU04dU5Bakl2N05jaGhzY24vUT09</t>
        </is>
      </c>
      <c r="F198" t="n">
        <v>1</v>
      </c>
      <c r="G198" t="inlineStr">
        <is>
          <t>BS001</t>
        </is>
      </c>
      <c r="H198" t="inlineStr">
        <is>
          <t>24 Januari 2002</t>
        </is>
      </c>
      <c r="I198" s="2" t="n">
        <v>46248</v>
      </c>
      <c r="J198" t="inlineStr">
        <is>
          <t>Disetujui</t>
        </is>
      </c>
      <c r="K198" t="n">
        <v>30</v>
      </c>
      <c r="L198" t="inlineStr">
        <is>
          <t>14 Agustus 2026</t>
        </is>
      </c>
      <c r="M198" t="inlineStr">
        <is>
          <t>Konstruksi Bangunan Sipil Jalan</t>
        </is>
      </c>
      <c r="N198" t="inlineStr">
        <is>
          <t>K</t>
        </is>
      </c>
      <c r="O198" t="inlineStr">
        <is>
          <t>20230809</t>
        </is>
      </c>
      <c r="P198" t="inlineStr">
        <is>
          <t>Jawa Timur</t>
        </is>
      </c>
      <c r="Q198" t="inlineStr"/>
    </row>
    <row r="199">
      <c r="A199" t="inlineStr">
        <is>
          <t>USAHA PERDANA JAYA</t>
        </is>
      </c>
      <c r="B199" t="inlineStr">
        <is>
          <t>Kab. Langkat</t>
        </is>
      </c>
      <c r="C199" t="inlineStr">
        <is>
          <t>082163214918</t>
        </is>
      </c>
      <c r="D199" t="inlineStr">
        <is>
          <t>cv.usahaperdanajaya@datangyuk.site</t>
        </is>
      </c>
      <c r="E199" t="inlineStr">
        <is>
          <t>https://lpjk.pu.go.id/search-badan-usaha-detail/Q09qQUtPWGZOVTBrZ1YwVXpPV29Idz09</t>
        </is>
      </c>
      <c r="F199" t="n">
        <v>1</v>
      </c>
      <c r="G199" t="inlineStr">
        <is>
          <t>BS004</t>
        </is>
      </c>
      <c r="H199" t="inlineStr">
        <is>
          <t>25 Januari 2023</t>
        </is>
      </c>
      <c r="I199" s="2" t="n">
        <v>46248</v>
      </c>
      <c r="J199" t="inlineStr">
        <is>
          <t>Disetujui</t>
        </is>
      </c>
      <c r="K199" t="n">
        <v>30</v>
      </c>
      <c r="L199" t="inlineStr">
        <is>
          <t>14 Agustus 2026</t>
        </is>
      </c>
      <c r="M199" t="inlineStr">
        <is>
          <t>Konstruksi Jaringan Irigasi dan Drainase</t>
        </is>
      </c>
      <c r="N199" t="inlineStr">
        <is>
          <t>K</t>
        </is>
      </c>
      <c r="O199" t="inlineStr">
        <is>
          <t>20230810</t>
        </is>
      </c>
      <c r="P199" t="inlineStr">
        <is>
          <t>Sumatera Utara</t>
        </is>
      </c>
      <c r="Q199" t="inlineStr"/>
    </row>
    <row r="200">
      <c r="A200" t="inlineStr">
        <is>
          <t>WIBAWA JAYA KARYA</t>
        </is>
      </c>
      <c r="B200" t="inlineStr">
        <is>
          <t>Kota Semarang</t>
        </is>
      </c>
      <c r="C200" t="inlineStr">
        <is>
          <t>0246730898</t>
        </is>
      </c>
      <c r="D200" t="inlineStr">
        <is>
          <t>cvwibawajayakarya@gmail.com</t>
        </is>
      </c>
      <c r="E200" t="inlineStr">
        <is>
          <t>https://lpjk.pu.go.id/search-badan-usaha-detail/ZExWVjBTQjAzUjh4dkxVaVdOWnVtdU5FNjNZaFdOcnpUYk5oZ0JxanBpRT0</t>
        </is>
      </c>
      <c r="F200" t="n">
        <v>5</v>
      </c>
      <c r="G200" t="inlineStr">
        <is>
          <t>BG002, BG004, BG005, BG006, BG009</t>
        </is>
      </c>
      <c r="H200" t="inlineStr">
        <is>
          <t>6 Maret 2023</t>
        </is>
      </c>
      <c r="I200" s="2" t="n">
        <v>46248</v>
      </c>
      <c r="J200" t="inlineStr">
        <is>
          <t>Disetujui</t>
        </is>
      </c>
      <c r="K200" t="n">
        <v>30</v>
      </c>
      <c r="L200" t="inlineStr">
        <is>
          <t>14 Agustus 2026</t>
        </is>
      </c>
      <c r="M200" t="inlineStr">
        <is>
          <t>Konstruksi Gedung Kesehatan, Konstruksi Gedung Lainnya, Konstruksi Gedung Pendidikan, Konstruksi Gedung Perbelanjaan, Konstruksi Gedung Perkantoran</t>
        </is>
      </c>
      <c r="N200" t="inlineStr">
        <is>
          <t>K</t>
        </is>
      </c>
      <c r="O200" t="inlineStr">
        <is>
          <t>20230814</t>
        </is>
      </c>
      <c r="P200" t="inlineStr">
        <is>
          <t>Jawa Tengah</t>
        </is>
      </c>
      <c r="Q200" t="inlineStr"/>
    </row>
    <row r="201">
      <c r="A201" t="inlineStr">
        <is>
          <t>WIJAYA UTAMA BALI</t>
        </is>
      </c>
      <c r="B201" t="inlineStr">
        <is>
          <t>Kab. Badung</t>
        </is>
      </c>
      <c r="C201" t="inlineStr">
        <is>
          <t>082247233100</t>
        </is>
      </c>
      <c r="D201" t="inlineStr">
        <is>
          <t>wijayautama2405@gmail.com</t>
        </is>
      </c>
      <c r="E201" t="inlineStr">
        <is>
          <t>https://lpjk.pu.go.id/search-badan-usaha-detail/TCtJc1ZtZ3pDYVl5Y1dwUFNOVVRDQT09</t>
        </is>
      </c>
      <c r="F201" t="n">
        <v>8</v>
      </c>
      <c r="G201" t="inlineStr">
        <is>
          <t>BG001, BG002, BG005, BG006</t>
        </is>
      </c>
      <c r="H201" t="inlineStr">
        <is>
          <t>28 April 2023</t>
        </is>
      </c>
      <c r="I201" s="2" t="n">
        <v>46248</v>
      </c>
      <c r="J201" t="inlineStr">
        <is>
          <t>Pencabutan</t>
        </is>
      </c>
      <c r="K201" t="n">
        <v>30</v>
      </c>
      <c r="L201" t="inlineStr">
        <is>
          <t>14 Agustus 2026</t>
        </is>
      </c>
      <c r="M201" t="inlineStr">
        <is>
          <t>Konstruksi Gedung Hunian, Konstruksi Gedung Kesehatan, Konstruksi Gedung Pendidikan, Konstruksi Gedung Perkantoran</t>
        </is>
      </c>
      <c r="N201" t="inlineStr">
        <is>
          <t>K</t>
        </is>
      </c>
      <c r="O201" t="inlineStr">
        <is>
          <t>20230814</t>
        </is>
      </c>
      <c r="P201" t="inlineStr">
        <is>
          <t>Bali</t>
        </is>
      </c>
      <c r="Q201" t="inlineStr"/>
    </row>
    <row r="202">
      <c r="A202" t="inlineStr">
        <is>
          <t>YDP USAHA PERDANA</t>
        </is>
      </c>
      <c r="B202" t="inlineStr">
        <is>
          <t>Kab. Bandung Barat</t>
        </is>
      </c>
      <c r="C202" t="inlineStr">
        <is>
          <t>0222789314</t>
        </is>
      </c>
      <c r="D202" t="inlineStr">
        <is>
          <t>ydp_usahaperdana@yahoo.com</t>
        </is>
      </c>
      <c r="E202" t="inlineStr">
        <is>
          <t>https://lpjk.pu.go.id/search-badan-usaha-detail/dUc1ZFRYZUMwOXk5cmxhenFrekJjQT09</t>
        </is>
      </c>
      <c r="F202" t="n">
        <v>2</v>
      </c>
      <c r="G202" t="inlineStr">
        <is>
          <t>BS004</t>
        </is>
      </c>
      <c r="H202" t="inlineStr">
        <is>
          <t>4 Juni 2002</t>
        </is>
      </c>
      <c r="I202" s="2" t="n">
        <v>46248</v>
      </c>
      <c r="J202" t="inlineStr">
        <is>
          <t>Pencabutan</t>
        </is>
      </c>
      <c r="K202" t="n">
        <v>30</v>
      </c>
      <c r="L202" t="inlineStr">
        <is>
          <t>14 Agustus 2026</t>
        </is>
      </c>
      <c r="M202" t="inlineStr">
        <is>
          <t>Konstruksi Jaringan Irigasi dan Drainase</t>
        </is>
      </c>
      <c r="N202" t="inlineStr">
        <is>
          <t>K</t>
        </is>
      </c>
      <c r="O202" t="inlineStr">
        <is>
          <t>20230809</t>
        </is>
      </c>
      <c r="P202" t="inlineStr">
        <is>
          <t>Jawa Barat</t>
        </is>
      </c>
      <c r="Q202" t="inlineStr"/>
    </row>
    <row r="203">
      <c r="A203" t="inlineStr">
        <is>
          <t>ZHAFIRA WIJAYA</t>
        </is>
      </c>
      <c r="B203" t="inlineStr">
        <is>
          <t>Kab. Majalengka</t>
        </is>
      </c>
      <c r="C203" t="inlineStr">
        <is>
          <t>085227771177</t>
        </is>
      </c>
      <c r="D203" t="inlineStr">
        <is>
          <t>cv.zhafira.majalengka@gmail.com</t>
        </is>
      </c>
      <c r="E203" t="inlineStr">
        <is>
          <t>https://lpjk.pu.go.id/search-badan-usaha-detail/K2NoUjBmQ1Q3OUJWb3cwRVhxUi84Zz09</t>
        </is>
      </c>
      <c r="F203" t="n">
        <v>1</v>
      </c>
      <c r="G203" t="inlineStr">
        <is>
          <t>BS002</t>
        </is>
      </c>
      <c r="H203" t="inlineStr">
        <is>
          <t>22 Januari 2018</t>
        </is>
      </c>
      <c r="I203" s="2" t="n">
        <v>46248</v>
      </c>
      <c r="J203" t="inlineStr">
        <is>
          <t>Disetujui</t>
        </is>
      </c>
      <c r="K203" t="n">
        <v>30</v>
      </c>
      <c r="L203" t="inlineStr">
        <is>
          <t>14 Agustus 2026</t>
        </is>
      </c>
      <c r="M203" t="inlineStr">
        <is>
          <t>Bangunan Sipil Jembatan, Jalan Layang, Fly Over, dan Underpass</t>
        </is>
      </c>
      <c r="N203" t="inlineStr">
        <is>
          <t>K</t>
        </is>
      </c>
      <c r="O203" t="inlineStr">
        <is>
          <t>20230815</t>
        </is>
      </c>
      <c r="P203" t="inlineStr">
        <is>
          <t>Jawa Barat</t>
        </is>
      </c>
      <c r="Q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2026-07-15T02:08:24Z</dcterms:created>
  <dcterms:modified xsi:type="dcterms:W3CDTF">2026-07-15T02:08:24Z</dcterms:modified>
</cp:coreProperties>
</file>