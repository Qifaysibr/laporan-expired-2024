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7"/>
  <sheetViews>
    <sheetView workbookViewId="0">
      <selection activeCell="A1" sqref="A1"/>
    </sheetView>
  </sheetViews>
  <sheetFormatPr baseColWidth="8" defaultRowHeight="15"/>
  <cols>
    <col width="35" customWidth="1" min="1" max="1"/>
    <col width="27" customWidth="1" min="2" max="2"/>
    <col width="16" customWidth="1" min="3" max="3"/>
    <col width="38"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8" customWidth="1" min="12" max="12"/>
    <col width="50" customWidth="1" min="13" max="13"/>
    <col width="20" customWidth="1" min="14" max="14"/>
    <col width="4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BADRA NAYA SOLUSI</t>
        </is>
      </c>
      <c r="B2" t="inlineStr">
        <is>
          <t>Kota Adm. Jakarta Timur</t>
        </is>
      </c>
      <c r="C2" t="inlineStr">
        <is>
          <t>081513875123</t>
        </is>
      </c>
      <c r="D2" t="inlineStr">
        <is>
          <t>ptbns23@gmail.com</t>
        </is>
      </c>
      <c r="E2" t="inlineStr">
        <is>
          <t>https://lpjk.pu.go.id/search-badan-usaha-detail/RkZ1T05EbkVCTFQ4blRuVXd4a2Rvdz09</t>
        </is>
      </c>
      <c r="F2" t="n">
        <v>4</v>
      </c>
      <c r="G2" t="inlineStr">
        <is>
          <t>BS001, BS004, BS005, BS016</t>
        </is>
      </c>
      <c r="H2" t="inlineStr">
        <is>
          <t>28 Februari 2023</t>
        </is>
      </c>
      <c r="I2" s="2" t="n">
        <v>46373</v>
      </c>
      <c r="J2" t="inlineStr">
        <is>
          <t>Disetujui</t>
        </is>
      </c>
      <c r="K2" t="n">
        <v>87</v>
      </c>
      <c r="L2" t="inlineStr">
        <is>
          <t>17 Desember 2026</t>
        </is>
      </c>
      <c r="M2" t="inlineStr">
        <is>
          <t>Konstruksi Bangunan Sipil Fasilitas Olah Raga, Konstruksi Bangunan Sipil Jalan, Konstruksi Bangunan Sipil Pengolahan Air Bersih, Konstruksi Jaringan Irigasi dan Drainase</t>
        </is>
      </c>
      <c r="N2" t="inlineStr">
        <is>
          <t>K</t>
        </is>
      </c>
      <c r="O2" t="inlineStr">
        <is>
          <t>20231212, 20231213</t>
        </is>
      </c>
      <c r="P2" t="inlineStr">
        <is>
          <t>DKI Jakarta</t>
        </is>
      </c>
      <c r="Q2" s="3">
        <f>HYPERLINK("https://wa.me/6281513875123?text=Selamat siang Bapak/Ibu pimpinan BADRA NAYA SOLUSI,%0A%0ASemoga Bapak/Ibu dalam keadaan baik.%0ABerdasarkan data LPJK, masa berlaku SBU perusahaan Bapak/Ibu akan berakhir sekitar 3 bulan lagi (pada 17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BUANA PUTRA UTAMA</t>
        </is>
      </c>
      <c r="B3" t="inlineStr">
        <is>
          <t>Kab. Bogor</t>
        </is>
      </c>
      <c r="C3" t="inlineStr">
        <is>
          <t>081381111399</t>
        </is>
      </c>
      <c r="D3" t="inlineStr">
        <is>
          <t>buanaputrautama68@yahoo.co.id</t>
        </is>
      </c>
      <c r="E3" t="inlineStr">
        <is>
          <t>https://lpjk.pu.go.id/search-badan-usaha-detail/clUrWFJnS2FiYVhMUm5nU3BmWUVEQT09</t>
        </is>
      </c>
      <c r="F3" t="n">
        <v>1</v>
      </c>
      <c r="G3" t="inlineStr">
        <is>
          <t>BG005</t>
        </is>
      </c>
      <c r="H3" t="inlineStr">
        <is>
          <t>1 Juli 1993</t>
        </is>
      </c>
      <c r="I3" s="2" t="n">
        <v>46373</v>
      </c>
      <c r="J3" t="inlineStr">
        <is>
          <t>Disetujui</t>
        </is>
      </c>
      <c r="K3" t="n">
        <v>87</v>
      </c>
      <c r="L3" t="inlineStr">
        <is>
          <t>17 Desember 2026</t>
        </is>
      </c>
      <c r="M3" t="inlineStr">
        <is>
          <t>Konstruksi Gedung Kesehatan</t>
        </is>
      </c>
      <c r="N3" t="inlineStr">
        <is>
          <t>K</t>
        </is>
      </c>
      <c r="O3" t="inlineStr">
        <is>
          <t>20231212</t>
        </is>
      </c>
      <c r="P3" t="inlineStr">
        <is>
          <t>Jawa Barat</t>
        </is>
      </c>
      <c r="Q3" s="3">
        <f>HYPERLINK("https://wa.me/6281381111399?text=Selamat siang Bapak/Ibu pimpinan BUANA PUTRA UTAMA,%0A%0ASemoga Bapak/Ibu dalam keadaan baik.%0ABerdasarkan data LPJK, masa berlaku SBU perusahaan Bapak/Ibu akan berakhir sekitar 3 bulan lagi (pada 17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ERA CAKRAWALA INDONESIA</t>
        </is>
      </c>
      <c r="B4" t="inlineStr">
        <is>
          <t>Kab. Bogor</t>
        </is>
      </c>
      <c r="C4" t="inlineStr">
        <is>
          <t>02122757300</t>
        </is>
      </c>
      <c r="D4" t="inlineStr">
        <is>
          <t>sales@eracakrawalaindonesia.co.id</t>
        </is>
      </c>
      <c r="E4" t="inlineStr">
        <is>
          <t>https://lpjk.pu.go.id/search-badan-usaha-detail/dkVzbDJvSGU2VWVXcmdXRFJHT3hUdz09</t>
        </is>
      </c>
      <c r="F4" t="n">
        <v>1</v>
      </c>
      <c r="G4" t="inlineStr">
        <is>
          <t>BG005</t>
        </is>
      </c>
      <c r="H4" t="inlineStr">
        <is>
          <t>14 Oktober 2014</t>
        </is>
      </c>
      <c r="I4" s="2" t="n">
        <v>46373</v>
      </c>
      <c r="J4" t="inlineStr">
        <is>
          <t>Pembekuan</t>
        </is>
      </c>
      <c r="K4" t="n">
        <v>87</v>
      </c>
      <c r="L4" t="inlineStr">
        <is>
          <t>17 Desember 2026</t>
        </is>
      </c>
      <c r="M4" t="inlineStr">
        <is>
          <t>Konstruksi Gedung Kesehatan</t>
        </is>
      </c>
      <c r="N4" t="inlineStr">
        <is>
          <t>M</t>
        </is>
      </c>
      <c r="O4" t="inlineStr">
        <is>
          <t>20231212</t>
        </is>
      </c>
      <c r="P4" t="inlineStr">
        <is>
          <t>Jawa Barat</t>
        </is>
      </c>
      <c r="Q4" t="inlineStr"/>
    </row>
    <row r="5">
      <c r="A5" t="inlineStr">
        <is>
          <t>PEMINDONKU MAN KAM</t>
        </is>
      </c>
      <c r="B5" t="inlineStr">
        <is>
          <t>Kab. Bekasi</t>
        </is>
      </c>
      <c r="C5" t="inlineStr">
        <is>
          <t>02188896361</t>
        </is>
      </c>
      <c r="D5" t="inlineStr">
        <is>
          <t>pemindonkumankam@gmail.com</t>
        </is>
      </c>
      <c r="E5" t="inlineStr">
        <is>
          <t>https://lpjk.pu.go.id/search-badan-usaha-detail/OFlZaHJ2UCtqQUczRkFEbVRHc0dqUT09</t>
        </is>
      </c>
      <c r="F5" t="n">
        <v>1</v>
      </c>
      <c r="G5" t="inlineStr">
        <is>
          <t>BG001</t>
        </is>
      </c>
      <c r="H5" t="inlineStr">
        <is>
          <t>14 Juli 2022</t>
        </is>
      </c>
      <c r="I5" s="2" t="n">
        <v>46373</v>
      </c>
      <c r="J5" t="inlineStr">
        <is>
          <t>Disetujui</t>
        </is>
      </c>
      <c r="K5" t="n">
        <v>87</v>
      </c>
      <c r="L5" t="inlineStr">
        <is>
          <t>17 Desember 2026</t>
        </is>
      </c>
      <c r="M5" t="inlineStr">
        <is>
          <t>Konstruksi Gedung Hunian</t>
        </is>
      </c>
      <c r="N5" t="inlineStr">
        <is>
          <t>K</t>
        </is>
      </c>
      <c r="O5" t="inlineStr">
        <is>
          <t>20231218</t>
        </is>
      </c>
      <c r="P5" t="inlineStr">
        <is>
          <t>Jawa Barat</t>
        </is>
      </c>
      <c r="Q5" t="inlineStr"/>
    </row>
    <row r="6">
      <c r="A6" t="inlineStr">
        <is>
          <t>ADHI JAYA</t>
        </is>
      </c>
      <c r="B6" t="inlineStr">
        <is>
          <t>Kab. Banjar</t>
        </is>
      </c>
      <c r="C6" t="inlineStr">
        <is>
          <t>081349357337</t>
        </is>
      </c>
      <c r="D6" t="inlineStr">
        <is>
          <t>cv.adhijaya@ymail.com</t>
        </is>
      </c>
      <c r="E6" t="inlineStr">
        <is>
          <t>https://lpjk.pu.go.id/search-badan-usaha-detail/ODNhZUh0SjZNMUMxVmp4UmNTV3grdz09</t>
        </is>
      </c>
      <c r="F6" t="n">
        <v>5</v>
      </c>
      <c r="G6" t="inlineStr">
        <is>
          <t>BG005, BG006, BG009, BS001, BS004</t>
        </is>
      </c>
      <c r="H6" t="inlineStr">
        <is>
          <t>9 September 1999</t>
        </is>
      </c>
      <c r="I6" s="2" t="n">
        <v>46373</v>
      </c>
      <c r="J6" t="inlineStr">
        <is>
          <t>Disetujui</t>
        </is>
      </c>
      <c r="K6" t="n">
        <v>87</v>
      </c>
      <c r="L6" t="inlineStr">
        <is>
          <t>17 Desember 2026</t>
        </is>
      </c>
      <c r="M6" t="inlineStr">
        <is>
          <t>Konstruksi Bangunan Sipil Jalan, Konstruksi Gedung Kesehatan, Konstruksi Gedung Lainnya, Konstruksi Gedung Pendidikan, Konstruksi Jaringan Irigasi dan Drainase</t>
        </is>
      </c>
      <c r="N6" t="inlineStr">
        <is>
          <t>K</t>
        </is>
      </c>
      <c r="O6" t="inlineStr">
        <is>
          <t>20231208, 20231213</t>
        </is>
      </c>
      <c r="P6" t="inlineStr">
        <is>
          <t>Kalimantan Selatan</t>
        </is>
      </c>
      <c r="Q6" t="inlineStr"/>
    </row>
    <row r="7">
      <c r="A7" t="inlineStr">
        <is>
          <t>ADI KARYA WARDANA</t>
        </is>
      </c>
      <c r="B7" t="inlineStr">
        <is>
          <t>Kota Bandung</t>
        </is>
      </c>
      <c r="C7" t="inlineStr">
        <is>
          <t>082118020344</t>
        </is>
      </c>
      <c r="D7" t="inlineStr">
        <is>
          <t>cvadikaryawardana@yahoo.com</t>
        </is>
      </c>
      <c r="E7" t="inlineStr">
        <is>
          <t>https://lpjk.pu.go.id/search-badan-usaha-detail/ejJYVVhETmsrNkZwZnlXQzdhNmpXZz09</t>
        </is>
      </c>
      <c r="F7" t="n">
        <v>4</v>
      </c>
      <c r="G7" t="inlineStr">
        <is>
          <t>BS001, BS005, BS006, BS016</t>
        </is>
      </c>
      <c r="H7" t="inlineStr">
        <is>
          <t>11 Januari 2011</t>
        </is>
      </c>
      <c r="I7" s="2" t="n">
        <v>46373</v>
      </c>
      <c r="J7" t="inlineStr">
        <is>
          <t>Disetujui</t>
        </is>
      </c>
      <c r="K7" t="n">
        <v>87</v>
      </c>
      <c r="L7" t="inlineStr">
        <is>
          <t>17 Desember 2026</t>
        </is>
      </c>
      <c r="M7" t="inlineStr">
        <is>
          <t>Konstruksi Bangunan Sipil Fasilitas Olah Raga, Konstruksi Bangunan Sipil Jalan, Konstruksi Bangunan Sipil Pengolahan Air Bersih, Konstruksi Bangunan Sipil Prasarana dan Sarana Sistem Pengolahan Limbah Padat, Cair, dan Gas</t>
        </is>
      </c>
      <c r="N7" t="inlineStr">
        <is>
          <t>K</t>
        </is>
      </c>
      <c r="O7" t="inlineStr">
        <is>
          <t>20231215</t>
        </is>
      </c>
      <c r="P7" t="inlineStr">
        <is>
          <t>Jawa Barat</t>
        </is>
      </c>
      <c r="Q7" t="inlineStr"/>
    </row>
    <row r="8">
      <c r="A8" t="inlineStr">
        <is>
          <t>ALAM RAYA SILAMPARI</t>
        </is>
      </c>
      <c r="B8" t="inlineStr">
        <is>
          <t>Kota Lubuk Linggau</t>
        </is>
      </c>
      <c r="C8" t="inlineStr">
        <is>
          <t>082177405532</t>
        </is>
      </c>
      <c r="D8" t="inlineStr">
        <is>
          <t>cv.alamrayasilampari@gmail.com</t>
        </is>
      </c>
      <c r="E8" t="inlineStr">
        <is>
          <t>https://lpjk.pu.go.id/search-badan-usaha-detail/RDZEeE9YZVlJUXNVRTVWOFVWOWZ1UT09</t>
        </is>
      </c>
      <c r="F8" t="n">
        <v>1</v>
      </c>
      <c r="G8" t="inlineStr">
        <is>
          <t>BG009</t>
        </is>
      </c>
      <c r="H8" t="inlineStr">
        <is>
          <t>12 Maret 2020</t>
        </is>
      </c>
      <c r="I8" s="2" t="n">
        <v>46373</v>
      </c>
      <c r="J8" t="inlineStr">
        <is>
          <t>Disetujui</t>
        </is>
      </c>
      <c r="K8" t="n">
        <v>87</v>
      </c>
      <c r="L8" t="inlineStr">
        <is>
          <t>17 Desember 2026</t>
        </is>
      </c>
      <c r="M8" t="inlineStr">
        <is>
          <t>Konstruksi Gedung Lainnya</t>
        </is>
      </c>
      <c r="N8" t="inlineStr">
        <is>
          <t>K</t>
        </is>
      </c>
      <c r="O8" t="inlineStr">
        <is>
          <t>20231106</t>
        </is>
      </c>
      <c r="P8" t="inlineStr">
        <is>
          <t>Sumatera Selatan</t>
        </is>
      </c>
      <c r="Q8" t="inlineStr"/>
    </row>
    <row r="9">
      <c r="A9" t="inlineStr">
        <is>
          <t>AMANAH MITRA</t>
        </is>
      </c>
      <c r="B9" t="inlineStr">
        <is>
          <t>Kab. Wakatobi</t>
        </is>
      </c>
      <c r="C9" t="inlineStr">
        <is>
          <t>082150095671</t>
        </is>
      </c>
      <c r="D9" t="inlineStr">
        <is>
          <t>amanahmitra777@gmail.com</t>
        </is>
      </c>
      <c r="E9" t="inlineStr">
        <is>
          <t>https://lpjk.pu.go.id/search-badan-usaha-detail/d1NlZnFZdGtXU3NOOWdDejBsdmorQT09</t>
        </is>
      </c>
      <c r="F9" t="n">
        <v>6</v>
      </c>
      <c r="G9" t="inlineStr">
        <is>
          <t>BG002, BG005</t>
        </is>
      </c>
      <c r="H9" t="inlineStr">
        <is>
          <t>15 Juni 2006</t>
        </is>
      </c>
      <c r="I9" s="2" t="n">
        <v>46373</v>
      </c>
      <c r="J9" t="inlineStr">
        <is>
          <t>Disetujui</t>
        </is>
      </c>
      <c r="K9" t="n">
        <v>87</v>
      </c>
      <c r="L9" t="inlineStr">
        <is>
          <t>17 Desember 2026</t>
        </is>
      </c>
      <c r="M9" t="inlineStr">
        <is>
          <t>Konstruksi Gedung Kesehatan, Konstruksi Gedung Perkantoran</t>
        </is>
      </c>
      <c r="N9" t="inlineStr">
        <is>
          <t>K</t>
        </is>
      </c>
      <c r="O9" t="inlineStr">
        <is>
          <t>20231212, 20231218</t>
        </is>
      </c>
      <c r="P9" t="inlineStr">
        <is>
          <t>Sulawesi Tenggara</t>
        </is>
      </c>
      <c r="Q9" t="inlineStr"/>
    </row>
    <row r="10">
      <c r="A10" t="inlineStr">
        <is>
          <t>AMARY BERKAT MANDIRI</t>
        </is>
      </c>
      <c r="B10" t="inlineStr">
        <is>
          <t>Kab. Kutai Timur</t>
        </is>
      </c>
      <c r="C10" t="inlineStr">
        <is>
          <t>081273411751</t>
        </is>
      </c>
      <c r="D10" t="inlineStr">
        <is>
          <t>pt.amaryberkatmandiri@gmail.com</t>
        </is>
      </c>
      <c r="E10" t="inlineStr">
        <is>
          <t>https://lpjk.pu.go.id/search-badan-usaha-detail/QzFMV3B0QnhJbGRBZEJEZWtKamw4dz09</t>
        </is>
      </c>
      <c r="F10" t="n">
        <v>2</v>
      </c>
      <c r="G10" t="inlineStr">
        <is>
          <t>BG002, BG009</t>
        </is>
      </c>
      <c r="H10" t="inlineStr">
        <is>
          <t>7 Desember 2023</t>
        </is>
      </c>
      <c r="I10" s="2" t="n">
        <v>46373</v>
      </c>
      <c r="J10" t="inlineStr">
        <is>
          <t>Disetujui</t>
        </is>
      </c>
      <c r="K10" t="n">
        <v>87</v>
      </c>
      <c r="L10" t="inlineStr">
        <is>
          <t>17 Desember 2026</t>
        </is>
      </c>
      <c r="M10" t="inlineStr">
        <is>
          <t>Konstruksi Gedung Lainnya, Konstruksi Gedung Perkantoran</t>
        </is>
      </c>
      <c r="N10" t="inlineStr">
        <is>
          <t>K</t>
        </is>
      </c>
      <c r="O10" t="inlineStr">
        <is>
          <t>20231214</t>
        </is>
      </c>
      <c r="P10" t="inlineStr">
        <is>
          <t>Kalimantan Timur</t>
        </is>
      </c>
      <c r="Q10" t="inlineStr"/>
    </row>
    <row r="11">
      <c r="A11" t="inlineStr">
        <is>
          <t>ANTARIKSA</t>
        </is>
      </c>
      <c r="B11" t="inlineStr">
        <is>
          <t>Kota Bengkulu</t>
        </is>
      </c>
      <c r="C11" t="inlineStr">
        <is>
          <t>085273347009</t>
        </is>
      </c>
      <c r="D11" t="inlineStr">
        <is>
          <t>antariksa84@ymail.com</t>
        </is>
      </c>
      <c r="E11" t="inlineStr">
        <is>
          <t>https://lpjk.pu.go.id/search-badan-usaha-detail/TnFRK1dPc2Eybk5TM3hDVDIzdklidz09</t>
        </is>
      </c>
      <c r="F11" t="n">
        <v>2</v>
      </c>
      <c r="G11" t="inlineStr">
        <is>
          <t>BG002, BG008</t>
        </is>
      </c>
      <c r="H11" t="inlineStr">
        <is>
          <t>2 Maret 1981</t>
        </is>
      </c>
      <c r="I11" s="2" t="n">
        <v>46373</v>
      </c>
      <c r="J11" t="inlineStr">
        <is>
          <t>Disetujui</t>
        </is>
      </c>
      <c r="K11" t="n">
        <v>87</v>
      </c>
      <c r="L11" t="inlineStr">
        <is>
          <t>17 Desember 2026</t>
        </is>
      </c>
      <c r="M11" t="inlineStr">
        <is>
          <t>Konstruksi Gedung Perkantoran, Konstruksi Gedung Tempat Hiburan dan Olahraga</t>
        </is>
      </c>
      <c r="N11" t="inlineStr">
        <is>
          <t>K</t>
        </is>
      </c>
      <c r="O11" t="inlineStr">
        <is>
          <t>20231211, 20231212</t>
        </is>
      </c>
      <c r="P11" t="inlineStr">
        <is>
          <t>Bengkulu</t>
        </is>
      </c>
      <c r="Q11" t="inlineStr"/>
    </row>
    <row r="12">
      <c r="A12" t="inlineStr">
        <is>
          <t>ANUGRAH PERKASA ENGINEERING</t>
        </is>
      </c>
      <c r="B12" t="inlineStr">
        <is>
          <t>Kota Dumai</t>
        </is>
      </c>
      <c r="C12" t="inlineStr">
        <is>
          <t>082268814146</t>
        </is>
      </c>
      <c r="D12" t="inlineStr">
        <is>
          <t>murhamahismail@gmail.com</t>
        </is>
      </c>
      <c r="E12" t="inlineStr">
        <is>
          <t>https://lpjk.pu.go.id/search-badan-usaha-detail/UW9oRTJYVmxXdVdvQmsyd2IwSEFHdz09</t>
        </is>
      </c>
      <c r="F12" t="n">
        <v>4</v>
      </c>
      <c r="G12" t="inlineStr">
        <is>
          <t>BG003, BS001</t>
        </is>
      </c>
      <c r="H12" t="inlineStr">
        <is>
          <t>3 Juli 2023</t>
        </is>
      </c>
      <c r="I12" s="2" t="n">
        <v>46373</v>
      </c>
      <c r="J12" t="inlineStr">
        <is>
          <t>Disetujui</t>
        </is>
      </c>
      <c r="K12" t="n">
        <v>87</v>
      </c>
      <c r="L12" t="inlineStr">
        <is>
          <t>17 Desember 2026</t>
        </is>
      </c>
      <c r="M12" t="inlineStr">
        <is>
          <t>Konstruksi Bangunan Sipil Jalan, Konstruksi Gedung Industri</t>
        </is>
      </c>
      <c r="N12" t="inlineStr">
        <is>
          <t>K</t>
        </is>
      </c>
      <c r="O12" t="inlineStr">
        <is>
          <t>20231218</t>
        </is>
      </c>
      <c r="P12" t="inlineStr">
        <is>
          <t>Riau</t>
        </is>
      </c>
      <c r="Q12" t="inlineStr"/>
    </row>
    <row r="13">
      <c r="A13" t="inlineStr">
        <is>
          <t>ARTHA PUTRA MANDIRI</t>
        </is>
      </c>
      <c r="B13" t="inlineStr">
        <is>
          <t>Kota Makassar</t>
        </is>
      </c>
      <c r="C13" t="inlineStr">
        <is>
          <t>0812413322</t>
        </is>
      </c>
      <c r="D13" t="inlineStr">
        <is>
          <t>muhnaimnaim69@gmail.com</t>
        </is>
      </c>
      <c r="E13" t="inlineStr">
        <is>
          <t>https://lpjk.pu.go.id/search-badan-usaha-detail/NnJpdjhyeXRSbzR1T0lnNDN2bmt5UT09</t>
        </is>
      </c>
      <c r="F13" t="n">
        <v>5</v>
      </c>
      <c r="G13" t="inlineStr">
        <is>
          <t>BG001, BG002, BG005, BG006, BG009</t>
        </is>
      </c>
      <c r="H13" t="inlineStr">
        <is>
          <t>31 Desember 2014</t>
        </is>
      </c>
      <c r="I13" s="2" t="n">
        <v>46373</v>
      </c>
      <c r="J13" t="inlineStr">
        <is>
          <t>Disetujui</t>
        </is>
      </c>
      <c r="K13" t="n">
        <v>87</v>
      </c>
      <c r="L13" t="inlineStr">
        <is>
          <t>17 Desember 2026</t>
        </is>
      </c>
      <c r="M13" t="inlineStr">
        <is>
          <t>Konstruksi Gedung Hunian, Konstruksi Gedung Kesehatan, Konstruksi Gedung Lainnya, Konstruksi Gedung Pendidikan, Konstruksi Gedung Perkantoran</t>
        </is>
      </c>
      <c r="N13" t="inlineStr">
        <is>
          <t>K</t>
        </is>
      </c>
      <c r="O13" t="inlineStr">
        <is>
          <t>20231215, 20231216</t>
        </is>
      </c>
      <c r="P13" t="inlineStr">
        <is>
          <t>Sulawesi Selatan</t>
        </is>
      </c>
      <c r="Q13" t="inlineStr"/>
    </row>
    <row r="14">
      <c r="A14" t="inlineStr">
        <is>
          <t>ATMA JAYA MANDIRI</t>
        </is>
      </c>
      <c r="B14" t="inlineStr">
        <is>
          <t>Kab. Klaten</t>
        </is>
      </c>
      <c r="C14" t="inlineStr">
        <is>
          <t>085725227911</t>
        </is>
      </c>
      <c r="D14" t="inlineStr">
        <is>
          <t>atmajayamandiricv@gmail.com</t>
        </is>
      </c>
      <c r="E14" t="inlineStr">
        <is>
          <t>https://lpjk.pu.go.id/search-badan-usaha-detail/aTR1VTk1SE5uSngvNmpmeXhPUUpSQT09</t>
        </is>
      </c>
      <c r="F14" t="n">
        <v>4</v>
      </c>
      <c r="G14" t="inlineStr">
        <is>
          <t>BG002, BG006, BG009, BS001</t>
        </is>
      </c>
      <c r="H14" t="inlineStr">
        <is>
          <t>28 September 2015</t>
        </is>
      </c>
      <c r="I14" s="2" t="n">
        <v>46373</v>
      </c>
      <c r="J14" t="inlineStr">
        <is>
          <t>Disetujui</t>
        </is>
      </c>
      <c r="K14" t="n">
        <v>87</v>
      </c>
      <c r="L14" t="inlineStr">
        <is>
          <t>17 Desember 2026</t>
        </is>
      </c>
      <c r="M14" t="inlineStr">
        <is>
          <t>Konstruksi Bangunan Sipil Jalan, Konstruksi Gedung Lainnya, Konstruksi Gedung Pendidikan, Konstruksi Gedung Perkantoran</t>
        </is>
      </c>
      <c r="N14" t="inlineStr">
        <is>
          <t>K</t>
        </is>
      </c>
      <c r="O14" t="inlineStr">
        <is>
          <t>20231218</t>
        </is>
      </c>
      <c r="P14" t="inlineStr">
        <is>
          <t>Jawa Tengah</t>
        </is>
      </c>
      <c r="Q14" t="inlineStr"/>
    </row>
    <row r="15">
      <c r="A15" t="inlineStr">
        <is>
          <t>AULIA UTAMA KONTRUKSI</t>
        </is>
      </c>
      <c r="B15" t="inlineStr">
        <is>
          <t>Kab. Pasaman Barat</t>
        </is>
      </c>
      <c r="C15" t="inlineStr">
        <is>
          <t>N/A</t>
        </is>
      </c>
      <c r="D15" t="inlineStr">
        <is>
          <t>N/A</t>
        </is>
      </c>
      <c r="E15" t="inlineStr">
        <is>
          <t>https://lpjk.pu.go.id/search-badan-usaha-detail/RWdFdlpCekxla3hqVlZ1amlJZHNMUT09</t>
        </is>
      </c>
      <c r="F15" t="n">
        <v>3</v>
      </c>
      <c r="G15" t="inlineStr">
        <is>
          <t>BG001, BG009, BS004</t>
        </is>
      </c>
      <c r="H15" t="inlineStr"/>
      <c r="I15" s="2" t="n">
        <v>46373</v>
      </c>
      <c r="J15" t="inlineStr">
        <is>
          <t>Disetujui</t>
        </is>
      </c>
      <c r="K15" t="n">
        <v>87</v>
      </c>
      <c r="L15" t="inlineStr">
        <is>
          <t>17 Desember 2026</t>
        </is>
      </c>
      <c r="M15" t="inlineStr">
        <is>
          <t>Konstruksi Gedung Hunian, Konstruksi Gedung Lainnya, Konstruksi Jaringan Irigasi dan Drainase</t>
        </is>
      </c>
      <c r="N15" t="inlineStr">
        <is>
          <t>K</t>
        </is>
      </c>
      <c r="O15" t="inlineStr">
        <is>
          <t>20231216</t>
        </is>
      </c>
      <c r="P15" t="inlineStr">
        <is>
          <t>Sumatera Barat</t>
        </is>
      </c>
      <c r="Q15" t="inlineStr"/>
    </row>
    <row r="16">
      <c r="A16" t="inlineStr">
        <is>
          <t>AURA BINTANG</t>
        </is>
      </c>
      <c r="B16" t="inlineStr">
        <is>
          <t>Kota Kendari</t>
        </is>
      </c>
      <c r="C16" t="inlineStr">
        <is>
          <t>085341271312</t>
        </is>
      </c>
      <c r="D16" t="inlineStr">
        <is>
          <t>AURABINTANG2020@gmail.com</t>
        </is>
      </c>
      <c r="E16" t="inlineStr">
        <is>
          <t>https://lpjk.pu.go.id/search-badan-usaha-detail/Y3JtVGZJUm9hVktBYktRM25hakQrUT09</t>
        </is>
      </c>
      <c r="F16" t="n">
        <v>1</v>
      </c>
      <c r="G16" t="inlineStr">
        <is>
          <t>BS001</t>
        </is>
      </c>
      <c r="H16" t="inlineStr">
        <is>
          <t>19 Juli 2007</t>
        </is>
      </c>
      <c r="I16" s="2" t="n">
        <v>46373</v>
      </c>
      <c r="J16" t="inlineStr">
        <is>
          <t>Disetujui</t>
        </is>
      </c>
      <c r="K16" t="n">
        <v>87</v>
      </c>
      <c r="L16" t="inlineStr">
        <is>
          <t>17 Desember 2026</t>
        </is>
      </c>
      <c r="M16" t="inlineStr">
        <is>
          <t>Konstruksi Bangunan Sipil Jalan</t>
        </is>
      </c>
      <c r="N16" t="inlineStr">
        <is>
          <t>K</t>
        </is>
      </c>
      <c r="O16" t="inlineStr">
        <is>
          <t>20231122</t>
        </is>
      </c>
      <c r="P16" t="inlineStr">
        <is>
          <t>Sulawesi Tenggara</t>
        </is>
      </c>
      <c r="Q16" t="inlineStr"/>
    </row>
    <row r="17">
      <c r="A17" t="inlineStr">
        <is>
          <t>AZZAHRA AMORIA</t>
        </is>
      </c>
      <c r="B17" t="inlineStr">
        <is>
          <t>Kab. Karawang</t>
        </is>
      </c>
      <c r="C17" t="inlineStr">
        <is>
          <t>082110584937</t>
        </is>
      </c>
      <c r="D17" t="inlineStr">
        <is>
          <t>azzahraamoria@gmail.com</t>
        </is>
      </c>
      <c r="E17" t="inlineStr">
        <is>
          <t>https://lpjk.pu.go.id/search-badan-usaha-detail/M3k5VThUWWNqRnpzbkNRbGpHSGRNZz09</t>
        </is>
      </c>
      <c r="F17" t="n">
        <v>2</v>
      </c>
      <c r="G17" t="inlineStr">
        <is>
          <t>BS004</t>
        </is>
      </c>
      <c r="H17" t="inlineStr">
        <is>
          <t>14 Februari 2018</t>
        </is>
      </c>
      <c r="I17" s="2" t="n">
        <v>46373</v>
      </c>
      <c r="J17" t="inlineStr">
        <is>
          <t>Disetujui</t>
        </is>
      </c>
      <c r="K17" t="n">
        <v>87</v>
      </c>
      <c r="L17" t="inlineStr">
        <is>
          <t>17 Desember 2026</t>
        </is>
      </c>
      <c r="M17" t="inlineStr">
        <is>
          <t>Konstruksi Jaringan Irigasi dan Drainase</t>
        </is>
      </c>
      <c r="N17" t="inlineStr">
        <is>
          <t>K</t>
        </is>
      </c>
      <c r="O17" t="inlineStr">
        <is>
          <t>20231214</t>
        </is>
      </c>
      <c r="P17" t="inlineStr">
        <is>
          <t>Jawa Barat</t>
        </is>
      </c>
      <c r="Q17" t="inlineStr"/>
    </row>
    <row r="18">
      <c r="A18" t="inlineStr">
        <is>
          <t>BANJARSARI</t>
        </is>
      </c>
      <c r="B18" t="inlineStr">
        <is>
          <t>Kab. Purworejo</t>
        </is>
      </c>
      <c r="C18" t="inlineStr">
        <is>
          <t>089648662329</t>
        </is>
      </c>
      <c r="D18" t="inlineStr">
        <is>
          <t>bs.purworejo@gmail.com</t>
        </is>
      </c>
      <c r="E18" t="inlineStr">
        <is>
          <t>https://lpjk.pu.go.id/search-badan-usaha-detail/WEhTZVdVenorUS91Kzd5WUpYUEZPQT09</t>
        </is>
      </c>
      <c r="F18" t="n">
        <v>6</v>
      </c>
      <c r="G18" t="inlineStr">
        <is>
          <t>BG004, BG005, BG006, BG009, BS001, BS004</t>
        </is>
      </c>
      <c r="H18" t="inlineStr">
        <is>
          <t>4 Juli 1985</t>
        </is>
      </c>
      <c r="I18" s="2" t="n">
        <v>46373</v>
      </c>
      <c r="J18" t="inlineStr">
        <is>
          <t>Disetujui</t>
        </is>
      </c>
      <c r="K18" t="n">
        <v>87</v>
      </c>
      <c r="L18" t="inlineStr">
        <is>
          <t>17 Desember 2026</t>
        </is>
      </c>
      <c r="M18" t="inlineStr">
        <is>
          <t>Konstruksi Bangunan Sipil Jalan, Konstruksi Gedung Kesehatan, Konstruksi Gedung Lainnya, Konstruksi Gedung Pendidikan, Konstruksi Gedung Perbelanjaan, Konstruksi Jaringan Irigasi dan Drainase</t>
        </is>
      </c>
      <c r="N18" t="inlineStr">
        <is>
          <t>K</t>
        </is>
      </c>
      <c r="O18" t="inlineStr">
        <is>
          <t>20231214, 20231215</t>
        </is>
      </c>
      <c r="P18" t="inlineStr">
        <is>
          <t>Jawa Tengah</t>
        </is>
      </c>
      <c r="Q18" t="inlineStr"/>
    </row>
    <row r="19">
      <c r="A19" t="inlineStr">
        <is>
          <t>BIAS SARANA REZEKI</t>
        </is>
      </c>
      <c r="B19" t="inlineStr">
        <is>
          <t>Kota Medan</t>
        </is>
      </c>
      <c r="C19" t="inlineStr">
        <is>
          <t>081262528855</t>
        </is>
      </c>
      <c r="D19" t="inlineStr">
        <is>
          <t>pt.bias_saranarezeki@hotmail.com</t>
        </is>
      </c>
      <c r="E19" t="inlineStr">
        <is>
          <t>https://lpjk.pu.go.id/search-badan-usaha-detail/dGNWVG8vTml5K0QxU05WM0kwem5KUT09</t>
        </is>
      </c>
      <c r="F19" t="n">
        <v>1</v>
      </c>
      <c r="G19" t="inlineStr">
        <is>
          <t>BS004</t>
        </is>
      </c>
      <c r="H19" t="inlineStr">
        <is>
          <t>2 Februari 2018</t>
        </is>
      </c>
      <c r="I19" s="2" t="n">
        <v>46373</v>
      </c>
      <c r="J19" t="inlineStr">
        <is>
          <t>Disetujui</t>
        </is>
      </c>
      <c r="K19" t="n">
        <v>87</v>
      </c>
      <c r="L19" t="inlineStr">
        <is>
          <t>17 Desember 2026</t>
        </is>
      </c>
      <c r="M19" t="inlineStr">
        <is>
          <t>Konstruksi Jaringan Irigasi dan Drainase</t>
        </is>
      </c>
      <c r="N19" t="inlineStr">
        <is>
          <t>K</t>
        </is>
      </c>
      <c r="O19" t="inlineStr">
        <is>
          <t>20231217</t>
        </is>
      </c>
      <c r="P19" t="inlineStr">
        <is>
          <t>Sumatera Utara</t>
        </is>
      </c>
      <c r="Q19" t="inlineStr"/>
    </row>
    <row r="20">
      <c r="A20" t="inlineStr">
        <is>
          <t>BUDI AGUNG LAHAN ASRI PERSADA</t>
        </is>
      </c>
      <c r="B20" t="inlineStr">
        <is>
          <t>Kota Serang</t>
        </is>
      </c>
      <c r="C20" t="inlineStr">
        <is>
          <t>02547923017</t>
        </is>
      </c>
      <c r="D20" t="inlineStr">
        <is>
          <t>budiagunglahan50261@gmail.com</t>
        </is>
      </c>
      <c r="E20" t="inlineStr">
        <is>
          <t>https://lpjk.pu.go.id/search-badan-usaha-detail/MmZ0SzhEckcwTnNOREU5NTZQSzUyUT09</t>
        </is>
      </c>
      <c r="F20" t="n">
        <v>2</v>
      </c>
      <c r="G20" t="inlineStr">
        <is>
          <t>BG001, BS001</t>
        </is>
      </c>
      <c r="H20" t="inlineStr">
        <is>
          <t>19 Agustus 2022</t>
        </is>
      </c>
      <c r="I20" s="2" t="n">
        <v>46373</v>
      </c>
      <c r="J20" t="inlineStr">
        <is>
          <t>Disetujui</t>
        </is>
      </c>
      <c r="K20" t="n">
        <v>87</v>
      </c>
      <c r="L20" t="inlineStr">
        <is>
          <t>17 Desember 2026</t>
        </is>
      </c>
      <c r="M20" t="inlineStr">
        <is>
          <t>Konstruksi Bangunan Sipil Jalan, Konstruksi Gedung Hunian</t>
        </is>
      </c>
      <c r="N20" t="inlineStr">
        <is>
          <t>K</t>
        </is>
      </c>
      <c r="O20" t="inlineStr">
        <is>
          <t>20231214</t>
        </is>
      </c>
      <c r="P20" t="inlineStr">
        <is>
          <t>Banten</t>
        </is>
      </c>
      <c r="Q20" t="inlineStr"/>
    </row>
    <row r="21">
      <c r="A21" t="inlineStr">
        <is>
          <t>BUKIT SARAI</t>
        </is>
      </c>
      <c r="B21" t="inlineStr">
        <is>
          <t>Kab. Kotawaringin Timur</t>
        </is>
      </c>
      <c r="C21" t="inlineStr">
        <is>
          <t>081255024885</t>
        </is>
      </c>
      <c r="D21" t="inlineStr">
        <is>
          <t>jumrimentaya@gmail.com</t>
        </is>
      </c>
      <c r="E21" t="inlineStr">
        <is>
          <t>https://lpjk.pu.go.id/search-badan-usaha-detail/WjdYTzZVLzh3Uzd4WmF4eXN1YTRnZz09</t>
        </is>
      </c>
      <c r="F21" t="n">
        <v>1</v>
      </c>
      <c r="G21" t="inlineStr">
        <is>
          <t>BS004</t>
        </is>
      </c>
      <c r="H21" t="inlineStr">
        <is>
          <t>12 September 2006</t>
        </is>
      </c>
      <c r="I21" s="2" t="n">
        <v>46373</v>
      </c>
      <c r="J21" t="inlineStr">
        <is>
          <t>Disetujui</t>
        </is>
      </c>
      <c r="K21" t="n">
        <v>87</v>
      </c>
      <c r="L21" t="inlineStr">
        <is>
          <t>17 Desember 2026</t>
        </is>
      </c>
      <c r="M21" t="inlineStr">
        <is>
          <t>Konstruksi Jaringan Irigasi dan Drainase</t>
        </is>
      </c>
      <c r="N21" t="inlineStr">
        <is>
          <t>K</t>
        </is>
      </c>
      <c r="O21" t="inlineStr">
        <is>
          <t>20231010</t>
        </is>
      </c>
      <c r="P21" t="inlineStr">
        <is>
          <t>Kalimantan Tengah</t>
        </is>
      </c>
      <c r="Q21" t="inlineStr"/>
    </row>
    <row r="22">
      <c r="A22" t="inlineStr">
        <is>
          <t>BUNGARAN SIMALINDO</t>
        </is>
      </c>
      <c r="B22" t="inlineStr">
        <is>
          <t>Kota Tebing Tinggi</t>
        </is>
      </c>
      <c r="C22" t="inlineStr">
        <is>
          <t>081376551785</t>
        </is>
      </c>
      <c r="D22" t="inlineStr">
        <is>
          <t>bungaransimalindo@gmail.com</t>
        </is>
      </c>
      <c r="E22" t="inlineStr">
        <is>
          <t>https://lpjk.pu.go.id/search-badan-usaha-detail/UVpHUVRiQTNhakMyTjRTUVBudDgxdz09</t>
        </is>
      </c>
      <c r="F22" t="n">
        <v>8</v>
      </c>
      <c r="G22" t="inlineStr">
        <is>
          <t>BG004, BG006, BS001, BS004</t>
        </is>
      </c>
      <c r="H22" t="inlineStr">
        <is>
          <t>12 Juli 2018</t>
        </is>
      </c>
      <c r="I22" s="2" t="n">
        <v>46373</v>
      </c>
      <c r="J22" t="inlineStr">
        <is>
          <t>Disetujui</t>
        </is>
      </c>
      <c r="K22" t="n">
        <v>87</v>
      </c>
      <c r="L22" t="inlineStr">
        <is>
          <t>17 Desember 2026</t>
        </is>
      </c>
      <c r="M22" t="inlineStr">
        <is>
          <t>Konstruksi Bangunan Sipil Jalan, Konstruksi Gedung Pendidikan, Konstruksi Gedung Perbelanjaan, Konstruksi Jaringan Irigasi dan Drainase</t>
        </is>
      </c>
      <c r="N22" t="inlineStr">
        <is>
          <t>K</t>
        </is>
      </c>
      <c r="O22" t="inlineStr">
        <is>
          <t>20231206, 20231217</t>
        </is>
      </c>
      <c r="P22" t="inlineStr">
        <is>
          <t>Sumatera Utara</t>
        </is>
      </c>
      <c r="Q22" t="inlineStr"/>
    </row>
    <row r="23">
      <c r="A23" t="inlineStr">
        <is>
          <t>CAHAYA RAHMAT NUSANTARA</t>
        </is>
      </c>
      <c r="B23" t="inlineStr">
        <is>
          <t>Kab. Seram Bagian Timur</t>
        </is>
      </c>
      <c r="C23" t="inlineStr">
        <is>
          <t>082299728566</t>
        </is>
      </c>
      <c r="D23" t="inlineStr">
        <is>
          <t>cv.cahayarahnusa01@gmail.com</t>
        </is>
      </c>
      <c r="E23" t="inlineStr">
        <is>
          <t>https://lpjk.pu.go.id/search-badan-usaha-detail/YmUzcThPVndnY2ZWellhYml0UUlNQT09</t>
        </is>
      </c>
      <c r="F23" t="n">
        <v>3</v>
      </c>
      <c r="G23" t="inlineStr">
        <is>
          <t>BG002, BG006, BG009</t>
        </is>
      </c>
      <c r="H23" t="inlineStr">
        <is>
          <t>27 September 2023</t>
        </is>
      </c>
      <c r="I23" s="2" t="n">
        <v>46373</v>
      </c>
      <c r="J23" t="inlineStr">
        <is>
          <t>Disetujui</t>
        </is>
      </c>
      <c r="K23" t="n">
        <v>87</v>
      </c>
      <c r="L23" t="inlineStr">
        <is>
          <t>17 Desember 2026</t>
        </is>
      </c>
      <c r="M23" t="inlineStr">
        <is>
          <t>Konstruksi Gedung Lainnya, Konstruksi Gedung Pendidikan, Konstruksi Gedung Perkantoran</t>
        </is>
      </c>
      <c r="N23" t="inlineStr">
        <is>
          <t>K</t>
        </is>
      </c>
      <c r="O23" t="inlineStr">
        <is>
          <t>20231218</t>
        </is>
      </c>
      <c r="P23" t="inlineStr">
        <is>
          <t>Maluku</t>
        </is>
      </c>
      <c r="Q23" t="inlineStr"/>
    </row>
    <row r="24">
      <c r="A24" t="inlineStr">
        <is>
          <t>CENTRATEKNO INSTRUMINDO</t>
        </is>
      </c>
      <c r="B24" t="inlineStr">
        <is>
          <t>Kota Adm. Jakarta Utara</t>
        </is>
      </c>
      <c r="C24" t="inlineStr">
        <is>
          <t>0216621725</t>
        </is>
      </c>
      <c r="D24" t="inlineStr">
        <is>
          <t>harry@kotaminyak.co.id</t>
        </is>
      </c>
      <c r="E24" t="inlineStr">
        <is>
          <t>https://lpjk.pu.go.id/search-badan-usaha-detail/QktiakFVd0hhMWR1WmNFVnNHYjEvZz09</t>
        </is>
      </c>
      <c r="F24" t="n">
        <v>2</v>
      </c>
      <c r="G24" t="inlineStr">
        <is>
          <t>BS009, IN005</t>
        </is>
      </c>
      <c r="H24" t="inlineStr">
        <is>
          <t>6 Desember 1991</t>
        </is>
      </c>
      <c r="I24" s="2" t="n">
        <v>46373</v>
      </c>
      <c r="J24" t="inlineStr">
        <is>
          <t>Disetujui</t>
        </is>
      </c>
      <c r="K24" t="n">
        <v>87</v>
      </c>
      <c r="L24" t="inlineStr">
        <is>
          <t>17 Desember 2026</t>
        </is>
      </c>
      <c r="M24" t="inlineStr">
        <is>
          <t>Instalasi Konstruksi Navigasi Laut, Sungai, dan Udara, Konstruksi Sentral Telekomunikasi</t>
        </is>
      </c>
      <c r="N24" t="inlineStr">
        <is>
          <t>K, Spesialis</t>
        </is>
      </c>
      <c r="O24" t="inlineStr">
        <is>
          <t>20231214</t>
        </is>
      </c>
      <c r="P24" t="inlineStr">
        <is>
          <t>DKI Jakarta</t>
        </is>
      </c>
      <c r="Q24" t="inlineStr"/>
    </row>
    <row r="25">
      <c r="A25" t="inlineStr">
        <is>
          <t>CIPTA RUPA PERTAMA</t>
        </is>
      </c>
      <c r="B25" t="inlineStr">
        <is>
          <t>Kab. Bandung Barat</t>
        </is>
      </c>
      <c r="C25" t="inlineStr">
        <is>
          <t>085100429888</t>
        </is>
      </c>
      <c r="D25" t="inlineStr">
        <is>
          <t>admcrpbdg@yahoo.com</t>
        </is>
      </c>
      <c r="E25" t="inlineStr">
        <is>
          <t>https://lpjk.pu.go.id/search-badan-usaha-detail/clVxaUFkaFh2YzhEZjFuV1o5UUM0Zz09</t>
        </is>
      </c>
      <c r="F25" t="n">
        <v>4</v>
      </c>
      <c r="G25" t="inlineStr">
        <is>
          <t>BS001, BS002</t>
        </is>
      </c>
      <c r="H25" t="inlineStr">
        <is>
          <t>1 Desember 2011</t>
        </is>
      </c>
      <c r="I25" s="2" t="n">
        <v>46373</v>
      </c>
      <c r="J25" t="inlineStr">
        <is>
          <t>Disetujui</t>
        </is>
      </c>
      <c r="K25" t="n">
        <v>87</v>
      </c>
      <c r="L25" t="inlineStr">
        <is>
          <t>17 Desember 2026</t>
        </is>
      </c>
      <c r="M25" t="inlineStr">
        <is>
          <t>Bangunan Sipil Jembatan, Jalan Layang, Fly Over, dan Underpass, Konstruksi Bangunan Sipil Jalan</t>
        </is>
      </c>
      <c r="N25" t="inlineStr">
        <is>
          <t>K</t>
        </is>
      </c>
      <c r="O25" t="inlineStr">
        <is>
          <t>20231215, 20231218</t>
        </is>
      </c>
      <c r="P25" t="inlineStr">
        <is>
          <t>Jawa Barat</t>
        </is>
      </c>
      <c r="Q25" t="inlineStr"/>
    </row>
    <row r="26">
      <c r="A26" t="inlineStr">
        <is>
          <t>CITRA MANDIRI MULKI PERKASA</t>
        </is>
      </c>
      <c r="B26" t="inlineStr">
        <is>
          <t>Kab. Tangerang</t>
        </is>
      </c>
      <c r="C26" t="inlineStr">
        <is>
          <t>02159405118</t>
        </is>
      </c>
      <c r="D26" t="inlineStr">
        <is>
          <t>citramandiriutama@ymail.com</t>
        </is>
      </c>
      <c r="E26" t="inlineStr">
        <is>
          <t>https://lpjk.pu.go.id/search-badan-usaha-detail/N2FESE5LOEJ4d2N6WmtTVTk2WExLZz09</t>
        </is>
      </c>
      <c r="F26" t="n">
        <v>2</v>
      </c>
      <c r="G26" t="inlineStr">
        <is>
          <t>IN007, IN008</t>
        </is>
      </c>
      <c r="H26" t="inlineStr">
        <is>
          <t>4 Desember 2012</t>
        </is>
      </c>
      <c r="I26" s="2" t="n">
        <v>46373</v>
      </c>
      <c r="J26" t="inlineStr">
        <is>
          <t>Pembekuan</t>
        </is>
      </c>
      <c r="K26" t="n">
        <v>87</v>
      </c>
      <c r="L26" t="inlineStr">
        <is>
          <t>17 Desember 2026</t>
        </is>
      </c>
      <c r="M26" t="inlineStr">
        <is>
          <t>Instalasi Pendingin Dan Ventilasi Udara, Instalasi Saluran Air (Plambing)</t>
        </is>
      </c>
      <c r="N26" t="inlineStr">
        <is>
          <t>Spesialis</t>
        </is>
      </c>
      <c r="O26" t="inlineStr">
        <is>
          <t>20231214, 20231219</t>
        </is>
      </c>
      <c r="P26" t="inlineStr">
        <is>
          <t>Banten</t>
        </is>
      </c>
      <c r="Q26" t="inlineStr"/>
    </row>
    <row r="27">
      <c r="A27" t="inlineStr">
        <is>
          <t>CV. KARTINI UTAMA PAPUA</t>
        </is>
      </c>
      <c r="B27" t="inlineStr">
        <is>
          <t>Kota Sorong</t>
        </is>
      </c>
      <c r="C27" t="inlineStr">
        <is>
          <t>081247413544</t>
        </is>
      </c>
      <c r="D27" t="inlineStr">
        <is>
          <t>trichrisnawulan@gmail.com</t>
        </is>
      </c>
      <c r="E27" t="inlineStr">
        <is>
          <t>https://lpjk.pu.go.id/search-badan-usaha-detail/ZXhhU2hnRUdCb1A3Q2RKU1p0Wml4dz09</t>
        </is>
      </c>
      <c r="F27" t="n">
        <v>1</v>
      </c>
      <c r="G27" t="inlineStr">
        <is>
          <t>BS001</t>
        </is>
      </c>
      <c r="H27" t="inlineStr">
        <is>
          <t>18 Desember 2019</t>
        </is>
      </c>
      <c r="I27" s="2" t="n">
        <v>46373</v>
      </c>
      <c r="J27" t="inlineStr">
        <is>
          <t>Disetujui</t>
        </is>
      </c>
      <c r="K27" t="n">
        <v>87</v>
      </c>
      <c r="L27" t="inlineStr">
        <is>
          <t>17 Desember 2026</t>
        </is>
      </c>
      <c r="M27" t="inlineStr">
        <is>
          <t>Konstruksi Bangunan Sipil Jalan</t>
        </is>
      </c>
      <c r="N27" t="inlineStr">
        <is>
          <t>K</t>
        </is>
      </c>
      <c r="O27" t="inlineStr">
        <is>
          <t>20231218</t>
        </is>
      </c>
      <c r="P27" t="inlineStr">
        <is>
          <t>Papua Barat Daya</t>
        </is>
      </c>
      <c r="Q27" t="inlineStr"/>
    </row>
    <row r="28">
      <c r="A28" t="inlineStr">
        <is>
          <t>EKA MAKMUR BERSAMA</t>
        </is>
      </c>
      <c r="B28" t="inlineStr">
        <is>
          <t>Kota Adm. Jakarta Pusat</t>
        </is>
      </c>
      <c r="C28" t="inlineStr">
        <is>
          <t>0214208065</t>
        </is>
      </c>
      <c r="D28" t="inlineStr">
        <is>
          <t>ptekamakmurbersama@gmail.com</t>
        </is>
      </c>
      <c r="E28" t="inlineStr">
        <is>
          <t>https://lpjk.pu.go.id/search-badan-usaha-detail/TDIyQmEzVzltQjRTcVZPdGVsNXpvUT09</t>
        </is>
      </c>
      <c r="F28" t="n">
        <v>1</v>
      </c>
      <c r="G28" t="inlineStr">
        <is>
          <t>PB010</t>
        </is>
      </c>
      <c r="H28" t="inlineStr">
        <is>
          <t>26 Maret 2019</t>
        </is>
      </c>
      <c r="I28" s="2" t="n">
        <v>46373</v>
      </c>
      <c r="J28" t="inlineStr">
        <is>
          <t>Pembekuan</t>
        </is>
      </c>
      <c r="K28" t="n">
        <v>87</v>
      </c>
      <c r="L28" t="inlineStr">
        <is>
          <t>17 Desember 2026</t>
        </is>
      </c>
      <c r="M28" t="inlineStr">
        <is>
          <t>Pekerjaan Lanskap, Pertamanan, dan Penanaman Vegetasi</t>
        </is>
      </c>
      <c r="N28" t="inlineStr">
        <is>
          <t>Spesialis</t>
        </is>
      </c>
      <c r="O28" t="inlineStr">
        <is>
          <t>20230517</t>
        </is>
      </c>
      <c r="P28" t="inlineStr">
        <is>
          <t>DKI Jakarta</t>
        </is>
      </c>
      <c r="Q28" t="inlineStr"/>
    </row>
    <row r="29">
      <c r="A29" t="inlineStr">
        <is>
          <t>ELANG HITAM MEDIATAMA</t>
        </is>
      </c>
      <c r="B29" t="inlineStr">
        <is>
          <t>Kota Palembang</t>
        </is>
      </c>
      <c r="C29" t="inlineStr">
        <is>
          <t>082180195099</t>
        </is>
      </c>
      <c r="D29" t="inlineStr">
        <is>
          <t>cv.elanghitammediatama@gmail.com</t>
        </is>
      </c>
      <c r="E29" t="inlineStr">
        <is>
          <t>https://lpjk.pu.go.id/search-badan-usaha-detail/a2ZjamNyS2tNUFVMekRobVQrT2Y2MTFMVnpKR0dpWHVRdXM1Y2hiUHRNST0</t>
        </is>
      </c>
      <c r="F29" t="n">
        <v>2</v>
      </c>
      <c r="G29" t="inlineStr">
        <is>
          <t>BG009</t>
        </is>
      </c>
      <c r="H29" t="inlineStr">
        <is>
          <t>14 Februari 2022</t>
        </is>
      </c>
      <c r="I29" s="2" t="n">
        <v>46373</v>
      </c>
      <c r="J29" t="inlineStr">
        <is>
          <t>Disetujui</t>
        </is>
      </c>
      <c r="K29" t="n">
        <v>87</v>
      </c>
      <c r="L29" t="inlineStr">
        <is>
          <t>17 Desember 2026</t>
        </is>
      </c>
      <c r="M29" t="inlineStr">
        <is>
          <t>Konstruksi Gedung Lainnya</t>
        </is>
      </c>
      <c r="N29" t="inlineStr">
        <is>
          <t>K</t>
        </is>
      </c>
      <c r="O29" t="inlineStr">
        <is>
          <t>20231218</t>
        </is>
      </c>
      <c r="P29" t="inlineStr">
        <is>
          <t>Sumatera Selatan</t>
        </is>
      </c>
      <c r="Q29" t="inlineStr"/>
    </row>
    <row r="30">
      <c r="A30" t="inlineStr">
        <is>
          <t>GANESHA KARYA</t>
        </is>
      </c>
      <c r="B30" t="inlineStr">
        <is>
          <t>Kab. Aceh Barat Daya</t>
        </is>
      </c>
      <c r="C30" t="inlineStr">
        <is>
          <t>085264110277</t>
        </is>
      </c>
      <c r="D30" t="inlineStr">
        <is>
          <t>ganeshakarya89@gmail.com</t>
        </is>
      </c>
      <c r="E30" t="inlineStr">
        <is>
          <t>https://lpjk.pu.go.id/search-badan-usaha-detail/NVc0WHQvMUtpelRXVWwvUDdOTzIxZz09</t>
        </is>
      </c>
      <c r="F30" t="n">
        <v>2</v>
      </c>
      <c r="G30" t="inlineStr">
        <is>
          <t>BG005</t>
        </is>
      </c>
      <c r="H30" t="inlineStr">
        <is>
          <t>28 Februari 2020</t>
        </is>
      </c>
      <c r="I30" s="2" t="n">
        <v>46373</v>
      </c>
      <c r="J30" t="inlineStr">
        <is>
          <t>Pencabutan</t>
        </is>
      </c>
      <c r="K30" t="n">
        <v>87</v>
      </c>
      <c r="L30" t="inlineStr">
        <is>
          <t>17 Desember 2026</t>
        </is>
      </c>
      <c r="M30" t="inlineStr">
        <is>
          <t>Konstruksi Gedung Kesehatan</t>
        </is>
      </c>
      <c r="N30" t="inlineStr">
        <is>
          <t>K</t>
        </is>
      </c>
      <c r="O30" t="inlineStr">
        <is>
          <t>20231218</t>
        </is>
      </c>
      <c r="P30" t="inlineStr">
        <is>
          <t>Aceh</t>
        </is>
      </c>
      <c r="Q30" t="inlineStr"/>
    </row>
    <row r="31">
      <c r="A31" t="inlineStr">
        <is>
          <t>HERANG JAYA</t>
        </is>
      </c>
      <c r="B31" t="inlineStr">
        <is>
          <t>Kab. Tangerang</t>
        </is>
      </c>
      <c r="C31" t="inlineStr">
        <is>
          <t>085695956809</t>
        </is>
      </c>
      <c r="D31" t="inlineStr">
        <is>
          <t>cvherangjaya@gmail.com</t>
        </is>
      </c>
      <c r="E31" t="inlineStr">
        <is>
          <t>https://lpjk.pu.go.id/search-badan-usaha-detail/NWtMSU04Zm1uZ0Z0SEx5LzV3UWZYQT09</t>
        </is>
      </c>
      <c r="F31" t="n">
        <v>4</v>
      </c>
      <c r="G31" t="inlineStr">
        <is>
          <t>PB004, PL005</t>
        </is>
      </c>
      <c r="H31" t="inlineStr">
        <is>
          <t>1 Februari 2021</t>
        </is>
      </c>
      <c r="I31" s="2" t="n">
        <v>46373</v>
      </c>
      <c r="J31" t="inlineStr">
        <is>
          <t>Disetujui</t>
        </is>
      </c>
      <c r="K31" t="n">
        <v>87</v>
      </c>
      <c r="L31" t="inlineStr">
        <is>
          <t>17 Desember 2026</t>
        </is>
      </c>
      <c r="M31" t="inlineStr">
        <is>
          <t>Dekorasi Interior, Pembuatan/Pengeboran Sumur Air Tanah</t>
        </is>
      </c>
      <c r="N31" t="inlineStr">
        <is>
          <t>Spesialis</t>
        </is>
      </c>
      <c r="O31" t="inlineStr">
        <is>
          <t>20231214, 20231215</t>
        </is>
      </c>
      <c r="P31" t="inlineStr">
        <is>
          <t>Banten</t>
        </is>
      </c>
      <c r="Q31" t="inlineStr"/>
    </row>
    <row r="32">
      <c r="A32" t="inlineStr">
        <is>
          <t>INDITEC CONSULTANT</t>
        </is>
      </c>
      <c r="B32" t="inlineStr">
        <is>
          <t>Kota Banjarmasin</t>
        </is>
      </c>
      <c r="C32" t="inlineStr">
        <is>
          <t>05113308412</t>
        </is>
      </c>
      <c r="D32" t="inlineStr">
        <is>
          <t>inditec_consultant@yahoo.co.id</t>
        </is>
      </c>
      <c r="E32" t="inlineStr">
        <is>
          <t>https://lpjk.pu.go.id/search-badan-usaha-detail/d3Z2VVFVS0FnS0YxUmlpY0VOblI3QT09</t>
        </is>
      </c>
      <c r="F32" t="n">
        <v>1</v>
      </c>
      <c r="G32" t="inlineStr">
        <is>
          <t>RK001</t>
        </is>
      </c>
      <c r="H32" t="inlineStr">
        <is>
          <t>24 Mei 2002</t>
        </is>
      </c>
      <c r="I32" s="2" t="n">
        <v>46373</v>
      </c>
      <c r="J32" t="inlineStr">
        <is>
          <t>Disetujui</t>
        </is>
      </c>
      <c r="K32" t="n">
        <v>87</v>
      </c>
      <c r="L32" t="inlineStr">
        <is>
          <t>17 Desember 2026</t>
        </is>
      </c>
      <c r="M32" t="inlineStr">
        <is>
          <t>Jasa Rekayasa Konstruksi Bangunan Gedung Hunian dan Non Hunian</t>
        </is>
      </c>
      <c r="N32" t="inlineStr">
        <is>
          <t>K</t>
        </is>
      </c>
      <c r="O32" t="inlineStr">
        <is>
          <t>20231207</t>
        </is>
      </c>
      <c r="P32" t="inlineStr">
        <is>
          <t>Kalimantan Selatan</t>
        </is>
      </c>
      <c r="Q32" t="inlineStr"/>
    </row>
    <row r="33">
      <c r="A33" t="inlineStr">
        <is>
          <t>INDOMAS RAYA</t>
        </is>
      </c>
      <c r="B33" t="inlineStr">
        <is>
          <t>Kab. Pandeglang</t>
        </is>
      </c>
      <c r="C33" t="inlineStr">
        <is>
          <t>087820936663</t>
        </is>
      </c>
      <c r="D33" t="inlineStr">
        <is>
          <t>cv.indomasraya@yahoo.com</t>
        </is>
      </c>
      <c r="E33" t="inlineStr">
        <is>
          <t>https://lpjk.pu.go.id/search-badan-usaha-detail/dTJ4aTlSTzhlUk5IODdIVGUxNDFaUT09</t>
        </is>
      </c>
      <c r="F33" t="n">
        <v>1</v>
      </c>
      <c r="G33" t="inlineStr">
        <is>
          <t>BS001</t>
        </is>
      </c>
      <c r="H33" t="inlineStr">
        <is>
          <t>8 Desember 2006</t>
        </is>
      </c>
      <c r="I33" s="2" t="n">
        <v>46373</v>
      </c>
      <c r="J33" t="inlineStr">
        <is>
          <t>Disetujui</t>
        </is>
      </c>
      <c r="K33" t="n">
        <v>87</v>
      </c>
      <c r="L33" t="inlineStr">
        <is>
          <t>17 Desember 2026</t>
        </is>
      </c>
      <c r="M33" t="inlineStr">
        <is>
          <t>Konstruksi Bangunan Sipil Jalan</t>
        </is>
      </c>
      <c r="N33" t="inlineStr">
        <is>
          <t>K</t>
        </is>
      </c>
      <c r="O33" t="inlineStr">
        <is>
          <t>20231213</t>
        </is>
      </c>
      <c r="P33" t="inlineStr">
        <is>
          <t>Banten</t>
        </is>
      </c>
      <c r="Q33" t="inlineStr"/>
    </row>
    <row r="34">
      <c r="A34" t="inlineStr">
        <is>
          <t>KAIROS SUMBER ABADI</t>
        </is>
      </c>
      <c r="B34" t="inlineStr">
        <is>
          <t>Kota Manado</t>
        </is>
      </c>
      <c r="C34" t="inlineStr">
        <is>
          <t>085242972833</t>
        </is>
      </c>
      <c r="D34" t="inlineStr">
        <is>
          <t>kurangvioleta@gmail.com</t>
        </is>
      </c>
      <c r="E34" t="inlineStr">
        <is>
          <t>https://lpjk.pu.go.id/search-badan-usaha-detail/dG5WUjVHYTBYVVdWbjlNelBCMHNRUT09</t>
        </is>
      </c>
      <c r="F34" t="n">
        <v>1</v>
      </c>
      <c r="G34" t="inlineStr">
        <is>
          <t>BG002</t>
        </is>
      </c>
      <c r="H34" t="inlineStr">
        <is>
          <t>12 Juli 2023</t>
        </is>
      </c>
      <c r="I34" s="2" t="n">
        <v>46373</v>
      </c>
      <c r="J34" t="inlineStr">
        <is>
          <t>Disetujui</t>
        </is>
      </c>
      <c r="K34" t="n">
        <v>87</v>
      </c>
      <c r="L34" t="inlineStr">
        <is>
          <t>17 Desember 2026</t>
        </is>
      </c>
      <c r="M34" t="inlineStr">
        <is>
          <t>Konstruksi Gedung Perkantoran</t>
        </is>
      </c>
      <c r="N34" t="inlineStr">
        <is>
          <t>K</t>
        </is>
      </c>
      <c r="O34" t="inlineStr">
        <is>
          <t>20231212</t>
        </is>
      </c>
      <c r="P34" t="inlineStr">
        <is>
          <t>Sulawesi Utara</t>
        </is>
      </c>
      <c r="Q34" t="inlineStr"/>
    </row>
    <row r="35">
      <c r="A35" t="inlineStr">
        <is>
          <t>KARYA BARU</t>
        </is>
      </c>
      <c r="B35" t="inlineStr">
        <is>
          <t>Kab. Kotawaringin Timur</t>
        </is>
      </c>
      <c r="C35" t="inlineStr">
        <is>
          <t>0</t>
        </is>
      </c>
      <c r="D35" t="inlineStr">
        <is>
          <t>karyabaru12@gmail.com</t>
        </is>
      </c>
      <c r="E35" t="inlineStr">
        <is>
          <t>https://lpjk.pu.go.id/search-badan-usaha-detail/akFSbHVKcGRtR3hzV2dPUThxcG1iZz09</t>
        </is>
      </c>
      <c r="F35" t="n">
        <v>1</v>
      </c>
      <c r="G35" t="inlineStr">
        <is>
          <t>BG002</t>
        </is>
      </c>
      <c r="H35" t="inlineStr">
        <is>
          <t>14 November 1985</t>
        </is>
      </c>
      <c r="I35" s="2" t="n">
        <v>46373</v>
      </c>
      <c r="J35" t="inlineStr">
        <is>
          <t>Disetujui</t>
        </is>
      </c>
      <c r="K35" t="n">
        <v>87</v>
      </c>
      <c r="L35" t="inlineStr">
        <is>
          <t>17 Desember 2026</t>
        </is>
      </c>
      <c r="M35" t="inlineStr">
        <is>
          <t>Konstruksi Gedung Perkantoran</t>
        </is>
      </c>
      <c r="N35" t="inlineStr">
        <is>
          <t>K</t>
        </is>
      </c>
      <c r="O35" t="inlineStr">
        <is>
          <t>20231212</t>
        </is>
      </c>
      <c r="P35" t="inlineStr">
        <is>
          <t>Kalimantan Tengah</t>
        </is>
      </c>
      <c r="Q35" t="inlineStr"/>
    </row>
    <row r="36">
      <c r="A36" t="inlineStr">
        <is>
          <t>KAYAN UTAMA</t>
        </is>
      </c>
      <c r="B36" t="inlineStr">
        <is>
          <t>Kota Tarakan</t>
        </is>
      </c>
      <c r="C36" t="inlineStr">
        <is>
          <t>081347822757</t>
        </is>
      </c>
      <c r="D36" t="inlineStr">
        <is>
          <t>kayanutama@gmail.com</t>
        </is>
      </c>
      <c r="E36" t="inlineStr">
        <is>
          <t>https://lpjk.pu.go.id/search-badan-usaha-detail/bDFaOUh5MHVQa1hsVWVMMU1QWlFadz09</t>
        </is>
      </c>
      <c r="F36" t="n">
        <v>1</v>
      </c>
      <c r="G36" t="inlineStr">
        <is>
          <t>BG009</t>
        </is>
      </c>
      <c r="H36" t="inlineStr">
        <is>
          <t>5 Januari 2022</t>
        </is>
      </c>
      <c r="I36" s="2" t="n">
        <v>46373</v>
      </c>
      <c r="J36" t="inlineStr">
        <is>
          <t>Disetujui</t>
        </is>
      </c>
      <c r="K36" t="n">
        <v>87</v>
      </c>
      <c r="L36" t="inlineStr">
        <is>
          <t>17 Desember 2026</t>
        </is>
      </c>
      <c r="M36" t="inlineStr">
        <is>
          <t>Konstruksi Gedung Lainnya</t>
        </is>
      </c>
      <c r="N36" t="inlineStr">
        <is>
          <t>K</t>
        </is>
      </c>
      <c r="O36" t="inlineStr">
        <is>
          <t>20231213</t>
        </is>
      </c>
      <c r="P36" t="inlineStr">
        <is>
          <t>Kalimantan Utara</t>
        </is>
      </c>
      <c r="Q36" t="inlineStr"/>
    </row>
    <row r="37">
      <c r="A37" t="inlineStr">
        <is>
          <t>KEMBAR DUA</t>
        </is>
      </c>
      <c r="B37" t="inlineStr">
        <is>
          <t>Kab. Blora</t>
        </is>
      </c>
      <c r="C37" t="inlineStr">
        <is>
          <t>081328868594</t>
        </is>
      </c>
      <c r="D37" t="inlineStr">
        <is>
          <t>cvkembardua@gmail.com</t>
        </is>
      </c>
      <c r="E37" t="inlineStr">
        <is>
          <t>https://lpjk.pu.go.id/search-badan-usaha-detail/U3Mra2RncldEVTNuaG8xeTExREk3dz09</t>
        </is>
      </c>
      <c r="F37" t="n">
        <v>4</v>
      </c>
      <c r="G37" t="inlineStr">
        <is>
          <t>BG002, BG005, BG006, BS001</t>
        </is>
      </c>
      <c r="H37" t="inlineStr">
        <is>
          <t>15 September 2000</t>
        </is>
      </c>
      <c r="I37" s="2" t="n">
        <v>46373</v>
      </c>
      <c r="J37" t="inlineStr">
        <is>
          <t>Disetujui</t>
        </is>
      </c>
      <c r="K37" t="n">
        <v>87</v>
      </c>
      <c r="L37" t="inlineStr">
        <is>
          <t>17 Desember 2026</t>
        </is>
      </c>
      <c r="M37" t="inlineStr">
        <is>
          <t>Konstruksi Bangunan Sipil Jalan, Konstruksi Gedung Kesehatan, Konstruksi Gedung Pendidikan, Konstruksi Gedung Perkantoran</t>
        </is>
      </c>
      <c r="N37" t="inlineStr">
        <is>
          <t>K</t>
        </is>
      </c>
      <c r="O37" t="inlineStr">
        <is>
          <t>20231214, 20231220</t>
        </is>
      </c>
      <c r="P37" t="inlineStr">
        <is>
          <t>Jawa Tengah</t>
        </is>
      </c>
      <c r="Q37" t="inlineStr"/>
    </row>
    <row r="38">
      <c r="A38" t="inlineStr">
        <is>
          <t>KREASI GEMILANG SAKTI</t>
        </is>
      </c>
      <c r="B38" t="inlineStr">
        <is>
          <t>Kota Surabaya</t>
        </is>
      </c>
      <c r="C38" t="inlineStr">
        <is>
          <t>081230380380</t>
        </is>
      </c>
      <c r="D38" t="inlineStr">
        <is>
          <t>kreasigemilangsakti.id@gmail.com</t>
        </is>
      </c>
      <c r="E38" t="inlineStr">
        <is>
          <t>https://lpjk.pu.go.id/search-badan-usaha-detail/djJtM3NzaDRhUDZmV1RZbG5ST3lyUT09</t>
        </is>
      </c>
      <c r="F38" t="n">
        <v>3</v>
      </c>
      <c r="G38" t="inlineStr">
        <is>
          <t>BG001, BG002, BG004</t>
        </is>
      </c>
      <c r="H38" t="inlineStr">
        <is>
          <t>9 Desember 2022</t>
        </is>
      </c>
      <c r="I38" s="2" t="n">
        <v>46373</v>
      </c>
      <c r="J38" t="inlineStr">
        <is>
          <t>Disetujui</t>
        </is>
      </c>
      <c r="K38" t="n">
        <v>87</v>
      </c>
      <c r="L38" t="inlineStr">
        <is>
          <t>17 Desember 2026</t>
        </is>
      </c>
      <c r="M38" t="inlineStr">
        <is>
          <t>Konstruksi Gedung Hunian, Konstruksi Gedung Perbelanjaan, Konstruksi Gedung Perkantoran</t>
        </is>
      </c>
      <c r="N38" t="inlineStr">
        <is>
          <t>K</t>
        </is>
      </c>
      <c r="O38" t="inlineStr">
        <is>
          <t>20231214</t>
        </is>
      </c>
      <c r="P38" t="inlineStr">
        <is>
          <t>Jawa Timur</t>
        </is>
      </c>
      <c r="Q38" t="inlineStr"/>
    </row>
    <row r="39">
      <c r="A39" t="inlineStr">
        <is>
          <t>LIMA SATU</t>
        </is>
      </c>
      <c r="B39" t="inlineStr">
        <is>
          <t>Kab. Lembata</t>
        </is>
      </c>
      <c r="C39" t="inlineStr">
        <is>
          <t>081261257828</t>
        </is>
      </c>
      <c r="D39" t="inlineStr">
        <is>
          <t>cvlimasatu224@gmail.com</t>
        </is>
      </c>
      <c r="E39" t="inlineStr">
        <is>
          <t>https://lpjk.pu.go.id/search-badan-usaha-detail/R2kxZTZWNG9vQldmZzlyVUsveVowdz09</t>
        </is>
      </c>
      <c r="F39" t="n">
        <v>1</v>
      </c>
      <c r="G39" t="inlineStr">
        <is>
          <t>BS001</t>
        </is>
      </c>
      <c r="H39" t="inlineStr">
        <is>
          <t>10 Desember 2015</t>
        </is>
      </c>
      <c r="I39" s="2" t="n">
        <v>46373</v>
      </c>
      <c r="J39" t="inlineStr">
        <is>
          <t>Pencabutan</t>
        </is>
      </c>
      <c r="K39" t="n">
        <v>87</v>
      </c>
      <c r="L39" t="inlineStr">
        <is>
          <t>17 Desember 2026</t>
        </is>
      </c>
      <c r="M39" t="inlineStr">
        <is>
          <t>Konstruksi Bangunan Sipil Jalan</t>
        </is>
      </c>
      <c r="N39" t="inlineStr">
        <is>
          <t>K</t>
        </is>
      </c>
      <c r="O39" t="inlineStr">
        <is>
          <t>20231213</t>
        </is>
      </c>
      <c r="P39" t="inlineStr">
        <is>
          <t>Nusa Tenggara Timur</t>
        </is>
      </c>
      <c r="Q39" t="inlineStr"/>
    </row>
    <row r="40">
      <c r="A40" t="inlineStr">
        <is>
          <t>MAJU PERKASA JAYA</t>
        </is>
      </c>
      <c r="B40" t="inlineStr">
        <is>
          <t>Kota Ambon</t>
        </is>
      </c>
      <c r="C40" t="inlineStr">
        <is>
          <t>081314058871</t>
        </is>
      </c>
      <c r="D40" t="inlineStr">
        <is>
          <t>majuperkasajaya2022@gmail.com</t>
        </is>
      </c>
      <c r="E40" t="inlineStr">
        <is>
          <t>https://lpjk.pu.go.id/search-badan-usaha-detail/czFCc0JjZ3VpbU1QNnlYODUyQjBkUT09</t>
        </is>
      </c>
      <c r="F40" t="n">
        <v>2</v>
      </c>
      <c r="G40" t="inlineStr">
        <is>
          <t>BS010</t>
        </is>
      </c>
      <c r="H40" t="inlineStr">
        <is>
          <t>25 April 2012</t>
        </is>
      </c>
      <c r="I40" s="2" t="n">
        <v>46373</v>
      </c>
      <c r="J40" t="inlineStr">
        <is>
          <t>Disetujui</t>
        </is>
      </c>
      <c r="K40" t="n">
        <v>87</v>
      </c>
      <c r="L40" t="inlineStr">
        <is>
          <t>17 Desember 2026</t>
        </is>
      </c>
      <c r="M40" t="inlineStr">
        <is>
          <t>Konstruksi Bangunan Prasarana Sumber Daya Air</t>
        </is>
      </c>
      <c r="N40" t="inlineStr">
        <is>
          <t>K</t>
        </is>
      </c>
      <c r="O40" t="inlineStr">
        <is>
          <t>20231218</t>
        </is>
      </c>
      <c r="P40" t="inlineStr">
        <is>
          <t>Maluku</t>
        </is>
      </c>
      <c r="Q40" t="inlineStr"/>
    </row>
    <row r="41">
      <c r="A41" t="inlineStr">
        <is>
          <t>MALIKA TEKNIK</t>
        </is>
      </c>
      <c r="B41" t="inlineStr">
        <is>
          <t>Kota Mataram</t>
        </is>
      </c>
      <c r="C41" t="inlineStr">
        <is>
          <t>081911285189</t>
        </is>
      </c>
      <c r="D41" t="inlineStr">
        <is>
          <t>malikateknik@gmail.com</t>
        </is>
      </c>
      <c r="E41" t="inlineStr">
        <is>
          <t>https://lpjk.pu.go.id/search-badan-usaha-detail/TkVIYkhFOFpMSCtrTEVlOExsVzNCZz09</t>
        </is>
      </c>
      <c r="F41" t="n">
        <v>4</v>
      </c>
      <c r="G41" t="inlineStr">
        <is>
          <t>BG006, BG009</t>
        </is>
      </c>
      <c r="H41" t="inlineStr">
        <is>
          <t>14 November 2016</t>
        </is>
      </c>
      <c r="I41" s="2" t="n">
        <v>46373</v>
      </c>
      <c r="J41" t="inlineStr">
        <is>
          <t>Disetujui</t>
        </is>
      </c>
      <c r="K41" t="n">
        <v>87</v>
      </c>
      <c r="L41" t="inlineStr">
        <is>
          <t>17 Desember 2026</t>
        </is>
      </c>
      <c r="M41" t="inlineStr">
        <is>
          <t>Konstruksi Gedung Lainnya, Konstruksi Gedung Pendidikan</t>
        </is>
      </c>
      <c r="N41" t="inlineStr">
        <is>
          <t>K</t>
        </is>
      </c>
      <c r="O41" t="inlineStr">
        <is>
          <t>20231214</t>
        </is>
      </c>
      <c r="P41" t="inlineStr">
        <is>
          <t>Nusa Tenggara Barat</t>
        </is>
      </c>
      <c r="Q41" t="inlineStr"/>
    </row>
    <row r="42">
      <c r="A42" t="inlineStr">
        <is>
          <t>MARATAMA CIPTA MANDIRI</t>
        </is>
      </c>
      <c r="B42" t="inlineStr">
        <is>
          <t>Kota Bandung</t>
        </is>
      </c>
      <c r="C42" t="inlineStr">
        <is>
          <t>02220503855</t>
        </is>
      </c>
      <c r="D42" t="inlineStr">
        <is>
          <t>adm.keuangan@maratama.co.id</t>
        </is>
      </c>
      <c r="E42" t="inlineStr">
        <is>
          <t>https://lpjk.pu.go.id/search-badan-usaha-detail/akxJQjlhTGV0RUVCdU96djJwTFNiQT09</t>
        </is>
      </c>
      <c r="F42" t="n">
        <v>2</v>
      </c>
      <c r="G42" t="inlineStr">
        <is>
          <t>RK002</t>
        </is>
      </c>
      <c r="H42" t="inlineStr">
        <is>
          <t>20 Maret 2007</t>
        </is>
      </c>
      <c r="I42" s="2" t="n">
        <v>46373</v>
      </c>
      <c r="J42" t="inlineStr">
        <is>
          <t>Disetujui</t>
        </is>
      </c>
      <c r="K42" t="n">
        <v>87</v>
      </c>
      <c r="L42" t="inlineStr">
        <is>
          <t>17 Desember 2026</t>
        </is>
      </c>
      <c r="M42" t="inlineStr">
        <is>
          <t>Jasa Rekayasa Pekerjaan Teknik Sipil Sumber Daya Air</t>
        </is>
      </c>
      <c r="N42" t="inlineStr">
        <is>
          <t>B</t>
        </is>
      </c>
      <c r="O42" t="inlineStr">
        <is>
          <t>20231205</t>
        </is>
      </c>
      <c r="P42" t="inlineStr">
        <is>
          <t>Jawa Barat</t>
        </is>
      </c>
      <c r="Q42" t="inlineStr"/>
    </row>
    <row r="43">
      <c r="A43" t="inlineStr">
        <is>
          <t>MIFTAH MULTI DESIGN</t>
        </is>
      </c>
      <c r="B43" t="inlineStr">
        <is>
          <t>Kota Makassar</t>
        </is>
      </c>
      <c r="C43" t="inlineStr">
        <is>
          <t>085298886000</t>
        </is>
      </c>
      <c r="D43" t="inlineStr">
        <is>
          <t>miftahmultidesign@gmail.com</t>
        </is>
      </c>
      <c r="E43" t="inlineStr">
        <is>
          <t>https://lpjk.pu.go.id/search-badan-usaha-detail/M2wwWWYyaVdKQWtIOGNjTUM1QkMvQT09</t>
        </is>
      </c>
      <c r="F43" t="n">
        <v>1</v>
      </c>
      <c r="G43" t="inlineStr">
        <is>
          <t>AR003</t>
        </is>
      </c>
      <c r="H43" t="inlineStr">
        <is>
          <t>21 Maret 2014</t>
        </is>
      </c>
      <c r="I43" s="2" t="n">
        <v>46373</v>
      </c>
      <c r="J43" t="inlineStr">
        <is>
          <t>Disetujui</t>
        </is>
      </c>
      <c r="K43" t="n">
        <v>87</v>
      </c>
      <c r="L43" t="inlineStr">
        <is>
          <t>17 Desember 2026</t>
        </is>
      </c>
      <c r="M43" t="inlineStr">
        <is>
          <t>Jasa Desain Interior pada Bangunan Gedung dan Bangunan Sipil</t>
        </is>
      </c>
      <c r="N43" t="inlineStr">
        <is>
          <t>K</t>
        </is>
      </c>
      <c r="O43" t="inlineStr">
        <is>
          <t>20231207</t>
        </is>
      </c>
      <c r="P43" t="inlineStr">
        <is>
          <t>Sulawesi Selatan</t>
        </is>
      </c>
      <c r="Q43" t="inlineStr"/>
    </row>
    <row r="44">
      <c r="A44" t="inlineStr">
        <is>
          <t>MULTI FORMA RIAU KONSULTAN</t>
        </is>
      </c>
      <c r="B44" t="inlineStr">
        <is>
          <t>Kota Tanjung Pinang</t>
        </is>
      </c>
      <c r="C44" t="inlineStr">
        <is>
          <t>081277588830</t>
        </is>
      </c>
      <c r="D44" t="inlineStr">
        <is>
          <t>multi_forma_riau_konsultan@yahoo.com</t>
        </is>
      </c>
      <c r="E44" t="inlineStr">
        <is>
          <t>https://lpjk.pu.go.id/search-badan-usaha-detail/dU1IUWs4cXRydW1BOUVtZDkvQUozUT09</t>
        </is>
      </c>
      <c r="F44" t="n">
        <v>2</v>
      </c>
      <c r="G44" t="inlineStr">
        <is>
          <t>AR001, AR003</t>
        </is>
      </c>
      <c r="H44" t="inlineStr">
        <is>
          <t>9 Desember 1991</t>
        </is>
      </c>
      <c r="I44" s="2" t="n">
        <v>46373</v>
      </c>
      <c r="J44" t="inlineStr">
        <is>
          <t>Disetujui</t>
        </is>
      </c>
      <c r="K44" t="n">
        <v>87</v>
      </c>
      <c r="L44" t="inlineStr">
        <is>
          <t>17 Desember 2026</t>
        </is>
      </c>
      <c r="M44" t="inlineStr">
        <is>
          <t>Jasa Arsitektural Bangunan Gedung Hunian dan Non Hunian, Jasa Desain Interior pada Bangunan Gedung dan Bangunan Sipil</t>
        </is>
      </c>
      <c r="N44" t="inlineStr">
        <is>
          <t>K</t>
        </is>
      </c>
      <c r="O44" t="inlineStr">
        <is>
          <t>20231207</t>
        </is>
      </c>
      <c r="P44" t="inlineStr">
        <is>
          <t>Kepulauan Riau</t>
        </is>
      </c>
      <c r="Q44" t="inlineStr"/>
    </row>
    <row r="45">
      <c r="A45" t="inlineStr">
        <is>
          <t>NUR WIJAYA ABADI</t>
        </is>
      </c>
      <c r="B45" t="inlineStr">
        <is>
          <t>Kota Cilegon</t>
        </is>
      </c>
      <c r="C45" t="inlineStr">
        <is>
          <t>02547960616</t>
        </is>
      </c>
      <c r="D45" t="inlineStr">
        <is>
          <t>nurwijayaabadi@gmail.com</t>
        </is>
      </c>
      <c r="E45" t="inlineStr">
        <is>
          <t>https://lpjk.pu.go.id/search-badan-usaha-detail/S1B2UENPQlBqQndlM1BIVWNxR2lUdz09</t>
        </is>
      </c>
      <c r="F45" t="n">
        <v>1</v>
      </c>
      <c r="G45" t="inlineStr">
        <is>
          <t>BG003</t>
        </is>
      </c>
      <c r="H45" t="inlineStr">
        <is>
          <t>30 Oktober 2014</t>
        </is>
      </c>
      <c r="I45" s="2" t="n">
        <v>46373</v>
      </c>
      <c r="J45" t="inlineStr">
        <is>
          <t>Pencabutan</t>
        </is>
      </c>
      <c r="K45" t="n">
        <v>87</v>
      </c>
      <c r="L45" t="inlineStr">
        <is>
          <t>17 Desember 2026</t>
        </is>
      </c>
      <c r="M45" t="inlineStr">
        <is>
          <t>Konstruksi Gedung Industri</t>
        </is>
      </c>
      <c r="N45" t="inlineStr">
        <is>
          <t>K</t>
        </is>
      </c>
      <c r="O45" t="inlineStr">
        <is>
          <t>20231211</t>
        </is>
      </c>
      <c r="P45" t="inlineStr">
        <is>
          <t>Banten</t>
        </is>
      </c>
      <c r="Q45" t="inlineStr"/>
    </row>
    <row r="46">
      <c r="A46" t="inlineStr">
        <is>
          <t>PANCA JAYA</t>
        </is>
      </c>
      <c r="B46" t="inlineStr">
        <is>
          <t>Kab. Bangka</t>
        </is>
      </c>
      <c r="C46" t="inlineStr">
        <is>
          <t>071795088</t>
        </is>
      </c>
      <c r="D46" t="inlineStr">
        <is>
          <t>cv.pancajayaa@gmail.com</t>
        </is>
      </c>
      <c r="E46" t="inlineStr">
        <is>
          <t>https://lpjk.pu.go.id/search-badan-usaha-detail/YkpMa05XUE1aenJ6RlMxaXFnYU5jQT09</t>
        </is>
      </c>
      <c r="F46" t="n">
        <v>2</v>
      </c>
      <c r="G46" t="inlineStr">
        <is>
          <t>BG005, BG009</t>
        </is>
      </c>
      <c r="H46" t="inlineStr">
        <is>
          <t>18 Desember 2013</t>
        </is>
      </c>
      <c r="I46" s="2" t="n">
        <v>46373</v>
      </c>
      <c r="J46" t="inlineStr">
        <is>
          <t>Disetujui, Pencabutan</t>
        </is>
      </c>
      <c r="K46" t="n">
        <v>87</v>
      </c>
      <c r="L46" t="inlineStr">
        <is>
          <t>17 Desember 2026</t>
        </is>
      </c>
      <c r="M46" t="inlineStr">
        <is>
          <t>Konstruksi Gedung Kesehatan, Konstruksi Gedung Lainnya</t>
        </is>
      </c>
      <c r="N46" t="inlineStr">
        <is>
          <t>K</t>
        </is>
      </c>
      <c r="O46" t="inlineStr">
        <is>
          <t>20231127, 20231206</t>
        </is>
      </c>
      <c r="P46" t="inlineStr">
        <is>
          <t>Kepulauan Bangka Belitung</t>
        </is>
      </c>
      <c r="Q46" t="inlineStr"/>
    </row>
    <row r="47">
      <c r="A47" t="inlineStr">
        <is>
          <t>PARAMA YASA</t>
        </is>
      </c>
      <c r="B47" t="inlineStr">
        <is>
          <t>Kota Malang</t>
        </is>
      </c>
      <c r="C47" t="inlineStr">
        <is>
          <t>081231666767</t>
        </is>
      </c>
      <c r="D47" t="inlineStr">
        <is>
          <t>parama_yasa@yahoo.com</t>
        </is>
      </c>
      <c r="E47" t="inlineStr">
        <is>
          <t>https://lpjk.pu.go.id/search-badan-usaha-detail/TE1BekhZNFFKNWZYVU5RUEEvTHVlZz09</t>
        </is>
      </c>
      <c r="F47" t="n">
        <v>1</v>
      </c>
      <c r="G47" t="inlineStr">
        <is>
          <t>BS002</t>
        </is>
      </c>
      <c r="H47" t="inlineStr">
        <is>
          <t>4 Juni 2007</t>
        </is>
      </c>
      <c r="I47" s="2" t="n">
        <v>46373</v>
      </c>
      <c r="J47" t="inlineStr">
        <is>
          <t>Disetujui</t>
        </is>
      </c>
      <c r="K47" t="n">
        <v>87</v>
      </c>
      <c r="L47" t="inlineStr">
        <is>
          <t>17 Desember 2026</t>
        </is>
      </c>
      <c r="M47" t="inlineStr">
        <is>
          <t>Bangunan Sipil Jembatan, Jalan Layang, Fly Over, dan Underpass</t>
        </is>
      </c>
      <c r="N47" t="inlineStr">
        <is>
          <t>K</t>
        </is>
      </c>
      <c r="O47" t="inlineStr">
        <is>
          <t>20231213</t>
        </is>
      </c>
      <c r="P47" t="inlineStr">
        <is>
          <t>Jawa Timur</t>
        </is>
      </c>
      <c r="Q47" t="inlineStr"/>
    </row>
    <row r="48">
      <c r="A48" t="inlineStr">
        <is>
          <t>PILAR JATI NUSANTARA</t>
        </is>
      </c>
      <c r="B48" t="inlineStr">
        <is>
          <t>Kota Adm. Jakarta Selatan</t>
        </is>
      </c>
      <c r="C48" t="inlineStr">
        <is>
          <t>0816969036</t>
        </is>
      </c>
      <c r="D48" t="inlineStr">
        <is>
          <t>kiatjatiselaras@gmail.com</t>
        </is>
      </c>
      <c r="E48" t="inlineStr">
        <is>
          <t>https://lpjk.pu.go.id/search-badan-usaha-detail/Qy9OK044eUFpMC9LZXNFMjhqOXpCZz09</t>
        </is>
      </c>
      <c r="F48" t="n">
        <v>2</v>
      </c>
      <c r="G48" t="inlineStr">
        <is>
          <t>BG005, BG009</t>
        </is>
      </c>
      <c r="H48" t="inlineStr">
        <is>
          <t>31 Maret 2023</t>
        </is>
      </c>
      <c r="I48" s="2" t="n">
        <v>46373</v>
      </c>
      <c r="J48" t="inlineStr">
        <is>
          <t>Disetujui</t>
        </is>
      </c>
      <c r="K48" t="n">
        <v>87</v>
      </c>
      <c r="L48" t="inlineStr">
        <is>
          <t>17 Desember 2026</t>
        </is>
      </c>
      <c r="M48" t="inlineStr">
        <is>
          <t>Konstruksi Gedung Kesehatan, Konstruksi Gedung Lainnya</t>
        </is>
      </c>
      <c r="N48" t="inlineStr">
        <is>
          <t>K</t>
        </is>
      </c>
      <c r="O48" t="inlineStr">
        <is>
          <t>20231215</t>
        </is>
      </c>
      <c r="P48" t="inlineStr">
        <is>
          <t>DKI Jakarta</t>
        </is>
      </c>
      <c r="Q48" t="inlineStr"/>
    </row>
    <row r="49">
      <c r="A49" t="inlineStr">
        <is>
          <t>PILAR TRI LAKSANA</t>
        </is>
      </c>
      <c r="B49" t="inlineStr">
        <is>
          <t>Kab. Madiun</t>
        </is>
      </c>
      <c r="C49" t="inlineStr">
        <is>
          <t>081335657797</t>
        </is>
      </c>
      <c r="D49" t="inlineStr">
        <is>
          <t>pilartrilaksana2020@gmail.com</t>
        </is>
      </c>
      <c r="E49" t="inlineStr">
        <is>
          <t>https://lpjk.pu.go.id/search-badan-usaha-detail/eFFCVEF4elJoY2FFTjlsWlMwbFp0dz09</t>
        </is>
      </c>
      <c r="F49" t="n">
        <v>3</v>
      </c>
      <c r="G49" t="inlineStr">
        <is>
          <t>AR001, AR002, RK001</t>
        </is>
      </c>
      <c r="H49" t="inlineStr">
        <is>
          <t>6 Juli 2020</t>
        </is>
      </c>
      <c r="I49" s="2" t="n">
        <v>46373</v>
      </c>
      <c r="J49" t="inlineStr">
        <is>
          <t>Disetujui</t>
        </is>
      </c>
      <c r="K49" t="n">
        <v>87</v>
      </c>
      <c r="L49" t="inlineStr">
        <is>
          <t>17 Desember 2026</t>
        </is>
      </c>
      <c r="M49" t="inlineStr">
        <is>
          <t>Jasa Arsitektural Bangunan Gedung Hunian dan Non Hunian, Jasa Arsitektural Lainnya, Jasa Rekayasa Konstruksi Bangunan Gedung Hunian dan Non Hunian</t>
        </is>
      </c>
      <c r="N49" t="inlineStr">
        <is>
          <t>K</t>
        </is>
      </c>
      <c r="O49" t="inlineStr">
        <is>
          <t>20231205, 20231207</t>
        </is>
      </c>
      <c r="P49" t="inlineStr">
        <is>
          <t>Jawa Timur</t>
        </is>
      </c>
      <c r="Q49" t="inlineStr"/>
    </row>
    <row r="50">
      <c r="A50" t="inlineStr">
        <is>
          <t>PIRAMID ANUGRAH NUSANTARA</t>
        </is>
      </c>
      <c r="B50" t="inlineStr">
        <is>
          <t>Kota Jambi</t>
        </is>
      </c>
      <c r="C50" t="inlineStr">
        <is>
          <t>081367770110</t>
        </is>
      </c>
      <c r="D50" t="inlineStr">
        <is>
          <t>piramid_an@yahoo.com</t>
        </is>
      </c>
      <c r="E50" t="inlineStr">
        <is>
          <t>https://lpjk.pu.go.id/search-badan-usaha-detail/Q0RlQVJFS1FyMmxhUHk0b2IwOUVlUT09</t>
        </is>
      </c>
      <c r="F50" t="n">
        <v>1</v>
      </c>
      <c r="G50" t="inlineStr">
        <is>
          <t>BS001</t>
        </is>
      </c>
      <c r="H50" t="inlineStr">
        <is>
          <t>25 Januari 2016</t>
        </is>
      </c>
      <c r="I50" s="2" t="n">
        <v>46373</v>
      </c>
      <c r="J50" t="inlineStr">
        <is>
          <t>Disetujui</t>
        </is>
      </c>
      <c r="K50" t="n">
        <v>87</v>
      </c>
      <c r="L50" t="inlineStr">
        <is>
          <t>17 Desember 2026</t>
        </is>
      </c>
      <c r="M50" t="inlineStr">
        <is>
          <t>Konstruksi Bangunan Sipil Jalan</t>
        </is>
      </c>
      <c r="N50" t="inlineStr">
        <is>
          <t>M</t>
        </is>
      </c>
      <c r="O50" t="inlineStr">
        <is>
          <t>20231212</t>
        </is>
      </c>
      <c r="P50" t="inlineStr">
        <is>
          <t>Jambi</t>
        </is>
      </c>
      <c r="Q50" t="inlineStr"/>
    </row>
    <row r="51">
      <c r="A51" t="inlineStr">
        <is>
          <t>PRIMA LAYANAN NASIONAL ENJINIRING</t>
        </is>
      </c>
      <c r="B51" t="inlineStr">
        <is>
          <t>Kota Adm. Jakarta Barat</t>
        </is>
      </c>
      <c r="C51" t="inlineStr">
        <is>
          <t>021560843</t>
        </is>
      </c>
      <c r="D51" t="inlineStr">
        <is>
          <t>contact@plne.co.id</t>
        </is>
      </c>
      <c r="E51" t="inlineStr">
        <is>
          <t>https://lpjk.pu.go.id/search-badan-usaha-detail/dUg1UTM0T1UvcGFpY0xmbGl0Z041QT09</t>
        </is>
      </c>
      <c r="F51" t="n">
        <v>5</v>
      </c>
      <c r="G51" t="inlineStr">
        <is>
          <t>IT002, IT003, RK001, RK003, RT003</t>
        </is>
      </c>
      <c r="H51" t="inlineStr">
        <is>
          <t>3 Oktober 2002</t>
        </is>
      </c>
      <c r="I51" s="2" t="n">
        <v>46373</v>
      </c>
      <c r="J51" t="inlineStr">
        <is>
          <t>Disetujui</t>
        </is>
      </c>
      <c r="K51" t="n">
        <v>87</v>
      </c>
      <c r="L51" t="inlineStr">
        <is>
          <t>17 Desember 2026</t>
        </is>
      </c>
      <c r="M51" t="inlineStr">
        <is>
          <t>Jasa Konsultansi Ilmiah dan Teknis Bawah Tanah, Jasa Konsultansi Ilmiah dan Teknis Permukaan Tanah dan Pembuatan Peta, Jasa Rekayasa Konstruksi Bangunan Gedung Hunian dan Non Hunian, Jasa Rekayasa Konstruksi Proses Industrial, Produksi, dan Fasilitas Produksi, Jasa Rekayasa Pekerjaan Teknik Sipil Transportasi</t>
        </is>
      </c>
      <c r="N51" t="inlineStr">
        <is>
          <t>B, K, M, Spesialis</t>
        </is>
      </c>
      <c r="O51" t="inlineStr">
        <is>
          <t>20231205</t>
        </is>
      </c>
      <c r="P51" t="inlineStr">
        <is>
          <t>DKI Jakarta</t>
        </is>
      </c>
      <c r="Q51" t="inlineStr"/>
    </row>
    <row r="52">
      <c r="A52" t="inlineStr">
        <is>
          <t>PRIMA PROPERTY</t>
        </is>
      </c>
      <c r="B52" t="inlineStr">
        <is>
          <t>Kota Semarang</t>
        </is>
      </c>
      <c r="C52" t="inlineStr">
        <is>
          <t>081390820307</t>
        </is>
      </c>
      <c r="D52" t="inlineStr">
        <is>
          <t>primaproperty12@gmail.com</t>
        </is>
      </c>
      <c r="E52" t="inlineStr">
        <is>
          <t>https://lpjk.pu.go.id/search-badan-usaha-detail/L2RWZmF3K3lFbDVzejNyQzk3VE0wUT09</t>
        </is>
      </c>
      <c r="F52" t="n">
        <v>2</v>
      </c>
      <c r="G52" t="inlineStr">
        <is>
          <t>BG002, BG005</t>
        </is>
      </c>
      <c r="H52" t="inlineStr">
        <is>
          <t>16 September 2016</t>
        </is>
      </c>
      <c r="I52" s="2" t="n">
        <v>46373</v>
      </c>
      <c r="J52" t="inlineStr">
        <is>
          <t>Disetujui</t>
        </is>
      </c>
      <c r="K52" t="n">
        <v>87</v>
      </c>
      <c r="L52" t="inlineStr">
        <is>
          <t>17 Desember 2026</t>
        </is>
      </c>
      <c r="M52" t="inlineStr">
        <is>
          <t>Konstruksi Gedung Kesehatan, Konstruksi Gedung Perkantoran</t>
        </is>
      </c>
      <c r="N52" t="inlineStr">
        <is>
          <t>K</t>
        </is>
      </c>
      <c r="O52" t="inlineStr">
        <is>
          <t>20231214</t>
        </is>
      </c>
      <c r="P52" t="inlineStr">
        <is>
          <t>Jawa Tengah</t>
        </is>
      </c>
      <c r="Q52" t="inlineStr"/>
    </row>
    <row r="53">
      <c r="A53" t="inlineStr">
        <is>
          <t>PUTRA TUNGGAL JAYA</t>
        </is>
      </c>
      <c r="B53" t="inlineStr">
        <is>
          <t>Kab. Pemalang</t>
        </is>
      </c>
      <c r="C53" t="inlineStr">
        <is>
          <t>02843277916</t>
        </is>
      </c>
      <c r="D53" t="inlineStr">
        <is>
          <t>cv.putra_tunggaljaya@yahoo.co.id</t>
        </is>
      </c>
      <c r="E53" t="inlineStr">
        <is>
          <t>https://lpjk.pu.go.id/search-badan-usaha-detail/TFdReVBtN2dPNitVSEdsb3Y5L1NqQT09</t>
        </is>
      </c>
      <c r="F53" t="n">
        <v>6</v>
      </c>
      <c r="G53" t="inlineStr">
        <is>
          <t>BG005, BG006, BG009, BS001, BS004, BS005</t>
        </is>
      </c>
      <c r="H53" t="inlineStr">
        <is>
          <t>30 Agustus 1999</t>
        </is>
      </c>
      <c r="I53" s="2" t="n">
        <v>46373</v>
      </c>
      <c r="J53" t="inlineStr">
        <is>
          <t>Disetujui</t>
        </is>
      </c>
      <c r="K53" t="n">
        <v>87</v>
      </c>
      <c r="L53" t="inlineStr">
        <is>
          <t>17 Desember 2026</t>
        </is>
      </c>
      <c r="M53" t="inlineStr">
        <is>
          <t>Konstruksi Bangunan Sipil Jalan, Konstruksi Bangunan Sipil Pengolahan Air Bersih, Konstruksi Gedung Kesehatan, Konstruksi Gedung Lainnya, Konstruksi Gedung Pendidikan, Konstruksi Jaringan Irigasi dan Drainase</t>
        </is>
      </c>
      <c r="N53" t="inlineStr">
        <is>
          <t>K</t>
        </is>
      </c>
      <c r="O53" t="inlineStr">
        <is>
          <t>20231213</t>
        </is>
      </c>
      <c r="P53" t="inlineStr">
        <is>
          <t>Jawa Tengah</t>
        </is>
      </c>
      <c r="Q53" t="inlineStr"/>
    </row>
    <row r="54">
      <c r="A54" t="inlineStr">
        <is>
          <t>PUTRI SALJU SATRIA</t>
        </is>
      </c>
      <c r="B54" t="inlineStr">
        <is>
          <t>Kota Dumai</t>
        </is>
      </c>
      <c r="C54" t="inlineStr">
        <is>
          <t>81364400434</t>
        </is>
      </c>
      <c r="D54" t="inlineStr">
        <is>
          <t>putrisaljusatria31@gmail.com</t>
        </is>
      </c>
      <c r="E54" t="inlineStr">
        <is>
          <t>https://lpjk.pu.go.id/search-badan-usaha-detail/YWtINWd0V1JlTWV5VEtxaVg1MUNXQT09</t>
        </is>
      </c>
      <c r="F54" t="n">
        <v>1</v>
      </c>
      <c r="G54" t="inlineStr">
        <is>
          <t>KK008</t>
        </is>
      </c>
      <c r="H54" t="inlineStr">
        <is>
          <t>24 Januari 1986</t>
        </is>
      </c>
      <c r="I54" s="2" t="n">
        <v>46373</v>
      </c>
      <c r="J54" t="inlineStr">
        <is>
          <t>Pencabutan</t>
        </is>
      </c>
      <c r="K54" t="n">
        <v>87</v>
      </c>
      <c r="L54" t="inlineStr">
        <is>
          <t>17 Desember 2026</t>
        </is>
      </c>
      <c r="M54" t="inlineStr">
        <is>
          <t>Perkerasan Aspal</t>
        </is>
      </c>
      <c r="N54" t="inlineStr">
        <is>
          <t>Spesialis</t>
        </is>
      </c>
      <c r="O54" t="inlineStr">
        <is>
          <t>20231218</t>
        </is>
      </c>
      <c r="P54" t="inlineStr">
        <is>
          <t>Riau</t>
        </is>
      </c>
      <c r="Q54" t="inlineStr"/>
    </row>
    <row r="55">
      <c r="A55" t="inlineStr">
        <is>
          <t>RAJAWALI TEKNIK KONSULTAN</t>
        </is>
      </c>
      <c r="B55" t="inlineStr">
        <is>
          <t>Kota Metro</t>
        </is>
      </c>
      <c r="C55" t="inlineStr">
        <is>
          <t>081273030412</t>
        </is>
      </c>
      <c r="D55" t="inlineStr">
        <is>
          <t>rajawali_konsultan@yahoo.co.id</t>
        </is>
      </c>
      <c r="E55" t="inlineStr">
        <is>
          <t>https://lpjk.pu.go.id/search-badan-usaha-detail/aHg0Q0YxNjhHVVIwNVFlY2wzanZQUT09</t>
        </is>
      </c>
      <c r="F55" t="n">
        <v>4</v>
      </c>
      <c r="G55" t="inlineStr">
        <is>
          <t>RK001, RK003</t>
        </is>
      </c>
      <c r="H55" t="inlineStr">
        <is>
          <t>19 April 2013</t>
        </is>
      </c>
      <c r="I55" s="2" t="n">
        <v>46373</v>
      </c>
      <c r="J55" t="inlineStr">
        <is>
          <t>Disetujui</t>
        </is>
      </c>
      <c r="K55" t="n">
        <v>87</v>
      </c>
      <c r="L55" t="inlineStr">
        <is>
          <t>17 Desember 2026</t>
        </is>
      </c>
      <c r="M55" t="inlineStr">
        <is>
          <t>Jasa Rekayasa Konstruksi Bangunan Gedung Hunian dan Non Hunian, Jasa Rekayasa Pekerjaan Teknik Sipil Transportasi</t>
        </is>
      </c>
      <c r="N55" t="inlineStr">
        <is>
          <t>K</t>
        </is>
      </c>
      <c r="O55" t="inlineStr">
        <is>
          <t>20231207, 20231213</t>
        </is>
      </c>
      <c r="P55" t="inlineStr">
        <is>
          <t>Lampung</t>
        </is>
      </c>
      <c r="Q55" t="inlineStr"/>
    </row>
    <row r="56">
      <c r="A56" t="inlineStr">
        <is>
          <t>REKAPATRIA EKAGUNA</t>
        </is>
      </c>
      <c r="B56" t="inlineStr">
        <is>
          <t>Kota Adm. Jakarta Selatan</t>
        </is>
      </c>
      <c r="C56" t="inlineStr">
        <is>
          <t>02129036500</t>
        </is>
      </c>
      <c r="D56" t="inlineStr">
        <is>
          <t>marketing@rpe-engineering.com</t>
        </is>
      </c>
      <c r="E56" t="inlineStr">
        <is>
          <t>https://lpjk.pu.go.id/search-badan-usaha-detail/czI1R29VcVZnNk1nQ2RsaUdxeEsrdz09</t>
        </is>
      </c>
      <c r="F56" t="n">
        <v>1</v>
      </c>
      <c r="G56" t="inlineStr">
        <is>
          <t>RT003</t>
        </is>
      </c>
      <c r="H56" t="inlineStr">
        <is>
          <t>11 Agustus 1990</t>
        </is>
      </c>
      <c r="I56" s="2" t="n">
        <v>46373</v>
      </c>
      <c r="J56" t="inlineStr">
        <is>
          <t>Disetujui</t>
        </is>
      </c>
      <c r="K56" t="n">
        <v>87</v>
      </c>
      <c r="L56" t="inlineStr">
        <is>
          <t>17 Desember 2026</t>
        </is>
      </c>
      <c r="M56" t="inlineStr">
        <is>
          <t>Jasa Rekayasa Konstruksi Proses Industrial, Produksi, dan Fasilitas Produksi</t>
        </is>
      </c>
      <c r="N56" t="inlineStr">
        <is>
          <t>B</t>
        </is>
      </c>
      <c r="O56" t="inlineStr">
        <is>
          <t>20231123</t>
        </is>
      </c>
      <c r="P56" t="inlineStr">
        <is>
          <t>DKI Jakarta</t>
        </is>
      </c>
      <c r="Q56" t="inlineStr"/>
    </row>
    <row r="57">
      <c r="A57" t="inlineStr">
        <is>
          <t>RISKA ENGINEERING KONSULTAN</t>
        </is>
      </c>
      <c r="B57" t="inlineStr">
        <is>
          <t>Kota Padang</t>
        </is>
      </c>
      <c r="C57" t="inlineStr">
        <is>
          <t>081267367228</t>
        </is>
      </c>
      <c r="D57" t="inlineStr">
        <is>
          <t>riska55group@gmail.com</t>
        </is>
      </c>
      <c r="E57" t="inlineStr">
        <is>
          <t>https://lpjk.pu.go.id/search-badan-usaha-detail/RWhVYkRpS1IwUlJuR3k2UXJjUVVIQT09</t>
        </is>
      </c>
      <c r="F57" t="n">
        <v>2</v>
      </c>
      <c r="G57" t="inlineStr">
        <is>
          <t>RK002, RK003</t>
        </is>
      </c>
      <c r="H57" t="inlineStr">
        <is>
          <t>1 Oktober 2003</t>
        </is>
      </c>
      <c r="I57" s="2" t="n">
        <v>46373</v>
      </c>
      <c r="J57" t="inlineStr">
        <is>
          <t>Disetujui</t>
        </is>
      </c>
      <c r="K57" t="n">
        <v>87</v>
      </c>
      <c r="L57" t="inlineStr">
        <is>
          <t>17 Desember 2026</t>
        </is>
      </c>
      <c r="M57" t="inlineStr">
        <is>
          <t>Jasa Rekayasa Pekerjaan Teknik Sipil Sumber Daya Air, Jasa Rekayasa Pekerjaan Teknik Sipil Transportasi</t>
        </is>
      </c>
      <c r="N57" t="inlineStr">
        <is>
          <t>K</t>
        </is>
      </c>
      <c r="O57" t="inlineStr">
        <is>
          <t>20231207, 20231208</t>
        </is>
      </c>
      <c r="P57" t="inlineStr">
        <is>
          <t>Sumatera Barat</t>
        </is>
      </c>
      <c r="Q57" t="inlineStr"/>
    </row>
    <row r="58">
      <c r="A58" t="inlineStr">
        <is>
          <t>ROMA PAPUA</t>
        </is>
      </c>
      <c r="B58" t="inlineStr">
        <is>
          <t>Kab. Jayapura</t>
        </is>
      </c>
      <c r="C58" t="inlineStr">
        <is>
          <t>085299566374</t>
        </is>
      </c>
      <c r="D58" t="inlineStr">
        <is>
          <t>papuaroma902@gmail.com</t>
        </is>
      </c>
      <c r="E58" t="inlineStr">
        <is>
          <t>https://lpjk.pu.go.id/search-badan-usaha-detail/RVRsTGRaeTBpaVI4ZWx0dUwrYjUwQT09</t>
        </is>
      </c>
      <c r="F58" t="n">
        <v>5</v>
      </c>
      <c r="G58" t="inlineStr">
        <is>
          <t>BG001, BG005, BG006, BG009, BS001</t>
        </is>
      </c>
      <c r="H58" t="inlineStr">
        <is>
          <t>15 Februari 2021</t>
        </is>
      </c>
      <c r="I58" s="2" t="n">
        <v>46373</v>
      </c>
      <c r="J58" t="inlineStr">
        <is>
          <t>Disetujui</t>
        </is>
      </c>
      <c r="K58" t="n">
        <v>87</v>
      </c>
      <c r="L58" t="inlineStr">
        <is>
          <t>17 Desember 2026</t>
        </is>
      </c>
      <c r="M58" t="inlineStr">
        <is>
          <t>Konstruksi Bangunan Sipil Jalan, Konstruksi Gedung Hunian, Konstruksi Gedung Kesehatan, Konstruksi Gedung Lainnya, Konstruksi Gedung Pendidikan</t>
        </is>
      </c>
      <c r="N58" t="inlineStr">
        <is>
          <t>K</t>
        </is>
      </c>
      <c r="O58" t="inlineStr">
        <is>
          <t>20231031, 20231213, 20231219, 20231221</t>
        </is>
      </c>
      <c r="P58" t="inlineStr">
        <is>
          <t>Papua</t>
        </is>
      </c>
      <c r="Q58" t="inlineStr"/>
    </row>
    <row r="59">
      <c r="A59" t="inlineStr">
        <is>
          <t>SANGSAKA NUSWANTARA</t>
        </is>
      </c>
      <c r="B59" t="inlineStr">
        <is>
          <t>Kab. Malang</t>
        </is>
      </c>
      <c r="C59" t="inlineStr">
        <is>
          <t>082145180143</t>
        </is>
      </c>
      <c r="D59" t="inlineStr">
        <is>
          <t>isrofulfatoni@gmail.com</t>
        </is>
      </c>
      <c r="E59" t="inlineStr">
        <is>
          <t>https://lpjk.pu.go.id/search-badan-usaha-detail/YXZBWWM5aGdRVUltUERtcVNpYVBzZz09</t>
        </is>
      </c>
      <c r="F59" t="n">
        <v>2</v>
      </c>
      <c r="G59" t="inlineStr">
        <is>
          <t>BG009</t>
        </is>
      </c>
      <c r="H59" t="inlineStr">
        <is>
          <t>9 September 2019</t>
        </is>
      </c>
      <c r="I59" s="2" t="n">
        <v>46373</v>
      </c>
      <c r="J59" t="inlineStr">
        <is>
          <t>Disetujui</t>
        </is>
      </c>
      <c r="K59" t="n">
        <v>87</v>
      </c>
      <c r="L59" t="inlineStr">
        <is>
          <t>17 Desember 2026</t>
        </is>
      </c>
      <c r="M59" t="inlineStr">
        <is>
          <t>Konstruksi Gedung Lainnya</t>
        </is>
      </c>
      <c r="N59" t="inlineStr">
        <is>
          <t>K</t>
        </is>
      </c>
      <c r="O59" t="inlineStr">
        <is>
          <t>20231205</t>
        </is>
      </c>
      <c r="P59" t="inlineStr">
        <is>
          <t>Jawa Timur</t>
        </is>
      </c>
      <c r="Q59" t="inlineStr"/>
    </row>
    <row r="60">
      <c r="A60" t="inlineStr">
        <is>
          <t>SARANA ABADI JAYA RAYA</t>
        </is>
      </c>
      <c r="B60" t="inlineStr">
        <is>
          <t>Kab. Karawang</t>
        </is>
      </c>
      <c r="C60" t="inlineStr">
        <is>
          <t>082213858951</t>
        </is>
      </c>
      <c r="D60" t="inlineStr">
        <is>
          <t>abadi_sarana@yahoo.com</t>
        </is>
      </c>
      <c r="E60" t="inlineStr">
        <is>
          <t>https://lpjk.pu.go.id/search-badan-usaha-detail/eVpIOFBsQkxySWhqREd4d1liY1MrUT09</t>
        </is>
      </c>
      <c r="F60" t="n">
        <v>1</v>
      </c>
      <c r="G60" t="inlineStr">
        <is>
          <t>BG001</t>
        </is>
      </c>
      <c r="H60" t="inlineStr">
        <is>
          <t>3 September 2014</t>
        </is>
      </c>
      <c r="I60" s="2" t="n">
        <v>46373</v>
      </c>
      <c r="J60" t="inlineStr">
        <is>
          <t>Pencabutan</t>
        </is>
      </c>
      <c r="K60" t="n">
        <v>87</v>
      </c>
      <c r="L60" t="inlineStr">
        <is>
          <t>17 Desember 2026</t>
        </is>
      </c>
      <c r="M60" t="inlineStr">
        <is>
          <t>Konstruksi Gedung Hunian</t>
        </is>
      </c>
      <c r="N60" t="inlineStr">
        <is>
          <t>B</t>
        </is>
      </c>
      <c r="O60" t="inlineStr">
        <is>
          <t>20231206</t>
        </is>
      </c>
      <c r="P60" t="inlineStr">
        <is>
          <t>Jawa Barat</t>
        </is>
      </c>
      <c r="Q60" t="inlineStr"/>
    </row>
    <row r="61">
      <c r="A61" t="inlineStr">
        <is>
          <t>SENTOSA WELINDO SEJAHTERA</t>
        </is>
      </c>
      <c r="B61" t="inlineStr">
        <is>
          <t>Kota Adm. Jakarta Selatan</t>
        </is>
      </c>
      <c r="C61" t="inlineStr">
        <is>
          <t>08131755157</t>
        </is>
      </c>
      <c r="D61" t="inlineStr">
        <is>
          <t>pt.sentosawelindosejahtera@gmail.com</t>
        </is>
      </c>
      <c r="E61" t="inlineStr">
        <is>
          <t>https://lpjk.pu.go.id/search-badan-usaha-detail/R2lEaVZDQkJTaC81dWRCSUx6WWsvdz09</t>
        </is>
      </c>
      <c r="F61" t="n">
        <v>2</v>
      </c>
      <c r="G61" t="inlineStr">
        <is>
          <t>BG002, BG009</t>
        </is>
      </c>
      <c r="H61" t="inlineStr">
        <is>
          <t>14 Agustus 2023</t>
        </is>
      </c>
      <c r="I61" s="2" t="n">
        <v>46373</v>
      </c>
      <c r="J61" t="inlineStr">
        <is>
          <t>Disetujui</t>
        </is>
      </c>
      <c r="K61" t="n">
        <v>87</v>
      </c>
      <c r="L61" t="inlineStr">
        <is>
          <t>17 Desember 2026</t>
        </is>
      </c>
      <c r="M61" t="inlineStr">
        <is>
          <t>Konstruksi Gedung Lainnya, Konstruksi Gedung Perkantoran</t>
        </is>
      </c>
      <c r="N61" t="inlineStr">
        <is>
          <t>K</t>
        </is>
      </c>
      <c r="O61" t="inlineStr">
        <is>
          <t>20231208, 20231212</t>
        </is>
      </c>
      <c r="P61" t="inlineStr">
        <is>
          <t>DKI Jakarta</t>
        </is>
      </c>
      <c r="Q61" t="inlineStr"/>
    </row>
    <row r="62">
      <c r="A62" t="inlineStr">
        <is>
          <t>SUMBER TEHNIK BERDIKARI</t>
        </is>
      </c>
      <c r="B62" t="inlineStr">
        <is>
          <t>Kota Tangerang</t>
        </is>
      </c>
      <c r="C62" t="inlineStr">
        <is>
          <t>0215524757</t>
        </is>
      </c>
      <c r="D62" t="inlineStr">
        <is>
          <t>sumbertehnikberdikari@yahoo.com</t>
        </is>
      </c>
      <c r="E62" t="inlineStr">
        <is>
          <t>https://lpjk.pu.go.id/search-badan-usaha-detail/NkQ0Tjlma1JDcVVtMjBzV0ZyeGNxQT09</t>
        </is>
      </c>
      <c r="F62" t="n">
        <v>1</v>
      </c>
      <c r="G62" t="inlineStr">
        <is>
          <t>IN001</t>
        </is>
      </c>
      <c r="H62" t="inlineStr">
        <is>
          <t>30 Agustus 2010</t>
        </is>
      </c>
      <c r="I62" s="2" t="n">
        <v>46373</v>
      </c>
      <c r="J62" t="inlineStr">
        <is>
          <t>Pembekuan</t>
        </is>
      </c>
      <c r="K62" t="n">
        <v>87</v>
      </c>
      <c r="L62" t="inlineStr">
        <is>
          <t>17 Desember 2026</t>
        </is>
      </c>
      <c r="M62" t="inlineStr">
        <is>
          <t>Instalasi Mekanikal</t>
        </is>
      </c>
      <c r="N62" t="inlineStr">
        <is>
          <t>Spesialis</t>
        </is>
      </c>
      <c r="O62" t="inlineStr">
        <is>
          <t>20231218</t>
        </is>
      </c>
      <c r="P62" t="inlineStr">
        <is>
          <t>Banten</t>
        </is>
      </c>
      <c r="Q62" t="inlineStr"/>
    </row>
    <row r="63">
      <c r="A63" t="inlineStr">
        <is>
          <t>SURYA SUKMA FATIHA</t>
        </is>
      </c>
      <c r="B63" t="inlineStr">
        <is>
          <t>Kota Makassar</t>
        </is>
      </c>
      <c r="C63" t="inlineStr">
        <is>
          <t>081355805533</t>
        </is>
      </c>
      <c r="D63" t="inlineStr">
        <is>
          <t>suryasukmafatiha@gmail.com</t>
        </is>
      </c>
      <c r="E63" t="inlineStr">
        <is>
          <t>https://lpjk.pu.go.id/search-badan-usaha-detail/VkxlY2JmV3M0TmpGVzNTbXlpSWVidz09</t>
        </is>
      </c>
      <c r="F63" t="n">
        <v>1</v>
      </c>
      <c r="G63" t="inlineStr">
        <is>
          <t>BG001</t>
        </is>
      </c>
      <c r="H63" t="inlineStr">
        <is>
          <t>14 Mei 1999</t>
        </is>
      </c>
      <c r="I63" s="2" t="n">
        <v>46373</v>
      </c>
      <c r="J63" t="inlineStr">
        <is>
          <t>Disetujui</t>
        </is>
      </c>
      <c r="K63" t="n">
        <v>87</v>
      </c>
      <c r="L63" t="inlineStr">
        <is>
          <t>17 Desember 2026</t>
        </is>
      </c>
      <c r="M63" t="inlineStr">
        <is>
          <t>Konstruksi Gedung Hunian</t>
        </is>
      </c>
      <c r="N63" t="inlineStr">
        <is>
          <t>K</t>
        </is>
      </c>
      <c r="O63" t="inlineStr">
        <is>
          <t>20231215</t>
        </is>
      </c>
      <c r="P63" t="inlineStr">
        <is>
          <t>Sulawesi Selatan</t>
        </is>
      </c>
      <c r="Q63" t="inlineStr"/>
    </row>
    <row r="64">
      <c r="A64" t="inlineStr">
        <is>
          <t>TIKA KREATIF DESAIN KONSULTAN</t>
        </is>
      </c>
      <c r="B64" t="inlineStr">
        <is>
          <t>Kota Palangkaraya</t>
        </is>
      </c>
      <c r="C64" t="inlineStr">
        <is>
          <t>0813 5282 2744</t>
        </is>
      </c>
      <c r="D64" t="inlineStr">
        <is>
          <t>tika_kdk@yahoo.co.id</t>
        </is>
      </c>
      <c r="E64" t="inlineStr">
        <is>
          <t>https://lpjk.pu.go.id/search-badan-usaha-detail/T2hRZlJlUFhDRVNEeFFwOTZRenFJQT09</t>
        </is>
      </c>
      <c r="F64" t="n">
        <v>1</v>
      </c>
      <c r="G64" t="inlineStr">
        <is>
          <t>RK005</t>
        </is>
      </c>
      <c r="H64" t="inlineStr">
        <is>
          <t>24 November 2020</t>
        </is>
      </c>
      <c r="I64" s="2" t="n">
        <v>46373</v>
      </c>
      <c r="J64" t="inlineStr">
        <is>
          <t>Disetujui</t>
        </is>
      </c>
      <c r="K64" t="n">
        <v>87</v>
      </c>
      <c r="L64" t="inlineStr">
        <is>
          <t>17 Desember 2026</t>
        </is>
      </c>
      <c r="M64" t="inlineStr">
        <is>
          <t>Jasa Rekayasa Lainnya</t>
        </is>
      </c>
      <c r="N64" t="inlineStr">
        <is>
          <t>K</t>
        </is>
      </c>
      <c r="O64" t="inlineStr">
        <is>
          <t>20231122</t>
        </is>
      </c>
      <c r="P64" t="inlineStr">
        <is>
          <t>Kalimantan Tengah</t>
        </is>
      </c>
      <c r="Q64" t="inlineStr"/>
    </row>
    <row r="65">
      <c r="A65" t="inlineStr">
        <is>
          <t>TIRTA SAKTI</t>
        </is>
      </c>
      <c r="B65" t="inlineStr">
        <is>
          <t>Kab. Karanganyar</t>
        </is>
      </c>
      <c r="C65" t="inlineStr">
        <is>
          <t>081227108007</t>
        </is>
      </c>
      <c r="D65" t="inlineStr">
        <is>
          <t>tirtasakti791@gmail.com</t>
        </is>
      </c>
      <c r="E65" t="inlineStr">
        <is>
          <t>https://lpjk.pu.go.id/search-badan-usaha-detail/WXZiSVlxTE5YRVRrcUgwS2dVMWN6UT09</t>
        </is>
      </c>
      <c r="F65" t="n">
        <v>1</v>
      </c>
      <c r="G65" t="inlineStr">
        <is>
          <t>PL005</t>
        </is>
      </c>
      <c r="H65" t="inlineStr">
        <is>
          <t>5 Maret 2018</t>
        </is>
      </c>
      <c r="I65" s="2" t="n">
        <v>46373</v>
      </c>
      <c r="J65" t="inlineStr">
        <is>
          <t>Pembekuan</t>
        </is>
      </c>
      <c r="K65" t="n">
        <v>87</v>
      </c>
      <c r="L65" t="inlineStr">
        <is>
          <t>17 Desember 2026</t>
        </is>
      </c>
      <c r="M65" t="inlineStr">
        <is>
          <t>Pembuatan/Pengeboran Sumur Air Tanah</t>
        </is>
      </c>
      <c r="N65" t="inlineStr">
        <is>
          <t>Spesialis</t>
        </is>
      </c>
      <c r="O65" t="inlineStr">
        <is>
          <t>20231128</t>
        </is>
      </c>
      <c r="P65" t="inlineStr">
        <is>
          <t>Jawa Tengah</t>
        </is>
      </c>
      <c r="Q65" t="inlineStr"/>
    </row>
    <row r="66">
      <c r="A66" t="inlineStr">
        <is>
          <t>TIRTA SYNERGI UTAMA</t>
        </is>
      </c>
      <c r="B66" t="inlineStr">
        <is>
          <t>Kota Jambi</t>
        </is>
      </c>
      <c r="C66" t="inlineStr">
        <is>
          <t>082186383388</t>
        </is>
      </c>
      <c r="D66" t="inlineStr">
        <is>
          <t>tirtasynergiutama@gmail.com</t>
        </is>
      </c>
      <c r="E66" t="inlineStr">
        <is>
          <t>https://lpjk.pu.go.id/search-badan-usaha-detail/STlvZVNselVtM2hndVl0QitsNW1kUT09</t>
        </is>
      </c>
      <c r="F66" t="n">
        <v>1</v>
      </c>
      <c r="G66" t="inlineStr">
        <is>
          <t>BG009</t>
        </is>
      </c>
      <c r="H66" t="inlineStr">
        <is>
          <t>5 April 2023</t>
        </is>
      </c>
      <c r="I66" s="2" t="n">
        <v>46373</v>
      </c>
      <c r="J66" t="inlineStr">
        <is>
          <t>Pencabutan</t>
        </is>
      </c>
      <c r="K66" t="n">
        <v>87</v>
      </c>
      <c r="L66" t="inlineStr">
        <is>
          <t>17 Desember 2026</t>
        </is>
      </c>
      <c r="M66" t="inlineStr">
        <is>
          <t>Konstruksi Gedung Lainnya</t>
        </is>
      </c>
      <c r="N66" t="inlineStr">
        <is>
          <t>K</t>
        </is>
      </c>
      <c r="O66" t="inlineStr">
        <is>
          <t>20231215</t>
        </is>
      </c>
      <c r="P66" t="inlineStr">
        <is>
          <t>Jambi</t>
        </is>
      </c>
      <c r="Q66" t="inlineStr"/>
    </row>
    <row r="67">
      <c r="A67" t="inlineStr">
        <is>
          <t>TOBA SEJAHTERA KARUNIA</t>
        </is>
      </c>
      <c r="B67" t="inlineStr">
        <is>
          <t>Kota Medan</t>
        </is>
      </c>
      <c r="C67" t="inlineStr">
        <is>
          <t>081321880696</t>
        </is>
      </c>
      <c r="D67" t="inlineStr">
        <is>
          <t>tobasejahterakarunia@gmail.com</t>
        </is>
      </c>
      <c r="E67" t="inlineStr">
        <is>
          <t>https://lpjk.pu.go.id/search-badan-usaha-detail/SzVxaHV4VmtOUEVsWnQ5d2gvYkl5QT09</t>
        </is>
      </c>
      <c r="F67" t="n">
        <v>1</v>
      </c>
      <c r="G67" t="inlineStr">
        <is>
          <t>BG003</t>
        </is>
      </c>
      <c r="H67" t="inlineStr">
        <is>
          <t>18 Maret 2015</t>
        </is>
      </c>
      <c r="I67" s="2" t="n">
        <v>46373</v>
      </c>
      <c r="J67" t="inlineStr">
        <is>
          <t>Disetujui</t>
        </is>
      </c>
      <c r="K67" t="n">
        <v>87</v>
      </c>
      <c r="L67" t="inlineStr">
        <is>
          <t>17 Desember 2026</t>
        </is>
      </c>
      <c r="M67" t="inlineStr">
        <is>
          <t>Konstruksi Gedung Industri</t>
        </is>
      </c>
      <c r="N67" t="inlineStr">
        <is>
          <t>K</t>
        </is>
      </c>
      <c r="O67" t="inlineStr">
        <is>
          <t>20231213</t>
        </is>
      </c>
      <c r="P67" t="inlineStr">
        <is>
          <t>Sumatera Utara</t>
        </is>
      </c>
      <c r="Q6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5"/>
  <sheetViews>
    <sheetView workbookViewId="0">
      <selection activeCell="A1" sqref="A1"/>
    </sheetView>
  </sheetViews>
  <sheetFormatPr baseColWidth="8" defaultRowHeight="15"/>
  <cols>
    <col width="41" customWidth="1" min="1" max="1"/>
    <col width="27" customWidth="1" min="2" max="2"/>
    <col width="16" customWidth="1" min="3" max="3"/>
    <col width="41" customWidth="1" min="4" max="4"/>
    <col width="50" customWidth="1" min="5" max="5"/>
    <col width="18" customWidth="1" min="6" max="6"/>
    <col width="49" customWidth="1" min="7" max="7"/>
    <col width="20" customWidth="1" min="8" max="8"/>
    <col width="28" customWidth="1" min="9" max="9"/>
    <col width="12" customWidth="1" min="10" max="10"/>
    <col width="11" customWidth="1" min="11" max="11"/>
    <col width="18"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AGATHA MITRA SEJATI</t>
        </is>
      </c>
      <c r="B2" t="inlineStr">
        <is>
          <t>Kab. Bogor</t>
        </is>
      </c>
      <c r="C2" t="inlineStr">
        <is>
          <t>081212925499</t>
        </is>
      </c>
      <c r="D2" t="inlineStr">
        <is>
          <t>didi.agathams@yahoo.co.id</t>
        </is>
      </c>
      <c r="E2" t="inlineStr">
        <is>
          <t>https://lpjk.pu.go.id/search-badan-usaha-detail/aThUeU1laW9IbTN2TkpIMmdIMWxpQT09</t>
        </is>
      </c>
      <c r="F2" t="n">
        <v>2</v>
      </c>
      <c r="G2" t="inlineStr">
        <is>
          <t>BG001, BG002</t>
        </is>
      </c>
      <c r="H2" t="inlineStr">
        <is>
          <t>26 Juli 2019</t>
        </is>
      </c>
      <c r="I2" s="2" t="n">
        <v>46346</v>
      </c>
      <c r="J2" t="inlineStr">
        <is>
          <t>Disetujui</t>
        </is>
      </c>
      <c r="K2" t="n">
        <v>60</v>
      </c>
      <c r="L2" t="inlineStr">
        <is>
          <t>20 November 2026</t>
        </is>
      </c>
      <c r="M2" t="inlineStr">
        <is>
          <t>Konstruksi Gedung Hunian, Konstruksi Gedung Perkantoran</t>
        </is>
      </c>
      <c r="N2" t="inlineStr">
        <is>
          <t>K</t>
        </is>
      </c>
      <c r="O2" t="inlineStr">
        <is>
          <t>20231120</t>
        </is>
      </c>
      <c r="P2" t="inlineStr">
        <is>
          <t>Jawa Barat</t>
        </is>
      </c>
      <c r="Q2" s="3">
        <f>HYPERLINK("https://wa.me/6281212925499?text=*[PENGINGAT MASA BERLAKU SBU AGATHA MITRA SEJATI]*%0A%0AYth. Pimpinan AGATHA MITRA SEJATI,%0AMohon izin menginformasikan status SBU Anda di sistem LPJK:%0A%0A📄 SBU: BG001, BG002%0A📅 Expired: 20 November 2026 (60 Hari Lagi)%0A%0AKami tim PT. ESDEA Assistance Management siap men-support proses perpanjangan segera agar administrasi proyek tidak terhambat%0A%0AApakah boleh saya bantu siapkan estimasi biaya dan waktu pengerjaannya?.", "Hubungi")</f>
        <v/>
      </c>
    </row>
    <row r="3">
      <c r="A3" t="inlineStr">
        <is>
          <t>ANGKASA SURYA DUTA</t>
        </is>
      </c>
      <c r="B3" t="inlineStr">
        <is>
          <t>Kab. Bogor</t>
        </is>
      </c>
      <c r="C3" t="inlineStr">
        <is>
          <t>081284823701</t>
        </is>
      </c>
      <c r="D3" t="inlineStr">
        <is>
          <t>angkasasuryaduta@gmail.com</t>
        </is>
      </c>
      <c r="E3" t="inlineStr">
        <is>
          <t>https://lpjk.pu.go.id/search-badan-usaha-detail/UlFpKzFTUW0zc214Z1VkNUROZlhRZz09</t>
        </is>
      </c>
      <c r="F3" t="n">
        <v>2</v>
      </c>
      <c r="G3" t="inlineStr">
        <is>
          <t>BG005</t>
        </is>
      </c>
      <c r="H3" t="inlineStr">
        <is>
          <t>28 November 2022</t>
        </is>
      </c>
      <c r="I3" s="2" t="n">
        <v>46346</v>
      </c>
      <c r="J3" t="inlineStr">
        <is>
          <t>Pencabutan</t>
        </is>
      </c>
      <c r="K3" t="n">
        <v>60</v>
      </c>
      <c r="L3" t="inlineStr">
        <is>
          <t>20 November 2026</t>
        </is>
      </c>
      <c r="M3" t="inlineStr">
        <is>
          <t>Konstruksi Gedung Kesehatan</t>
        </is>
      </c>
      <c r="N3" t="inlineStr">
        <is>
          <t>K</t>
        </is>
      </c>
      <c r="O3" t="inlineStr">
        <is>
          <t>20231121</t>
        </is>
      </c>
      <c r="P3" t="inlineStr">
        <is>
          <t>Jawa Barat</t>
        </is>
      </c>
      <c r="Q3" s="3">
        <f>HYPERLINK("https://wa.me/6281284823701?text=*[PENGINGAT MASA BERLAKU SBU ANGKASA SURYA DUTA]*%0A%0AYth. Pimpinan ANGKASA SURYA DUTA,%0AMohon izin menginformasikan status SBU Anda di sistem LPJK:%0A%0A📄 SBU: BG005%0A📅 Expired: 20 November 2026 (60 Hari Lagi)%0A%0AKami tim PT. ESDEA Assistance Management siap men-support proses perpanjangan segera agar administrasi proyek tidak terhambat%0A%0AApakah boleh saya bantu siapkan estimasi biaya dan waktu pengerjaannya?.", "Hubungi")</f>
        <v/>
      </c>
    </row>
    <row r="4">
      <c r="A4" t="inlineStr">
        <is>
          <t>DUNIA MEGAH INDONUSA</t>
        </is>
      </c>
      <c r="B4" t="inlineStr">
        <is>
          <t>Kota Adm. Jakarta Timur</t>
        </is>
      </c>
      <c r="C4" t="inlineStr">
        <is>
          <t>081242633166</t>
        </is>
      </c>
      <c r="D4" t="inlineStr">
        <is>
          <t>duniamegahiindonusa@gmail.com</t>
        </is>
      </c>
      <c r="E4" t="inlineStr">
        <is>
          <t>https://lpjk.pu.go.id/search-badan-usaha-detail/ZExtNzN0L1J5a2IvVmdxbVFhMVZnQT09</t>
        </is>
      </c>
      <c r="F4" t="n">
        <v>2</v>
      </c>
      <c r="G4" t="inlineStr">
        <is>
          <t>IN004, KK016</t>
        </is>
      </c>
      <c r="H4" t="inlineStr">
        <is>
          <t>5 September 2022</t>
        </is>
      </c>
      <c r="I4" s="2" t="n">
        <v>46346</v>
      </c>
      <c r="J4" t="inlineStr">
        <is>
          <t>Disetujui</t>
        </is>
      </c>
      <c r="K4" t="n">
        <v>60</v>
      </c>
      <c r="L4" t="inlineStr">
        <is>
          <t>20 November 2026</t>
        </is>
      </c>
      <c r="M4" t="inlineStr">
        <is>
          <t>Instalasi Minyak dan Gas, Pemasangan Kerangka Baja</t>
        </is>
      </c>
      <c r="N4" t="inlineStr">
        <is>
          <t>Spesialis</t>
        </is>
      </c>
      <c r="O4" t="inlineStr">
        <is>
          <t>20231120</t>
        </is>
      </c>
      <c r="P4" t="inlineStr">
        <is>
          <t>DKI Jakarta</t>
        </is>
      </c>
      <c r="Q4" s="3">
        <f>HYPERLINK("https://wa.me/6281242633166?text=*[PENGINGAT MASA BERLAKU SBU DUNIA MEGAH INDONUSA]*%0A%0AYth. Pimpinan DUNIA MEGAH INDONUSA,%0AMohon izin menginformasikan status SBU Anda di sistem LPJK:%0A%0A📄 SBU: IN004, KK016%0A📅 Expired: 20 November 2026 (60 Hari Lagi)%0A%0AKami tim PT. ESDEA Assistance Management siap men-support proses perpanjangan segera agar administrasi proyek tidak terhambat%0A%0AApakah boleh saya bantu siapkan estimasi biaya dan waktu pengerjaannya?.", "Hubungi")</f>
        <v/>
      </c>
    </row>
    <row r="5">
      <c r="A5" t="inlineStr">
        <is>
          <t>INSUMACONT MITRA UTAMA</t>
        </is>
      </c>
      <c r="B5" t="inlineStr">
        <is>
          <t>Kab. Bogor</t>
        </is>
      </c>
      <c r="C5" t="inlineStr">
        <is>
          <t>081316623378</t>
        </is>
      </c>
      <c r="D5" t="inlineStr">
        <is>
          <t>pt.insumacont@yahoo.com</t>
        </is>
      </c>
      <c r="E5" t="inlineStr">
        <is>
          <t>https://lpjk.pu.go.id/search-badan-usaha-detail/MkhqUUZaYXdhSVo1NGtjQ3ZqVm40QT09</t>
        </is>
      </c>
      <c r="F5" t="n">
        <v>4</v>
      </c>
      <c r="G5" t="inlineStr">
        <is>
          <t>RK001, RK002, RK003, RK005</t>
        </is>
      </c>
      <c r="H5" t="inlineStr">
        <is>
          <t>19 April 2021</t>
        </is>
      </c>
      <c r="I5" s="2" t="n">
        <v>46346</v>
      </c>
      <c r="J5" t="inlineStr">
        <is>
          <t>Disetujui</t>
        </is>
      </c>
      <c r="K5" t="n">
        <v>60</v>
      </c>
      <c r="L5" t="inlineStr">
        <is>
          <t>20 November 2026</t>
        </is>
      </c>
      <c r="M5" t="inlineStr">
        <is>
          <t>Jasa Rekayasa Konstruksi Bangunan Gedung Hunian dan Non Hunian, Jasa Rekayasa Lainnya, Jasa Rekayasa Pekerjaan Teknik Sipil Sumber Daya Air, Jasa Rekayasa Pekerjaan Teknik Sipil Transportasi</t>
        </is>
      </c>
      <c r="N5" t="inlineStr">
        <is>
          <t>K</t>
        </is>
      </c>
      <c r="O5" t="inlineStr">
        <is>
          <t>20231110</t>
        </is>
      </c>
      <c r="P5" t="inlineStr">
        <is>
          <t>Jawa Barat</t>
        </is>
      </c>
      <c r="Q5" s="3">
        <f>HYPERLINK("https://wa.me/6281316623378?text=*[PENGINGAT MASA BERLAKU SBU INSUMACONT MITRA UTAMA]*%0A%0AYth. Pimpinan INSUMACONT MITRA UTAMA,%0AMohon izin menginformasikan status SBU Anda di sistem LPJK:%0A%0A📄 SBU: RK001, RK002, RK003, RK005%0A📅 Expired: 20 November 2026 (60 Hari Lagi)%0A%0AKami tim PT. ESDEA Assistance Management siap men-support proses perpanjangan segera agar administrasi proyek tidak terhambat%0A%0AApakah boleh saya bantu siapkan estimasi biaya dan waktu pengerjaannya?.", "Hubungi")</f>
        <v/>
      </c>
    </row>
    <row r="6">
      <c r="A6" t="inlineStr">
        <is>
          <t>KAKA WIJAYA</t>
        </is>
      </c>
      <c r="B6" t="inlineStr">
        <is>
          <t>Kab. Bekasi</t>
        </is>
      </c>
      <c r="C6" t="inlineStr">
        <is>
          <t>085711142974</t>
        </is>
      </c>
      <c r="D6" t="inlineStr">
        <is>
          <t>kakawijaya00@gmail.com</t>
        </is>
      </c>
      <c r="E6" t="inlineStr">
        <is>
          <t>https://lpjk.pu.go.id/search-badan-usaha-detail/dzBnelJMU1RmWEk4eDdSQ3BtNjl3Zz09</t>
        </is>
      </c>
      <c r="F6" t="n">
        <v>4</v>
      </c>
      <c r="G6" t="inlineStr">
        <is>
          <t>BG006, BG009, BS001, BS004</t>
        </is>
      </c>
      <c r="H6" t="inlineStr">
        <is>
          <t>1 Juni 2012</t>
        </is>
      </c>
      <c r="I6" s="2" t="n">
        <v>46346</v>
      </c>
      <c r="J6" t="inlineStr">
        <is>
          <t>Disetujui</t>
        </is>
      </c>
      <c r="K6" t="n">
        <v>60</v>
      </c>
      <c r="L6" t="inlineStr">
        <is>
          <t>20 November 2026</t>
        </is>
      </c>
      <c r="M6" t="inlineStr">
        <is>
          <t>Konstruksi Bangunan Sipil Jalan, Konstruksi Gedung Lainnya, Konstruksi Gedung Pendidikan, Konstruksi Jaringan Irigasi dan Drainase</t>
        </is>
      </c>
      <c r="N6" t="inlineStr">
        <is>
          <t>K</t>
        </is>
      </c>
      <c r="O6" t="inlineStr">
        <is>
          <t>20231120</t>
        </is>
      </c>
      <c r="P6" t="inlineStr">
        <is>
          <t>Jawa Barat</t>
        </is>
      </c>
      <c r="Q6" s="3">
        <f>HYPERLINK("https://wa.me/6285711142974?text=*[PENGINGAT MASA BERLAKU SBU KAKA WIJAYA]*%0A%0AYth. Pimpinan KAKA WIJAYA,%0AMohon izin menginformasikan status SBU Anda di sistem LPJK:%0A%0A📄 SBU: BG006, BG009, BS001, BS004%0A📅 Expired: 20 November 2026 (60 Hari Lagi)%0A%0AKami tim PT. ESDEA Assistance Management siap men-support proses perpanjangan segera agar administrasi proyek tidak terhambat%0A%0AApakah boleh saya bantu siapkan estimasi biaya dan waktu pengerjaannya?.", "Hubungi")</f>
        <v/>
      </c>
    </row>
    <row r="7">
      <c r="A7" t="inlineStr">
        <is>
          <t>PUTRA LUKI MANDIRI</t>
        </is>
      </c>
      <c r="B7" t="inlineStr">
        <is>
          <t>Kota Bekasi</t>
        </is>
      </c>
      <c r="C7" t="inlineStr">
        <is>
          <t>081513221022</t>
        </is>
      </c>
      <c r="D7" t="inlineStr">
        <is>
          <t>cvputralukimandiri123@gmail.com</t>
        </is>
      </c>
      <c r="E7" t="inlineStr">
        <is>
          <t>https://lpjk.pu.go.id/search-badan-usaha-detail/ZGZISTh2UStnZjN4WUs4b3NpeFRNdz09</t>
        </is>
      </c>
      <c r="F7" t="n">
        <v>1</v>
      </c>
      <c r="G7" t="inlineStr">
        <is>
          <t>BG001</t>
        </is>
      </c>
      <c r="H7" t="inlineStr">
        <is>
          <t>9 Februari 2007</t>
        </is>
      </c>
      <c r="I7" s="2" t="n">
        <v>46346</v>
      </c>
      <c r="J7" t="inlineStr">
        <is>
          <t>Disetujui</t>
        </is>
      </c>
      <c r="K7" t="n">
        <v>60</v>
      </c>
      <c r="L7" t="inlineStr">
        <is>
          <t>20 November 2026</t>
        </is>
      </c>
      <c r="M7" t="inlineStr">
        <is>
          <t>Konstruksi Gedung Hunian</t>
        </is>
      </c>
      <c r="N7" t="inlineStr">
        <is>
          <t>K</t>
        </is>
      </c>
      <c r="O7" t="inlineStr">
        <is>
          <t>20231116</t>
        </is>
      </c>
      <c r="P7" t="inlineStr">
        <is>
          <t>Jawa Barat</t>
        </is>
      </c>
      <c r="Q7" s="3">
        <f>HYPERLINK("https://wa.me/6281513221022?text=*[PENGINGAT MASA BERLAKU SBU PUTRA LUKI MANDIRI]*%0A%0AYth. Pimpinan PUTRA LUKI MANDIRI,%0AMohon izin menginformasikan status SBU Anda di sistem LPJK:%0A%0A📄 SBU: BG001%0A📅 Expired: 20 November 2026 (60 Hari Lagi)%0A%0AKami tim PT. ESDEA Assistance Management siap men-support proses perpanjangan segera agar administrasi proyek tidak terhambat%0A%0AApakah boleh saya bantu siapkan estimasi biaya dan waktu pengerjaannya?.", "Hubungi")</f>
        <v/>
      </c>
    </row>
    <row r="8">
      <c r="A8" t="inlineStr">
        <is>
          <t>TYVAS PRAST ADHIGANA</t>
        </is>
      </c>
      <c r="B8" t="inlineStr">
        <is>
          <t>Kota Bekasi</t>
        </is>
      </c>
      <c r="C8" t="inlineStr">
        <is>
          <t>081280105719</t>
        </is>
      </c>
      <c r="D8" t="inlineStr">
        <is>
          <t>tyvasprastadhigana@gmail.com</t>
        </is>
      </c>
      <c r="E8" t="inlineStr">
        <is>
          <t>https://lpjk.pu.go.id/search-badan-usaha-detail/Z2J0czhvbE1SaklKN3grNWthWVdKdz09</t>
        </is>
      </c>
      <c r="F8" t="n">
        <v>1</v>
      </c>
      <c r="G8" t="inlineStr">
        <is>
          <t>BG009</t>
        </is>
      </c>
      <c r="H8" t="inlineStr">
        <is>
          <t>14 Juli 2022</t>
        </is>
      </c>
      <c r="I8" s="2" t="n">
        <v>46346</v>
      </c>
      <c r="J8" t="inlineStr">
        <is>
          <t>Disetujui</t>
        </is>
      </c>
      <c r="K8" t="n">
        <v>60</v>
      </c>
      <c r="L8" t="inlineStr">
        <is>
          <t>20 November 2026</t>
        </is>
      </c>
      <c r="M8" t="inlineStr">
        <is>
          <t>Konstruksi Gedung Lainnya</t>
        </is>
      </c>
      <c r="N8" t="inlineStr">
        <is>
          <t>M</t>
        </is>
      </c>
      <c r="O8" t="inlineStr">
        <is>
          <t>20231120</t>
        </is>
      </c>
      <c r="P8" t="inlineStr">
        <is>
          <t>Jawa Barat</t>
        </is>
      </c>
      <c r="Q8" s="3">
        <f>HYPERLINK("https://wa.me/6281280105719?text=*[PENGINGAT MASA BERLAKU SBU TYVAS PRAST ADHIGANA]*%0A%0AYth. Pimpinan TYVAS PRAST ADHIGANA,%0AMohon izin menginformasikan status SBU Anda di sistem LPJK:%0A%0A📄 SBU: BG009%0A📅 Expired: 20 November 2026 (60 Hari Lagi)%0A%0AKami tim PT. ESDEA Assistance Management siap men-support proses perpanjangan segera agar administrasi proyek tidak terhambat%0A%0AApakah boleh saya bantu siapkan estimasi biaya dan waktu pengerjaannya?.", "Hubungi")</f>
        <v/>
      </c>
    </row>
    <row r="9">
      <c r="A9" t="inlineStr">
        <is>
          <t>YUDAMAS KURNIA RAHMA</t>
        </is>
      </c>
      <c r="B9" t="inlineStr">
        <is>
          <t>Kota Adm. Jakarta Timur</t>
        </is>
      </c>
      <c r="C9" t="inlineStr">
        <is>
          <t>089630794707</t>
        </is>
      </c>
      <c r="D9" t="inlineStr">
        <is>
          <t>yudamas_kurnia@yahoo.com</t>
        </is>
      </c>
      <c r="E9" t="inlineStr">
        <is>
          <t>https://lpjk.pu.go.id/search-badan-usaha-detail/ZC9ubnBIelhRMlZ2OTRONWw5WSt2Zz09</t>
        </is>
      </c>
      <c r="F9" t="n">
        <v>3</v>
      </c>
      <c r="G9" t="inlineStr">
        <is>
          <t>BG002, BG003, BS001</t>
        </is>
      </c>
      <c r="H9" t="inlineStr">
        <is>
          <t>30 April 2009</t>
        </is>
      </c>
      <c r="I9" s="2" t="n">
        <v>46346</v>
      </c>
      <c r="J9" t="inlineStr">
        <is>
          <t>Disetujui</t>
        </is>
      </c>
      <c r="K9" t="n">
        <v>60</v>
      </c>
      <c r="L9" t="inlineStr">
        <is>
          <t>20 November 2026</t>
        </is>
      </c>
      <c r="M9" t="inlineStr">
        <is>
          <t>Konstruksi Bangunan Sipil Jalan, Konstruksi Gedung Industri, Konstruksi Gedung Perkantoran</t>
        </is>
      </c>
      <c r="N9" t="inlineStr">
        <is>
          <t>K</t>
        </is>
      </c>
      <c r="O9" t="inlineStr">
        <is>
          <t>20231115, 20231116</t>
        </is>
      </c>
      <c r="P9" t="inlineStr">
        <is>
          <t>DKI Jakarta</t>
        </is>
      </c>
      <c r="Q9" s="3">
        <f>HYPERLINK("https://wa.me/6289630794707?text=*[PENGINGAT MASA BERLAKU SBU YUDAMAS KURNIA RAHMA]*%0A%0AYth. Pimpinan YUDAMAS KURNIA RAHMA,%0AMohon izin menginformasikan status SBU Anda di sistem LPJK:%0A%0A📄 SBU: BG002, BG003, BS001%0A📅 Expired: 20 November 2026 (60 Hari Lagi)%0A%0AKami tim PT. ESDEA Assistance Management siap men-support proses perpanjangan segera agar administrasi proyek tidak terhambat%0A%0AApakah boleh saya bantu siapkan estimasi biaya dan waktu pengerjaannya?.", "Hubungi")</f>
        <v/>
      </c>
    </row>
    <row r="10">
      <c r="A10" t="inlineStr">
        <is>
          <t>ADI CAHAYA MAKMUR</t>
        </is>
      </c>
      <c r="B10" t="inlineStr">
        <is>
          <t>Kab. Bengkalis</t>
        </is>
      </c>
      <c r="C10" t="inlineStr">
        <is>
          <t>082382999320</t>
        </is>
      </c>
      <c r="D10" t="inlineStr">
        <is>
          <t>adi.cm2021@gmail.com</t>
        </is>
      </c>
      <c r="E10" t="inlineStr">
        <is>
          <t>https://lpjk.pu.go.id/search-badan-usaha-detail/Ukc1MlpVb09POFFUbEIvNmJYU2pjdz09</t>
        </is>
      </c>
      <c r="F10" t="n">
        <v>1</v>
      </c>
      <c r="G10" t="inlineStr">
        <is>
          <t>BG006</t>
        </is>
      </c>
      <c r="H10" t="inlineStr">
        <is>
          <t>18 Agustus 2017</t>
        </is>
      </c>
      <c r="I10" s="2" t="n">
        <v>46346</v>
      </c>
      <c r="J10" t="inlineStr">
        <is>
          <t>Disetujui</t>
        </is>
      </c>
      <c r="K10" t="n">
        <v>60</v>
      </c>
      <c r="L10" t="inlineStr">
        <is>
          <t>20 November 2026</t>
        </is>
      </c>
      <c r="M10" t="inlineStr">
        <is>
          <t>Konstruksi Gedung Pendidikan</t>
        </is>
      </c>
      <c r="N10" t="inlineStr">
        <is>
          <t>K</t>
        </is>
      </c>
      <c r="O10" t="inlineStr">
        <is>
          <t>20231117</t>
        </is>
      </c>
      <c r="P10" t="inlineStr">
        <is>
          <t>Riau</t>
        </is>
      </c>
      <c r="Q10" t="inlineStr"/>
    </row>
    <row r="11">
      <c r="A11" t="inlineStr">
        <is>
          <t>ADICITA NIRMALA JAYA</t>
        </is>
      </c>
      <c r="B11" t="inlineStr">
        <is>
          <t>Kab. Sukabumi</t>
        </is>
      </c>
      <c r="C11" t="inlineStr">
        <is>
          <t>085797110707</t>
        </is>
      </c>
      <c r="D11" t="inlineStr">
        <is>
          <t>adicitanirmalaj@gmail.com</t>
        </is>
      </c>
      <c r="E11" t="inlineStr">
        <is>
          <t>https://lpjk.pu.go.id/search-badan-usaha-detail/R2ZXSFp1aVppN1VMbXBaS0Z1dXUyQT09</t>
        </is>
      </c>
      <c r="F11" t="n">
        <v>2</v>
      </c>
      <c r="G11" t="inlineStr">
        <is>
          <t>BS001, BS002</t>
        </is>
      </c>
      <c r="H11" t="inlineStr">
        <is>
          <t>17 Januari 2018</t>
        </is>
      </c>
      <c r="I11" s="2" t="n">
        <v>46346</v>
      </c>
      <c r="J11" t="inlineStr">
        <is>
          <t>Disetujui</t>
        </is>
      </c>
      <c r="K11" t="n">
        <v>60</v>
      </c>
      <c r="L11" t="inlineStr">
        <is>
          <t>20 November 2026</t>
        </is>
      </c>
      <c r="M11" t="inlineStr">
        <is>
          <t>Bangunan Sipil Jembatan, Jalan Layang, Fly Over, dan Underpass, Konstruksi Bangunan Sipil Jalan</t>
        </is>
      </c>
      <c r="N11" t="inlineStr">
        <is>
          <t>K</t>
        </is>
      </c>
      <c r="O11" t="inlineStr">
        <is>
          <t>20231120</t>
        </is>
      </c>
      <c r="P11" t="inlineStr">
        <is>
          <t>Jawa Barat</t>
        </is>
      </c>
      <c r="Q11" t="inlineStr"/>
    </row>
    <row r="12">
      <c r="A12" t="inlineStr">
        <is>
          <t>AGUNG LANCAR</t>
        </is>
      </c>
      <c r="B12" t="inlineStr">
        <is>
          <t>Kota Surabaya</t>
        </is>
      </c>
      <c r="C12" t="inlineStr">
        <is>
          <t>08123542525</t>
        </is>
      </c>
      <c r="D12" t="inlineStr">
        <is>
          <t>agunglancarsby@yahoo.com</t>
        </is>
      </c>
      <c r="E12" t="inlineStr">
        <is>
          <t>https://lpjk.pu.go.id/search-badan-usaha-detail/T3ZkTFg1MWVZcmg5T0tSWWtQaThwQT09</t>
        </is>
      </c>
      <c r="F12" t="n">
        <v>2</v>
      </c>
      <c r="G12" t="inlineStr">
        <is>
          <t>BG001</t>
        </is>
      </c>
      <c r="H12" t="inlineStr">
        <is>
          <t>1 Januari 2018</t>
        </is>
      </c>
      <c r="I12" s="2" t="n">
        <v>46346</v>
      </c>
      <c r="J12" t="inlineStr">
        <is>
          <t>Disetujui</t>
        </is>
      </c>
      <c r="K12" t="n">
        <v>60</v>
      </c>
      <c r="L12" t="inlineStr">
        <is>
          <t>20 November 2026</t>
        </is>
      </c>
      <c r="M12" t="inlineStr">
        <is>
          <t>Konstruksi Gedung Hunian</t>
        </is>
      </c>
      <c r="N12" t="inlineStr">
        <is>
          <t>K</t>
        </is>
      </c>
      <c r="O12" t="inlineStr">
        <is>
          <t>20231117</t>
        </is>
      </c>
      <c r="P12" t="inlineStr">
        <is>
          <t>Jawa Timur</t>
        </is>
      </c>
      <c r="Q12" t="inlineStr"/>
    </row>
    <row r="13">
      <c r="A13" t="inlineStr">
        <is>
          <t>AJI MUMPUNG</t>
        </is>
      </c>
      <c r="B13" t="inlineStr">
        <is>
          <t>Kab. Sidoarjo</t>
        </is>
      </c>
      <c r="C13" t="inlineStr">
        <is>
          <t>08893011494</t>
        </is>
      </c>
      <c r="D13" t="inlineStr">
        <is>
          <t>cvajimumpung@gmail.com</t>
        </is>
      </c>
      <c r="E13" t="inlineStr">
        <is>
          <t>https://lpjk.pu.go.id/search-badan-usaha-detail/dXRqTHNSSjZnYVR1b2lZOFVCeUxxUT09</t>
        </is>
      </c>
      <c r="F13" t="n">
        <v>1</v>
      </c>
      <c r="G13" t="inlineStr">
        <is>
          <t>RK002</t>
        </is>
      </c>
      <c r="H13" t="inlineStr">
        <is>
          <t>23 Mei 2023</t>
        </is>
      </c>
      <c r="I13" s="2" t="n">
        <v>46346</v>
      </c>
      <c r="J13" t="inlineStr">
        <is>
          <t>Disetujui</t>
        </is>
      </c>
      <c r="K13" t="n">
        <v>60</v>
      </c>
      <c r="L13" t="inlineStr">
        <is>
          <t>20 November 2026</t>
        </is>
      </c>
      <c r="M13" t="inlineStr">
        <is>
          <t>Jasa Rekayasa Pekerjaan Teknik Sipil Sumber Daya Air</t>
        </is>
      </c>
      <c r="N13" t="inlineStr">
        <is>
          <t>K</t>
        </is>
      </c>
      <c r="O13" t="inlineStr">
        <is>
          <t>20231113</t>
        </is>
      </c>
      <c r="P13" t="inlineStr">
        <is>
          <t>Jawa Timur</t>
        </is>
      </c>
      <c r="Q13" t="inlineStr"/>
    </row>
    <row r="14">
      <c r="A14" t="inlineStr">
        <is>
          <t>ALAM MINANG</t>
        </is>
      </c>
      <c r="B14" t="inlineStr">
        <is>
          <t>Kab. Agam</t>
        </is>
      </c>
      <c r="C14" t="inlineStr">
        <is>
          <t>081363152611</t>
        </is>
      </c>
      <c r="D14" t="inlineStr">
        <is>
          <t>cv.alamminang@gmail.com</t>
        </is>
      </c>
      <c r="E14" t="inlineStr">
        <is>
          <t>https://lpjk.pu.go.id/search-badan-usaha-detail/alVFd2dlQlM4a3V0MFBxd2ZIUHBOdz09</t>
        </is>
      </c>
      <c r="F14" t="n">
        <v>1</v>
      </c>
      <c r="G14" t="inlineStr">
        <is>
          <t>BS010</t>
        </is>
      </c>
      <c r="H14" t="inlineStr">
        <is>
          <t>10 April 2003</t>
        </is>
      </c>
      <c r="I14" s="2" t="n">
        <v>46346</v>
      </c>
      <c r="J14" t="inlineStr">
        <is>
          <t>Disetujui</t>
        </is>
      </c>
      <c r="K14" t="n">
        <v>60</v>
      </c>
      <c r="L14" t="inlineStr">
        <is>
          <t>20 November 2026</t>
        </is>
      </c>
      <c r="M14" t="inlineStr">
        <is>
          <t>Konstruksi Bangunan Prasarana Sumber Daya Air</t>
        </is>
      </c>
      <c r="N14" t="inlineStr">
        <is>
          <t>K</t>
        </is>
      </c>
      <c r="O14" t="inlineStr">
        <is>
          <t>20231121</t>
        </is>
      </c>
      <c r="P14" t="inlineStr">
        <is>
          <t>Sumatera Barat</t>
        </is>
      </c>
      <c r="Q14" t="inlineStr"/>
    </row>
    <row r="15">
      <c r="A15" t="inlineStr">
        <is>
          <t>AMERTA MULTI STRUCTURE</t>
        </is>
      </c>
      <c r="B15" t="inlineStr">
        <is>
          <t>Kab. Jeneponto</t>
        </is>
      </c>
      <c r="C15" t="inlineStr">
        <is>
          <t>081340230502</t>
        </is>
      </c>
      <c r="D15" t="inlineStr">
        <is>
          <t>multistructurecvamerta@gmail.com</t>
        </is>
      </c>
      <c r="E15" t="inlineStr">
        <is>
          <t>https://lpjk.pu.go.id/search-badan-usaha-detail/ZkNnQ2NxMzM5ZCtEclRBM1JSWXNOUT09</t>
        </is>
      </c>
      <c r="F15" t="n">
        <v>2</v>
      </c>
      <c r="G15" t="inlineStr">
        <is>
          <t>BG006</t>
        </is>
      </c>
      <c r="H15" t="inlineStr">
        <is>
          <t>3 Mei 2023</t>
        </is>
      </c>
      <c r="I15" s="2" t="n">
        <v>46346</v>
      </c>
      <c r="J15" t="inlineStr">
        <is>
          <t>Disetujui</t>
        </is>
      </c>
      <c r="K15" t="n">
        <v>60</v>
      </c>
      <c r="L15" t="inlineStr">
        <is>
          <t>20 November 2026</t>
        </is>
      </c>
      <c r="M15" t="inlineStr">
        <is>
          <t>Konstruksi Gedung Pendidikan</t>
        </is>
      </c>
      <c r="N15" t="inlineStr">
        <is>
          <t>K</t>
        </is>
      </c>
      <c r="O15" t="inlineStr">
        <is>
          <t>20231121</t>
        </is>
      </c>
      <c r="P15" t="inlineStr">
        <is>
          <t>Sulawesi Selatan</t>
        </is>
      </c>
      <c r="Q15" t="inlineStr"/>
    </row>
    <row r="16">
      <c r="A16" t="inlineStr">
        <is>
          <t>ANUGRAH RAFA MANDIRI</t>
        </is>
      </c>
      <c r="B16" t="inlineStr">
        <is>
          <t>Kab. Pahuwato</t>
        </is>
      </c>
      <c r="C16" t="inlineStr">
        <is>
          <t>087841571865</t>
        </is>
      </c>
      <c r="D16" t="inlineStr">
        <is>
          <t>anugrahrafamandiri@gmail.com</t>
        </is>
      </c>
      <c r="E16" t="inlineStr">
        <is>
          <t>https://lpjk.pu.go.id/search-badan-usaha-detail/ek1maDlBVGtqM0RYYkVuT2o5TlNsUT09</t>
        </is>
      </c>
      <c r="F16" t="n">
        <v>2</v>
      </c>
      <c r="G16" t="inlineStr">
        <is>
          <t>BS001</t>
        </is>
      </c>
      <c r="H16" t="inlineStr">
        <is>
          <t>21 Juli 2017</t>
        </is>
      </c>
      <c r="I16" s="2" t="n">
        <v>46346</v>
      </c>
      <c r="J16" t="inlineStr">
        <is>
          <t>Disetujui</t>
        </is>
      </c>
      <c r="K16" t="n">
        <v>60</v>
      </c>
      <c r="L16" t="inlineStr">
        <is>
          <t>20 November 2026</t>
        </is>
      </c>
      <c r="M16" t="inlineStr">
        <is>
          <t>Konstruksi Bangunan Sipil Jalan</t>
        </is>
      </c>
      <c r="N16" t="inlineStr">
        <is>
          <t>K</t>
        </is>
      </c>
      <c r="O16" t="inlineStr">
        <is>
          <t>20231120</t>
        </is>
      </c>
      <c r="P16" t="inlineStr">
        <is>
          <t>Gorontalo</t>
        </is>
      </c>
      <c r="Q16" t="inlineStr"/>
    </row>
    <row r="17">
      <c r="A17" t="inlineStr">
        <is>
          <t>ARFINDO DUTA KENCANA</t>
        </is>
      </c>
      <c r="B17" t="inlineStr">
        <is>
          <t>Kota Sorong</t>
        </is>
      </c>
      <c r="C17" t="inlineStr">
        <is>
          <t>0811485011</t>
        </is>
      </c>
      <c r="D17" t="inlineStr">
        <is>
          <t>arfindo_dk@yahoo.co.id</t>
        </is>
      </c>
      <c r="E17" t="inlineStr">
        <is>
          <t>https://lpjk.pu.go.id/search-badan-usaha-detail/UGdxTkFKazBMUmJ4bnk5MWcweVZNdz09</t>
        </is>
      </c>
      <c r="F17" t="n">
        <v>2</v>
      </c>
      <c r="G17" t="inlineStr">
        <is>
          <t>BG002, BG009</t>
        </is>
      </c>
      <c r="H17" t="inlineStr">
        <is>
          <t>26 Januari 2005</t>
        </is>
      </c>
      <c r="I17" s="2" t="n">
        <v>46346</v>
      </c>
      <c r="J17" t="inlineStr">
        <is>
          <t>Pencabutan</t>
        </is>
      </c>
      <c r="K17" t="n">
        <v>60</v>
      </c>
      <c r="L17" t="inlineStr">
        <is>
          <t>20 November 2026</t>
        </is>
      </c>
      <c r="M17" t="inlineStr">
        <is>
          <t>Konstruksi Gedung Lainnya, Konstruksi Gedung Perkantoran</t>
        </is>
      </c>
      <c r="N17" t="inlineStr">
        <is>
          <t>M</t>
        </is>
      </c>
      <c r="O17" t="inlineStr">
        <is>
          <t>20231009, 20231116</t>
        </is>
      </c>
      <c r="P17" t="inlineStr">
        <is>
          <t>Papua Barat</t>
        </is>
      </c>
      <c r="Q17" t="inlineStr"/>
    </row>
    <row r="18">
      <c r="A18" t="inlineStr">
        <is>
          <t>ARGO SELA MULYA</t>
        </is>
      </c>
      <c r="B18" t="inlineStr">
        <is>
          <t>Kab. Cilacap</t>
        </is>
      </c>
      <c r="C18" t="inlineStr">
        <is>
          <t>081231196514</t>
        </is>
      </c>
      <c r="D18" t="inlineStr">
        <is>
          <t>argosela_mulya@yahoo.com</t>
        </is>
      </c>
      <c r="E18" t="inlineStr">
        <is>
          <t>https://lpjk.pu.go.id/search-badan-usaha-detail/azJJWUVtYmprMmlTQW9YZzlRd2p0dz09</t>
        </is>
      </c>
      <c r="F18" t="n">
        <v>2</v>
      </c>
      <c r="G18" t="inlineStr">
        <is>
          <t>BS001, BS004</t>
        </is>
      </c>
      <c r="H18" t="inlineStr">
        <is>
          <t>10 Agustus 2023</t>
        </is>
      </c>
      <c r="I18" s="2" t="n">
        <v>46346</v>
      </c>
      <c r="J18" t="inlineStr">
        <is>
          <t>Disetujui</t>
        </is>
      </c>
      <c r="K18" t="n">
        <v>60</v>
      </c>
      <c r="L18" t="inlineStr">
        <is>
          <t>20 November 2026</t>
        </is>
      </c>
      <c r="M18" t="inlineStr">
        <is>
          <t>Konstruksi Bangunan Sipil Jalan, Konstruksi Jaringan Irigasi dan Drainase</t>
        </is>
      </c>
      <c r="N18" t="inlineStr">
        <is>
          <t>K</t>
        </is>
      </c>
      <c r="O18" t="inlineStr">
        <is>
          <t>20231120</t>
        </is>
      </c>
      <c r="P18" t="inlineStr">
        <is>
          <t>Jawa Tengah</t>
        </is>
      </c>
      <c r="Q18" t="inlineStr"/>
    </row>
    <row r="19">
      <c r="A19" t="inlineStr">
        <is>
          <t>ARIA DESAIN STUDIO</t>
        </is>
      </c>
      <c r="B19" t="inlineStr">
        <is>
          <t>Kab. Bandung</t>
        </is>
      </c>
      <c r="C19" t="inlineStr">
        <is>
          <t>081313101994</t>
        </is>
      </c>
      <c r="D19" t="inlineStr">
        <is>
          <t>pt.ariadesainstudio@gmail.com</t>
        </is>
      </c>
      <c r="E19" t="inlineStr">
        <is>
          <t>https://lpjk.pu.go.id/search-badan-usaha-detail/ZnFWUzNYbnVFaVY5djNMM2phc1U1Zz09</t>
        </is>
      </c>
      <c r="F19" t="n">
        <v>5</v>
      </c>
      <c r="G19" t="inlineStr">
        <is>
          <t>BG001, BG002, BG005, BG006, BG009</t>
        </is>
      </c>
      <c r="H19" t="inlineStr">
        <is>
          <t>28 Agustus 2023</t>
        </is>
      </c>
      <c r="I19" s="2" t="n">
        <v>46346</v>
      </c>
      <c r="J19" t="inlineStr">
        <is>
          <t>Disetujui</t>
        </is>
      </c>
      <c r="K19" t="n">
        <v>60</v>
      </c>
      <c r="L19" t="inlineStr">
        <is>
          <t>20 November 2026</t>
        </is>
      </c>
      <c r="M19" t="inlineStr">
        <is>
          <t>Konstruksi Gedung Hunian, Konstruksi Gedung Kesehatan, Konstruksi Gedung Lainnya, Konstruksi Gedung Pendidikan, Konstruksi Gedung Perkantoran</t>
        </is>
      </c>
      <c r="N19" t="inlineStr">
        <is>
          <t>K</t>
        </is>
      </c>
      <c r="O19" t="inlineStr">
        <is>
          <t>20231121</t>
        </is>
      </c>
      <c r="P19" t="inlineStr">
        <is>
          <t>Jawa Barat</t>
        </is>
      </c>
      <c r="Q19" t="inlineStr"/>
    </row>
    <row r="20">
      <c r="A20" t="inlineStr">
        <is>
          <t>ASA NOOR AROFAH</t>
        </is>
      </c>
      <c r="B20" t="inlineStr">
        <is>
          <t>Kota Semarang</t>
        </is>
      </c>
      <c r="C20" t="inlineStr">
        <is>
          <t>0247624993</t>
        </is>
      </c>
      <c r="D20" t="inlineStr">
        <is>
          <t>asanoorarofah69@gmail.com</t>
        </is>
      </c>
      <c r="E20" t="inlineStr">
        <is>
          <t>https://lpjk.pu.go.id/search-badan-usaha-detail/MHowTlBmU2lIMzJvZUZPK1YwUENFUT09</t>
        </is>
      </c>
      <c r="F20" t="n">
        <v>1</v>
      </c>
      <c r="G20" t="inlineStr">
        <is>
          <t>BS005</t>
        </is>
      </c>
      <c r="H20" t="inlineStr">
        <is>
          <t>21 Februari 1990</t>
        </is>
      </c>
      <c r="I20" s="2" t="n">
        <v>46346</v>
      </c>
      <c r="J20" t="inlineStr">
        <is>
          <t>Disetujui</t>
        </is>
      </c>
      <c r="K20" t="n">
        <v>60</v>
      </c>
      <c r="L20" t="inlineStr">
        <is>
          <t>20 November 2026</t>
        </is>
      </c>
      <c r="M20" t="inlineStr">
        <is>
          <t>Konstruksi Bangunan Sipil Pengolahan Air Bersih</t>
        </is>
      </c>
      <c r="N20" t="inlineStr">
        <is>
          <t>K</t>
        </is>
      </c>
      <c r="O20" t="inlineStr">
        <is>
          <t>20231120</t>
        </is>
      </c>
      <c r="P20" t="inlineStr">
        <is>
          <t>Jawa Tengah</t>
        </is>
      </c>
      <c r="Q20" t="inlineStr"/>
    </row>
    <row r="21">
      <c r="A21" t="inlineStr">
        <is>
          <t>BARITO JAYA ABADI</t>
        </is>
      </c>
      <c r="B21" t="inlineStr">
        <is>
          <t>Kota Bandung</t>
        </is>
      </c>
      <c r="C21" t="inlineStr">
        <is>
          <t>0226002939</t>
        </is>
      </c>
      <c r="D21" t="inlineStr">
        <is>
          <t>baritojayaabadi@yahoo.com</t>
        </is>
      </c>
      <c r="E21" t="inlineStr">
        <is>
          <t>https://lpjk.pu.go.id/search-badan-usaha-detail/clhNT0lOdHY4bEg5Tk5nOFBHRVFpQT09</t>
        </is>
      </c>
      <c r="F21" t="n">
        <v>1</v>
      </c>
      <c r="G21" t="inlineStr">
        <is>
          <t>BG001</t>
        </is>
      </c>
      <c r="H21" t="inlineStr">
        <is>
          <t>19 Desember 2016</t>
        </is>
      </c>
      <c r="I21" s="2" t="n">
        <v>46346</v>
      </c>
      <c r="J21" t="inlineStr">
        <is>
          <t>Disetujui</t>
        </is>
      </c>
      <c r="K21" t="n">
        <v>60</v>
      </c>
      <c r="L21" t="inlineStr">
        <is>
          <t>20 November 2026</t>
        </is>
      </c>
      <c r="M21" t="inlineStr">
        <is>
          <t>Konstruksi Gedung Hunian</t>
        </is>
      </c>
      <c r="N21" t="inlineStr">
        <is>
          <t>K</t>
        </is>
      </c>
      <c r="O21" t="inlineStr">
        <is>
          <t>20231114</t>
        </is>
      </c>
      <c r="P21" t="inlineStr">
        <is>
          <t>Jawa Barat</t>
        </is>
      </c>
      <c r="Q21" t="inlineStr"/>
    </row>
    <row r="22">
      <c r="A22" t="inlineStr">
        <is>
          <t>BIAS SARANA REZEKI</t>
        </is>
      </c>
      <c r="B22" t="inlineStr">
        <is>
          <t>Kota Medan</t>
        </is>
      </c>
      <c r="C22" t="inlineStr">
        <is>
          <t>081262528855</t>
        </is>
      </c>
      <c r="D22" t="inlineStr">
        <is>
          <t>pt.bias_saranarezeki@hotmail.com</t>
        </is>
      </c>
      <c r="E22" t="inlineStr">
        <is>
          <t>https://lpjk.pu.go.id/search-badan-usaha-detail/dGNWVG8vTml5K0QxU05WM0kwem5KUT09</t>
        </is>
      </c>
      <c r="F22" t="n">
        <v>1</v>
      </c>
      <c r="G22" t="inlineStr">
        <is>
          <t>BS002</t>
        </is>
      </c>
      <c r="H22" t="inlineStr">
        <is>
          <t>2 Februari 2018</t>
        </is>
      </c>
      <c r="I22" s="2" t="n">
        <v>46346</v>
      </c>
      <c r="J22" t="inlineStr">
        <is>
          <t>Disetujui</t>
        </is>
      </c>
      <c r="K22" t="n">
        <v>60</v>
      </c>
      <c r="L22" t="inlineStr">
        <is>
          <t>20 November 2026</t>
        </is>
      </c>
      <c r="M22" t="inlineStr">
        <is>
          <t>Bangunan Sipil Jembatan, Jalan Layang, Fly Over, dan Underpass</t>
        </is>
      </c>
      <c r="N22" t="inlineStr">
        <is>
          <t>K</t>
        </is>
      </c>
      <c r="O22" t="inlineStr">
        <is>
          <t>20231120</t>
        </is>
      </c>
      <c r="P22" t="inlineStr">
        <is>
          <t>Sumatera Utara</t>
        </is>
      </c>
      <c r="Q22" t="inlineStr"/>
    </row>
    <row r="23">
      <c r="A23" t="inlineStr">
        <is>
          <t>BIMA SAKTI</t>
        </is>
      </c>
      <c r="B23" t="inlineStr">
        <is>
          <t>Kab. Dompu</t>
        </is>
      </c>
      <c r="C23" t="inlineStr">
        <is>
          <t>085216482831</t>
        </is>
      </c>
      <c r="D23" t="inlineStr">
        <is>
          <t>cvbimasakti1974@gmail.com</t>
        </is>
      </c>
      <c r="E23" t="inlineStr">
        <is>
          <t>https://lpjk.pu.go.id/search-badan-usaha-detail/aUMrNFFWVEV3ZVpMQUFBTjdjSHB4dz09</t>
        </is>
      </c>
      <c r="F23" t="n">
        <v>5</v>
      </c>
      <c r="G23" t="inlineStr">
        <is>
          <t>BG005, BG006, BG009, BS001, BS004</t>
        </is>
      </c>
      <c r="H23" t="inlineStr">
        <is>
          <t>1 Agustus 2005</t>
        </is>
      </c>
      <c r="I23" s="2" t="n">
        <v>46346</v>
      </c>
      <c r="J23" t="inlineStr">
        <is>
          <t>Disetujui</t>
        </is>
      </c>
      <c r="K23" t="n">
        <v>60</v>
      </c>
      <c r="L23" t="inlineStr">
        <is>
          <t>20 November 2026</t>
        </is>
      </c>
      <c r="M23" t="inlineStr">
        <is>
          <t>Konstruksi Bangunan Sipil Jalan, Konstruksi Gedung Kesehatan, Konstruksi Gedung Lainnya, Konstruksi Gedung Pendidikan, Konstruksi Jaringan Irigasi dan Drainase</t>
        </is>
      </c>
      <c r="N23" t="inlineStr">
        <is>
          <t>K</t>
        </is>
      </c>
      <c r="O23" t="inlineStr">
        <is>
          <t>20231116, 20231121, 20231122</t>
        </is>
      </c>
      <c r="P23" t="inlineStr">
        <is>
          <t>Nusa Tenggara Barat</t>
        </is>
      </c>
      <c r="Q23" t="inlineStr"/>
    </row>
    <row r="24">
      <c r="A24" t="inlineStr">
        <is>
          <t>BINA ABDI KARYA</t>
        </is>
      </c>
      <c r="B24" t="inlineStr">
        <is>
          <t>Kab. Kotawaringin Barat</t>
        </is>
      </c>
      <c r="C24" t="inlineStr">
        <is>
          <t>082255099981</t>
        </is>
      </c>
      <c r="D24" t="inlineStr">
        <is>
          <t>binaabdikarya@gmail.com</t>
        </is>
      </c>
      <c r="E24" t="inlineStr">
        <is>
          <t>https://lpjk.pu.go.id/search-badan-usaha-detail/N3VDdzF5RWRidmlIYy9JRXJvL2QvUT09</t>
        </is>
      </c>
      <c r="F24" t="n">
        <v>1</v>
      </c>
      <c r="G24" t="inlineStr">
        <is>
          <t>BS002</t>
        </is>
      </c>
      <c r="H24" t="inlineStr">
        <is>
          <t>24 Juli 2014</t>
        </is>
      </c>
      <c r="I24" s="2" t="n">
        <v>46346</v>
      </c>
      <c r="J24" t="inlineStr">
        <is>
          <t>Pencabutan</t>
        </is>
      </c>
      <c r="K24" t="n">
        <v>60</v>
      </c>
      <c r="L24" t="inlineStr">
        <is>
          <t>20 November 2026</t>
        </is>
      </c>
      <c r="M24" t="inlineStr">
        <is>
          <t>Bangunan Sipil Jembatan, Jalan Layang, Fly Over, dan Underpass</t>
        </is>
      </c>
      <c r="N24" t="inlineStr">
        <is>
          <t>K</t>
        </is>
      </c>
      <c r="O24" t="inlineStr">
        <is>
          <t>20231117</t>
        </is>
      </c>
      <c r="P24" t="inlineStr">
        <is>
          <t>Kalimantan Tengah</t>
        </is>
      </c>
      <c r="Q24" t="inlineStr"/>
    </row>
    <row r="25">
      <c r="A25" t="inlineStr">
        <is>
          <t>BINTANG KLAMBIR SEJAHTERA</t>
        </is>
      </c>
      <c r="B25" t="inlineStr">
        <is>
          <t>Kab. Deli Serdang</t>
        </is>
      </c>
      <c r="C25" t="inlineStr">
        <is>
          <t>08116081974</t>
        </is>
      </c>
      <c r="D25" t="inlineStr">
        <is>
          <t>bintangklambirsejahtera@gmail.com</t>
        </is>
      </c>
      <c r="E25" t="inlineStr">
        <is>
          <t>https://lpjk.pu.go.id/search-badan-usaha-detail/MDVId2IyN3V0SUNCd3hEb0NGamVydz09</t>
        </is>
      </c>
      <c r="F25" t="n">
        <v>2</v>
      </c>
      <c r="G25" t="inlineStr">
        <is>
          <t>BS001</t>
        </is>
      </c>
      <c r="H25" t="inlineStr">
        <is>
          <t>1 November 2023</t>
        </is>
      </c>
      <c r="I25" s="2" t="n">
        <v>46346</v>
      </c>
      <c r="J25" t="inlineStr">
        <is>
          <t>Pencabutan</t>
        </is>
      </c>
      <c r="K25" t="n">
        <v>60</v>
      </c>
      <c r="L25" t="inlineStr">
        <is>
          <t>20 November 2026</t>
        </is>
      </c>
      <c r="M25" t="inlineStr">
        <is>
          <t>Konstruksi Bangunan Sipil Jalan</t>
        </is>
      </c>
      <c r="N25" t="inlineStr">
        <is>
          <t>K</t>
        </is>
      </c>
      <c r="O25" t="inlineStr">
        <is>
          <t>20231120</t>
        </is>
      </c>
      <c r="P25" t="inlineStr">
        <is>
          <t>Sumatera Utara</t>
        </is>
      </c>
      <c r="Q25" t="inlineStr"/>
    </row>
    <row r="26">
      <c r="A26" t="inlineStr">
        <is>
          <t>BINTANG ZAHARAH</t>
        </is>
      </c>
      <c r="B26" t="inlineStr">
        <is>
          <t>Kab. Lombok Barat</t>
        </is>
      </c>
      <c r="C26" t="inlineStr">
        <is>
          <t>087765750150</t>
        </is>
      </c>
      <c r="D26" t="inlineStr">
        <is>
          <t>cvbintangzaharah59@gmail.com</t>
        </is>
      </c>
      <c r="E26" t="inlineStr">
        <is>
          <t>https://lpjk.pu.go.id/search-badan-usaha-detail/Tk5CdjM2TU16OG9ac0ZWaVBGeC9mZz09</t>
        </is>
      </c>
      <c r="F26" t="n">
        <v>2</v>
      </c>
      <c r="G26" t="inlineStr">
        <is>
          <t>BS005</t>
        </is>
      </c>
      <c r="H26" t="inlineStr">
        <is>
          <t>4 April 2009</t>
        </is>
      </c>
      <c r="I26" s="2" t="n">
        <v>46346</v>
      </c>
      <c r="J26" t="inlineStr">
        <is>
          <t>Disetujui</t>
        </is>
      </c>
      <c r="K26" t="n">
        <v>60</v>
      </c>
      <c r="L26" t="inlineStr">
        <is>
          <t>20 November 2026</t>
        </is>
      </c>
      <c r="M26" t="inlineStr">
        <is>
          <t>Konstruksi Bangunan Sipil Pengolahan Air Bersih</t>
        </is>
      </c>
      <c r="N26" t="inlineStr">
        <is>
          <t>K</t>
        </is>
      </c>
      <c r="O26" t="inlineStr">
        <is>
          <t>20231120</t>
        </is>
      </c>
      <c r="P26" t="inlineStr">
        <is>
          <t>Nusa Tenggara Barat</t>
        </is>
      </c>
      <c r="Q26" t="inlineStr"/>
    </row>
    <row r="27">
      <c r="A27" t="inlineStr">
        <is>
          <t>BOJONG INDAH MANDIRI</t>
        </is>
      </c>
      <c r="B27" t="inlineStr">
        <is>
          <t>Kota Tangerang</t>
        </is>
      </c>
      <c r="C27" t="inlineStr">
        <is>
          <t>02122261648</t>
        </is>
      </c>
      <c r="D27" t="inlineStr">
        <is>
          <t>bojong.im@yahoo.com</t>
        </is>
      </c>
      <c r="E27" t="inlineStr">
        <is>
          <t>https://lpjk.pu.go.id/search-badan-usaha-detail/RkgvblI3U2M3ZUtSMHdDdDM5cWdWUT09</t>
        </is>
      </c>
      <c r="F27" t="n">
        <v>2</v>
      </c>
      <c r="G27" t="inlineStr">
        <is>
          <t>BG001, BS001</t>
        </is>
      </c>
      <c r="H27" t="inlineStr">
        <is>
          <t>22 Mei 2017</t>
        </is>
      </c>
      <c r="I27" s="2" t="n">
        <v>46346</v>
      </c>
      <c r="J27" t="inlineStr">
        <is>
          <t>Disetujui</t>
        </is>
      </c>
      <c r="K27" t="n">
        <v>60</v>
      </c>
      <c r="L27" t="inlineStr">
        <is>
          <t>20 November 2026</t>
        </is>
      </c>
      <c r="M27" t="inlineStr">
        <is>
          <t>Konstruksi Bangunan Sipil Jalan, Konstruksi Gedung Hunian</t>
        </is>
      </c>
      <c r="N27" t="inlineStr">
        <is>
          <t>K</t>
        </is>
      </c>
      <c r="O27" t="inlineStr">
        <is>
          <t>20231120, 20231122</t>
        </is>
      </c>
      <c r="P27" t="inlineStr">
        <is>
          <t>Banten</t>
        </is>
      </c>
      <c r="Q27" t="inlineStr"/>
    </row>
    <row r="28">
      <c r="A28" t="inlineStr">
        <is>
          <t>BOKOR MAS ALMABRUR</t>
        </is>
      </c>
      <c r="B28" t="inlineStr">
        <is>
          <t>Kab. Tasikmalaya</t>
        </is>
      </c>
      <c r="C28" t="inlineStr">
        <is>
          <t>082121425269</t>
        </is>
      </c>
      <c r="D28" t="inlineStr">
        <is>
          <t>bokormasalmabrur@gmail.com</t>
        </is>
      </c>
      <c r="E28" t="inlineStr">
        <is>
          <t>https://lpjk.pu.go.id/search-badan-usaha-detail/ZTdDcnFCSk5IUXF6L01Pa3puelVwUT09</t>
        </is>
      </c>
      <c r="F28" t="n">
        <v>4</v>
      </c>
      <c r="G28" t="inlineStr">
        <is>
          <t>BG001, BG009, BS001, BS004</t>
        </is>
      </c>
      <c r="H28" t="inlineStr">
        <is>
          <t>25 Agustus 2016</t>
        </is>
      </c>
      <c r="I28" s="2" t="n">
        <v>46346</v>
      </c>
      <c r="J28" t="inlineStr">
        <is>
          <t>Disetujui</t>
        </is>
      </c>
      <c r="K28" t="n">
        <v>60</v>
      </c>
      <c r="L28" t="inlineStr">
        <is>
          <t>20 November 2026</t>
        </is>
      </c>
      <c r="M28" t="inlineStr">
        <is>
          <t>Konstruksi Bangunan Sipil Jalan, Konstruksi Gedung Hunian, Konstruksi Gedung Lainnya, Konstruksi Jaringan Irigasi dan Drainase</t>
        </is>
      </c>
      <c r="N28" t="inlineStr">
        <is>
          <t>K</t>
        </is>
      </c>
      <c r="O28" t="inlineStr">
        <is>
          <t>20231118</t>
        </is>
      </c>
      <c r="P28" t="inlineStr">
        <is>
          <t>Jawa Barat</t>
        </is>
      </c>
      <c r="Q28" t="inlineStr"/>
    </row>
    <row r="29">
      <c r="A29" t="inlineStr">
        <is>
          <t>CAHYA INDO PERKASA</t>
        </is>
      </c>
      <c r="B29" t="inlineStr">
        <is>
          <t>Kab. Ponorogo</t>
        </is>
      </c>
      <c r="C29" t="inlineStr">
        <is>
          <t>081231752548</t>
        </is>
      </c>
      <c r="D29" t="inlineStr">
        <is>
          <t>cahyaindoperkasa@gmail.com</t>
        </is>
      </c>
      <c r="E29" t="inlineStr">
        <is>
          <t>https://lpjk.pu.go.id/search-badan-usaha-detail/bFoyY1VTbXlxNUFiWGNBRndxRXE3Zz09</t>
        </is>
      </c>
      <c r="F29" t="n">
        <v>1</v>
      </c>
      <c r="G29" t="inlineStr">
        <is>
          <t>BG005</t>
        </is>
      </c>
      <c r="H29" t="inlineStr">
        <is>
          <t>30 Maret 2023</t>
        </is>
      </c>
      <c r="I29" s="2" t="n">
        <v>46346</v>
      </c>
      <c r="J29" t="inlineStr">
        <is>
          <t>Disetujui</t>
        </is>
      </c>
      <c r="K29" t="n">
        <v>60</v>
      </c>
      <c r="L29" t="inlineStr">
        <is>
          <t>20 November 2026</t>
        </is>
      </c>
      <c r="M29" t="inlineStr">
        <is>
          <t>Konstruksi Gedung Kesehatan</t>
        </is>
      </c>
      <c r="N29" t="inlineStr">
        <is>
          <t>K</t>
        </is>
      </c>
      <c r="O29" t="inlineStr">
        <is>
          <t>20231117</t>
        </is>
      </c>
      <c r="P29" t="inlineStr">
        <is>
          <t>Jawa Timur</t>
        </is>
      </c>
      <c r="Q29" t="inlineStr"/>
    </row>
    <row r="30">
      <c r="A30" t="inlineStr">
        <is>
          <t>CENTRATEKNO INSTRUMINDO</t>
        </is>
      </c>
      <c r="B30" t="inlineStr">
        <is>
          <t>Kota Adm. Jakarta Utara</t>
        </is>
      </c>
      <c r="C30" t="inlineStr">
        <is>
          <t>0216621725</t>
        </is>
      </c>
      <c r="D30" t="inlineStr">
        <is>
          <t>harry@kotaminyak.co.id</t>
        </is>
      </c>
      <c r="E30" t="inlineStr">
        <is>
          <t>https://lpjk.pu.go.id/search-badan-usaha-detail/QktiakFVd0hhMWR1WmNFVnNHYjEvZz09</t>
        </is>
      </c>
      <c r="F30" t="n">
        <v>1</v>
      </c>
      <c r="G30" t="inlineStr">
        <is>
          <t>IN004</t>
        </is>
      </c>
      <c r="H30" t="inlineStr">
        <is>
          <t>6 Desember 1991</t>
        </is>
      </c>
      <c r="I30" s="2" t="n">
        <v>46346</v>
      </c>
      <c r="J30" t="inlineStr">
        <is>
          <t>Disetujui</t>
        </is>
      </c>
      <c r="K30" t="n">
        <v>60</v>
      </c>
      <c r="L30" t="inlineStr">
        <is>
          <t>20 November 2026</t>
        </is>
      </c>
      <c r="M30" t="inlineStr">
        <is>
          <t>Instalasi Minyak dan Gas</t>
        </is>
      </c>
      <c r="N30" t="inlineStr">
        <is>
          <t>Spesialis</t>
        </is>
      </c>
      <c r="O30" t="inlineStr">
        <is>
          <t>20231106</t>
        </is>
      </c>
      <c r="P30" t="inlineStr">
        <is>
          <t>DKI Jakarta</t>
        </is>
      </c>
      <c r="Q30" t="inlineStr"/>
    </row>
    <row r="31">
      <c r="A31" t="inlineStr">
        <is>
          <t>CIPTA BANAWA LESTARI</t>
        </is>
      </c>
      <c r="B31" t="inlineStr">
        <is>
          <t>Kab. Donggala</t>
        </is>
      </c>
      <c r="C31" t="inlineStr">
        <is>
          <t>082191901984</t>
        </is>
      </c>
      <c r="D31" t="inlineStr">
        <is>
          <t>cv.ciptabanawalestari@ymail.com</t>
        </is>
      </c>
      <c r="E31" t="inlineStr">
        <is>
          <t>https://lpjk.pu.go.id/search-badan-usaha-detail/S0NrQ1BtYTNqaVAxTXJ5ZTJvZHR5Zz09</t>
        </is>
      </c>
      <c r="F31" t="n">
        <v>2</v>
      </c>
      <c r="G31" t="inlineStr">
        <is>
          <t>BS001</t>
        </is>
      </c>
      <c r="H31" t="inlineStr">
        <is>
          <t>19 Juli 2007</t>
        </is>
      </c>
      <c r="I31" s="2" t="n">
        <v>46346</v>
      </c>
      <c r="J31" t="inlineStr">
        <is>
          <t>Pencabutan</t>
        </is>
      </c>
      <c r="K31" t="n">
        <v>60</v>
      </c>
      <c r="L31" t="inlineStr">
        <is>
          <t>20 November 2026</t>
        </is>
      </c>
      <c r="M31" t="inlineStr">
        <is>
          <t>Konstruksi Bangunan Sipil Jalan</t>
        </is>
      </c>
      <c r="N31" t="inlineStr">
        <is>
          <t>K</t>
        </is>
      </c>
      <c r="O31" t="inlineStr">
        <is>
          <t>20231117</t>
        </is>
      </c>
      <c r="P31" t="inlineStr">
        <is>
          <t>Sulawesi Tengah</t>
        </is>
      </c>
      <c r="Q31" t="inlineStr"/>
    </row>
    <row r="32">
      <c r="A32" t="inlineStr">
        <is>
          <t>CIPTA KARYA AGUNG PRAKARSA</t>
        </is>
      </c>
      <c r="B32" t="inlineStr">
        <is>
          <t>Kota Jambi</t>
        </is>
      </c>
      <c r="C32" t="inlineStr">
        <is>
          <t>082278809494</t>
        </is>
      </c>
      <c r="D32" t="inlineStr">
        <is>
          <t>ptcakap.2023@gmail.com</t>
        </is>
      </c>
      <c r="E32" t="inlineStr">
        <is>
          <t>https://lpjk.pu.go.id/search-badan-usaha-detail/QyswaWpDUWdNSHZOY3QweksreEJnQT09</t>
        </is>
      </c>
      <c r="F32" t="n">
        <v>2</v>
      </c>
      <c r="G32" t="inlineStr">
        <is>
          <t>BS010</t>
        </is>
      </c>
      <c r="H32" t="inlineStr">
        <is>
          <t>13 Februari 2023</t>
        </is>
      </c>
      <c r="I32" s="2" t="n">
        <v>46346</v>
      </c>
      <c r="J32" t="inlineStr">
        <is>
          <t>Disetujui</t>
        </is>
      </c>
      <c r="K32" t="n">
        <v>60</v>
      </c>
      <c r="L32" t="inlineStr">
        <is>
          <t>20 November 2026</t>
        </is>
      </c>
      <c r="M32" t="inlineStr">
        <is>
          <t>Konstruksi Bangunan Prasarana Sumber Daya Air</t>
        </is>
      </c>
      <c r="N32" t="inlineStr">
        <is>
          <t>K</t>
        </is>
      </c>
      <c r="O32" t="inlineStr">
        <is>
          <t>20231120</t>
        </is>
      </c>
      <c r="P32" t="inlineStr">
        <is>
          <t>Jambi</t>
        </is>
      </c>
      <c r="Q32" t="inlineStr"/>
    </row>
    <row r="33">
      <c r="A33" t="inlineStr">
        <is>
          <t>CIPTA MANDIRI ENGINEERING</t>
        </is>
      </c>
      <c r="B33" t="inlineStr">
        <is>
          <t>Kota Medan</t>
        </is>
      </c>
      <c r="C33" t="inlineStr">
        <is>
          <t>081260183887</t>
        </is>
      </c>
      <c r="D33" t="inlineStr">
        <is>
          <t>cipta.mandiriengineering@yahoo.com</t>
        </is>
      </c>
      <c r="E33" t="inlineStr">
        <is>
          <t>https://lpjk.pu.go.id/search-badan-usaha-detail/MzZwZDhUSUZrYWhCaDdpaEU3aXV4Zz09</t>
        </is>
      </c>
      <c r="F33" t="n">
        <v>2</v>
      </c>
      <c r="G33" t="inlineStr">
        <is>
          <t>BS005</t>
        </is>
      </c>
      <c r="H33" t="inlineStr">
        <is>
          <t>19 April 2008</t>
        </is>
      </c>
      <c r="I33" s="2" t="n">
        <v>46346</v>
      </c>
      <c r="J33" t="inlineStr">
        <is>
          <t>Disetujui</t>
        </is>
      </c>
      <c r="K33" t="n">
        <v>60</v>
      </c>
      <c r="L33" t="inlineStr">
        <is>
          <t>20 November 2026</t>
        </is>
      </c>
      <c r="M33" t="inlineStr">
        <is>
          <t>Konstruksi Bangunan Sipil Pengolahan Air Bersih</t>
        </is>
      </c>
      <c r="N33" t="inlineStr">
        <is>
          <t>K</t>
        </is>
      </c>
      <c r="O33" t="inlineStr">
        <is>
          <t>20231120</t>
        </is>
      </c>
      <c r="P33" t="inlineStr">
        <is>
          <t>Sumatera Utara</t>
        </is>
      </c>
      <c r="Q33" t="inlineStr"/>
    </row>
    <row r="34">
      <c r="A34" t="inlineStr">
        <is>
          <t>CIPTA MITRA DINAMIKA</t>
        </is>
      </c>
      <c r="B34" t="inlineStr">
        <is>
          <t>Kota Adm. Jakarta Utara</t>
        </is>
      </c>
      <c r="C34" t="inlineStr">
        <is>
          <t>02122669332</t>
        </is>
      </c>
      <c r="D34" t="inlineStr">
        <is>
          <t>ciptamitradinamika@gmail.com</t>
        </is>
      </c>
      <c r="E34" t="inlineStr">
        <is>
          <t>https://lpjk.pu.go.id/search-badan-usaha-detail/UmhKT1ljS1Y3VDBSVnJMWGJoQ0Qydz09</t>
        </is>
      </c>
      <c r="F34" t="n">
        <v>10</v>
      </c>
      <c r="G34" t="inlineStr">
        <is>
          <t>AR001, AR002, AR003, RK001, RK004</t>
        </is>
      </c>
      <c r="H34" t="inlineStr">
        <is>
          <t>13 Juli 2012</t>
        </is>
      </c>
      <c r="I34" s="2" t="n">
        <v>46346</v>
      </c>
      <c r="J34" t="inlineStr">
        <is>
          <t>Pencabutan</t>
        </is>
      </c>
      <c r="K34" t="n">
        <v>60</v>
      </c>
      <c r="L34" t="inlineStr">
        <is>
          <t>20 November 2026</t>
        </is>
      </c>
      <c r="M34" t="inlineStr">
        <is>
          <t>Jasa Arsitektural Bangunan Gedung Hunian dan Non Hunian, Jasa Arsitektural Lainnya, Jasa Desain Interior pada Bangunan Gedung dan Bangunan Sipil, Jasa Rekayasa Konstruksi Bangunan Gedung Hunian dan Non Hunian, Jasa Rekayasa Pekerjaan Mekanikal Dalam Bangunan</t>
        </is>
      </c>
      <c r="N34" t="inlineStr">
        <is>
          <t>K, M</t>
        </is>
      </c>
      <c r="O34" t="inlineStr">
        <is>
          <t>20231113, 20231117</t>
        </is>
      </c>
      <c r="P34" t="inlineStr">
        <is>
          <t>DKI Jakarta</t>
        </is>
      </c>
      <c r="Q34" t="inlineStr"/>
    </row>
    <row r="35">
      <c r="A35" t="inlineStr">
        <is>
          <t>DIMAS PERKASA</t>
        </is>
      </c>
      <c r="B35" t="inlineStr">
        <is>
          <t>Kab. Brebes</t>
        </is>
      </c>
      <c r="C35" t="inlineStr">
        <is>
          <t>081548176025</t>
        </is>
      </c>
      <c r="D35" t="inlineStr">
        <is>
          <t>tanto012@yahoo.com</t>
        </is>
      </c>
      <c r="E35" t="inlineStr">
        <is>
          <t>https://lpjk.pu.go.id/search-badan-usaha-detail/R3Ayb3ppbFVsWVhFTDJZUUFydDg4Zz09</t>
        </is>
      </c>
      <c r="F35" t="n">
        <v>1</v>
      </c>
      <c r="G35" t="inlineStr">
        <is>
          <t>BS001</t>
        </is>
      </c>
      <c r="H35" t="inlineStr">
        <is>
          <t>31 Desember 1998</t>
        </is>
      </c>
      <c r="I35" s="2" t="n">
        <v>46346</v>
      </c>
      <c r="J35" t="inlineStr">
        <is>
          <t>Disetujui</t>
        </is>
      </c>
      <c r="K35" t="n">
        <v>60</v>
      </c>
      <c r="L35" t="inlineStr">
        <is>
          <t>20 November 2026</t>
        </is>
      </c>
      <c r="M35" t="inlineStr">
        <is>
          <t>Konstruksi Bangunan Sipil Jalan</t>
        </is>
      </c>
      <c r="N35" t="inlineStr">
        <is>
          <t>K</t>
        </is>
      </c>
      <c r="O35" t="inlineStr">
        <is>
          <t>20231115</t>
        </is>
      </c>
      <c r="P35" t="inlineStr">
        <is>
          <t>Jawa Tengah</t>
        </is>
      </c>
      <c r="Q35" t="inlineStr"/>
    </row>
    <row r="36">
      <c r="A36" t="inlineStr">
        <is>
          <t>DUTA TRAJU TEKNIK</t>
        </is>
      </c>
      <c r="B36" t="inlineStr">
        <is>
          <t>Kota Adm. Jakarta Selatan</t>
        </is>
      </c>
      <c r="C36" t="inlineStr">
        <is>
          <t>02183782843</t>
        </is>
      </c>
      <c r="D36" t="inlineStr">
        <is>
          <t>dutatrajuteknik@gmail.com</t>
        </is>
      </c>
      <c r="E36" t="inlineStr">
        <is>
          <t>https://lpjk.pu.go.id/search-badan-usaha-detail/TSsxSjNRdm1ObVVFNG1CendUR0ovUT09</t>
        </is>
      </c>
      <c r="F36" t="n">
        <v>2</v>
      </c>
      <c r="G36" t="inlineStr">
        <is>
          <t>BS001, BS004</t>
        </is>
      </c>
      <c r="H36" t="inlineStr">
        <is>
          <t>17 Februari 2014</t>
        </is>
      </c>
      <c r="I36" s="2" t="n">
        <v>46346</v>
      </c>
      <c r="J36" t="inlineStr">
        <is>
          <t>Disetujui</t>
        </is>
      </c>
      <c r="K36" t="n">
        <v>60</v>
      </c>
      <c r="L36" t="inlineStr">
        <is>
          <t>20 November 2026</t>
        </is>
      </c>
      <c r="M36" t="inlineStr">
        <is>
          <t>Konstruksi Bangunan Sipil Jalan, Konstruksi Jaringan Irigasi dan Drainase</t>
        </is>
      </c>
      <c r="N36" t="inlineStr">
        <is>
          <t>K</t>
        </is>
      </c>
      <c r="O36" t="inlineStr">
        <is>
          <t>20231002</t>
        </is>
      </c>
      <c r="P36" t="inlineStr">
        <is>
          <t>DKI Jakarta</t>
        </is>
      </c>
      <c r="Q36" t="inlineStr"/>
    </row>
    <row r="37">
      <c r="A37" t="inlineStr">
        <is>
          <t>DUTASARANA SUMBERJAYA</t>
        </is>
      </c>
      <c r="B37" t="inlineStr">
        <is>
          <t>Kota Surabaya</t>
        </is>
      </c>
      <c r="C37" t="inlineStr">
        <is>
          <t>081252637778</t>
        </is>
      </c>
      <c r="D37" t="inlineStr">
        <is>
          <t>Adminhq@dsj.co.id</t>
        </is>
      </c>
      <c r="E37" t="inlineStr">
        <is>
          <t>https://lpjk.pu.go.id/search-badan-usaha-detail/dG85b21XU1grWkwyNnRoLzlsQzBSZz09</t>
        </is>
      </c>
      <c r="F37" t="n">
        <v>1</v>
      </c>
      <c r="G37" t="inlineStr">
        <is>
          <t>BG009</t>
        </is>
      </c>
      <c r="H37" t="inlineStr">
        <is>
          <t>22 September 1982</t>
        </is>
      </c>
      <c r="I37" s="2" t="n">
        <v>46346</v>
      </c>
      <c r="J37" t="inlineStr">
        <is>
          <t>Disetujui</t>
        </is>
      </c>
      <c r="K37" t="n">
        <v>60</v>
      </c>
      <c r="L37" t="inlineStr">
        <is>
          <t>20 November 2026</t>
        </is>
      </c>
      <c r="M37" t="inlineStr">
        <is>
          <t>Konstruksi Gedung Lainnya</t>
        </is>
      </c>
      <c r="N37" t="inlineStr">
        <is>
          <t>K</t>
        </is>
      </c>
      <c r="O37" t="inlineStr">
        <is>
          <t>20231116</t>
        </is>
      </c>
      <c r="P37" t="inlineStr">
        <is>
          <t>Jawa Timur</t>
        </is>
      </c>
      <c r="Q37" t="inlineStr"/>
    </row>
    <row r="38">
      <c r="A38" t="inlineStr">
        <is>
          <t>GARUDA AERO TEKNIK</t>
        </is>
      </c>
      <c r="B38" t="inlineStr">
        <is>
          <t>Kota Bandung</t>
        </is>
      </c>
      <c r="C38" t="inlineStr">
        <is>
          <t>081228825880</t>
        </is>
      </c>
      <c r="D38" t="inlineStr">
        <is>
          <t>ptgarudaaeroteknik@gmail.com</t>
        </is>
      </c>
      <c r="E38" t="inlineStr">
        <is>
          <t>https://lpjk.pu.go.id/search-badan-usaha-detail/VElNRW9ZVFlmYTZrTDdrUHZaTXNYZz09</t>
        </is>
      </c>
      <c r="F38" t="n">
        <v>1</v>
      </c>
      <c r="G38" t="inlineStr">
        <is>
          <t>BG009</t>
        </is>
      </c>
      <c r="H38" t="inlineStr">
        <is>
          <t>6 Oktober 2023</t>
        </is>
      </c>
      <c r="I38" s="2" t="n">
        <v>46346</v>
      </c>
      <c r="J38" t="inlineStr">
        <is>
          <t>Pencabutan</t>
        </is>
      </c>
      <c r="K38" t="n">
        <v>60</v>
      </c>
      <c r="L38" t="inlineStr">
        <is>
          <t>20 November 2026</t>
        </is>
      </c>
      <c r="M38" t="inlineStr">
        <is>
          <t>Konstruksi Gedung Lainnya</t>
        </is>
      </c>
      <c r="N38" t="inlineStr">
        <is>
          <t>K</t>
        </is>
      </c>
      <c r="O38" t="inlineStr">
        <is>
          <t>20231121</t>
        </is>
      </c>
      <c r="P38" t="inlineStr">
        <is>
          <t>Jawa Barat</t>
        </is>
      </c>
      <c r="Q38" t="inlineStr"/>
    </row>
    <row r="39">
      <c r="A39" t="inlineStr">
        <is>
          <t>GEMILANG MERDEKA SUKSES</t>
        </is>
      </c>
      <c r="B39" t="inlineStr">
        <is>
          <t>Kab. Luwu</t>
        </is>
      </c>
      <c r="C39" t="inlineStr">
        <is>
          <t>082210787018</t>
        </is>
      </c>
      <c r="D39" t="inlineStr">
        <is>
          <t>ptgemilangmerdekasukses@gmail.com</t>
        </is>
      </c>
      <c r="E39" t="inlineStr">
        <is>
          <t>https://lpjk.pu.go.id/search-badan-usaha-detail/Qk1Wa21KZkJTK3ZMUjJnODRaVlBsUT09</t>
        </is>
      </c>
      <c r="F39" t="n">
        <v>1</v>
      </c>
      <c r="G39" t="inlineStr">
        <is>
          <t>BG001</t>
        </is>
      </c>
      <c r="H39" t="inlineStr">
        <is>
          <t>27 Maret 2023</t>
        </is>
      </c>
      <c r="I39" s="2" t="n">
        <v>46346</v>
      </c>
      <c r="J39" t="inlineStr">
        <is>
          <t>Disetujui</t>
        </is>
      </c>
      <c r="K39" t="n">
        <v>60</v>
      </c>
      <c r="L39" t="inlineStr">
        <is>
          <t>20 November 2026</t>
        </is>
      </c>
      <c r="M39" t="inlineStr">
        <is>
          <t>Konstruksi Gedung Hunian</t>
        </is>
      </c>
      <c r="N39" t="inlineStr">
        <is>
          <t>K</t>
        </is>
      </c>
      <c r="O39" t="inlineStr">
        <is>
          <t>20231120</t>
        </is>
      </c>
      <c r="P39" t="inlineStr">
        <is>
          <t>Sulawesi Selatan</t>
        </is>
      </c>
      <c r="Q39" t="inlineStr"/>
    </row>
    <row r="40">
      <c r="A40" t="inlineStr">
        <is>
          <t>GLOBAL KALINDA TEKNIKA</t>
        </is>
      </c>
      <c r="B40" t="inlineStr">
        <is>
          <t>Kab. Jember</t>
        </is>
      </c>
      <c r="C40" t="inlineStr">
        <is>
          <t>03158251621</t>
        </is>
      </c>
      <c r="D40" t="inlineStr">
        <is>
          <t>globalkalindateknika@gmail.com</t>
        </is>
      </c>
      <c r="E40" t="inlineStr">
        <is>
          <t>https://lpjk.pu.go.id/search-badan-usaha-detail/RFZjbVgvWEYyOGV4RFZPc0tOdWxzZz09</t>
        </is>
      </c>
      <c r="F40" t="n">
        <v>2</v>
      </c>
      <c r="G40" t="inlineStr">
        <is>
          <t>BG006, BG009</t>
        </is>
      </c>
      <c r="H40" t="inlineStr">
        <is>
          <t>1 Oktober 2010</t>
        </is>
      </c>
      <c r="I40" s="2" t="n">
        <v>46346</v>
      </c>
      <c r="J40" t="inlineStr">
        <is>
          <t>Pembekuan</t>
        </is>
      </c>
      <c r="K40" t="n">
        <v>60</v>
      </c>
      <c r="L40" t="inlineStr">
        <is>
          <t>20 November 2026</t>
        </is>
      </c>
      <c r="M40" t="inlineStr">
        <is>
          <t>Konstruksi Gedung Lainnya, Konstruksi Gedung Pendidikan</t>
        </is>
      </c>
      <c r="N40" t="inlineStr">
        <is>
          <t>M</t>
        </is>
      </c>
      <c r="O40" t="inlineStr">
        <is>
          <t>20231121, 20231127</t>
        </is>
      </c>
      <c r="P40" t="inlineStr">
        <is>
          <t>Jawa Timur</t>
        </is>
      </c>
      <c r="Q40" t="inlineStr"/>
    </row>
    <row r="41">
      <c r="A41" t="inlineStr">
        <is>
          <t>GRAND STARCO WAWENSA</t>
        </is>
      </c>
      <c r="B41" t="inlineStr">
        <is>
          <t>Kota Padang</t>
        </is>
      </c>
      <c r="C41" t="inlineStr">
        <is>
          <t>081266772222</t>
        </is>
      </c>
      <c r="D41" t="inlineStr">
        <is>
          <t>PT.GRANDSTARCO@gmail.com</t>
        </is>
      </c>
      <c r="E41" t="inlineStr">
        <is>
          <t>https://lpjk.pu.go.id/search-badan-usaha-detail/dW9XTzI3R2Q2ODlvd21Zb2NSWi9Edz09</t>
        </is>
      </c>
      <c r="F41" t="n">
        <v>2</v>
      </c>
      <c r="G41" t="inlineStr">
        <is>
          <t>BG002, BG003</t>
        </is>
      </c>
      <c r="H41" t="inlineStr">
        <is>
          <t>21 Januari 2021</t>
        </is>
      </c>
      <c r="I41" s="2" t="n">
        <v>46346</v>
      </c>
      <c r="J41" t="inlineStr">
        <is>
          <t>Disetujui</t>
        </is>
      </c>
      <c r="K41" t="n">
        <v>60</v>
      </c>
      <c r="L41" t="inlineStr">
        <is>
          <t>20 November 2026</t>
        </is>
      </c>
      <c r="M41" t="inlineStr">
        <is>
          <t>Konstruksi Gedung Industri, Konstruksi Gedung Perkantoran</t>
        </is>
      </c>
      <c r="N41" t="inlineStr">
        <is>
          <t>K</t>
        </is>
      </c>
      <c r="O41" t="inlineStr">
        <is>
          <t>20231120, 20231121</t>
        </is>
      </c>
      <c r="P41" t="inlineStr">
        <is>
          <t>Sumatera Barat</t>
        </is>
      </c>
      <c r="Q41" t="inlineStr"/>
    </row>
    <row r="42">
      <c r="A42" t="inlineStr">
        <is>
          <t>GRHA SINAR ABADI</t>
        </is>
      </c>
      <c r="B42" t="inlineStr">
        <is>
          <t>Kota Medan</t>
        </is>
      </c>
      <c r="C42" t="inlineStr">
        <is>
          <t>08126090262</t>
        </is>
      </c>
      <c r="D42" t="inlineStr">
        <is>
          <t>grhasinarabadi.teknik@gmail.com</t>
        </is>
      </c>
      <c r="E42" t="inlineStr">
        <is>
          <t>https://lpjk.pu.go.id/search-badan-usaha-detail/NDNPb0hvRVVtOHNobmZLUjF0ZGwrdz09</t>
        </is>
      </c>
      <c r="F42" t="n">
        <v>1</v>
      </c>
      <c r="G42" t="inlineStr">
        <is>
          <t>PB001</t>
        </is>
      </c>
      <c r="H42" t="inlineStr">
        <is>
          <t>21 Maret 2016</t>
        </is>
      </c>
      <c r="I42" s="2" t="n">
        <v>46346</v>
      </c>
      <c r="J42" t="inlineStr">
        <is>
          <t>Pembekuan</t>
        </is>
      </c>
      <c r="K42" t="n">
        <v>60</v>
      </c>
      <c r="L42" t="inlineStr">
        <is>
          <t>20 November 2026</t>
        </is>
      </c>
      <c r="M42" t="inlineStr">
        <is>
          <t>Pengerjaan Pemasangan Kaca dan Alumunium</t>
        </is>
      </c>
      <c r="N42" t="inlineStr">
        <is>
          <t>Spesialis</t>
        </is>
      </c>
      <c r="O42" t="inlineStr">
        <is>
          <t>20231120</t>
        </is>
      </c>
      <c r="P42" t="inlineStr">
        <is>
          <t>Sumatera Utara</t>
        </is>
      </c>
      <c r="Q42" t="inlineStr"/>
    </row>
    <row r="43">
      <c r="A43" t="inlineStr">
        <is>
          <t>GUNAWAN GUNAWAN DESAIN</t>
        </is>
      </c>
      <c r="B43" t="inlineStr">
        <is>
          <t>Kota Surabaya</t>
        </is>
      </c>
      <c r="C43" t="inlineStr">
        <is>
          <t>03199544091</t>
        </is>
      </c>
      <c r="D43" t="inlineStr">
        <is>
          <t>ptgunawandesain@gmail.com</t>
        </is>
      </c>
      <c r="E43" t="inlineStr">
        <is>
          <t>https://lpjk.pu.go.id/search-badan-usaha-detail/QkQ1eFFkb09ydGozaE9VUGhic3RiZz09</t>
        </is>
      </c>
      <c r="F43" t="n">
        <v>4</v>
      </c>
      <c r="G43" t="inlineStr">
        <is>
          <t>AR002, AR003</t>
        </is>
      </c>
      <c r="H43" t="inlineStr">
        <is>
          <t>21 Juli 2022</t>
        </is>
      </c>
      <c r="I43" s="2" t="n">
        <v>46346</v>
      </c>
      <c r="J43" t="inlineStr">
        <is>
          <t>Disetujui</t>
        </is>
      </c>
      <c r="K43" t="n">
        <v>60</v>
      </c>
      <c r="L43" t="inlineStr">
        <is>
          <t>20 November 2026</t>
        </is>
      </c>
      <c r="M43" t="inlineStr">
        <is>
          <t>Jasa Arsitektural Lainnya, Jasa Desain Interior pada Bangunan Gedung dan Bangunan Sipil</t>
        </is>
      </c>
      <c r="N43" t="inlineStr">
        <is>
          <t>K</t>
        </is>
      </c>
      <c r="O43" t="inlineStr">
        <is>
          <t>20231117</t>
        </is>
      </c>
      <c r="P43" t="inlineStr">
        <is>
          <t>Jawa Timur</t>
        </is>
      </c>
      <c r="Q43" t="inlineStr"/>
    </row>
    <row r="44">
      <c r="A44" t="inlineStr">
        <is>
          <t>GUNUNG BUJANG</t>
        </is>
      </c>
      <c r="B44" t="inlineStr">
        <is>
          <t>Kab. Kerinci</t>
        </is>
      </c>
      <c r="C44" t="inlineStr">
        <is>
          <t>085266567231</t>
        </is>
      </c>
      <c r="D44" t="inlineStr">
        <is>
          <t>cvgunungbujang@gmail.com</t>
        </is>
      </c>
      <c r="E44" t="inlineStr">
        <is>
          <t>https://lpjk.pu.go.id/search-badan-usaha-detail/RkJXMHozYXh2YjNqSlRnTFRWbzNodz09</t>
        </is>
      </c>
      <c r="F44" t="n">
        <v>1</v>
      </c>
      <c r="G44" t="inlineStr">
        <is>
          <t>BG009</t>
        </is>
      </c>
      <c r="H44" t="inlineStr">
        <is>
          <t>16 Oktober 1981</t>
        </is>
      </c>
      <c r="I44" s="2" t="n">
        <v>46346</v>
      </c>
      <c r="J44" t="inlineStr">
        <is>
          <t>Disetujui</t>
        </is>
      </c>
      <c r="K44" t="n">
        <v>60</v>
      </c>
      <c r="L44" t="inlineStr">
        <is>
          <t>20 November 2026</t>
        </is>
      </c>
      <c r="M44" t="inlineStr">
        <is>
          <t>Konstruksi Gedung Lainnya</t>
        </is>
      </c>
      <c r="N44" t="inlineStr">
        <is>
          <t>K</t>
        </is>
      </c>
      <c r="O44" t="inlineStr">
        <is>
          <t>20231110</t>
        </is>
      </c>
      <c r="P44" t="inlineStr">
        <is>
          <t>Jambi</t>
        </is>
      </c>
      <c r="Q44" t="inlineStr"/>
    </row>
    <row r="45">
      <c r="A45" t="inlineStr">
        <is>
          <t>HABIL PUTRA MANDIRI</t>
        </is>
      </c>
      <c r="B45" t="inlineStr">
        <is>
          <t>Kab. Pandeglang</t>
        </is>
      </c>
      <c r="C45" t="inlineStr">
        <is>
          <t>087774446672</t>
        </is>
      </c>
      <c r="D45" t="inlineStr">
        <is>
          <t>habilputramandiri@gmail.com</t>
        </is>
      </c>
      <c r="E45" t="inlineStr">
        <is>
          <t>https://lpjk.pu.go.id/search-badan-usaha-detail/K2sxNHJ1OC9yeEdIak5pK2pKVjl2dz09</t>
        </is>
      </c>
      <c r="F45" t="n">
        <v>1</v>
      </c>
      <c r="G45" t="inlineStr">
        <is>
          <t>BS004</t>
        </is>
      </c>
      <c r="H45" t="inlineStr">
        <is>
          <t>19 Februari 2014</t>
        </is>
      </c>
      <c r="I45" s="2" t="n">
        <v>46346</v>
      </c>
      <c r="J45" t="inlineStr">
        <is>
          <t>Disetujui</t>
        </is>
      </c>
      <c r="K45" t="n">
        <v>60</v>
      </c>
      <c r="L45" t="inlineStr">
        <is>
          <t>20 November 2026</t>
        </is>
      </c>
      <c r="M45" t="inlineStr">
        <is>
          <t>Konstruksi Jaringan Irigasi dan Drainase</t>
        </is>
      </c>
      <c r="N45" t="inlineStr">
        <is>
          <t>K</t>
        </is>
      </c>
      <c r="O45" t="inlineStr">
        <is>
          <t>20231117</t>
        </is>
      </c>
      <c r="P45" t="inlineStr">
        <is>
          <t>Banten</t>
        </is>
      </c>
      <c r="Q45" t="inlineStr"/>
    </row>
    <row r="46">
      <c r="A46" t="inlineStr">
        <is>
          <t>HARTONO MARUNDA SEJAHTERA</t>
        </is>
      </c>
      <c r="B46" t="inlineStr">
        <is>
          <t>Kota Adm. Jakarta Utara</t>
        </is>
      </c>
      <c r="C46" t="inlineStr">
        <is>
          <t>0811800429</t>
        </is>
      </c>
      <c r="D46" t="inlineStr">
        <is>
          <t>pthartamas@gmail.com</t>
        </is>
      </c>
      <c r="E46" t="inlineStr">
        <is>
          <t>https://lpjk.pu.go.id/search-badan-usaha-detail/UkNCNHlsVnRJOVpVR0srVk1VZnhQUT09</t>
        </is>
      </c>
      <c r="F46" t="n">
        <v>1</v>
      </c>
      <c r="G46" t="inlineStr">
        <is>
          <t>BG009</t>
        </is>
      </c>
      <c r="H46" t="inlineStr">
        <is>
          <t>7 September 2012</t>
        </is>
      </c>
      <c r="I46" s="2" t="n">
        <v>46346</v>
      </c>
      <c r="J46" t="inlineStr">
        <is>
          <t>Disetujui</t>
        </is>
      </c>
      <c r="K46" t="n">
        <v>60</v>
      </c>
      <c r="L46" t="inlineStr">
        <is>
          <t>20 November 2026</t>
        </is>
      </c>
      <c r="M46" t="inlineStr">
        <is>
          <t>Konstruksi Gedung Lainnya</t>
        </is>
      </c>
      <c r="N46" t="inlineStr">
        <is>
          <t>M</t>
        </is>
      </c>
      <c r="O46" t="inlineStr">
        <is>
          <t>20231103</t>
        </is>
      </c>
      <c r="P46" t="inlineStr">
        <is>
          <t>DKI Jakarta</t>
        </is>
      </c>
      <c r="Q46" t="inlineStr"/>
    </row>
    <row r="47">
      <c r="A47" t="inlineStr">
        <is>
          <t>HUNIAN NUSA KONSULTAMA</t>
        </is>
      </c>
      <c r="B47" t="inlineStr">
        <is>
          <t>Kota Serang</t>
        </is>
      </c>
      <c r="C47" t="inlineStr">
        <is>
          <t>082116605101</t>
        </is>
      </c>
      <c r="D47" t="inlineStr">
        <is>
          <t>huniannusakonsultama@gmail.com</t>
        </is>
      </c>
      <c r="E47" t="inlineStr">
        <is>
          <t>https://lpjk.pu.go.id/search-badan-usaha-detail/Y3pRMlhpalNOZzR0RVRFM1RBeUVZdz09</t>
        </is>
      </c>
      <c r="F47" t="n">
        <v>3</v>
      </c>
      <c r="G47" t="inlineStr">
        <is>
          <t>RK001, RK002, RK003</t>
        </is>
      </c>
      <c r="H47" t="inlineStr">
        <is>
          <t>9 Oktober 2023</t>
        </is>
      </c>
      <c r="I47" s="2" t="n">
        <v>46346</v>
      </c>
      <c r="J47" t="inlineStr">
        <is>
          <t>Disetujui</t>
        </is>
      </c>
      <c r="K47" t="n">
        <v>60</v>
      </c>
      <c r="L47" t="inlineStr">
        <is>
          <t>20 November 2026</t>
        </is>
      </c>
      <c r="M47" t="inlineStr">
        <is>
          <t>Jasa Rekayasa Konstruksi Bangunan Gedung Hunian dan Non Hunian, Jasa Rekayasa Pekerjaan Teknik Sipil Sumber Daya Air, Jasa Rekayasa Pekerjaan Teknik Sipil Transportasi</t>
        </is>
      </c>
      <c r="N47" t="inlineStr">
        <is>
          <t>K</t>
        </is>
      </c>
      <c r="O47" t="inlineStr">
        <is>
          <t>20231106</t>
        </is>
      </c>
      <c r="P47" t="inlineStr">
        <is>
          <t>Banten</t>
        </is>
      </c>
      <c r="Q47" t="inlineStr"/>
    </row>
    <row r="48">
      <c r="A48" t="inlineStr">
        <is>
          <t>JALA JEKA JOKA</t>
        </is>
      </c>
      <c r="B48" t="inlineStr">
        <is>
          <t>Kab. Gowa</t>
        </is>
      </c>
      <c r="C48" t="inlineStr">
        <is>
          <t>082396627882</t>
        </is>
      </c>
      <c r="D48" t="inlineStr">
        <is>
          <t>jaljekjok@gmail.com</t>
        </is>
      </c>
      <c r="E48" t="inlineStr">
        <is>
          <t>https://lpjk.pu.go.id/search-badan-usaha-detail/eDZJT3AraU11WlZTTk4vQjIzQmEvQT09</t>
        </is>
      </c>
      <c r="F48" t="n">
        <v>1</v>
      </c>
      <c r="G48" t="inlineStr">
        <is>
          <t>BG006</t>
        </is>
      </c>
      <c r="H48" t="inlineStr">
        <is>
          <t>10 Februari 2021</t>
        </is>
      </c>
      <c r="I48" s="2" t="n">
        <v>46346</v>
      </c>
      <c r="J48" t="inlineStr">
        <is>
          <t>Disetujui</t>
        </is>
      </c>
      <c r="K48" t="n">
        <v>60</v>
      </c>
      <c r="L48" t="inlineStr">
        <is>
          <t>20 November 2026</t>
        </is>
      </c>
      <c r="M48" t="inlineStr">
        <is>
          <t>Konstruksi Gedung Pendidikan</t>
        </is>
      </c>
      <c r="N48" t="inlineStr">
        <is>
          <t>K</t>
        </is>
      </c>
      <c r="O48" t="inlineStr">
        <is>
          <t>20231121</t>
        </is>
      </c>
      <c r="P48" t="inlineStr">
        <is>
          <t>Sulawesi Selatan</t>
        </is>
      </c>
      <c r="Q48" t="inlineStr"/>
    </row>
    <row r="49">
      <c r="A49" t="inlineStr">
        <is>
          <t>JATRA NUSA ENERGI</t>
        </is>
      </c>
      <c r="B49" t="inlineStr">
        <is>
          <t>Kab. Bandung Barat</t>
        </is>
      </c>
      <c r="C49" t="inlineStr">
        <is>
          <t>081288603112</t>
        </is>
      </c>
      <c r="D49" t="inlineStr">
        <is>
          <t>jatranusaenergipt@gmail.com</t>
        </is>
      </c>
      <c r="E49" t="inlineStr">
        <is>
          <t>https://lpjk.pu.go.id/search-badan-usaha-detail/eGRuZTE4eHdPMFYvWnliYlZTN2o5Zz09</t>
        </is>
      </c>
      <c r="F49" t="n">
        <v>6</v>
      </c>
      <c r="G49" t="inlineStr">
        <is>
          <t>BG004, BG005, BG006</t>
        </is>
      </c>
      <c r="H49" t="inlineStr">
        <is>
          <t>28 September 2022</t>
        </is>
      </c>
      <c r="I49" s="2" t="n">
        <v>46346</v>
      </c>
      <c r="J49" t="inlineStr">
        <is>
          <t>Pencabutan</t>
        </is>
      </c>
      <c r="K49" t="n">
        <v>60</v>
      </c>
      <c r="L49" t="inlineStr">
        <is>
          <t>20 November 2026</t>
        </is>
      </c>
      <c r="M49" t="inlineStr">
        <is>
          <t>Konstruksi Gedung Kesehatan, Konstruksi Gedung Pendidikan, Konstruksi Gedung Perbelanjaan</t>
        </is>
      </c>
      <c r="N49" t="inlineStr">
        <is>
          <t>K</t>
        </is>
      </c>
      <c r="O49" t="inlineStr">
        <is>
          <t>20231119, 20231121</t>
        </is>
      </c>
      <c r="P49" t="inlineStr">
        <is>
          <t>Jawa Barat</t>
        </is>
      </c>
      <c r="Q49" t="inlineStr"/>
    </row>
    <row r="50">
      <c r="A50" t="inlineStr">
        <is>
          <t>JAYA ABADI ALUMINDO</t>
        </is>
      </c>
      <c r="B50" t="inlineStr">
        <is>
          <t>Kota Adm. Jakarta Selatan</t>
        </is>
      </c>
      <c r="C50" t="inlineStr">
        <is>
          <t>0217235940</t>
        </is>
      </c>
      <c r="D50" t="inlineStr">
        <is>
          <t>pt.jaya_abadi_alumindo@yahoo.co.id</t>
        </is>
      </c>
      <c r="E50" t="inlineStr">
        <is>
          <t>https://lpjk.pu.go.id/search-badan-usaha-detail/WDdjSk1vT1pMZ1B2TFdOR1M1cFd5dz09</t>
        </is>
      </c>
      <c r="F50" t="n">
        <v>1</v>
      </c>
      <c r="G50" t="inlineStr">
        <is>
          <t>BG009</t>
        </is>
      </c>
      <c r="H50" t="inlineStr">
        <is>
          <t>29 Mei 2009</t>
        </is>
      </c>
      <c r="I50" s="2" t="n">
        <v>46346</v>
      </c>
      <c r="J50" t="inlineStr">
        <is>
          <t>Disetujui</t>
        </is>
      </c>
      <c r="K50" t="n">
        <v>60</v>
      </c>
      <c r="L50" t="inlineStr">
        <is>
          <t>20 November 2026</t>
        </is>
      </c>
      <c r="M50" t="inlineStr">
        <is>
          <t>Konstruksi Gedung Lainnya</t>
        </is>
      </c>
      <c r="N50" t="inlineStr">
        <is>
          <t>K</t>
        </is>
      </c>
      <c r="O50" t="inlineStr">
        <is>
          <t>20231115</t>
        </is>
      </c>
      <c r="P50" t="inlineStr">
        <is>
          <t>DKI Jakarta</t>
        </is>
      </c>
      <c r="Q50" t="inlineStr"/>
    </row>
    <row r="51">
      <c r="A51" t="inlineStr">
        <is>
          <t>JAYA MANDIRI</t>
        </is>
      </c>
      <c r="B51" t="inlineStr">
        <is>
          <t>Kota Banjarmasin</t>
        </is>
      </c>
      <c r="C51" t="inlineStr">
        <is>
          <t>08125013434</t>
        </is>
      </c>
      <c r="D51" t="inlineStr">
        <is>
          <t>cvjayamandiri69@gmail.com</t>
        </is>
      </c>
      <c r="E51" t="inlineStr">
        <is>
          <t>https://lpjk.pu.go.id/search-badan-usaha-detail/NGlndnQzYVIvM3pLaWdWbzNXTm12dz09</t>
        </is>
      </c>
      <c r="F51" t="n">
        <v>4</v>
      </c>
      <c r="G51" t="inlineStr">
        <is>
          <t>BG002, BG005, BG006, BG009</t>
        </is>
      </c>
      <c r="H51" t="inlineStr">
        <is>
          <t>6 Januari 2020</t>
        </is>
      </c>
      <c r="I51" s="2" t="n">
        <v>46346</v>
      </c>
      <c r="J51" t="inlineStr">
        <is>
          <t>Pencabutan</t>
        </is>
      </c>
      <c r="K51" t="n">
        <v>60</v>
      </c>
      <c r="L51" t="inlineStr">
        <is>
          <t>20 November 2026</t>
        </is>
      </c>
      <c r="M51" t="inlineStr">
        <is>
          <t>Konstruksi Gedung Kesehatan, Konstruksi Gedung Lainnya, Konstruksi Gedung Pendidikan, Konstruksi Gedung Perkantoran</t>
        </is>
      </c>
      <c r="N51" t="inlineStr">
        <is>
          <t>K</t>
        </is>
      </c>
      <c r="O51" t="inlineStr">
        <is>
          <t>20231120, 20231121</t>
        </is>
      </c>
      <c r="P51" t="inlineStr">
        <is>
          <t>Kalimantan Selatan</t>
        </is>
      </c>
      <c r="Q51" t="inlineStr"/>
    </row>
    <row r="52">
      <c r="A52" t="inlineStr">
        <is>
          <t>JOINT CONSULTANT ENGINEER</t>
        </is>
      </c>
      <c r="B52" t="inlineStr">
        <is>
          <t>Kab. Hulu Sungai Utara</t>
        </is>
      </c>
      <c r="C52" t="inlineStr">
        <is>
          <t>08115533311</t>
        </is>
      </c>
      <c r="D52" t="inlineStr">
        <is>
          <t>joint.ce2023@gmail.com</t>
        </is>
      </c>
      <c r="E52" t="inlineStr">
        <is>
          <t>https://lpjk.pu.go.id/search-badan-usaha-detail/VDZkRnpqVkFTeER6Q2NaYy81MmYzdz09</t>
        </is>
      </c>
      <c r="F52" t="n">
        <v>3</v>
      </c>
      <c r="G52" t="inlineStr">
        <is>
          <t>RK001, RK002, RK003</t>
        </is>
      </c>
      <c r="H52" t="inlineStr">
        <is>
          <t>2 Oktober 2023</t>
        </is>
      </c>
      <c r="I52" s="2" t="n">
        <v>46346</v>
      </c>
      <c r="J52" t="inlineStr">
        <is>
          <t>Disetujui</t>
        </is>
      </c>
      <c r="K52" t="n">
        <v>60</v>
      </c>
      <c r="L52" t="inlineStr">
        <is>
          <t>20 November 2026</t>
        </is>
      </c>
      <c r="M52" t="inlineStr">
        <is>
          <t>Jasa Rekayasa Konstruksi Bangunan Gedung Hunian dan Non Hunian, Jasa Rekayasa Pekerjaan Teknik Sipil Sumber Daya Air, Jasa Rekayasa Pekerjaan Teknik Sipil Transportasi</t>
        </is>
      </c>
      <c r="N52" t="inlineStr">
        <is>
          <t>K</t>
        </is>
      </c>
      <c r="O52" t="inlineStr">
        <is>
          <t>20231113</t>
        </is>
      </c>
      <c r="P52" t="inlineStr">
        <is>
          <t>Kalimantan Selatan</t>
        </is>
      </c>
      <c r="Q52" t="inlineStr"/>
    </row>
    <row r="53">
      <c r="A53" t="inlineStr">
        <is>
          <t>KARTIKA CANDRA</t>
        </is>
      </c>
      <c r="B53" t="inlineStr">
        <is>
          <t>Kab. Jembrana</t>
        </is>
      </c>
      <c r="C53" t="inlineStr">
        <is>
          <t>081999264366</t>
        </is>
      </c>
      <c r="D53" t="inlineStr">
        <is>
          <t>cvkartikacantra@gmail.com</t>
        </is>
      </c>
      <c r="E53" t="inlineStr">
        <is>
          <t>https://lpjk.pu.go.id/search-badan-usaha-detail/NE0rNGdaa0VXZ0cvalcyY1d6VlRZZz09</t>
        </is>
      </c>
      <c r="F53" t="n">
        <v>1</v>
      </c>
      <c r="G53" t="inlineStr">
        <is>
          <t>BG004</t>
        </is>
      </c>
      <c r="H53" t="inlineStr">
        <is>
          <t>9 Maret 2011</t>
        </is>
      </c>
      <c r="I53" s="2" t="n">
        <v>46346</v>
      </c>
      <c r="J53" t="inlineStr">
        <is>
          <t>Disetujui</t>
        </is>
      </c>
      <c r="K53" t="n">
        <v>60</v>
      </c>
      <c r="L53" t="inlineStr">
        <is>
          <t>20 November 2026</t>
        </is>
      </c>
      <c r="M53" t="inlineStr">
        <is>
          <t>Konstruksi Gedung Perbelanjaan</t>
        </is>
      </c>
      <c r="N53" t="inlineStr">
        <is>
          <t>K</t>
        </is>
      </c>
      <c r="O53" t="inlineStr">
        <is>
          <t>20231024</t>
        </is>
      </c>
      <c r="P53" t="inlineStr">
        <is>
          <t>Bali</t>
        </is>
      </c>
      <c r="Q53" t="inlineStr"/>
    </row>
    <row r="54">
      <c r="A54" t="inlineStr">
        <is>
          <t>KARTIKA INPHILEKATAMA PERDANA</t>
        </is>
      </c>
      <c r="B54" t="inlineStr">
        <is>
          <t>Kota Adm. Jakarta Selatan</t>
        </is>
      </c>
      <c r="C54" t="inlineStr">
        <is>
          <t>02183796630</t>
        </is>
      </c>
      <c r="D54" t="inlineStr">
        <is>
          <t>-</t>
        </is>
      </c>
      <c r="E54" t="inlineStr">
        <is>
          <t>https://lpjk.pu.go.id/search-badan-usaha-detail/TWhKQjBKTUNHd3daZXZWQVovdVlXUT09</t>
        </is>
      </c>
      <c r="F54" t="n">
        <v>1</v>
      </c>
      <c r="G54" t="inlineStr">
        <is>
          <t>BS002</t>
        </is>
      </c>
      <c r="H54" t="inlineStr">
        <is>
          <t>7 April 2000</t>
        </is>
      </c>
      <c r="I54" s="2" t="n">
        <v>46346</v>
      </c>
      <c r="J54" t="inlineStr">
        <is>
          <t>Disetujui</t>
        </is>
      </c>
      <c r="K54" t="n">
        <v>60</v>
      </c>
      <c r="L54" t="inlineStr">
        <is>
          <t>20 November 2026</t>
        </is>
      </c>
      <c r="M54" t="inlineStr">
        <is>
          <t>Bangunan Sipil Jembatan, Jalan Layang, Fly Over, dan Underpass</t>
        </is>
      </c>
      <c r="N54" t="inlineStr">
        <is>
          <t>M</t>
        </is>
      </c>
      <c r="O54" t="inlineStr">
        <is>
          <t>20230915</t>
        </is>
      </c>
      <c r="P54" t="inlineStr">
        <is>
          <t>DKI Jakarta</t>
        </is>
      </c>
      <c r="Q54" t="inlineStr"/>
    </row>
    <row r="55">
      <c r="A55" t="inlineStr">
        <is>
          <t>KARYA BERSATU</t>
        </is>
      </c>
      <c r="B55" t="inlineStr">
        <is>
          <t>Kab. Sekadau</t>
        </is>
      </c>
      <c r="C55" t="inlineStr">
        <is>
          <t>085246558552</t>
        </is>
      </c>
      <c r="D55" t="inlineStr">
        <is>
          <t>karyabersatu.cv@gmail.com</t>
        </is>
      </c>
      <c r="E55" t="inlineStr">
        <is>
          <t>https://lpjk.pu.go.id/search-badan-usaha-detail/ODBuR3dDWlVOdzVZbXhHUXNwdkJaUT09</t>
        </is>
      </c>
      <c r="F55" t="n">
        <v>1</v>
      </c>
      <c r="G55" t="inlineStr">
        <is>
          <t>BG009</t>
        </is>
      </c>
      <c r="H55" t="inlineStr">
        <is>
          <t>19 November 2014</t>
        </is>
      </c>
      <c r="I55" s="2" t="n">
        <v>46346</v>
      </c>
      <c r="J55" t="inlineStr">
        <is>
          <t>Disetujui</t>
        </is>
      </c>
      <c r="K55" t="n">
        <v>60</v>
      </c>
      <c r="L55" t="inlineStr">
        <is>
          <t>20 November 2026</t>
        </is>
      </c>
      <c r="M55" t="inlineStr">
        <is>
          <t>Konstruksi Gedung Lainnya</t>
        </is>
      </c>
      <c r="N55" t="inlineStr">
        <is>
          <t>K</t>
        </is>
      </c>
      <c r="O55" t="inlineStr">
        <is>
          <t>20231120</t>
        </is>
      </c>
      <c r="P55" t="inlineStr">
        <is>
          <t>Kalimantan Barat</t>
        </is>
      </c>
      <c r="Q55" t="inlineStr"/>
    </row>
    <row r="56">
      <c r="A56" t="inlineStr">
        <is>
          <t>KARYA DUA PUTRI MANDIRI</t>
        </is>
      </c>
      <c r="B56" t="inlineStr">
        <is>
          <t>Kab. Grobogan</t>
        </is>
      </c>
      <c r="C56" t="inlineStr">
        <is>
          <t>081360200409</t>
        </is>
      </c>
      <c r="D56" t="inlineStr">
        <is>
          <t>cv.karyaduaputrimandiri@gmail.com</t>
        </is>
      </c>
      <c r="E56" t="inlineStr">
        <is>
          <t>https://lpjk.pu.go.id/search-badan-usaha-detail/c3VicWZ3WWRjcWFWQWd6Q3pkSUtKdz09</t>
        </is>
      </c>
      <c r="F56" t="n">
        <v>5</v>
      </c>
      <c r="G56" t="inlineStr">
        <is>
          <t>BG002, BG005, BG006, BS001, BS004</t>
        </is>
      </c>
      <c r="H56" t="inlineStr">
        <is>
          <t>16 Oktober 2023</t>
        </is>
      </c>
      <c r="I56" s="2" t="n">
        <v>46346</v>
      </c>
      <c r="J56" t="inlineStr">
        <is>
          <t>Disetujui</t>
        </is>
      </c>
      <c r="K56" t="n">
        <v>60</v>
      </c>
      <c r="L56" t="inlineStr">
        <is>
          <t>20 November 2026</t>
        </is>
      </c>
      <c r="M56" t="inlineStr">
        <is>
          <t>Konstruksi Bangunan Sipil Jalan, Konstruksi Gedung Kesehatan, Konstruksi Gedung Pendidikan, Konstruksi Gedung Perkantoran, Konstruksi Jaringan Irigasi dan Drainase</t>
        </is>
      </c>
      <c r="N56" t="inlineStr">
        <is>
          <t>K</t>
        </is>
      </c>
      <c r="O56" t="inlineStr">
        <is>
          <t>20231117, 20231121</t>
        </is>
      </c>
      <c r="P56" t="inlineStr">
        <is>
          <t>Jawa Tengah</t>
        </is>
      </c>
      <c r="Q56" t="inlineStr"/>
    </row>
    <row r="57">
      <c r="A57" t="inlineStr">
        <is>
          <t>KARYA PRATAMA UTAMA</t>
        </is>
      </c>
      <c r="B57" t="inlineStr">
        <is>
          <t>Kota Palembang</t>
        </is>
      </c>
      <c r="C57" t="inlineStr">
        <is>
          <t>085268769876</t>
        </is>
      </c>
      <c r="D57" t="inlineStr">
        <is>
          <t>karyapratamautama@gmail.com</t>
        </is>
      </c>
      <c r="E57" t="inlineStr">
        <is>
          <t>https://lpjk.pu.go.id/search-badan-usaha-detail/S2YvUzJlY3A5TTZjYWw3MUlTUjgrQT09</t>
        </is>
      </c>
      <c r="F57" t="n">
        <v>2</v>
      </c>
      <c r="G57" t="inlineStr">
        <is>
          <t>BG006, BS001</t>
        </is>
      </c>
      <c r="H57" t="inlineStr">
        <is>
          <t>15 Desember 2022</t>
        </is>
      </c>
      <c r="I57" s="2" t="n">
        <v>46346</v>
      </c>
      <c r="J57" t="inlineStr">
        <is>
          <t>Disetujui</t>
        </is>
      </c>
      <c r="K57" t="n">
        <v>60</v>
      </c>
      <c r="L57" t="inlineStr">
        <is>
          <t>20 November 2026</t>
        </is>
      </c>
      <c r="M57" t="inlineStr">
        <is>
          <t>Konstruksi Bangunan Sipil Jalan, Konstruksi Gedung Pendidikan</t>
        </is>
      </c>
      <c r="N57" t="inlineStr">
        <is>
          <t>K</t>
        </is>
      </c>
      <c r="O57" t="inlineStr">
        <is>
          <t>20231116</t>
        </is>
      </c>
      <c r="P57" t="inlineStr">
        <is>
          <t>Sumatera Selatan</t>
        </is>
      </c>
      <c r="Q57" t="inlineStr"/>
    </row>
    <row r="58">
      <c r="A58" t="inlineStr">
        <is>
          <t>KRESNA SETIA NEGARA</t>
        </is>
      </c>
      <c r="B58" t="inlineStr">
        <is>
          <t>Kab. Banyumas</t>
        </is>
      </c>
      <c r="C58" t="inlineStr">
        <is>
          <t>081327430883</t>
        </is>
      </c>
      <c r="D58" t="inlineStr">
        <is>
          <t>kresnasetianegara@yahoo.co.id</t>
        </is>
      </c>
      <c r="E58" t="inlineStr">
        <is>
          <t>https://lpjk.pu.go.id/search-badan-usaha-detail/T0Z2dkNWblZ5aHRCejlDOENMVWljUT09</t>
        </is>
      </c>
      <c r="F58" t="n">
        <v>1</v>
      </c>
      <c r="G58" t="inlineStr">
        <is>
          <t>BS001</t>
        </is>
      </c>
      <c r="H58" t="inlineStr"/>
      <c r="I58" s="2" t="n">
        <v>46346</v>
      </c>
      <c r="J58" t="inlineStr">
        <is>
          <t>Disetujui</t>
        </is>
      </c>
      <c r="K58" t="n">
        <v>60</v>
      </c>
      <c r="L58" t="inlineStr">
        <is>
          <t>20 November 2026</t>
        </is>
      </c>
      <c r="M58" t="inlineStr">
        <is>
          <t>Konstruksi Bangunan Sipil Jalan</t>
        </is>
      </c>
      <c r="N58" t="inlineStr">
        <is>
          <t>K</t>
        </is>
      </c>
      <c r="O58" t="inlineStr">
        <is>
          <t>20231116</t>
        </is>
      </c>
      <c r="P58" t="inlineStr">
        <is>
          <t>Jawa Tengah</t>
        </is>
      </c>
      <c r="Q58" t="inlineStr"/>
    </row>
    <row r="59">
      <c r="A59" t="inlineStr">
        <is>
          <t>KURNIAJAYA</t>
        </is>
      </c>
      <c r="B59" t="inlineStr">
        <is>
          <t>Kab. Purworejo</t>
        </is>
      </c>
      <c r="C59" t="inlineStr">
        <is>
          <t>02750321486</t>
        </is>
      </c>
      <c r="D59" t="inlineStr">
        <is>
          <t>cv.kurniajayapurworejo@gmail.com</t>
        </is>
      </c>
      <c r="E59" t="inlineStr">
        <is>
          <t>https://lpjk.pu.go.id/search-badan-usaha-detail/bE11REo2MFZtNGp1cEpPT2hoQVI3UT09</t>
        </is>
      </c>
      <c r="F59" t="n">
        <v>1</v>
      </c>
      <c r="G59" t="inlineStr">
        <is>
          <t>BS002</t>
        </is>
      </c>
      <c r="H59" t="inlineStr">
        <is>
          <t>3 November 1986</t>
        </is>
      </c>
      <c r="I59" s="2" t="n">
        <v>46346</v>
      </c>
      <c r="J59" t="inlineStr">
        <is>
          <t>Disetujui</t>
        </is>
      </c>
      <c r="K59" t="n">
        <v>60</v>
      </c>
      <c r="L59" t="inlineStr">
        <is>
          <t>20 November 2026</t>
        </is>
      </c>
      <c r="M59" t="inlineStr">
        <is>
          <t>Bangunan Sipil Jembatan, Jalan Layang, Fly Over, dan Underpass</t>
        </is>
      </c>
      <c r="N59" t="inlineStr">
        <is>
          <t>K</t>
        </is>
      </c>
      <c r="O59" t="inlineStr">
        <is>
          <t>20231115</t>
        </is>
      </c>
      <c r="P59" t="inlineStr">
        <is>
          <t>Jawa Tengah</t>
        </is>
      </c>
      <c r="Q59" t="inlineStr"/>
    </row>
    <row r="60">
      <c r="A60" t="inlineStr">
        <is>
          <t>MAJU JAYA</t>
        </is>
      </c>
      <c r="B60" t="inlineStr">
        <is>
          <t>Kota Medan</t>
        </is>
      </c>
      <c r="C60" t="inlineStr">
        <is>
          <t>081264787782</t>
        </is>
      </c>
      <c r="D60" t="inlineStr">
        <is>
          <t>cv.majujaya56@gmail.com</t>
        </is>
      </c>
      <c r="E60" t="inlineStr">
        <is>
          <t>https://lpjk.pu.go.id/search-badan-usaha-detail/bWJDdHpxbTZpa0p3bVJweWltbTNOQT09</t>
        </is>
      </c>
      <c r="F60" t="n">
        <v>1</v>
      </c>
      <c r="G60" t="inlineStr">
        <is>
          <t>BS010</t>
        </is>
      </c>
      <c r="H60" t="inlineStr">
        <is>
          <t>25 November 2009</t>
        </is>
      </c>
      <c r="I60" s="2" t="n">
        <v>46346</v>
      </c>
      <c r="J60" t="inlineStr">
        <is>
          <t>Disetujui</t>
        </is>
      </c>
      <c r="K60" t="n">
        <v>60</v>
      </c>
      <c r="L60" t="inlineStr">
        <is>
          <t>20 November 2026</t>
        </is>
      </c>
      <c r="M60" t="inlineStr">
        <is>
          <t>Konstruksi Bangunan Prasarana Sumber Daya Air</t>
        </is>
      </c>
      <c r="N60" t="inlineStr">
        <is>
          <t>K</t>
        </is>
      </c>
      <c r="O60" t="inlineStr">
        <is>
          <t>20231114</t>
        </is>
      </c>
      <c r="P60" t="inlineStr">
        <is>
          <t>Sumatera Utara</t>
        </is>
      </c>
      <c r="Q60" t="inlineStr"/>
    </row>
    <row r="61">
      <c r="A61" t="inlineStr">
        <is>
          <t>MAKMUR MANDIRI</t>
        </is>
      </c>
      <c r="B61" t="inlineStr">
        <is>
          <t>Kab. Tapanuli Utara</t>
        </is>
      </c>
      <c r="C61" t="inlineStr">
        <is>
          <t>081370342223</t>
        </is>
      </c>
      <c r="D61" t="inlineStr">
        <is>
          <t>uudmakmurmandiri@gmail.com</t>
        </is>
      </c>
      <c r="E61" t="inlineStr">
        <is>
          <t>https://lpjk.pu.go.id/search-badan-usaha-detail/aWROWUhXWnNRZ0VZTFBwRnBCUTFCUT09</t>
        </is>
      </c>
      <c r="F61" t="n">
        <v>6</v>
      </c>
      <c r="G61" t="inlineStr">
        <is>
          <t>BG002, BG004, BG005, BG006, BG009, BS001</t>
        </is>
      </c>
      <c r="H61" t="inlineStr">
        <is>
          <t>18 Februari 2020</t>
        </is>
      </c>
      <c r="I61" s="2" t="n">
        <v>46346</v>
      </c>
      <c r="J61" t="inlineStr">
        <is>
          <t>Disetujui</t>
        </is>
      </c>
      <c r="K61" t="n">
        <v>60</v>
      </c>
      <c r="L61" t="inlineStr">
        <is>
          <t>20 November 2026</t>
        </is>
      </c>
      <c r="M61" t="inlineStr">
        <is>
          <t>Konstruksi Bangunan Sipil Jalan, Konstruksi Gedung Kesehatan, Konstruksi Gedung Lainnya, Konstruksi Gedung Pendidikan, Konstruksi Gedung Perbelanjaan, Konstruksi Gedung Perkantoran</t>
        </is>
      </c>
      <c r="N61" t="inlineStr">
        <is>
          <t>K</t>
        </is>
      </c>
      <c r="O61" t="inlineStr">
        <is>
          <t>20231118, 20231119</t>
        </is>
      </c>
      <c r="P61" t="inlineStr">
        <is>
          <t>Sumatera Utara</t>
        </is>
      </c>
      <c r="Q61" t="inlineStr"/>
    </row>
    <row r="62">
      <c r="A62" t="inlineStr">
        <is>
          <t>MEGA CIPTA KONSULTAN</t>
        </is>
      </c>
      <c r="B62" t="inlineStr">
        <is>
          <t>Kota Jambi</t>
        </is>
      </c>
      <c r="C62" t="inlineStr">
        <is>
          <t>081174092828</t>
        </is>
      </c>
      <c r="D62" t="inlineStr">
        <is>
          <t>megacipta2023@yahoo.co.id</t>
        </is>
      </c>
      <c r="E62" t="inlineStr">
        <is>
          <t>https://lpjk.pu.go.id/search-badan-usaha-detail/RnpndHdXUHBCYThYdXlMYzZhZ29YZz09</t>
        </is>
      </c>
      <c r="F62" t="n">
        <v>3</v>
      </c>
      <c r="G62" t="inlineStr">
        <is>
          <t>RK001, RK002, RK003</t>
        </is>
      </c>
      <c r="H62" t="inlineStr">
        <is>
          <t>22 Juni 2012</t>
        </is>
      </c>
      <c r="I62" s="2" t="n">
        <v>46346</v>
      </c>
      <c r="J62" t="inlineStr">
        <is>
          <t>Disetujui</t>
        </is>
      </c>
      <c r="K62" t="n">
        <v>60</v>
      </c>
      <c r="L62" t="inlineStr">
        <is>
          <t>20 November 2026</t>
        </is>
      </c>
      <c r="M62" t="inlineStr">
        <is>
          <t>Jasa Rekayasa Konstruksi Bangunan Gedung Hunian dan Non Hunian, Jasa Rekayasa Pekerjaan Teknik Sipil Sumber Daya Air, Jasa Rekayasa Pekerjaan Teknik Sipil Transportasi</t>
        </is>
      </c>
      <c r="N62" t="inlineStr">
        <is>
          <t>K</t>
        </is>
      </c>
      <c r="O62" t="inlineStr">
        <is>
          <t>20231031</t>
        </is>
      </c>
      <c r="P62" t="inlineStr">
        <is>
          <t>Jambi</t>
        </is>
      </c>
      <c r="Q62" t="inlineStr"/>
    </row>
    <row r="63">
      <c r="A63" t="inlineStr">
        <is>
          <t>MELATI INDAH BINTANG</t>
        </is>
      </c>
      <c r="B63" t="inlineStr">
        <is>
          <t>Kab. Ciamis</t>
        </is>
      </c>
      <c r="C63" t="inlineStr">
        <is>
          <t>081214792662</t>
        </is>
      </c>
      <c r="D63" t="inlineStr">
        <is>
          <t>melatiindahbintang.oss@yahoo.com</t>
        </is>
      </c>
      <c r="E63" t="inlineStr">
        <is>
          <t>https://lpjk.pu.go.id/search-badan-usaha-detail/aFJ1WjZBUENsbzhGOXFDNFlaMnNadz09</t>
        </is>
      </c>
      <c r="F63" t="n">
        <v>5</v>
      </c>
      <c r="G63" t="inlineStr">
        <is>
          <t>BG002, BG003, BG004, BS001, BS002</t>
        </is>
      </c>
      <c r="H63" t="inlineStr">
        <is>
          <t>4 Januari 2021</t>
        </is>
      </c>
      <c r="I63" s="2" t="n">
        <v>46346</v>
      </c>
      <c r="J63" t="inlineStr">
        <is>
          <t>Disetujui</t>
        </is>
      </c>
      <c r="K63" t="n">
        <v>60</v>
      </c>
      <c r="L63" t="inlineStr">
        <is>
          <t>20 November 2026</t>
        </is>
      </c>
      <c r="M63" t="inlineStr">
        <is>
          <t>Bangunan Sipil Jembatan, Jalan Layang, Fly Over, dan Underpass, Konstruksi Bangunan Sipil Jalan, Konstruksi Gedung Industri, Konstruksi Gedung Perbelanjaan, Konstruksi Gedung Perkantoran</t>
        </is>
      </c>
      <c r="N63" t="inlineStr">
        <is>
          <t>K</t>
        </is>
      </c>
      <c r="O63" t="inlineStr">
        <is>
          <t>20231115, 20231116</t>
        </is>
      </c>
      <c r="P63" t="inlineStr">
        <is>
          <t>Jawa Barat</t>
        </is>
      </c>
      <c r="Q63" t="inlineStr"/>
    </row>
    <row r="64">
      <c r="A64" t="inlineStr">
        <is>
          <t>MENARA SUKSES ABADI</t>
        </is>
      </c>
      <c r="B64" t="inlineStr">
        <is>
          <t>Kota Sorong</t>
        </is>
      </c>
      <c r="C64" t="inlineStr">
        <is>
          <t>0951326500</t>
        </is>
      </c>
      <c r="D64" t="inlineStr">
        <is>
          <t>m.suksesabadi@gmail.com</t>
        </is>
      </c>
      <c r="E64" t="inlineStr">
        <is>
          <t>https://lpjk.pu.go.id/search-badan-usaha-detail/TVdyR3U3cUZQdGYrK0hKUHZVVm9VQT09</t>
        </is>
      </c>
      <c r="F64" t="n">
        <v>1</v>
      </c>
      <c r="G64" t="inlineStr">
        <is>
          <t>BS001</t>
        </is>
      </c>
      <c r="H64" t="inlineStr">
        <is>
          <t>6 Mei 2010</t>
        </is>
      </c>
      <c r="I64" s="2" t="n">
        <v>46346</v>
      </c>
      <c r="J64" t="inlineStr">
        <is>
          <t>Disetujui</t>
        </is>
      </c>
      <c r="K64" t="n">
        <v>60</v>
      </c>
      <c r="L64" t="inlineStr">
        <is>
          <t>20 November 2026</t>
        </is>
      </c>
      <c r="M64" t="inlineStr">
        <is>
          <t>Konstruksi Bangunan Sipil Jalan</t>
        </is>
      </c>
      <c r="N64" t="inlineStr">
        <is>
          <t>M</t>
        </is>
      </c>
      <c r="O64" t="inlineStr">
        <is>
          <t>20230919</t>
        </is>
      </c>
      <c r="P64" t="inlineStr">
        <is>
          <t>Papua Barat Daya</t>
        </is>
      </c>
      <c r="Q64" t="inlineStr"/>
    </row>
    <row r="65">
      <c r="A65" t="inlineStr">
        <is>
          <t>MITRA SOLUSI BERKAH</t>
        </is>
      </c>
      <c r="B65" t="inlineStr">
        <is>
          <t>Kota Surabaya</t>
        </is>
      </c>
      <c r="C65" t="inlineStr">
        <is>
          <t>082336238805</t>
        </is>
      </c>
      <c r="D65" t="inlineStr">
        <is>
          <t>cv.mitrasolusiberkah@gmail.com</t>
        </is>
      </c>
      <c r="E65" t="inlineStr">
        <is>
          <t>https://lpjk.pu.go.id/search-badan-usaha-detail/UkY4ZkhURHJDQ0RGRGtPKzNLYXJRZz09</t>
        </is>
      </c>
      <c r="F65" t="n">
        <v>1</v>
      </c>
      <c r="G65" t="inlineStr">
        <is>
          <t>AR002</t>
        </is>
      </c>
      <c r="H65" t="inlineStr">
        <is>
          <t>27 Juli 2016</t>
        </is>
      </c>
      <c r="I65" s="2" t="n">
        <v>46346</v>
      </c>
      <c r="J65" t="inlineStr">
        <is>
          <t>Disetujui</t>
        </is>
      </c>
      <c r="K65" t="n">
        <v>60</v>
      </c>
      <c r="L65" t="inlineStr">
        <is>
          <t>20 November 2026</t>
        </is>
      </c>
      <c r="M65" t="inlineStr">
        <is>
          <t>Jasa Arsitektural Lainnya</t>
        </is>
      </c>
      <c r="N65" t="inlineStr">
        <is>
          <t>K</t>
        </is>
      </c>
      <c r="O65" t="inlineStr">
        <is>
          <t>20231110</t>
        </is>
      </c>
      <c r="P65" t="inlineStr">
        <is>
          <t>Jawa Timur</t>
        </is>
      </c>
      <c r="Q65" t="inlineStr"/>
    </row>
    <row r="66">
      <c r="A66" t="inlineStr">
        <is>
          <t>MULTIKARYA INTERPLAN KONSULTAN</t>
        </is>
      </c>
      <c r="B66" t="inlineStr">
        <is>
          <t>Kota Padang</t>
        </is>
      </c>
      <c r="C66" t="inlineStr">
        <is>
          <t>075140451</t>
        </is>
      </c>
      <c r="D66" t="inlineStr">
        <is>
          <t>pt.multikaryainterplan@gmail.com</t>
        </is>
      </c>
      <c r="E66" t="inlineStr">
        <is>
          <t>https://lpjk.pu.go.id/search-badan-usaha-detail/NitIcWhqYU5ET1VJOGRjbVU1NGV3UT09</t>
        </is>
      </c>
      <c r="F66" t="n">
        <v>14</v>
      </c>
      <c r="G66" t="inlineStr">
        <is>
          <t>AL001, AL002, AL003, AR001, AR002, AR003, RK002</t>
        </is>
      </c>
      <c r="H66" t="inlineStr">
        <is>
          <t>2 Februari 2007</t>
        </is>
      </c>
      <c r="I66" s="2" t="n">
        <v>46346</v>
      </c>
      <c r="J66" t="inlineStr">
        <is>
          <t>Disetujui</t>
        </is>
      </c>
      <c r="K66" t="n">
        <v>60</v>
      </c>
      <c r="L66" t="inlineStr">
        <is>
          <t>20 November 2026</t>
        </is>
      </c>
      <c r="M66" t="inlineStr">
        <is>
          <t>Jasa Arsitektural Bangunan Gedung Hunian dan Non Hunian, Jasa Arsitektural Lainnya, Jasa Desain Interior pada Bangunan Gedung dan Bangunan Sipil, Jasa Pengembangan Pemanfaatan Ruang, Jasa Pengembangan Perkotaan, Jasa Pengembangan Wilayah, Jasa Rekayasa Pekerjaan Teknik Sipil Sumber Daya Air</t>
        </is>
      </c>
      <c r="N66" t="inlineStr">
        <is>
          <t>K</t>
        </is>
      </c>
      <c r="O66" t="inlineStr">
        <is>
          <t>20230911, 20231027, 20231030</t>
        </is>
      </c>
      <c r="P66" t="inlineStr">
        <is>
          <t>Sumatera Barat</t>
        </is>
      </c>
      <c r="Q66" t="inlineStr"/>
    </row>
    <row r="67">
      <c r="A67" t="inlineStr">
        <is>
          <t>NAULITA</t>
        </is>
      </c>
      <c r="B67" t="inlineStr">
        <is>
          <t>Kota Pematangsiantar</t>
        </is>
      </c>
      <c r="C67" t="inlineStr">
        <is>
          <t>81260893450</t>
        </is>
      </c>
      <c r="D67" t="inlineStr">
        <is>
          <t>cvnaulita77@gmail.com</t>
        </is>
      </c>
      <c r="E67" t="inlineStr">
        <is>
          <t>https://lpjk.pu.go.id/search-badan-usaha-detail/cHdLWmROTG5VeVdRR1JMQ3AxUkRpQT09</t>
        </is>
      </c>
      <c r="F67" t="n">
        <v>4</v>
      </c>
      <c r="G67" t="inlineStr">
        <is>
          <t>BG006, BG009, BS001, BS004</t>
        </is>
      </c>
      <c r="H67" t="inlineStr">
        <is>
          <t>26 April 2016</t>
        </is>
      </c>
      <c r="I67" s="2" t="n">
        <v>46346</v>
      </c>
      <c r="J67" t="inlineStr">
        <is>
          <t>Disetujui</t>
        </is>
      </c>
      <c r="K67" t="n">
        <v>60</v>
      </c>
      <c r="L67" t="inlineStr">
        <is>
          <t>20 November 2026</t>
        </is>
      </c>
      <c r="M67" t="inlineStr">
        <is>
          <t>Konstruksi Bangunan Sipil Jalan, Konstruksi Gedung Lainnya, Konstruksi Gedung Pendidikan, Konstruksi Jaringan Irigasi dan Drainase</t>
        </is>
      </c>
      <c r="N67" t="inlineStr">
        <is>
          <t>K</t>
        </is>
      </c>
      <c r="O67" t="inlineStr">
        <is>
          <t>20231116, 20231123</t>
        </is>
      </c>
      <c r="P67" t="inlineStr">
        <is>
          <t>Sumatera Utara</t>
        </is>
      </c>
      <c r="Q67" t="inlineStr"/>
    </row>
    <row r="68">
      <c r="A68" t="inlineStr">
        <is>
          <t>PAGAR BATU LESTARI</t>
        </is>
      </c>
      <c r="B68" t="inlineStr">
        <is>
          <t>Kota Adm. Jakarta Utara</t>
        </is>
      </c>
      <c r="C68" t="inlineStr">
        <is>
          <t>0214406753</t>
        </is>
      </c>
      <c r="D68" t="inlineStr">
        <is>
          <t>pagarbatulestari@yahoo.com</t>
        </is>
      </c>
      <c r="E68" t="inlineStr">
        <is>
          <t>https://lpjk.pu.go.id/search-badan-usaha-detail/NHZuWlYzUElVeXA3OU4xTTcxOThDQT09</t>
        </is>
      </c>
      <c r="F68" t="n">
        <v>5</v>
      </c>
      <c r="G68" t="inlineStr">
        <is>
          <t>BG001, BG002, BG003, BS001, BS010</t>
        </is>
      </c>
      <c r="H68" t="inlineStr">
        <is>
          <t>5 Februari 1988</t>
        </is>
      </c>
      <c r="I68" s="2" t="n">
        <v>46346</v>
      </c>
      <c r="J68" t="inlineStr">
        <is>
          <t>Pembekuan</t>
        </is>
      </c>
      <c r="K68" t="n">
        <v>60</v>
      </c>
      <c r="L68" t="inlineStr">
        <is>
          <t>20 November 2026</t>
        </is>
      </c>
      <c r="M68" t="inlineStr">
        <is>
          <t>Konstruksi Bangunan Prasarana Sumber Daya Air, Konstruksi Bangunan Sipil Jalan, Konstruksi Gedung Hunian, Konstruksi Gedung Industri, Konstruksi Gedung Perkantoran</t>
        </is>
      </c>
      <c r="N68" t="inlineStr">
        <is>
          <t>M</t>
        </is>
      </c>
      <c r="O68" t="inlineStr">
        <is>
          <t>20231106, 20231117</t>
        </is>
      </c>
      <c r="P68" t="inlineStr">
        <is>
          <t>DKI Jakarta</t>
        </is>
      </c>
      <c r="Q68" t="inlineStr"/>
    </row>
    <row r="69">
      <c r="A69" t="inlineStr">
        <is>
          <t>PEGAWAI TELEKOMUNIKASI INDONESIA SEDUDO</t>
        </is>
      </c>
      <c r="B69" t="inlineStr">
        <is>
          <t>Kab. Nganjuk</t>
        </is>
      </c>
      <c r="C69" t="inlineStr">
        <is>
          <t>085104906668</t>
        </is>
      </c>
      <c r="D69" t="inlineStr">
        <is>
          <t>koperasitelkomindonesiasedudo@gmail.com</t>
        </is>
      </c>
      <c r="E69" t="inlineStr">
        <is>
          <t>https://lpjk.pu.go.id/search-badan-usaha-detail/eXhKWVJiREZpOTVLck9QZENOdkFhdz09</t>
        </is>
      </c>
      <c r="F69" t="n">
        <v>1</v>
      </c>
      <c r="G69" t="inlineStr">
        <is>
          <t>BS009</t>
        </is>
      </c>
      <c r="H69" t="inlineStr">
        <is>
          <t>17 April 2023</t>
        </is>
      </c>
      <c r="I69" s="2" t="n">
        <v>46346</v>
      </c>
      <c r="J69" t="inlineStr">
        <is>
          <t>Disetujui</t>
        </is>
      </c>
      <c r="K69" t="n">
        <v>60</v>
      </c>
      <c r="L69" t="inlineStr">
        <is>
          <t>20 November 2026</t>
        </is>
      </c>
      <c r="M69" t="inlineStr">
        <is>
          <t>Konstruksi Sentral Telekomunikasi</t>
        </is>
      </c>
      <c r="N69" t="inlineStr">
        <is>
          <t>K</t>
        </is>
      </c>
      <c r="O69" t="inlineStr">
        <is>
          <t>20231115</t>
        </is>
      </c>
      <c r="P69" t="inlineStr">
        <is>
          <t>Jawa Timur</t>
        </is>
      </c>
      <c r="Q69" t="inlineStr"/>
    </row>
    <row r="70">
      <c r="A70" t="inlineStr">
        <is>
          <t>PELANGI INDONESIA</t>
        </is>
      </c>
      <c r="B70" t="inlineStr">
        <is>
          <t>Kab. Serdang Bedagai</t>
        </is>
      </c>
      <c r="C70" t="inlineStr">
        <is>
          <t>08126432145</t>
        </is>
      </c>
      <c r="D70" t="inlineStr">
        <is>
          <t>pelangiindonesia501@yahoo.co.id</t>
        </is>
      </c>
      <c r="E70" t="inlineStr">
        <is>
          <t>https://lpjk.pu.go.id/search-badan-usaha-detail/OHQxd2NUQXhEdlErWlZpRFNBZ3VXdz09</t>
        </is>
      </c>
      <c r="F70" t="n">
        <v>5</v>
      </c>
      <c r="G70" t="inlineStr">
        <is>
          <t>BG005, BG006, BG009, BS001, BS004</t>
        </is>
      </c>
      <c r="H70" t="inlineStr">
        <is>
          <t>4 Februari 2014</t>
        </is>
      </c>
      <c r="I70" s="2" t="n">
        <v>46346</v>
      </c>
      <c r="J70" t="inlineStr">
        <is>
          <t>Disetujui</t>
        </is>
      </c>
      <c r="K70" t="n">
        <v>60</v>
      </c>
      <c r="L70" t="inlineStr">
        <is>
          <t>20 November 2026</t>
        </is>
      </c>
      <c r="M70" t="inlineStr">
        <is>
          <t>Konstruksi Bangunan Sipil Jalan, Konstruksi Gedung Kesehatan, Konstruksi Gedung Lainnya, Konstruksi Gedung Pendidikan, Konstruksi Jaringan Irigasi dan Drainase</t>
        </is>
      </c>
      <c r="N70" t="inlineStr">
        <is>
          <t>K</t>
        </is>
      </c>
      <c r="O70" t="inlineStr">
        <is>
          <t>20231107, 20231125</t>
        </is>
      </c>
      <c r="P70" t="inlineStr">
        <is>
          <t>Sumatera Utara</t>
        </is>
      </c>
      <c r="Q70" t="inlineStr"/>
    </row>
    <row r="71">
      <c r="A71" t="inlineStr">
        <is>
          <t>PRABU AGUNG SEJAHTERA</t>
        </is>
      </c>
      <c r="B71" t="inlineStr">
        <is>
          <t>Kab. Ogan Komering Ulu</t>
        </is>
      </c>
      <c r="C71" t="inlineStr">
        <is>
          <t>081367386856</t>
        </is>
      </c>
      <c r="D71" t="inlineStr">
        <is>
          <t>prabuagung_sejahtera@yahoo.com</t>
        </is>
      </c>
      <c r="E71" t="inlineStr">
        <is>
          <t>https://lpjk.pu.go.id/search-badan-usaha-detail/ZERJTmVZbFpnbXpEcFNtUWdlUmV2UT09</t>
        </is>
      </c>
      <c r="F71" t="n">
        <v>1</v>
      </c>
      <c r="G71" t="inlineStr">
        <is>
          <t>BG009</t>
        </is>
      </c>
      <c r="H71" t="inlineStr">
        <is>
          <t>7 Agustus 2017</t>
        </is>
      </c>
      <c r="I71" s="2" t="n">
        <v>46346</v>
      </c>
      <c r="J71" t="inlineStr">
        <is>
          <t>Pencabutan</t>
        </is>
      </c>
      <c r="K71" t="n">
        <v>60</v>
      </c>
      <c r="L71" t="inlineStr">
        <is>
          <t>20 November 2026</t>
        </is>
      </c>
      <c r="M71" t="inlineStr">
        <is>
          <t>Konstruksi Gedung Lainnya</t>
        </is>
      </c>
      <c r="N71" t="inlineStr">
        <is>
          <t>K</t>
        </is>
      </c>
      <c r="O71" t="inlineStr">
        <is>
          <t>20231120</t>
        </is>
      </c>
      <c r="P71" t="inlineStr">
        <is>
          <t>Sumatera Selatan</t>
        </is>
      </c>
      <c r="Q71" t="inlineStr"/>
    </row>
    <row r="72">
      <c r="A72" t="inlineStr">
        <is>
          <t>PRATAMA PANCA NUSANTARA</t>
        </is>
      </c>
      <c r="B72" t="inlineStr">
        <is>
          <t>Kota Bandung</t>
        </is>
      </c>
      <c r="C72" t="inlineStr">
        <is>
          <t>0227512120</t>
        </is>
      </c>
      <c r="D72" t="inlineStr">
        <is>
          <t>info@pancanusantara.com</t>
        </is>
      </c>
      <c r="E72" t="inlineStr">
        <is>
          <t>https://lpjk.pu.go.id/search-badan-usaha-detail/czlnSzAyMHJRcGJLY05Xd29zMHJJQT09</t>
        </is>
      </c>
      <c r="F72" t="n">
        <v>1</v>
      </c>
      <c r="G72" t="inlineStr">
        <is>
          <t>BG002</t>
        </is>
      </c>
      <c r="H72" t="inlineStr">
        <is>
          <t>17 Desember 2014</t>
        </is>
      </c>
      <c r="I72" s="2" t="n">
        <v>46346</v>
      </c>
      <c r="J72" t="inlineStr">
        <is>
          <t>Disetujui</t>
        </is>
      </c>
      <c r="K72" t="n">
        <v>60</v>
      </c>
      <c r="L72" t="inlineStr">
        <is>
          <t>20 November 2026</t>
        </is>
      </c>
      <c r="M72" t="inlineStr">
        <is>
          <t>Konstruksi Gedung Perkantoran</t>
        </is>
      </c>
      <c r="N72" t="inlineStr">
        <is>
          <t>K</t>
        </is>
      </c>
      <c r="O72" t="inlineStr">
        <is>
          <t>20231120</t>
        </is>
      </c>
      <c r="P72" t="inlineStr">
        <is>
          <t>Jawa Barat</t>
        </is>
      </c>
      <c r="Q72" t="inlineStr"/>
    </row>
    <row r="73">
      <c r="A73" t="inlineStr">
        <is>
          <t>PULAU BINTAN BESTARI</t>
        </is>
      </c>
      <c r="B73" t="inlineStr">
        <is>
          <t>Kota Tanjung Pinang</t>
        </is>
      </c>
      <c r="C73" t="inlineStr">
        <is>
          <t>081293285559</t>
        </is>
      </c>
      <c r="D73" t="inlineStr">
        <is>
          <t>widyapbb6@gmail.com</t>
        </is>
      </c>
      <c r="E73" t="inlineStr">
        <is>
          <t>https://lpjk.pu.go.id/search-badan-usaha-detail/blNaTXEvcVhjMXNIY3FRRnB2aHJpZz09</t>
        </is>
      </c>
      <c r="F73" t="n">
        <v>1</v>
      </c>
      <c r="G73" t="inlineStr">
        <is>
          <t>BG004</t>
        </is>
      </c>
      <c r="H73" t="inlineStr">
        <is>
          <t>1 Desember 2004</t>
        </is>
      </c>
      <c r="I73" s="2" t="n">
        <v>46346</v>
      </c>
      <c r="J73" t="inlineStr">
        <is>
          <t>Disetujui</t>
        </is>
      </c>
      <c r="K73" t="n">
        <v>60</v>
      </c>
      <c r="L73" t="inlineStr">
        <is>
          <t>20 November 2026</t>
        </is>
      </c>
      <c r="M73" t="inlineStr">
        <is>
          <t>Konstruksi Gedung Perbelanjaan</t>
        </is>
      </c>
      <c r="N73" t="inlineStr">
        <is>
          <t>B</t>
        </is>
      </c>
      <c r="O73" t="inlineStr">
        <is>
          <t>20231117</t>
        </is>
      </c>
      <c r="P73" t="inlineStr">
        <is>
          <t>Kepulauan Riau</t>
        </is>
      </c>
      <c r="Q73" t="inlineStr"/>
    </row>
    <row r="74">
      <c r="A74" t="inlineStr">
        <is>
          <t>PUTRA ELSA MANDIRI</t>
        </is>
      </c>
      <c r="B74" t="inlineStr">
        <is>
          <t>Kota Bukittinggi</t>
        </is>
      </c>
      <c r="C74" t="inlineStr">
        <is>
          <t>08126726779</t>
        </is>
      </c>
      <c r="D74" t="inlineStr">
        <is>
          <t>putra.em@gmail.com</t>
        </is>
      </c>
      <c r="E74" t="inlineStr">
        <is>
          <t>https://lpjk.pu.go.id/search-badan-usaha-detail/VXFWdTEyRkg1N3FXRXhicDNqODFDZz09</t>
        </is>
      </c>
      <c r="F74" t="n">
        <v>4</v>
      </c>
      <c r="G74" t="inlineStr">
        <is>
          <t>BG001, BG002, BG006, BG009</t>
        </is>
      </c>
      <c r="H74" t="inlineStr">
        <is>
          <t>11 September 2002</t>
        </is>
      </c>
      <c r="I74" s="2" t="n">
        <v>46346</v>
      </c>
      <c r="J74" t="inlineStr">
        <is>
          <t>Disetujui</t>
        </is>
      </c>
      <c r="K74" t="n">
        <v>60</v>
      </c>
      <c r="L74" t="inlineStr">
        <is>
          <t>20 November 2026</t>
        </is>
      </c>
      <c r="M74" t="inlineStr">
        <is>
          <t>Konstruksi Gedung Hunian, Konstruksi Gedung Lainnya, Konstruksi Gedung Pendidikan, Konstruksi Gedung Perkantoran</t>
        </is>
      </c>
      <c r="N74" t="inlineStr">
        <is>
          <t>K</t>
        </is>
      </c>
      <c r="O74" t="inlineStr">
        <is>
          <t>20231116, 20231120</t>
        </is>
      </c>
      <c r="P74" t="inlineStr">
        <is>
          <t>Sumatera Barat</t>
        </is>
      </c>
      <c r="Q74" t="inlineStr"/>
    </row>
    <row r="75">
      <c r="A75" t="inlineStr">
        <is>
          <t>PUTRA JAYA TEKNIK</t>
        </is>
      </c>
      <c r="B75" t="inlineStr">
        <is>
          <t>Kota Padang</t>
        </is>
      </c>
      <c r="C75" t="inlineStr">
        <is>
          <t>081166440</t>
        </is>
      </c>
      <c r="D75" t="inlineStr">
        <is>
          <t>admin@pjt.co.id</t>
        </is>
      </c>
      <c r="E75" t="inlineStr">
        <is>
          <t>https://lpjk.pu.go.id/search-badan-usaha-detail/RUI2RlF5MGlTVmUyajJFejQ5dmdyZz09</t>
        </is>
      </c>
      <c r="F75" t="n">
        <v>2</v>
      </c>
      <c r="G75" t="inlineStr">
        <is>
          <t>BG003, BG004</t>
        </is>
      </c>
      <c r="H75" t="inlineStr">
        <is>
          <t>12 November 2008</t>
        </is>
      </c>
      <c r="I75" s="2" t="n">
        <v>46346</v>
      </c>
      <c r="J75" t="inlineStr">
        <is>
          <t>Pencabutan</t>
        </is>
      </c>
      <c r="K75" t="n">
        <v>60</v>
      </c>
      <c r="L75" t="inlineStr">
        <is>
          <t>20 November 2026</t>
        </is>
      </c>
      <c r="M75" t="inlineStr">
        <is>
          <t>Konstruksi Gedung Industri, Konstruksi Gedung Perbelanjaan</t>
        </is>
      </c>
      <c r="N75" t="inlineStr">
        <is>
          <t>K</t>
        </is>
      </c>
      <c r="O75" t="inlineStr">
        <is>
          <t>20231116</t>
        </is>
      </c>
      <c r="P75" t="inlineStr">
        <is>
          <t>Sumatera Barat</t>
        </is>
      </c>
      <c r="Q75" t="inlineStr"/>
    </row>
    <row r="76">
      <c r="A76" t="inlineStr">
        <is>
          <t>PUTRA PALDAS PERMAI</t>
        </is>
      </c>
      <c r="B76" t="inlineStr">
        <is>
          <t>Kab. Banyuasin</t>
        </is>
      </c>
      <c r="C76" t="inlineStr">
        <is>
          <t>081379761492</t>
        </is>
      </c>
      <c r="D76" t="inlineStr">
        <is>
          <t>cv.putrapaldaspermai@yahoo.com</t>
        </is>
      </c>
      <c r="E76" t="inlineStr">
        <is>
          <t>https://lpjk.pu.go.id/search-badan-usaha-detail/K2dTdytNQlVBSW5rUnVGRDlHRkZxZz09</t>
        </is>
      </c>
      <c r="F76" t="n">
        <v>3</v>
      </c>
      <c r="G76" t="inlineStr">
        <is>
          <t>BG009, BS001, BS002</t>
        </is>
      </c>
      <c r="H76" t="inlineStr">
        <is>
          <t>13 April 2022</t>
        </is>
      </c>
      <c r="I76" s="2" t="n">
        <v>46346</v>
      </c>
      <c r="J76" t="inlineStr">
        <is>
          <t>Disetujui</t>
        </is>
      </c>
      <c r="K76" t="n">
        <v>60</v>
      </c>
      <c r="L76" t="inlineStr">
        <is>
          <t>20 November 2026</t>
        </is>
      </c>
      <c r="M76" t="inlineStr">
        <is>
          <t>Bangunan Sipil Jembatan, Jalan Layang, Fly Over, dan Underpass, Konstruksi Bangunan Sipil Jalan, Konstruksi Gedung Lainnya</t>
        </is>
      </c>
      <c r="N76" t="inlineStr">
        <is>
          <t>K</t>
        </is>
      </c>
      <c r="O76" t="inlineStr">
        <is>
          <t>20231120, 20231124</t>
        </is>
      </c>
      <c r="P76" t="inlineStr">
        <is>
          <t>Sumatera Selatan</t>
        </is>
      </c>
      <c r="Q76" t="inlineStr"/>
    </row>
    <row r="77">
      <c r="A77" t="inlineStr">
        <is>
          <t>PUTRA PRIMA PROPERTY</t>
        </is>
      </c>
      <c r="B77" t="inlineStr">
        <is>
          <t>Kota Tarakan</t>
        </is>
      </c>
      <c r="C77" t="inlineStr">
        <is>
          <t>082160998688</t>
        </is>
      </c>
      <c r="D77" t="inlineStr">
        <is>
          <t>ptputraprimaproperty@gmail.com</t>
        </is>
      </c>
      <c r="E77" t="inlineStr">
        <is>
          <t>https://lpjk.pu.go.id/search-badan-usaha-detail/MWdwcVh1NHl2cUc1YUlueUEvQ0p2UT09</t>
        </is>
      </c>
      <c r="F77" t="n">
        <v>1</v>
      </c>
      <c r="G77" t="inlineStr">
        <is>
          <t>BG001</t>
        </is>
      </c>
      <c r="H77" t="inlineStr">
        <is>
          <t>24 Juni 2019</t>
        </is>
      </c>
      <c r="I77" s="2" t="n">
        <v>46346</v>
      </c>
      <c r="J77" t="inlineStr">
        <is>
          <t>Disetujui</t>
        </is>
      </c>
      <c r="K77" t="n">
        <v>60</v>
      </c>
      <c r="L77" t="inlineStr">
        <is>
          <t>20 November 2026</t>
        </is>
      </c>
      <c r="M77" t="inlineStr">
        <is>
          <t>Konstruksi Gedung Hunian</t>
        </is>
      </c>
      <c r="N77" t="inlineStr">
        <is>
          <t>K</t>
        </is>
      </c>
      <c r="O77" t="inlineStr">
        <is>
          <t>20231114</t>
        </is>
      </c>
      <c r="P77" t="inlineStr">
        <is>
          <t>Kalimantan Utara</t>
        </is>
      </c>
      <c r="Q77" t="inlineStr"/>
    </row>
    <row r="78">
      <c r="A78" t="inlineStr">
        <is>
          <t>PUTRA TUNGGAL DESIGN</t>
        </is>
      </c>
      <c r="B78" t="inlineStr">
        <is>
          <t>Kota Makassar</t>
        </is>
      </c>
      <c r="C78" t="inlineStr">
        <is>
          <t>081344017466</t>
        </is>
      </c>
      <c r="D78" t="inlineStr">
        <is>
          <t>putratunggaldesign@gmail.com</t>
        </is>
      </c>
      <c r="E78" t="inlineStr">
        <is>
          <t>https://lpjk.pu.go.id/search-badan-usaha-detail/WDBMYzNMajBkMlM2bzE3enBEV0Jhdz09</t>
        </is>
      </c>
      <c r="F78" t="n">
        <v>3</v>
      </c>
      <c r="G78" t="inlineStr">
        <is>
          <t>AR001, AR002, AR003</t>
        </is>
      </c>
      <c r="H78" t="inlineStr">
        <is>
          <t>11 September 2015</t>
        </is>
      </c>
      <c r="I78" s="2" t="n">
        <v>46346</v>
      </c>
      <c r="J78" t="inlineStr">
        <is>
          <t>Disetujui</t>
        </is>
      </c>
      <c r="K78" t="n">
        <v>60</v>
      </c>
      <c r="L78" t="inlineStr">
        <is>
          <t>20 November 2026</t>
        </is>
      </c>
      <c r="M78" t="inlineStr">
        <is>
          <t>Jasa Arsitektural Bangunan Gedung Hunian dan Non Hunian, Jasa Arsitektural Lainnya, Jasa Desain Interior pada Bangunan Gedung dan Bangunan Sipil</t>
        </is>
      </c>
      <c r="N78" t="inlineStr">
        <is>
          <t>K</t>
        </is>
      </c>
      <c r="O78" t="inlineStr">
        <is>
          <t>20231108</t>
        </is>
      </c>
      <c r="P78" t="inlineStr">
        <is>
          <t>Sulawesi Selatan</t>
        </is>
      </c>
      <c r="Q78" t="inlineStr"/>
    </row>
    <row r="79">
      <c r="A79" t="inlineStr">
        <is>
          <t>RANCANG JAYA DISAIN</t>
        </is>
      </c>
      <c r="B79" t="inlineStr">
        <is>
          <t>Kota Semarang</t>
        </is>
      </c>
      <c r="C79" t="inlineStr">
        <is>
          <t>081327787000</t>
        </is>
      </c>
      <c r="D79" t="inlineStr">
        <is>
          <t>rancangjayadisain@gmail.com</t>
        </is>
      </c>
      <c r="E79" t="inlineStr">
        <is>
          <t>https://lpjk.pu.go.id/search-badan-usaha-detail/VEdTR0VOZ3NCTUhZSFp5WExhbnA0Zz09</t>
        </is>
      </c>
      <c r="F79" t="n">
        <v>4</v>
      </c>
      <c r="G79" t="inlineStr">
        <is>
          <t>RK001, RK002</t>
        </is>
      </c>
      <c r="H79" t="inlineStr">
        <is>
          <t>5 April 2017</t>
        </is>
      </c>
      <c r="I79" s="2" t="n">
        <v>46346</v>
      </c>
      <c r="J79" t="inlineStr">
        <is>
          <t>Disetujui</t>
        </is>
      </c>
      <c r="K79" t="n">
        <v>60</v>
      </c>
      <c r="L79" t="inlineStr">
        <is>
          <t>20 November 2026</t>
        </is>
      </c>
      <c r="M79" t="inlineStr">
        <is>
          <t>Jasa Rekayasa Konstruksi Bangunan Gedung Hunian dan Non Hunian, Jasa Rekayasa Pekerjaan Teknik Sipil Sumber Daya Air</t>
        </is>
      </c>
      <c r="N79" t="inlineStr">
        <is>
          <t>K</t>
        </is>
      </c>
      <c r="O79" t="inlineStr">
        <is>
          <t>20231115</t>
        </is>
      </c>
      <c r="P79" t="inlineStr">
        <is>
          <t>Jawa Tengah</t>
        </is>
      </c>
      <c r="Q79" t="inlineStr"/>
    </row>
    <row r="80">
      <c r="A80" t="inlineStr">
        <is>
          <t>RANGKAI KARSA BERSAMA</t>
        </is>
      </c>
      <c r="B80" t="inlineStr">
        <is>
          <t>Kota Adm. Jakarta Pusat</t>
        </is>
      </c>
      <c r="C80" t="inlineStr">
        <is>
          <t>081283780827</t>
        </is>
      </c>
      <c r="D80" t="inlineStr">
        <is>
          <t>admin@rakascaffold.com</t>
        </is>
      </c>
      <c r="E80" t="inlineStr">
        <is>
          <t>https://lpjk.pu.go.id/search-badan-usaha-detail/OFprREcyQmhSa1FWQUQwMSt4VXJDdz09</t>
        </is>
      </c>
      <c r="F80" t="n">
        <v>1</v>
      </c>
      <c r="G80" t="inlineStr">
        <is>
          <t>BG003</t>
        </is>
      </c>
      <c r="H80" t="inlineStr">
        <is>
          <t>21 Juli 2023</t>
        </is>
      </c>
      <c r="I80" s="2" t="n">
        <v>46346</v>
      </c>
      <c r="J80" t="inlineStr">
        <is>
          <t>Disetujui</t>
        </is>
      </c>
      <c r="K80" t="n">
        <v>60</v>
      </c>
      <c r="L80" t="inlineStr">
        <is>
          <t>20 November 2026</t>
        </is>
      </c>
      <c r="M80" t="inlineStr">
        <is>
          <t>Konstruksi Gedung Industri</t>
        </is>
      </c>
      <c r="N80" t="inlineStr">
        <is>
          <t>K</t>
        </is>
      </c>
      <c r="O80" t="inlineStr">
        <is>
          <t>20231120</t>
        </is>
      </c>
      <c r="P80" t="inlineStr">
        <is>
          <t>DKI Jakarta</t>
        </is>
      </c>
      <c r="Q80" t="inlineStr"/>
    </row>
    <row r="81">
      <c r="A81" t="inlineStr">
        <is>
          <t>RATU ARTHA JASA</t>
        </is>
      </c>
      <c r="B81" t="inlineStr">
        <is>
          <t>Kab. Lampung Tengah</t>
        </is>
      </c>
      <c r="C81" t="inlineStr">
        <is>
          <t>081328677990</t>
        </is>
      </c>
      <c r="D81" t="inlineStr">
        <is>
          <t>ratuarthajasa2017@gmail.com</t>
        </is>
      </c>
      <c r="E81" t="inlineStr">
        <is>
          <t>https://lpjk.pu.go.id/search-badan-usaha-detail/K1VLYzRySjYydEY2QVRjWnJ3L0JGZz09</t>
        </is>
      </c>
      <c r="F81" t="n">
        <v>1</v>
      </c>
      <c r="G81" t="inlineStr">
        <is>
          <t>BS001</t>
        </is>
      </c>
      <c r="H81" t="inlineStr">
        <is>
          <t>11 Juli 2017</t>
        </is>
      </c>
      <c r="I81" s="2" t="n">
        <v>46346</v>
      </c>
      <c r="J81" t="inlineStr">
        <is>
          <t>Disetujui</t>
        </is>
      </c>
      <c r="K81" t="n">
        <v>60</v>
      </c>
      <c r="L81" t="inlineStr">
        <is>
          <t>20 November 2026</t>
        </is>
      </c>
      <c r="M81" t="inlineStr">
        <is>
          <t>Konstruksi Bangunan Sipil Jalan</t>
        </is>
      </c>
      <c r="N81" t="inlineStr">
        <is>
          <t>K</t>
        </is>
      </c>
      <c r="O81" t="inlineStr">
        <is>
          <t>20231116</t>
        </is>
      </c>
      <c r="P81" t="inlineStr">
        <is>
          <t>Lampung</t>
        </is>
      </c>
      <c r="Q81" t="inlineStr"/>
    </row>
    <row r="82">
      <c r="A82" t="inlineStr">
        <is>
          <t>RAYHAN</t>
        </is>
      </c>
      <c r="B82" t="inlineStr">
        <is>
          <t>Kota Padang Sidempuan</t>
        </is>
      </c>
      <c r="C82" t="inlineStr">
        <is>
          <t>081376381245</t>
        </is>
      </c>
      <c r="D82" t="inlineStr">
        <is>
          <t>khaidir_batubara@yahoo.com</t>
        </is>
      </c>
      <c r="E82" t="inlineStr">
        <is>
          <t>https://lpjk.pu.go.id/search-badan-usaha-detail/NmFEWTVsUk95blo1Qml0bUg5bTNmZz09</t>
        </is>
      </c>
      <c r="F82" t="n">
        <v>2</v>
      </c>
      <c r="G82" t="inlineStr">
        <is>
          <t>BS004, BS010</t>
        </is>
      </c>
      <c r="H82" t="inlineStr">
        <is>
          <t>15 November 2014</t>
        </is>
      </c>
      <c r="I82" s="2" t="n">
        <v>46346</v>
      </c>
      <c r="J82" t="inlineStr">
        <is>
          <t>Disetujui</t>
        </is>
      </c>
      <c r="K82" t="n">
        <v>60</v>
      </c>
      <c r="L82" t="inlineStr">
        <is>
          <t>20 November 2026</t>
        </is>
      </c>
      <c r="M82" t="inlineStr">
        <is>
          <t>Konstruksi Bangunan Prasarana Sumber Daya Air, Konstruksi Jaringan Irigasi dan Drainase</t>
        </is>
      </c>
      <c r="N82" t="inlineStr">
        <is>
          <t>K</t>
        </is>
      </c>
      <c r="O82" t="inlineStr">
        <is>
          <t>20231121</t>
        </is>
      </c>
      <c r="P82" t="inlineStr">
        <is>
          <t>Sumatera Utara</t>
        </is>
      </c>
      <c r="Q82" t="inlineStr"/>
    </row>
    <row r="83">
      <c r="A83" t="inlineStr">
        <is>
          <t>RIDO UTAMA</t>
        </is>
      </c>
      <c r="B83" t="inlineStr">
        <is>
          <t>Kab. Majalengka</t>
        </is>
      </c>
      <c r="C83" t="inlineStr">
        <is>
          <t>082130448345</t>
        </is>
      </c>
      <c r="D83" t="inlineStr">
        <is>
          <t>ridoutama135@gmail.com</t>
        </is>
      </c>
      <c r="E83" t="inlineStr">
        <is>
          <t>https://lpjk.pu.go.id/search-badan-usaha-detail/alI1N0NmWkZ4eEZpbStjcklDMHdmZz09</t>
        </is>
      </c>
      <c r="F83" t="n">
        <v>1</v>
      </c>
      <c r="G83" t="inlineStr">
        <is>
          <t>BG009</t>
        </is>
      </c>
      <c r="H83" t="inlineStr">
        <is>
          <t>3 September 2018</t>
        </is>
      </c>
      <c r="I83" s="2" t="n">
        <v>46346</v>
      </c>
      <c r="J83" t="inlineStr">
        <is>
          <t>Disetujui</t>
        </is>
      </c>
      <c r="K83" t="n">
        <v>60</v>
      </c>
      <c r="L83" t="inlineStr">
        <is>
          <t>20 November 2026</t>
        </is>
      </c>
      <c r="M83" t="inlineStr">
        <is>
          <t>Konstruksi Gedung Lainnya</t>
        </is>
      </c>
      <c r="N83" t="inlineStr">
        <is>
          <t>K</t>
        </is>
      </c>
      <c r="O83" t="inlineStr">
        <is>
          <t>20231120</t>
        </is>
      </c>
      <c r="P83" t="inlineStr">
        <is>
          <t>Jawa Barat</t>
        </is>
      </c>
      <c r="Q83" t="inlineStr"/>
    </row>
    <row r="84">
      <c r="A84" t="inlineStr">
        <is>
          <t>ROYALE CIPTA BUTUNI</t>
        </is>
      </c>
      <c r="B84" t="inlineStr">
        <is>
          <t>Kota Bau Bau</t>
        </is>
      </c>
      <c r="C84" t="inlineStr">
        <is>
          <t>085264504872</t>
        </is>
      </c>
      <c r="D84" t="inlineStr">
        <is>
          <t>cvroyaleciptabutuni@yahoo.com</t>
        </is>
      </c>
      <c r="E84" t="inlineStr">
        <is>
          <t>https://lpjk.pu.go.id/search-badan-usaha-detail/Y2c0RlhScS9mTTViTWNQbDJxY0ZYZz09</t>
        </is>
      </c>
      <c r="F84" t="n">
        <v>2</v>
      </c>
      <c r="G84" t="inlineStr">
        <is>
          <t>AR001, RK001</t>
        </is>
      </c>
      <c r="H84" t="inlineStr">
        <is>
          <t>15 April 2009</t>
        </is>
      </c>
      <c r="I84" s="2" t="n">
        <v>46346</v>
      </c>
      <c r="J84" t="inlineStr">
        <is>
          <t>Disetujui</t>
        </is>
      </c>
      <c r="K84" t="n">
        <v>60</v>
      </c>
      <c r="L84" t="inlineStr">
        <is>
          <t>20 November 2026</t>
        </is>
      </c>
      <c r="M84" t="inlineStr">
        <is>
          <t>Jasa Arsitektural Bangunan Gedung Hunian dan Non Hunian, Jasa Rekayasa Konstruksi Bangunan Gedung Hunian dan Non Hunian</t>
        </is>
      </c>
      <c r="N84" t="inlineStr">
        <is>
          <t>K</t>
        </is>
      </c>
      <c r="O84" t="inlineStr">
        <is>
          <t>20231110</t>
        </is>
      </c>
      <c r="P84" t="inlineStr">
        <is>
          <t>Sulawesi Tenggara</t>
        </is>
      </c>
      <c r="Q84" t="inlineStr"/>
    </row>
    <row r="85">
      <c r="A85" t="inlineStr">
        <is>
          <t>RYANDA UTAMA</t>
        </is>
      </c>
      <c r="B85" t="inlineStr">
        <is>
          <t>Kota Sibolga</t>
        </is>
      </c>
      <c r="C85" t="inlineStr">
        <is>
          <t>081370109900</t>
        </is>
      </c>
      <c r="D85" t="inlineStr">
        <is>
          <t>ryandautama1@gmail.com</t>
        </is>
      </c>
      <c r="E85" t="inlineStr">
        <is>
          <t>https://lpjk.pu.go.id/search-badan-usaha-detail/NnZ1Z0JPRHBaK05Ddzd0VDlxZjREQT09</t>
        </is>
      </c>
      <c r="F85" t="n">
        <v>1</v>
      </c>
      <c r="G85" t="inlineStr">
        <is>
          <t>BS001</t>
        </is>
      </c>
      <c r="H85" t="inlineStr">
        <is>
          <t>12 Februari 2007</t>
        </is>
      </c>
      <c r="I85" s="2" t="n">
        <v>46346</v>
      </c>
      <c r="J85" t="inlineStr">
        <is>
          <t>Disetujui</t>
        </is>
      </c>
      <c r="K85" t="n">
        <v>60</v>
      </c>
      <c r="L85" t="inlineStr">
        <is>
          <t>20 November 2026</t>
        </is>
      </c>
      <c r="M85" t="inlineStr">
        <is>
          <t>Konstruksi Bangunan Sipil Jalan</t>
        </is>
      </c>
      <c r="N85" t="inlineStr">
        <is>
          <t>K</t>
        </is>
      </c>
      <c r="O85" t="inlineStr">
        <is>
          <t>20231120</t>
        </is>
      </c>
      <c r="P85" t="inlineStr">
        <is>
          <t>Sumatera Utara</t>
        </is>
      </c>
      <c r="Q85" t="inlineStr"/>
    </row>
    <row r="86">
      <c r="A86" t="inlineStr">
        <is>
          <t>SAFA KILA MANDIRI</t>
        </is>
      </c>
      <c r="B86" t="inlineStr">
        <is>
          <t>Kab. Majalengka</t>
        </is>
      </c>
      <c r="C86" t="inlineStr">
        <is>
          <t>085352220459</t>
        </is>
      </c>
      <c r="D86" t="inlineStr">
        <is>
          <t>safakilamandiricv@gmail.com</t>
        </is>
      </c>
      <c r="E86" t="inlineStr">
        <is>
          <t>https://lpjk.pu.go.id/search-badan-usaha-detail/SnRxbXVBUjhDTFNJREtEbmZsc29CUT09</t>
        </is>
      </c>
      <c r="F86" t="n">
        <v>1</v>
      </c>
      <c r="G86" t="inlineStr">
        <is>
          <t>BS004</t>
        </is>
      </c>
      <c r="H86" t="inlineStr">
        <is>
          <t>1 Agustus 2018</t>
        </is>
      </c>
      <c r="I86" s="2" t="n">
        <v>46346</v>
      </c>
      <c r="J86" t="inlineStr">
        <is>
          <t>Disetujui</t>
        </is>
      </c>
      <c r="K86" t="n">
        <v>60</v>
      </c>
      <c r="L86" t="inlineStr">
        <is>
          <t>20 November 2026</t>
        </is>
      </c>
      <c r="M86" t="inlineStr">
        <is>
          <t>Konstruksi Jaringan Irigasi dan Drainase</t>
        </is>
      </c>
      <c r="N86" t="inlineStr">
        <is>
          <t>K</t>
        </is>
      </c>
      <c r="O86" t="inlineStr">
        <is>
          <t>20231117</t>
        </is>
      </c>
      <c r="P86" t="inlineStr">
        <is>
          <t>Jawa Barat</t>
        </is>
      </c>
      <c r="Q86" t="inlineStr"/>
    </row>
    <row r="87">
      <c r="A87" t="inlineStr">
        <is>
          <t>SAMAH SURYA GEMILANG</t>
        </is>
      </c>
      <c r="B87" t="inlineStr">
        <is>
          <t>Kota Jayapura</t>
        </is>
      </c>
      <c r="C87" t="inlineStr">
        <is>
          <t>-</t>
        </is>
      </c>
      <c r="D87" t="inlineStr">
        <is>
          <t>samahsuryagemilang@gmail.com</t>
        </is>
      </c>
      <c r="E87" t="inlineStr">
        <is>
          <t>https://lpjk.pu.go.id/search-badan-usaha-detail/a2NERGNtMWJVUS9VYWs4dWxBRnpDZz09</t>
        </is>
      </c>
      <c r="F87" t="n">
        <v>1</v>
      </c>
      <c r="G87" t="inlineStr">
        <is>
          <t>BS010</t>
        </is>
      </c>
      <c r="H87" t="inlineStr">
        <is>
          <t>21 September 2023</t>
        </is>
      </c>
      <c r="I87" s="2" t="n">
        <v>46346</v>
      </c>
      <c r="J87" t="inlineStr">
        <is>
          <t>Disetujui</t>
        </is>
      </c>
      <c r="K87" t="n">
        <v>60</v>
      </c>
      <c r="L87" t="inlineStr">
        <is>
          <t>20 November 2026</t>
        </is>
      </c>
      <c r="M87" t="inlineStr">
        <is>
          <t>Konstruksi Bangunan Prasarana Sumber Daya Air</t>
        </is>
      </c>
      <c r="N87" t="inlineStr">
        <is>
          <t>K</t>
        </is>
      </c>
      <c r="O87" t="inlineStr">
        <is>
          <t>20231121</t>
        </is>
      </c>
      <c r="P87" t="inlineStr">
        <is>
          <t>Papua</t>
        </is>
      </c>
      <c r="Q87" t="inlineStr"/>
    </row>
    <row r="88">
      <c r="A88" t="inlineStr">
        <is>
          <t>SAMARIA LESTARI JAYA</t>
        </is>
      </c>
      <c r="B88" t="inlineStr">
        <is>
          <t>Kab. Kapuas Hulu</t>
        </is>
      </c>
      <c r="C88" t="inlineStr">
        <is>
          <t>085750124435</t>
        </is>
      </c>
      <c r="D88" t="inlineStr">
        <is>
          <t>samaria.lj.id@gmail.com</t>
        </is>
      </c>
      <c r="E88" t="inlineStr">
        <is>
          <t>https://lpjk.pu.go.id/search-badan-usaha-detail/cnJLaC9TVDJCMlNTKytyQldpVTd4Zz09</t>
        </is>
      </c>
      <c r="F88" t="n">
        <v>2</v>
      </c>
      <c r="G88" t="inlineStr">
        <is>
          <t>BS001</t>
        </is>
      </c>
      <c r="H88" t="inlineStr">
        <is>
          <t>25 Februari 2021</t>
        </is>
      </c>
      <c r="I88" s="2" t="n">
        <v>46346</v>
      </c>
      <c r="J88" t="inlineStr">
        <is>
          <t>Disetujui</t>
        </is>
      </c>
      <c r="K88" t="n">
        <v>60</v>
      </c>
      <c r="L88" t="inlineStr">
        <is>
          <t>20 November 2026</t>
        </is>
      </c>
      <c r="M88" t="inlineStr">
        <is>
          <t>Konstruksi Bangunan Sipil Jalan</t>
        </is>
      </c>
      <c r="N88" t="inlineStr">
        <is>
          <t>K</t>
        </is>
      </c>
      <c r="O88" t="inlineStr">
        <is>
          <t>20230907</t>
        </is>
      </c>
      <c r="P88" t="inlineStr">
        <is>
          <t>Kalimantan Barat</t>
        </is>
      </c>
      <c r="Q88" t="inlineStr"/>
    </row>
    <row r="89">
      <c r="A89" t="inlineStr">
        <is>
          <t>SAMUDRA BERKAH</t>
        </is>
      </c>
      <c r="B89" t="inlineStr">
        <is>
          <t>Kab. Cilacap</t>
        </is>
      </c>
      <c r="C89" t="inlineStr">
        <is>
          <t>082747875566</t>
        </is>
      </c>
      <c r="D89" t="inlineStr">
        <is>
          <t>cv.samudraberkah82@gmail.com</t>
        </is>
      </c>
      <c r="E89" t="inlineStr">
        <is>
          <t>https://lpjk.pu.go.id/search-badan-usaha-detail/ang3V2pHN3AycUZ3NENBTTVHUU9BQT09</t>
        </is>
      </c>
      <c r="F89" t="n">
        <v>1</v>
      </c>
      <c r="G89" t="inlineStr">
        <is>
          <t>BG009</t>
        </is>
      </c>
      <c r="H89" t="inlineStr">
        <is>
          <t>1 Februari 2016</t>
        </is>
      </c>
      <c r="I89" s="2" t="n">
        <v>46346</v>
      </c>
      <c r="J89" t="inlineStr">
        <is>
          <t>Disetujui</t>
        </is>
      </c>
      <c r="K89" t="n">
        <v>60</v>
      </c>
      <c r="L89" t="inlineStr">
        <is>
          <t>20 November 2026</t>
        </is>
      </c>
      <c r="M89" t="inlineStr">
        <is>
          <t>Konstruksi Gedung Lainnya</t>
        </is>
      </c>
      <c r="N89" t="inlineStr">
        <is>
          <t>K</t>
        </is>
      </c>
      <c r="O89" t="inlineStr">
        <is>
          <t>20231118</t>
        </is>
      </c>
      <c r="P89" t="inlineStr">
        <is>
          <t>Jawa Tengah</t>
        </is>
      </c>
      <c r="Q89" t="inlineStr"/>
    </row>
    <row r="90">
      <c r="A90" t="inlineStr">
        <is>
          <t>SANDIYA KARYA</t>
        </is>
      </c>
      <c r="B90" t="inlineStr">
        <is>
          <t>Kab. Bojonegoro</t>
        </is>
      </c>
      <c r="C90" t="inlineStr">
        <is>
          <t>081228333251</t>
        </is>
      </c>
      <c r="D90" t="inlineStr">
        <is>
          <t>Sandiyakarya@gmail.com</t>
        </is>
      </c>
      <c r="E90" t="inlineStr">
        <is>
          <t>https://lpjk.pu.go.id/search-badan-usaha-detail/T2dvVFYrVTNhZEw0OTYweXFIM3Iydz09</t>
        </is>
      </c>
      <c r="F90" t="n">
        <v>1</v>
      </c>
      <c r="G90" t="inlineStr">
        <is>
          <t>BS004</t>
        </is>
      </c>
      <c r="H90" t="inlineStr">
        <is>
          <t>7 Agustus 2023</t>
        </is>
      </c>
      <c r="I90" s="2" t="n">
        <v>46346</v>
      </c>
      <c r="J90" t="inlineStr">
        <is>
          <t>Disetujui</t>
        </is>
      </c>
      <c r="K90" t="n">
        <v>60</v>
      </c>
      <c r="L90" t="inlineStr">
        <is>
          <t>20 November 2026</t>
        </is>
      </c>
      <c r="M90" t="inlineStr">
        <is>
          <t>Konstruksi Jaringan Irigasi dan Drainase</t>
        </is>
      </c>
      <c r="N90" t="inlineStr">
        <is>
          <t>K</t>
        </is>
      </c>
      <c r="O90" t="inlineStr">
        <is>
          <t>20231117</t>
        </is>
      </c>
      <c r="P90" t="inlineStr">
        <is>
          <t>Jawa Timur</t>
        </is>
      </c>
      <c r="Q90" t="inlineStr"/>
    </row>
    <row r="91">
      <c r="A91" t="inlineStr">
        <is>
          <t>SARIWANGI</t>
        </is>
      </c>
      <c r="B91" t="inlineStr">
        <is>
          <t>Kab. Pangandaran</t>
        </is>
      </c>
      <c r="C91" t="inlineStr">
        <is>
          <t>08121431752</t>
        </is>
      </c>
      <c r="D91" t="inlineStr">
        <is>
          <t>cvsariwangi520@gmail.com</t>
        </is>
      </c>
      <c r="E91" t="inlineStr">
        <is>
          <t>https://lpjk.pu.go.id/search-badan-usaha-detail/RU5OcWFCam5SWFJmN1lPNllVN2Y3dz09</t>
        </is>
      </c>
      <c r="F91" t="n">
        <v>2</v>
      </c>
      <c r="G91" t="inlineStr">
        <is>
          <t>BG006</t>
        </is>
      </c>
      <c r="H91" t="inlineStr">
        <is>
          <t>2 April 1973</t>
        </is>
      </c>
      <c r="I91" s="2" t="n">
        <v>46346</v>
      </c>
      <c r="J91" t="inlineStr">
        <is>
          <t>Disetujui</t>
        </is>
      </c>
      <c r="K91" t="n">
        <v>60</v>
      </c>
      <c r="L91" t="inlineStr">
        <is>
          <t>20 November 2026</t>
        </is>
      </c>
      <c r="M91" t="inlineStr">
        <is>
          <t>Konstruksi Gedung Pendidikan</t>
        </is>
      </c>
      <c r="N91" t="inlineStr">
        <is>
          <t>K</t>
        </is>
      </c>
      <c r="O91" t="inlineStr">
        <is>
          <t>20231113</t>
        </is>
      </c>
      <c r="P91" t="inlineStr">
        <is>
          <t>Jawa Barat</t>
        </is>
      </c>
      <c r="Q91" t="inlineStr"/>
    </row>
    <row r="92">
      <c r="A92" t="inlineStr">
        <is>
          <t>SATRIA PANDU SEMESTA</t>
        </is>
      </c>
      <c r="B92" t="inlineStr">
        <is>
          <t>Kota Semarang</t>
        </is>
      </c>
      <c r="C92" t="inlineStr">
        <is>
          <t>0811299067</t>
        </is>
      </c>
      <c r="D92" t="inlineStr">
        <is>
          <t>satriapandusemestapt@gmail.com</t>
        </is>
      </c>
      <c r="E92" t="inlineStr">
        <is>
          <t>https://lpjk.pu.go.id/search-badan-usaha-detail/cmJrdDhMVkRFQTRBRnNwMHZWWTNBdz09</t>
        </is>
      </c>
      <c r="F92" t="n">
        <v>5</v>
      </c>
      <c r="G92" t="inlineStr">
        <is>
          <t>BG001, BG009, BS001, BS002, BS005</t>
        </is>
      </c>
      <c r="H92" t="inlineStr">
        <is>
          <t>30 Oktober 2023</t>
        </is>
      </c>
      <c r="I92" s="2" t="n">
        <v>46346</v>
      </c>
      <c r="J92" t="inlineStr">
        <is>
          <t>Disetujui</t>
        </is>
      </c>
      <c r="K92" t="n">
        <v>60</v>
      </c>
      <c r="L92" t="inlineStr">
        <is>
          <t>20 November 2026</t>
        </is>
      </c>
      <c r="M92" t="inlineStr">
        <is>
          <t>Bangunan Sipil Jembatan, Jalan Layang, Fly Over, dan Underpass, Konstruksi Bangunan Sipil Jalan, Konstruksi Bangunan Sipil Pengolahan Air Bersih, Konstruksi Gedung Hunian, Konstruksi Gedung Lainnya</t>
        </is>
      </c>
      <c r="N92" t="inlineStr">
        <is>
          <t>K</t>
        </is>
      </c>
      <c r="O92" t="inlineStr">
        <is>
          <t>20231101</t>
        </is>
      </c>
      <c r="P92" t="inlineStr">
        <is>
          <t>Jawa Tengah</t>
        </is>
      </c>
      <c r="Q92" t="inlineStr"/>
    </row>
    <row r="93">
      <c r="A93" t="inlineStr">
        <is>
          <t>SAUDARA KONSTRUKSI INDONESIA</t>
        </is>
      </c>
      <c r="B93" t="inlineStr">
        <is>
          <t>Kota Adm. Jakarta Utara</t>
        </is>
      </c>
      <c r="C93" t="inlineStr">
        <is>
          <t>081347342982</t>
        </is>
      </c>
      <c r="D93" t="inlineStr">
        <is>
          <t>saudarakonstruksiindonesia@gmail.com</t>
        </is>
      </c>
      <c r="E93" t="inlineStr">
        <is>
          <t>https://lpjk.pu.go.id/search-badan-usaha-detail/aW1nZ3A5OHhBcmwvWThUY202T0RhZz09</t>
        </is>
      </c>
      <c r="F93" t="n">
        <v>2</v>
      </c>
      <c r="G93" t="inlineStr">
        <is>
          <t>BG001, BG002</t>
        </is>
      </c>
      <c r="H93" t="inlineStr">
        <is>
          <t>14 September 2023</t>
        </is>
      </c>
      <c r="I93" s="2" t="n">
        <v>46346</v>
      </c>
      <c r="J93" t="inlineStr">
        <is>
          <t>Disetujui</t>
        </is>
      </c>
      <c r="K93" t="n">
        <v>60</v>
      </c>
      <c r="L93" t="inlineStr">
        <is>
          <t>20 November 2026</t>
        </is>
      </c>
      <c r="M93" t="inlineStr">
        <is>
          <t>Konstruksi Gedung Hunian, Konstruksi Gedung Perkantoran</t>
        </is>
      </c>
      <c r="N93" t="inlineStr">
        <is>
          <t>K</t>
        </is>
      </c>
      <c r="O93" t="inlineStr">
        <is>
          <t>20231115, 20231116</t>
        </is>
      </c>
      <c r="P93" t="inlineStr">
        <is>
          <t>DKI Jakarta</t>
        </is>
      </c>
      <c r="Q93" t="inlineStr"/>
    </row>
    <row r="94">
      <c r="A94" t="inlineStr">
        <is>
          <t>SELAMAT LAKSANA</t>
        </is>
      </c>
      <c r="B94" t="inlineStr">
        <is>
          <t>Kab. Cianjur</t>
        </is>
      </c>
      <c r="C94" t="inlineStr">
        <is>
          <t>082117787710</t>
        </is>
      </c>
      <c r="D94" t="inlineStr">
        <is>
          <t>cvselamatlaksana@gmail.com</t>
        </is>
      </c>
      <c r="E94" t="inlineStr">
        <is>
          <t>https://lpjk.pu.go.id/search-badan-usaha-detail/TWxqVVc0NEdjMTdDSmpOOU9MMC9nQT09</t>
        </is>
      </c>
      <c r="F94" t="n">
        <v>1</v>
      </c>
      <c r="G94" t="inlineStr">
        <is>
          <t>BG006</t>
        </is>
      </c>
      <c r="H94" t="inlineStr">
        <is>
          <t>22 Juni 2012</t>
        </is>
      </c>
      <c r="I94" s="2" t="n">
        <v>46346</v>
      </c>
      <c r="J94" t="inlineStr">
        <is>
          <t>Disetujui</t>
        </is>
      </c>
      <c r="K94" t="n">
        <v>60</v>
      </c>
      <c r="L94" t="inlineStr">
        <is>
          <t>20 November 2026</t>
        </is>
      </c>
      <c r="M94" t="inlineStr">
        <is>
          <t>Konstruksi Gedung Pendidikan</t>
        </is>
      </c>
      <c r="N94" t="inlineStr">
        <is>
          <t>K</t>
        </is>
      </c>
      <c r="O94" t="inlineStr">
        <is>
          <t>20231121</t>
        </is>
      </c>
      <c r="P94" t="inlineStr">
        <is>
          <t>Jawa Barat</t>
        </is>
      </c>
      <c r="Q94" t="inlineStr"/>
    </row>
    <row r="95">
      <c r="A95" t="inlineStr">
        <is>
          <t>SETIAWAN BAKTI JAYA</t>
        </is>
      </c>
      <c r="B95" t="inlineStr">
        <is>
          <t>Kota Semarang</t>
        </is>
      </c>
      <c r="C95" t="inlineStr">
        <is>
          <t>0811288570</t>
        </is>
      </c>
      <c r="D95" t="inlineStr">
        <is>
          <t>setiawan.bakti.jaya@gmail.com</t>
        </is>
      </c>
      <c r="E95" t="inlineStr">
        <is>
          <t>https://lpjk.pu.go.id/search-badan-usaha-detail/OVd4enk3eWVkSk0wKy95T0d0MlI0dz09</t>
        </is>
      </c>
      <c r="F95" t="n">
        <v>2</v>
      </c>
      <c r="G95" t="inlineStr">
        <is>
          <t>BG003, BG009</t>
        </is>
      </c>
      <c r="H95" t="inlineStr">
        <is>
          <t>10 November 2010</t>
        </is>
      </c>
      <c r="I95" s="2" t="n">
        <v>46346</v>
      </c>
      <c r="J95" t="inlineStr">
        <is>
          <t>Disetujui</t>
        </is>
      </c>
      <c r="K95" t="n">
        <v>60</v>
      </c>
      <c r="L95" t="inlineStr">
        <is>
          <t>20 November 2026</t>
        </is>
      </c>
      <c r="M95" t="inlineStr">
        <is>
          <t>Konstruksi Gedung Industri, Konstruksi Gedung Lainnya</t>
        </is>
      </c>
      <c r="N95" t="inlineStr">
        <is>
          <t>M</t>
        </is>
      </c>
      <c r="O95" t="inlineStr">
        <is>
          <t>20231114, 20231116</t>
        </is>
      </c>
      <c r="P95" t="inlineStr">
        <is>
          <t>Jawa Tengah</t>
        </is>
      </c>
      <c r="Q95" t="inlineStr"/>
    </row>
    <row r="96">
      <c r="A96" t="inlineStr">
        <is>
          <t>TANGGUH BAJA KONSTRUKSI</t>
        </is>
      </c>
      <c r="B96" t="inlineStr">
        <is>
          <t>Kota Adm. Jakarta Barat</t>
        </is>
      </c>
      <c r="C96" t="inlineStr">
        <is>
          <t>0218631868</t>
        </is>
      </c>
      <c r="D96" t="inlineStr">
        <is>
          <t>legaljakarta888@gmail.com</t>
        </is>
      </c>
      <c r="E96" t="inlineStr">
        <is>
          <t>https://lpjk.pu.go.id/search-badan-usaha-detail/NHE4V0tZL0FkNnNkWkxZNGdUVi9PZz09</t>
        </is>
      </c>
      <c r="F96" t="n">
        <v>1</v>
      </c>
      <c r="G96" t="inlineStr">
        <is>
          <t>IN002</t>
        </is>
      </c>
      <c r="H96" t="inlineStr">
        <is>
          <t>19 Desember 2019</t>
        </is>
      </c>
      <c r="I96" s="2" t="n">
        <v>46346</v>
      </c>
      <c r="J96" t="inlineStr">
        <is>
          <t>Disetujui</t>
        </is>
      </c>
      <c r="K96" t="n">
        <v>60</v>
      </c>
      <c r="L96" t="inlineStr">
        <is>
          <t>20 November 2026</t>
        </is>
      </c>
      <c r="M96" t="inlineStr">
        <is>
          <t>Instalasi Telekomunikasi</t>
        </is>
      </c>
      <c r="N96" t="inlineStr">
        <is>
          <t>Spesialis</t>
        </is>
      </c>
      <c r="O96" t="inlineStr">
        <is>
          <t>20231120</t>
        </is>
      </c>
      <c r="P96" t="inlineStr">
        <is>
          <t>DKI Jakarta</t>
        </is>
      </c>
      <c r="Q96" t="inlineStr"/>
    </row>
    <row r="97">
      <c r="A97" t="inlineStr">
        <is>
          <t>TATA KARYA KONSULTAN</t>
        </is>
      </c>
      <c r="B97" t="inlineStr">
        <is>
          <t>Kota Tangerang</t>
        </is>
      </c>
      <c r="C97" t="inlineStr">
        <is>
          <t>081294632437</t>
        </is>
      </c>
      <c r="D97" t="inlineStr">
        <is>
          <t>tatakaryakonsultan@gmail.com</t>
        </is>
      </c>
      <c r="E97" t="inlineStr">
        <is>
          <t>https://lpjk.pu.go.id/search-badan-usaha-detail/MWxJdHQ1cW1FeE00ZStFcjhBRm5Edz09</t>
        </is>
      </c>
      <c r="F97" t="n">
        <v>1</v>
      </c>
      <c r="G97" t="inlineStr">
        <is>
          <t>RK003</t>
        </is>
      </c>
      <c r="H97" t="inlineStr">
        <is>
          <t>21 Juli 2023</t>
        </is>
      </c>
      <c r="I97" s="2" t="n">
        <v>46346</v>
      </c>
      <c r="J97" t="inlineStr">
        <is>
          <t>Disetujui</t>
        </is>
      </c>
      <c r="K97" t="n">
        <v>60</v>
      </c>
      <c r="L97" t="inlineStr">
        <is>
          <t>20 November 2026</t>
        </is>
      </c>
      <c r="M97" t="inlineStr">
        <is>
          <t>Jasa Rekayasa Pekerjaan Teknik Sipil Transportasi</t>
        </is>
      </c>
      <c r="N97" t="inlineStr">
        <is>
          <t>K</t>
        </is>
      </c>
      <c r="O97" t="inlineStr">
        <is>
          <t>20231113</t>
        </is>
      </c>
      <c r="P97" t="inlineStr">
        <is>
          <t>Banten</t>
        </is>
      </c>
      <c r="Q97" t="inlineStr"/>
    </row>
    <row r="98">
      <c r="A98" t="inlineStr">
        <is>
          <t>TIGA PUTERA BANGUN PERSADA</t>
        </is>
      </c>
      <c r="B98" t="inlineStr">
        <is>
          <t>Kab. Cianjur</t>
        </is>
      </c>
      <c r="C98" t="inlineStr">
        <is>
          <t>085721546135</t>
        </is>
      </c>
      <c r="D98" t="inlineStr">
        <is>
          <t>cv.tigaputerabangunpersada@gmail.com</t>
        </is>
      </c>
      <c r="E98" t="inlineStr">
        <is>
          <t>https://lpjk.pu.go.id/search-badan-usaha-detail/bERzYlVXeHZpS0Z0YklkamVhcERLZz09</t>
        </is>
      </c>
      <c r="F98" t="n">
        <v>4</v>
      </c>
      <c r="G98" t="inlineStr">
        <is>
          <t>BG006, BG009, BS004, BS010</t>
        </is>
      </c>
      <c r="H98" t="inlineStr">
        <is>
          <t>20 Oktober 2023</t>
        </is>
      </c>
      <c r="I98" s="2" t="n">
        <v>46346</v>
      </c>
      <c r="J98" t="inlineStr">
        <is>
          <t>Pencabutan</t>
        </is>
      </c>
      <c r="K98" t="n">
        <v>60</v>
      </c>
      <c r="L98" t="inlineStr">
        <is>
          <t>20 November 2026</t>
        </is>
      </c>
      <c r="M98" t="inlineStr">
        <is>
          <t>Konstruksi Bangunan Prasarana Sumber Daya Air, Konstruksi Gedung Lainnya, Konstruksi Gedung Pendidikan, Konstruksi Jaringan Irigasi dan Drainase</t>
        </is>
      </c>
      <c r="N98" t="inlineStr">
        <is>
          <t>K</t>
        </is>
      </c>
      <c r="O98" t="inlineStr">
        <is>
          <t>20231120, 20231122</t>
        </is>
      </c>
      <c r="P98" t="inlineStr">
        <is>
          <t>Jawa Barat</t>
        </is>
      </c>
      <c r="Q98" t="inlineStr"/>
    </row>
    <row r="99">
      <c r="A99" t="inlineStr">
        <is>
          <t>TIRTA BERLIAN</t>
        </is>
      </c>
      <c r="B99" t="inlineStr">
        <is>
          <t>Kab. Sumba Timur</t>
        </is>
      </c>
      <c r="C99" t="inlineStr">
        <is>
          <t>08124602125</t>
        </is>
      </c>
      <c r="D99" t="inlineStr">
        <is>
          <t>tirtaberlianwgp@gmail.com</t>
        </is>
      </c>
      <c r="E99" t="inlineStr">
        <is>
          <t>https://lpjk.pu.go.id/search-badan-usaha-detail/eCtCb21OdVZjTi9qUlpxQm5RZGUwQT09</t>
        </is>
      </c>
      <c r="F99" t="n">
        <v>2</v>
      </c>
      <c r="G99" t="inlineStr">
        <is>
          <t>BS001, BS004</t>
        </is>
      </c>
      <c r="H99" t="inlineStr">
        <is>
          <t>14 Oktober 1991</t>
        </is>
      </c>
      <c r="I99" s="2" t="n">
        <v>46346</v>
      </c>
      <c r="J99" t="inlineStr">
        <is>
          <t>Disetujui</t>
        </is>
      </c>
      <c r="K99" t="n">
        <v>60</v>
      </c>
      <c r="L99" t="inlineStr">
        <is>
          <t>20 November 2026</t>
        </is>
      </c>
      <c r="M99" t="inlineStr">
        <is>
          <t>Konstruksi Bangunan Sipil Jalan, Konstruksi Jaringan Irigasi dan Drainase</t>
        </is>
      </c>
      <c r="N99" t="inlineStr">
        <is>
          <t>K</t>
        </is>
      </c>
      <c r="O99" t="inlineStr">
        <is>
          <t>20231120, 20231121</t>
        </is>
      </c>
      <c r="P99" t="inlineStr">
        <is>
          <t>Nusa Tenggara Timur</t>
        </is>
      </c>
      <c r="Q99" t="inlineStr"/>
    </row>
    <row r="100">
      <c r="A100" t="inlineStr">
        <is>
          <t>TRI ANDALAN SERVINDO</t>
        </is>
      </c>
      <c r="B100" t="inlineStr">
        <is>
          <t>Kab. Tangerang</t>
        </is>
      </c>
      <c r="C100" t="inlineStr">
        <is>
          <t>02139703992</t>
        </is>
      </c>
      <c r="D100" t="inlineStr">
        <is>
          <t>hrd@fsd.co.id</t>
        </is>
      </c>
      <c r="E100" t="inlineStr">
        <is>
          <t>https://lpjk.pu.go.id/search-badan-usaha-detail/ZEJKZXFXajI3UzlVL01kanNPRkV1QT09</t>
        </is>
      </c>
      <c r="F100" t="n">
        <v>1</v>
      </c>
      <c r="G100" t="inlineStr">
        <is>
          <t>IN001</t>
        </is>
      </c>
      <c r="H100" t="inlineStr">
        <is>
          <t>22 Juni 2012</t>
        </is>
      </c>
      <c r="I100" s="2" t="n">
        <v>46346</v>
      </c>
      <c r="J100" t="inlineStr">
        <is>
          <t>Pembekuan</t>
        </is>
      </c>
      <c r="K100" t="n">
        <v>60</v>
      </c>
      <c r="L100" t="inlineStr">
        <is>
          <t>20 November 2026</t>
        </is>
      </c>
      <c r="M100" t="inlineStr">
        <is>
          <t>Instalasi Mekanikal</t>
        </is>
      </c>
      <c r="N100" t="inlineStr">
        <is>
          <t>Spesialis</t>
        </is>
      </c>
      <c r="O100" t="inlineStr">
        <is>
          <t>20231120</t>
        </is>
      </c>
      <c r="P100" t="inlineStr">
        <is>
          <t>Banten</t>
        </is>
      </c>
      <c r="Q100" t="inlineStr"/>
    </row>
    <row r="101">
      <c r="A101" t="inlineStr">
        <is>
          <t>TRICON JAYA</t>
        </is>
      </c>
      <c r="B101" t="inlineStr">
        <is>
          <t>Kota Bandung</t>
        </is>
      </c>
      <c r="C101" t="inlineStr">
        <is>
          <t>082129571905</t>
        </is>
      </c>
      <c r="D101" t="inlineStr">
        <is>
          <t>BK37jaya@gmail.com</t>
        </is>
      </c>
      <c r="E101" t="inlineStr">
        <is>
          <t>https://lpjk.pu.go.id/search-badan-usaha-detail/RDJxZWZxZjlVdWJzamdGMURnZHVkZz09</t>
        </is>
      </c>
      <c r="F101" t="n">
        <v>1</v>
      </c>
      <c r="G101" t="inlineStr">
        <is>
          <t>RK002</t>
        </is>
      </c>
      <c r="H101" t="inlineStr">
        <is>
          <t>10 Desember 1975</t>
        </is>
      </c>
      <c r="I101" s="2" t="n">
        <v>46346</v>
      </c>
      <c r="J101" t="inlineStr">
        <is>
          <t>Disetujui</t>
        </is>
      </c>
      <c r="K101" t="n">
        <v>60</v>
      </c>
      <c r="L101" t="inlineStr">
        <is>
          <t>20 November 2026</t>
        </is>
      </c>
      <c r="M101" t="inlineStr">
        <is>
          <t>Jasa Rekayasa Pekerjaan Teknik Sipil Sumber Daya Air</t>
        </is>
      </c>
      <c r="N101" t="inlineStr">
        <is>
          <t>B</t>
        </is>
      </c>
      <c r="O101" t="inlineStr">
        <is>
          <t>20231113</t>
        </is>
      </c>
      <c r="P101" t="inlineStr">
        <is>
          <t>Jawa Barat</t>
        </is>
      </c>
      <c r="Q101" t="inlineStr"/>
    </row>
    <row r="102">
      <c r="A102" t="inlineStr">
        <is>
          <t>VISUALINDO PRESENTAPRIMA</t>
        </is>
      </c>
      <c r="B102" t="inlineStr">
        <is>
          <t>Kota Adm. Jakarta Utara</t>
        </is>
      </c>
      <c r="C102" t="inlineStr">
        <is>
          <t>0216412181</t>
        </is>
      </c>
      <c r="D102" t="inlineStr">
        <is>
          <t>legal@visualindo.com</t>
        </is>
      </c>
      <c r="E102" t="inlineStr">
        <is>
          <t>https://lpjk.pu.go.id/search-badan-usaha-detail/S0wwdW5ENXliMm9vSE1DOXN2QVhZdz09</t>
        </is>
      </c>
      <c r="F102" t="n">
        <v>3</v>
      </c>
      <c r="G102" t="inlineStr">
        <is>
          <t>BS007, IN002, IN006</t>
        </is>
      </c>
      <c r="H102" t="inlineStr">
        <is>
          <t>21 Februari 2000</t>
        </is>
      </c>
      <c r="I102" s="2" t="n">
        <v>46346</v>
      </c>
      <c r="J102" t="inlineStr">
        <is>
          <t>Disetujui</t>
        </is>
      </c>
      <c r="K102" t="n">
        <v>60</v>
      </c>
      <c r="L102" t="inlineStr">
        <is>
          <t>20 November 2026</t>
        </is>
      </c>
      <c r="M102" t="inlineStr">
        <is>
          <t>Instalasi Elektronika, Instalasi Telekomunikasi, Konstruksi Bangunan Sipil Elektrikal</t>
        </is>
      </c>
      <c r="N102" t="inlineStr">
        <is>
          <t>K, Spesialis</t>
        </is>
      </c>
      <c r="O102" t="inlineStr">
        <is>
          <t>20231117</t>
        </is>
      </c>
      <c r="P102" t="inlineStr">
        <is>
          <t>DKI Jakarta</t>
        </is>
      </c>
      <c r="Q102" t="inlineStr"/>
    </row>
    <row r="103">
      <c r="A103" t="inlineStr">
        <is>
          <t>WANGSEJA KONSULTAN</t>
        </is>
      </c>
      <c r="B103" t="inlineStr">
        <is>
          <t>Kota Samarinda</t>
        </is>
      </c>
      <c r="C103" t="inlineStr">
        <is>
          <t>0853-4631-8050</t>
        </is>
      </c>
      <c r="D103" t="inlineStr">
        <is>
          <t>wangsejakonsultan@gmail.com</t>
        </is>
      </c>
      <c r="E103" t="inlineStr">
        <is>
          <t>https://lpjk.pu.go.id/search-badan-usaha-detail/YTBVcVkybTV6d1N6eTZYeXdLNTlLdz09</t>
        </is>
      </c>
      <c r="F103" t="n">
        <v>3</v>
      </c>
      <c r="G103" t="inlineStr">
        <is>
          <t>AR001, AR002, AR003</t>
        </is>
      </c>
      <c r="H103" t="inlineStr">
        <is>
          <t>23 Januari 2020</t>
        </is>
      </c>
      <c r="I103" s="2" t="n">
        <v>46346</v>
      </c>
      <c r="J103" t="inlineStr">
        <is>
          <t>Disetujui</t>
        </is>
      </c>
      <c r="K103" t="n">
        <v>60</v>
      </c>
      <c r="L103" t="inlineStr">
        <is>
          <t>20 November 2026</t>
        </is>
      </c>
      <c r="M103" t="inlineStr">
        <is>
          <t>Jasa Arsitektural Bangunan Gedung Hunian dan Non Hunian, Jasa Arsitektural Lainnya, Jasa Desain Interior pada Bangunan Gedung dan Bangunan Sipil</t>
        </is>
      </c>
      <c r="N103" t="inlineStr">
        <is>
          <t>K</t>
        </is>
      </c>
      <c r="O103" t="inlineStr">
        <is>
          <t>20231109</t>
        </is>
      </c>
      <c r="P103" t="inlineStr">
        <is>
          <t>Kalimantan Timur</t>
        </is>
      </c>
      <c r="Q103" t="inlineStr"/>
    </row>
    <row r="104">
      <c r="A104" t="inlineStr">
        <is>
          <t>WINAKO GRAHA</t>
        </is>
      </c>
      <c r="B104" t="inlineStr">
        <is>
          <t>Kota Banjarbaru</t>
        </is>
      </c>
      <c r="C104" t="inlineStr">
        <is>
          <t>081348048678</t>
        </is>
      </c>
      <c r="D104" t="inlineStr">
        <is>
          <t>winakogh@gmail.com</t>
        </is>
      </c>
      <c r="E104" t="inlineStr">
        <is>
          <t>https://lpjk.pu.go.id/search-badan-usaha-detail/S2VUcTBrVFl5bkNwajlFWWE3TXBCZz09</t>
        </is>
      </c>
      <c r="F104" t="n">
        <v>2</v>
      </c>
      <c r="G104" t="inlineStr">
        <is>
          <t>AR001, AR002</t>
        </is>
      </c>
      <c r="H104" t="inlineStr">
        <is>
          <t>17 November 1999</t>
        </is>
      </c>
      <c r="I104" s="2" t="n">
        <v>46346</v>
      </c>
      <c r="J104" t="inlineStr">
        <is>
          <t>Disetujui</t>
        </is>
      </c>
      <c r="K104" t="n">
        <v>60</v>
      </c>
      <c r="L104" t="inlineStr">
        <is>
          <t>20 November 2026</t>
        </is>
      </c>
      <c r="M104" t="inlineStr">
        <is>
          <t>Jasa Arsitektural Bangunan Gedung Hunian dan Non Hunian, Jasa Arsitektural Lainnya</t>
        </is>
      </c>
      <c r="N104" t="inlineStr">
        <is>
          <t>K</t>
        </is>
      </c>
      <c r="O104" t="inlineStr">
        <is>
          <t>20231114</t>
        </is>
      </c>
      <c r="P104" t="inlineStr">
        <is>
          <t>Kalimantan Selatan</t>
        </is>
      </c>
      <c r="Q104" t="inlineStr"/>
    </row>
    <row r="105">
      <c r="A105" t="inlineStr">
        <is>
          <t>YASUBA DWI PERKASA</t>
        </is>
      </c>
      <c r="B105" t="inlineStr">
        <is>
          <t>Kab. Bandung Barat</t>
        </is>
      </c>
      <c r="C105" t="inlineStr">
        <is>
          <t>081322408207</t>
        </is>
      </c>
      <c r="D105" t="inlineStr">
        <is>
          <t>pt_yasuba@yahoo.com</t>
        </is>
      </c>
      <c r="E105" t="inlineStr">
        <is>
          <t>https://lpjk.pu.go.id/search-badan-usaha-detail/aC9GczhMVXdDTW5BL3pJak1GVlJ0NWVqZnc4OHJVM05HWmtVTVZGNXJnRT0</t>
        </is>
      </c>
      <c r="F105" t="n">
        <v>2</v>
      </c>
      <c r="G105" t="inlineStr">
        <is>
          <t>BS001, BS002</t>
        </is>
      </c>
      <c r="H105" t="inlineStr">
        <is>
          <t>26 Juli 2025</t>
        </is>
      </c>
      <c r="I105" s="2" t="n">
        <v>46346</v>
      </c>
      <c r="J105" t="inlineStr">
        <is>
          <t>Disetujui</t>
        </is>
      </c>
      <c r="K105" t="n">
        <v>60</v>
      </c>
      <c r="L105" t="inlineStr">
        <is>
          <t>20 November 2026</t>
        </is>
      </c>
      <c r="M105" t="inlineStr">
        <is>
          <t>Bangunan Sipil Jembatan, Jalan Layang, Fly Over, dan Underpass, Konstruksi Bangunan Sipil Jalan</t>
        </is>
      </c>
      <c r="N105" t="inlineStr">
        <is>
          <t>M</t>
        </is>
      </c>
      <c r="O105" t="inlineStr">
        <is>
          <t>20231114</t>
        </is>
      </c>
      <c r="P105" t="inlineStr">
        <is>
          <t>Jawa Barat</t>
        </is>
      </c>
      <c r="Q10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7"/>
  <sheetViews>
    <sheetView workbookViewId="0">
      <selection activeCell="A1" sqref="A1"/>
    </sheetView>
  </sheetViews>
  <sheetFormatPr baseColWidth="8" defaultRowHeight="15"/>
  <cols>
    <col width="29" customWidth="1" min="1" max="1"/>
    <col width="27" customWidth="1" min="2" max="2"/>
    <col width="14" customWidth="1" min="3" max="3"/>
    <col width="40" customWidth="1" min="4" max="4"/>
    <col width="50" customWidth="1" min="5" max="5"/>
    <col width="18" customWidth="1" min="6" max="6"/>
    <col width="50" customWidth="1" min="7" max="7"/>
    <col width="20" customWidth="1" min="8" max="8"/>
    <col width="28" customWidth="1" min="9" max="9"/>
    <col width="12" customWidth="1" min="10" max="10"/>
    <col width="11" customWidth="1" min="11" max="11"/>
    <col width="17" customWidth="1" min="12" max="12"/>
    <col width="50" customWidth="1" min="13" max="13"/>
    <col width="13" customWidth="1" min="14" max="14"/>
    <col width="2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BINTANG BEKASI PERKASA</t>
        </is>
      </c>
      <c r="B2" t="inlineStr">
        <is>
          <t>Kota Bekasi</t>
        </is>
      </c>
      <c r="C2" t="inlineStr">
        <is>
          <t>0218821327</t>
        </is>
      </c>
      <c r="D2" t="inlineStr">
        <is>
          <t>bintangbekasiperkasa@gmail.com</t>
        </is>
      </c>
      <c r="E2" t="inlineStr">
        <is>
          <t>https://lpjk.pu.go.id/search-badan-usaha-detail/aENZMXd1TVk2M2c1eGFTbkhIN3hOdz09</t>
        </is>
      </c>
      <c r="F2" t="n">
        <v>2</v>
      </c>
      <c r="G2" t="inlineStr">
        <is>
          <t>BS017</t>
        </is>
      </c>
      <c r="H2" t="inlineStr">
        <is>
          <t>9 September 2020</t>
        </is>
      </c>
      <c r="I2" s="2" t="n">
        <v>46316</v>
      </c>
      <c r="J2" t="inlineStr">
        <is>
          <t>Disetujui</t>
        </is>
      </c>
      <c r="K2" t="n">
        <v>30</v>
      </c>
      <c r="L2" t="inlineStr">
        <is>
          <t>21 Oktober 2026</t>
        </is>
      </c>
      <c r="M2" t="inlineStr">
        <is>
          <t>Konstruksi Bangunan Sipil Lainnya Ytdl</t>
        </is>
      </c>
      <c r="N2" t="inlineStr">
        <is>
          <t>K</t>
        </is>
      </c>
      <c r="O2" t="inlineStr">
        <is>
          <t>20231012</t>
        </is>
      </c>
      <c r="P2" t="inlineStr">
        <is>
          <t>Jawa Barat</t>
        </is>
      </c>
      <c r="Q2" t="inlineStr"/>
    </row>
    <row r="3">
      <c r="A3" t="inlineStr">
        <is>
          <t>CITAMAS TRIA MITRA</t>
        </is>
      </c>
      <c r="B3" t="inlineStr">
        <is>
          <t>Kota Depok</t>
        </is>
      </c>
      <c r="C3" t="inlineStr">
        <is>
          <t>02177806735</t>
        </is>
      </c>
      <c r="D3" t="inlineStr">
        <is>
          <t>irene.citamas@gmail.com</t>
        </is>
      </c>
      <c r="E3" t="inlineStr">
        <is>
          <t>https://lpjk.pu.go.id/search-badan-usaha-detail/RWwrQUJNdEMwc1N6M3BCeUZVRldRQT09</t>
        </is>
      </c>
      <c r="F3" t="n">
        <v>2</v>
      </c>
      <c r="G3" t="inlineStr">
        <is>
          <t>PB004</t>
        </is>
      </c>
      <c r="H3" t="inlineStr">
        <is>
          <t>27 Januari 2015</t>
        </is>
      </c>
      <c r="I3" s="2" t="n">
        <v>46316</v>
      </c>
      <c r="J3" t="inlineStr">
        <is>
          <t>Pembekuan</t>
        </is>
      </c>
      <c r="K3" t="n">
        <v>30</v>
      </c>
      <c r="L3" t="inlineStr">
        <is>
          <t>21 Oktober 2026</t>
        </is>
      </c>
      <c r="M3" t="inlineStr">
        <is>
          <t>Dekorasi Interior</t>
        </is>
      </c>
      <c r="N3" t="inlineStr">
        <is>
          <t>Spesialis</t>
        </is>
      </c>
      <c r="O3" t="inlineStr">
        <is>
          <t>20231017</t>
        </is>
      </c>
      <c r="P3" t="inlineStr">
        <is>
          <t>Jawa Barat</t>
        </is>
      </c>
      <c r="Q3" t="inlineStr"/>
    </row>
    <row r="4">
      <c r="A4" t="inlineStr">
        <is>
          <t>SINAR SUKSES ABADI</t>
        </is>
      </c>
      <c r="B4" t="inlineStr">
        <is>
          <t>Kab. Bogor</t>
        </is>
      </c>
      <c r="C4" t="inlineStr">
        <is>
          <t>082111113293</t>
        </is>
      </c>
      <c r="D4" t="inlineStr">
        <is>
          <t>sinarsuksesabadi7@gmail.com</t>
        </is>
      </c>
      <c r="E4" t="inlineStr">
        <is>
          <t>https://lpjk.pu.go.id/search-badan-usaha-detail/ZWxFcDQwa0lsYjBISWtralNBNGxtQT09</t>
        </is>
      </c>
      <c r="F4" t="n">
        <v>2</v>
      </c>
      <c r="G4" t="inlineStr">
        <is>
          <t>BS001, BS004</t>
        </is>
      </c>
      <c r="H4" t="inlineStr">
        <is>
          <t>21 Maret 2017</t>
        </is>
      </c>
      <c r="I4" s="2" t="n">
        <v>46316</v>
      </c>
      <c r="J4" t="inlineStr">
        <is>
          <t>Pencabutan</t>
        </is>
      </c>
      <c r="K4" t="n">
        <v>30</v>
      </c>
      <c r="L4" t="inlineStr">
        <is>
          <t>21 Oktober 2026</t>
        </is>
      </c>
      <c r="M4" t="inlineStr">
        <is>
          <t>Konstruksi Bangunan Sipil Jalan, Konstruksi Jaringan Irigasi dan Drainase</t>
        </is>
      </c>
      <c r="N4" t="inlineStr">
        <is>
          <t>K</t>
        </is>
      </c>
      <c r="O4" t="inlineStr">
        <is>
          <t>20231020</t>
        </is>
      </c>
      <c r="P4" t="inlineStr">
        <is>
          <t>Jawa Barat</t>
        </is>
      </c>
      <c r="Q4" s="3">
        <f>HYPERLINK("https://wa.me/6282111113293?text=*[Pengingat Masa Berlaku SBU SINAR SUKSES ABADI]*%0A%0AYth. Pimpinan SINAR SUKSES ABADI,%0AMohon izin menginformasikan status SBU Anda:%0A%0A📄 SBU: BS001, BS004%0A📅 Expired: 21 Oktober 2026 (30 Hari Lagi)%0A%0AKami tim PT. ESDEA Assistance Management siap men-support proses perpanjangan segera agar administrasi proyek tidak terhambat%0A%0AApakah boleh saya bantu siapkan estimasi biaya dan waktu pengerjaannya?.", "Hubungi")</f>
        <v/>
      </c>
    </row>
    <row r="5">
      <c r="A5" t="inlineStr">
        <is>
          <t>ADHYA UTAMA KARYA</t>
        </is>
      </c>
      <c r="B5" t="inlineStr">
        <is>
          <t>Kota Adm. Jakarta Selatan</t>
        </is>
      </c>
      <c r="C5" t="inlineStr">
        <is>
          <t>081380090858</t>
        </is>
      </c>
      <c r="D5" t="inlineStr">
        <is>
          <t>pt.adhyautamakarya@gmail.com</t>
        </is>
      </c>
      <c r="E5" t="inlineStr">
        <is>
          <t>https://lpjk.pu.go.id/search-badan-usaha-detail/R042S2kvNkE0aCtOQ3pBaWJmR1pKUT09</t>
        </is>
      </c>
      <c r="F5" t="n">
        <v>2</v>
      </c>
      <c r="G5" t="inlineStr">
        <is>
          <t>BG009</t>
        </is>
      </c>
      <c r="H5" t="inlineStr">
        <is>
          <t>26 Juni 2023</t>
        </is>
      </c>
      <c r="I5" s="2" t="n">
        <v>46316</v>
      </c>
      <c r="J5" t="inlineStr">
        <is>
          <t>Disetujui</t>
        </is>
      </c>
      <c r="K5" t="n">
        <v>30</v>
      </c>
      <c r="L5" t="inlineStr">
        <is>
          <t>21 Oktober 2026</t>
        </is>
      </c>
      <c r="M5" t="inlineStr">
        <is>
          <t>Konstruksi Gedung Lainnya</t>
        </is>
      </c>
      <c r="N5" t="inlineStr">
        <is>
          <t>K</t>
        </is>
      </c>
      <c r="O5" t="inlineStr">
        <is>
          <t>20231021</t>
        </is>
      </c>
      <c r="P5" t="inlineStr">
        <is>
          <t>DKI Jakarta</t>
        </is>
      </c>
      <c r="Q5" t="inlineStr"/>
    </row>
    <row r="6">
      <c r="A6" t="inlineStr">
        <is>
          <t>ANNAFI KARYA</t>
        </is>
      </c>
      <c r="B6" t="inlineStr">
        <is>
          <t>Kab. Kerinci</t>
        </is>
      </c>
      <c r="C6" t="inlineStr">
        <is>
          <t>082250070035</t>
        </is>
      </c>
      <c r="D6" t="inlineStr">
        <is>
          <t>annafikarya@gmail.com</t>
        </is>
      </c>
      <c r="E6" t="inlineStr">
        <is>
          <t>https://lpjk.pu.go.id/search-badan-usaha-detail/eXgwUE5TNXFwOFpYa0M5dGxCVklaZz09</t>
        </is>
      </c>
      <c r="F6" t="n">
        <v>2</v>
      </c>
      <c r="G6" t="inlineStr">
        <is>
          <t>BG006, BS004</t>
        </is>
      </c>
      <c r="H6" t="inlineStr">
        <is>
          <t>26 Mei 2023</t>
        </is>
      </c>
      <c r="I6" s="2" t="n">
        <v>46316</v>
      </c>
      <c r="J6" t="inlineStr">
        <is>
          <t>Pencabutan</t>
        </is>
      </c>
      <c r="K6" t="n">
        <v>30</v>
      </c>
      <c r="L6" t="inlineStr">
        <is>
          <t>21 Oktober 2026</t>
        </is>
      </c>
      <c r="M6" t="inlineStr">
        <is>
          <t>Konstruksi Gedung Pendidikan, Konstruksi Jaringan Irigasi dan Drainase</t>
        </is>
      </c>
      <c r="N6" t="inlineStr">
        <is>
          <t>K</t>
        </is>
      </c>
      <c r="O6" t="inlineStr">
        <is>
          <t>20231006, 20231021</t>
        </is>
      </c>
      <c r="P6" t="inlineStr">
        <is>
          <t>Jambi</t>
        </is>
      </c>
      <c r="Q6" t="inlineStr"/>
    </row>
    <row r="7">
      <c r="A7" t="inlineStr">
        <is>
          <t>ARISKA JAYA</t>
        </is>
      </c>
      <c r="B7" t="inlineStr">
        <is>
          <t>Kota Makassar</t>
        </is>
      </c>
      <c r="C7" t="inlineStr">
        <is>
          <t>081248153344</t>
        </is>
      </c>
      <c r="D7" t="inlineStr">
        <is>
          <t>ariskajaya001@gmail.com</t>
        </is>
      </c>
      <c r="E7" t="inlineStr">
        <is>
          <t>https://lpjk.pu.go.id/search-badan-usaha-detail/eW55dDIxRExoMFc3Sy82ZHRyTXFQdz09</t>
        </is>
      </c>
      <c r="F7" t="n">
        <v>2</v>
      </c>
      <c r="G7" t="inlineStr">
        <is>
          <t>BG001</t>
        </is>
      </c>
      <c r="H7" t="inlineStr">
        <is>
          <t>21 Desember 2011</t>
        </is>
      </c>
      <c r="I7" s="2" t="n">
        <v>46316</v>
      </c>
      <c r="J7" t="inlineStr">
        <is>
          <t>Disetujui</t>
        </is>
      </c>
      <c r="K7" t="n">
        <v>30</v>
      </c>
      <c r="L7" t="inlineStr">
        <is>
          <t>21 Oktober 2026</t>
        </is>
      </c>
      <c r="M7" t="inlineStr">
        <is>
          <t>Konstruksi Gedung Hunian</t>
        </is>
      </c>
      <c r="N7" t="inlineStr">
        <is>
          <t>K</t>
        </is>
      </c>
      <c r="O7" t="inlineStr">
        <is>
          <t>20231016</t>
        </is>
      </c>
      <c r="P7" t="inlineStr">
        <is>
          <t>Sulawesi Selatan</t>
        </is>
      </c>
      <c r="Q7" t="inlineStr"/>
    </row>
    <row r="8">
      <c r="A8" t="inlineStr">
        <is>
          <t>BANGUN MANDIRI</t>
        </is>
      </c>
      <c r="B8" t="inlineStr">
        <is>
          <t>Kab. Bangka Tengah</t>
        </is>
      </c>
      <c r="C8" t="inlineStr">
        <is>
          <t>081273256165</t>
        </is>
      </c>
      <c r="D8" t="inlineStr">
        <is>
          <t>bangunmandiri2011@gmail.com</t>
        </is>
      </c>
      <c r="E8" t="inlineStr">
        <is>
          <t>https://lpjk.pu.go.id/search-badan-usaha-detail/amNMZGVGckVpdXNDaW1PZ2FtVEN4dz09</t>
        </is>
      </c>
      <c r="F8" t="n">
        <v>1</v>
      </c>
      <c r="G8" t="inlineStr">
        <is>
          <t>BS016</t>
        </is>
      </c>
      <c r="H8" t="inlineStr">
        <is>
          <t>17 Agustus 2011</t>
        </is>
      </c>
      <c r="I8" s="2" t="n">
        <v>46316</v>
      </c>
      <c r="J8" t="inlineStr">
        <is>
          <t>Disetujui</t>
        </is>
      </c>
      <c r="K8" t="n">
        <v>30</v>
      </c>
      <c r="L8" t="inlineStr">
        <is>
          <t>21 Oktober 2026</t>
        </is>
      </c>
      <c r="M8" t="inlineStr">
        <is>
          <t>Konstruksi Bangunan Sipil Fasilitas Olah Raga</t>
        </is>
      </c>
      <c r="N8" t="inlineStr">
        <is>
          <t>K</t>
        </is>
      </c>
      <c r="O8" t="inlineStr">
        <is>
          <t>20231021</t>
        </is>
      </c>
      <c r="P8" t="inlineStr">
        <is>
          <t>Kepulauan Bangka Belitung</t>
        </is>
      </c>
      <c r="Q8" t="inlineStr"/>
    </row>
    <row r="9">
      <c r="A9" t="inlineStr">
        <is>
          <t>BUMI GRAHA AGUNG</t>
        </is>
      </c>
      <c r="B9" t="inlineStr">
        <is>
          <t>Kab. Sidoarjo</t>
        </is>
      </c>
      <c r="C9" t="inlineStr">
        <is>
          <t>088231263880</t>
        </is>
      </c>
      <c r="D9" t="inlineStr">
        <is>
          <t>bumigrahaagung@gmail.com</t>
        </is>
      </c>
      <c r="E9" t="inlineStr">
        <is>
          <t>https://lpjk.pu.go.id/search-badan-usaha-detail/bUdENlp5bTRNdWxOU3FWa0w3KzBpUT09</t>
        </is>
      </c>
      <c r="F9" t="n">
        <v>2</v>
      </c>
      <c r="G9" t="inlineStr">
        <is>
          <t>BG001, BS001</t>
        </is>
      </c>
      <c r="H9" t="inlineStr">
        <is>
          <t>29 Januari 2021</t>
        </is>
      </c>
      <c r="I9" s="2" t="n">
        <v>46316</v>
      </c>
      <c r="J9" t="inlineStr">
        <is>
          <t>Disetujui</t>
        </is>
      </c>
      <c r="K9" t="n">
        <v>30</v>
      </c>
      <c r="L9" t="inlineStr">
        <is>
          <t>21 Oktober 2026</t>
        </is>
      </c>
      <c r="M9" t="inlineStr">
        <is>
          <t>Konstruksi Bangunan Sipil Jalan, Konstruksi Gedung Hunian</t>
        </is>
      </c>
      <c r="N9" t="inlineStr">
        <is>
          <t>K</t>
        </is>
      </c>
      <c r="O9" t="inlineStr">
        <is>
          <t>20231019, 20231020</t>
        </is>
      </c>
      <c r="P9" t="inlineStr">
        <is>
          <t>Jawa Timur</t>
        </is>
      </c>
      <c r="Q9" t="inlineStr"/>
    </row>
    <row r="10">
      <c r="A10" t="inlineStr">
        <is>
          <t>CAHAYA BORNEO</t>
        </is>
      </c>
      <c r="B10" t="inlineStr">
        <is>
          <t>Kota Palangkaraya</t>
        </is>
      </c>
      <c r="C10" t="inlineStr">
        <is>
          <t>082350191679</t>
        </is>
      </c>
      <c r="D10" t="inlineStr">
        <is>
          <t>cahayaborneo90@gmail.com</t>
        </is>
      </c>
      <c r="E10" t="inlineStr">
        <is>
          <t>https://lpjk.pu.go.id/search-badan-usaha-detail/d1hFUWJpOUVGZndSM3FId3pydkMvZz09</t>
        </is>
      </c>
      <c r="F10" t="n">
        <v>1</v>
      </c>
      <c r="G10" t="inlineStr">
        <is>
          <t>BG009</t>
        </is>
      </c>
      <c r="H10" t="inlineStr">
        <is>
          <t>5 Desember 2009</t>
        </is>
      </c>
      <c r="I10" s="2" t="n">
        <v>46316</v>
      </c>
      <c r="J10" t="inlineStr">
        <is>
          <t>Pencabutan</t>
        </is>
      </c>
      <c r="K10" t="n">
        <v>30</v>
      </c>
      <c r="L10" t="inlineStr">
        <is>
          <t>21 Oktober 2026</t>
        </is>
      </c>
      <c r="M10" t="inlineStr">
        <is>
          <t>Konstruksi Gedung Lainnya</t>
        </is>
      </c>
      <c r="N10" t="inlineStr">
        <is>
          <t>K</t>
        </is>
      </c>
      <c r="O10" t="inlineStr">
        <is>
          <t>20231021</t>
        </is>
      </c>
      <c r="P10" t="inlineStr">
        <is>
          <t>Kalimantan Tengah</t>
        </is>
      </c>
      <c r="Q10" t="inlineStr"/>
    </row>
    <row r="11">
      <c r="A11" t="inlineStr">
        <is>
          <t>DEVI FARHANA MANDIRI</t>
        </is>
      </c>
      <c r="B11" t="inlineStr">
        <is>
          <t>Kota Makassar</t>
        </is>
      </c>
      <c r="C11" t="inlineStr">
        <is>
          <t>082348062544</t>
        </is>
      </c>
      <c r="D11" t="inlineStr">
        <is>
          <t>pt.devifarhanamandiri@gmail.com</t>
        </is>
      </c>
      <c r="E11" t="inlineStr">
        <is>
          <t>https://lpjk.pu.go.id/search-badan-usaha-detail/T0p5Tkt6V1h1aVVta0NDNnZlZ3M2UT09</t>
        </is>
      </c>
      <c r="F11" t="n">
        <v>4</v>
      </c>
      <c r="G11" t="inlineStr">
        <is>
          <t>BG001, BG006, BS001</t>
        </is>
      </c>
      <c r="H11" t="inlineStr">
        <is>
          <t>21 Oktober 2015</t>
        </is>
      </c>
      <c r="I11" s="2" t="n">
        <v>46316</v>
      </c>
      <c r="J11" t="inlineStr">
        <is>
          <t>Pembekuan</t>
        </is>
      </c>
      <c r="K11" t="n">
        <v>30</v>
      </c>
      <c r="L11" t="inlineStr">
        <is>
          <t>21 Oktober 2026</t>
        </is>
      </c>
      <c r="M11" t="inlineStr">
        <is>
          <t>Konstruksi Bangunan Sipil Jalan, Konstruksi Gedung Hunian, Konstruksi Gedung Pendidikan</t>
        </is>
      </c>
      <c r="N11" t="inlineStr">
        <is>
          <t>M</t>
        </is>
      </c>
      <c r="O11" t="inlineStr">
        <is>
          <t>20230908, 20231015</t>
        </is>
      </c>
      <c r="P11" t="inlineStr">
        <is>
          <t>Sulawesi Selatan</t>
        </is>
      </c>
      <c r="Q11" t="inlineStr"/>
    </row>
    <row r="12">
      <c r="A12" t="inlineStr">
        <is>
          <t>DEWI TUNGGAL MANDIRI</t>
        </is>
      </c>
      <c r="B12" t="inlineStr">
        <is>
          <t>Kota Palembang</t>
        </is>
      </c>
      <c r="C12" t="inlineStr">
        <is>
          <t>0711511938</t>
        </is>
      </c>
      <c r="D12" t="inlineStr">
        <is>
          <t>dewitunggalmandiri@gmail.com</t>
        </is>
      </c>
      <c r="E12" t="inlineStr">
        <is>
          <t>https://lpjk.pu.go.id/search-badan-usaha-detail/K3luZWs2aVl2L0pJT2x2dFlaN3R5QT09</t>
        </is>
      </c>
      <c r="F12" t="n">
        <v>2</v>
      </c>
      <c r="G12" t="inlineStr">
        <is>
          <t>BG001, BG009</t>
        </is>
      </c>
      <c r="H12" t="inlineStr">
        <is>
          <t>23 Maret 2007</t>
        </is>
      </c>
      <c r="I12" s="2" t="n">
        <v>46316</v>
      </c>
      <c r="J12" t="inlineStr">
        <is>
          <t>Pencabutan</t>
        </is>
      </c>
      <c r="K12" t="n">
        <v>30</v>
      </c>
      <c r="L12" t="inlineStr">
        <is>
          <t>21 Oktober 2026</t>
        </is>
      </c>
      <c r="M12" t="inlineStr">
        <is>
          <t>Konstruksi Gedung Hunian, Konstruksi Gedung Lainnya</t>
        </is>
      </c>
      <c r="N12" t="inlineStr">
        <is>
          <t>K</t>
        </is>
      </c>
      <c r="O12" t="inlineStr">
        <is>
          <t>20231021</t>
        </is>
      </c>
      <c r="P12" t="inlineStr">
        <is>
          <t>Sumatera Selatan</t>
        </is>
      </c>
      <c r="Q12" t="inlineStr"/>
    </row>
    <row r="13">
      <c r="A13" t="inlineStr">
        <is>
          <t>GILANG JAYA KONSTRUKSI</t>
        </is>
      </c>
      <c r="B13" t="inlineStr">
        <is>
          <t>Kab. Kampar</t>
        </is>
      </c>
      <c r="C13" t="inlineStr">
        <is>
          <t>081371625778</t>
        </is>
      </c>
      <c r="D13" t="inlineStr">
        <is>
          <t>gilangjk27@gmail.com</t>
        </is>
      </c>
      <c r="E13" t="inlineStr">
        <is>
          <t>https://lpjk.pu.go.id/search-badan-usaha-detail/MHF3Nm9XUTZubWN0emJPeHFoRytBZz09</t>
        </is>
      </c>
      <c r="F13" t="n">
        <v>3</v>
      </c>
      <c r="G13" t="inlineStr">
        <is>
          <t>BG002, BG006, BG009</t>
        </is>
      </c>
      <c r="H13" t="inlineStr">
        <is>
          <t>27 September 2023</t>
        </is>
      </c>
      <c r="I13" s="2" t="n">
        <v>46316</v>
      </c>
      <c r="J13" t="inlineStr">
        <is>
          <t>Disetujui</t>
        </is>
      </c>
      <c r="K13" t="n">
        <v>30</v>
      </c>
      <c r="L13" t="inlineStr">
        <is>
          <t>21 Oktober 2026</t>
        </is>
      </c>
      <c r="M13" t="inlineStr">
        <is>
          <t>Konstruksi Gedung Lainnya, Konstruksi Gedung Pendidikan, Konstruksi Gedung Perkantoran</t>
        </is>
      </c>
      <c r="N13" t="inlineStr">
        <is>
          <t>K</t>
        </is>
      </c>
      <c r="O13" t="inlineStr">
        <is>
          <t>20231020</t>
        </is>
      </c>
      <c r="P13" t="inlineStr">
        <is>
          <t>Riau</t>
        </is>
      </c>
      <c r="Q13" t="inlineStr"/>
    </row>
    <row r="14">
      <c r="A14" t="inlineStr">
        <is>
          <t>GRAHA ANUGERAH SUKSES</t>
        </is>
      </c>
      <c r="B14" t="inlineStr">
        <is>
          <t>Kab. Tangerang</t>
        </is>
      </c>
      <c r="C14" t="inlineStr">
        <is>
          <t>081380640575</t>
        </is>
      </c>
      <c r="D14" t="inlineStr">
        <is>
          <t>gas2022.cv@gmail.com</t>
        </is>
      </c>
      <c r="E14" t="inlineStr">
        <is>
          <t>https://lpjk.pu.go.id/search-badan-usaha-detail/YWliZHhKSzNnSTVwalZYNHJZdWNyUT09</t>
        </is>
      </c>
      <c r="F14" t="n">
        <v>2</v>
      </c>
      <c r="G14" t="inlineStr">
        <is>
          <t>BS001, BS016</t>
        </is>
      </c>
      <c r="H14" t="inlineStr">
        <is>
          <t>21 Desember 2022</t>
        </is>
      </c>
      <c r="I14" s="2" t="n">
        <v>46316</v>
      </c>
      <c r="J14" t="inlineStr">
        <is>
          <t>Disetujui</t>
        </is>
      </c>
      <c r="K14" t="n">
        <v>30</v>
      </c>
      <c r="L14" t="inlineStr">
        <is>
          <t>21 Oktober 2026</t>
        </is>
      </c>
      <c r="M14" t="inlineStr">
        <is>
          <t>Konstruksi Bangunan Sipil Fasilitas Olah Raga, Konstruksi Bangunan Sipil Jalan</t>
        </is>
      </c>
      <c r="N14" t="inlineStr">
        <is>
          <t>K</t>
        </is>
      </c>
      <c r="O14" t="inlineStr">
        <is>
          <t>20231020, 20231026</t>
        </is>
      </c>
      <c r="P14" t="inlineStr">
        <is>
          <t>Banten</t>
        </is>
      </c>
      <c r="Q14" t="inlineStr"/>
    </row>
    <row r="15">
      <c r="A15" t="inlineStr">
        <is>
          <t>GRAHITA SEMBRANI KONSTRUKSI</t>
        </is>
      </c>
      <c r="B15" t="inlineStr">
        <is>
          <t>Kota Cimahi</t>
        </is>
      </c>
      <c r="C15" t="inlineStr">
        <is>
          <t>085222270411</t>
        </is>
      </c>
      <c r="D15" t="inlineStr">
        <is>
          <t>cv.grahitasembranikonstruksi@gmail.com</t>
        </is>
      </c>
      <c r="E15" t="inlineStr">
        <is>
          <t>https://lpjk.pu.go.id/search-badan-usaha-detail/OFRRSm5zMWRURFdzSFJuSzVCOEtsUT09</t>
        </is>
      </c>
      <c r="F15" t="n">
        <v>1</v>
      </c>
      <c r="G15" t="inlineStr">
        <is>
          <t>BS004</t>
        </is>
      </c>
      <c r="H15" t="inlineStr">
        <is>
          <t>2 Juni 2022</t>
        </is>
      </c>
      <c r="I15" s="2" t="n">
        <v>46316</v>
      </c>
      <c r="J15" t="inlineStr">
        <is>
          <t>Pencabutan</t>
        </is>
      </c>
      <c r="K15" t="n">
        <v>30</v>
      </c>
      <c r="L15" t="inlineStr">
        <is>
          <t>21 Oktober 2026</t>
        </is>
      </c>
      <c r="M15" t="inlineStr">
        <is>
          <t>Konstruksi Jaringan Irigasi dan Drainase</t>
        </is>
      </c>
      <c r="N15" t="inlineStr">
        <is>
          <t>K</t>
        </is>
      </c>
      <c r="O15" t="inlineStr">
        <is>
          <t>20231019</t>
        </is>
      </c>
      <c r="P15" t="inlineStr">
        <is>
          <t>Jawa Barat</t>
        </is>
      </c>
      <c r="Q15" t="inlineStr"/>
    </row>
    <row r="16">
      <c r="A16" t="inlineStr">
        <is>
          <t>KARYA ASIH</t>
        </is>
      </c>
      <c r="B16" t="inlineStr">
        <is>
          <t>Kab. Tangerang</t>
        </is>
      </c>
      <c r="C16" t="inlineStr">
        <is>
          <t>081310343797</t>
        </is>
      </c>
      <c r="D16" t="inlineStr">
        <is>
          <t>cv.karyaasih@yahoo.co.id</t>
        </is>
      </c>
      <c r="E16" t="inlineStr">
        <is>
          <t>https://lpjk.pu.go.id/search-badan-usaha-detail/TER6a0xGbWU5QkwrenhIbWxrbVZSUT09</t>
        </is>
      </c>
      <c r="F16" t="n">
        <v>2</v>
      </c>
      <c r="G16" t="inlineStr">
        <is>
          <t>BG009, BS010</t>
        </is>
      </c>
      <c r="H16" t="inlineStr">
        <is>
          <t>11 Maret 2015</t>
        </is>
      </c>
      <c r="I16" s="2" t="n">
        <v>46316</v>
      </c>
      <c r="J16" t="inlineStr">
        <is>
          <t>Disetujui</t>
        </is>
      </c>
      <c r="K16" t="n">
        <v>30</v>
      </c>
      <c r="L16" t="inlineStr">
        <is>
          <t>21 Oktober 2026</t>
        </is>
      </c>
      <c r="M16" t="inlineStr">
        <is>
          <t>Konstruksi Bangunan Prasarana Sumber Daya Air, Konstruksi Gedung Lainnya</t>
        </is>
      </c>
      <c r="N16" t="inlineStr">
        <is>
          <t>K</t>
        </is>
      </c>
      <c r="O16" t="inlineStr">
        <is>
          <t>20230310, 20231024</t>
        </is>
      </c>
      <c r="P16" t="inlineStr">
        <is>
          <t>Banten</t>
        </is>
      </c>
      <c r="Q16" t="inlineStr"/>
    </row>
    <row r="17">
      <c r="A17" t="inlineStr">
        <is>
          <t>KARYA INDAH</t>
        </is>
      </c>
      <c r="B17" t="inlineStr">
        <is>
          <t>Kab. Purwakarta</t>
        </is>
      </c>
      <c r="C17" t="inlineStr">
        <is>
          <t>0264202236</t>
        </is>
      </c>
      <c r="D17" t="inlineStr">
        <is>
          <t>cv_karyaindahgangbanteng@yahoo.com</t>
        </is>
      </c>
      <c r="E17" t="inlineStr">
        <is>
          <t>https://lpjk.pu.go.id/search-badan-usaha-detail/cW90VHcrb3VrYkNES05SdndRQ0xlUT09</t>
        </is>
      </c>
      <c r="F17" t="n">
        <v>8</v>
      </c>
      <c r="G17" t="inlineStr">
        <is>
          <t>BG002, BG004, BG005, BG006, BG009, BS001, BS002, BS004</t>
        </is>
      </c>
      <c r="H17" t="inlineStr">
        <is>
          <t>23 Juli 1991</t>
        </is>
      </c>
      <c r="I17" s="2" t="n">
        <v>46316</v>
      </c>
      <c r="J17" t="inlineStr">
        <is>
          <t>Disetujui</t>
        </is>
      </c>
      <c r="K17" t="n">
        <v>30</v>
      </c>
      <c r="L17" t="inlineStr">
        <is>
          <t>21 Oktober 2026</t>
        </is>
      </c>
      <c r="M17" t="inlineStr">
        <is>
          <t>Bangunan Sipil Jembatan, Jalan Layang, Fly Over, dan Underpass, Konstruksi Bangunan Sipil Jalan, Konstruksi Gedung Kesehatan, Konstruksi Gedung Lainnya, Konstruksi Gedung Pendidikan, Konstruksi Gedung Perbelanjaan, Konstruksi Gedung Perkantoran, Konstruksi Jaringan Irigasi dan Drainase</t>
        </is>
      </c>
      <c r="N17" t="inlineStr">
        <is>
          <t>K</t>
        </is>
      </c>
      <c r="O17" t="inlineStr">
        <is>
          <t>20231016</t>
        </is>
      </c>
      <c r="P17" t="inlineStr">
        <is>
          <t>Jawa Barat</t>
        </is>
      </c>
      <c r="Q17" t="inlineStr"/>
    </row>
    <row r="18">
      <c r="A18" t="inlineStr">
        <is>
          <t>MAKMUR TEKNIK KONSTRUKSI</t>
        </is>
      </c>
      <c r="B18" t="inlineStr">
        <is>
          <t>Kota Adm. Jakarta Utara</t>
        </is>
      </c>
      <c r="C18" t="inlineStr">
        <is>
          <t>085320158888</t>
        </is>
      </c>
      <c r="D18" t="inlineStr">
        <is>
          <t>ptmtk11@gmail.com</t>
        </is>
      </c>
      <c r="E18" t="inlineStr">
        <is>
          <t>https://lpjk.pu.go.id/search-badan-usaha-detail/TUl5eEtucGlia2w3V0xVNFByM1Q4UT09</t>
        </is>
      </c>
      <c r="F18" t="n">
        <v>1</v>
      </c>
      <c r="G18" t="inlineStr">
        <is>
          <t>BS002</t>
        </is>
      </c>
      <c r="H18" t="inlineStr">
        <is>
          <t>2 Oktober 2023</t>
        </is>
      </c>
      <c r="I18" s="2" t="n">
        <v>46316</v>
      </c>
      <c r="J18" t="inlineStr">
        <is>
          <t>Disetujui</t>
        </is>
      </c>
      <c r="K18" t="n">
        <v>30</v>
      </c>
      <c r="L18" t="inlineStr">
        <is>
          <t>21 Oktober 2026</t>
        </is>
      </c>
      <c r="M18" t="inlineStr">
        <is>
          <t>Bangunan Sipil Jembatan, Jalan Layang, Fly Over, dan Underpass</t>
        </is>
      </c>
      <c r="N18" t="inlineStr">
        <is>
          <t>K</t>
        </is>
      </c>
      <c r="O18" t="inlineStr">
        <is>
          <t>20231018</t>
        </is>
      </c>
      <c r="P18" t="inlineStr">
        <is>
          <t>DKI Jakarta</t>
        </is>
      </c>
      <c r="Q18" t="inlineStr"/>
    </row>
    <row r="19">
      <c r="A19" t="inlineStr">
        <is>
          <t>NATAMA KARYA JAYA</t>
        </is>
      </c>
      <c r="B19" t="inlineStr">
        <is>
          <t>Kota Medan</t>
        </is>
      </c>
      <c r="C19" t="inlineStr">
        <is>
          <t>0617861651</t>
        </is>
      </c>
      <c r="D19" t="inlineStr">
        <is>
          <t>natamakaryajaya@gmail.com</t>
        </is>
      </c>
      <c r="E19" t="inlineStr">
        <is>
          <t>https://lpjk.pu.go.id/search-badan-usaha-detail/V2d0N2RnZGp4U3AvR1kxMFBFSFZYUT09</t>
        </is>
      </c>
      <c r="F19" t="n">
        <v>1</v>
      </c>
      <c r="G19" t="inlineStr">
        <is>
          <t>BS010</t>
        </is>
      </c>
      <c r="H19" t="inlineStr">
        <is>
          <t>13 April 2007</t>
        </is>
      </c>
      <c r="I19" s="2" t="n">
        <v>46316</v>
      </c>
      <c r="J19" t="inlineStr">
        <is>
          <t>Pembekuan</t>
        </is>
      </c>
      <c r="K19" t="n">
        <v>30</v>
      </c>
      <c r="L19" t="inlineStr">
        <is>
          <t>21 Oktober 2026</t>
        </is>
      </c>
      <c r="M19" t="inlineStr">
        <is>
          <t>Konstruksi Bangunan Prasarana Sumber Daya Air</t>
        </is>
      </c>
      <c r="N19" t="inlineStr">
        <is>
          <t>M</t>
        </is>
      </c>
      <c r="O19" t="inlineStr">
        <is>
          <t>20231016</t>
        </is>
      </c>
      <c r="P19" t="inlineStr">
        <is>
          <t>Sumatera Utara</t>
        </is>
      </c>
      <c r="Q19" t="inlineStr"/>
    </row>
    <row r="20">
      <c r="A20" t="inlineStr">
        <is>
          <t>PILAR KENCANA TAMA</t>
        </is>
      </c>
      <c r="B20" t="inlineStr">
        <is>
          <t>Kota Adm. Jakarta Selatan</t>
        </is>
      </c>
      <c r="C20" t="inlineStr">
        <is>
          <t>02129607362</t>
        </is>
      </c>
      <c r="D20" t="inlineStr">
        <is>
          <t>panduhardoko@yahoo.com</t>
        </is>
      </c>
      <c r="E20" t="inlineStr">
        <is>
          <t>https://lpjk.pu.go.id/search-badan-usaha-detail/cXVkMDRkZ0FFYmM4dkNyOGFaNGdBZz09</t>
        </is>
      </c>
      <c r="F20" t="n">
        <v>1</v>
      </c>
      <c r="G20" t="inlineStr">
        <is>
          <t>BG009</t>
        </is>
      </c>
      <c r="H20" t="inlineStr">
        <is>
          <t>7 Juni 2016</t>
        </is>
      </c>
      <c r="I20" s="2" t="n">
        <v>46316</v>
      </c>
      <c r="J20" t="inlineStr">
        <is>
          <t>Disetujui</t>
        </is>
      </c>
      <c r="K20" t="n">
        <v>30</v>
      </c>
      <c r="L20" t="inlineStr">
        <is>
          <t>21 Oktober 2026</t>
        </is>
      </c>
      <c r="M20" t="inlineStr">
        <is>
          <t>Konstruksi Gedung Lainnya</t>
        </is>
      </c>
      <c r="N20" t="inlineStr">
        <is>
          <t>K</t>
        </is>
      </c>
      <c r="O20" t="inlineStr">
        <is>
          <t>20231020</t>
        </is>
      </c>
      <c r="P20" t="inlineStr">
        <is>
          <t>DKI Jakarta</t>
        </is>
      </c>
      <c r="Q20" t="inlineStr"/>
    </row>
    <row r="21">
      <c r="A21" t="inlineStr">
        <is>
          <t>PRIMA JAYA ELECTRIC</t>
        </is>
      </c>
      <c r="B21" t="inlineStr">
        <is>
          <t>Kab. Purwakarta</t>
        </is>
      </c>
      <c r="C21" t="inlineStr">
        <is>
          <t>08172308901</t>
        </is>
      </c>
      <c r="D21" t="inlineStr">
        <is>
          <t>primajayaelectric@gmail.com</t>
        </is>
      </c>
      <c r="E21" t="inlineStr">
        <is>
          <t>https://lpjk.pu.go.id/search-badan-usaha-detail/R2MwcVFZVFdMZEhMSDUybGEzcm5SZz09</t>
        </is>
      </c>
      <c r="F21" t="n">
        <v>1</v>
      </c>
      <c r="G21" t="inlineStr">
        <is>
          <t>BS002</t>
        </is>
      </c>
      <c r="H21" t="inlineStr">
        <is>
          <t>22 September 2014</t>
        </is>
      </c>
      <c r="I21" s="2" t="n">
        <v>46316</v>
      </c>
      <c r="J21" t="inlineStr">
        <is>
          <t>Disetujui</t>
        </is>
      </c>
      <c r="K21" t="n">
        <v>30</v>
      </c>
      <c r="L21" t="inlineStr">
        <is>
          <t>21 Oktober 2026</t>
        </is>
      </c>
      <c r="M21" t="inlineStr">
        <is>
          <t>Bangunan Sipil Jembatan, Jalan Layang, Fly Over, dan Underpass</t>
        </is>
      </c>
      <c r="N21" t="inlineStr">
        <is>
          <t>K</t>
        </is>
      </c>
      <c r="O21" t="inlineStr">
        <is>
          <t>20231021</t>
        </is>
      </c>
      <c r="P21" t="inlineStr">
        <is>
          <t>Jawa Barat</t>
        </is>
      </c>
      <c r="Q21" t="inlineStr"/>
    </row>
    <row r="22">
      <c r="A22" t="inlineStr">
        <is>
          <t>PUTRA ALFARIZQI</t>
        </is>
      </c>
      <c r="B22" t="inlineStr">
        <is>
          <t>Kab. Bandung Barat</t>
        </is>
      </c>
      <c r="C22" t="inlineStr">
        <is>
          <t>081804042014</t>
        </is>
      </c>
      <c r="D22" t="inlineStr">
        <is>
          <t>cvputraalfarizqi@gmail.com</t>
        </is>
      </c>
      <c r="E22" t="inlineStr">
        <is>
          <t>https://lpjk.pu.go.id/search-badan-usaha-detail/Nm1sWWFLVFl3aFl0N0pOWGNlUFNXZz09</t>
        </is>
      </c>
      <c r="F22" t="n">
        <v>1</v>
      </c>
      <c r="G22" t="inlineStr">
        <is>
          <t>BS010</t>
        </is>
      </c>
      <c r="H22" t="inlineStr">
        <is>
          <t>14 Februari 2023</t>
        </is>
      </c>
      <c r="I22" s="2" t="n">
        <v>46316</v>
      </c>
      <c r="J22" t="inlineStr">
        <is>
          <t>Pencabutan</t>
        </is>
      </c>
      <c r="K22" t="n">
        <v>30</v>
      </c>
      <c r="L22" t="inlineStr">
        <is>
          <t>21 Oktober 2026</t>
        </is>
      </c>
      <c r="M22" t="inlineStr">
        <is>
          <t>Konstruksi Bangunan Prasarana Sumber Daya Air</t>
        </is>
      </c>
      <c r="N22" t="inlineStr">
        <is>
          <t>K</t>
        </is>
      </c>
      <c r="O22" t="inlineStr">
        <is>
          <t>20231020</t>
        </is>
      </c>
      <c r="P22" t="inlineStr">
        <is>
          <t>Jawa Barat</t>
        </is>
      </c>
      <c r="Q22" t="inlineStr"/>
    </row>
    <row r="23">
      <c r="A23" t="inlineStr">
        <is>
          <t>SINAR ANUGRAH MULIA</t>
        </is>
      </c>
      <c r="B23" t="inlineStr">
        <is>
          <t>Kab. Tanah Bumbu</t>
        </is>
      </c>
      <c r="C23" t="inlineStr">
        <is>
          <t>082251863867</t>
        </is>
      </c>
      <c r="D23" t="inlineStr">
        <is>
          <t>sinaranugrah.919@gmail.com</t>
        </is>
      </c>
      <c r="E23" t="inlineStr">
        <is>
          <t>https://lpjk.pu.go.id/search-badan-usaha-detail/RVJReFhMREc5d3dwM3Z5V2RSQkNNQT09</t>
        </is>
      </c>
      <c r="F23" t="n">
        <v>2</v>
      </c>
      <c r="G23" t="inlineStr">
        <is>
          <t>BS004, BS010</t>
        </is>
      </c>
      <c r="H23" t="inlineStr">
        <is>
          <t>21 Januari 2016</t>
        </is>
      </c>
      <c r="I23" s="2" t="n">
        <v>46316</v>
      </c>
      <c r="J23" t="inlineStr">
        <is>
          <t>Disetujui</t>
        </is>
      </c>
      <c r="K23" t="n">
        <v>30</v>
      </c>
      <c r="L23" t="inlineStr">
        <is>
          <t>21 Oktober 2026</t>
        </is>
      </c>
      <c r="M23" t="inlineStr">
        <is>
          <t>Konstruksi Bangunan Prasarana Sumber Daya Air, Konstruksi Jaringan Irigasi dan Drainase</t>
        </is>
      </c>
      <c r="N23" t="inlineStr">
        <is>
          <t>K</t>
        </is>
      </c>
      <c r="O23" t="inlineStr">
        <is>
          <t>20231021</t>
        </is>
      </c>
      <c r="P23" t="inlineStr">
        <is>
          <t>Kalimantan Selatan</t>
        </is>
      </c>
      <c r="Q23" t="inlineStr"/>
    </row>
    <row r="24">
      <c r="A24" t="inlineStr">
        <is>
          <t>SINAR BULAN GROUP</t>
        </is>
      </c>
      <c r="B24" t="inlineStr">
        <is>
          <t>Kab. Buton Selatan</t>
        </is>
      </c>
      <c r="C24" t="inlineStr">
        <is>
          <t>081241423468</t>
        </is>
      </c>
      <c r="D24" t="inlineStr">
        <is>
          <t>sinarbulan84@gmail.com</t>
        </is>
      </c>
      <c r="E24" t="inlineStr">
        <is>
          <t>https://lpjk.pu.go.id/search-badan-usaha-detail/Q3dHb0RRMmRncHo3YnpIcXcwdVhzUT09</t>
        </is>
      </c>
      <c r="F24" t="n">
        <v>1</v>
      </c>
      <c r="G24" t="inlineStr">
        <is>
          <t>BS016</t>
        </is>
      </c>
      <c r="H24" t="inlineStr">
        <is>
          <t>26 Agustus 2015</t>
        </is>
      </c>
      <c r="I24" s="2" t="n">
        <v>46316</v>
      </c>
      <c r="J24" t="inlineStr">
        <is>
          <t>Pembekuan</t>
        </is>
      </c>
      <c r="K24" t="n">
        <v>30</v>
      </c>
      <c r="L24" t="inlineStr">
        <is>
          <t>21 Oktober 2026</t>
        </is>
      </c>
      <c r="M24" t="inlineStr">
        <is>
          <t>Konstruksi Bangunan Sipil Fasilitas Olah Raga</t>
        </is>
      </c>
      <c r="N24" t="inlineStr">
        <is>
          <t>M</t>
        </is>
      </c>
      <c r="O24" t="inlineStr">
        <is>
          <t>20231020</t>
        </is>
      </c>
      <c r="P24" t="inlineStr">
        <is>
          <t>Sulawesi Tenggara</t>
        </is>
      </c>
      <c r="Q24" t="inlineStr"/>
    </row>
    <row r="25">
      <c r="A25" t="inlineStr">
        <is>
          <t>SINAR KEDAWUNG PERKASA</t>
        </is>
      </c>
      <c r="B25" t="inlineStr">
        <is>
          <t>Kota Cilegon</t>
        </is>
      </c>
      <c r="C25" t="inlineStr">
        <is>
          <t>085939938444</t>
        </is>
      </c>
      <c r="D25" t="inlineStr">
        <is>
          <t>sinarkedawungperkasa@gmail.com</t>
        </is>
      </c>
      <c r="E25" t="inlineStr">
        <is>
          <t>https://lpjk.pu.go.id/search-badan-usaha-detail/ZmVRV3RkNWphWWZxVnlnV3RvWTM5UT09</t>
        </is>
      </c>
      <c r="F25" t="n">
        <v>1</v>
      </c>
      <c r="G25" t="inlineStr">
        <is>
          <t>BS001</t>
        </is>
      </c>
      <c r="H25" t="inlineStr">
        <is>
          <t>21 Mei 2015</t>
        </is>
      </c>
      <c r="I25" s="2" t="n">
        <v>46316</v>
      </c>
      <c r="J25" t="inlineStr">
        <is>
          <t>Disetujui</t>
        </is>
      </c>
      <c r="K25" t="n">
        <v>30</v>
      </c>
      <c r="L25" t="inlineStr">
        <is>
          <t>21 Oktober 2026</t>
        </is>
      </c>
      <c r="M25" t="inlineStr">
        <is>
          <t>Konstruksi Bangunan Sipil Jalan</t>
        </is>
      </c>
      <c r="N25" t="inlineStr">
        <is>
          <t>K</t>
        </is>
      </c>
      <c r="O25" t="inlineStr">
        <is>
          <t>20231021</t>
        </is>
      </c>
      <c r="P25" t="inlineStr">
        <is>
          <t>Banten</t>
        </is>
      </c>
      <c r="Q25" t="inlineStr"/>
    </row>
    <row r="26">
      <c r="A26" t="inlineStr">
        <is>
          <t>WIRA SAKTI KONSTRUKSI</t>
        </is>
      </c>
      <c r="B26" t="inlineStr">
        <is>
          <t>Kab. Tangerang</t>
        </is>
      </c>
      <c r="C26" t="inlineStr">
        <is>
          <t>02122223748</t>
        </is>
      </c>
      <c r="D26" t="inlineStr">
        <is>
          <t>wisakons.official@gmail.com</t>
        </is>
      </c>
      <c r="E26" t="inlineStr">
        <is>
          <t>https://lpjk.pu.go.id/search-badan-usaha-detail/OTIrRXRDeWkvS2xQYUR5cGVZN3hsUT09</t>
        </is>
      </c>
      <c r="F26" t="n">
        <v>1</v>
      </c>
      <c r="G26" t="inlineStr">
        <is>
          <t>BS004</t>
        </is>
      </c>
      <c r="H26" t="inlineStr">
        <is>
          <t>12 Juli 2021</t>
        </is>
      </c>
      <c r="I26" s="2" t="n">
        <v>46316</v>
      </c>
      <c r="J26" t="inlineStr">
        <is>
          <t>Disetujui</t>
        </is>
      </c>
      <c r="K26" t="n">
        <v>30</v>
      </c>
      <c r="L26" t="inlineStr">
        <is>
          <t>21 Oktober 2026</t>
        </is>
      </c>
      <c r="M26" t="inlineStr">
        <is>
          <t>Konstruksi Jaringan Irigasi dan Drainase</t>
        </is>
      </c>
      <c r="N26" t="inlineStr">
        <is>
          <t>K</t>
        </is>
      </c>
      <c r="O26" t="inlineStr">
        <is>
          <t>20231019</t>
        </is>
      </c>
      <c r="P26" t="inlineStr">
        <is>
          <t>Banten</t>
        </is>
      </c>
      <c r="Q26" t="inlineStr"/>
    </row>
    <row r="27">
      <c r="A27" t="inlineStr">
        <is>
          <t>YUDHA BATARAJA</t>
        </is>
      </c>
      <c r="B27" t="inlineStr">
        <is>
          <t>Kab. Jayawijaya</t>
        </is>
      </c>
      <c r="C27" t="inlineStr">
        <is>
          <t>081318566731</t>
        </is>
      </c>
      <c r="D27" t="inlineStr">
        <is>
          <t>yudhabatarajapt@gmail.com</t>
        </is>
      </c>
      <c r="E27" t="inlineStr">
        <is>
          <t>https://lpjk.pu.go.id/search-badan-usaha-detail/MTd2MWlQcjhIVTV6dlJEdDNIeFFOb0E3d0xtVHFmMktCbmUzVmV4TUlpQT0</t>
        </is>
      </c>
      <c r="F27" t="n">
        <v>2</v>
      </c>
      <c r="G27" t="inlineStr">
        <is>
          <t>BG002, BG006</t>
        </is>
      </c>
      <c r="H27" t="inlineStr">
        <is>
          <t>14 Agustus 2023</t>
        </is>
      </c>
      <c r="I27" s="2" t="n">
        <v>46316</v>
      </c>
      <c r="J27" t="inlineStr">
        <is>
          <t>Disetujui</t>
        </is>
      </c>
      <c r="K27" t="n">
        <v>30</v>
      </c>
      <c r="L27" t="inlineStr">
        <is>
          <t>21 Oktober 2026</t>
        </is>
      </c>
      <c r="M27" t="inlineStr">
        <is>
          <t>Konstruksi Gedung Pendidikan, Konstruksi Gedung Perkantoran</t>
        </is>
      </c>
      <c r="N27" t="inlineStr">
        <is>
          <t>M</t>
        </is>
      </c>
      <c r="O27" t="inlineStr">
        <is>
          <t>20231013</t>
        </is>
      </c>
      <c r="P27" t="inlineStr">
        <is>
          <t>Papua Pegunungan</t>
        </is>
      </c>
      <c r="Q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2026-09-21T02:09:03Z</dcterms:created>
  <dcterms:modified xsi:type="dcterms:W3CDTF">2026-09-21T02:09:03Z</dcterms:modified>
</cp:coreProperties>
</file>