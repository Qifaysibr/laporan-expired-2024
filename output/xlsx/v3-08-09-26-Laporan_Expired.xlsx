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cols>
    <col width="30" customWidth="1" min="1" max="1"/>
    <col width="27" customWidth="1" min="2" max="2"/>
    <col width="16" customWidth="1" min="3" max="3"/>
    <col width="37"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MATARAM JAYA SEJATI</t>
        </is>
      </c>
      <c r="B2" t="inlineStr">
        <is>
          <t>Kota Adm. Jakarta Timur</t>
        </is>
      </c>
      <c r="C2" t="inlineStr">
        <is>
          <t>081284131323</t>
        </is>
      </c>
      <c r="D2" t="inlineStr">
        <is>
          <t>mataramjayasejati@gmail.com</t>
        </is>
      </c>
      <c r="E2" t="inlineStr">
        <is>
          <t>https://lpjk.pu.go.id/search-badan-usaha-detail/RFIrdUhSN0lSS0ZwQ3hvaHI1NTlRQT09</t>
        </is>
      </c>
      <c r="F2" t="n">
        <v>4</v>
      </c>
      <c r="G2" t="inlineStr">
        <is>
          <t>BS002, BS007</t>
        </is>
      </c>
      <c r="H2" t="inlineStr">
        <is>
          <t>6 Desember 2021</t>
        </is>
      </c>
      <c r="I2" s="2" t="n">
        <v>46360</v>
      </c>
      <c r="J2" t="inlineStr">
        <is>
          <t>Disetujui</t>
        </is>
      </c>
      <c r="K2" t="n">
        <v>87</v>
      </c>
      <c r="L2" t="inlineStr">
        <is>
          <t>4 Desember 2026</t>
        </is>
      </c>
      <c r="M2" t="inlineStr">
        <is>
          <t>Bangunan Sipil Jembatan, Jalan Layang, Fly Over, dan Underpass, Konstruksi Bangunan Sipil Elektrikal</t>
        </is>
      </c>
      <c r="N2" t="inlineStr">
        <is>
          <t>K</t>
        </is>
      </c>
      <c r="O2" t="inlineStr">
        <is>
          <t>20231201</t>
        </is>
      </c>
      <c r="P2" t="inlineStr">
        <is>
          <t>DKI Jakarta</t>
        </is>
      </c>
      <c r="Q2" s="3">
        <f>HYPERLINK("https://wa.me/6281284131323?text=Selamat siang Bapak/Ibu pimpinan MATARAM JAYA SEJATI,%0A%0ASemoga Bapak/Ibu dalam keadaan baik.%0ABerdasarkan data LPJK, masa berlaku SBU perusahaan Bapak/Ibu akan berakhir sekitar 3 bulan lagi (pada 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MITRA AMANAH PERSADA</t>
        </is>
      </c>
      <c r="B3" t="inlineStr">
        <is>
          <t>Kota Bekasi</t>
        </is>
      </c>
      <c r="C3" t="inlineStr">
        <is>
          <t>081293638833</t>
        </is>
      </c>
      <c r="D3" t="inlineStr">
        <is>
          <t>mitraamanahpersada@gmail.com</t>
        </is>
      </c>
      <c r="E3" t="inlineStr">
        <is>
          <t>https://lpjk.pu.go.id/search-badan-usaha-detail/UUZJMlZrQUlsRmF1eklzMXdRVC80dz09</t>
        </is>
      </c>
      <c r="F3" t="n">
        <v>1</v>
      </c>
      <c r="G3" t="inlineStr">
        <is>
          <t>BG002</t>
        </is>
      </c>
      <c r="H3" t="inlineStr">
        <is>
          <t>2 Desember 2023</t>
        </is>
      </c>
      <c r="I3" s="2" t="n">
        <v>46360</v>
      </c>
      <c r="J3" t="inlineStr">
        <is>
          <t>Disetujui</t>
        </is>
      </c>
      <c r="K3" t="n">
        <v>87</v>
      </c>
      <c r="L3" t="inlineStr">
        <is>
          <t>4 Desember 2026</t>
        </is>
      </c>
      <c r="M3" t="inlineStr">
        <is>
          <t>Konstruksi Gedung Perkantoran</t>
        </is>
      </c>
      <c r="N3" t="inlineStr">
        <is>
          <t>K</t>
        </is>
      </c>
      <c r="O3" t="inlineStr">
        <is>
          <t>20231204</t>
        </is>
      </c>
      <c r="P3" t="inlineStr">
        <is>
          <t>Jawa Barat</t>
        </is>
      </c>
      <c r="Q3" s="3">
        <f>HYPERLINK("https://wa.me/6281293638833?text=Selamat siang Bapak/Ibu pimpinan MITRA AMANAH PERSADA,%0A%0ASemoga Bapak/Ibu dalam keadaan baik.%0ABerdasarkan data LPJK, masa berlaku SBU perusahaan Bapak/Ibu akan berakhir sekitar 3 bulan lagi (pada 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REDA JAYA UTAMA</t>
        </is>
      </c>
      <c r="B4" t="inlineStr">
        <is>
          <t>Kota Bekasi</t>
        </is>
      </c>
      <c r="C4" t="inlineStr">
        <is>
          <t>08129612870</t>
        </is>
      </c>
      <c r="D4" t="inlineStr">
        <is>
          <t>RedaJayaUtama@yahoo.com</t>
        </is>
      </c>
      <c r="E4" t="inlineStr">
        <is>
          <t>https://lpjk.pu.go.id/search-badan-usaha-detail/elFVWG1leGk3TlZEZjd4TlhVN1FUdz09</t>
        </is>
      </c>
      <c r="F4" t="n">
        <v>1</v>
      </c>
      <c r="G4" t="inlineStr">
        <is>
          <t>BS001</t>
        </is>
      </c>
      <c r="H4" t="inlineStr">
        <is>
          <t>5 Agustus 2006</t>
        </is>
      </c>
      <c r="I4" s="2" t="n">
        <v>46360</v>
      </c>
      <c r="J4" t="inlineStr">
        <is>
          <t>Disetujui</t>
        </is>
      </c>
      <c r="K4" t="n">
        <v>87</v>
      </c>
      <c r="L4" t="inlineStr">
        <is>
          <t>4 Desember 2026</t>
        </is>
      </c>
      <c r="M4" t="inlineStr">
        <is>
          <t>Konstruksi Bangunan Sipil Jalan</t>
        </is>
      </c>
      <c r="N4" t="inlineStr">
        <is>
          <t>K</t>
        </is>
      </c>
      <c r="O4" t="inlineStr">
        <is>
          <t>20231201</t>
        </is>
      </c>
      <c r="P4" t="inlineStr">
        <is>
          <t>Jawa Barat</t>
        </is>
      </c>
      <c r="Q4" s="3">
        <f>HYPERLINK("https://wa.me/628129612870?text=Selamat siang Bapak/Ibu pimpinan REDA JAYA UTAMA,%0A%0ASemoga Bapak/Ibu dalam keadaan baik.%0ABerdasarkan data LPJK, masa berlaku SBU perusahaan Bapak/Ibu akan berakhir sekitar 3 bulan lagi (pada 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YASO DANA PRIMA</t>
        </is>
      </c>
      <c r="B5" t="inlineStr">
        <is>
          <t>Kab. Bekasi</t>
        </is>
      </c>
      <c r="C5" t="inlineStr">
        <is>
          <t>081286765917</t>
        </is>
      </c>
      <c r="D5" t="inlineStr">
        <is>
          <t>yasodanaprima@gmail.com</t>
        </is>
      </c>
      <c r="E5" t="inlineStr">
        <is>
          <t>https://lpjk.pu.go.id/search-badan-usaha-detail/RDE0bEtkRHJta1UvZFBTWC85WlpSQT09</t>
        </is>
      </c>
      <c r="F5" t="n">
        <v>2</v>
      </c>
      <c r="G5" t="inlineStr">
        <is>
          <t>BG001</t>
        </is>
      </c>
      <c r="H5" t="inlineStr">
        <is>
          <t>28 Maret 2023</t>
        </is>
      </c>
      <c r="I5" s="2" t="n">
        <v>46360</v>
      </c>
      <c r="J5" t="inlineStr">
        <is>
          <t>Disetujui</t>
        </is>
      </c>
      <c r="K5" t="n">
        <v>87</v>
      </c>
      <c r="L5" t="inlineStr">
        <is>
          <t>4 Desember 2026</t>
        </is>
      </c>
      <c r="M5" t="inlineStr">
        <is>
          <t>Konstruksi Gedung Hunian</t>
        </is>
      </c>
      <c r="N5" t="inlineStr">
        <is>
          <t>K</t>
        </is>
      </c>
      <c r="O5" t="inlineStr">
        <is>
          <t>20231202</t>
        </is>
      </c>
      <c r="P5" t="inlineStr">
        <is>
          <t>Jawa Barat</t>
        </is>
      </c>
      <c r="Q5" s="3">
        <f>HYPERLINK("https://wa.me/6281286765917?text=Selamat siang Bapak/Ibu pimpinan YASO DANA PRIMA,%0A%0ASemoga Bapak/Ibu dalam keadaan baik.%0ABerdasarkan data LPJK, masa berlaku SBU perusahaan Bapak/Ibu akan berakhir sekitar 3 bulan lagi (pada 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ALAM MEKAR JAYA</t>
        </is>
      </c>
      <c r="B6" t="inlineStr">
        <is>
          <t>Kab. Kutai Timur</t>
        </is>
      </c>
      <c r="C6" t="inlineStr">
        <is>
          <t>085283034368</t>
        </is>
      </c>
      <c r="D6" t="inlineStr">
        <is>
          <t>alammekarraya@gmail.com</t>
        </is>
      </c>
      <c r="E6" t="inlineStr">
        <is>
          <t>https://lpjk.pu.go.id/search-badan-usaha-detail/YjRVUkNuSkdQaEgvVUlRZWx0WGVCdz09</t>
        </is>
      </c>
      <c r="F6" t="n">
        <v>2</v>
      </c>
      <c r="G6" t="inlineStr">
        <is>
          <t>BG005, BG006</t>
        </is>
      </c>
      <c r="H6" t="inlineStr">
        <is>
          <t>23 Oktober 2023</t>
        </is>
      </c>
      <c r="I6" s="2" t="n">
        <v>46360</v>
      </c>
      <c r="J6" t="inlineStr">
        <is>
          <t>Disetujui</t>
        </is>
      </c>
      <c r="K6" t="n">
        <v>87</v>
      </c>
      <c r="L6" t="inlineStr">
        <is>
          <t>4 Desember 2026</t>
        </is>
      </c>
      <c r="M6" t="inlineStr">
        <is>
          <t>Konstruksi Gedung Kesehatan, Konstruksi Gedung Pendidikan</t>
        </is>
      </c>
      <c r="N6" t="inlineStr">
        <is>
          <t>K</t>
        </is>
      </c>
      <c r="O6" t="inlineStr">
        <is>
          <t>20231204</t>
        </is>
      </c>
      <c r="P6" t="inlineStr">
        <is>
          <t>Kalimantan Timur</t>
        </is>
      </c>
      <c r="Q6" t="inlineStr"/>
    </row>
    <row r="7">
      <c r="A7" t="inlineStr">
        <is>
          <t>ALIFA SRIKANDI KARYA MANDIRI</t>
        </is>
      </c>
      <c r="B7" t="inlineStr">
        <is>
          <t>Kota Tangerang Selatan</t>
        </is>
      </c>
      <c r="C7" t="inlineStr">
        <is>
          <t>081297021499</t>
        </is>
      </c>
      <c r="D7" t="inlineStr">
        <is>
          <t>alifasrikandikaryamandiri@gmail.com</t>
        </is>
      </c>
      <c r="E7" t="inlineStr">
        <is>
          <t>https://lpjk.pu.go.id/search-badan-usaha-detail/LzlQL1dOdUp0QWFiK0cybmRBL2ExZz09</t>
        </is>
      </c>
      <c r="F7" t="n">
        <v>1</v>
      </c>
      <c r="G7" t="inlineStr">
        <is>
          <t>BG009</t>
        </is>
      </c>
      <c r="H7" t="inlineStr">
        <is>
          <t>25 Mei 2023</t>
        </is>
      </c>
      <c r="I7" s="2" t="n">
        <v>46360</v>
      </c>
      <c r="J7" t="inlineStr">
        <is>
          <t>Disetujui</t>
        </is>
      </c>
      <c r="K7" t="n">
        <v>87</v>
      </c>
      <c r="L7" t="inlineStr">
        <is>
          <t>4 Desember 2026</t>
        </is>
      </c>
      <c r="M7" t="inlineStr">
        <is>
          <t>Konstruksi Gedung Lainnya</t>
        </is>
      </c>
      <c r="N7" t="inlineStr">
        <is>
          <t>K</t>
        </is>
      </c>
      <c r="O7" t="inlineStr">
        <is>
          <t>20231205</t>
        </is>
      </c>
      <c r="P7" t="inlineStr">
        <is>
          <t>Banten</t>
        </is>
      </c>
      <c r="Q7" t="inlineStr"/>
    </row>
    <row r="8">
      <c r="A8" t="inlineStr">
        <is>
          <t>AMEL INDAH ABADI</t>
        </is>
      </c>
      <c r="B8" t="inlineStr">
        <is>
          <t>Kab. Indramayu</t>
        </is>
      </c>
      <c r="C8" t="inlineStr">
        <is>
          <t>081313161007</t>
        </is>
      </c>
      <c r="D8" t="inlineStr">
        <is>
          <t>amelindahabadi17@gmail.com</t>
        </is>
      </c>
      <c r="E8" t="inlineStr">
        <is>
          <t>https://lpjk.pu.go.id/search-badan-usaha-detail/eTBsd3g1V01uS1lBQm5BU2pvUVhBUT09</t>
        </is>
      </c>
      <c r="F8" t="n">
        <v>1</v>
      </c>
      <c r="G8" t="inlineStr">
        <is>
          <t>IN004</t>
        </is>
      </c>
      <c r="H8" t="inlineStr">
        <is>
          <t>4 Juni 2020</t>
        </is>
      </c>
      <c r="I8" s="2" t="n">
        <v>46360</v>
      </c>
      <c r="J8" t="inlineStr">
        <is>
          <t>Pembekuan</t>
        </is>
      </c>
      <c r="K8" t="n">
        <v>87</v>
      </c>
      <c r="L8" t="inlineStr">
        <is>
          <t>4 Desember 2026</t>
        </is>
      </c>
      <c r="M8" t="inlineStr">
        <is>
          <t>Instalasi Minyak dan Gas</t>
        </is>
      </c>
      <c r="N8" t="inlineStr">
        <is>
          <t>Spesialis</t>
        </is>
      </c>
      <c r="O8" t="inlineStr">
        <is>
          <t>20231204</t>
        </is>
      </c>
      <c r="P8" t="inlineStr">
        <is>
          <t>Jawa Barat</t>
        </is>
      </c>
      <c r="Q8" t="inlineStr"/>
    </row>
    <row r="9">
      <c r="A9" t="inlineStr">
        <is>
          <t>ANGGARA PRATAMA MAJU</t>
        </is>
      </c>
      <c r="B9" t="inlineStr">
        <is>
          <t>Kab. Lombok Tengah</t>
        </is>
      </c>
      <c r="C9" t="inlineStr">
        <is>
          <t>081803614167</t>
        </is>
      </c>
      <c r="D9" t="inlineStr">
        <is>
          <t>cvanggarapratamamaju@gmail.com</t>
        </is>
      </c>
      <c r="E9" t="inlineStr">
        <is>
          <t>https://lpjk.pu.go.id/search-badan-usaha-detail/bWtPejVGNkVCVVVhMVhOazBiRnZmQT09</t>
        </is>
      </c>
      <c r="F9" t="n">
        <v>2</v>
      </c>
      <c r="G9" t="inlineStr">
        <is>
          <t>BG005</t>
        </is>
      </c>
      <c r="H9" t="inlineStr">
        <is>
          <t>3 Januari 2023</t>
        </is>
      </c>
      <c r="I9" s="2" t="n">
        <v>46360</v>
      </c>
      <c r="J9" t="inlineStr">
        <is>
          <t>Disetujui</t>
        </is>
      </c>
      <c r="K9" t="n">
        <v>87</v>
      </c>
      <c r="L9" t="inlineStr">
        <is>
          <t>4 Desember 2026</t>
        </is>
      </c>
      <c r="M9" t="inlineStr">
        <is>
          <t>Konstruksi Gedung Kesehatan</t>
        </is>
      </c>
      <c r="N9" t="inlineStr">
        <is>
          <t>K</t>
        </is>
      </c>
      <c r="O9" t="inlineStr">
        <is>
          <t>20231128</t>
        </is>
      </c>
      <c r="P9" t="inlineStr">
        <is>
          <t>Nusa Tenggara Barat</t>
        </is>
      </c>
      <c r="Q9" t="inlineStr"/>
    </row>
    <row r="10">
      <c r="A10" t="inlineStr">
        <is>
          <t>ARCHINDO B'DESIGN</t>
        </is>
      </c>
      <c r="B10" t="inlineStr">
        <is>
          <t>Kab. Maros</t>
        </is>
      </c>
      <c r="C10" t="inlineStr">
        <is>
          <t>082393466667</t>
        </is>
      </c>
      <c r="D10" t="inlineStr">
        <is>
          <t>archindo.design@gmail.com</t>
        </is>
      </c>
      <c r="E10" t="inlineStr">
        <is>
          <t>https://lpjk.pu.go.id/search-badan-usaha-detail/VWtYdFViekx5R0RYUnU4U21Rd0NWZz09</t>
        </is>
      </c>
      <c r="F10" t="n">
        <v>4</v>
      </c>
      <c r="G10" t="inlineStr">
        <is>
          <t>RK001, RK002, RK003, RK005</t>
        </is>
      </c>
      <c r="H10" t="inlineStr">
        <is>
          <t>18 Agustus 2006</t>
        </is>
      </c>
      <c r="I10" s="2" t="n">
        <v>46360</v>
      </c>
      <c r="J10" t="inlineStr">
        <is>
          <t>Disetujui</t>
        </is>
      </c>
      <c r="K10" t="n">
        <v>87</v>
      </c>
      <c r="L10" t="inlineStr">
        <is>
          <t>4 Desember 2026</t>
        </is>
      </c>
      <c r="M10" t="inlineStr">
        <is>
          <t>Jasa Rekayasa Konstruksi Bangunan Gedung Hunian dan Non Hunian, Jasa Rekayasa Lainnya, Jasa Rekayasa Pekerjaan Teknik Sipil Sumber Daya Air, Jasa Rekayasa Pekerjaan Teknik Sipil Transportasi</t>
        </is>
      </c>
      <c r="N10" t="inlineStr">
        <is>
          <t>K</t>
        </is>
      </c>
      <c r="O10" t="inlineStr">
        <is>
          <t>20231122</t>
        </is>
      </c>
      <c r="P10" t="inlineStr">
        <is>
          <t>Sulawesi Selatan</t>
        </is>
      </c>
      <c r="Q10" t="inlineStr"/>
    </row>
    <row r="11">
      <c r="A11" t="inlineStr">
        <is>
          <t>ARDIS</t>
        </is>
      </c>
      <c r="B11" t="inlineStr">
        <is>
          <t>Kota Bandung</t>
        </is>
      </c>
      <c r="C11" t="inlineStr">
        <is>
          <t>081320454578</t>
        </is>
      </c>
      <c r="D11" t="inlineStr">
        <is>
          <t>ardis.cv@yahoo.com</t>
        </is>
      </c>
      <c r="E11" t="inlineStr">
        <is>
          <t>https://lpjk.pu.go.id/search-badan-usaha-detail/MjhpRG5LVldJWWtzZjl4TnhnNHRudz09</t>
        </is>
      </c>
      <c r="F11" t="n">
        <v>1</v>
      </c>
      <c r="G11" t="inlineStr">
        <is>
          <t>BS004</t>
        </is>
      </c>
      <c r="H11" t="inlineStr">
        <is>
          <t>6 Desember 2006</t>
        </is>
      </c>
      <c r="I11" s="2" t="n">
        <v>46360</v>
      </c>
      <c r="J11" t="inlineStr">
        <is>
          <t>Disetujui</t>
        </is>
      </c>
      <c r="K11" t="n">
        <v>87</v>
      </c>
      <c r="L11" t="inlineStr">
        <is>
          <t>4 Desember 2026</t>
        </is>
      </c>
      <c r="M11" t="inlineStr">
        <is>
          <t>Konstruksi Jaringan Irigasi dan Drainase</t>
        </is>
      </c>
      <c r="N11" t="inlineStr">
        <is>
          <t>K</t>
        </is>
      </c>
      <c r="O11" t="inlineStr">
        <is>
          <t>20231201</t>
        </is>
      </c>
      <c r="P11" t="inlineStr">
        <is>
          <t>Jawa Barat</t>
        </is>
      </c>
      <c r="Q11" t="inlineStr"/>
    </row>
    <row r="12">
      <c r="A12" t="inlineStr">
        <is>
          <t>ARUL BERSINAR</t>
        </is>
      </c>
      <c r="B12" t="inlineStr">
        <is>
          <t>Kota Medan</t>
        </is>
      </c>
      <c r="C12" t="inlineStr">
        <is>
          <t>081263226082</t>
        </is>
      </c>
      <c r="D12" t="inlineStr">
        <is>
          <t>cv.arulbersinar@gmail.com</t>
        </is>
      </c>
      <c r="E12" t="inlineStr">
        <is>
          <t>https://lpjk.pu.go.id/search-badan-usaha-detail/THllM2hPcmhXb2tSOWpuS2dtMGduUT09</t>
        </is>
      </c>
      <c r="F12" t="n">
        <v>1</v>
      </c>
      <c r="G12" t="inlineStr">
        <is>
          <t>BS001</t>
        </is>
      </c>
      <c r="H12" t="inlineStr">
        <is>
          <t>2 April 2022</t>
        </is>
      </c>
      <c r="I12" s="2" t="n">
        <v>46360</v>
      </c>
      <c r="J12" t="inlineStr">
        <is>
          <t>Disetujui</t>
        </is>
      </c>
      <c r="K12" t="n">
        <v>87</v>
      </c>
      <c r="L12" t="inlineStr">
        <is>
          <t>4 Desember 2026</t>
        </is>
      </c>
      <c r="M12" t="inlineStr">
        <is>
          <t>Konstruksi Bangunan Sipil Jalan</t>
        </is>
      </c>
      <c r="N12" t="inlineStr">
        <is>
          <t>K</t>
        </is>
      </c>
      <c r="O12" t="inlineStr">
        <is>
          <t>20231123</t>
        </is>
      </c>
      <c r="P12" t="inlineStr">
        <is>
          <t>Sumatera Utara</t>
        </is>
      </c>
      <c r="Q12" t="inlineStr"/>
    </row>
    <row r="13">
      <c r="A13" t="inlineStr">
        <is>
          <t>ASIAH LINTAS RAYA</t>
        </is>
      </c>
      <c r="B13" t="inlineStr">
        <is>
          <t>Kota Makassar</t>
        </is>
      </c>
      <c r="C13" t="inlineStr">
        <is>
          <t>085324540000</t>
        </is>
      </c>
      <c r="D13" t="inlineStr">
        <is>
          <t>aliraa06@gmail.com</t>
        </is>
      </c>
      <c r="E13" t="inlineStr">
        <is>
          <t>https://lpjk.pu.go.id/search-badan-usaha-detail/WjE2eXVma08vaTVtSVRPTk5EOFhLUT09</t>
        </is>
      </c>
      <c r="F13" t="n">
        <v>4</v>
      </c>
      <c r="G13" t="inlineStr">
        <is>
          <t>RK001, RK002, RK003, RK005</t>
        </is>
      </c>
      <c r="H13" t="inlineStr">
        <is>
          <t>10 Februari 2016</t>
        </is>
      </c>
      <c r="I13" s="2" t="n">
        <v>46360</v>
      </c>
      <c r="J13" t="inlineStr">
        <is>
          <t>Disetujui</t>
        </is>
      </c>
      <c r="K13" t="n">
        <v>87</v>
      </c>
      <c r="L13" t="inlineStr">
        <is>
          <t>4 Desember 2026</t>
        </is>
      </c>
      <c r="M13" t="inlineStr">
        <is>
          <t>Jasa Rekayasa Konstruksi Bangunan Gedung Hunian dan Non Hunian, Jasa Rekayasa Lainnya, Jasa Rekayasa Pekerjaan Teknik Sipil Sumber Daya Air, Jasa Rekayasa Pekerjaan Teknik Sipil Transportasi</t>
        </is>
      </c>
      <c r="N13" t="inlineStr">
        <is>
          <t>K</t>
        </is>
      </c>
      <c r="O13" t="inlineStr">
        <is>
          <t>20231115</t>
        </is>
      </c>
      <c r="P13" t="inlineStr">
        <is>
          <t>Sulawesi Selatan</t>
        </is>
      </c>
      <c r="Q13" t="inlineStr"/>
    </row>
    <row r="14">
      <c r="A14" t="inlineStr">
        <is>
          <t>BANGUN CITA MULIA</t>
        </is>
      </c>
      <c r="B14" t="inlineStr">
        <is>
          <t>Kab. Kutai Kartanegara</t>
        </is>
      </c>
      <c r="C14" t="inlineStr">
        <is>
          <t>082153683622</t>
        </is>
      </c>
      <c r="D14" t="inlineStr">
        <is>
          <t>pt.banguncitamulia@gmail.com</t>
        </is>
      </c>
      <c r="E14" t="inlineStr">
        <is>
          <t>https://lpjk.pu.go.id/search-badan-usaha-detail/MGlMOVZwbmxGdlhLZ2QrYlRRanhNZz09</t>
        </is>
      </c>
      <c r="F14" t="n">
        <v>3</v>
      </c>
      <c r="G14" t="inlineStr">
        <is>
          <t>BS001, BS004, BS005</t>
        </is>
      </c>
      <c r="H14" t="inlineStr">
        <is>
          <t>21 Januari 2022</t>
        </is>
      </c>
      <c r="I14" s="2" t="n">
        <v>46360</v>
      </c>
      <c r="J14" t="inlineStr">
        <is>
          <t>Pencabutan</t>
        </is>
      </c>
      <c r="K14" t="n">
        <v>87</v>
      </c>
      <c r="L14" t="inlineStr">
        <is>
          <t>4 Desember 2026</t>
        </is>
      </c>
      <c r="M14" t="inlineStr">
        <is>
          <t>Konstruksi Bangunan Sipil Jalan, Konstruksi Bangunan Sipil Pengolahan Air Bersih, Konstruksi Jaringan Irigasi dan Drainase</t>
        </is>
      </c>
      <c r="N14" t="inlineStr">
        <is>
          <t>K</t>
        </is>
      </c>
      <c r="O14" t="inlineStr">
        <is>
          <t>20231201</t>
        </is>
      </c>
      <c r="P14" t="inlineStr">
        <is>
          <t>Kalimantan Timur</t>
        </is>
      </c>
      <c r="Q14" t="inlineStr"/>
    </row>
    <row r="15">
      <c r="A15" t="inlineStr">
        <is>
          <t>BANGUN INDAH</t>
        </is>
      </c>
      <c r="B15" t="inlineStr">
        <is>
          <t>Kab. Gunungkidul</t>
        </is>
      </c>
      <c r="C15" t="inlineStr">
        <is>
          <t>087839882308</t>
        </is>
      </c>
      <c r="D15" t="inlineStr">
        <is>
          <t>bangunindahcv@yahoo.com</t>
        </is>
      </c>
      <c r="E15" t="inlineStr">
        <is>
          <t>https://lpjk.pu.go.id/search-badan-usaha-detail/Z1Yxd2tmVFBzb1AvZ1pDdEpBWVlSUT09</t>
        </is>
      </c>
      <c r="F15" t="n">
        <v>1</v>
      </c>
      <c r="G15" t="inlineStr">
        <is>
          <t>BS004</t>
        </is>
      </c>
      <c r="H15" t="inlineStr">
        <is>
          <t>5 Oktober 2000</t>
        </is>
      </c>
      <c r="I15" s="2" t="n">
        <v>46360</v>
      </c>
      <c r="J15" t="inlineStr">
        <is>
          <t>Disetujui</t>
        </is>
      </c>
      <c r="K15" t="n">
        <v>87</v>
      </c>
      <c r="L15" t="inlineStr">
        <is>
          <t>4 Desember 2026</t>
        </is>
      </c>
      <c r="M15" t="inlineStr">
        <is>
          <t>Konstruksi Jaringan Irigasi dan Drainase</t>
        </is>
      </c>
      <c r="N15" t="inlineStr">
        <is>
          <t>K</t>
        </is>
      </c>
      <c r="O15" t="inlineStr">
        <is>
          <t>20231111</t>
        </is>
      </c>
      <c r="P15" t="inlineStr">
        <is>
          <t>DI Yogyakarta</t>
        </is>
      </c>
      <c r="Q15" t="inlineStr"/>
    </row>
    <row r="16">
      <c r="A16" t="inlineStr">
        <is>
          <t>BENING CONSTRUKSI</t>
        </is>
      </c>
      <c r="B16" t="inlineStr">
        <is>
          <t>Kota Bandar Lampung</t>
        </is>
      </c>
      <c r="C16" t="inlineStr">
        <is>
          <t>087864625366</t>
        </is>
      </c>
      <c r="D16" t="inlineStr">
        <is>
          <t>cv.beningconstruksi@gmail.com</t>
        </is>
      </c>
      <c r="E16" t="inlineStr">
        <is>
          <t>https://lpjk.pu.go.id/search-badan-usaha-detail/QWFvb0pLamRWdWJGM1RWdUN0NXh4Zz09</t>
        </is>
      </c>
      <c r="F16" t="n">
        <v>1</v>
      </c>
      <c r="G16" t="inlineStr">
        <is>
          <t>PL005</t>
        </is>
      </c>
      <c r="H16" t="inlineStr">
        <is>
          <t>8 Juni 2022</t>
        </is>
      </c>
      <c r="I16" s="2" t="n">
        <v>46360</v>
      </c>
      <c r="J16" t="inlineStr">
        <is>
          <t>Disetujui</t>
        </is>
      </c>
      <c r="K16" t="n">
        <v>87</v>
      </c>
      <c r="L16" t="inlineStr">
        <is>
          <t>4 Desember 2026</t>
        </is>
      </c>
      <c r="M16" t="inlineStr">
        <is>
          <t>Pembuatan/Pengeboran Sumur Air Tanah</t>
        </is>
      </c>
      <c r="N16" t="inlineStr">
        <is>
          <t>Spesialis</t>
        </is>
      </c>
      <c r="O16" t="inlineStr">
        <is>
          <t>20220910</t>
        </is>
      </c>
      <c r="P16" t="inlineStr">
        <is>
          <t>Lampung</t>
        </is>
      </c>
      <c r="Q16" t="inlineStr"/>
    </row>
    <row r="17">
      <c r="A17" t="inlineStr">
        <is>
          <t>BERKAH BUMI ENGINEERING</t>
        </is>
      </c>
      <c r="B17" t="inlineStr">
        <is>
          <t>Kab. Sleman</t>
        </is>
      </c>
      <c r="C17" t="inlineStr">
        <is>
          <t>081225224224</t>
        </is>
      </c>
      <c r="D17" t="inlineStr">
        <is>
          <t>bumiberkah.legal@gmail.com</t>
        </is>
      </c>
      <c r="E17" t="inlineStr">
        <is>
          <t>https://lpjk.pu.go.id/search-badan-usaha-detail/WnBQSzdnb21QUitsdGVDVGNacVFjZz09</t>
        </is>
      </c>
      <c r="F17" t="n">
        <v>2</v>
      </c>
      <c r="G17" t="inlineStr">
        <is>
          <t>BG001</t>
        </is>
      </c>
      <c r="H17" t="inlineStr">
        <is>
          <t>16 Agustus 2016</t>
        </is>
      </c>
      <c r="I17" s="2" t="n">
        <v>46360</v>
      </c>
      <c r="J17" t="inlineStr">
        <is>
          <t>Disetujui</t>
        </is>
      </c>
      <c r="K17" t="n">
        <v>87</v>
      </c>
      <c r="L17" t="inlineStr">
        <is>
          <t>4 Desember 2026</t>
        </is>
      </c>
      <c r="M17" t="inlineStr">
        <is>
          <t>Konstruksi Gedung Hunian</t>
        </is>
      </c>
      <c r="N17" t="inlineStr">
        <is>
          <t>K</t>
        </is>
      </c>
      <c r="O17" t="inlineStr">
        <is>
          <t>20231201</t>
        </is>
      </c>
      <c r="P17" t="inlineStr">
        <is>
          <t>DI Yogyakarta</t>
        </is>
      </c>
      <c r="Q17" t="inlineStr"/>
    </row>
    <row r="18">
      <c r="A18" t="inlineStr">
        <is>
          <t>BERKAH SYABNA KONSULTAN</t>
        </is>
      </c>
      <c r="B18" t="inlineStr">
        <is>
          <t>Kota Kendari</t>
        </is>
      </c>
      <c r="C18" t="inlineStr">
        <is>
          <t>085242653445</t>
        </is>
      </c>
      <c r="D18" t="inlineStr">
        <is>
          <t>berkahsyabna@gmail.com</t>
        </is>
      </c>
      <c r="E18" t="inlineStr">
        <is>
          <t>https://lpjk.pu.go.id/search-badan-usaha-detail/VnA3K0NBUzFBU2QrcEZyZ2RuT3JyQT09</t>
        </is>
      </c>
      <c r="F18" t="n">
        <v>2</v>
      </c>
      <c r="G18" t="inlineStr">
        <is>
          <t>RK001</t>
        </is>
      </c>
      <c r="H18" t="inlineStr">
        <is>
          <t>26 Desember 2019</t>
        </is>
      </c>
      <c r="I18" s="2" t="n">
        <v>46360</v>
      </c>
      <c r="J18" t="inlineStr">
        <is>
          <t>Disetujui</t>
        </is>
      </c>
      <c r="K18" t="n">
        <v>87</v>
      </c>
      <c r="L18" t="inlineStr">
        <is>
          <t>4 Desember 2026</t>
        </is>
      </c>
      <c r="M18" t="inlineStr">
        <is>
          <t>Jasa Rekayasa Konstruksi Bangunan Gedung Hunian dan Non Hunian</t>
        </is>
      </c>
      <c r="N18" t="inlineStr">
        <is>
          <t>K</t>
        </is>
      </c>
      <c r="O18" t="inlineStr">
        <is>
          <t>20231115</t>
        </is>
      </c>
      <c r="P18" t="inlineStr">
        <is>
          <t>Sulawesi Tenggara</t>
        </is>
      </c>
      <c r="Q18" t="inlineStr"/>
    </row>
    <row r="19">
      <c r="A19" t="inlineStr">
        <is>
          <t>BHUMI BHAKTI SUKSES PERSADA</t>
        </is>
      </c>
      <c r="B19" t="inlineStr">
        <is>
          <t>Kab. Karawang</t>
        </is>
      </c>
      <c r="C19" t="inlineStr">
        <is>
          <t>02129578579</t>
        </is>
      </c>
      <c r="D19" t="inlineStr">
        <is>
          <t>bhumibhaktisuksespersada@gmail.com</t>
        </is>
      </c>
      <c r="E19" t="inlineStr">
        <is>
          <t>https://lpjk.pu.go.id/search-badan-usaha-detail/b1UvYWczOHNYeXZsVVNEczc0T0c0dz09</t>
        </is>
      </c>
      <c r="F19" t="n">
        <v>5</v>
      </c>
      <c r="G19" t="inlineStr">
        <is>
          <t>KK001, KK012, KK016, PL003, PL004</t>
        </is>
      </c>
      <c r="H19" t="inlineStr">
        <is>
          <t>6 Juni 2006</t>
        </is>
      </c>
      <c r="I19" s="2" t="n">
        <v>46360</v>
      </c>
      <c r="J19" t="inlineStr">
        <is>
          <t>Disetujui</t>
        </is>
      </c>
      <c r="K19" t="n">
        <v>87</v>
      </c>
      <c r="L19" t="inlineStr">
        <is>
          <t>4 Desember 2026</t>
        </is>
      </c>
      <c r="M19" t="inlineStr">
        <is>
          <t>Pekerjaan Struktur Beton, Pekerjaan Tanah, Pemasangan Kerangka Baja, Penyiapan Lahan Konstruksi, Pondasi Konstruksi</t>
        </is>
      </c>
      <c r="N19" t="inlineStr">
        <is>
          <t>Spesialis</t>
        </is>
      </c>
      <c r="O19" t="inlineStr">
        <is>
          <t>20231128, 20231201</t>
        </is>
      </c>
      <c r="P19" t="inlineStr">
        <is>
          <t>Jawa Barat</t>
        </is>
      </c>
      <c r="Q19" t="inlineStr"/>
    </row>
    <row r="20">
      <c r="A20" t="inlineStr">
        <is>
          <t>BHUMI LANGIT SELARAS</t>
        </is>
      </c>
      <c r="B20" t="inlineStr">
        <is>
          <t>Kab. Lombok Tengah</t>
        </is>
      </c>
      <c r="C20" t="inlineStr">
        <is>
          <t>0818367094</t>
        </is>
      </c>
      <c r="D20" t="inlineStr">
        <is>
          <t>cv.bhumilangitselaras@gmail.com</t>
        </is>
      </c>
      <c r="E20" t="inlineStr">
        <is>
          <t>https://lpjk.pu.go.id/search-badan-usaha-detail/SGh0QmROa1JydWRYdTBCaUZITk5nQT09</t>
        </is>
      </c>
      <c r="F20" t="n">
        <v>1</v>
      </c>
      <c r="G20" t="inlineStr">
        <is>
          <t>BG009</t>
        </is>
      </c>
      <c r="H20" t="inlineStr">
        <is>
          <t>23 Juni 2022</t>
        </is>
      </c>
      <c r="I20" s="2" t="n">
        <v>46360</v>
      </c>
      <c r="J20" t="inlineStr">
        <is>
          <t>Disetujui</t>
        </is>
      </c>
      <c r="K20" t="n">
        <v>87</v>
      </c>
      <c r="L20" t="inlineStr">
        <is>
          <t>4 Desember 2026</t>
        </is>
      </c>
      <c r="M20" t="inlineStr">
        <is>
          <t>Konstruksi Gedung Lainnya</t>
        </is>
      </c>
      <c r="N20" t="inlineStr">
        <is>
          <t>K</t>
        </is>
      </c>
      <c r="O20" t="inlineStr">
        <is>
          <t>20231127</t>
        </is>
      </c>
      <c r="P20" t="inlineStr">
        <is>
          <t>Nusa Tenggara Barat</t>
        </is>
      </c>
      <c r="Q20" t="inlineStr"/>
    </row>
    <row r="21">
      <c r="A21" t="inlineStr">
        <is>
          <t>BINTAN BANGUN KARYA</t>
        </is>
      </c>
      <c r="B21" t="inlineStr">
        <is>
          <t>Kab. Bintan</t>
        </is>
      </c>
      <c r="C21" t="inlineStr">
        <is>
          <t>07717330442</t>
        </is>
      </c>
      <c r="D21" t="inlineStr">
        <is>
          <t>bintanbangunkarya.pt@yahoo.com</t>
        </is>
      </c>
      <c r="E21" t="inlineStr">
        <is>
          <t>https://lpjk.pu.go.id/search-badan-usaha-detail/dHk2NW5CVTl1M29RWHZiR0lBTmtlQT09</t>
        </is>
      </c>
      <c r="F21" t="n">
        <v>4</v>
      </c>
      <c r="G21" t="inlineStr">
        <is>
          <t>BG003, BG009, BS001, BS005</t>
        </is>
      </c>
      <c r="H21" t="inlineStr">
        <is>
          <t>22 Juni 2012</t>
        </is>
      </c>
      <c r="I21" s="2" t="n">
        <v>46360</v>
      </c>
      <c r="J21" t="inlineStr">
        <is>
          <t>Disetujui</t>
        </is>
      </c>
      <c r="K21" t="n">
        <v>87</v>
      </c>
      <c r="L21" t="inlineStr">
        <is>
          <t>4 Desember 2026</t>
        </is>
      </c>
      <c r="M21" t="inlineStr">
        <is>
          <t>Konstruksi Bangunan Sipil Jalan, Konstruksi Bangunan Sipil Pengolahan Air Bersih, Konstruksi Gedung Industri, Konstruksi Gedung Lainnya</t>
        </is>
      </c>
      <c r="N21" t="inlineStr">
        <is>
          <t>M</t>
        </is>
      </c>
      <c r="O21" t="inlineStr">
        <is>
          <t>20231102</t>
        </is>
      </c>
      <c r="P21" t="inlineStr">
        <is>
          <t>Kepulauan Riau</t>
        </is>
      </c>
      <c r="Q21" t="inlineStr"/>
    </row>
    <row r="22">
      <c r="A22" t="inlineStr">
        <is>
          <t>BINTANG PROPERTY INDONESIA</t>
        </is>
      </c>
      <c r="B22" t="inlineStr">
        <is>
          <t>Kota Pekanbaru</t>
        </is>
      </c>
      <c r="C22" t="inlineStr">
        <is>
          <t>0811763455</t>
        </is>
      </c>
      <c r="D22" t="inlineStr">
        <is>
          <t>bintangnya.property@gmail.com</t>
        </is>
      </c>
      <c r="E22" t="inlineStr">
        <is>
          <t>https://lpjk.pu.go.id/search-badan-usaha-detail/TTQrQkU5dHZkR3kyNjBxMGdaV2hEQT09</t>
        </is>
      </c>
      <c r="F22" t="n">
        <v>4</v>
      </c>
      <c r="G22" t="inlineStr">
        <is>
          <t>BG001, BS001</t>
        </is>
      </c>
      <c r="H22" t="inlineStr">
        <is>
          <t>1 Desember 2014</t>
        </is>
      </c>
      <c r="I22" s="2" t="n">
        <v>46360</v>
      </c>
      <c r="J22" t="inlineStr">
        <is>
          <t>Disetujui, Pencabutan</t>
        </is>
      </c>
      <c r="K22" t="n">
        <v>87</v>
      </c>
      <c r="L22" t="inlineStr">
        <is>
          <t>4 Desember 2026</t>
        </is>
      </c>
      <c r="M22" t="inlineStr">
        <is>
          <t>Konstruksi Bangunan Sipil Jalan, Konstruksi Gedung Hunian</t>
        </is>
      </c>
      <c r="N22" t="inlineStr">
        <is>
          <t>K</t>
        </is>
      </c>
      <c r="O22" t="inlineStr">
        <is>
          <t>20231130</t>
        </is>
      </c>
      <c r="P22" t="inlineStr">
        <is>
          <t>Riau</t>
        </is>
      </c>
      <c r="Q22" t="inlineStr"/>
    </row>
    <row r="23">
      <c r="A23" t="inlineStr">
        <is>
          <t>BINTANG SONGO</t>
        </is>
      </c>
      <c r="B23" t="inlineStr">
        <is>
          <t>Kab. Lamongan</t>
        </is>
      </c>
      <c r="C23" t="inlineStr">
        <is>
          <t>085707940009</t>
        </is>
      </c>
      <c r="D23" t="inlineStr">
        <is>
          <t>b_songo@ymail.com</t>
        </is>
      </c>
      <c r="E23" t="inlineStr">
        <is>
          <t>https://lpjk.pu.go.id/search-badan-usaha-detail/S3RLd3RSZU9IMEt2VFhZOEVqRWptZz09</t>
        </is>
      </c>
      <c r="F23" t="n">
        <v>2</v>
      </c>
      <c r="G23" t="inlineStr">
        <is>
          <t>BS001</t>
        </is>
      </c>
      <c r="H23" t="inlineStr">
        <is>
          <t>25 Juli 2002</t>
        </is>
      </c>
      <c r="I23" s="2" t="n">
        <v>46360</v>
      </c>
      <c r="J23" t="inlineStr">
        <is>
          <t>Disetujui</t>
        </is>
      </c>
      <c r="K23" t="n">
        <v>87</v>
      </c>
      <c r="L23" t="inlineStr">
        <is>
          <t>4 Desember 2026</t>
        </is>
      </c>
      <c r="M23" t="inlineStr">
        <is>
          <t>Konstruksi Bangunan Sipil Jalan</t>
        </is>
      </c>
      <c r="N23" t="inlineStr">
        <is>
          <t>K</t>
        </is>
      </c>
      <c r="O23" t="inlineStr">
        <is>
          <t>20231128</t>
        </is>
      </c>
      <c r="P23" t="inlineStr">
        <is>
          <t>Jawa Timur</t>
        </is>
      </c>
      <c r="Q23" t="inlineStr"/>
    </row>
    <row r="24">
      <c r="A24" t="inlineStr">
        <is>
          <t>BUKIT KAPUR CONSULTAN</t>
        </is>
      </c>
      <c r="B24" t="inlineStr">
        <is>
          <t>Kota Dumai</t>
        </is>
      </c>
      <c r="C24" t="inlineStr">
        <is>
          <t>081275031792</t>
        </is>
      </c>
      <c r="D24" t="inlineStr">
        <is>
          <t>rozalidmi8@gmail.com</t>
        </is>
      </c>
      <c r="E24" t="inlineStr">
        <is>
          <t>https://lpjk.pu.go.id/search-badan-usaha-detail/cGQwWEc4NlRlR0tGMEw3bjc5eWhCUT09</t>
        </is>
      </c>
      <c r="F24" t="n">
        <v>2</v>
      </c>
      <c r="G24" t="inlineStr">
        <is>
          <t>RK001, RK003</t>
        </is>
      </c>
      <c r="H24" t="inlineStr">
        <is>
          <t>31 Agustus 1999</t>
        </is>
      </c>
      <c r="I24" s="2" t="n">
        <v>46360</v>
      </c>
      <c r="J24" t="inlineStr">
        <is>
          <t>Disetujui</t>
        </is>
      </c>
      <c r="K24" t="n">
        <v>87</v>
      </c>
      <c r="L24" t="inlineStr">
        <is>
          <t>4 Desember 2026</t>
        </is>
      </c>
      <c r="M24" t="inlineStr">
        <is>
          <t>Jasa Rekayasa Konstruksi Bangunan Gedung Hunian dan Non Hunian, Jasa Rekayasa Pekerjaan Teknik Sipil Transportasi</t>
        </is>
      </c>
      <c r="N24" t="inlineStr">
        <is>
          <t>K</t>
        </is>
      </c>
      <c r="O24" t="inlineStr">
        <is>
          <t>20231124</t>
        </is>
      </c>
      <c r="P24" t="inlineStr">
        <is>
          <t>Riau</t>
        </is>
      </c>
      <c r="Q24" t="inlineStr"/>
    </row>
    <row r="25">
      <c r="A25" t="inlineStr">
        <is>
          <t>BUMI KARYA</t>
        </is>
      </c>
      <c r="B25" t="inlineStr">
        <is>
          <t>Kab. Jombang</t>
        </is>
      </c>
      <c r="C25" t="inlineStr">
        <is>
          <t>085257225654</t>
        </is>
      </c>
      <c r="D25" t="inlineStr">
        <is>
          <t>suradi.60th@gmail.com</t>
        </is>
      </c>
      <c r="E25" t="inlineStr">
        <is>
          <t>https://lpjk.pu.go.id/search-badan-usaha-detail/UFNjWTFCTEJoQkhFM3NKQjFrTGJuZz09</t>
        </is>
      </c>
      <c r="F25" t="n">
        <v>2</v>
      </c>
      <c r="G25" t="inlineStr">
        <is>
          <t>BG004, BS004</t>
        </is>
      </c>
      <c r="H25" t="inlineStr">
        <is>
          <t>19 November 1998</t>
        </is>
      </c>
      <c r="I25" s="2" t="n">
        <v>46360</v>
      </c>
      <c r="J25" t="inlineStr">
        <is>
          <t>Disetujui</t>
        </is>
      </c>
      <c r="K25" t="n">
        <v>87</v>
      </c>
      <c r="L25" t="inlineStr">
        <is>
          <t>4 Desember 2026</t>
        </is>
      </c>
      <c r="M25" t="inlineStr">
        <is>
          <t>Konstruksi Gedung Perbelanjaan, Konstruksi Jaringan Irigasi dan Drainase</t>
        </is>
      </c>
      <c r="N25" t="inlineStr">
        <is>
          <t>K</t>
        </is>
      </c>
      <c r="O25" t="inlineStr">
        <is>
          <t>20231201, 20231205</t>
        </is>
      </c>
      <c r="P25" t="inlineStr">
        <is>
          <t>Jawa Timur</t>
        </is>
      </c>
      <c r="Q25" t="inlineStr"/>
    </row>
    <row r="26">
      <c r="A26" t="inlineStr">
        <is>
          <t>CAHAYA FAJAR</t>
        </is>
      </c>
      <c r="B26" t="inlineStr">
        <is>
          <t>Kota Ambon</t>
        </is>
      </c>
      <c r="C26" t="inlineStr">
        <is>
          <t>-</t>
        </is>
      </c>
      <c r="D26" t="inlineStr">
        <is>
          <t>cahayafajar329@gmail.com</t>
        </is>
      </c>
      <c r="E26" t="inlineStr">
        <is>
          <t>https://lpjk.pu.go.id/search-badan-usaha-detail/U1NwNFVRRkVaK3VFdjZ4NXFHOFJqZz09</t>
        </is>
      </c>
      <c r="F26" t="n">
        <v>1</v>
      </c>
      <c r="G26" t="inlineStr">
        <is>
          <t>BS001</t>
        </is>
      </c>
      <c r="H26" t="inlineStr">
        <is>
          <t>12 Januari 2015</t>
        </is>
      </c>
      <c r="I26" s="2" t="n">
        <v>46360</v>
      </c>
      <c r="J26" t="inlineStr">
        <is>
          <t>Disetujui</t>
        </is>
      </c>
      <c r="K26" t="n">
        <v>87</v>
      </c>
      <c r="L26" t="inlineStr">
        <is>
          <t>4 Desember 2026</t>
        </is>
      </c>
      <c r="M26" t="inlineStr">
        <is>
          <t>Konstruksi Bangunan Sipil Jalan</t>
        </is>
      </c>
      <c r="N26" t="inlineStr">
        <is>
          <t>K</t>
        </is>
      </c>
      <c r="O26" t="inlineStr">
        <is>
          <t>20231121</t>
        </is>
      </c>
      <c r="P26" t="inlineStr">
        <is>
          <t>Maluku</t>
        </is>
      </c>
      <c r="Q26" t="inlineStr"/>
    </row>
    <row r="27">
      <c r="A27" t="inlineStr">
        <is>
          <t>CAHAYA MANDIRI TRANSPORTER</t>
        </is>
      </c>
      <c r="B27" t="inlineStr">
        <is>
          <t>Kab. Penajam Paser Utara</t>
        </is>
      </c>
      <c r="C27" t="inlineStr">
        <is>
          <t>081257422033</t>
        </is>
      </c>
      <c r="D27" t="inlineStr">
        <is>
          <t>cmt.kaltim@gmail.com</t>
        </is>
      </c>
      <c r="E27" t="inlineStr">
        <is>
          <t>https://lpjk.pu.go.id/search-badan-usaha-detail/TXVKVCtLSHQxRVNZUWw4b2FEMDAwZz09</t>
        </is>
      </c>
      <c r="F27" t="n">
        <v>3</v>
      </c>
      <c r="G27" t="inlineStr">
        <is>
          <t>BS001, BS004, BS016</t>
        </is>
      </c>
      <c r="H27" t="inlineStr">
        <is>
          <t>11 Maret 2023</t>
        </is>
      </c>
      <c r="I27" s="2" t="n">
        <v>46360</v>
      </c>
      <c r="J27" t="inlineStr">
        <is>
          <t>Disetujui</t>
        </is>
      </c>
      <c r="K27" t="n">
        <v>87</v>
      </c>
      <c r="L27" t="inlineStr">
        <is>
          <t>4 Desember 2026</t>
        </is>
      </c>
      <c r="M27" t="inlineStr">
        <is>
          <t>Konstruksi Bangunan Sipil Fasilitas Olah Raga, Konstruksi Bangunan Sipil Jalan, Konstruksi Jaringan Irigasi dan Drainase</t>
        </is>
      </c>
      <c r="N27" t="inlineStr">
        <is>
          <t>K</t>
        </is>
      </c>
      <c r="O27" t="inlineStr">
        <is>
          <t>20231205</t>
        </is>
      </c>
      <c r="P27" t="inlineStr">
        <is>
          <t>Kalimantan Timur</t>
        </is>
      </c>
      <c r="Q27" t="inlineStr"/>
    </row>
    <row r="28">
      <c r="A28" t="inlineStr">
        <is>
          <t>CEMPAKA INDAH PROPERTI</t>
        </is>
      </c>
      <c r="B28" t="inlineStr">
        <is>
          <t>Kab. Tojo Una Una</t>
        </is>
      </c>
      <c r="C28" t="inlineStr">
        <is>
          <t>085241465827</t>
        </is>
      </c>
      <c r="D28" t="inlineStr">
        <is>
          <t>ronysamsul82@gmail.com</t>
        </is>
      </c>
      <c r="E28" t="inlineStr">
        <is>
          <t>https://lpjk.pu.go.id/search-badan-usaha-detail/aDBwUXlVL1pnTy9xUXhYVFBOZmtQQT09</t>
        </is>
      </c>
      <c r="F28" t="n">
        <v>2</v>
      </c>
      <c r="G28" t="inlineStr">
        <is>
          <t>BG001, BS001</t>
        </is>
      </c>
      <c r="H28" t="inlineStr">
        <is>
          <t>5 Februari 2018</t>
        </is>
      </c>
      <c r="I28" s="2" t="n">
        <v>46360</v>
      </c>
      <c r="J28" t="inlineStr">
        <is>
          <t>Disetujui</t>
        </is>
      </c>
      <c r="K28" t="n">
        <v>87</v>
      </c>
      <c r="L28" t="inlineStr">
        <is>
          <t>4 Desember 2026</t>
        </is>
      </c>
      <c r="M28" t="inlineStr">
        <is>
          <t>Konstruksi Bangunan Sipil Jalan, Konstruksi Gedung Hunian</t>
        </is>
      </c>
      <c r="N28" t="inlineStr">
        <is>
          <t>K</t>
        </is>
      </c>
      <c r="O28" t="inlineStr">
        <is>
          <t>20231201</t>
        </is>
      </c>
      <c r="P28" t="inlineStr">
        <is>
          <t>Sulawesi Tengah</t>
        </is>
      </c>
      <c r="Q28" t="inlineStr"/>
    </row>
    <row r="29">
      <c r="A29" t="inlineStr">
        <is>
          <t>CITRA DIMENSI</t>
        </is>
      </c>
      <c r="B29" t="inlineStr">
        <is>
          <t>Kota Mataram</t>
        </is>
      </c>
      <c r="C29" t="inlineStr">
        <is>
          <t>081917381343</t>
        </is>
      </c>
      <c r="D29" t="inlineStr">
        <is>
          <t>dimensicitra@yahoo.com</t>
        </is>
      </c>
      <c r="E29" t="inlineStr">
        <is>
          <t>https://lpjk.pu.go.id/search-badan-usaha-detail/TUpqdlk3a2xLdkg5NTB2QmUwU0RnUT09</t>
        </is>
      </c>
      <c r="F29" t="n">
        <v>1</v>
      </c>
      <c r="G29" t="inlineStr">
        <is>
          <t>RK002</t>
        </is>
      </c>
      <c r="H29" t="inlineStr">
        <is>
          <t>3 Oktober 2005</t>
        </is>
      </c>
      <c r="I29" s="2" t="n">
        <v>46360</v>
      </c>
      <c r="J29" t="inlineStr">
        <is>
          <t>Disetujui</t>
        </is>
      </c>
      <c r="K29" t="n">
        <v>87</v>
      </c>
      <c r="L29" t="inlineStr">
        <is>
          <t>4 Desember 2026</t>
        </is>
      </c>
      <c r="M29" t="inlineStr">
        <is>
          <t>Jasa Rekayasa Pekerjaan Teknik Sipil Sumber Daya Air</t>
        </is>
      </c>
      <c r="N29" t="inlineStr">
        <is>
          <t>K</t>
        </is>
      </c>
      <c r="O29" t="inlineStr">
        <is>
          <t>20231121</t>
        </is>
      </c>
      <c r="P29" t="inlineStr">
        <is>
          <t>Nusa Tenggara Barat</t>
        </is>
      </c>
      <c r="Q29" t="inlineStr"/>
    </row>
    <row r="30">
      <c r="A30" t="inlineStr">
        <is>
          <t>CV. KARYA MANDIRI</t>
        </is>
      </c>
      <c r="B30" t="inlineStr">
        <is>
          <t>Kota Palopo</t>
        </is>
      </c>
      <c r="C30" t="inlineStr">
        <is>
          <t>082191283649</t>
        </is>
      </c>
      <c r="D30" t="inlineStr">
        <is>
          <t>karyamandiri1968@yahoo.com</t>
        </is>
      </c>
      <c r="E30" t="inlineStr">
        <is>
          <t>https://lpjk.pu.go.id/search-badan-usaha-detail/SEZJTUIrbVRmT1FObHBWR2ZQOE4rUT09</t>
        </is>
      </c>
      <c r="F30" t="n">
        <v>8</v>
      </c>
      <c r="G30" t="inlineStr">
        <is>
          <t>BG001, BG002, BG004, BG005, BG006, BS001, BS002, BS004</t>
        </is>
      </c>
      <c r="H30" t="inlineStr">
        <is>
          <t>23 April 1997</t>
        </is>
      </c>
      <c r="I30" s="2" t="n">
        <v>46360</v>
      </c>
      <c r="J30" t="inlineStr">
        <is>
          <t>Disetujui, Pencabutan</t>
        </is>
      </c>
      <c r="K30" t="n">
        <v>87</v>
      </c>
      <c r="L30" t="inlineStr">
        <is>
          <t>4 Desember 2026</t>
        </is>
      </c>
      <c r="M30" t="inlineStr">
        <is>
          <t>Bangunan Sipil Jembatan, Jalan Layang, Fly Over, dan Underpass, Konstruksi Bangunan Sipil Jalan, Konstruksi Gedung Hunian, Konstruksi Gedung Kesehatan, Konstruksi Gedung Pendidikan, Konstruksi Gedung Perbelanjaan, Konstruksi Gedung Perkantoran, Konstruksi Jaringan Irigasi dan Drainase</t>
        </is>
      </c>
      <c r="N30" t="inlineStr">
        <is>
          <t>K</t>
        </is>
      </c>
      <c r="O30" t="inlineStr">
        <is>
          <t>20231203</t>
        </is>
      </c>
      <c r="P30" t="inlineStr">
        <is>
          <t>Sulawesi Selatan</t>
        </is>
      </c>
      <c r="Q30" t="inlineStr"/>
    </row>
    <row r="31">
      <c r="A31" t="inlineStr">
        <is>
          <t>CV. PRIA NUSA SAKSANA</t>
        </is>
      </c>
      <c r="B31" t="inlineStr">
        <is>
          <t>Kab. Natuna</t>
        </is>
      </c>
      <c r="C31" t="inlineStr">
        <is>
          <t>081372228804</t>
        </is>
      </c>
      <c r="D31" t="inlineStr">
        <is>
          <t>prianusasaksana@gmail.com</t>
        </is>
      </c>
      <c r="E31" t="inlineStr">
        <is>
          <t>https://lpjk.pu.go.id/search-badan-usaha-detail/WjhWTC9hSWNBZlNkdHpIUU5hZUFidz09</t>
        </is>
      </c>
      <c r="F31" t="n">
        <v>1</v>
      </c>
      <c r="G31" t="inlineStr">
        <is>
          <t>BG002</t>
        </is>
      </c>
      <c r="H31" t="inlineStr">
        <is>
          <t>20 Februari 2020</t>
        </is>
      </c>
      <c r="I31" s="2" t="n">
        <v>46360</v>
      </c>
      <c r="J31" t="inlineStr">
        <is>
          <t>Disetujui</t>
        </is>
      </c>
      <c r="K31" t="n">
        <v>87</v>
      </c>
      <c r="L31" t="inlineStr">
        <is>
          <t>4 Desember 2026</t>
        </is>
      </c>
      <c r="M31" t="inlineStr">
        <is>
          <t>Konstruksi Gedung Perkantoran</t>
        </is>
      </c>
      <c r="N31" t="inlineStr">
        <is>
          <t>K</t>
        </is>
      </c>
      <c r="O31" t="inlineStr">
        <is>
          <t>20231204</t>
        </is>
      </c>
      <c r="P31" t="inlineStr">
        <is>
          <t>Kepulauan Riau</t>
        </is>
      </c>
      <c r="Q31" t="inlineStr"/>
    </row>
    <row r="32">
      <c r="A32" t="inlineStr">
        <is>
          <t>DUTA LAKSANA</t>
        </is>
      </c>
      <c r="B32" t="inlineStr">
        <is>
          <t>Kota Semarang</t>
        </is>
      </c>
      <c r="C32" t="inlineStr">
        <is>
          <t>0243554838</t>
        </is>
      </c>
      <c r="D32" t="inlineStr">
        <is>
          <t>cv.dutalaksana888@gmail.com</t>
        </is>
      </c>
      <c r="E32" t="inlineStr">
        <is>
          <t>https://lpjk.pu.go.id/search-badan-usaha-detail/TVFkRWMvTDM4em9SOUxvd0Y2ZmZPUT09</t>
        </is>
      </c>
      <c r="F32" t="n">
        <v>5</v>
      </c>
      <c r="G32" t="inlineStr">
        <is>
          <t>BG001, BG002, BG005, BG007, BG009</t>
        </is>
      </c>
      <c r="H32" t="inlineStr">
        <is>
          <t>14 Agustus 1996</t>
        </is>
      </c>
      <c r="I32" s="2" t="n">
        <v>46360</v>
      </c>
      <c r="J32" t="inlineStr">
        <is>
          <t>Disetujui</t>
        </is>
      </c>
      <c r="K32" t="n">
        <v>87</v>
      </c>
      <c r="L32" t="inlineStr">
        <is>
          <t>4 Desember 2026</t>
        </is>
      </c>
      <c r="M32" t="inlineStr">
        <is>
          <t>Konstruksi Gedung Hunian, Konstruksi Gedung Kesehatan, Konstruksi Gedung Lainnya, Konstruksi Gedung Penginapan, Konstruksi Gedung Perkantoran</t>
        </is>
      </c>
      <c r="N32" t="inlineStr">
        <is>
          <t>K</t>
        </is>
      </c>
      <c r="O32" t="inlineStr">
        <is>
          <t>20231128</t>
        </is>
      </c>
      <c r="P32" t="inlineStr">
        <is>
          <t>Jawa Tengah</t>
        </is>
      </c>
      <c r="Q32" t="inlineStr"/>
    </row>
    <row r="33">
      <c r="A33" t="inlineStr">
        <is>
          <t>ELANG GADA PRATAMA</t>
        </is>
      </c>
      <c r="B33" t="inlineStr">
        <is>
          <t>Kab. Cirebon</t>
        </is>
      </c>
      <c r="C33" t="inlineStr">
        <is>
          <t>081324770238</t>
        </is>
      </c>
      <c r="D33" t="inlineStr">
        <is>
          <t>elanggadapratama77@gmail.com</t>
        </is>
      </c>
      <c r="E33" t="inlineStr">
        <is>
          <t>https://lpjk.pu.go.id/search-badan-usaha-detail/TUJYWmxCeVBoWTBXbmQ0a0pGTGUrdz09</t>
        </is>
      </c>
      <c r="F33" t="n">
        <v>8</v>
      </c>
      <c r="G33" t="inlineStr">
        <is>
          <t>BG005, BG006, BS001, BS004</t>
        </is>
      </c>
      <c r="H33" t="inlineStr">
        <is>
          <t>11 Oktober 2019</t>
        </is>
      </c>
      <c r="I33" s="2" t="n">
        <v>46360</v>
      </c>
      <c r="J33" t="inlineStr">
        <is>
          <t>Disetujui</t>
        </is>
      </c>
      <c r="K33" t="n">
        <v>87</v>
      </c>
      <c r="L33" t="inlineStr">
        <is>
          <t>4 Desember 2026</t>
        </is>
      </c>
      <c r="M33" t="inlineStr">
        <is>
          <t>Konstruksi Bangunan Sipil Jalan, Konstruksi Gedung Kesehatan, Konstruksi Gedung Pendidikan, Konstruksi Jaringan Irigasi dan Drainase</t>
        </is>
      </c>
      <c r="N33" t="inlineStr">
        <is>
          <t>K</t>
        </is>
      </c>
      <c r="O33" t="inlineStr">
        <is>
          <t>20231127</t>
        </is>
      </c>
      <c r="P33" t="inlineStr">
        <is>
          <t>Jawa Barat</t>
        </is>
      </c>
      <c r="Q33" t="inlineStr"/>
    </row>
    <row r="34">
      <c r="A34" t="inlineStr">
        <is>
          <t>ERA BHAKTI PERKASA</t>
        </is>
      </c>
      <c r="B34" t="inlineStr">
        <is>
          <t>Kota Surabaya</t>
        </is>
      </c>
      <c r="C34" t="inlineStr">
        <is>
          <t>081909188877</t>
        </is>
      </c>
      <c r="D34" t="inlineStr">
        <is>
          <t>pt.erabhaktiperkasa77@gmail.com</t>
        </is>
      </c>
      <c r="E34" t="inlineStr">
        <is>
          <t>https://lpjk.pu.go.id/search-badan-usaha-detail/Qk9hcjFndXd3L3dUQlVKZEg0RHd0dz09</t>
        </is>
      </c>
      <c r="F34" t="n">
        <v>2</v>
      </c>
      <c r="G34" t="inlineStr">
        <is>
          <t>BG002, BG003</t>
        </is>
      </c>
      <c r="H34" t="inlineStr">
        <is>
          <t>19 September 2023</t>
        </is>
      </c>
      <c r="I34" s="2" t="n">
        <v>46360</v>
      </c>
      <c r="J34" t="inlineStr">
        <is>
          <t>Disetujui</t>
        </is>
      </c>
      <c r="K34" t="n">
        <v>87</v>
      </c>
      <c r="L34" t="inlineStr">
        <is>
          <t>4 Desember 2026</t>
        </is>
      </c>
      <c r="M34" t="inlineStr">
        <is>
          <t>Konstruksi Gedung Industri, Konstruksi Gedung Perkantoran</t>
        </is>
      </c>
      <c r="N34" t="inlineStr">
        <is>
          <t>K</t>
        </is>
      </c>
      <c r="O34" t="inlineStr">
        <is>
          <t>20231204</t>
        </is>
      </c>
      <c r="P34" t="inlineStr">
        <is>
          <t>Jawa Timur</t>
        </is>
      </c>
      <c r="Q34" t="inlineStr"/>
    </row>
    <row r="35">
      <c r="A35" t="inlineStr">
        <is>
          <t>FAHRI JAYA ABADI</t>
        </is>
      </c>
      <c r="B35" t="inlineStr">
        <is>
          <t>Kota Pangkal Pinang</t>
        </is>
      </c>
      <c r="C35" t="inlineStr">
        <is>
          <t>081367251747</t>
        </is>
      </c>
      <c r="D35" t="inlineStr">
        <is>
          <t>jayaabadifahri@gmail.com</t>
        </is>
      </c>
      <c r="E35" t="inlineStr">
        <is>
          <t>https://lpjk.pu.go.id/search-badan-usaha-detail/ZkdMeFB0bzFBRnBjbXprb3JaeThRZz09</t>
        </is>
      </c>
      <c r="F35" t="n">
        <v>2</v>
      </c>
      <c r="G35" t="inlineStr">
        <is>
          <t>BG006, BG009</t>
        </is>
      </c>
      <c r="H35" t="inlineStr">
        <is>
          <t>7 Desember 2020</t>
        </is>
      </c>
      <c r="I35" s="2" t="n">
        <v>46360</v>
      </c>
      <c r="J35" t="inlineStr">
        <is>
          <t>Disetujui</t>
        </is>
      </c>
      <c r="K35" t="n">
        <v>87</v>
      </c>
      <c r="L35" t="inlineStr">
        <is>
          <t>4 Desember 2026</t>
        </is>
      </c>
      <c r="M35" t="inlineStr">
        <is>
          <t>Konstruksi Gedung Lainnya, Konstruksi Gedung Pendidikan</t>
        </is>
      </c>
      <c r="N35" t="inlineStr">
        <is>
          <t>K</t>
        </is>
      </c>
      <c r="O35" t="inlineStr">
        <is>
          <t>20231128</t>
        </is>
      </c>
      <c r="P35" t="inlineStr">
        <is>
          <t>Kepulauan Bangka Belitung</t>
        </is>
      </c>
      <c r="Q35" t="inlineStr"/>
    </row>
    <row r="36">
      <c r="A36" t="inlineStr">
        <is>
          <t>FAJAR AWANG MANDIRI</t>
        </is>
      </c>
      <c r="B36" t="inlineStr">
        <is>
          <t>Kab. Lampung Selatan</t>
        </is>
      </c>
      <c r="C36" t="inlineStr">
        <is>
          <t>-</t>
        </is>
      </c>
      <c r="D36" t="inlineStr">
        <is>
          <t>fajarawangmandiri@gmail.com</t>
        </is>
      </c>
      <c r="E36" t="inlineStr">
        <is>
          <t>https://lpjk.pu.go.id/search-badan-usaha-detail/UlIrQmNIT0dFa2VQeUxSVDhOYWNVUT09</t>
        </is>
      </c>
      <c r="F36" t="n">
        <v>2</v>
      </c>
      <c r="G36" t="inlineStr">
        <is>
          <t>BG005, BG006</t>
        </is>
      </c>
      <c r="H36" t="inlineStr">
        <is>
          <t>6 Januari 2014</t>
        </is>
      </c>
      <c r="I36" s="2" t="n">
        <v>46360</v>
      </c>
      <c r="J36" t="inlineStr">
        <is>
          <t>Disetujui</t>
        </is>
      </c>
      <c r="K36" t="n">
        <v>87</v>
      </c>
      <c r="L36" t="inlineStr">
        <is>
          <t>4 Desember 2026</t>
        </is>
      </c>
      <c r="M36" t="inlineStr">
        <is>
          <t>Konstruksi Gedung Kesehatan, Konstruksi Gedung Pendidikan</t>
        </is>
      </c>
      <c r="N36" t="inlineStr">
        <is>
          <t>K</t>
        </is>
      </c>
      <c r="O36" t="inlineStr">
        <is>
          <t>20231127, 20231206</t>
        </is>
      </c>
      <c r="P36" t="inlineStr">
        <is>
          <t>Lampung</t>
        </is>
      </c>
      <c r="Q36" t="inlineStr"/>
    </row>
    <row r="37">
      <c r="A37" t="inlineStr">
        <is>
          <t>FIJAY STEEL</t>
        </is>
      </c>
      <c r="B37" t="inlineStr">
        <is>
          <t>Kab. Kutai Timur</t>
        </is>
      </c>
      <c r="C37" t="inlineStr">
        <is>
          <t>081350188082</t>
        </is>
      </c>
      <c r="D37" t="inlineStr">
        <is>
          <t>cv.fijaysteel@gmail.com</t>
        </is>
      </c>
      <c r="E37" t="inlineStr">
        <is>
          <t>https://lpjk.pu.go.id/search-badan-usaha-detail/ajluTU1Td3poU3dRWlFVeHRCWmN0dz09</t>
        </is>
      </c>
      <c r="F37" t="n">
        <v>5</v>
      </c>
      <c r="G37" t="inlineStr">
        <is>
          <t>BG005, BG006, BG009, BS001, BS004</t>
        </is>
      </c>
      <c r="H37" t="inlineStr">
        <is>
          <t>13 Desember 2022</t>
        </is>
      </c>
      <c r="I37" s="2" t="n">
        <v>46360</v>
      </c>
      <c r="J37" t="inlineStr">
        <is>
          <t>Pencabutan</t>
        </is>
      </c>
      <c r="K37" t="n">
        <v>87</v>
      </c>
      <c r="L37" t="inlineStr">
        <is>
          <t>4 Desember 2026</t>
        </is>
      </c>
      <c r="M37" t="inlineStr">
        <is>
          <t>Konstruksi Bangunan Sipil Jalan, Konstruksi Gedung Kesehatan, Konstruksi Gedung Lainnya, Konstruksi Gedung Pendidikan, Konstruksi Jaringan Irigasi dan Drainase</t>
        </is>
      </c>
      <c r="N37" t="inlineStr">
        <is>
          <t>K</t>
        </is>
      </c>
      <c r="O37" t="inlineStr">
        <is>
          <t>20231130, 20231205</t>
        </is>
      </c>
      <c r="P37" t="inlineStr">
        <is>
          <t>Kalimantan Timur</t>
        </is>
      </c>
      <c r="Q37" t="inlineStr"/>
    </row>
    <row r="38">
      <c r="A38" t="inlineStr">
        <is>
          <t>GENTING CHANGE</t>
        </is>
      </c>
      <c r="B38" t="inlineStr">
        <is>
          <t>Kota Batam</t>
        </is>
      </c>
      <c r="C38" t="inlineStr">
        <is>
          <t>081270075888</t>
        </is>
      </c>
      <c r="D38" t="inlineStr">
        <is>
          <t>-</t>
        </is>
      </c>
      <c r="E38" t="inlineStr">
        <is>
          <t>https://lpjk.pu.go.id/search-badan-usaha-detail/VnhjNThmU0VCVWwwNFRFOThkdFlTdz09</t>
        </is>
      </c>
      <c r="F38" t="n">
        <v>2</v>
      </c>
      <c r="G38" t="inlineStr">
        <is>
          <t>BG001, BG009</t>
        </is>
      </c>
      <c r="H38" t="inlineStr">
        <is>
          <t>13 November 2008</t>
        </is>
      </c>
      <c r="I38" s="2" t="n">
        <v>46360</v>
      </c>
      <c r="J38" t="inlineStr">
        <is>
          <t>Disetujui</t>
        </is>
      </c>
      <c r="K38" t="n">
        <v>87</v>
      </c>
      <c r="L38" t="inlineStr">
        <is>
          <t>4 Desember 2026</t>
        </is>
      </c>
      <c r="M38" t="inlineStr">
        <is>
          <t>Konstruksi Gedung Hunian, Konstruksi Gedung Lainnya</t>
        </is>
      </c>
      <c r="N38" t="inlineStr">
        <is>
          <t>K</t>
        </is>
      </c>
      <c r="O38" t="inlineStr">
        <is>
          <t>20231127, 20231130</t>
        </is>
      </c>
      <c r="P38" t="inlineStr">
        <is>
          <t>Kepulauan Riau</t>
        </is>
      </c>
      <c r="Q38" t="inlineStr"/>
    </row>
    <row r="39">
      <c r="A39" t="inlineStr">
        <is>
          <t>GIENDA PUTRA</t>
        </is>
      </c>
      <c r="B39" t="inlineStr">
        <is>
          <t>Kab. Bandung</t>
        </is>
      </c>
      <c r="C39" t="inlineStr">
        <is>
          <t>02287823075</t>
        </is>
      </c>
      <c r="D39" t="inlineStr">
        <is>
          <t>pt.giendaputra@gmail.com</t>
        </is>
      </c>
      <c r="E39" t="inlineStr">
        <is>
          <t>https://lpjk.pu.go.id/search-badan-usaha-detail/UXQwRkNIQW9mYzVKcHVUUnpEWTRRZz09</t>
        </is>
      </c>
      <c r="F39" t="n">
        <v>1</v>
      </c>
      <c r="G39" t="inlineStr">
        <is>
          <t>BS002</t>
        </is>
      </c>
      <c r="H39" t="inlineStr">
        <is>
          <t>22 Mei 2010</t>
        </is>
      </c>
      <c r="I39" s="2" t="n">
        <v>46360</v>
      </c>
      <c r="J39" t="inlineStr">
        <is>
          <t>Pencabutan</t>
        </is>
      </c>
      <c r="K39" t="n">
        <v>87</v>
      </c>
      <c r="L39" t="inlineStr">
        <is>
          <t>4 Desember 2026</t>
        </is>
      </c>
      <c r="M39" t="inlineStr">
        <is>
          <t>Bangunan Sipil Jembatan, Jalan Layang, Fly Over, dan Underpass</t>
        </is>
      </c>
      <c r="N39" t="inlineStr">
        <is>
          <t>B</t>
        </is>
      </c>
      <c r="O39" t="inlineStr">
        <is>
          <t>20231129</t>
        </is>
      </c>
      <c r="P39" t="inlineStr">
        <is>
          <t>Jawa Barat</t>
        </is>
      </c>
      <c r="Q39" t="inlineStr"/>
    </row>
    <row r="40">
      <c r="A40" t="inlineStr">
        <is>
          <t>GRANDEE BANGUN KARYA</t>
        </is>
      </c>
      <c r="B40" t="inlineStr">
        <is>
          <t>Kota Surabaya</t>
        </is>
      </c>
      <c r="C40" t="inlineStr">
        <is>
          <t>082140606607</t>
        </is>
      </c>
      <c r="D40" t="inlineStr">
        <is>
          <t>grandeebangunkarya@gmail.com</t>
        </is>
      </c>
      <c r="E40" t="inlineStr">
        <is>
          <t>https://lpjk.pu.go.id/search-badan-usaha-detail/eGpSTmwybE1SNWtZOE9TRStJN3FGZz09</t>
        </is>
      </c>
      <c r="F40" t="n">
        <v>2</v>
      </c>
      <c r="G40" t="inlineStr">
        <is>
          <t>BS001</t>
        </is>
      </c>
      <c r="H40" t="inlineStr">
        <is>
          <t>18 Agustus 2022</t>
        </is>
      </c>
      <c r="I40" s="2" t="n">
        <v>46360</v>
      </c>
      <c r="J40" t="inlineStr">
        <is>
          <t>Disetujui</t>
        </is>
      </c>
      <c r="K40" t="n">
        <v>87</v>
      </c>
      <c r="L40" t="inlineStr">
        <is>
          <t>4 Desember 2026</t>
        </is>
      </c>
      <c r="M40" t="inlineStr">
        <is>
          <t>Konstruksi Bangunan Sipil Jalan</t>
        </is>
      </c>
      <c r="N40" t="inlineStr">
        <is>
          <t>K</t>
        </is>
      </c>
      <c r="O40" t="inlineStr">
        <is>
          <t>20231204</t>
        </is>
      </c>
      <c r="P40" t="inlineStr">
        <is>
          <t>Jawa Timur</t>
        </is>
      </c>
      <c r="Q40" t="inlineStr"/>
    </row>
    <row r="41">
      <c r="A41" t="inlineStr">
        <is>
          <t>GUNTUR WIJAYA PUTRA</t>
        </is>
      </c>
      <c r="B41" t="inlineStr">
        <is>
          <t>Kota Surabaya</t>
        </is>
      </c>
      <c r="C41" t="inlineStr">
        <is>
          <t>081331946984</t>
        </is>
      </c>
      <c r="D41" t="inlineStr">
        <is>
          <t>haripurwanto878@yahoo.co.id</t>
        </is>
      </c>
      <c r="E41" t="inlineStr">
        <is>
          <t>https://lpjk.pu.go.id/search-badan-usaha-detail/bWJNR3lsMkcrVW5DeENEVzdhV3VBUT09</t>
        </is>
      </c>
      <c r="F41" t="n">
        <v>1</v>
      </c>
      <c r="G41" t="inlineStr">
        <is>
          <t>BG006</t>
        </is>
      </c>
      <c r="H41" t="inlineStr">
        <is>
          <t>22 Juni 1990</t>
        </is>
      </c>
      <c r="I41" s="2" t="n">
        <v>46360</v>
      </c>
      <c r="J41" t="inlineStr">
        <is>
          <t>Disetujui</t>
        </is>
      </c>
      <c r="K41" t="n">
        <v>87</v>
      </c>
      <c r="L41" t="inlineStr">
        <is>
          <t>4 Desember 2026</t>
        </is>
      </c>
      <c r="M41" t="inlineStr">
        <is>
          <t>Konstruksi Gedung Pendidikan</t>
        </is>
      </c>
      <c r="N41" t="inlineStr">
        <is>
          <t>K</t>
        </is>
      </c>
      <c r="O41" t="inlineStr">
        <is>
          <t>20231130</t>
        </is>
      </c>
      <c r="P41" t="inlineStr">
        <is>
          <t>Jawa Timur</t>
        </is>
      </c>
      <c r="Q41" t="inlineStr"/>
    </row>
    <row r="42">
      <c r="A42" t="inlineStr">
        <is>
          <t>HIKMAH TERANG</t>
        </is>
      </c>
      <c r="B42" t="inlineStr">
        <is>
          <t>Kab. Indramayu</t>
        </is>
      </c>
      <c r="C42" t="inlineStr">
        <is>
          <t>087728910908</t>
        </is>
      </c>
      <c r="D42" t="inlineStr">
        <is>
          <t>hikmahterang75@gmail.com</t>
        </is>
      </c>
      <c r="E42" t="inlineStr">
        <is>
          <t>https://lpjk.pu.go.id/search-badan-usaha-detail/L1FpT052ZlZqclF1STVycU5QWnNHQT09</t>
        </is>
      </c>
      <c r="F42" t="n">
        <v>10</v>
      </c>
      <c r="G42" t="inlineStr">
        <is>
          <t>BG006, BG009, BS001, BS002, BS004</t>
        </is>
      </c>
      <c r="H42" t="inlineStr">
        <is>
          <t>13 Oktober 2021</t>
        </is>
      </c>
      <c r="I42" s="2" t="n">
        <v>46360</v>
      </c>
      <c r="J42" t="inlineStr">
        <is>
          <t>Disetujui, Pencabutan</t>
        </is>
      </c>
      <c r="K42" t="n">
        <v>87</v>
      </c>
      <c r="L42" t="inlineStr">
        <is>
          <t>4 Desember 2026</t>
        </is>
      </c>
      <c r="M42" t="inlineStr">
        <is>
          <t>Bangunan Sipil Jembatan, Jalan Layang, Fly Over, dan Underpass, Konstruksi Bangunan Sipil Jalan, Konstruksi Gedung Lainnya, Konstruksi Gedung Pendidikan, Konstruksi Jaringan Irigasi dan Drainase</t>
        </is>
      </c>
      <c r="N42" t="inlineStr">
        <is>
          <t>K</t>
        </is>
      </c>
      <c r="O42" t="inlineStr">
        <is>
          <t>20231120, 20231201</t>
        </is>
      </c>
      <c r="P42" t="inlineStr">
        <is>
          <t>Jawa Barat</t>
        </is>
      </c>
      <c r="Q42" t="inlineStr"/>
    </row>
    <row r="43">
      <c r="A43" t="inlineStr">
        <is>
          <t>INDEC INTERNUSA</t>
        </is>
      </c>
      <c r="B43" t="inlineStr">
        <is>
          <t>Kota Bandung</t>
        </is>
      </c>
      <c r="C43" t="inlineStr">
        <is>
          <t>082216627674</t>
        </is>
      </c>
      <c r="D43" t="inlineStr">
        <is>
          <t>indecinternusabdg@gmail.com</t>
        </is>
      </c>
      <c r="E43" t="inlineStr">
        <is>
          <t>https://lpjk.pu.go.id/search-badan-usaha-detail/eGxLV21MRkw4NzkybnVpZTJpVTJ0QT09</t>
        </is>
      </c>
      <c r="F43" t="n">
        <v>3</v>
      </c>
      <c r="G43" t="inlineStr">
        <is>
          <t>IT002, IT003, RK005</t>
        </is>
      </c>
      <c r="H43" t="inlineStr">
        <is>
          <t>16 September 1971</t>
        </is>
      </c>
      <c r="I43" s="2" t="n">
        <v>46360</v>
      </c>
      <c r="J43" t="inlineStr">
        <is>
          <t>Disetujui</t>
        </is>
      </c>
      <c r="K43" t="n">
        <v>87</v>
      </c>
      <c r="L43" t="inlineStr">
        <is>
          <t>4 Desember 2026</t>
        </is>
      </c>
      <c r="M43" t="inlineStr">
        <is>
          <t>Jasa Konsultansi Ilmiah dan Teknis Bawah Tanah, Jasa Konsultansi Ilmiah dan Teknis Permukaan Tanah dan Pembuatan Peta, Jasa Rekayasa Lainnya</t>
        </is>
      </c>
      <c r="N43" t="inlineStr">
        <is>
          <t>K, Spesialis</t>
        </is>
      </c>
      <c r="O43" t="inlineStr">
        <is>
          <t>20231106</t>
        </is>
      </c>
      <c r="P43" t="inlineStr">
        <is>
          <t>Jawa Barat</t>
        </is>
      </c>
      <c r="Q43" t="inlineStr"/>
    </row>
    <row r="44">
      <c r="A44" t="inlineStr">
        <is>
          <t>INDOCONT PREFAB</t>
        </is>
      </c>
      <c r="B44" t="inlineStr">
        <is>
          <t>Kota Adm. Jakarta Barat</t>
        </is>
      </c>
      <c r="C44" t="inlineStr">
        <is>
          <t>087785411020</t>
        </is>
      </c>
      <c r="D44" t="inlineStr">
        <is>
          <t>prefabindocont@gmail.com</t>
        </is>
      </c>
      <c r="E44" t="inlineStr">
        <is>
          <t>https://lpjk.pu.go.id/search-badan-usaha-detail/a0hyOStNcTZSWWM4K0pyVklabjFLZz09</t>
        </is>
      </c>
      <c r="F44" t="n">
        <v>1</v>
      </c>
      <c r="G44" t="inlineStr">
        <is>
          <t>BG003</t>
        </is>
      </c>
      <c r="H44" t="inlineStr">
        <is>
          <t>11 Agustus 2022</t>
        </is>
      </c>
      <c r="I44" s="2" t="n">
        <v>46360</v>
      </c>
      <c r="J44" t="inlineStr">
        <is>
          <t>Disetujui</t>
        </is>
      </c>
      <c r="K44" t="n">
        <v>87</v>
      </c>
      <c r="L44" t="inlineStr">
        <is>
          <t>4 Desember 2026</t>
        </is>
      </c>
      <c r="M44" t="inlineStr">
        <is>
          <t>Konstruksi Gedung Industri</t>
        </is>
      </c>
      <c r="N44" t="inlineStr">
        <is>
          <t>K</t>
        </is>
      </c>
      <c r="O44" t="inlineStr">
        <is>
          <t>20231203</t>
        </is>
      </c>
      <c r="P44" t="inlineStr">
        <is>
          <t>DKI Jakarta</t>
        </is>
      </c>
      <c r="Q44" t="inlineStr"/>
    </row>
    <row r="45">
      <c r="A45" t="inlineStr">
        <is>
          <t>KALAM RAYA</t>
        </is>
      </c>
      <c r="B45" t="inlineStr">
        <is>
          <t>Kota Sorong</t>
        </is>
      </c>
      <c r="C45" t="inlineStr">
        <is>
          <t>085231545953</t>
        </is>
      </c>
      <c r="D45" t="inlineStr">
        <is>
          <t>kalamraya01@gmail.com</t>
        </is>
      </c>
      <c r="E45" t="inlineStr">
        <is>
          <t>https://lpjk.pu.go.id/search-badan-usaha-detail/a3ljblhVNFkzTVBGMEtjek5PTzRhZz09</t>
        </is>
      </c>
      <c r="F45" t="n">
        <v>4</v>
      </c>
      <c r="G45" t="inlineStr">
        <is>
          <t>BG001, BG002, BG003, BG009</t>
        </is>
      </c>
      <c r="H45" t="inlineStr">
        <is>
          <t>13 Januari 2005</t>
        </is>
      </c>
      <c r="I45" s="2" t="n">
        <v>46360</v>
      </c>
      <c r="J45" t="inlineStr">
        <is>
          <t>Disetujui</t>
        </is>
      </c>
      <c r="K45" t="n">
        <v>87</v>
      </c>
      <c r="L45" t="inlineStr">
        <is>
          <t>4 Desember 2026</t>
        </is>
      </c>
      <c r="M45" t="inlineStr">
        <is>
          <t>Konstruksi Gedung Hunian, Konstruksi Gedung Industri, Konstruksi Gedung Lainnya, Konstruksi Gedung Perkantoran</t>
        </is>
      </c>
      <c r="N45" t="inlineStr">
        <is>
          <t>K</t>
        </is>
      </c>
      <c r="O45" t="inlineStr">
        <is>
          <t>20231204, 20231205</t>
        </is>
      </c>
      <c r="P45" t="inlineStr">
        <is>
          <t>Papua Barat Daya</t>
        </is>
      </c>
      <c r="Q45" t="inlineStr"/>
    </row>
    <row r="46">
      <c r="A46" t="inlineStr">
        <is>
          <t>KARYA GADING</t>
        </is>
      </c>
      <c r="B46" t="inlineStr">
        <is>
          <t>Kab. Hulu Sungai Utara</t>
        </is>
      </c>
      <c r="C46" t="inlineStr">
        <is>
          <t>085215401255</t>
        </is>
      </c>
      <c r="D46" t="inlineStr">
        <is>
          <t>Karyagading.Amt@Gmail.com</t>
        </is>
      </c>
      <c r="E46" t="inlineStr">
        <is>
          <t>https://lpjk.pu.go.id/search-badan-usaha-detail/eFZEc082cWJNTzk3eGdBckZML0lBZz09</t>
        </is>
      </c>
      <c r="F46" t="n">
        <v>2</v>
      </c>
      <c r="G46" t="inlineStr">
        <is>
          <t>BG006, BS010</t>
        </is>
      </c>
      <c r="H46" t="inlineStr">
        <is>
          <t>6 Januari 2022</t>
        </is>
      </c>
      <c r="I46" s="2" t="n">
        <v>46360</v>
      </c>
      <c r="J46" t="inlineStr">
        <is>
          <t>Disetujui</t>
        </is>
      </c>
      <c r="K46" t="n">
        <v>87</v>
      </c>
      <c r="L46" t="inlineStr">
        <is>
          <t>4 Desember 2026</t>
        </is>
      </c>
      <c r="M46" t="inlineStr">
        <is>
          <t>Konstruksi Bangunan Prasarana Sumber Daya Air, Konstruksi Gedung Pendidikan</t>
        </is>
      </c>
      <c r="N46" t="inlineStr">
        <is>
          <t>K</t>
        </is>
      </c>
      <c r="O46" t="inlineStr">
        <is>
          <t>20230912, 20231128</t>
        </is>
      </c>
      <c r="P46" t="inlineStr">
        <is>
          <t>Kalimantan Selatan</t>
        </is>
      </c>
      <c r="Q46" t="inlineStr"/>
    </row>
    <row r="47">
      <c r="A47" t="inlineStr">
        <is>
          <t>KARYA WAYA UTAMA</t>
        </is>
      </c>
      <c r="B47" t="inlineStr">
        <is>
          <t>Kab. Minahasa</t>
        </is>
      </c>
      <c r="C47" t="inlineStr">
        <is>
          <t>081340225343</t>
        </is>
      </c>
      <c r="D47" t="inlineStr">
        <is>
          <t>cv.kwu2020@gmail.com</t>
        </is>
      </c>
      <c r="E47" t="inlineStr">
        <is>
          <t>https://lpjk.pu.go.id/search-badan-usaha-detail/bFlPSnp0N24rU05sVXI4MitTcWI3dz09</t>
        </is>
      </c>
      <c r="F47" t="n">
        <v>1</v>
      </c>
      <c r="G47" t="inlineStr">
        <is>
          <t>BG006</t>
        </is>
      </c>
      <c r="H47" t="inlineStr">
        <is>
          <t>13 November 2020</t>
        </is>
      </c>
      <c r="I47" s="2" t="n">
        <v>46360</v>
      </c>
      <c r="J47" t="inlineStr">
        <is>
          <t>Disetujui</t>
        </is>
      </c>
      <c r="K47" t="n">
        <v>87</v>
      </c>
      <c r="L47" t="inlineStr">
        <is>
          <t>4 Desember 2026</t>
        </is>
      </c>
      <c r="M47" t="inlineStr">
        <is>
          <t>Konstruksi Gedung Pendidikan</t>
        </is>
      </c>
      <c r="N47" t="inlineStr">
        <is>
          <t>K</t>
        </is>
      </c>
      <c r="O47" t="inlineStr">
        <is>
          <t>20231201</t>
        </is>
      </c>
      <c r="P47" t="inlineStr">
        <is>
          <t>Sulawesi Utara</t>
        </is>
      </c>
      <c r="Q47" t="inlineStr"/>
    </row>
    <row r="48">
      <c r="A48" t="inlineStr">
        <is>
          <t>KEMBANG ABDHY JAYA</t>
        </is>
      </c>
      <c r="B48" t="inlineStr">
        <is>
          <t>Kab. Gianyar</t>
        </is>
      </c>
      <c r="C48" t="inlineStr">
        <is>
          <t>081339799312</t>
        </is>
      </c>
      <c r="D48" t="inlineStr">
        <is>
          <t>cvkembangabdhyjaya@gmail.com</t>
        </is>
      </c>
      <c r="E48" t="inlineStr">
        <is>
          <t>https://lpjk.pu.go.id/search-badan-usaha-detail/VEJVRnRLZVlKU2xuamxsWjBJemdGQT09</t>
        </is>
      </c>
      <c r="F48" t="n">
        <v>5</v>
      </c>
      <c r="G48" t="inlineStr">
        <is>
          <t>BG001, BG006, BG007, BG008, BG009</t>
        </is>
      </c>
      <c r="H48" t="inlineStr">
        <is>
          <t>24 Oktober 2023</t>
        </is>
      </c>
      <c r="I48" s="2" t="n">
        <v>46360</v>
      </c>
      <c r="J48" t="inlineStr">
        <is>
          <t>Disetujui</t>
        </is>
      </c>
      <c r="K48" t="n">
        <v>87</v>
      </c>
      <c r="L48" t="inlineStr">
        <is>
          <t>4 Desember 2026</t>
        </is>
      </c>
      <c r="M48" t="inlineStr">
        <is>
          <t>Konstruksi Gedung Hunian, Konstruksi Gedung Lainnya, Konstruksi Gedung Pendidikan, Konstruksi Gedung Penginapan, Konstruksi Gedung Tempat Hiburan dan Olahraga</t>
        </is>
      </c>
      <c r="N48" t="inlineStr">
        <is>
          <t>K</t>
        </is>
      </c>
      <c r="O48" t="inlineStr">
        <is>
          <t>20231130</t>
        </is>
      </c>
      <c r="P48" t="inlineStr">
        <is>
          <t>Bali</t>
        </is>
      </c>
      <c r="Q48" t="inlineStr"/>
    </row>
    <row r="49">
      <c r="A49" t="inlineStr">
        <is>
          <t>MAHADIRAJA BERKAT AMANAH</t>
        </is>
      </c>
      <c r="B49" t="inlineStr">
        <is>
          <t>Kab. Tanah Bumbu</t>
        </is>
      </c>
      <c r="C49" t="inlineStr">
        <is>
          <t>081348551505</t>
        </is>
      </c>
      <c r="D49" t="inlineStr">
        <is>
          <t>cvmahadiraja57@gmail.com</t>
        </is>
      </c>
      <c r="E49" t="inlineStr">
        <is>
          <t>https://lpjk.pu.go.id/search-badan-usaha-detail/NkkwRVFZdVFGQUJ0NE1udThIMndodz09</t>
        </is>
      </c>
      <c r="F49" t="n">
        <v>1</v>
      </c>
      <c r="G49" t="inlineStr">
        <is>
          <t>BS001</t>
        </is>
      </c>
      <c r="H49" t="inlineStr">
        <is>
          <t>9 April 2020</t>
        </is>
      </c>
      <c r="I49" s="2" t="n">
        <v>46360</v>
      </c>
      <c r="J49" t="inlineStr">
        <is>
          <t>Disetujui</t>
        </is>
      </c>
      <c r="K49" t="n">
        <v>87</v>
      </c>
      <c r="L49" t="inlineStr">
        <is>
          <t>4 Desember 2026</t>
        </is>
      </c>
      <c r="M49" t="inlineStr">
        <is>
          <t>Konstruksi Bangunan Sipil Jalan</t>
        </is>
      </c>
      <c r="N49" t="inlineStr">
        <is>
          <t>K</t>
        </is>
      </c>
      <c r="O49" t="inlineStr">
        <is>
          <t>20231130</t>
        </is>
      </c>
      <c r="P49" t="inlineStr">
        <is>
          <t>Kalimantan Selatan</t>
        </is>
      </c>
      <c r="Q49" t="inlineStr"/>
    </row>
    <row r="50">
      <c r="A50" t="inlineStr">
        <is>
          <t>MAHARANI LESTARI JAYA</t>
        </is>
      </c>
      <c r="B50" t="inlineStr">
        <is>
          <t>Kab. Jombang</t>
        </is>
      </c>
      <c r="C50" t="inlineStr">
        <is>
          <t>081335278164</t>
        </is>
      </c>
      <c r="D50" t="inlineStr">
        <is>
          <t>pt.maharanilestarijaya@gmail.com</t>
        </is>
      </c>
      <c r="E50" t="inlineStr">
        <is>
          <t>https://lpjk.pu.go.id/search-badan-usaha-detail/c0QvN2FBNUxzcy9YT2pGUHJ6UHZRQT09</t>
        </is>
      </c>
      <c r="F50" t="n">
        <v>4</v>
      </c>
      <c r="G50" t="inlineStr">
        <is>
          <t>BG006</t>
        </is>
      </c>
      <c r="H50" t="inlineStr">
        <is>
          <t>31 Agustus 2023</t>
        </is>
      </c>
      <c r="I50" s="2" t="n">
        <v>46360</v>
      </c>
      <c r="J50" t="inlineStr">
        <is>
          <t>Disetujui</t>
        </is>
      </c>
      <c r="K50" t="n">
        <v>87</v>
      </c>
      <c r="L50" t="inlineStr">
        <is>
          <t>4 Desember 2026</t>
        </is>
      </c>
      <c r="M50" t="inlineStr">
        <is>
          <t>Konstruksi Gedung Pendidikan</t>
        </is>
      </c>
      <c r="N50" t="inlineStr">
        <is>
          <t>K</t>
        </is>
      </c>
      <c r="O50" t="inlineStr">
        <is>
          <t>20231124</t>
        </is>
      </c>
      <c r="P50" t="inlineStr">
        <is>
          <t>Jawa Timur</t>
        </is>
      </c>
      <c r="Q50" t="inlineStr"/>
    </row>
    <row r="51">
      <c r="A51" t="inlineStr">
        <is>
          <t>MEGAH JAYA MANDIRI</t>
        </is>
      </c>
      <c r="B51" t="inlineStr">
        <is>
          <t>Kota Tangerang Selatan</t>
        </is>
      </c>
      <c r="C51" t="inlineStr">
        <is>
          <t>02173493527</t>
        </is>
      </c>
      <c r="D51" t="inlineStr">
        <is>
          <t>ptmegahjaya@yahoo.com</t>
        </is>
      </c>
      <c r="E51" t="inlineStr">
        <is>
          <t>https://lpjk.pu.go.id/search-badan-usaha-detail/a3h4VFFuRXZXbFMwNGMxaVpuWkxHUT09</t>
        </is>
      </c>
      <c r="F51" t="n">
        <v>2</v>
      </c>
      <c r="G51" t="inlineStr">
        <is>
          <t>BG002</t>
        </is>
      </c>
      <c r="H51" t="inlineStr">
        <is>
          <t>21 November 2012</t>
        </is>
      </c>
      <c r="I51" s="2" t="n">
        <v>46360</v>
      </c>
      <c r="J51" t="inlineStr">
        <is>
          <t>Disetujui</t>
        </is>
      </c>
      <c r="K51" t="n">
        <v>87</v>
      </c>
      <c r="L51" t="inlineStr">
        <is>
          <t>4 Desember 2026</t>
        </is>
      </c>
      <c r="M51" t="inlineStr">
        <is>
          <t>Konstruksi Gedung Perkantoran</t>
        </is>
      </c>
      <c r="N51" t="inlineStr">
        <is>
          <t>M</t>
        </is>
      </c>
      <c r="O51" t="inlineStr">
        <is>
          <t>20231119</t>
        </is>
      </c>
      <c r="P51" t="inlineStr">
        <is>
          <t>Banten</t>
        </is>
      </c>
      <c r="Q51" t="inlineStr"/>
    </row>
    <row r="52">
      <c r="A52" t="inlineStr">
        <is>
          <t>MITRA MANDIRI MAJU</t>
        </is>
      </c>
      <c r="B52" t="inlineStr">
        <is>
          <t>Kota Surabaya</t>
        </is>
      </c>
      <c r="C52" t="inlineStr">
        <is>
          <t>0315313394</t>
        </is>
      </c>
      <c r="D52" t="inlineStr">
        <is>
          <t>service@mitramandirimaju.com</t>
        </is>
      </c>
      <c r="E52" t="inlineStr">
        <is>
          <t>https://lpjk.pu.go.id/search-badan-usaha-detail/ZDVHRjB1dS9ZNGpzWmpXaE9BYVRUZz09</t>
        </is>
      </c>
      <c r="F52" t="n">
        <v>1</v>
      </c>
      <c r="G52" t="inlineStr">
        <is>
          <t>BG009</t>
        </is>
      </c>
      <c r="H52" t="inlineStr">
        <is>
          <t>9 Desember 1999</t>
        </is>
      </c>
      <c r="I52" s="2" t="n">
        <v>46360</v>
      </c>
      <c r="J52" t="inlineStr">
        <is>
          <t>Disetujui</t>
        </is>
      </c>
      <c r="K52" t="n">
        <v>87</v>
      </c>
      <c r="L52" t="inlineStr">
        <is>
          <t>4 Desember 2026</t>
        </is>
      </c>
      <c r="M52" t="inlineStr">
        <is>
          <t>Konstruksi Gedung Lainnya</t>
        </is>
      </c>
      <c r="N52" t="inlineStr">
        <is>
          <t>K</t>
        </is>
      </c>
      <c r="O52" t="inlineStr">
        <is>
          <t>20231201</t>
        </is>
      </c>
      <c r="P52" t="inlineStr">
        <is>
          <t>Jawa Timur</t>
        </is>
      </c>
      <c r="Q52" t="inlineStr"/>
    </row>
    <row r="53">
      <c r="A53" t="inlineStr">
        <is>
          <t>MORANTE MARAYA</t>
        </is>
      </c>
      <c r="B53" t="inlineStr">
        <is>
          <t>Kab. Kutai Timur</t>
        </is>
      </c>
      <c r="C53" t="inlineStr">
        <is>
          <t>081226255605</t>
        </is>
      </c>
      <c r="D53" t="inlineStr">
        <is>
          <t>morantemaraya@gmail.com</t>
        </is>
      </c>
      <c r="E53" t="inlineStr">
        <is>
          <t>https://lpjk.pu.go.id/search-badan-usaha-detail/LzRGVVZvZUFDR3Qrc3hVVUk4ei9GQT09</t>
        </is>
      </c>
      <c r="F53" t="n">
        <v>3</v>
      </c>
      <c r="G53" t="inlineStr">
        <is>
          <t>BG009, BS001, BS004</t>
        </is>
      </c>
      <c r="H53" t="inlineStr">
        <is>
          <t>15 November 2023</t>
        </is>
      </c>
      <c r="I53" s="2" t="n">
        <v>46360</v>
      </c>
      <c r="J53" t="inlineStr">
        <is>
          <t>Disetujui</t>
        </is>
      </c>
      <c r="K53" t="n">
        <v>87</v>
      </c>
      <c r="L53" t="inlineStr">
        <is>
          <t>4 Desember 2026</t>
        </is>
      </c>
      <c r="M53" t="inlineStr">
        <is>
          <t>Konstruksi Bangunan Sipil Jalan, Konstruksi Gedung Lainnya, Konstruksi Jaringan Irigasi dan Drainase</t>
        </is>
      </c>
      <c r="N53" t="inlineStr">
        <is>
          <t>K</t>
        </is>
      </c>
      <c r="O53" t="inlineStr">
        <is>
          <t>20231130, 20231205</t>
        </is>
      </c>
      <c r="P53" t="inlineStr">
        <is>
          <t>Kalimantan Timur</t>
        </is>
      </c>
      <c r="Q53" t="inlineStr"/>
    </row>
    <row r="54">
      <c r="A54" t="inlineStr">
        <is>
          <t>NUSANTARA VICTORY</t>
        </is>
      </c>
      <c r="B54" t="inlineStr">
        <is>
          <t>Kota Semarang</t>
        </is>
      </c>
      <c r="C54" t="inlineStr">
        <is>
          <t>08157690910</t>
        </is>
      </c>
      <c r="D54" t="inlineStr">
        <is>
          <t>nusavitry@gmail.com</t>
        </is>
      </c>
      <c r="E54" t="inlineStr">
        <is>
          <t>https://lpjk.pu.go.id/search-badan-usaha-detail/V1lWb0h4cnR4SU9jTDlVeVgydlQ0dz09</t>
        </is>
      </c>
      <c r="F54" t="n">
        <v>1</v>
      </c>
      <c r="G54" t="inlineStr">
        <is>
          <t>BG003</t>
        </is>
      </c>
      <c r="H54" t="inlineStr">
        <is>
          <t>10 November 2022</t>
        </is>
      </c>
      <c r="I54" s="2" t="n">
        <v>46360</v>
      </c>
      <c r="J54" t="inlineStr">
        <is>
          <t>Disetujui</t>
        </is>
      </c>
      <c r="K54" t="n">
        <v>87</v>
      </c>
      <c r="L54" t="inlineStr">
        <is>
          <t>4 Desember 2026</t>
        </is>
      </c>
      <c r="M54" t="inlineStr">
        <is>
          <t>Konstruksi Gedung Industri</t>
        </is>
      </c>
      <c r="N54" t="inlineStr">
        <is>
          <t>K</t>
        </is>
      </c>
      <c r="O54" t="inlineStr">
        <is>
          <t>20231121</t>
        </is>
      </c>
      <c r="P54" t="inlineStr">
        <is>
          <t>Jawa Tengah</t>
        </is>
      </c>
      <c r="Q54" t="inlineStr"/>
    </row>
    <row r="55">
      <c r="A55" t="inlineStr">
        <is>
          <t>PAKU ALAM RAYA</t>
        </is>
      </c>
      <c r="B55" t="inlineStr">
        <is>
          <t>Kota Ambon</t>
        </is>
      </c>
      <c r="C55" t="inlineStr">
        <is>
          <t>081343422617</t>
        </is>
      </c>
      <c r="D55" t="inlineStr">
        <is>
          <t>pakualamraya@gmail.com</t>
        </is>
      </c>
      <c r="E55" t="inlineStr">
        <is>
          <t>https://lpjk.pu.go.id/search-badan-usaha-detail/dHI5aFc4ZWNzcnUrY0QxZVlNUFZRQT09</t>
        </is>
      </c>
      <c r="F55" t="n">
        <v>1</v>
      </c>
      <c r="G55" t="inlineStr">
        <is>
          <t>BS001</t>
        </is>
      </c>
      <c r="H55" t="inlineStr">
        <is>
          <t>25 Februari 2014</t>
        </is>
      </c>
      <c r="I55" s="2" t="n">
        <v>46360</v>
      </c>
      <c r="J55" t="inlineStr">
        <is>
          <t>Pencabutan</t>
        </is>
      </c>
      <c r="K55" t="n">
        <v>87</v>
      </c>
      <c r="L55" t="inlineStr">
        <is>
          <t>4 Desember 2026</t>
        </is>
      </c>
      <c r="M55" t="inlineStr">
        <is>
          <t>Konstruksi Bangunan Sipil Jalan</t>
        </is>
      </c>
      <c r="N55" t="inlineStr">
        <is>
          <t>M</t>
        </is>
      </c>
      <c r="O55" t="inlineStr">
        <is>
          <t>20231118</t>
        </is>
      </c>
      <c r="P55" t="inlineStr">
        <is>
          <t>Maluku</t>
        </is>
      </c>
      <c r="Q55" t="inlineStr"/>
    </row>
    <row r="56">
      <c r="A56" t="inlineStr">
        <is>
          <t>PANCA LINGGA PERKASA</t>
        </is>
      </c>
      <c r="B56" t="inlineStr">
        <is>
          <t>Kab. Tangerang</t>
        </is>
      </c>
      <c r="C56" t="inlineStr">
        <is>
          <t>081390506150</t>
        </is>
      </c>
      <c r="D56" t="inlineStr">
        <is>
          <t>pancalinggaperkasa@gmail.com</t>
        </is>
      </c>
      <c r="E56" t="inlineStr">
        <is>
          <t>https://lpjk.pu.go.id/search-badan-usaha-detail/RXZwbkFsWmFReExwVVUrWmNFejB0UT09</t>
        </is>
      </c>
      <c r="F56" t="n">
        <v>1</v>
      </c>
      <c r="G56" t="inlineStr">
        <is>
          <t>BG002</t>
        </is>
      </c>
      <c r="H56" t="inlineStr">
        <is>
          <t>27 Agustus 2015</t>
        </is>
      </c>
      <c r="I56" s="2" t="n">
        <v>46360</v>
      </c>
      <c r="J56" t="inlineStr">
        <is>
          <t>Disetujui</t>
        </is>
      </c>
      <c r="K56" t="n">
        <v>87</v>
      </c>
      <c r="L56" t="inlineStr">
        <is>
          <t>4 Desember 2026</t>
        </is>
      </c>
      <c r="M56" t="inlineStr">
        <is>
          <t>Konstruksi Gedung Perkantoran</t>
        </is>
      </c>
      <c r="N56" t="inlineStr">
        <is>
          <t>K</t>
        </is>
      </c>
      <c r="O56" t="inlineStr">
        <is>
          <t>20231130</t>
        </is>
      </c>
      <c r="P56" t="inlineStr">
        <is>
          <t>Banten</t>
        </is>
      </c>
      <c r="Q56" t="inlineStr"/>
    </row>
    <row r="57">
      <c r="A57" t="inlineStr">
        <is>
          <t>PATRA JAYA AGUNG</t>
        </is>
      </c>
      <c r="B57" t="inlineStr">
        <is>
          <t>Kota Batam</t>
        </is>
      </c>
      <c r="C57" t="inlineStr">
        <is>
          <t>085264402021</t>
        </is>
      </c>
      <c r="D57" t="inlineStr">
        <is>
          <t>tripuji.patragroup@gmail.com</t>
        </is>
      </c>
      <c r="E57" t="inlineStr">
        <is>
          <t>https://lpjk.pu.go.id/search-badan-usaha-detail/T1k0MVJ6MUJMYkJqNm43SVNNQUwrUT09</t>
        </is>
      </c>
      <c r="F57" t="n">
        <v>2</v>
      </c>
      <c r="G57" t="inlineStr">
        <is>
          <t>BG003, BG009</t>
        </is>
      </c>
      <c r="H57" t="inlineStr">
        <is>
          <t>31 Mei 2011</t>
        </is>
      </c>
      <c r="I57" s="2" t="n">
        <v>46360</v>
      </c>
      <c r="J57" t="inlineStr">
        <is>
          <t>Disetujui</t>
        </is>
      </c>
      <c r="K57" t="n">
        <v>87</v>
      </c>
      <c r="L57" t="inlineStr">
        <is>
          <t>4 Desember 2026</t>
        </is>
      </c>
      <c r="M57" t="inlineStr">
        <is>
          <t>Konstruksi Gedung Industri, Konstruksi Gedung Lainnya</t>
        </is>
      </c>
      <c r="N57" t="inlineStr">
        <is>
          <t>K</t>
        </is>
      </c>
      <c r="O57" t="inlineStr">
        <is>
          <t>20231204</t>
        </is>
      </c>
      <c r="P57" t="inlineStr">
        <is>
          <t>Kepulauan Riau</t>
        </is>
      </c>
      <c r="Q57" t="inlineStr"/>
    </row>
    <row r="58">
      <c r="A58" t="inlineStr">
        <is>
          <t>PERMAI</t>
        </is>
      </c>
      <c r="B58" t="inlineStr">
        <is>
          <t>Kota Denpasar</t>
        </is>
      </c>
      <c r="C58" t="inlineStr">
        <is>
          <t>085100967997</t>
        </is>
      </c>
      <c r="D58" t="inlineStr">
        <is>
          <t>cvpermaidps@gmail.com</t>
        </is>
      </c>
      <c r="E58" t="inlineStr">
        <is>
          <t>https://lpjk.pu.go.id/search-badan-usaha-detail/SFlMZ1VFRE5LMFRSZm9WbUZkM1BWZz09</t>
        </is>
      </c>
      <c r="F58" t="n">
        <v>1</v>
      </c>
      <c r="G58" t="inlineStr">
        <is>
          <t>BS010</t>
        </is>
      </c>
      <c r="H58" t="inlineStr">
        <is>
          <t>12 November 1984</t>
        </is>
      </c>
      <c r="I58" s="2" t="n">
        <v>46360</v>
      </c>
      <c r="J58" t="inlineStr">
        <is>
          <t>Disetujui</t>
        </is>
      </c>
      <c r="K58" t="n">
        <v>87</v>
      </c>
      <c r="L58" t="inlineStr">
        <is>
          <t>4 Desember 2026</t>
        </is>
      </c>
      <c r="M58" t="inlineStr">
        <is>
          <t>Konstruksi Bangunan Prasarana Sumber Daya Air</t>
        </is>
      </c>
      <c r="N58" t="inlineStr">
        <is>
          <t>K</t>
        </is>
      </c>
      <c r="O58" t="inlineStr">
        <is>
          <t>20231123</t>
        </is>
      </c>
      <c r="P58" t="inlineStr">
        <is>
          <t>Bali</t>
        </is>
      </c>
      <c r="Q58" t="inlineStr"/>
    </row>
    <row r="59">
      <c r="A59" t="inlineStr">
        <is>
          <t>PRAJANATA</t>
        </is>
      </c>
      <c r="B59" t="inlineStr">
        <is>
          <t>Kab. Tabanan</t>
        </is>
      </c>
      <c r="C59" t="inlineStr">
        <is>
          <t>081246590420</t>
        </is>
      </c>
      <c r="D59" t="inlineStr">
        <is>
          <t>prajanatacv@yahoo.co.id</t>
        </is>
      </c>
      <c r="E59" t="inlineStr">
        <is>
          <t>https://lpjk.pu.go.id/search-badan-usaha-detail/QkRrb1o2VFhtUmpCbXdzcHBRU1drdz09</t>
        </is>
      </c>
      <c r="F59" t="n">
        <v>1</v>
      </c>
      <c r="G59" t="inlineStr">
        <is>
          <t>BG005</t>
        </is>
      </c>
      <c r="H59" t="inlineStr">
        <is>
          <t>15 Januari 2001</t>
        </is>
      </c>
      <c r="I59" s="2" t="n">
        <v>46360</v>
      </c>
      <c r="J59" t="inlineStr">
        <is>
          <t>Disetujui</t>
        </is>
      </c>
      <c r="K59" t="n">
        <v>87</v>
      </c>
      <c r="L59" t="inlineStr">
        <is>
          <t>4 Desember 2026</t>
        </is>
      </c>
      <c r="M59" t="inlineStr">
        <is>
          <t>Konstruksi Gedung Kesehatan</t>
        </is>
      </c>
      <c r="N59" t="inlineStr">
        <is>
          <t>K</t>
        </is>
      </c>
      <c r="O59" t="inlineStr">
        <is>
          <t>20231121</t>
        </is>
      </c>
      <c r="P59" t="inlineStr">
        <is>
          <t>Bali</t>
        </is>
      </c>
      <c r="Q59" t="inlineStr"/>
    </row>
    <row r="60">
      <c r="A60" t="inlineStr">
        <is>
          <t>PRAPTA CIPTA SARANA</t>
        </is>
      </c>
      <c r="B60" t="inlineStr">
        <is>
          <t>Kota Makassar</t>
        </is>
      </c>
      <c r="C60" t="inlineStr">
        <is>
          <t>085255139377</t>
        </is>
      </c>
      <c r="D60" t="inlineStr">
        <is>
          <t>praptaciptasarana@gmail.com</t>
        </is>
      </c>
      <c r="E60" t="inlineStr">
        <is>
          <t>https://lpjk.pu.go.id/search-badan-usaha-detail/Y3BIY0RYV2pCOGFCbGxqWVdxN2xEQT09</t>
        </is>
      </c>
      <c r="F60" t="n">
        <v>6</v>
      </c>
      <c r="G60" t="inlineStr">
        <is>
          <t>BG001, BG002, BG003, BG004, BG005, BS001</t>
        </is>
      </c>
      <c r="H60" t="inlineStr">
        <is>
          <t>9 April 2020</t>
        </is>
      </c>
      <c r="I60" s="2" t="n">
        <v>46360</v>
      </c>
      <c r="J60" t="inlineStr">
        <is>
          <t>Disetujui</t>
        </is>
      </c>
      <c r="K60" t="n">
        <v>87</v>
      </c>
      <c r="L60" t="inlineStr">
        <is>
          <t>4 Desember 2026</t>
        </is>
      </c>
      <c r="M60" t="inlineStr">
        <is>
          <t>Konstruksi Bangunan Sipil Jalan, Konstruksi Gedung Hunian, Konstruksi Gedung Industri, Konstruksi Gedung Kesehatan, Konstruksi Gedung Perbelanjaan, Konstruksi Gedung Perkantoran</t>
        </is>
      </c>
      <c r="N60" t="inlineStr">
        <is>
          <t>K</t>
        </is>
      </c>
      <c r="O60" t="inlineStr">
        <is>
          <t>20231122, 20231123, 20231130</t>
        </is>
      </c>
      <c r="P60" t="inlineStr">
        <is>
          <t>Sulawesi Selatan</t>
        </is>
      </c>
      <c r="Q60" t="inlineStr"/>
    </row>
    <row r="61">
      <c r="A61" t="inlineStr">
        <is>
          <t>PRIMA POWER NUSANTARA</t>
        </is>
      </c>
      <c r="B61" t="inlineStr">
        <is>
          <t>Kota Adm. Jakarta Selatan</t>
        </is>
      </c>
      <c r="C61" t="inlineStr">
        <is>
          <t>02122768719</t>
        </is>
      </c>
      <c r="D61" t="inlineStr">
        <is>
          <t>info@primponus.co.id</t>
        </is>
      </c>
      <c r="E61" t="inlineStr">
        <is>
          <t>https://lpjk.pu.go.id/search-badan-usaha-detail/UVRrT2xPSSsyOXB2MkIyL05yTkJoUT09</t>
        </is>
      </c>
      <c r="F61" t="n">
        <v>1</v>
      </c>
      <c r="G61" t="inlineStr">
        <is>
          <t>BS001</t>
        </is>
      </c>
      <c r="H61" t="inlineStr">
        <is>
          <t>16 Juni 2016</t>
        </is>
      </c>
      <c r="I61" s="2" t="n">
        <v>46360</v>
      </c>
      <c r="J61" t="inlineStr">
        <is>
          <t>Pencabutan</t>
        </is>
      </c>
      <c r="K61" t="n">
        <v>87</v>
      </c>
      <c r="L61" t="inlineStr">
        <is>
          <t>4 Desember 2026</t>
        </is>
      </c>
      <c r="M61" t="inlineStr">
        <is>
          <t>Konstruksi Bangunan Sipil Jalan</t>
        </is>
      </c>
      <c r="N61" t="inlineStr">
        <is>
          <t>B</t>
        </is>
      </c>
      <c r="O61" t="inlineStr">
        <is>
          <t>20231130</t>
        </is>
      </c>
      <c r="P61" t="inlineStr">
        <is>
          <t>DKI Jakarta</t>
        </is>
      </c>
      <c r="Q61" t="inlineStr"/>
    </row>
    <row r="62">
      <c r="A62" t="inlineStr">
        <is>
          <t>PUTRA BUNGSU RAMDHANI</t>
        </is>
      </c>
      <c r="B62" t="inlineStr">
        <is>
          <t>Kota Sukabumi</t>
        </is>
      </c>
      <c r="C62" t="inlineStr">
        <is>
          <t>087863442874</t>
        </is>
      </c>
      <c r="D62" t="inlineStr">
        <is>
          <t>pbr.ramdhani@gmail.com</t>
        </is>
      </c>
      <c r="E62" t="inlineStr">
        <is>
          <t>https://lpjk.pu.go.id/search-badan-usaha-detail/UW5sYzVDZUlYRElJcUVVb3k0cXo5QT09</t>
        </is>
      </c>
      <c r="F62" t="n">
        <v>4</v>
      </c>
      <c r="G62" t="inlineStr">
        <is>
          <t>BG006, BG009, BS004, BS005</t>
        </is>
      </c>
      <c r="H62" t="inlineStr">
        <is>
          <t>7 April 2021</t>
        </is>
      </c>
      <c r="I62" s="2" t="n">
        <v>46360</v>
      </c>
      <c r="J62" t="inlineStr">
        <is>
          <t>Disetujui, Pencabutan</t>
        </is>
      </c>
      <c r="K62" t="n">
        <v>87</v>
      </c>
      <c r="L62" t="inlineStr">
        <is>
          <t>4 Desember 2026</t>
        </is>
      </c>
      <c r="M62" t="inlineStr">
        <is>
          <t>Konstruksi Bangunan Sipil Pengolahan Air Bersih, Konstruksi Gedung Lainnya, Konstruksi Gedung Pendidikan, Konstruksi Jaringan Irigasi dan Drainase</t>
        </is>
      </c>
      <c r="N62" t="inlineStr">
        <is>
          <t>K</t>
        </is>
      </c>
      <c r="O62" t="inlineStr">
        <is>
          <t>20231204</t>
        </is>
      </c>
      <c r="P62" t="inlineStr">
        <is>
          <t>Jawa Barat</t>
        </is>
      </c>
      <c r="Q62" t="inlineStr"/>
    </row>
    <row r="63">
      <c r="A63" t="inlineStr">
        <is>
          <t>RAJA CAKRAWALA ABADI</t>
        </is>
      </c>
      <c r="B63" t="inlineStr">
        <is>
          <t>Kab. Bima</t>
        </is>
      </c>
      <c r="C63" t="inlineStr">
        <is>
          <t>087865500008</t>
        </is>
      </c>
      <c r="D63" t="inlineStr">
        <is>
          <t>rca.bima123@gmail.com</t>
        </is>
      </c>
      <c r="E63" t="inlineStr">
        <is>
          <t>https://lpjk.pu.go.id/search-badan-usaha-detail/MEFXNEJHcjNhM2lYaXRCMENPQUc0dz09</t>
        </is>
      </c>
      <c r="F63" t="n">
        <v>1</v>
      </c>
      <c r="G63" t="inlineStr">
        <is>
          <t>BG001</t>
        </is>
      </c>
      <c r="H63" t="inlineStr">
        <is>
          <t>7 Agustus 2023</t>
        </is>
      </c>
      <c r="I63" s="2" t="n">
        <v>46360</v>
      </c>
      <c r="J63" t="inlineStr">
        <is>
          <t>Pencabutan</t>
        </is>
      </c>
      <c r="K63" t="n">
        <v>87</v>
      </c>
      <c r="L63" t="inlineStr">
        <is>
          <t>4 Desember 2026</t>
        </is>
      </c>
      <c r="M63" t="inlineStr">
        <is>
          <t>Konstruksi Gedung Hunian</t>
        </is>
      </c>
      <c r="N63" t="inlineStr">
        <is>
          <t>K</t>
        </is>
      </c>
      <c r="O63" t="inlineStr">
        <is>
          <t>20231118</t>
        </is>
      </c>
      <c r="P63" t="inlineStr">
        <is>
          <t>Nusa Tenggara Barat</t>
        </is>
      </c>
      <c r="Q63" t="inlineStr"/>
    </row>
    <row r="64">
      <c r="A64" t="inlineStr">
        <is>
          <t>RANGGA BUANA</t>
        </is>
      </c>
      <c r="B64" t="inlineStr">
        <is>
          <t>Kota Sukabumi</t>
        </is>
      </c>
      <c r="C64" t="inlineStr">
        <is>
          <t>08571230979</t>
        </is>
      </c>
      <c r="D64" t="inlineStr">
        <is>
          <t>ranggabuana720@gmail.com</t>
        </is>
      </c>
      <c r="E64" t="inlineStr">
        <is>
          <t>https://lpjk.pu.go.id/search-badan-usaha-detail/MVgxOHFDb0pGZGZCNVREM0VZQ0ZNQT09</t>
        </is>
      </c>
      <c r="F64" t="n">
        <v>1</v>
      </c>
      <c r="G64" t="inlineStr">
        <is>
          <t>BG008</t>
        </is>
      </c>
      <c r="H64" t="inlineStr">
        <is>
          <t>26 Juni 2023</t>
        </is>
      </c>
      <c r="I64" s="2" t="n">
        <v>46360</v>
      </c>
      <c r="J64" t="inlineStr">
        <is>
          <t>Disetujui</t>
        </is>
      </c>
      <c r="K64" t="n">
        <v>87</v>
      </c>
      <c r="L64" t="inlineStr">
        <is>
          <t>4 Desember 2026</t>
        </is>
      </c>
      <c r="M64" t="inlineStr">
        <is>
          <t>Konstruksi Gedung Tempat Hiburan dan Olahraga</t>
        </is>
      </c>
      <c r="N64" t="inlineStr">
        <is>
          <t>K</t>
        </is>
      </c>
      <c r="O64" t="inlineStr">
        <is>
          <t>20231128</t>
        </is>
      </c>
      <c r="P64" t="inlineStr">
        <is>
          <t>Jawa Barat</t>
        </is>
      </c>
      <c r="Q64" t="inlineStr"/>
    </row>
    <row r="65">
      <c r="A65" t="inlineStr">
        <is>
          <t>RAVENTAMA</t>
        </is>
      </c>
      <c r="B65" t="inlineStr">
        <is>
          <t>Kab. Cirebon</t>
        </is>
      </c>
      <c r="C65" t="inlineStr">
        <is>
          <t>081312333384</t>
        </is>
      </c>
      <c r="D65" t="inlineStr">
        <is>
          <t>cvraventama@gmail.com</t>
        </is>
      </c>
      <c r="E65" t="inlineStr">
        <is>
          <t>https://lpjk.pu.go.id/search-badan-usaha-detail/bG9DcFZ4T3Y3SkpDcUdBWXJycHdkUT09</t>
        </is>
      </c>
      <c r="F65" t="n">
        <v>3</v>
      </c>
      <c r="G65" t="inlineStr">
        <is>
          <t>RK001, RK003, RK005</t>
        </is>
      </c>
      <c r="H65" t="inlineStr">
        <is>
          <t>21 September 2023</t>
        </is>
      </c>
      <c r="I65" s="2" t="n">
        <v>46360</v>
      </c>
      <c r="J65" t="inlineStr">
        <is>
          <t>Disetujui</t>
        </is>
      </c>
      <c r="K65" t="n">
        <v>87</v>
      </c>
      <c r="L65" t="inlineStr">
        <is>
          <t>4 Desember 2026</t>
        </is>
      </c>
      <c r="M65" t="inlineStr">
        <is>
          <t>Jasa Rekayasa Konstruksi Bangunan Gedung Hunian dan Non Hunian, Jasa Rekayasa Lainnya, Jasa Rekayasa Pekerjaan Teknik Sipil Transportasi</t>
        </is>
      </c>
      <c r="N65" t="inlineStr">
        <is>
          <t>K</t>
        </is>
      </c>
      <c r="O65" t="inlineStr">
        <is>
          <t>20231127, 20231128</t>
        </is>
      </c>
      <c r="P65" t="inlineStr">
        <is>
          <t>Jawa Barat</t>
        </is>
      </c>
      <c r="Q65" t="inlineStr"/>
    </row>
    <row r="66">
      <c r="A66" t="inlineStr">
        <is>
          <t>RIFKY PUTRA</t>
        </is>
      </c>
      <c r="B66" t="inlineStr">
        <is>
          <t>Kota Palangkaraya</t>
        </is>
      </c>
      <c r="C66" t="inlineStr">
        <is>
          <t>081348952324</t>
        </is>
      </c>
      <c r="D66" t="inlineStr">
        <is>
          <t>cv.rifkyputra1313@gmail.com</t>
        </is>
      </c>
      <c r="E66" t="inlineStr">
        <is>
          <t>https://lpjk.pu.go.id/search-badan-usaha-detail/dXQ0N1IwMUZPOWxzTzJ2WGpaRzZ5QT09</t>
        </is>
      </c>
      <c r="F66" t="n">
        <v>5</v>
      </c>
      <c r="G66" t="inlineStr">
        <is>
          <t>BG001, BG002, BG005, BG006, BG009</t>
        </is>
      </c>
      <c r="H66" t="inlineStr">
        <is>
          <t>27 September 2012</t>
        </is>
      </c>
      <c r="I66" s="2" t="n">
        <v>46360</v>
      </c>
      <c r="J66" t="inlineStr">
        <is>
          <t>Disetujui</t>
        </is>
      </c>
      <c r="K66" t="n">
        <v>87</v>
      </c>
      <c r="L66" t="inlineStr">
        <is>
          <t>4 Desember 2026</t>
        </is>
      </c>
      <c r="M66" t="inlineStr">
        <is>
          <t>Konstruksi Gedung Hunian, Konstruksi Gedung Kesehatan, Konstruksi Gedung Lainnya, Konstruksi Gedung Pendidikan, Konstruksi Gedung Perkantoran</t>
        </is>
      </c>
      <c r="N66" t="inlineStr">
        <is>
          <t>K</t>
        </is>
      </c>
      <c r="O66" t="inlineStr">
        <is>
          <t>20231203</t>
        </is>
      </c>
      <c r="P66" t="inlineStr">
        <is>
          <t>Kalimantan Tengah</t>
        </is>
      </c>
      <c r="Q66" t="inlineStr"/>
    </row>
    <row r="67">
      <c r="A67" t="inlineStr">
        <is>
          <t>RISMAWAN ABADI TEKNIK</t>
        </is>
      </c>
      <c r="B67" t="inlineStr">
        <is>
          <t>Kota Sukabumi</t>
        </is>
      </c>
      <c r="C67" t="inlineStr">
        <is>
          <t>082118562552</t>
        </is>
      </c>
      <c r="D67" t="inlineStr">
        <is>
          <t>riswandi78.rr@gmail.com</t>
        </is>
      </c>
      <c r="E67" t="inlineStr">
        <is>
          <t>https://lpjk.pu.go.id/search-badan-usaha-detail/MTdtYi9Tb0tzeFNiS2p5VDdUVUQyZz09</t>
        </is>
      </c>
      <c r="F67" t="n">
        <v>6</v>
      </c>
      <c r="G67" t="inlineStr">
        <is>
          <t>BG001, BG002, BG003</t>
        </is>
      </c>
      <c r="H67" t="inlineStr">
        <is>
          <t>3 Maret 2023</t>
        </is>
      </c>
      <c r="I67" s="2" t="n">
        <v>46360</v>
      </c>
      <c r="J67" t="inlineStr">
        <is>
          <t>Disetujui</t>
        </is>
      </c>
      <c r="K67" t="n">
        <v>87</v>
      </c>
      <c r="L67" t="inlineStr">
        <is>
          <t>4 Desember 2026</t>
        </is>
      </c>
      <c r="M67" t="inlineStr">
        <is>
          <t>Konstruksi Gedung Hunian, Konstruksi Gedung Industri, Konstruksi Gedung Perkantoran</t>
        </is>
      </c>
      <c r="N67" t="inlineStr">
        <is>
          <t>K</t>
        </is>
      </c>
      <c r="O67" t="inlineStr">
        <is>
          <t>20231128</t>
        </is>
      </c>
      <c r="P67" t="inlineStr">
        <is>
          <t>Jawa Barat</t>
        </is>
      </c>
      <c r="Q67" t="inlineStr"/>
    </row>
    <row r="68">
      <c r="A68" t="inlineStr">
        <is>
          <t>ROBBY BROTHERS</t>
        </is>
      </c>
      <c r="B68" t="inlineStr">
        <is>
          <t>Kab. Kampar</t>
        </is>
      </c>
      <c r="C68" t="inlineStr">
        <is>
          <t>081365466663</t>
        </is>
      </c>
      <c r="D68" t="inlineStr">
        <is>
          <t>robbybrothers123@gmail.com</t>
        </is>
      </c>
      <c r="E68" t="inlineStr">
        <is>
          <t>https://lpjk.pu.go.id/search-badan-usaha-detail/S2VISEtVNUpBa1psTWFUUkFwa05jZz09</t>
        </is>
      </c>
      <c r="F68" t="n">
        <v>2</v>
      </c>
      <c r="G68" t="inlineStr">
        <is>
          <t>BS001, BS002</t>
        </is>
      </c>
      <c r="H68" t="inlineStr">
        <is>
          <t>14 Oktober 1992</t>
        </is>
      </c>
      <c r="I68" s="2" t="n">
        <v>46360</v>
      </c>
      <c r="J68" t="inlineStr">
        <is>
          <t>Disetujui</t>
        </is>
      </c>
      <c r="K68" t="n">
        <v>87</v>
      </c>
      <c r="L68" t="inlineStr">
        <is>
          <t>4 Desember 2026</t>
        </is>
      </c>
      <c r="M68" t="inlineStr">
        <is>
          <t>Bangunan Sipil Jembatan, Jalan Layang, Fly Over, dan Underpass, Konstruksi Bangunan Sipil Jalan</t>
        </is>
      </c>
      <c r="N68" t="inlineStr">
        <is>
          <t>K</t>
        </is>
      </c>
      <c r="O68" t="inlineStr">
        <is>
          <t>20231204, 20231205</t>
        </is>
      </c>
      <c r="P68" t="inlineStr">
        <is>
          <t>Riau</t>
        </is>
      </c>
      <c r="Q68" t="inlineStr"/>
    </row>
    <row r="69">
      <c r="A69" t="inlineStr">
        <is>
          <t>SAHABAT SEJATI NADA</t>
        </is>
      </c>
      <c r="B69" t="inlineStr">
        <is>
          <t>Kota Banjarmasin</t>
        </is>
      </c>
      <c r="C69" t="inlineStr">
        <is>
          <t>081239480555</t>
        </is>
      </c>
      <c r="D69" t="inlineStr">
        <is>
          <t>sahabatsejatinada@gmail.com</t>
        </is>
      </c>
      <c r="E69" t="inlineStr">
        <is>
          <t>https://lpjk.pu.go.id/search-badan-usaha-detail/cERLeDA1dUk3SWMzTEcyZHhzR2FzUT09</t>
        </is>
      </c>
      <c r="F69" t="n">
        <v>2</v>
      </c>
      <c r="G69" t="inlineStr">
        <is>
          <t>BG008, BG009</t>
        </is>
      </c>
      <c r="H69" t="inlineStr">
        <is>
          <t>15 Agustus 2019</t>
        </is>
      </c>
      <c r="I69" s="2" t="n">
        <v>46360</v>
      </c>
      <c r="J69" t="inlineStr">
        <is>
          <t>Disetujui</t>
        </is>
      </c>
      <c r="K69" t="n">
        <v>87</v>
      </c>
      <c r="L69" t="inlineStr">
        <is>
          <t>4 Desember 2026</t>
        </is>
      </c>
      <c r="M69" t="inlineStr">
        <is>
          <t>Konstruksi Gedung Lainnya, Konstruksi Gedung Tempat Hiburan dan Olahraga</t>
        </is>
      </c>
      <c r="N69" t="inlineStr">
        <is>
          <t>K</t>
        </is>
      </c>
      <c r="O69" t="inlineStr">
        <is>
          <t>20231011, 20231012</t>
        </is>
      </c>
      <c r="P69" t="inlineStr">
        <is>
          <t>Kalimantan Selatan</t>
        </is>
      </c>
      <c r="Q69" t="inlineStr"/>
    </row>
    <row r="70">
      <c r="A70" t="inlineStr">
        <is>
          <t>SEKAWAN UTAMA</t>
        </is>
      </c>
      <c r="B70" t="inlineStr">
        <is>
          <t>Kab. Tabanan</t>
        </is>
      </c>
      <c r="C70" t="inlineStr">
        <is>
          <t>0361811974</t>
        </is>
      </c>
      <c r="D70" t="inlineStr">
        <is>
          <t>wayanmudiasa198@gmail.com</t>
        </is>
      </c>
      <c r="E70" t="inlineStr">
        <is>
          <t>https://lpjk.pu.go.id/search-badan-usaha-detail/RlpYNUhkSVlMRkRPU2pJbzEvb1JBdz09</t>
        </is>
      </c>
      <c r="F70" t="n">
        <v>2</v>
      </c>
      <c r="G70" t="inlineStr">
        <is>
          <t>BG005</t>
        </is>
      </c>
      <c r="H70" t="inlineStr">
        <is>
          <t>18 Februari 2004</t>
        </is>
      </c>
      <c r="I70" s="2" t="n">
        <v>46360</v>
      </c>
      <c r="J70" t="inlineStr">
        <is>
          <t>Disetujui</t>
        </is>
      </c>
      <c r="K70" t="n">
        <v>87</v>
      </c>
      <c r="L70" t="inlineStr">
        <is>
          <t>4 Desember 2026</t>
        </is>
      </c>
      <c r="M70" t="inlineStr">
        <is>
          <t>Konstruksi Gedung Kesehatan</t>
        </is>
      </c>
      <c r="N70" t="inlineStr">
        <is>
          <t>K</t>
        </is>
      </c>
      <c r="O70" t="inlineStr">
        <is>
          <t>20231124</t>
        </is>
      </c>
      <c r="P70" t="inlineStr">
        <is>
          <t>Bali</t>
        </is>
      </c>
      <c r="Q70" t="inlineStr"/>
    </row>
    <row r="71">
      <c r="A71" t="inlineStr">
        <is>
          <t>SINAR KASIH</t>
        </is>
      </c>
      <c r="B71" t="inlineStr">
        <is>
          <t>Kab. Minahasa</t>
        </is>
      </c>
      <c r="C71" t="inlineStr">
        <is>
          <t>0813-5675-1510</t>
        </is>
      </c>
      <c r="D71" t="inlineStr">
        <is>
          <t>cvsinarkasihtondano@gmail.com</t>
        </is>
      </c>
      <c r="E71" t="inlineStr">
        <is>
          <t>https://lpjk.pu.go.id/search-badan-usaha-detail/ZTB1bmVYT3ZNc09oTThtQ2h4TStrZz09</t>
        </is>
      </c>
      <c r="F71" t="n">
        <v>3</v>
      </c>
      <c r="G71" t="inlineStr">
        <is>
          <t>BG002, BG006, BS001</t>
        </is>
      </c>
      <c r="H71" t="inlineStr">
        <is>
          <t>7 Februari 1994</t>
        </is>
      </c>
      <c r="I71" s="2" t="n">
        <v>46360</v>
      </c>
      <c r="J71" t="inlineStr">
        <is>
          <t>Disetujui</t>
        </is>
      </c>
      <c r="K71" t="n">
        <v>87</v>
      </c>
      <c r="L71" t="inlineStr">
        <is>
          <t>4 Desember 2026</t>
        </is>
      </c>
      <c r="M71" t="inlineStr">
        <is>
          <t>Konstruksi Bangunan Sipil Jalan, Konstruksi Gedung Pendidikan, Konstruksi Gedung Perkantoran</t>
        </is>
      </c>
      <c r="N71" t="inlineStr">
        <is>
          <t>K</t>
        </is>
      </c>
      <c r="O71" t="inlineStr">
        <is>
          <t>20231202, 20231205</t>
        </is>
      </c>
      <c r="P71" t="inlineStr">
        <is>
          <t>Sulawesi Utara</t>
        </is>
      </c>
      <c r="Q71" t="inlineStr"/>
    </row>
    <row r="72">
      <c r="A72" t="inlineStr">
        <is>
          <t>SUBIANDANA ABADI</t>
        </is>
      </c>
      <c r="B72" t="inlineStr">
        <is>
          <t>Kota Probolinggo</t>
        </is>
      </c>
      <c r="C72" t="inlineStr">
        <is>
          <t>085236032842</t>
        </is>
      </c>
      <c r="D72" t="inlineStr">
        <is>
          <t>subiandanaabadi.cv@gmail.com</t>
        </is>
      </c>
      <c r="E72" t="inlineStr">
        <is>
          <t>https://lpjk.pu.go.id/search-badan-usaha-detail/bXYrTHRoeUZXcGVJdkVsVzFDZStSUT09</t>
        </is>
      </c>
      <c r="F72" t="n">
        <v>1</v>
      </c>
      <c r="G72" t="inlineStr">
        <is>
          <t>BG001</t>
        </is>
      </c>
      <c r="H72" t="inlineStr">
        <is>
          <t>16 Oktober 2019</t>
        </is>
      </c>
      <c r="I72" s="2" t="n">
        <v>46360</v>
      </c>
      <c r="J72" t="inlineStr">
        <is>
          <t>Disetujui</t>
        </is>
      </c>
      <c r="K72" t="n">
        <v>87</v>
      </c>
      <c r="L72" t="inlineStr">
        <is>
          <t>4 Desember 2026</t>
        </is>
      </c>
      <c r="M72" t="inlineStr">
        <is>
          <t>Konstruksi Gedung Hunian</t>
        </is>
      </c>
      <c r="N72" t="inlineStr">
        <is>
          <t>K</t>
        </is>
      </c>
      <c r="O72" t="inlineStr">
        <is>
          <t>20231201</t>
        </is>
      </c>
      <c r="P72" t="inlineStr">
        <is>
          <t>Jawa Timur</t>
        </is>
      </c>
      <c r="Q72" t="inlineStr"/>
    </row>
    <row r="73">
      <c r="A73" t="inlineStr">
        <is>
          <t>SUMBER REJEKI MULIA</t>
        </is>
      </c>
      <c r="B73" t="inlineStr">
        <is>
          <t>Kota Samarinda</t>
        </is>
      </c>
      <c r="C73" t="inlineStr">
        <is>
          <t>082253240330</t>
        </is>
      </c>
      <c r="D73" t="inlineStr">
        <is>
          <t>muliasumberrejeki@gmail.com</t>
        </is>
      </c>
      <c r="E73" t="inlineStr">
        <is>
          <t>https://lpjk.pu.go.id/search-badan-usaha-detail/aXRBblNiNDRFRnJOZzhMUVNyd1Rmdz09</t>
        </is>
      </c>
      <c r="F73" t="n">
        <v>1</v>
      </c>
      <c r="G73" t="inlineStr">
        <is>
          <t>BS001</t>
        </is>
      </c>
      <c r="H73" t="inlineStr">
        <is>
          <t>5 Maret 2019</t>
        </is>
      </c>
      <c r="I73" s="2" t="n">
        <v>46360</v>
      </c>
      <c r="J73" t="inlineStr">
        <is>
          <t>Disetujui</t>
        </is>
      </c>
      <c r="K73" t="n">
        <v>87</v>
      </c>
      <c r="L73" t="inlineStr">
        <is>
          <t>4 Desember 2026</t>
        </is>
      </c>
      <c r="M73" t="inlineStr">
        <is>
          <t>Konstruksi Bangunan Sipil Jalan</t>
        </is>
      </c>
      <c r="N73" t="inlineStr">
        <is>
          <t>K</t>
        </is>
      </c>
      <c r="O73" t="inlineStr">
        <is>
          <t>20231201</t>
        </is>
      </c>
      <c r="P73" t="inlineStr">
        <is>
          <t>Kalimantan Timur</t>
        </is>
      </c>
      <c r="Q73" t="inlineStr"/>
    </row>
    <row r="74">
      <c r="A74" t="inlineStr">
        <is>
          <t>TELAGA GELANG INDONESIA</t>
        </is>
      </c>
      <c r="B74" t="inlineStr">
        <is>
          <t>Kota Adm. Jakarta Selatan</t>
        </is>
      </c>
      <c r="C74" t="inlineStr">
        <is>
          <t>02138830000</t>
        </is>
      </c>
      <c r="D74" t="inlineStr">
        <is>
          <t>telagaindonesia123@gmail.com</t>
        </is>
      </c>
      <c r="E74" t="inlineStr">
        <is>
          <t>https://lpjk.pu.go.id/search-badan-usaha-detail/MTFjQjQwSzFyVTNHektGUDdZQlIzZz09</t>
        </is>
      </c>
      <c r="F74" t="n">
        <v>1</v>
      </c>
      <c r="G74" t="inlineStr">
        <is>
          <t>BS010</t>
        </is>
      </c>
      <c r="H74" t="inlineStr">
        <is>
          <t>18 Oktober 2010</t>
        </is>
      </c>
      <c r="I74" s="2" t="n">
        <v>46360</v>
      </c>
      <c r="J74" t="inlineStr">
        <is>
          <t>Pencabutan</t>
        </is>
      </c>
      <c r="K74" t="n">
        <v>87</v>
      </c>
      <c r="L74" t="inlineStr">
        <is>
          <t>4 Desember 2026</t>
        </is>
      </c>
      <c r="M74" t="inlineStr">
        <is>
          <t>Konstruksi Bangunan Prasarana Sumber Daya Air</t>
        </is>
      </c>
      <c r="N74" t="inlineStr">
        <is>
          <t>B</t>
        </is>
      </c>
      <c r="O74" t="inlineStr">
        <is>
          <t>20231123</t>
        </is>
      </c>
      <c r="P74" t="inlineStr">
        <is>
          <t>DKI Jakarta</t>
        </is>
      </c>
      <c r="Q74" t="inlineStr"/>
    </row>
    <row r="75">
      <c r="A75" t="inlineStr">
        <is>
          <t>TRI ANDALAN SERVINDO</t>
        </is>
      </c>
      <c r="B75" t="inlineStr">
        <is>
          <t>Kab. Tangerang</t>
        </is>
      </c>
      <c r="C75" t="inlineStr">
        <is>
          <t>02139703992</t>
        </is>
      </c>
      <c r="D75" t="inlineStr">
        <is>
          <t>hrd@fsd.co.id</t>
        </is>
      </c>
      <c r="E75" t="inlineStr">
        <is>
          <t>https://lpjk.pu.go.id/search-badan-usaha-detail/ZEJKZXFXajI3UzlVL01kanNPRkV1QT09</t>
        </is>
      </c>
      <c r="F75" t="n">
        <v>1</v>
      </c>
      <c r="G75" t="inlineStr">
        <is>
          <t>BS007</t>
        </is>
      </c>
      <c r="H75" t="inlineStr">
        <is>
          <t>22 Juni 2012</t>
        </is>
      </c>
      <c r="I75" s="2" t="n">
        <v>46360</v>
      </c>
      <c r="J75" t="inlineStr">
        <is>
          <t>Disetujui</t>
        </is>
      </c>
      <c r="K75" t="n">
        <v>87</v>
      </c>
      <c r="L75" t="inlineStr">
        <is>
          <t>4 Desember 2026</t>
        </is>
      </c>
      <c r="M75" t="inlineStr">
        <is>
          <t>Konstruksi Bangunan Sipil Elektrikal</t>
        </is>
      </c>
      <c r="N75" t="inlineStr">
        <is>
          <t>K</t>
        </is>
      </c>
      <c r="O75" t="inlineStr">
        <is>
          <t>20231204</t>
        </is>
      </c>
      <c r="P75" t="inlineStr">
        <is>
          <t>Banten</t>
        </is>
      </c>
      <c r="Q75" t="inlineStr"/>
    </row>
    <row r="76">
      <c r="A76" t="inlineStr">
        <is>
          <t>TRI NADA MANDIRI</t>
        </is>
      </c>
      <c r="B76" t="inlineStr">
        <is>
          <t>Kab. Jeneponto</t>
        </is>
      </c>
      <c r="C76" t="inlineStr">
        <is>
          <t>085255936284</t>
        </is>
      </c>
      <c r="D76" t="inlineStr">
        <is>
          <t>irfannadamandiri@gmail.com</t>
        </is>
      </c>
      <c r="E76" t="inlineStr">
        <is>
          <t>https://lpjk.pu.go.id/search-badan-usaha-detail/dUpKNjFjRmNKaVFwdngyRnpZanFsZz09</t>
        </is>
      </c>
      <c r="F76" t="n">
        <v>1</v>
      </c>
      <c r="G76" t="inlineStr">
        <is>
          <t>BG001</t>
        </is>
      </c>
      <c r="H76" t="inlineStr">
        <is>
          <t>8 Januari 2015</t>
        </is>
      </c>
      <c r="I76" s="2" t="n">
        <v>46360</v>
      </c>
      <c r="J76" t="inlineStr">
        <is>
          <t>Disetujui</t>
        </is>
      </c>
      <c r="K76" t="n">
        <v>87</v>
      </c>
      <c r="L76" t="inlineStr">
        <is>
          <t>4 Desember 2026</t>
        </is>
      </c>
      <c r="M76" t="inlineStr">
        <is>
          <t>Konstruksi Gedung Hunian</t>
        </is>
      </c>
      <c r="N76" t="inlineStr">
        <is>
          <t>K</t>
        </is>
      </c>
      <c r="O76" t="inlineStr">
        <is>
          <t>20231205</t>
        </is>
      </c>
      <c r="P76" t="inlineStr">
        <is>
          <t>Sulawesi Selatan</t>
        </is>
      </c>
      <c r="Q76" t="inlineStr"/>
    </row>
    <row r="77">
      <c r="A77" t="inlineStr">
        <is>
          <t>TRICOMINDO CIPTA MANDIRI</t>
        </is>
      </c>
      <c r="B77" t="inlineStr">
        <is>
          <t>Kota Bandung</t>
        </is>
      </c>
      <c r="C77" t="inlineStr">
        <is>
          <t>0811238928</t>
        </is>
      </c>
      <c r="D77" t="inlineStr">
        <is>
          <t>contact.tcm@tricomindocm.co.id</t>
        </is>
      </c>
      <c r="E77" t="inlineStr">
        <is>
          <t>https://lpjk.pu.go.id/search-badan-usaha-detail/dDY3TXFNT0lleGJyemhKNm9pR1NmUT09</t>
        </is>
      </c>
      <c r="F77" t="n">
        <v>2</v>
      </c>
      <c r="G77" t="inlineStr">
        <is>
          <t>RK001, RK004</t>
        </is>
      </c>
      <c r="H77" t="inlineStr">
        <is>
          <t>20 Juni 2006</t>
        </is>
      </c>
      <c r="I77" s="2" t="n">
        <v>46360</v>
      </c>
      <c r="J77" t="inlineStr">
        <is>
          <t>Disetujui</t>
        </is>
      </c>
      <c r="K77" t="n">
        <v>87</v>
      </c>
      <c r="L77" t="inlineStr">
        <is>
          <t>4 Desember 2026</t>
        </is>
      </c>
      <c r="M77" t="inlineStr">
        <is>
          <t>Jasa Rekayasa Konstruksi Bangunan Gedung Hunian dan Non Hunian, Jasa Rekayasa Pekerjaan Mekanikal Dalam Bangunan</t>
        </is>
      </c>
      <c r="N77" t="inlineStr">
        <is>
          <t>K</t>
        </is>
      </c>
      <c r="O77" t="inlineStr">
        <is>
          <t>20231127</t>
        </is>
      </c>
      <c r="P77" t="inlineStr">
        <is>
          <t>Jawa Barat</t>
        </is>
      </c>
      <c r="Q77" t="inlineStr"/>
    </row>
    <row r="78">
      <c r="A78" t="inlineStr">
        <is>
          <t>TRIGUNA BUMI SEJAHTERA</t>
        </is>
      </c>
      <c r="B78" t="inlineStr">
        <is>
          <t>Kab. Cirebon</t>
        </is>
      </c>
      <c r="C78" t="inlineStr">
        <is>
          <t>0231510685</t>
        </is>
      </c>
      <c r="D78" t="inlineStr">
        <is>
          <t>tbs.cirebon@gmail.com</t>
        </is>
      </c>
      <c r="E78" t="inlineStr">
        <is>
          <t>https://lpjk.pu.go.id/search-badan-usaha-detail/WjJUUUZ3VE1mcFp5TFNVbU9SUmpkUT09</t>
        </is>
      </c>
      <c r="F78" t="n">
        <v>1</v>
      </c>
      <c r="G78" t="inlineStr">
        <is>
          <t>PL002</t>
        </is>
      </c>
      <c r="H78" t="inlineStr">
        <is>
          <t>27 Februari 2016</t>
        </is>
      </c>
      <c r="I78" s="2" t="n">
        <v>46360</v>
      </c>
      <c r="J78" t="inlineStr">
        <is>
          <t>Pembekuan</t>
        </is>
      </c>
      <c r="K78" t="n">
        <v>87</v>
      </c>
      <c r="L78" t="inlineStr">
        <is>
          <t>4 Desember 2026</t>
        </is>
      </c>
      <c r="M78" t="inlineStr">
        <is>
          <t>Pengerukan</t>
        </is>
      </c>
      <c r="N78" t="inlineStr">
        <is>
          <t>Spesialis</t>
        </is>
      </c>
      <c r="O78" t="inlineStr">
        <is>
          <t>20231201</t>
        </is>
      </c>
      <c r="P78" t="inlineStr">
        <is>
          <t>Jawa Barat</t>
        </is>
      </c>
      <c r="Q78" t="inlineStr"/>
    </row>
    <row r="79">
      <c r="A79" t="inlineStr">
        <is>
          <t>TRIYANDA TAKA PERKASA</t>
        </is>
      </c>
      <c r="B79" t="inlineStr">
        <is>
          <t>Kab. Paser</t>
        </is>
      </c>
      <c r="C79" t="inlineStr">
        <is>
          <t>081256969394</t>
        </is>
      </c>
      <c r="D79" t="inlineStr">
        <is>
          <t>triyandatakaperkasa@yahoo.com</t>
        </is>
      </c>
      <c r="E79" t="inlineStr">
        <is>
          <t>https://lpjk.pu.go.id/search-badan-usaha-detail/R1h6ZnpIUkE5RnB6V3RCTCt6VzN6Zz09</t>
        </is>
      </c>
      <c r="F79" t="n">
        <v>2</v>
      </c>
      <c r="G79" t="inlineStr">
        <is>
          <t>BG009, BS001</t>
        </is>
      </c>
      <c r="H79" t="inlineStr">
        <is>
          <t>25 Agustus 2010</t>
        </is>
      </c>
      <c r="I79" s="2" t="n">
        <v>46360</v>
      </c>
      <c r="J79" t="inlineStr">
        <is>
          <t>Disetujui</t>
        </is>
      </c>
      <c r="K79" t="n">
        <v>87</v>
      </c>
      <c r="L79" t="inlineStr">
        <is>
          <t>4 Desember 2026</t>
        </is>
      </c>
      <c r="M79" t="inlineStr">
        <is>
          <t>Konstruksi Bangunan Sipil Jalan, Konstruksi Gedung Lainnya</t>
        </is>
      </c>
      <c r="N79" t="inlineStr">
        <is>
          <t>K</t>
        </is>
      </c>
      <c r="O79" t="inlineStr">
        <is>
          <t>20231205</t>
        </is>
      </c>
      <c r="P79" t="inlineStr">
        <is>
          <t>Kalimantan Timur</t>
        </is>
      </c>
      <c r="Q79" t="inlineStr"/>
    </row>
    <row r="80">
      <c r="A80" t="inlineStr">
        <is>
          <t>USAHA MUDA SEJAHTERA</t>
        </is>
      </c>
      <c r="B80" t="inlineStr">
        <is>
          <t>Kab. Pasaman</t>
        </is>
      </c>
      <c r="C80" t="inlineStr">
        <is>
          <t>081381772699</t>
        </is>
      </c>
      <c r="D80" t="inlineStr">
        <is>
          <t>-</t>
        </is>
      </c>
      <c r="E80" t="inlineStr">
        <is>
          <t>https://lpjk.pu.go.id/search-badan-usaha-detail/QmZOVTFKLy8zNHdLeW10MXRnMTdRdz09</t>
        </is>
      </c>
      <c r="F80" t="n">
        <v>1</v>
      </c>
      <c r="G80" t="inlineStr">
        <is>
          <t>BG009</t>
        </is>
      </c>
      <c r="H80" t="inlineStr">
        <is>
          <t>11 Juni 2019</t>
        </is>
      </c>
      <c r="I80" s="2" t="n">
        <v>46360</v>
      </c>
      <c r="J80" t="inlineStr">
        <is>
          <t>Disetujui</t>
        </is>
      </c>
      <c r="K80" t="n">
        <v>87</v>
      </c>
      <c r="L80" t="inlineStr">
        <is>
          <t>4 Desember 2026</t>
        </is>
      </c>
      <c r="M80" t="inlineStr">
        <is>
          <t>Konstruksi Gedung Lainnya</t>
        </is>
      </c>
      <c r="N80" t="inlineStr">
        <is>
          <t>K</t>
        </is>
      </c>
      <c r="O80" t="inlineStr">
        <is>
          <t>20231204</t>
        </is>
      </c>
      <c r="P80" t="inlineStr">
        <is>
          <t>Sumatera Barat</t>
        </is>
      </c>
      <c r="Q80" t="inlineStr"/>
    </row>
    <row r="81">
      <c r="A81" t="inlineStr">
        <is>
          <t>VERANDA MULTICIPTA KREASINDO</t>
        </is>
      </c>
      <c r="B81" t="inlineStr">
        <is>
          <t>Kota Batam</t>
        </is>
      </c>
      <c r="C81" t="inlineStr">
        <is>
          <t>081268881908</t>
        </is>
      </c>
      <c r="D81" t="inlineStr">
        <is>
          <t>veranda_kreasindo@outlook.com</t>
        </is>
      </c>
      <c r="E81" t="inlineStr">
        <is>
          <t>https://lpjk.pu.go.id/search-badan-usaha-detail/UE5Qd2ZtUkhTNDZrQm1zYUdQclZuZz09</t>
        </is>
      </c>
      <c r="F81" t="n">
        <v>1</v>
      </c>
      <c r="G81" t="inlineStr">
        <is>
          <t>BG002</t>
        </is>
      </c>
      <c r="H81" t="inlineStr">
        <is>
          <t>17 Desember 2018</t>
        </is>
      </c>
      <c r="I81" s="2" t="n">
        <v>46360</v>
      </c>
      <c r="J81" t="inlineStr">
        <is>
          <t>Pencabutan</t>
        </is>
      </c>
      <c r="K81" t="n">
        <v>87</v>
      </c>
      <c r="L81" t="inlineStr">
        <is>
          <t>4 Desember 2026</t>
        </is>
      </c>
      <c r="M81" t="inlineStr">
        <is>
          <t>Konstruksi Gedung Perkantoran</t>
        </is>
      </c>
      <c r="N81" t="inlineStr">
        <is>
          <t>K</t>
        </is>
      </c>
      <c r="O81" t="inlineStr">
        <is>
          <t>20231123</t>
        </is>
      </c>
      <c r="P81" t="inlineStr">
        <is>
          <t>Kepulauan Riau</t>
        </is>
      </c>
      <c r="Q81" t="inlineStr"/>
    </row>
    <row r="82">
      <c r="A82" t="inlineStr">
        <is>
          <t>VICTORY ENGINEERING TEKNIK</t>
        </is>
      </c>
      <c r="B82" t="inlineStr">
        <is>
          <t>Kab. Purwakarta</t>
        </is>
      </c>
      <c r="C82" t="inlineStr">
        <is>
          <t>087883818058</t>
        </is>
      </c>
      <c r="D82" t="inlineStr">
        <is>
          <t>pt.victoryengteknik@gmail.com</t>
        </is>
      </c>
      <c r="E82" t="inlineStr">
        <is>
          <t>https://lpjk.pu.go.id/search-badan-usaha-detail/Rkd6TkU3QXFDSzkzQ0FOaGJrT3VNdz09</t>
        </is>
      </c>
      <c r="F82" t="n">
        <v>5</v>
      </c>
      <c r="G82" t="inlineStr">
        <is>
          <t>BG001, BG002, BG003, BS001, BS004</t>
        </is>
      </c>
      <c r="H82" t="inlineStr">
        <is>
          <t>25 Oktober 2023</t>
        </is>
      </c>
      <c r="I82" s="2" t="n">
        <v>46360</v>
      </c>
      <c r="J82" t="inlineStr">
        <is>
          <t>Disetujui</t>
        </is>
      </c>
      <c r="K82" t="n">
        <v>87</v>
      </c>
      <c r="L82" t="inlineStr">
        <is>
          <t>4 Desember 2026</t>
        </is>
      </c>
      <c r="M82" t="inlineStr">
        <is>
          <t>Konstruksi Bangunan Sipil Jalan, Konstruksi Gedung Hunian, Konstruksi Gedung Industri, Konstruksi Gedung Perkantoran, Konstruksi Jaringan Irigasi dan Drainase</t>
        </is>
      </c>
      <c r="N82" t="inlineStr">
        <is>
          <t>K</t>
        </is>
      </c>
      <c r="O82" t="inlineStr">
        <is>
          <t>20231129</t>
        </is>
      </c>
      <c r="P82" t="inlineStr">
        <is>
          <t>Jawa Barat</t>
        </is>
      </c>
      <c r="Q82" t="inlineStr"/>
    </row>
    <row r="83">
      <c r="A83" t="inlineStr">
        <is>
          <t>WIDYA CIPTA TEHNIK</t>
        </is>
      </c>
      <c r="B83" t="inlineStr">
        <is>
          <t>Kota Surabaya</t>
        </is>
      </c>
      <c r="C83" t="inlineStr">
        <is>
          <t>0318295054</t>
        </is>
      </c>
      <c r="D83" t="inlineStr">
        <is>
          <t>ptwidyaciptatehnik88@gmail.com</t>
        </is>
      </c>
      <c r="E83" t="inlineStr">
        <is>
          <t>https://lpjk.pu.go.id/search-badan-usaha-detail/ZmM2R2RNeUM5MXl2VzhRVFdGRVl4UT09</t>
        </is>
      </c>
      <c r="F83" t="n">
        <v>1</v>
      </c>
      <c r="G83" t="inlineStr">
        <is>
          <t>IN001</t>
        </is>
      </c>
      <c r="H83" t="inlineStr">
        <is>
          <t>18 Juni 2004</t>
        </is>
      </c>
      <c r="I83" s="2" t="n">
        <v>46360</v>
      </c>
      <c r="J83" t="inlineStr">
        <is>
          <t>Pembekuan</t>
        </is>
      </c>
      <c r="K83" t="n">
        <v>87</v>
      </c>
      <c r="L83" t="inlineStr">
        <is>
          <t>4 Desember 2026</t>
        </is>
      </c>
      <c r="M83" t="inlineStr">
        <is>
          <t>Instalasi Mekanikal</t>
        </is>
      </c>
      <c r="N83" t="inlineStr">
        <is>
          <t>Spesialis</t>
        </is>
      </c>
      <c r="O83" t="inlineStr">
        <is>
          <t>20231203</t>
        </is>
      </c>
      <c r="P83" t="inlineStr">
        <is>
          <t>Jawa Timur</t>
        </is>
      </c>
      <c r="Q83" t="inlineStr"/>
    </row>
    <row r="84">
      <c r="A84" t="inlineStr">
        <is>
          <t>WIRAJAYA ABADI KONSULTAN</t>
        </is>
      </c>
      <c r="B84" t="inlineStr">
        <is>
          <t>Kota Padang</t>
        </is>
      </c>
      <c r="C84" t="inlineStr">
        <is>
          <t>081267949570</t>
        </is>
      </c>
      <c r="D84" t="inlineStr">
        <is>
          <t>wrj.abadi@gmail.com</t>
        </is>
      </c>
      <c r="E84" t="inlineStr">
        <is>
          <t>https://lpjk.pu.go.id/search-badan-usaha-detail/YStMOE13M3NIV2hpaVgyckovR3ZvZz09</t>
        </is>
      </c>
      <c r="F84" t="n">
        <v>2</v>
      </c>
      <c r="G84" t="inlineStr">
        <is>
          <t>RK003, RK005</t>
        </is>
      </c>
      <c r="H84" t="inlineStr">
        <is>
          <t>31 Oktober 2023</t>
        </is>
      </c>
      <c r="I84" s="2" t="n">
        <v>46360</v>
      </c>
      <c r="J84" t="inlineStr">
        <is>
          <t>Disetujui</t>
        </is>
      </c>
      <c r="K84" t="n">
        <v>87</v>
      </c>
      <c r="L84" t="inlineStr">
        <is>
          <t>4 Desember 2026</t>
        </is>
      </c>
      <c r="M84" t="inlineStr">
        <is>
          <t>Jasa Rekayasa Lainnya, Jasa Rekayasa Pekerjaan Teknik Sipil Transportasi</t>
        </is>
      </c>
      <c r="N84" t="inlineStr">
        <is>
          <t>K</t>
        </is>
      </c>
      <c r="O84" t="inlineStr">
        <is>
          <t>20231125</t>
        </is>
      </c>
      <c r="P84" t="inlineStr">
        <is>
          <t>Sumatera Barat</t>
        </is>
      </c>
      <c r="Q84" t="inlineStr"/>
    </row>
    <row r="85">
      <c r="A85" t="inlineStr">
        <is>
          <t>ZENITH JAYA PUTRI</t>
        </is>
      </c>
      <c r="B85" t="inlineStr">
        <is>
          <t>Kota Ternate</t>
        </is>
      </c>
      <c r="C85" t="inlineStr">
        <is>
          <t>085145841957</t>
        </is>
      </c>
      <c r="D85" t="inlineStr">
        <is>
          <t>pt.zenithjayaputri@gmail.com</t>
        </is>
      </c>
      <c r="E85" t="inlineStr">
        <is>
          <t>https://lpjk.pu.go.id/search-badan-usaha-detail/NDBUTVpxWERkSFNRaDhxcGtuNnFTdz09</t>
        </is>
      </c>
      <c r="F85" t="n">
        <v>2</v>
      </c>
      <c r="G85" t="inlineStr">
        <is>
          <t>BG001, BG009</t>
        </is>
      </c>
      <c r="H85" t="inlineStr">
        <is>
          <t>10 November 2023</t>
        </is>
      </c>
      <c r="I85" s="2" t="n">
        <v>46360</v>
      </c>
      <c r="J85" t="inlineStr">
        <is>
          <t>Disetujui</t>
        </is>
      </c>
      <c r="K85" t="n">
        <v>87</v>
      </c>
      <c r="L85" t="inlineStr">
        <is>
          <t>4 Desember 2026</t>
        </is>
      </c>
      <c r="M85" t="inlineStr">
        <is>
          <t>Konstruksi Gedung Hunian, Konstruksi Gedung Lainnya</t>
        </is>
      </c>
      <c r="N85" t="inlineStr">
        <is>
          <t>K</t>
        </is>
      </c>
      <c r="O85" t="inlineStr">
        <is>
          <t>20231130</t>
        </is>
      </c>
      <c r="P85" t="inlineStr">
        <is>
          <t>Maluku Utara</t>
        </is>
      </c>
      <c r="Q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5"/>
  <sheetViews>
    <sheetView workbookViewId="0">
      <selection activeCell="A1" sqref="A1"/>
    </sheetView>
  </sheetViews>
  <sheetFormatPr baseColWidth="8" defaultRowHeight="15"/>
  <cols>
    <col width="49" customWidth="1" min="1" max="1"/>
    <col width="30" customWidth="1" min="2" max="2"/>
    <col width="15"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AMARATIRTA NUSANTARA</t>
        </is>
      </c>
      <c r="B2" t="inlineStr">
        <is>
          <t>Kab. Bogor</t>
        </is>
      </c>
      <c r="C2" t="inlineStr">
        <is>
          <t>02182742288</t>
        </is>
      </c>
      <c r="D2" t="inlineStr">
        <is>
          <t>admin@amaratirta.co.id</t>
        </is>
      </c>
      <c r="E2" t="inlineStr">
        <is>
          <t>https://lpjk.pu.go.id/search-badan-usaha-detail/T2Fhb1psdG9qTkVvYngwM0ZhcktLdz09</t>
        </is>
      </c>
      <c r="F2" t="n">
        <v>2</v>
      </c>
      <c r="G2" t="inlineStr">
        <is>
          <t>RK001</t>
        </is>
      </c>
      <c r="H2" t="inlineStr">
        <is>
          <t>16 Oktober 2009</t>
        </is>
      </c>
      <c r="I2" s="2" t="n">
        <v>46333</v>
      </c>
      <c r="J2" t="inlineStr">
        <is>
          <t>Disetujui</t>
        </is>
      </c>
      <c r="K2" t="n">
        <v>60</v>
      </c>
      <c r="L2" t="inlineStr">
        <is>
          <t>7 November 2026</t>
        </is>
      </c>
      <c r="M2" t="inlineStr">
        <is>
          <t>Jasa Rekayasa Konstruksi Bangunan Gedung Hunian dan Non Hunian</t>
        </is>
      </c>
      <c r="N2" t="inlineStr">
        <is>
          <t>K</t>
        </is>
      </c>
      <c r="O2" t="inlineStr">
        <is>
          <t>20230823</t>
        </is>
      </c>
      <c r="P2" t="inlineStr">
        <is>
          <t>Jawa Barat</t>
        </is>
      </c>
      <c r="Q2" t="inlineStr"/>
    </row>
    <row r="3">
      <c r="A3" t="inlineStr">
        <is>
          <t>BANGUN PRASETYA UTAMA</t>
        </is>
      </c>
      <c r="B3" t="inlineStr">
        <is>
          <t>Kab. Bogor</t>
        </is>
      </c>
      <c r="C3" t="inlineStr">
        <is>
          <t>087875285893</t>
        </is>
      </c>
      <c r="D3" t="inlineStr">
        <is>
          <t>bangunprasetyautama22@gmail.com</t>
        </is>
      </c>
      <c r="E3" t="inlineStr">
        <is>
          <t>https://lpjk.pu.go.id/search-badan-usaha-detail/aHo4T3IyVTBLZUFIVzdGQ0RNbXBWZz09</t>
        </is>
      </c>
      <c r="F3" t="n">
        <v>3</v>
      </c>
      <c r="G3" t="inlineStr">
        <is>
          <t>BG001, BG003, BG009</t>
        </is>
      </c>
      <c r="H3" t="inlineStr">
        <is>
          <t>22 Januari 2010</t>
        </is>
      </c>
      <c r="I3" s="2" t="n">
        <v>46333</v>
      </c>
      <c r="J3" t="inlineStr">
        <is>
          <t>Disetujui</t>
        </is>
      </c>
      <c r="K3" t="n">
        <v>60</v>
      </c>
      <c r="L3" t="inlineStr">
        <is>
          <t>7 November 2026</t>
        </is>
      </c>
      <c r="M3" t="inlineStr">
        <is>
          <t>Konstruksi Gedung Hunian, Konstruksi Gedung Industri, Konstruksi Gedung Lainnya</t>
        </is>
      </c>
      <c r="N3" t="inlineStr">
        <is>
          <t>K</t>
        </is>
      </c>
      <c r="O3" t="inlineStr">
        <is>
          <t>20231026, 20231102</t>
        </is>
      </c>
      <c r="P3" t="inlineStr">
        <is>
          <t>Jawa Barat</t>
        </is>
      </c>
      <c r="Q3" s="3">
        <f>HYPERLINK("https://wa.me/6287875285893?text=*[PENGINGAT MASA BERLAKU SBU BANGUN PRASETYA UTAMA]*%0A%0AYth. Pimpinan BANGUN PRASETYA UTAMA,%0AMohon izin menginformasikan status SBU Anda di sistem LPJK:%0A%0A📄 SBU: BG001, BG003, BG009%0A📅 Expired: 7 November 2026 (60 Hari Lagi)%0A%0AKami tim PT. ESDEA Assistance Management siap men-support proses perpanjangan segera agar administrasi proyek tidak terhambat%0A%0AApakah boleh saya bantu siapkan estimasi biaya dan waktu pengerjaannya?.", "Hubungi")</f>
        <v/>
      </c>
    </row>
    <row r="4">
      <c r="A4" t="inlineStr">
        <is>
          <t>HOSAN INDO UTAMA</t>
        </is>
      </c>
      <c r="B4" t="inlineStr">
        <is>
          <t>Kota Bekasi</t>
        </is>
      </c>
      <c r="C4" t="inlineStr">
        <is>
          <t>08151813341</t>
        </is>
      </c>
      <c r="D4" t="inlineStr">
        <is>
          <t>hosanindoutama@gmail.com</t>
        </is>
      </c>
      <c r="E4" t="inlineStr">
        <is>
          <t>https://lpjk.pu.go.id/search-badan-usaha-detail/ZG1oNmVVTDd5NFhpc0tUYnRaV2EwZz09</t>
        </is>
      </c>
      <c r="F4" t="n">
        <v>4</v>
      </c>
      <c r="G4" t="inlineStr">
        <is>
          <t>BG001, BG002, BG003, BS001</t>
        </is>
      </c>
      <c r="H4" t="inlineStr">
        <is>
          <t>26 Mei 2023</t>
        </is>
      </c>
      <c r="I4" s="2" t="n">
        <v>46333</v>
      </c>
      <c r="J4" t="inlineStr">
        <is>
          <t>Disetujui</t>
        </is>
      </c>
      <c r="K4" t="n">
        <v>60</v>
      </c>
      <c r="L4" t="inlineStr">
        <is>
          <t>7 November 2026</t>
        </is>
      </c>
      <c r="M4" t="inlineStr">
        <is>
          <t>Konstruksi Bangunan Sipil Jalan, Konstruksi Gedung Hunian, Konstruksi Gedung Industri, Konstruksi Gedung Perkantoran</t>
        </is>
      </c>
      <c r="N4" t="inlineStr">
        <is>
          <t>K</t>
        </is>
      </c>
      <c r="O4" t="inlineStr">
        <is>
          <t>20230927, 20231102</t>
        </is>
      </c>
      <c r="P4" t="inlineStr">
        <is>
          <t>Jawa Barat</t>
        </is>
      </c>
      <c r="Q4" s="3">
        <f>HYPERLINK("https://wa.me/628151813341?text=*[PENGINGAT MASA BERLAKU SBU HOSAN INDO UTAMA]*%0A%0AYth. Pimpinan HOSAN INDO UTAMA,%0AMohon izin menginformasikan status SBU Anda di sistem LPJK:%0A%0A📄 SBU: BG001, BG002, BG003, BS001%0A📅 Expired: 7 November 2026 (60 Hari Lagi)%0A%0AKami tim PT. ESDEA Assistance Management siap men-support proses perpanjangan segera agar administrasi proyek tidak terhambat%0A%0AApakah boleh saya bantu siapkan estimasi biaya dan waktu pengerjaannya?.", "Hubungi")</f>
        <v/>
      </c>
    </row>
    <row r="5">
      <c r="A5" t="inlineStr">
        <is>
          <t>KARYA MOJANG PERTIWI</t>
        </is>
      </c>
      <c r="B5" t="inlineStr">
        <is>
          <t>Kota Adm. Jakarta Timur</t>
        </is>
      </c>
      <c r="C5" t="inlineStr">
        <is>
          <t>081807799958</t>
        </is>
      </c>
      <c r="D5" t="inlineStr">
        <is>
          <t>ptkmp21@gmail.com</t>
        </is>
      </c>
      <c r="E5" t="inlineStr">
        <is>
          <t>https://lpjk.pu.go.id/search-badan-usaha-detail/SEpvVThiOGxadDJLdG9WUnc4ZWUxZz09</t>
        </is>
      </c>
      <c r="F5" t="n">
        <v>1</v>
      </c>
      <c r="G5" t="inlineStr">
        <is>
          <t>PB004</t>
        </is>
      </c>
      <c r="H5" t="inlineStr">
        <is>
          <t>8 Oktober 2019</t>
        </is>
      </c>
      <c r="I5" s="2" t="n">
        <v>46333</v>
      </c>
      <c r="J5" t="inlineStr">
        <is>
          <t>Disetujui</t>
        </is>
      </c>
      <c r="K5" t="n">
        <v>60</v>
      </c>
      <c r="L5" t="inlineStr">
        <is>
          <t>7 November 2026</t>
        </is>
      </c>
      <c r="M5" t="inlineStr">
        <is>
          <t>Dekorasi Interior</t>
        </is>
      </c>
      <c r="N5" t="inlineStr">
        <is>
          <t>Spesialis</t>
        </is>
      </c>
      <c r="O5" t="inlineStr">
        <is>
          <t>20231102</t>
        </is>
      </c>
      <c r="P5" t="inlineStr">
        <is>
          <t>DKI Jakarta</t>
        </is>
      </c>
      <c r="Q5" s="3">
        <f>HYPERLINK("https://wa.me/6281807799958?text=*[PENGINGAT MASA BERLAKU SBU KARYA MOJANG PERTIWI]*%0A%0AYth. Pimpinan KARYA MOJANG PERTIWI,%0AMohon izin menginformasikan status SBU Anda di sistem LPJK:%0A%0A📄 SBU: PB004%0A📅 Expired: 7 November 2026 (60 Hari Lagi)%0A%0AKami tim PT. ESDEA Assistance Management siap men-support proses perpanjangan segera agar administrasi proyek tidak terhambat%0A%0AApakah boleh saya bantu siapkan estimasi biaya dan waktu pengerjaannya?.", "Hubungi")</f>
        <v/>
      </c>
    </row>
    <row r="6">
      <c r="A6" t="inlineStr">
        <is>
          <t>PANCA KARYA WIJAYA</t>
        </is>
      </c>
      <c r="B6" t="inlineStr">
        <is>
          <t>Kota Bekasi</t>
        </is>
      </c>
      <c r="C6" t="inlineStr">
        <is>
          <t>02182610015</t>
        </is>
      </c>
      <c r="D6" t="inlineStr">
        <is>
          <t>pancakarya_05@yahoo.co.id</t>
        </is>
      </c>
      <c r="E6" t="inlineStr">
        <is>
          <t>https://lpjk.pu.go.id/search-badan-usaha-detail/K2Q4MHZacG4vZFROeG9hUTVJTTROUT09</t>
        </is>
      </c>
      <c r="F6" t="n">
        <v>1</v>
      </c>
      <c r="G6" t="inlineStr">
        <is>
          <t>BS001</t>
        </is>
      </c>
      <c r="H6" t="inlineStr">
        <is>
          <t>21 Desember 2011</t>
        </is>
      </c>
      <c r="I6" s="2" t="n">
        <v>46333</v>
      </c>
      <c r="J6" t="inlineStr">
        <is>
          <t>Disetujui</t>
        </is>
      </c>
      <c r="K6" t="n">
        <v>60</v>
      </c>
      <c r="L6" t="inlineStr">
        <is>
          <t>7 November 2026</t>
        </is>
      </c>
      <c r="M6" t="inlineStr">
        <is>
          <t>Konstruksi Bangunan Sipil Jalan</t>
        </is>
      </c>
      <c r="N6" t="inlineStr">
        <is>
          <t>K</t>
        </is>
      </c>
      <c r="O6" t="inlineStr">
        <is>
          <t>20231018</t>
        </is>
      </c>
      <c r="P6" t="inlineStr">
        <is>
          <t>Jawa Barat</t>
        </is>
      </c>
      <c r="Q6" t="inlineStr"/>
    </row>
    <row r="7">
      <c r="A7" t="inlineStr">
        <is>
          <t>PERUSAHAAN PERSEROAN (PERSERO) PT. WIJAYA KARYA</t>
        </is>
      </c>
      <c r="B7" t="inlineStr">
        <is>
          <t>Kota Adm. Jakarta Timur</t>
        </is>
      </c>
      <c r="C7" t="inlineStr">
        <is>
          <t>81909549222</t>
        </is>
      </c>
      <c r="D7" t="inlineStr">
        <is>
          <t>epc@wika.co.id</t>
        </is>
      </c>
      <c r="E7" t="inlineStr">
        <is>
          <t>https://lpjk.pu.go.id/search-badan-usaha-detail/bzdZcTV0SlVvYThqaTlPV09YSXVDUT09</t>
        </is>
      </c>
      <c r="F7" t="n">
        <v>2</v>
      </c>
      <c r="G7" t="inlineStr">
        <is>
          <t>BG007, BS016</t>
        </is>
      </c>
      <c r="H7" t="inlineStr">
        <is>
          <t>20 Desember 1972</t>
        </is>
      </c>
      <c r="I7" s="2" t="n">
        <v>46333</v>
      </c>
      <c r="J7" t="inlineStr">
        <is>
          <t>Disetujui</t>
        </is>
      </c>
      <c r="K7" t="n">
        <v>60</v>
      </c>
      <c r="L7" t="inlineStr">
        <is>
          <t>7 November 2026</t>
        </is>
      </c>
      <c r="M7" t="inlineStr">
        <is>
          <t>Konstruksi Bangunan Sipil Fasilitas Olah Raga, Konstruksi Gedung Penginapan</t>
        </is>
      </c>
      <c r="N7" t="inlineStr">
        <is>
          <t>B</t>
        </is>
      </c>
      <c r="O7" t="inlineStr">
        <is>
          <t>20231107, 20231109</t>
        </is>
      </c>
      <c r="P7" t="inlineStr">
        <is>
          <t>DKI Jakarta</t>
        </is>
      </c>
      <c r="Q7" s="3">
        <f>HYPERLINK("https://wa.me/6281909549222?text=*[PENGINGAT MASA BERLAKU SBU PERUSAHAAN PERSEROAN (PERSERO) PT. WIJAYA KARYA]*%0A%0AYth. Pimpinan PERUSAHAAN PERSEROAN (PERSERO) PT. WIJAYA KARYA,%0AMohon izin menginformasikan status SBU Anda di sistem LPJK:%0A%0A📄 SBU: BG007, BS016%0A📅 Expired: 7 November 2026 (60 Hari Lagi)%0A%0AKami tim PT. ESDEA Assistance Management siap men-support proses perpanjangan segera agar administrasi proyek tidak terhambat%0A%0AApakah boleh saya bantu siapkan estimasi biaya dan waktu pengerjaannya?.", "Hubungi")</f>
        <v/>
      </c>
    </row>
    <row r="8">
      <c r="A8" t="inlineStr">
        <is>
          <t>TRIO PUTRA MANDIRI</t>
        </is>
      </c>
      <c r="B8" t="inlineStr">
        <is>
          <t>Kota Depok</t>
        </is>
      </c>
      <c r="C8" t="inlineStr">
        <is>
          <t>081806800333</t>
        </is>
      </c>
      <c r="D8" t="inlineStr">
        <is>
          <t>t.putramandiri@gmail.com</t>
        </is>
      </c>
      <c r="E8" t="inlineStr">
        <is>
          <t>https://lpjk.pu.go.id/search-badan-usaha-detail/OEV4eVdxVGZwa0NVQWY1VnY4N01Idz09</t>
        </is>
      </c>
      <c r="F8" t="n">
        <v>1</v>
      </c>
      <c r="G8" t="inlineStr">
        <is>
          <t>BS001</t>
        </is>
      </c>
      <c r="H8" t="inlineStr">
        <is>
          <t>28 Desember 2011</t>
        </is>
      </c>
      <c r="I8" s="2" t="n">
        <v>46333</v>
      </c>
      <c r="J8" t="inlineStr">
        <is>
          <t>Disetujui</t>
        </is>
      </c>
      <c r="K8" t="n">
        <v>60</v>
      </c>
      <c r="L8" t="inlineStr">
        <is>
          <t>7 November 2026</t>
        </is>
      </c>
      <c r="M8" t="inlineStr">
        <is>
          <t>Konstruksi Bangunan Sipil Jalan</t>
        </is>
      </c>
      <c r="N8" t="inlineStr">
        <is>
          <t>K</t>
        </is>
      </c>
      <c r="O8" t="inlineStr">
        <is>
          <t>20231106</t>
        </is>
      </c>
      <c r="P8" t="inlineStr">
        <is>
          <t>Jawa Barat</t>
        </is>
      </c>
      <c r="Q8" s="3">
        <f>HYPERLINK("https://wa.me/6281806800333?text=*[PENGINGAT MASA BERLAKU SBU TRIO PUTRA MANDIRI]*%0A%0AYth. Pimpinan TRIO PUTRA MANDIRI,%0AMohon izin menginformasikan status SBU Anda di sistem LPJK:%0A%0A📄 SBU: BS001%0A📅 Expired: 7 November 2026 (60 Hari Lagi)%0A%0AKami tim PT. ESDEA Assistance Management siap men-support proses perpanjangan segera agar administrasi proyek tidak terhambat%0A%0AApakah boleh saya bantu siapkan estimasi biaya dan waktu pengerjaannya?.", "Hubungi")</f>
        <v/>
      </c>
    </row>
    <row r="9">
      <c r="A9" t="inlineStr">
        <is>
          <t>WASA MITRA ENGINEERING</t>
        </is>
      </c>
      <c r="B9" t="inlineStr">
        <is>
          <t>Kota Adm. Jakarta Timur</t>
        </is>
      </c>
      <c r="C9" t="inlineStr">
        <is>
          <t>0214604968</t>
        </is>
      </c>
      <c r="D9" t="inlineStr">
        <is>
          <t>wme@wasamitra.co.id</t>
        </is>
      </c>
      <c r="E9" t="inlineStr">
        <is>
          <t>https://lpjk.pu.go.id/search-badan-usaha-detail/eURPTTh6bG56L1VQenBGOTZUZTZEZz09</t>
        </is>
      </c>
      <c r="F9" t="n">
        <v>1</v>
      </c>
      <c r="G9" t="inlineStr">
        <is>
          <t>BG001</t>
        </is>
      </c>
      <c r="H9" t="inlineStr">
        <is>
          <t>25 September 1975</t>
        </is>
      </c>
      <c r="I9" s="2" t="n">
        <v>46333</v>
      </c>
      <c r="J9" t="inlineStr">
        <is>
          <t>Disetujui</t>
        </is>
      </c>
      <c r="K9" t="n">
        <v>60</v>
      </c>
      <c r="L9" t="inlineStr">
        <is>
          <t>7 November 2026</t>
        </is>
      </c>
      <c r="M9" t="inlineStr">
        <is>
          <t>Konstruksi Gedung Hunian</t>
        </is>
      </c>
      <c r="N9" t="inlineStr">
        <is>
          <t>B</t>
        </is>
      </c>
      <c r="O9" t="inlineStr">
        <is>
          <t>20230801</t>
        </is>
      </c>
      <c r="P9" t="inlineStr">
        <is>
          <t>DKI Jakarta</t>
        </is>
      </c>
      <c r="Q9" t="inlineStr"/>
    </row>
    <row r="10">
      <c r="A10" t="inlineStr">
        <is>
          <t>ABDUL AZIZ</t>
        </is>
      </c>
      <c r="B10" t="inlineStr">
        <is>
          <t>Kab. Sumenep</t>
        </is>
      </c>
      <c r="C10" t="inlineStr">
        <is>
          <t>0817379994</t>
        </is>
      </c>
      <c r="D10" t="inlineStr">
        <is>
          <t>abdazizcv61@gmail.com</t>
        </is>
      </c>
      <c r="E10" t="inlineStr">
        <is>
          <t>https://lpjk.pu.go.id/search-badan-usaha-detail/Q0U1dUx3NCt2VExmcndONHBUdXdZQT09</t>
        </is>
      </c>
      <c r="F10" t="n">
        <v>1</v>
      </c>
      <c r="G10" t="inlineStr">
        <is>
          <t>BS001</t>
        </is>
      </c>
      <c r="H10" t="inlineStr">
        <is>
          <t>21 Maret 1978</t>
        </is>
      </c>
      <c r="I10" s="2" t="n">
        <v>46333</v>
      </c>
      <c r="J10" t="inlineStr">
        <is>
          <t>Disetujui</t>
        </is>
      </c>
      <c r="K10" t="n">
        <v>60</v>
      </c>
      <c r="L10" t="inlineStr">
        <is>
          <t>7 November 2026</t>
        </is>
      </c>
      <c r="M10" t="inlineStr">
        <is>
          <t>Konstruksi Bangunan Sipil Jalan</t>
        </is>
      </c>
      <c r="N10" t="inlineStr">
        <is>
          <t>K</t>
        </is>
      </c>
      <c r="O10" t="inlineStr">
        <is>
          <t>20231102</t>
        </is>
      </c>
      <c r="P10" t="inlineStr">
        <is>
          <t>Jawa Timur</t>
        </is>
      </c>
      <c r="Q10" t="inlineStr"/>
    </row>
    <row r="11">
      <c r="A11" t="inlineStr">
        <is>
          <t>ADIYASA WASTU PERTALA</t>
        </is>
      </c>
      <c r="B11" t="inlineStr">
        <is>
          <t>Kota Medan</t>
        </is>
      </c>
      <c r="C11" t="inlineStr">
        <is>
          <t>081397728701</t>
        </is>
      </c>
      <c r="D11" t="inlineStr">
        <is>
          <t>ptawp.medan@gmail.com</t>
        </is>
      </c>
      <c r="E11" t="inlineStr">
        <is>
          <t>https://lpjk.pu.go.id/search-badan-usaha-detail/SmMyeEV0MENUMDNER3dhQm5td2dNQT09</t>
        </is>
      </c>
      <c r="F11" t="n">
        <v>3</v>
      </c>
      <c r="G11" t="inlineStr">
        <is>
          <t>RK001, RK002, RK003</t>
        </is>
      </c>
      <c r="H11" t="inlineStr">
        <is>
          <t>17 Mei 2023</t>
        </is>
      </c>
      <c r="I11" s="2" t="n">
        <v>46333</v>
      </c>
      <c r="J11" t="inlineStr">
        <is>
          <t>Disetujui</t>
        </is>
      </c>
      <c r="K11" t="n">
        <v>60</v>
      </c>
      <c r="L11" t="inlineStr">
        <is>
          <t>7 November 2026</t>
        </is>
      </c>
      <c r="M11" t="inlineStr">
        <is>
          <t>Jasa Rekayasa Konstruksi Bangunan Gedung Hunian dan Non Hunian, Jasa Rekayasa Pekerjaan Teknik Sipil Sumber Daya Air, Jasa Rekayasa Pekerjaan Teknik Sipil Transportasi</t>
        </is>
      </c>
      <c r="N11" t="inlineStr">
        <is>
          <t>K</t>
        </is>
      </c>
      <c r="O11" t="inlineStr">
        <is>
          <t>20231027</t>
        </is>
      </c>
      <c r="P11" t="inlineStr">
        <is>
          <t>Sumatera Utara</t>
        </is>
      </c>
      <c r="Q11" t="inlineStr"/>
    </row>
    <row r="12">
      <c r="A12" t="inlineStr">
        <is>
          <t>ADZRA ANUGRAH</t>
        </is>
      </c>
      <c r="B12" t="inlineStr">
        <is>
          <t>Kab. Sidoarjo</t>
        </is>
      </c>
      <c r="C12" t="inlineStr">
        <is>
          <t>0318074885</t>
        </is>
      </c>
      <c r="D12" t="inlineStr">
        <is>
          <t>adzraanugrah2@gmail.com</t>
        </is>
      </c>
      <c r="E12" t="inlineStr">
        <is>
          <t>https://lpjk.pu.go.id/search-badan-usaha-detail/YU5DVkZnczVKSjgrcWErOVVoVnRJdz09</t>
        </is>
      </c>
      <c r="F12" t="n">
        <v>2</v>
      </c>
      <c r="G12" t="inlineStr">
        <is>
          <t>AR001, AR002</t>
        </is>
      </c>
      <c r="H12" t="inlineStr">
        <is>
          <t>1 November 2011</t>
        </is>
      </c>
      <c r="I12" s="2" t="n">
        <v>46333</v>
      </c>
      <c r="J12" t="inlineStr">
        <is>
          <t>Disetujui</t>
        </is>
      </c>
      <c r="K12" t="n">
        <v>60</v>
      </c>
      <c r="L12" t="inlineStr">
        <is>
          <t>7 November 2026</t>
        </is>
      </c>
      <c r="M12" t="inlineStr">
        <is>
          <t>Jasa Arsitektural Bangunan Gedung Hunian dan Non Hunian, Jasa Arsitektural Lainnya</t>
        </is>
      </c>
      <c r="N12" t="inlineStr">
        <is>
          <t>K</t>
        </is>
      </c>
      <c r="O12" t="inlineStr">
        <is>
          <t>20231026, 20231027</t>
        </is>
      </c>
      <c r="P12" t="inlineStr">
        <is>
          <t>Jawa Timur</t>
        </is>
      </c>
      <c r="Q12" t="inlineStr"/>
    </row>
    <row r="13">
      <c r="A13" t="inlineStr">
        <is>
          <t>ANUGERAH AMAR SEJAHTERA</t>
        </is>
      </c>
      <c r="B13" t="inlineStr">
        <is>
          <t>Kota Dumai</t>
        </is>
      </c>
      <c r="C13" t="inlineStr">
        <is>
          <t>081371934333</t>
        </is>
      </c>
      <c r="D13" t="inlineStr">
        <is>
          <t>anugerahs906@gmail.com</t>
        </is>
      </c>
      <c r="E13" t="inlineStr">
        <is>
          <t>https://lpjk.pu.go.id/search-badan-usaha-detail/MW9WdGo1d1gxbHk4bDdIYkljQW9JQT09</t>
        </is>
      </c>
      <c r="F13" t="n">
        <v>1</v>
      </c>
      <c r="G13" t="inlineStr">
        <is>
          <t>BS001</t>
        </is>
      </c>
      <c r="H13" t="inlineStr">
        <is>
          <t>13 April 2020</t>
        </is>
      </c>
      <c r="I13" s="2" t="n">
        <v>46333</v>
      </c>
      <c r="J13" t="inlineStr">
        <is>
          <t>Disetujui</t>
        </is>
      </c>
      <c r="K13" t="n">
        <v>60</v>
      </c>
      <c r="L13" t="inlineStr">
        <is>
          <t>7 November 2026</t>
        </is>
      </c>
      <c r="M13" t="inlineStr">
        <is>
          <t>Konstruksi Bangunan Sipil Jalan</t>
        </is>
      </c>
      <c r="N13" t="inlineStr">
        <is>
          <t>K</t>
        </is>
      </c>
      <c r="O13" t="inlineStr">
        <is>
          <t>20231106</t>
        </is>
      </c>
      <c r="P13" t="inlineStr">
        <is>
          <t>Riau</t>
        </is>
      </c>
      <c r="Q13" t="inlineStr"/>
    </row>
    <row r="14">
      <c r="A14" t="inlineStr">
        <is>
          <t>ARJUNA PANCA PERKASA</t>
        </is>
      </c>
      <c r="B14" t="inlineStr">
        <is>
          <t>Kab. Indramayu</t>
        </is>
      </c>
      <c r="C14" t="inlineStr">
        <is>
          <t>083148727019</t>
        </is>
      </c>
      <c r="D14" t="inlineStr">
        <is>
          <t>CVARJUNAPANCAPERKASAIMY@gmail.com</t>
        </is>
      </c>
      <c r="E14" t="inlineStr">
        <is>
          <t>https://lpjk.pu.go.id/search-badan-usaha-detail/emJveEFBcGF4Q2hpUDEwU0xZRVAxYndYdnp1Zjl0MGpNdzNOWEl5cUpPdz0</t>
        </is>
      </c>
      <c r="F14" t="n">
        <v>7</v>
      </c>
      <c r="G14" t="inlineStr">
        <is>
          <t>BG002, BG003, BG006, BG007, BG009, BS001, BS004</t>
        </is>
      </c>
      <c r="H14" t="inlineStr">
        <is>
          <t>25 Oktober 2023</t>
        </is>
      </c>
      <c r="I14" s="2" t="n">
        <v>46333</v>
      </c>
      <c r="J14" t="inlineStr">
        <is>
          <t>Disetujui</t>
        </is>
      </c>
      <c r="K14" t="n">
        <v>60</v>
      </c>
      <c r="L14" t="inlineStr">
        <is>
          <t>7 November 2026</t>
        </is>
      </c>
      <c r="M14" t="inlineStr">
        <is>
          <t>Konstruksi Bangunan Sipil Jalan, Konstruksi Gedung Industri, Konstruksi Gedung Lainnya, Konstruksi Gedung Pendidikan, Konstruksi Gedung Penginapan, Konstruksi Gedung Perkantoran, Konstruksi Jaringan Irigasi dan Drainase</t>
        </is>
      </c>
      <c r="N14" t="inlineStr">
        <is>
          <t>K</t>
        </is>
      </c>
      <c r="O14" t="inlineStr">
        <is>
          <t>20231106, 20231107, 20231109</t>
        </is>
      </c>
      <c r="P14" t="inlineStr">
        <is>
          <t>Jawa Barat</t>
        </is>
      </c>
      <c r="Q14" t="inlineStr"/>
    </row>
    <row r="15">
      <c r="A15" t="inlineStr">
        <is>
          <t>ARSYA PRANANDA GRUP</t>
        </is>
      </c>
      <c r="B15" t="inlineStr">
        <is>
          <t>Kab. Kayong Utara</t>
        </is>
      </c>
      <c r="C15" t="inlineStr">
        <is>
          <t>081348436633</t>
        </is>
      </c>
      <c r="D15" t="inlineStr">
        <is>
          <t>arsyaprananda2021@gmail.com</t>
        </is>
      </c>
      <c r="E15" t="inlineStr">
        <is>
          <t>https://lpjk.pu.go.id/search-badan-usaha-detail/TlF1cTJyc2h3OEdKNHRRdE1tVXBoQT09</t>
        </is>
      </c>
      <c r="F15" t="n">
        <v>2</v>
      </c>
      <c r="G15" t="inlineStr">
        <is>
          <t>BG006, BG009</t>
        </is>
      </c>
      <c r="H15" t="inlineStr">
        <is>
          <t>28 Januari 2021</t>
        </is>
      </c>
      <c r="I15" s="2" t="n">
        <v>46333</v>
      </c>
      <c r="J15" t="inlineStr">
        <is>
          <t>Pencabutan</t>
        </is>
      </c>
      <c r="K15" t="n">
        <v>60</v>
      </c>
      <c r="L15" t="inlineStr">
        <is>
          <t>7 November 2026</t>
        </is>
      </c>
      <c r="M15" t="inlineStr">
        <is>
          <t>Konstruksi Gedung Lainnya, Konstruksi Gedung Pendidikan</t>
        </is>
      </c>
      <c r="N15" t="inlineStr">
        <is>
          <t>K</t>
        </is>
      </c>
      <c r="O15" t="inlineStr">
        <is>
          <t>20231007</t>
        </is>
      </c>
      <c r="P15" t="inlineStr">
        <is>
          <t>Kalimantan Barat</t>
        </is>
      </c>
      <c r="Q15" t="inlineStr"/>
    </row>
    <row r="16">
      <c r="A16" t="inlineStr">
        <is>
          <t>ARTA ULINA MATARAJA</t>
        </is>
      </c>
      <c r="B16" t="inlineStr">
        <is>
          <t>Kab. Tangerang</t>
        </is>
      </c>
      <c r="C16" t="inlineStr">
        <is>
          <t>081291528777</t>
        </is>
      </c>
      <c r="D16" t="inlineStr">
        <is>
          <t>cv.artaulinamataraja@gmail.com</t>
        </is>
      </c>
      <c r="E16" t="inlineStr">
        <is>
          <t>https://lpjk.pu.go.id/search-badan-usaha-detail/WlBIZi9xazB0dHJPVnhmUnI5U01zdz09</t>
        </is>
      </c>
      <c r="F16" t="n">
        <v>4</v>
      </c>
      <c r="G16" t="inlineStr">
        <is>
          <t>BG006, BG009, BS001, BS004</t>
        </is>
      </c>
      <c r="H16" t="inlineStr">
        <is>
          <t>11 September 2023</t>
        </is>
      </c>
      <c r="I16" s="2" t="n">
        <v>46333</v>
      </c>
      <c r="J16" t="inlineStr">
        <is>
          <t>Disetujui</t>
        </is>
      </c>
      <c r="K16" t="n">
        <v>60</v>
      </c>
      <c r="L16" t="inlineStr">
        <is>
          <t>7 November 2026</t>
        </is>
      </c>
      <c r="M16" t="inlineStr">
        <is>
          <t>Konstruksi Bangunan Sipil Jalan, Konstruksi Gedung Lainnya, Konstruksi Gedung Pendidikan, Konstruksi Jaringan Irigasi dan Drainase</t>
        </is>
      </c>
      <c r="N16" t="inlineStr">
        <is>
          <t>K</t>
        </is>
      </c>
      <c r="O16" t="inlineStr">
        <is>
          <t>20231015</t>
        </is>
      </c>
      <c r="P16" t="inlineStr">
        <is>
          <t>Banten</t>
        </is>
      </c>
      <c r="Q16" t="inlineStr"/>
    </row>
    <row r="17">
      <c r="A17" t="inlineStr">
        <is>
          <t>ASCONT PUTRA MANDIRI</t>
        </is>
      </c>
      <c r="B17" t="inlineStr">
        <is>
          <t>Kota Serang</t>
        </is>
      </c>
      <c r="C17" t="inlineStr">
        <is>
          <t>085216222217</t>
        </is>
      </c>
      <c r="D17" t="inlineStr">
        <is>
          <t>ascontputramandiri@gmail.com</t>
        </is>
      </c>
      <c r="E17" t="inlineStr">
        <is>
          <t>https://lpjk.pu.go.id/search-badan-usaha-detail/UkpyNXJWenRMWXhFZDgxeW5Cc1Z3dz09</t>
        </is>
      </c>
      <c r="F17" t="n">
        <v>1</v>
      </c>
      <c r="G17" t="inlineStr">
        <is>
          <t>BS001</t>
        </is>
      </c>
      <c r="H17" t="inlineStr">
        <is>
          <t>5 Agustus 2020</t>
        </is>
      </c>
      <c r="I17" s="2" t="n">
        <v>46333</v>
      </c>
      <c r="J17" t="inlineStr">
        <is>
          <t>Pencabutan</t>
        </is>
      </c>
      <c r="K17" t="n">
        <v>60</v>
      </c>
      <c r="L17" t="inlineStr">
        <is>
          <t>7 November 2026</t>
        </is>
      </c>
      <c r="M17" t="inlineStr">
        <is>
          <t>Konstruksi Bangunan Sipil Jalan</t>
        </is>
      </c>
      <c r="N17" t="inlineStr">
        <is>
          <t>K</t>
        </is>
      </c>
      <c r="O17" t="inlineStr">
        <is>
          <t>20231101</t>
        </is>
      </c>
      <c r="P17" t="inlineStr">
        <is>
          <t>Banten</t>
        </is>
      </c>
      <c r="Q17" t="inlineStr"/>
    </row>
    <row r="18">
      <c r="A18" t="inlineStr">
        <is>
          <t>ASTA KENCANA</t>
        </is>
      </c>
      <c r="B18" t="inlineStr">
        <is>
          <t>Kab. Sumenep</t>
        </is>
      </c>
      <c r="C18" t="inlineStr">
        <is>
          <t>0817379994</t>
        </is>
      </c>
      <c r="D18" t="inlineStr">
        <is>
          <t>astakencanacv@gmail.com</t>
        </is>
      </c>
      <c r="E18" t="inlineStr">
        <is>
          <t>https://lpjk.pu.go.id/search-badan-usaha-detail/NUE5RXRwT08vZFVTMTljOE95Y1ZBQT09</t>
        </is>
      </c>
      <c r="F18" t="n">
        <v>1</v>
      </c>
      <c r="G18" t="inlineStr">
        <is>
          <t>BG005</t>
        </is>
      </c>
      <c r="H18" t="inlineStr">
        <is>
          <t>27 Februari 2002</t>
        </is>
      </c>
      <c r="I18" s="2" t="n">
        <v>46333</v>
      </c>
      <c r="J18" t="inlineStr">
        <is>
          <t>Disetujui</t>
        </is>
      </c>
      <c r="K18" t="n">
        <v>60</v>
      </c>
      <c r="L18" t="inlineStr">
        <is>
          <t>7 November 2026</t>
        </is>
      </c>
      <c r="M18" t="inlineStr">
        <is>
          <t>Konstruksi Gedung Kesehatan</t>
        </is>
      </c>
      <c r="N18" t="inlineStr">
        <is>
          <t>K</t>
        </is>
      </c>
      <c r="O18" t="inlineStr">
        <is>
          <t>20231030</t>
        </is>
      </c>
      <c r="P18" t="inlineStr">
        <is>
          <t>Jawa Timur</t>
        </is>
      </c>
      <c r="Q18" t="inlineStr"/>
    </row>
    <row r="19">
      <c r="A19" t="inlineStr">
        <is>
          <t>ATHARA</t>
        </is>
      </c>
      <c r="B19" t="inlineStr">
        <is>
          <t>Kab. Bondowoso</t>
        </is>
      </c>
      <c r="C19" t="inlineStr">
        <is>
          <t>082264157779</t>
        </is>
      </c>
      <c r="D19" t="inlineStr">
        <is>
          <t>atharacv0@gmail.com</t>
        </is>
      </c>
      <c r="E19" t="inlineStr">
        <is>
          <t>https://lpjk.pu.go.id/search-badan-usaha-detail/L3lSWTBLR0dhQ2RUSVJtNG1uSXJOQT09</t>
        </is>
      </c>
      <c r="F19" t="n">
        <v>2</v>
      </c>
      <c r="G19" t="inlineStr">
        <is>
          <t>BG005, BS001</t>
        </is>
      </c>
      <c r="H19" t="inlineStr">
        <is>
          <t>13 Desember 2017</t>
        </is>
      </c>
      <c r="I19" s="2" t="n">
        <v>46333</v>
      </c>
      <c r="J19" t="inlineStr">
        <is>
          <t>Disetujui</t>
        </is>
      </c>
      <c r="K19" t="n">
        <v>60</v>
      </c>
      <c r="L19" t="inlineStr">
        <is>
          <t>7 November 2026</t>
        </is>
      </c>
      <c r="M19" t="inlineStr">
        <is>
          <t>Konstruksi Bangunan Sipil Jalan, Konstruksi Gedung Kesehatan</t>
        </is>
      </c>
      <c r="N19" t="inlineStr">
        <is>
          <t>K</t>
        </is>
      </c>
      <c r="O19" t="inlineStr">
        <is>
          <t>20231103, 20231110</t>
        </is>
      </c>
      <c r="P19" t="inlineStr">
        <is>
          <t>Jawa Timur</t>
        </is>
      </c>
      <c r="Q19" t="inlineStr"/>
    </row>
    <row r="20">
      <c r="A20" t="inlineStr">
        <is>
          <t>BANAR MEGA RAYA</t>
        </is>
      </c>
      <c r="B20" t="inlineStr">
        <is>
          <t>Kab. Nganjuk</t>
        </is>
      </c>
      <c r="C20" t="inlineStr">
        <is>
          <t>081235232979</t>
        </is>
      </c>
      <c r="D20" t="inlineStr">
        <is>
          <t>banarmegaraya@gmail.com</t>
        </is>
      </c>
      <c r="E20" t="inlineStr">
        <is>
          <t>https://lpjk.pu.go.id/search-badan-usaha-detail/cHVycGRGdUJBUnBEVFNUUHV1NTJCUT09</t>
        </is>
      </c>
      <c r="F20" t="n">
        <v>4</v>
      </c>
      <c r="G20" t="inlineStr">
        <is>
          <t>BG005, BG006, BS001, BS002</t>
        </is>
      </c>
      <c r="H20" t="inlineStr">
        <is>
          <t>16 September 2023</t>
        </is>
      </c>
      <c r="I20" s="2" t="n">
        <v>46333</v>
      </c>
      <c r="J20" t="inlineStr">
        <is>
          <t>Disetujui</t>
        </is>
      </c>
      <c r="K20" t="n">
        <v>60</v>
      </c>
      <c r="L20" t="inlineStr">
        <is>
          <t>7 November 2026</t>
        </is>
      </c>
      <c r="M20" t="inlineStr">
        <is>
          <t>Bangunan Sipil Jembatan, Jalan Layang, Fly Over, dan Underpass, Konstruksi Bangunan Sipil Jalan, Konstruksi Gedung Kesehatan, Konstruksi Gedung Pendidikan</t>
        </is>
      </c>
      <c r="N20" t="inlineStr">
        <is>
          <t>K</t>
        </is>
      </c>
      <c r="O20" t="inlineStr">
        <is>
          <t>20231107</t>
        </is>
      </c>
      <c r="P20" t="inlineStr">
        <is>
          <t>Jawa Timur</t>
        </is>
      </c>
      <c r="Q20" t="inlineStr"/>
    </row>
    <row r="21">
      <c r="A21" t="inlineStr">
        <is>
          <t>BAYURINI</t>
        </is>
      </c>
      <c r="B21" t="inlineStr">
        <is>
          <t>Kota Adm. Jakarta Barat</t>
        </is>
      </c>
      <c r="C21" t="inlineStr">
        <is>
          <t>021456548</t>
        </is>
      </c>
      <c r="D21" t="inlineStr">
        <is>
          <t>bayurini422@gmail.com</t>
        </is>
      </c>
      <c r="E21" t="inlineStr">
        <is>
          <t>https://lpjk.pu.go.id/search-badan-usaha-detail/RG9UZ1hyQ3B4K0hpVGNFcWYrM3FNdz09</t>
        </is>
      </c>
      <c r="F21" t="n">
        <v>2</v>
      </c>
      <c r="G21" t="inlineStr">
        <is>
          <t>BG002</t>
        </is>
      </c>
      <c r="H21" t="inlineStr">
        <is>
          <t>16 Agustus 2023</t>
        </is>
      </c>
      <c r="I21" s="2" t="n">
        <v>46333</v>
      </c>
      <c r="J21" t="inlineStr">
        <is>
          <t>Disetujui</t>
        </is>
      </c>
      <c r="K21" t="n">
        <v>60</v>
      </c>
      <c r="L21" t="inlineStr">
        <is>
          <t>7 November 2026</t>
        </is>
      </c>
      <c r="M21" t="inlineStr">
        <is>
          <t>Konstruksi Gedung Perkantoran</t>
        </is>
      </c>
      <c r="N21" t="inlineStr">
        <is>
          <t>K</t>
        </is>
      </c>
      <c r="O21" t="inlineStr">
        <is>
          <t>20231106</t>
        </is>
      </c>
      <c r="P21" t="inlineStr">
        <is>
          <t>DKI Jakarta</t>
        </is>
      </c>
      <c r="Q21" t="inlineStr"/>
    </row>
    <row r="22">
      <c r="A22" t="inlineStr">
        <is>
          <t>BERKAWAN JAYA MANDIRI</t>
        </is>
      </c>
      <c r="B22" t="inlineStr">
        <is>
          <t>Kab. Deli Serdang</t>
        </is>
      </c>
      <c r="C22" t="inlineStr">
        <is>
          <t>082165367605</t>
        </is>
      </c>
      <c r="D22" t="inlineStr">
        <is>
          <t>berkawanjaya.mandiri1@gmail.com</t>
        </is>
      </c>
      <c r="E22" t="inlineStr">
        <is>
          <t>https://lpjk.pu.go.id/search-badan-usaha-detail/NUNaYXhYbVdvaCtId21MYjFIMmZZQT09</t>
        </is>
      </c>
      <c r="F22" t="n">
        <v>1</v>
      </c>
      <c r="G22" t="inlineStr">
        <is>
          <t>BG003</t>
        </is>
      </c>
      <c r="H22" t="inlineStr">
        <is>
          <t>16 Juni 2020</t>
        </is>
      </c>
      <c r="I22" s="2" t="n">
        <v>46333</v>
      </c>
      <c r="J22" t="inlineStr">
        <is>
          <t>Disetujui</t>
        </is>
      </c>
      <c r="K22" t="n">
        <v>60</v>
      </c>
      <c r="L22" t="inlineStr">
        <is>
          <t>7 November 2026</t>
        </is>
      </c>
      <c r="M22" t="inlineStr">
        <is>
          <t>Konstruksi Gedung Industri</t>
        </is>
      </c>
      <c r="N22" t="inlineStr">
        <is>
          <t>K</t>
        </is>
      </c>
      <c r="O22" t="inlineStr">
        <is>
          <t>20231103</t>
        </is>
      </c>
      <c r="P22" t="inlineStr">
        <is>
          <t>Sumatera Utara</t>
        </is>
      </c>
      <c r="Q22" t="inlineStr"/>
    </row>
    <row r="23">
      <c r="A23" t="inlineStr">
        <is>
          <t>BINTANG SAMUDERA</t>
        </is>
      </c>
      <c r="B23" t="inlineStr">
        <is>
          <t>Kab. Blitar</t>
        </is>
      </c>
      <c r="C23" t="inlineStr">
        <is>
          <t>08134114302</t>
        </is>
      </c>
      <c r="D23" t="inlineStr">
        <is>
          <t>samudrabintang20@ymail.com</t>
        </is>
      </c>
      <c r="E23" t="inlineStr">
        <is>
          <t>https://lpjk.pu.go.id/search-badan-usaha-detail/dkNyOFNCckVEZExuWWxOKzVYQUZuQT09</t>
        </is>
      </c>
      <c r="F23" t="n">
        <v>2</v>
      </c>
      <c r="G23" t="inlineStr">
        <is>
          <t>BS001</t>
        </is>
      </c>
      <c r="H23" t="inlineStr">
        <is>
          <t>22 Desember 2006</t>
        </is>
      </c>
      <c r="I23" s="2" t="n">
        <v>46333</v>
      </c>
      <c r="J23" t="inlineStr">
        <is>
          <t>Disetujui</t>
        </is>
      </c>
      <c r="K23" t="n">
        <v>60</v>
      </c>
      <c r="L23" t="inlineStr">
        <is>
          <t>7 November 2026</t>
        </is>
      </c>
      <c r="M23" t="inlineStr">
        <is>
          <t>Konstruksi Bangunan Sipil Jalan</t>
        </is>
      </c>
      <c r="N23" t="inlineStr">
        <is>
          <t>K</t>
        </is>
      </c>
      <c r="O23" t="inlineStr">
        <is>
          <t>20231103</t>
        </is>
      </c>
      <c r="P23" t="inlineStr">
        <is>
          <t>Jawa Timur</t>
        </is>
      </c>
      <c r="Q23" t="inlineStr"/>
    </row>
    <row r="24">
      <c r="A24" t="inlineStr">
        <is>
          <t>BIRO SARANA PELITA</t>
        </is>
      </c>
      <c r="B24" t="inlineStr">
        <is>
          <t>-</t>
        </is>
      </c>
      <c r="C24" t="inlineStr">
        <is>
          <t>08126838001</t>
        </is>
      </c>
      <c r="D24" t="inlineStr">
        <is>
          <t>birosaranapelita@yahoo.co.id</t>
        </is>
      </c>
      <c r="E24" t="inlineStr">
        <is>
          <t>https://lpjk.pu.go.id/search-badan-usaha-detail/YUdmM3YzZDlVYVFFa1ZoR1RVd29Udz09</t>
        </is>
      </c>
      <c r="F24" t="n">
        <v>1</v>
      </c>
      <c r="G24" t="inlineStr">
        <is>
          <t>BG009</t>
        </is>
      </c>
      <c r="H24" t="inlineStr">
        <is>
          <t>26 Agustus 1993</t>
        </is>
      </c>
      <c r="I24" s="2" t="n">
        <v>46333</v>
      </c>
      <c r="J24" t="inlineStr">
        <is>
          <t>Disetujui</t>
        </is>
      </c>
      <c r="K24" t="n">
        <v>60</v>
      </c>
      <c r="L24" t="inlineStr">
        <is>
          <t>7 November 2026</t>
        </is>
      </c>
      <c r="M24" t="inlineStr">
        <is>
          <t>Konstruksi Gedung Lainnya</t>
        </is>
      </c>
      <c r="N24" t="inlineStr">
        <is>
          <t>K</t>
        </is>
      </c>
      <c r="O24" t="inlineStr">
        <is>
          <t>20231027</t>
        </is>
      </c>
      <c r="P24" t="inlineStr">
        <is>
          <t>Riau</t>
        </is>
      </c>
      <c r="Q24" t="inlineStr"/>
    </row>
    <row r="25">
      <c r="A25" t="inlineStr">
        <is>
          <t>BORNEO KEMBAR PUTRI</t>
        </is>
      </c>
      <c r="B25" t="inlineStr">
        <is>
          <t>Kab. Kapuas Hulu</t>
        </is>
      </c>
      <c r="C25" t="inlineStr">
        <is>
          <t>0895340179199</t>
        </is>
      </c>
      <c r="D25" t="inlineStr">
        <is>
          <t>cv.borneokembarputri@gmail.com</t>
        </is>
      </c>
      <c r="E25" t="inlineStr">
        <is>
          <t>https://lpjk.pu.go.id/search-badan-usaha-detail/R1NmRnhCd2Z1NENQbmhEdG5zSGdjZz09</t>
        </is>
      </c>
      <c r="F25" t="n">
        <v>2</v>
      </c>
      <c r="G25" t="inlineStr">
        <is>
          <t>BG005, BS002</t>
        </is>
      </c>
      <c r="H25" t="inlineStr">
        <is>
          <t>6 Januari 2017</t>
        </is>
      </c>
      <c r="I25" s="2" t="n">
        <v>46333</v>
      </c>
      <c r="J25" t="inlineStr">
        <is>
          <t>Disetujui</t>
        </is>
      </c>
      <c r="K25" t="n">
        <v>60</v>
      </c>
      <c r="L25" t="inlineStr">
        <is>
          <t>7 November 2026</t>
        </is>
      </c>
      <c r="M25" t="inlineStr">
        <is>
          <t>Bangunan Sipil Jembatan, Jalan Layang, Fly Over, dan Underpass, Konstruksi Gedung Kesehatan</t>
        </is>
      </c>
      <c r="N25" t="inlineStr">
        <is>
          <t>K</t>
        </is>
      </c>
      <c r="O25" t="inlineStr">
        <is>
          <t>20231103, 20231110</t>
        </is>
      </c>
      <c r="P25" t="inlineStr">
        <is>
          <t>Kalimantan Barat</t>
        </is>
      </c>
      <c r="Q25" t="inlineStr"/>
    </row>
    <row r="26">
      <c r="A26" t="inlineStr">
        <is>
          <t>BORNEO SATURAYA ABADI</t>
        </is>
      </c>
      <c r="B26" t="inlineStr">
        <is>
          <t>Kota Balikpapan</t>
        </is>
      </c>
      <c r="C26" t="inlineStr">
        <is>
          <t>08115851977</t>
        </is>
      </c>
      <c r="D26" t="inlineStr">
        <is>
          <t>borneosaturaya@gmail.com</t>
        </is>
      </c>
      <c r="E26" t="inlineStr">
        <is>
          <t>https://lpjk.pu.go.id/search-badan-usaha-detail/K05iSGhYd0lnMmRWbFpYTTdaTjZLZz09</t>
        </is>
      </c>
      <c r="F26" t="n">
        <v>1</v>
      </c>
      <c r="G26" t="inlineStr">
        <is>
          <t>BG009</t>
        </is>
      </c>
      <c r="H26" t="inlineStr">
        <is>
          <t>12 Juni 2023</t>
        </is>
      </c>
      <c r="I26" s="2" t="n">
        <v>46333</v>
      </c>
      <c r="J26" t="inlineStr">
        <is>
          <t>Disetujui</t>
        </is>
      </c>
      <c r="K26" t="n">
        <v>60</v>
      </c>
      <c r="L26" t="inlineStr">
        <is>
          <t>7 November 2026</t>
        </is>
      </c>
      <c r="M26" t="inlineStr">
        <is>
          <t>Konstruksi Gedung Lainnya</t>
        </is>
      </c>
      <c r="N26" t="inlineStr">
        <is>
          <t>K</t>
        </is>
      </c>
      <c r="O26" t="inlineStr">
        <is>
          <t>20231107</t>
        </is>
      </c>
      <c r="P26" t="inlineStr">
        <is>
          <t>Kalimantan Timur</t>
        </is>
      </c>
      <c r="Q26" t="inlineStr"/>
    </row>
    <row r="27">
      <c r="A27" t="inlineStr">
        <is>
          <t>BORNEO UTAMA NUSANTARA</t>
        </is>
      </c>
      <c r="B27" t="inlineStr">
        <is>
          <t>Kota Pontianak</t>
        </is>
      </c>
      <c r="C27" t="inlineStr">
        <is>
          <t>082358774589</t>
        </is>
      </c>
      <c r="D27" t="inlineStr">
        <is>
          <t>-</t>
        </is>
      </c>
      <c r="E27" t="inlineStr">
        <is>
          <t>https://lpjk.pu.go.id/search-badan-usaha-detail/OFpsTlVvUmRHR2x4aEphVFZWT2J5Zz09</t>
        </is>
      </c>
      <c r="F27" t="n">
        <v>2</v>
      </c>
      <c r="G27" t="inlineStr">
        <is>
          <t>BG001, BS001</t>
        </is>
      </c>
      <c r="H27" t="inlineStr">
        <is>
          <t>4 Oktober 2021</t>
        </is>
      </c>
      <c r="I27" s="2" t="n">
        <v>46333</v>
      </c>
      <c r="J27" t="inlineStr">
        <is>
          <t>Disetujui</t>
        </is>
      </c>
      <c r="K27" t="n">
        <v>60</v>
      </c>
      <c r="L27" t="inlineStr">
        <is>
          <t>7 November 2026</t>
        </is>
      </c>
      <c r="M27" t="inlineStr">
        <is>
          <t>Konstruksi Bangunan Sipil Jalan, Konstruksi Gedung Hunian</t>
        </is>
      </c>
      <c r="N27" t="inlineStr">
        <is>
          <t>K</t>
        </is>
      </c>
      <c r="O27" t="inlineStr">
        <is>
          <t>20231101, 20231114</t>
        </is>
      </c>
      <c r="P27" t="inlineStr">
        <is>
          <t>Kalimantan Barat</t>
        </is>
      </c>
      <c r="Q27" t="inlineStr"/>
    </row>
    <row r="28">
      <c r="A28" t="inlineStr">
        <is>
          <t>BUDIS POOL</t>
        </is>
      </c>
      <c r="B28" t="inlineStr">
        <is>
          <t>Kota Adm. Jakarta Selatan</t>
        </is>
      </c>
      <c r="C28" t="inlineStr">
        <is>
          <t>08193239009</t>
        </is>
      </c>
      <c r="D28" t="inlineStr">
        <is>
          <t>budispool12@yahoo.com</t>
        </is>
      </c>
      <c r="E28" t="inlineStr">
        <is>
          <t>https://lpjk.pu.go.id/search-badan-usaha-detail/SW9tWGpBME1mR01tUWM2UzR2Y3VGQT09</t>
        </is>
      </c>
      <c r="F28" t="n">
        <v>1</v>
      </c>
      <c r="G28" t="inlineStr">
        <is>
          <t>BG008</t>
        </is>
      </c>
      <c r="H28" t="inlineStr">
        <is>
          <t>30 Januari 2023</t>
        </is>
      </c>
      <c r="I28" s="2" t="n">
        <v>46333</v>
      </c>
      <c r="J28" t="inlineStr">
        <is>
          <t>Disetujui</t>
        </is>
      </c>
      <c r="K28" t="n">
        <v>60</v>
      </c>
      <c r="L28" t="inlineStr">
        <is>
          <t>7 November 2026</t>
        </is>
      </c>
      <c r="M28" t="inlineStr">
        <is>
          <t>Konstruksi Gedung Tempat Hiburan dan Olahraga</t>
        </is>
      </c>
      <c r="N28" t="inlineStr">
        <is>
          <t>K</t>
        </is>
      </c>
      <c r="O28" t="inlineStr">
        <is>
          <t>20231106</t>
        </is>
      </c>
      <c r="P28" t="inlineStr">
        <is>
          <t>DKI Jakarta</t>
        </is>
      </c>
      <c r="Q28" t="inlineStr"/>
    </row>
    <row r="29">
      <c r="A29" t="inlineStr">
        <is>
          <t>BUMI KARYA MALUKU</t>
        </is>
      </c>
      <c r="B29" t="inlineStr">
        <is>
          <t>Kota Ambon</t>
        </is>
      </c>
      <c r="C29" t="inlineStr">
        <is>
          <t>-</t>
        </is>
      </c>
      <c r="D29" t="inlineStr">
        <is>
          <t>-</t>
        </is>
      </c>
      <c r="E29" t="inlineStr">
        <is>
          <t>https://lpjk.pu.go.id/search-badan-usaha-detail/VW9ZNzBsblhWS2FPRWFoQTlJVlBnZz09</t>
        </is>
      </c>
      <c r="F29" t="n">
        <v>1</v>
      </c>
      <c r="G29" t="inlineStr">
        <is>
          <t>BG009</t>
        </is>
      </c>
      <c r="H29" t="inlineStr">
        <is>
          <t>30 Juli 1996</t>
        </is>
      </c>
      <c r="I29" s="2" t="n">
        <v>46333</v>
      </c>
      <c r="J29" t="inlineStr">
        <is>
          <t>Disetujui</t>
        </is>
      </c>
      <c r="K29" t="n">
        <v>60</v>
      </c>
      <c r="L29" t="inlineStr">
        <is>
          <t>7 November 2026</t>
        </is>
      </c>
      <c r="M29" t="inlineStr">
        <is>
          <t>Konstruksi Gedung Lainnya</t>
        </is>
      </c>
      <c r="N29" t="inlineStr">
        <is>
          <t>K</t>
        </is>
      </c>
      <c r="O29" t="inlineStr">
        <is>
          <t>20231106</t>
        </is>
      </c>
      <c r="P29" t="inlineStr">
        <is>
          <t>Maluku</t>
        </is>
      </c>
      <c r="Q29" t="inlineStr"/>
    </row>
    <row r="30">
      <c r="A30" t="inlineStr">
        <is>
          <t>BUMI LESTARI</t>
        </is>
      </c>
      <c r="B30" t="inlineStr">
        <is>
          <t>Kab. Purwakarta</t>
        </is>
      </c>
      <c r="C30" t="inlineStr">
        <is>
          <t>08129472080</t>
        </is>
      </c>
      <c r="D30" t="inlineStr">
        <is>
          <t>cv.bumilestaripwk@gmail.com</t>
        </is>
      </c>
      <c r="E30" t="inlineStr">
        <is>
          <t>https://lpjk.pu.go.id/search-badan-usaha-detail/RVpSTnpWWGVLd2xyV09UazdaYkFFQT09</t>
        </is>
      </c>
      <c r="F30" t="n">
        <v>3</v>
      </c>
      <c r="G30" t="inlineStr">
        <is>
          <t>BG009, BS001, BS004</t>
        </is>
      </c>
      <c r="H30" t="inlineStr">
        <is>
          <t>1 Januari 2018</t>
        </is>
      </c>
      <c r="I30" s="2" t="n">
        <v>46333</v>
      </c>
      <c r="J30" t="inlineStr">
        <is>
          <t>Disetujui</t>
        </is>
      </c>
      <c r="K30" t="n">
        <v>60</v>
      </c>
      <c r="L30" t="inlineStr">
        <is>
          <t>7 November 2026</t>
        </is>
      </c>
      <c r="M30" t="inlineStr">
        <is>
          <t>Konstruksi Bangunan Sipil Jalan, Konstruksi Gedung Lainnya, Konstruksi Jaringan Irigasi dan Drainase</t>
        </is>
      </c>
      <c r="N30" t="inlineStr">
        <is>
          <t>K</t>
        </is>
      </c>
      <c r="O30" t="inlineStr">
        <is>
          <t>20231102, 20231103, 20231106</t>
        </is>
      </c>
      <c r="P30" t="inlineStr">
        <is>
          <t>Jawa Barat</t>
        </is>
      </c>
      <c r="Q30" t="inlineStr"/>
    </row>
    <row r="31">
      <c r="A31" t="inlineStr">
        <is>
          <t>BUMI PUTRI SILAMPARI</t>
        </is>
      </c>
      <c r="B31" t="inlineStr">
        <is>
          <t>Kota Bandung</t>
        </is>
      </c>
      <c r="C31" t="inlineStr">
        <is>
          <t>081932688378</t>
        </is>
      </c>
      <c r="D31" t="inlineStr">
        <is>
          <t>silamparibumiputri@gmail.com</t>
        </is>
      </c>
      <c r="E31" t="inlineStr">
        <is>
          <t>https://lpjk.pu.go.id/search-badan-usaha-detail/L3p2aURjMkNWNEdubThpRm8vR09XZz09</t>
        </is>
      </c>
      <c r="F31" t="n">
        <v>2</v>
      </c>
      <c r="G31" t="inlineStr">
        <is>
          <t>BG002, BG009</t>
        </is>
      </c>
      <c r="H31" t="inlineStr">
        <is>
          <t>22 Agustus 1992</t>
        </is>
      </c>
      <c r="I31" s="2" t="n">
        <v>46333</v>
      </c>
      <c r="J31" t="inlineStr">
        <is>
          <t>Pencabutan</t>
        </is>
      </c>
      <c r="K31" t="n">
        <v>60</v>
      </c>
      <c r="L31" t="inlineStr">
        <is>
          <t>7 November 2026</t>
        </is>
      </c>
      <c r="M31" t="inlineStr">
        <is>
          <t>Konstruksi Gedung Lainnya, Konstruksi Gedung Perkantoran</t>
        </is>
      </c>
      <c r="N31" t="inlineStr">
        <is>
          <t>M</t>
        </is>
      </c>
      <c r="O31" t="inlineStr">
        <is>
          <t>20231106, 20231109</t>
        </is>
      </c>
      <c r="P31" t="inlineStr">
        <is>
          <t>Jawa Barat</t>
        </is>
      </c>
      <c r="Q31" t="inlineStr"/>
    </row>
    <row r="32">
      <c r="A32" t="inlineStr">
        <is>
          <t>BUNGA CANTIKA PERSADA</t>
        </is>
      </c>
      <c r="B32" t="inlineStr">
        <is>
          <t>Kota Mataram</t>
        </is>
      </c>
      <c r="C32" t="inlineStr">
        <is>
          <t>081703532900</t>
        </is>
      </c>
      <c r="D32" t="inlineStr">
        <is>
          <t>cantikab781@gmail.com</t>
        </is>
      </c>
      <c r="E32" t="inlineStr">
        <is>
          <t>https://lpjk.pu.go.id/search-badan-usaha-detail/U1BiWWJHMjdrYUpsYlB1Q2VrMTBVSjRNT0E0aElpT3VYOFZBYStmNFl0TT0</t>
        </is>
      </c>
      <c r="F32" t="n">
        <v>1</v>
      </c>
      <c r="G32" t="inlineStr">
        <is>
          <t>BG009</t>
        </is>
      </c>
      <c r="H32" t="inlineStr">
        <is>
          <t>23 Januari 2020</t>
        </is>
      </c>
      <c r="I32" s="2" t="n">
        <v>46333</v>
      </c>
      <c r="J32" t="inlineStr">
        <is>
          <t>Disetujui</t>
        </is>
      </c>
      <c r="K32" t="n">
        <v>60</v>
      </c>
      <c r="L32" t="inlineStr">
        <is>
          <t>7 November 2026</t>
        </is>
      </c>
      <c r="M32" t="inlineStr">
        <is>
          <t>Konstruksi Gedung Lainnya</t>
        </is>
      </c>
      <c r="N32" t="inlineStr">
        <is>
          <t>K</t>
        </is>
      </c>
      <c r="O32" t="inlineStr">
        <is>
          <t>20231107</t>
        </is>
      </c>
      <c r="P32" t="inlineStr">
        <is>
          <t>Nusa Tenggara Barat</t>
        </is>
      </c>
      <c r="Q32" t="inlineStr"/>
    </row>
    <row r="33">
      <c r="A33" t="inlineStr">
        <is>
          <t>CAHAYA FARLAN ABADI</t>
        </is>
      </c>
      <c r="B33" t="inlineStr">
        <is>
          <t>Kab. Sorong Selatan</t>
        </is>
      </c>
      <c r="C33" t="inlineStr">
        <is>
          <t>081283780827</t>
        </is>
      </c>
      <c r="D33" t="inlineStr">
        <is>
          <t>cv.cahayafarlanabadi@gmail.com</t>
        </is>
      </c>
      <c r="E33" t="inlineStr">
        <is>
          <t>https://lpjk.pu.go.id/search-badan-usaha-detail/YnQxWERvTDlYQWNURHRvcnh1Zm1HZz09</t>
        </is>
      </c>
      <c r="F33" t="n">
        <v>1</v>
      </c>
      <c r="G33" t="inlineStr">
        <is>
          <t>BS005</t>
        </is>
      </c>
      <c r="H33" t="inlineStr">
        <is>
          <t>5 Desember 2015</t>
        </is>
      </c>
      <c r="I33" s="2" t="n">
        <v>46333</v>
      </c>
      <c r="J33" t="inlineStr">
        <is>
          <t>Disetujui</t>
        </is>
      </c>
      <c r="K33" t="n">
        <v>60</v>
      </c>
      <c r="L33" t="inlineStr">
        <is>
          <t>7 November 2026</t>
        </is>
      </c>
      <c r="M33" t="inlineStr">
        <is>
          <t>Konstruksi Bangunan Sipil Pengolahan Air Bersih</t>
        </is>
      </c>
      <c r="N33" t="inlineStr">
        <is>
          <t>K</t>
        </is>
      </c>
      <c r="O33" t="inlineStr">
        <is>
          <t>20231106</t>
        </is>
      </c>
      <c r="P33" t="inlineStr">
        <is>
          <t>Papua Barat</t>
        </is>
      </c>
      <c r="Q33" t="inlineStr"/>
    </row>
    <row r="34">
      <c r="A34" t="inlineStr">
        <is>
          <t>CAHAYA PUTRI MANDIRI</t>
        </is>
      </c>
      <c r="B34" t="inlineStr">
        <is>
          <t>Kota Cilegon</t>
        </is>
      </c>
      <c r="C34" t="inlineStr">
        <is>
          <t>087808285698</t>
        </is>
      </c>
      <c r="D34" t="inlineStr">
        <is>
          <t>cahayaputri.mandiri@gmail.com</t>
        </is>
      </c>
      <c r="E34" t="inlineStr">
        <is>
          <t>https://lpjk.pu.go.id/search-badan-usaha-detail/aGJkNDI4bkwwYVo4Q3g4MFVMQzZwZz09</t>
        </is>
      </c>
      <c r="F34" t="n">
        <v>1</v>
      </c>
      <c r="G34" t="inlineStr">
        <is>
          <t>BS001</t>
        </is>
      </c>
      <c r="H34" t="inlineStr">
        <is>
          <t>27 Februari 2014</t>
        </is>
      </c>
      <c r="I34" s="2" t="n">
        <v>46333</v>
      </c>
      <c r="J34" t="inlineStr">
        <is>
          <t>Disetujui</t>
        </is>
      </c>
      <c r="K34" t="n">
        <v>60</v>
      </c>
      <c r="L34" t="inlineStr">
        <is>
          <t>7 November 2026</t>
        </is>
      </c>
      <c r="M34" t="inlineStr">
        <is>
          <t>Konstruksi Bangunan Sipil Jalan</t>
        </is>
      </c>
      <c r="N34" t="inlineStr">
        <is>
          <t>K</t>
        </is>
      </c>
      <c r="O34" t="inlineStr">
        <is>
          <t>20231003</t>
        </is>
      </c>
      <c r="P34" t="inlineStr">
        <is>
          <t>Banten</t>
        </is>
      </c>
      <c r="Q34" t="inlineStr"/>
    </row>
    <row r="35">
      <c r="A35" t="inlineStr">
        <is>
          <t>CAHAYA SANDRA</t>
        </is>
      </c>
      <c r="B35" t="inlineStr">
        <is>
          <t>Kota Samarinda</t>
        </is>
      </c>
      <c r="C35" t="inlineStr">
        <is>
          <t>085246556204</t>
        </is>
      </c>
      <c r="D35" t="inlineStr">
        <is>
          <t>cahayasandra08@gmail.com</t>
        </is>
      </c>
      <c r="E35" t="inlineStr">
        <is>
          <t>https://lpjk.pu.go.id/search-badan-usaha-detail/NmV0L2w0WlRGdjRzbUpBR2ZFNTAxdz09</t>
        </is>
      </c>
      <c r="F35" t="n">
        <v>1</v>
      </c>
      <c r="G35" t="inlineStr">
        <is>
          <t>BS001</t>
        </is>
      </c>
      <c r="H35" t="inlineStr">
        <is>
          <t>2 Mei 2019</t>
        </is>
      </c>
      <c r="I35" s="2" t="n">
        <v>46333</v>
      </c>
      <c r="J35" t="inlineStr">
        <is>
          <t>Disetujui</t>
        </is>
      </c>
      <c r="K35" t="n">
        <v>60</v>
      </c>
      <c r="L35" t="inlineStr">
        <is>
          <t>7 November 2026</t>
        </is>
      </c>
      <c r="M35" t="inlineStr">
        <is>
          <t>Konstruksi Bangunan Sipil Jalan</t>
        </is>
      </c>
      <c r="N35" t="inlineStr">
        <is>
          <t>K</t>
        </is>
      </c>
      <c r="O35" t="inlineStr">
        <is>
          <t>20231104</t>
        </is>
      </c>
      <c r="P35" t="inlineStr">
        <is>
          <t>Kalimantan Timur</t>
        </is>
      </c>
      <c r="Q35" t="inlineStr"/>
    </row>
    <row r="36">
      <c r="A36" t="inlineStr">
        <is>
          <t>CEMARA MEGAH PERSADA</t>
        </is>
      </c>
      <c r="B36" t="inlineStr">
        <is>
          <t>Kab. Berau</t>
        </is>
      </c>
      <c r="C36" t="inlineStr">
        <is>
          <t>081350302130</t>
        </is>
      </c>
      <c r="D36" t="inlineStr">
        <is>
          <t>cemarabeton.cv@gmail.com</t>
        </is>
      </c>
      <c r="E36" t="inlineStr">
        <is>
          <t>https://lpjk.pu.go.id/search-badan-usaha-detail/RHFHa0ozZWtZcTdXMTdPTHN1Sm9YUT09</t>
        </is>
      </c>
      <c r="F36" t="n">
        <v>1</v>
      </c>
      <c r="G36" t="inlineStr">
        <is>
          <t>BS011</t>
        </is>
      </c>
      <c r="H36" t="inlineStr">
        <is>
          <t>1 Februari 1994</t>
        </is>
      </c>
      <c r="I36" s="2" t="n">
        <v>46333</v>
      </c>
      <c r="J36" t="inlineStr">
        <is>
          <t>Disetujui</t>
        </is>
      </c>
      <c r="K36" t="n">
        <v>60</v>
      </c>
      <c r="L36" t="inlineStr">
        <is>
          <t>7 November 2026</t>
        </is>
      </c>
      <c r="M36" t="inlineStr">
        <is>
          <t>Konstruksi Bangunan Pelabuhan Bukan Perikanan</t>
        </is>
      </c>
      <c r="N36" t="inlineStr">
        <is>
          <t>K</t>
        </is>
      </c>
      <c r="O36" t="inlineStr">
        <is>
          <t>20231102</t>
        </is>
      </c>
      <c r="P36" t="inlineStr">
        <is>
          <t>Kalimantan Timur</t>
        </is>
      </c>
      <c r="Q36" t="inlineStr"/>
    </row>
    <row r="37">
      <c r="A37" t="inlineStr">
        <is>
          <t>CIPTA KARYA</t>
        </is>
      </c>
      <c r="B37" t="inlineStr">
        <is>
          <t>Kab. Konawe Selatan</t>
        </is>
      </c>
      <c r="C37" t="inlineStr">
        <is>
          <t>085240673495</t>
        </is>
      </c>
      <c r="D37" t="inlineStr">
        <is>
          <t>ciptakaryakonda@gmail.com</t>
        </is>
      </c>
      <c r="E37" t="inlineStr">
        <is>
          <t>https://lpjk.pu.go.id/search-badan-usaha-detail/N0NtZkRncmJrc2JPRkgrM0R3ZDBhUT09</t>
        </is>
      </c>
      <c r="F37" t="n">
        <v>2</v>
      </c>
      <c r="G37" t="inlineStr">
        <is>
          <t>BG001</t>
        </is>
      </c>
      <c r="H37" t="inlineStr">
        <is>
          <t>13 April 2006</t>
        </is>
      </c>
      <c r="I37" s="2" t="n">
        <v>46333</v>
      </c>
      <c r="J37" t="inlineStr">
        <is>
          <t>Pencabutan</t>
        </is>
      </c>
      <c r="K37" t="n">
        <v>60</v>
      </c>
      <c r="L37" t="inlineStr">
        <is>
          <t>7 November 2026</t>
        </is>
      </c>
      <c r="M37" t="inlineStr">
        <is>
          <t>Konstruksi Gedung Hunian</t>
        </is>
      </c>
      <c r="N37" t="inlineStr">
        <is>
          <t>K</t>
        </is>
      </c>
      <c r="O37" t="inlineStr">
        <is>
          <t>20231028</t>
        </is>
      </c>
      <c r="P37" t="inlineStr">
        <is>
          <t>Sulawesi Tenggara</t>
        </is>
      </c>
      <c r="Q37" t="inlineStr"/>
    </row>
    <row r="38">
      <c r="A38" t="inlineStr">
        <is>
          <t>CIPTA KARYA</t>
        </is>
      </c>
      <c r="B38" t="inlineStr">
        <is>
          <t>Kab. Konawe Selatan</t>
        </is>
      </c>
      <c r="C38" t="inlineStr">
        <is>
          <t>085396102043</t>
        </is>
      </c>
      <c r="D38" t="inlineStr">
        <is>
          <t>ciptakarya217@yahoo.co.id</t>
        </is>
      </c>
      <c r="E38" t="inlineStr">
        <is>
          <t>https://lpjk.pu.go.id/search-badan-usaha-detail/K1hZKzB5Mno5bWttUlRQeEp6SVg0TGN4dXZtV1pYSk1uZ210MzZTQWhvOD0</t>
        </is>
      </c>
      <c r="F38" t="n">
        <v>2</v>
      </c>
      <c r="G38" t="inlineStr">
        <is>
          <t>BG005</t>
        </is>
      </c>
      <c r="H38" t="inlineStr">
        <is>
          <t>28 Desember 2015</t>
        </is>
      </c>
      <c r="I38" s="2" t="n">
        <v>46333</v>
      </c>
      <c r="J38" t="inlineStr">
        <is>
          <t>Disetujui</t>
        </is>
      </c>
      <c r="K38" t="n">
        <v>60</v>
      </c>
      <c r="L38" t="inlineStr">
        <is>
          <t>7 November 2026</t>
        </is>
      </c>
      <c r="M38" t="inlineStr">
        <is>
          <t>Konstruksi Gedung Kesehatan</t>
        </is>
      </c>
      <c r="N38" t="inlineStr">
        <is>
          <t>K</t>
        </is>
      </c>
      <c r="O38" t="inlineStr">
        <is>
          <t>20231028</t>
        </is>
      </c>
      <c r="P38" t="inlineStr">
        <is>
          <t>Sulawesi Tenggara</t>
        </is>
      </c>
      <c r="Q38" t="inlineStr"/>
    </row>
    <row r="39">
      <c r="A39" t="inlineStr">
        <is>
          <t>CV. ADIL</t>
        </is>
      </c>
      <c r="B39" t="inlineStr">
        <is>
          <t>Kab. Bandung Barat</t>
        </is>
      </c>
      <c r="C39" t="inlineStr">
        <is>
          <t>082126920720</t>
        </is>
      </c>
      <c r="D39" t="inlineStr">
        <is>
          <t>cv.adil.ha23@gmail.com</t>
        </is>
      </c>
      <c r="E39" t="inlineStr">
        <is>
          <t>https://lpjk.pu.go.id/search-badan-usaha-detail/NWhGRUZnTHVGV204SFpUT29aK1NrZz09</t>
        </is>
      </c>
      <c r="F39" t="n">
        <v>4</v>
      </c>
      <c r="G39" t="inlineStr">
        <is>
          <t>BS001, BS004</t>
        </is>
      </c>
      <c r="H39" t="inlineStr">
        <is>
          <t>19 September 2012</t>
        </is>
      </c>
      <c r="I39" s="2" t="n">
        <v>46333</v>
      </c>
      <c r="J39" t="inlineStr">
        <is>
          <t>Disetujui</t>
        </is>
      </c>
      <c r="K39" t="n">
        <v>60</v>
      </c>
      <c r="L39" t="inlineStr">
        <is>
          <t>7 November 2026</t>
        </is>
      </c>
      <c r="M39" t="inlineStr">
        <is>
          <t>Konstruksi Bangunan Sipil Jalan, Konstruksi Jaringan Irigasi dan Drainase</t>
        </is>
      </c>
      <c r="N39" t="inlineStr">
        <is>
          <t>K</t>
        </is>
      </c>
      <c r="O39" t="inlineStr">
        <is>
          <t>20231101</t>
        </is>
      </c>
      <c r="P39" t="inlineStr">
        <is>
          <t>Jawa Barat</t>
        </is>
      </c>
      <c r="Q39" t="inlineStr"/>
    </row>
    <row r="40">
      <c r="A40" t="inlineStr">
        <is>
          <t>DATA STRUKTUR MANDIRI</t>
        </is>
      </c>
      <c r="B40" t="inlineStr">
        <is>
          <t>Kota Tangerang Selatan</t>
        </is>
      </c>
      <c r="C40" t="inlineStr">
        <is>
          <t>082114040000</t>
        </is>
      </c>
      <c r="D40" t="inlineStr">
        <is>
          <t>dsm.granada@gmail.com</t>
        </is>
      </c>
      <c r="E40" t="inlineStr">
        <is>
          <t>https://lpjk.pu.go.id/search-badan-usaha-detail/bDFIMVA0RE91VW14VVRxQytOdngzUT09</t>
        </is>
      </c>
      <c r="F40" t="n">
        <v>5</v>
      </c>
      <c r="G40" t="inlineStr">
        <is>
          <t>BG001, BG003, BG004, BG005, BG006</t>
        </is>
      </c>
      <c r="H40" t="inlineStr">
        <is>
          <t>23 April 2013</t>
        </is>
      </c>
      <c r="I40" s="2" t="n">
        <v>46333</v>
      </c>
      <c r="J40" t="inlineStr">
        <is>
          <t>Disetujui</t>
        </is>
      </c>
      <c r="K40" t="n">
        <v>60</v>
      </c>
      <c r="L40" t="inlineStr">
        <is>
          <t>7 November 2026</t>
        </is>
      </c>
      <c r="M40" t="inlineStr">
        <is>
          <t>Konstruksi Gedung Hunian, Konstruksi Gedung Industri, Konstruksi Gedung Kesehatan, Konstruksi Gedung Pendidikan, Konstruksi Gedung Perbelanjaan</t>
        </is>
      </c>
      <c r="N40" t="inlineStr">
        <is>
          <t>K</t>
        </is>
      </c>
      <c r="O40" t="inlineStr">
        <is>
          <t>20231106</t>
        </is>
      </c>
      <c r="P40" t="inlineStr">
        <is>
          <t>Banten</t>
        </is>
      </c>
      <c r="Q40" t="inlineStr"/>
    </row>
    <row r="41">
      <c r="A41" t="inlineStr">
        <is>
          <t>DEBI SEMOGA JAYA</t>
        </is>
      </c>
      <c r="B41" t="inlineStr">
        <is>
          <t>Kota Padang</t>
        </is>
      </c>
      <c r="C41" t="inlineStr">
        <is>
          <t>085271637819</t>
        </is>
      </c>
      <c r="D41" t="inlineStr">
        <is>
          <t>debisemogajaya@gmail.com</t>
        </is>
      </c>
      <c r="E41" t="inlineStr">
        <is>
          <t>https://lpjk.pu.go.id/search-badan-usaha-detail/TFAzckR3WnJ3ZGNsbXhwdlRneE5EQT09</t>
        </is>
      </c>
      <c r="F41" t="n">
        <v>4</v>
      </c>
      <c r="G41" t="inlineStr">
        <is>
          <t>BG003, BG006, BS004, BS006</t>
        </is>
      </c>
      <c r="H41" t="inlineStr">
        <is>
          <t>22 Juni 2011</t>
        </is>
      </c>
      <c r="I41" s="2" t="n">
        <v>46333</v>
      </c>
      <c r="J41" t="inlineStr">
        <is>
          <t>Disetujui</t>
        </is>
      </c>
      <c r="K41" t="n">
        <v>60</v>
      </c>
      <c r="L41" t="inlineStr">
        <is>
          <t>7 November 2026</t>
        </is>
      </c>
      <c r="M41" t="inlineStr">
        <is>
          <t>Konstruksi Bangunan Sipil Prasarana dan Sarana Sistem Pengolahan Limbah Padat, Cair, dan Gas, Konstruksi Gedung Industri, Konstruksi Gedung Pendidikan, Konstruksi Jaringan Irigasi dan Drainase</t>
        </is>
      </c>
      <c r="N41" t="inlineStr">
        <is>
          <t>K</t>
        </is>
      </c>
      <c r="O41" t="inlineStr">
        <is>
          <t>20231106, 20231107</t>
        </is>
      </c>
      <c r="P41" t="inlineStr">
        <is>
          <t>Sumatera Barat</t>
        </is>
      </c>
      <c r="Q41" t="inlineStr"/>
    </row>
    <row r="42">
      <c r="A42" t="inlineStr">
        <is>
          <t>DIANDRA GIRI ARTHA</t>
        </is>
      </c>
      <c r="B42" t="inlineStr">
        <is>
          <t>Kota Cirebon</t>
        </is>
      </c>
      <c r="C42" t="inlineStr">
        <is>
          <t>0231210840</t>
        </is>
      </c>
      <c r="D42" t="inlineStr">
        <is>
          <t>diandragiriartha.pt@gmail.com</t>
        </is>
      </c>
      <c r="E42" t="inlineStr">
        <is>
          <t>https://lpjk.pu.go.id/search-badan-usaha-detail/dkZudXlyRWdFdjdxQU9zemF6aUpsQT09</t>
        </is>
      </c>
      <c r="F42" t="n">
        <v>2</v>
      </c>
      <c r="G42" t="inlineStr">
        <is>
          <t>IN008</t>
        </is>
      </c>
      <c r="H42" t="inlineStr">
        <is>
          <t>5 Agustus 2005</t>
        </is>
      </c>
      <c r="I42" s="2" t="n">
        <v>46333</v>
      </c>
      <c r="J42" t="inlineStr">
        <is>
          <t>Disetujui</t>
        </is>
      </c>
      <c r="K42" t="n">
        <v>60</v>
      </c>
      <c r="L42" t="inlineStr">
        <is>
          <t>7 November 2026</t>
        </is>
      </c>
      <c r="M42" t="inlineStr">
        <is>
          <t>Instalasi Pendingin Dan Ventilasi Udara</t>
        </is>
      </c>
      <c r="N42" t="inlineStr">
        <is>
          <t>Spesialis</t>
        </is>
      </c>
      <c r="O42" t="inlineStr">
        <is>
          <t>20231106</t>
        </is>
      </c>
      <c r="P42" t="inlineStr">
        <is>
          <t>Jawa Barat</t>
        </is>
      </c>
      <c r="Q42" t="inlineStr"/>
    </row>
    <row r="43">
      <c r="A43" t="inlineStr">
        <is>
          <t>DYAH AYU</t>
        </is>
      </c>
      <c r="B43" t="inlineStr">
        <is>
          <t>Kota Bontang</t>
        </is>
      </c>
      <c r="C43" t="inlineStr">
        <is>
          <t>0811586668</t>
        </is>
      </c>
      <c r="D43" t="inlineStr">
        <is>
          <t>cv_dyahayu@yahoo.co.id</t>
        </is>
      </c>
      <c r="E43" t="inlineStr">
        <is>
          <t>https://lpjk.pu.go.id/search-badan-usaha-detail/TkN5a1hvM3dWV0ZTOVNMcTlJdWxtQT09</t>
        </is>
      </c>
      <c r="F43" t="n">
        <v>3</v>
      </c>
      <c r="G43" t="inlineStr">
        <is>
          <t>BS001, BS002, BS004</t>
        </is>
      </c>
      <c r="H43" t="inlineStr">
        <is>
          <t>11 April 2013</t>
        </is>
      </c>
      <c r="I43" s="2" t="n">
        <v>46333</v>
      </c>
      <c r="J43" t="inlineStr">
        <is>
          <t>Disetujui</t>
        </is>
      </c>
      <c r="K43" t="n">
        <v>60</v>
      </c>
      <c r="L43" t="inlineStr">
        <is>
          <t>7 November 2026</t>
        </is>
      </c>
      <c r="M43" t="inlineStr">
        <is>
          <t>Bangunan Sipil Jembatan, Jalan Layang, Fly Over, dan Underpass, Konstruksi Bangunan Sipil Jalan, Konstruksi Jaringan Irigasi dan Drainase</t>
        </is>
      </c>
      <c r="N43" t="inlineStr">
        <is>
          <t>K</t>
        </is>
      </c>
      <c r="O43" t="inlineStr">
        <is>
          <t>20231106, 20231110</t>
        </is>
      </c>
      <c r="P43" t="inlineStr">
        <is>
          <t>Kalimantan Timur</t>
        </is>
      </c>
      <c r="Q43" t="inlineStr"/>
    </row>
    <row r="44">
      <c r="A44" t="inlineStr">
        <is>
          <t>GEMILANG AKMAL SENTOSA</t>
        </is>
      </c>
      <c r="B44" t="inlineStr">
        <is>
          <t>Kab. Tangerang</t>
        </is>
      </c>
      <c r="C44" t="inlineStr">
        <is>
          <t>087774881091</t>
        </is>
      </c>
      <c r="D44" t="inlineStr">
        <is>
          <t>ptgemilangakmalsentosa@yahoo.com</t>
        </is>
      </c>
      <c r="E44" t="inlineStr">
        <is>
          <t>https://lpjk.pu.go.id/search-badan-usaha-detail/U1dCZDNIa2JCRXFyNXY4clZaWmY5QT09</t>
        </is>
      </c>
      <c r="F44" t="n">
        <v>1</v>
      </c>
      <c r="G44" t="inlineStr">
        <is>
          <t>BG001</t>
        </is>
      </c>
      <c r="H44" t="inlineStr">
        <is>
          <t>27 Oktober 2021</t>
        </is>
      </c>
      <c r="I44" s="2" t="n">
        <v>46333</v>
      </c>
      <c r="J44" t="inlineStr">
        <is>
          <t>Pencabutan</t>
        </is>
      </c>
      <c r="K44" t="n">
        <v>60</v>
      </c>
      <c r="L44" t="inlineStr">
        <is>
          <t>7 November 2026</t>
        </is>
      </c>
      <c r="M44" t="inlineStr">
        <is>
          <t>Konstruksi Gedung Hunian</t>
        </is>
      </c>
      <c r="N44" t="inlineStr">
        <is>
          <t>K</t>
        </is>
      </c>
      <c r="O44" t="inlineStr">
        <is>
          <t>20231102</t>
        </is>
      </c>
      <c r="P44" t="inlineStr">
        <is>
          <t>Banten</t>
        </is>
      </c>
      <c r="Q44" t="inlineStr"/>
    </row>
    <row r="45">
      <c r="A45" t="inlineStr">
        <is>
          <t>GRAHA ALAM SEMESTA</t>
        </is>
      </c>
      <c r="B45" t="inlineStr">
        <is>
          <t>Kota Palembang</t>
        </is>
      </c>
      <c r="C45" t="inlineStr">
        <is>
          <t>8127359800</t>
        </is>
      </c>
      <c r="D45" t="inlineStr">
        <is>
          <t>grahaalamsemesta@yahoo.com</t>
        </is>
      </c>
      <c r="E45" t="inlineStr">
        <is>
          <t>https://lpjk.pu.go.id/search-badan-usaha-detail/c3h1bDFhWksxYjRacXl4OWM3b21hZz09</t>
        </is>
      </c>
      <c r="F45" t="n">
        <v>1</v>
      </c>
      <c r="G45" t="inlineStr">
        <is>
          <t>BG001</t>
        </is>
      </c>
      <c r="H45" t="inlineStr">
        <is>
          <t>9 Juli 2007</t>
        </is>
      </c>
      <c r="I45" s="2" t="n">
        <v>46333</v>
      </c>
      <c r="J45" t="inlineStr">
        <is>
          <t>Disetujui</t>
        </is>
      </c>
      <c r="K45" t="n">
        <v>60</v>
      </c>
      <c r="L45" t="inlineStr">
        <is>
          <t>7 November 2026</t>
        </is>
      </c>
      <c r="M45" t="inlineStr">
        <is>
          <t>Konstruksi Gedung Hunian</t>
        </is>
      </c>
      <c r="N45" t="inlineStr">
        <is>
          <t>K</t>
        </is>
      </c>
      <c r="O45" t="inlineStr">
        <is>
          <t>20230929</t>
        </is>
      </c>
      <c r="P45" t="inlineStr">
        <is>
          <t>Sumatera Selatan</t>
        </is>
      </c>
      <c r="Q45" t="inlineStr"/>
    </row>
    <row r="46">
      <c r="A46" t="inlineStr">
        <is>
          <t>GRAHA HASANAH UTAMA</t>
        </is>
      </c>
      <c r="B46" t="inlineStr">
        <is>
          <t>Kab. Bangka Tengah</t>
        </is>
      </c>
      <c r="C46" t="inlineStr">
        <is>
          <t>085264879789</t>
        </is>
      </c>
      <c r="D46" t="inlineStr">
        <is>
          <t>sakban704@gmail.com</t>
        </is>
      </c>
      <c r="E46" t="inlineStr">
        <is>
          <t>https://lpjk.pu.go.id/search-badan-usaha-detail/QTlDbURvT3JSZmZJTWM5bCtpRG9Ldz09</t>
        </is>
      </c>
      <c r="F46" t="n">
        <v>1</v>
      </c>
      <c r="G46" t="inlineStr">
        <is>
          <t>BG009</t>
        </is>
      </c>
      <c r="H46" t="inlineStr">
        <is>
          <t>2 Maret 2023</t>
        </is>
      </c>
      <c r="I46" s="2" t="n">
        <v>46333</v>
      </c>
      <c r="J46" t="inlineStr">
        <is>
          <t>Disetujui</t>
        </is>
      </c>
      <c r="K46" t="n">
        <v>60</v>
      </c>
      <c r="L46" t="inlineStr">
        <is>
          <t>7 November 2026</t>
        </is>
      </c>
      <c r="M46" t="inlineStr">
        <is>
          <t>Konstruksi Gedung Lainnya</t>
        </is>
      </c>
      <c r="N46" t="inlineStr">
        <is>
          <t>K</t>
        </is>
      </c>
      <c r="O46" t="inlineStr">
        <is>
          <t>20231025</t>
        </is>
      </c>
      <c r="P46" t="inlineStr">
        <is>
          <t>Kepulauan Bangka Belitung</t>
        </is>
      </c>
      <c r="Q46" t="inlineStr"/>
    </row>
    <row r="47">
      <c r="A47" t="inlineStr">
        <is>
          <t>GRAHA PRIMA ADIDAYA</t>
        </is>
      </c>
      <c r="B47" t="inlineStr">
        <is>
          <t>Kab. Gowa</t>
        </is>
      </c>
      <c r="C47" t="inlineStr">
        <is>
          <t>081254560369</t>
        </is>
      </c>
      <c r="D47" t="inlineStr">
        <is>
          <t>grahaprimaadidaya@yahoo.co.id</t>
        </is>
      </c>
      <c r="E47" t="inlineStr">
        <is>
          <t>https://lpjk.pu.go.id/search-badan-usaha-detail/d08zTHo3cnBVV0hGb0pUMnhFcUErUT09</t>
        </is>
      </c>
      <c r="F47" t="n">
        <v>2</v>
      </c>
      <c r="G47" t="inlineStr">
        <is>
          <t>BS005, BS010</t>
        </is>
      </c>
      <c r="H47" t="inlineStr">
        <is>
          <t>21 Mei 2010</t>
        </is>
      </c>
      <c r="I47" s="2" t="n">
        <v>46333</v>
      </c>
      <c r="J47" t="inlineStr">
        <is>
          <t>Pembekuan</t>
        </is>
      </c>
      <c r="K47" t="n">
        <v>60</v>
      </c>
      <c r="L47" t="inlineStr">
        <is>
          <t>7 November 2026</t>
        </is>
      </c>
      <c r="M47" t="inlineStr">
        <is>
          <t>Konstruksi Bangunan Prasarana Sumber Daya Air, Konstruksi Bangunan Sipil Pengolahan Air Bersih</t>
        </is>
      </c>
      <c r="N47" t="inlineStr">
        <is>
          <t>M</t>
        </is>
      </c>
      <c r="O47" t="inlineStr">
        <is>
          <t>20231031, 20231103</t>
        </is>
      </c>
      <c r="P47" t="inlineStr">
        <is>
          <t>Sulawesi Selatan</t>
        </is>
      </c>
      <c r="Q47" t="inlineStr"/>
    </row>
    <row r="48">
      <c r="A48" t="inlineStr">
        <is>
          <t>HAPSARI</t>
        </is>
      </c>
      <c r="B48" t="inlineStr">
        <is>
          <t>Kab. Grobogan</t>
        </is>
      </c>
      <c r="C48" t="inlineStr">
        <is>
          <t>081390949820</t>
        </is>
      </c>
      <c r="D48" t="inlineStr">
        <is>
          <t>hapsari_pwd@yahoo.co.id</t>
        </is>
      </c>
      <c r="E48" t="inlineStr">
        <is>
          <t>https://lpjk.pu.go.id/search-badan-usaha-detail/Vnl3QjF1YnUyWTNjMWhQSXp2VzNYUT09</t>
        </is>
      </c>
      <c r="F48" t="n">
        <v>3</v>
      </c>
      <c r="G48" t="inlineStr">
        <is>
          <t>BS001, BS002, BS004</t>
        </is>
      </c>
      <c r="H48" t="inlineStr">
        <is>
          <t>15 Maret 1995</t>
        </is>
      </c>
      <c r="I48" s="2" t="n">
        <v>46333</v>
      </c>
      <c r="J48" t="inlineStr">
        <is>
          <t>Disetujui</t>
        </is>
      </c>
      <c r="K48" t="n">
        <v>60</v>
      </c>
      <c r="L48" t="inlineStr">
        <is>
          <t>7 November 2026</t>
        </is>
      </c>
      <c r="M48" t="inlineStr">
        <is>
          <t>Bangunan Sipil Jembatan, Jalan Layang, Fly Over, dan Underpass, Konstruksi Bangunan Sipil Jalan, Konstruksi Jaringan Irigasi dan Drainase</t>
        </is>
      </c>
      <c r="N48" t="inlineStr">
        <is>
          <t>K</t>
        </is>
      </c>
      <c r="O48" t="inlineStr">
        <is>
          <t>20231102</t>
        </is>
      </c>
      <c r="P48" t="inlineStr">
        <is>
          <t>Jawa Tengah</t>
        </is>
      </c>
      <c r="Q48" t="inlineStr"/>
    </row>
    <row r="49">
      <c r="A49" t="inlineStr">
        <is>
          <t>IBNU MUNSYIR DWI GUNA</t>
        </is>
      </c>
      <c r="B49" t="inlineStr">
        <is>
          <t>Kab. Gowa</t>
        </is>
      </c>
      <c r="C49" t="inlineStr">
        <is>
          <t>081341752007</t>
        </is>
      </c>
      <c r="D49" t="inlineStr">
        <is>
          <t>ibnumuunsyir@gmail.com</t>
        </is>
      </c>
      <c r="E49" t="inlineStr">
        <is>
          <t>https://lpjk.pu.go.id/search-badan-usaha-detail/RlBmcFh4cEVWdzVLeXBFSWRGVFBpdz09</t>
        </is>
      </c>
      <c r="F49" t="n">
        <v>1</v>
      </c>
      <c r="G49" t="inlineStr">
        <is>
          <t>BS011</t>
        </is>
      </c>
      <c r="H49" t="inlineStr">
        <is>
          <t>27 Juli 2005</t>
        </is>
      </c>
      <c r="I49" s="2" t="n">
        <v>46333</v>
      </c>
      <c r="J49" t="inlineStr">
        <is>
          <t>Disetujui</t>
        </is>
      </c>
      <c r="K49" t="n">
        <v>60</v>
      </c>
      <c r="L49" t="inlineStr">
        <is>
          <t>7 November 2026</t>
        </is>
      </c>
      <c r="M49" t="inlineStr">
        <is>
          <t>Konstruksi Bangunan Pelabuhan Bukan Perikanan</t>
        </is>
      </c>
      <c r="N49" t="inlineStr">
        <is>
          <t>M</t>
        </is>
      </c>
      <c r="O49" t="inlineStr">
        <is>
          <t>20231031</t>
        </is>
      </c>
      <c r="P49" t="inlineStr">
        <is>
          <t>Sulawesi Selatan</t>
        </is>
      </c>
      <c r="Q49" t="inlineStr"/>
    </row>
    <row r="50">
      <c r="A50" t="inlineStr">
        <is>
          <t>JATI PURWA KARYA</t>
        </is>
      </c>
      <c r="B50" t="inlineStr">
        <is>
          <t>Kota Malang</t>
        </is>
      </c>
      <c r="C50" t="inlineStr">
        <is>
          <t>081216610524</t>
        </is>
      </c>
      <c r="D50" t="inlineStr">
        <is>
          <t>cvjatipurwakarya97@gmail.com</t>
        </is>
      </c>
      <c r="E50" t="inlineStr">
        <is>
          <t>https://lpjk.pu.go.id/search-badan-usaha-detail/TFFzZFZUZ0xtOG12MlpyNnZwZGQ2dz09</t>
        </is>
      </c>
      <c r="F50" t="n">
        <v>2</v>
      </c>
      <c r="G50" t="inlineStr">
        <is>
          <t>BG006, BG009</t>
        </is>
      </c>
      <c r="H50" t="inlineStr">
        <is>
          <t>19 Januari 2023</t>
        </is>
      </c>
      <c r="I50" s="2" t="n">
        <v>46333</v>
      </c>
      <c r="J50" t="inlineStr">
        <is>
          <t>Disetujui</t>
        </is>
      </c>
      <c r="K50" t="n">
        <v>60</v>
      </c>
      <c r="L50" t="inlineStr">
        <is>
          <t>7 November 2026</t>
        </is>
      </c>
      <c r="M50" t="inlineStr">
        <is>
          <t>Konstruksi Gedung Lainnya, Konstruksi Gedung Pendidikan</t>
        </is>
      </c>
      <c r="N50" t="inlineStr">
        <is>
          <t>K</t>
        </is>
      </c>
      <c r="O50" t="inlineStr">
        <is>
          <t>20231027</t>
        </is>
      </c>
      <c r="P50" t="inlineStr">
        <is>
          <t>Jawa Timur</t>
        </is>
      </c>
      <c r="Q50" t="inlineStr"/>
    </row>
    <row r="51">
      <c r="A51" t="inlineStr">
        <is>
          <t>JUXTAPOSE ARTISTIK RAHARAJA</t>
        </is>
      </c>
      <c r="B51" t="inlineStr">
        <is>
          <t>Kota Bandung</t>
        </is>
      </c>
      <c r="C51" t="inlineStr">
        <is>
          <t>02220456951</t>
        </is>
      </c>
      <c r="D51" t="inlineStr">
        <is>
          <t>juxtaposeartistikraharja@gmail.com</t>
        </is>
      </c>
      <c r="E51" t="inlineStr">
        <is>
          <t>https://lpjk.pu.go.id/search-badan-usaha-detail/NzNiNTVWR0Nrb0pjSWNCVDFYSXB0dz09</t>
        </is>
      </c>
      <c r="F51" t="n">
        <v>1</v>
      </c>
      <c r="G51" t="inlineStr">
        <is>
          <t>BG002</t>
        </is>
      </c>
      <c r="H51" t="inlineStr">
        <is>
          <t>27 April 2023</t>
        </is>
      </c>
      <c r="I51" s="2" t="n">
        <v>46333</v>
      </c>
      <c r="J51" t="inlineStr">
        <is>
          <t>Pencabutan</t>
        </is>
      </c>
      <c r="K51" t="n">
        <v>60</v>
      </c>
      <c r="L51" t="inlineStr">
        <is>
          <t>7 November 2026</t>
        </is>
      </c>
      <c r="M51" t="inlineStr">
        <is>
          <t>Konstruksi Gedung Perkantoran</t>
        </is>
      </c>
      <c r="N51" t="inlineStr">
        <is>
          <t>K</t>
        </is>
      </c>
      <c r="O51" t="inlineStr">
        <is>
          <t>20231102</t>
        </is>
      </c>
      <c r="P51" t="inlineStr">
        <is>
          <t>Jawa Barat</t>
        </is>
      </c>
      <c r="Q51" t="inlineStr"/>
    </row>
    <row r="52">
      <c r="A52" t="inlineStr">
        <is>
          <t>KARSA WREDATAMA TEKNIKA</t>
        </is>
      </c>
      <c r="B52" t="inlineStr">
        <is>
          <t>Kota Bandung</t>
        </is>
      </c>
      <c r="C52" t="inlineStr">
        <is>
          <t>08112040912</t>
        </is>
      </c>
      <c r="D52" t="inlineStr">
        <is>
          <t>pt.kawete.bdg@gmail.com</t>
        </is>
      </c>
      <c r="E52" t="inlineStr">
        <is>
          <t>https://lpjk.pu.go.id/search-badan-usaha-detail/a3FUelNUS2gzRXkyQm5zR1UvRUFCQT09</t>
        </is>
      </c>
      <c r="F52" t="n">
        <v>2</v>
      </c>
      <c r="G52" t="inlineStr">
        <is>
          <t>BG009, BS009</t>
        </is>
      </c>
      <c r="H52" t="inlineStr">
        <is>
          <t>26 April 2017</t>
        </is>
      </c>
      <c r="I52" s="2" t="n">
        <v>46333</v>
      </c>
      <c r="J52" t="inlineStr">
        <is>
          <t>Disetujui</t>
        </is>
      </c>
      <c r="K52" t="n">
        <v>60</v>
      </c>
      <c r="L52" t="inlineStr">
        <is>
          <t>7 November 2026</t>
        </is>
      </c>
      <c r="M52" t="inlineStr">
        <is>
          <t>Konstruksi Gedung Lainnya, Konstruksi Sentral Telekomunikasi</t>
        </is>
      </c>
      <c r="N52" t="inlineStr">
        <is>
          <t>K</t>
        </is>
      </c>
      <c r="O52" t="inlineStr">
        <is>
          <t>20231101</t>
        </is>
      </c>
      <c r="P52" t="inlineStr">
        <is>
          <t>Jawa Barat</t>
        </is>
      </c>
      <c r="Q52" t="inlineStr"/>
    </row>
    <row r="53">
      <c r="A53" t="inlineStr">
        <is>
          <t>KARTIKA CANDRA</t>
        </is>
      </c>
      <c r="B53" t="inlineStr">
        <is>
          <t>Kab. Jembrana</t>
        </is>
      </c>
      <c r="C53" t="inlineStr">
        <is>
          <t>081999264366</t>
        </is>
      </c>
      <c r="D53" t="inlineStr">
        <is>
          <t>cvkartikacantra@gmail.com</t>
        </is>
      </c>
      <c r="E53" t="inlineStr">
        <is>
          <t>https://lpjk.pu.go.id/search-badan-usaha-detail/NE0rNGdaa0VXZ0cvalcyY1d6VlRZZz09</t>
        </is>
      </c>
      <c r="F53" t="n">
        <v>2</v>
      </c>
      <c r="G53" t="inlineStr">
        <is>
          <t>BG002, BG005</t>
        </is>
      </c>
      <c r="H53" t="inlineStr">
        <is>
          <t>9 Maret 2011</t>
        </is>
      </c>
      <c r="I53" s="2" t="n">
        <v>46333</v>
      </c>
      <c r="J53" t="inlineStr">
        <is>
          <t>Disetujui</t>
        </is>
      </c>
      <c r="K53" t="n">
        <v>60</v>
      </c>
      <c r="L53" t="inlineStr">
        <is>
          <t>7 November 2026</t>
        </is>
      </c>
      <c r="M53" t="inlineStr">
        <is>
          <t>Konstruksi Gedung Kesehatan, Konstruksi Gedung Perkantoran</t>
        </is>
      </c>
      <c r="N53" t="inlineStr">
        <is>
          <t>K</t>
        </is>
      </c>
      <c r="O53" t="inlineStr">
        <is>
          <t>20231021</t>
        </is>
      </c>
      <c r="P53" t="inlineStr">
        <is>
          <t>Bali</t>
        </is>
      </c>
      <c r="Q53" t="inlineStr"/>
    </row>
    <row r="54">
      <c r="A54" t="inlineStr">
        <is>
          <t>KHARISMA BINA KONTRUKSI</t>
        </is>
      </c>
      <c r="B54" t="inlineStr">
        <is>
          <t>Kota Mojokerto</t>
        </is>
      </c>
      <c r="C54" t="inlineStr">
        <is>
          <t>0321 5282186</t>
        </is>
      </c>
      <c r="D54" t="inlineStr">
        <is>
          <t>kharismabinakontruksi@gmail.com</t>
        </is>
      </c>
      <c r="E54" t="inlineStr">
        <is>
          <t>https://lpjk.pu.go.id/search-badan-usaha-detail/QjMvUmx5YXhxK2dRM2RxeVEvcnVNZz09</t>
        </is>
      </c>
      <c r="F54" t="n">
        <v>2</v>
      </c>
      <c r="G54" t="inlineStr">
        <is>
          <t>BS004</t>
        </is>
      </c>
      <c r="H54" t="inlineStr">
        <is>
          <t>15 Februari 2005</t>
        </is>
      </c>
      <c r="I54" s="2" t="n">
        <v>46333</v>
      </c>
      <c r="J54" t="inlineStr">
        <is>
          <t>Pencabutan</t>
        </is>
      </c>
      <c r="K54" t="n">
        <v>60</v>
      </c>
      <c r="L54" t="inlineStr">
        <is>
          <t>7 November 2026</t>
        </is>
      </c>
      <c r="M54" t="inlineStr">
        <is>
          <t>Konstruksi Jaringan Irigasi dan Drainase</t>
        </is>
      </c>
      <c r="N54" t="inlineStr">
        <is>
          <t>B</t>
        </is>
      </c>
      <c r="O54" t="inlineStr">
        <is>
          <t>20231104</t>
        </is>
      </c>
      <c r="P54" t="inlineStr">
        <is>
          <t>Jawa Timur</t>
        </is>
      </c>
      <c r="Q54" t="inlineStr"/>
    </row>
    <row r="55">
      <c r="A55" t="inlineStr">
        <is>
          <t>KREASI MANDIRI CONTRAKTOR</t>
        </is>
      </c>
      <c r="B55" t="inlineStr">
        <is>
          <t>Kab. Pandeglang</t>
        </is>
      </c>
      <c r="C55" t="inlineStr">
        <is>
          <t>087764250146</t>
        </is>
      </c>
      <c r="D55" t="inlineStr">
        <is>
          <t>kreasimandiricontraktor@gmail.com</t>
        </is>
      </c>
      <c r="E55" t="inlineStr">
        <is>
          <t>https://lpjk.pu.go.id/search-badan-usaha-detail/Ri9ENFg2MTFsMVZRNDNGWHRTNUVOZz09</t>
        </is>
      </c>
      <c r="F55" t="n">
        <v>1</v>
      </c>
      <c r="G55" t="inlineStr">
        <is>
          <t>BS001</t>
        </is>
      </c>
      <c r="H55" t="inlineStr">
        <is>
          <t>12 Oktober 2023</t>
        </is>
      </c>
      <c r="I55" s="2" t="n">
        <v>46333</v>
      </c>
      <c r="J55" t="inlineStr">
        <is>
          <t>Disetujui</t>
        </is>
      </c>
      <c r="K55" t="n">
        <v>60</v>
      </c>
      <c r="L55" t="inlineStr">
        <is>
          <t>7 November 2026</t>
        </is>
      </c>
      <c r="M55" t="inlineStr">
        <is>
          <t>Konstruksi Bangunan Sipil Jalan</t>
        </is>
      </c>
      <c r="N55" t="inlineStr">
        <is>
          <t>K</t>
        </is>
      </c>
      <c r="O55" t="inlineStr">
        <is>
          <t>20231026</t>
        </is>
      </c>
      <c r="P55" t="inlineStr">
        <is>
          <t>Banten</t>
        </is>
      </c>
      <c r="Q55" t="inlineStr"/>
    </row>
    <row r="56">
      <c r="A56" t="inlineStr">
        <is>
          <t>KRESNA KARYA</t>
        </is>
      </c>
      <c r="B56" t="inlineStr">
        <is>
          <t>Kota Denpasar</t>
        </is>
      </c>
      <c r="C56" t="inlineStr">
        <is>
          <t>0361465135</t>
        </is>
      </c>
      <c r="D56" t="inlineStr">
        <is>
          <t>kresnakaryabali@gmail.com</t>
        </is>
      </c>
      <c r="E56" t="inlineStr">
        <is>
          <t>https://lpjk.pu.go.id/search-badan-usaha-detail/QktLL3VzUjF4QUo5SWJMOHJnWXFrUT09</t>
        </is>
      </c>
      <c r="F56" t="n">
        <v>1</v>
      </c>
      <c r="G56" t="inlineStr">
        <is>
          <t>BS001</t>
        </is>
      </c>
      <c r="H56" t="inlineStr">
        <is>
          <t>31 Maret 1975</t>
        </is>
      </c>
      <c r="I56" s="2" t="n">
        <v>46333</v>
      </c>
      <c r="J56" t="inlineStr">
        <is>
          <t>Disetujui</t>
        </is>
      </c>
      <c r="K56" t="n">
        <v>60</v>
      </c>
      <c r="L56" t="inlineStr">
        <is>
          <t>7 November 2026</t>
        </is>
      </c>
      <c r="M56" t="inlineStr">
        <is>
          <t>Konstruksi Bangunan Sipil Jalan</t>
        </is>
      </c>
      <c r="N56" t="inlineStr">
        <is>
          <t>M</t>
        </is>
      </c>
      <c r="O56" t="inlineStr">
        <is>
          <t>20231006</t>
        </is>
      </c>
      <c r="P56" t="inlineStr">
        <is>
          <t>Bali</t>
        </is>
      </c>
      <c r="Q56" t="inlineStr"/>
    </row>
    <row r="57">
      <c r="A57" t="inlineStr">
        <is>
          <t>KUSUMA BANGUN KARYA</t>
        </is>
      </c>
      <c r="B57" t="inlineStr">
        <is>
          <t>Kab. Ponorogo</t>
        </is>
      </c>
      <c r="C57" t="inlineStr">
        <is>
          <t>0352461336</t>
        </is>
      </c>
      <c r="D57" t="inlineStr">
        <is>
          <t>kusuma_kbk77@yahoo.com</t>
        </is>
      </c>
      <c r="E57" t="inlineStr">
        <is>
          <t>https://lpjk.pu.go.id/search-badan-usaha-detail/ODM3SkVwbllBR1EwVnZZTWk0Zkc5dz09</t>
        </is>
      </c>
      <c r="F57" t="n">
        <v>2</v>
      </c>
      <c r="G57" t="inlineStr">
        <is>
          <t>AR001, RK001</t>
        </is>
      </c>
      <c r="H57" t="inlineStr">
        <is>
          <t>21 September 2006</t>
        </is>
      </c>
      <c r="I57" s="2" t="n">
        <v>46333</v>
      </c>
      <c r="J57" t="inlineStr">
        <is>
          <t>Disetujui</t>
        </is>
      </c>
      <c r="K57" t="n">
        <v>60</v>
      </c>
      <c r="L57" t="inlineStr">
        <is>
          <t>7 November 2026</t>
        </is>
      </c>
      <c r="M57" t="inlineStr">
        <is>
          <t>Jasa Arsitektural Bangunan Gedung Hunian dan Non Hunian, Jasa Rekayasa Konstruksi Bangunan Gedung Hunian dan Non Hunian</t>
        </is>
      </c>
      <c r="N57" t="inlineStr">
        <is>
          <t>K</t>
        </is>
      </c>
      <c r="O57" t="inlineStr">
        <is>
          <t>20231021, 20231025</t>
        </is>
      </c>
      <c r="P57" t="inlineStr">
        <is>
          <t>Jawa Timur</t>
        </is>
      </c>
      <c r="Q57" t="inlineStr"/>
    </row>
    <row r="58">
      <c r="A58" t="inlineStr">
        <is>
          <t>LENTERA KONSTRUKSI</t>
        </is>
      </c>
      <c r="B58" t="inlineStr">
        <is>
          <t>Kab. Lombok Timur</t>
        </is>
      </c>
      <c r="C58" t="inlineStr">
        <is>
          <t>087702883375</t>
        </is>
      </c>
      <c r="D58" t="inlineStr">
        <is>
          <t>lenterakonstruksi@gmail.com</t>
        </is>
      </c>
      <c r="E58" t="inlineStr">
        <is>
          <t>https://lpjk.pu.go.id/search-badan-usaha-detail/Uk41M1NvM2dHMjJLNjNZSlJRYzk4dz09</t>
        </is>
      </c>
      <c r="F58" t="n">
        <v>1</v>
      </c>
      <c r="G58" t="inlineStr">
        <is>
          <t>BS001</t>
        </is>
      </c>
      <c r="H58" t="inlineStr">
        <is>
          <t>18 Januari 2021</t>
        </is>
      </c>
      <c r="I58" s="2" t="n">
        <v>46333</v>
      </c>
      <c r="J58" t="inlineStr">
        <is>
          <t>Disetujui</t>
        </is>
      </c>
      <c r="K58" t="n">
        <v>60</v>
      </c>
      <c r="L58" t="inlineStr">
        <is>
          <t>7 November 2026</t>
        </is>
      </c>
      <c r="M58" t="inlineStr">
        <is>
          <t>Konstruksi Bangunan Sipil Jalan</t>
        </is>
      </c>
      <c r="N58" t="inlineStr">
        <is>
          <t>K</t>
        </is>
      </c>
      <c r="O58" t="inlineStr">
        <is>
          <t>20231103</t>
        </is>
      </c>
      <c r="P58" t="inlineStr">
        <is>
          <t>Nusa Tenggara Barat</t>
        </is>
      </c>
      <c r="Q58" t="inlineStr"/>
    </row>
    <row r="59">
      <c r="A59" t="inlineStr">
        <is>
          <t>LIM KONSTRUKSI</t>
        </is>
      </c>
      <c r="B59" t="inlineStr">
        <is>
          <t>Kota Sukabumi</t>
        </is>
      </c>
      <c r="C59" t="inlineStr">
        <is>
          <t>085863451553</t>
        </is>
      </c>
      <c r="D59" t="inlineStr">
        <is>
          <t>limkonstruksi@gmail.com</t>
        </is>
      </c>
      <c r="E59" t="inlineStr">
        <is>
          <t>https://lpjk.pu.go.id/search-badan-usaha-detail/NUlGZ1FMTlpONmZEekcxWmtvcXVGQT09</t>
        </is>
      </c>
      <c r="F59" t="n">
        <v>1</v>
      </c>
      <c r="G59" t="inlineStr">
        <is>
          <t>BS005</t>
        </is>
      </c>
      <c r="H59" t="inlineStr">
        <is>
          <t>17 Januari 2020</t>
        </is>
      </c>
      <c r="I59" s="2" t="n">
        <v>46333</v>
      </c>
      <c r="J59" t="inlineStr">
        <is>
          <t>Disetujui</t>
        </is>
      </c>
      <c r="K59" t="n">
        <v>60</v>
      </c>
      <c r="L59" t="inlineStr">
        <is>
          <t>7 November 2026</t>
        </is>
      </c>
      <c r="M59" t="inlineStr">
        <is>
          <t>Konstruksi Bangunan Sipil Pengolahan Air Bersih</t>
        </is>
      </c>
      <c r="N59" t="inlineStr">
        <is>
          <t>K</t>
        </is>
      </c>
      <c r="O59" t="inlineStr">
        <is>
          <t>20231103</t>
        </is>
      </c>
      <c r="P59" t="inlineStr">
        <is>
          <t>Jawa Barat</t>
        </is>
      </c>
      <c r="Q59" t="inlineStr"/>
    </row>
    <row r="60">
      <c r="A60" t="inlineStr">
        <is>
          <t>MADYA UTAMA</t>
        </is>
      </c>
      <c r="B60" t="inlineStr">
        <is>
          <t>Kab. Badung</t>
        </is>
      </c>
      <c r="C60" t="inlineStr">
        <is>
          <t>082144081811</t>
        </is>
      </c>
      <c r="D60" t="inlineStr">
        <is>
          <t>cvmadyautamabadung@gmail.com</t>
        </is>
      </c>
      <c r="E60" t="inlineStr">
        <is>
          <t>https://lpjk.pu.go.id/search-badan-usaha-detail/Z0tqelRrYWpuNTJiaDlSTklLbStrdz09</t>
        </is>
      </c>
      <c r="F60" t="n">
        <v>1</v>
      </c>
      <c r="G60" t="inlineStr">
        <is>
          <t>BG006</t>
        </is>
      </c>
      <c r="H60" t="inlineStr">
        <is>
          <t>2 Oktober 1991</t>
        </is>
      </c>
      <c r="I60" s="2" t="n">
        <v>46333</v>
      </c>
      <c r="J60" t="inlineStr">
        <is>
          <t>Disetujui</t>
        </is>
      </c>
      <c r="K60" t="n">
        <v>60</v>
      </c>
      <c r="L60" t="inlineStr">
        <is>
          <t>7 November 2026</t>
        </is>
      </c>
      <c r="M60" t="inlineStr">
        <is>
          <t>Konstruksi Gedung Pendidikan</t>
        </is>
      </c>
      <c r="N60" t="inlineStr">
        <is>
          <t>K</t>
        </is>
      </c>
      <c r="O60" t="inlineStr">
        <is>
          <t>20221116</t>
        </is>
      </c>
      <c r="P60" t="inlineStr">
        <is>
          <t>Bali</t>
        </is>
      </c>
      <c r="Q60" t="inlineStr"/>
    </row>
    <row r="61">
      <c r="A61" t="inlineStr">
        <is>
          <t>MAJU</t>
        </is>
      </c>
      <c r="B61" t="inlineStr">
        <is>
          <t>Kab. Bondowoso</t>
        </is>
      </c>
      <c r="C61" t="inlineStr">
        <is>
          <t>081358943477</t>
        </is>
      </c>
      <c r="D61" t="inlineStr">
        <is>
          <t>audition_yoss23@yahoo.com</t>
        </is>
      </c>
      <c r="E61" t="inlineStr">
        <is>
          <t>https://lpjk.pu.go.id/search-badan-usaha-detail/V1lNVTdBeTVZSUVCQ25NVDkzYyt3eExvWHhNK3dPRGtEOWtBRVBqOFpzdz0</t>
        </is>
      </c>
      <c r="F61" t="n">
        <v>2</v>
      </c>
      <c r="G61" t="inlineStr">
        <is>
          <t>BG006, BS005</t>
        </is>
      </c>
      <c r="H61" t="inlineStr">
        <is>
          <t>25 September 2024</t>
        </is>
      </c>
      <c r="I61" s="2" t="n">
        <v>46333</v>
      </c>
      <c r="J61" t="inlineStr">
        <is>
          <t>Disetujui</t>
        </is>
      </c>
      <c r="K61" t="n">
        <v>60</v>
      </c>
      <c r="L61" t="inlineStr">
        <is>
          <t>7 November 2026</t>
        </is>
      </c>
      <c r="M61" t="inlineStr">
        <is>
          <t>Konstruksi Bangunan Sipil Pengolahan Air Bersih, Konstruksi Gedung Pendidikan</t>
        </is>
      </c>
      <c r="N61" t="inlineStr">
        <is>
          <t>K</t>
        </is>
      </c>
      <c r="O61" t="inlineStr">
        <is>
          <t>20231102, 20231103</t>
        </is>
      </c>
      <c r="P61" t="inlineStr">
        <is>
          <t>Jawa Timur</t>
        </is>
      </c>
      <c r="Q61" t="inlineStr"/>
    </row>
    <row r="62">
      <c r="A62" t="inlineStr">
        <is>
          <t>MALABAR INTI KONSTRUKSI</t>
        </is>
      </c>
      <c r="B62" t="inlineStr">
        <is>
          <t>Kota Bandar Lampung</t>
        </is>
      </c>
      <c r="C62" t="inlineStr">
        <is>
          <t>085384227288</t>
        </is>
      </c>
      <c r="D62" t="inlineStr">
        <is>
          <t>konstruksimalabarinti@gmail.com</t>
        </is>
      </c>
      <c r="E62" t="inlineStr">
        <is>
          <t>https://lpjk.pu.go.id/search-badan-usaha-detail/YnA2enBzVWlFOVR1dktuK21ob2h2Zz09</t>
        </is>
      </c>
      <c r="F62" t="n">
        <v>1</v>
      </c>
      <c r="G62" t="inlineStr">
        <is>
          <t>BG002</t>
        </is>
      </c>
      <c r="H62" t="inlineStr">
        <is>
          <t>31 Desember 2018</t>
        </is>
      </c>
      <c r="I62" s="2" t="n">
        <v>46333</v>
      </c>
      <c r="J62" t="inlineStr">
        <is>
          <t>Disetujui</t>
        </is>
      </c>
      <c r="K62" t="n">
        <v>60</v>
      </c>
      <c r="L62" t="inlineStr">
        <is>
          <t>7 November 2026</t>
        </is>
      </c>
      <c r="M62" t="inlineStr">
        <is>
          <t>Konstruksi Gedung Perkantoran</t>
        </is>
      </c>
      <c r="N62" t="inlineStr">
        <is>
          <t>K</t>
        </is>
      </c>
      <c r="O62" t="inlineStr">
        <is>
          <t>20231107</t>
        </is>
      </c>
      <c r="P62" t="inlineStr">
        <is>
          <t>Lampung</t>
        </is>
      </c>
      <c r="Q62" t="inlineStr"/>
    </row>
    <row r="63">
      <c r="A63" t="inlineStr">
        <is>
          <t>MANDEVILA SARANA KENCANA</t>
        </is>
      </c>
      <c r="B63" t="inlineStr">
        <is>
          <t>Kota Tangerang Selatan</t>
        </is>
      </c>
      <c r="C63" t="inlineStr">
        <is>
          <t>02153151525</t>
        </is>
      </c>
      <c r="D63" t="inlineStr">
        <is>
          <t>ptmandevilasaranakencana@gmail.com</t>
        </is>
      </c>
      <c r="E63" t="inlineStr">
        <is>
          <t>https://lpjk.pu.go.id/search-badan-usaha-detail/OFpoUENMa0tFTnpUZHorTFhkbnFLZz09</t>
        </is>
      </c>
      <c r="F63" t="n">
        <v>2</v>
      </c>
      <c r="G63" t="inlineStr">
        <is>
          <t>BG001, BG002</t>
        </is>
      </c>
      <c r="H63" t="inlineStr">
        <is>
          <t>11 September 2003</t>
        </is>
      </c>
      <c r="I63" s="2" t="n">
        <v>46333</v>
      </c>
      <c r="J63" t="inlineStr">
        <is>
          <t>Disetujui</t>
        </is>
      </c>
      <c r="K63" t="n">
        <v>60</v>
      </c>
      <c r="L63" t="inlineStr">
        <is>
          <t>7 November 2026</t>
        </is>
      </c>
      <c r="M63" t="inlineStr">
        <is>
          <t>Konstruksi Gedung Hunian, Konstruksi Gedung Perkantoran</t>
        </is>
      </c>
      <c r="N63" t="inlineStr">
        <is>
          <t>K</t>
        </is>
      </c>
      <c r="O63" t="inlineStr">
        <is>
          <t>20231025</t>
        </is>
      </c>
      <c r="P63" t="inlineStr">
        <is>
          <t>Banten</t>
        </is>
      </c>
      <c r="Q63" t="inlineStr"/>
    </row>
    <row r="64">
      <c r="A64" t="inlineStr">
        <is>
          <t>MANUNGGALING KARSA ABADI</t>
        </is>
      </c>
      <c r="B64" t="inlineStr">
        <is>
          <t>Kota Semarang</t>
        </is>
      </c>
      <c r="C64" t="inlineStr">
        <is>
          <t>082220953180</t>
        </is>
      </c>
      <c r="D64" t="inlineStr">
        <is>
          <t>manunggalingkarsaabadi@gmail.com</t>
        </is>
      </c>
      <c r="E64" t="inlineStr">
        <is>
          <t>https://lpjk.pu.go.id/search-badan-usaha-detail/OXd4Q2NHeW1wVTdTR0hpK204dEJDUT09</t>
        </is>
      </c>
      <c r="F64" t="n">
        <v>3</v>
      </c>
      <c r="G64" t="inlineStr">
        <is>
          <t>RK001</t>
        </is>
      </c>
      <c r="H64" t="inlineStr">
        <is>
          <t>3 September 2022</t>
        </is>
      </c>
      <c r="I64" s="2" t="n">
        <v>46333</v>
      </c>
      <c r="J64" t="inlineStr">
        <is>
          <t>Disetujui</t>
        </is>
      </c>
      <c r="K64" t="n">
        <v>60</v>
      </c>
      <c r="L64" t="inlineStr">
        <is>
          <t>7 November 2026</t>
        </is>
      </c>
      <c r="M64" t="inlineStr">
        <is>
          <t>Jasa Rekayasa Konstruksi Bangunan Gedung Hunian dan Non Hunian</t>
        </is>
      </c>
      <c r="N64" t="inlineStr">
        <is>
          <t>K</t>
        </is>
      </c>
      <c r="O64" t="inlineStr">
        <is>
          <t>20231101</t>
        </is>
      </c>
      <c r="P64" t="inlineStr">
        <is>
          <t>Jawa Tengah</t>
        </is>
      </c>
      <c r="Q64" t="inlineStr"/>
    </row>
    <row r="65">
      <c r="A65" t="inlineStr">
        <is>
          <t>MARTHA</t>
        </is>
      </c>
      <c r="B65" t="inlineStr">
        <is>
          <t>Kab. Tanjung Jabung Barat</t>
        </is>
      </c>
      <c r="C65" t="inlineStr">
        <is>
          <t>085272601976</t>
        </is>
      </c>
      <c r="D65" t="inlineStr">
        <is>
          <t>tendarawit@gmail.com</t>
        </is>
      </c>
      <c r="E65" t="inlineStr">
        <is>
          <t>https://lpjk.pu.go.id/search-badan-usaha-detail/WkFWdENKMFc5ZE9KNU1xUy9yNmFEdz09</t>
        </is>
      </c>
      <c r="F65" t="n">
        <v>3</v>
      </c>
      <c r="G65" t="inlineStr">
        <is>
          <t>BS001, BS004, BS007</t>
        </is>
      </c>
      <c r="H65" t="inlineStr">
        <is>
          <t>21 Februari 1984</t>
        </is>
      </c>
      <c r="I65" s="2" t="n">
        <v>46333</v>
      </c>
      <c r="J65" t="inlineStr">
        <is>
          <t>Pencabutan</t>
        </is>
      </c>
      <c r="K65" t="n">
        <v>60</v>
      </c>
      <c r="L65" t="inlineStr">
        <is>
          <t>7 November 2026</t>
        </is>
      </c>
      <c r="M65" t="inlineStr">
        <is>
          <t>Konstruksi Bangunan Sipil Elektrikal, Konstruksi Bangunan Sipil Jalan, Konstruksi Jaringan Irigasi dan Drainase</t>
        </is>
      </c>
      <c r="N65" t="inlineStr">
        <is>
          <t>K</t>
        </is>
      </c>
      <c r="O65" t="inlineStr">
        <is>
          <t>20230612, 20231107</t>
        </is>
      </c>
      <c r="P65" t="inlineStr">
        <is>
          <t>Jambi</t>
        </is>
      </c>
      <c r="Q65" t="inlineStr"/>
    </row>
    <row r="66">
      <c r="A66" t="inlineStr">
        <is>
          <t>MEGA TUN JAYA</t>
        </is>
      </c>
      <c r="B66" t="inlineStr">
        <is>
          <t>Kab. Sukamara</t>
        </is>
      </c>
      <c r="C66" t="inlineStr">
        <is>
          <t>085348411040</t>
        </is>
      </c>
      <c r="D66" t="inlineStr">
        <is>
          <t>cvmegatunajaya771@gmail.com</t>
        </is>
      </c>
      <c r="E66" t="inlineStr">
        <is>
          <t>https://lpjk.pu.go.id/search-badan-usaha-detail/dmpKK3JlM2NqMFc0UjN2TDNQdmNFQT09</t>
        </is>
      </c>
      <c r="F66" t="n">
        <v>5</v>
      </c>
      <c r="G66" t="inlineStr">
        <is>
          <t>BG001, BG005, BG006, BG009, BS004</t>
        </is>
      </c>
      <c r="H66" t="inlineStr">
        <is>
          <t>4 Januari 2007</t>
        </is>
      </c>
      <c r="I66" s="2" t="n">
        <v>46333</v>
      </c>
      <c r="J66" t="inlineStr">
        <is>
          <t>Disetujui</t>
        </is>
      </c>
      <c r="K66" t="n">
        <v>60</v>
      </c>
      <c r="L66" t="inlineStr">
        <is>
          <t>7 November 2026</t>
        </is>
      </c>
      <c r="M66" t="inlineStr">
        <is>
          <t>Konstruksi Gedung Hunian, Konstruksi Gedung Kesehatan, Konstruksi Gedung Lainnya, Konstruksi Gedung Pendidikan, Konstruksi Jaringan Irigasi dan Drainase</t>
        </is>
      </c>
      <c r="N66" t="inlineStr">
        <is>
          <t>K</t>
        </is>
      </c>
      <c r="O66" t="inlineStr">
        <is>
          <t>20231103</t>
        </is>
      </c>
      <c r="P66" t="inlineStr">
        <is>
          <t>Kalimantan Tengah</t>
        </is>
      </c>
      <c r="Q66" t="inlineStr"/>
    </row>
    <row r="67">
      <c r="A67" t="inlineStr">
        <is>
          <t>MEGANTARA INDOJAYA</t>
        </is>
      </c>
      <c r="B67" t="inlineStr">
        <is>
          <t>Kab. Trenggalek</t>
        </is>
      </c>
      <c r="C67" t="inlineStr">
        <is>
          <t>08123420158</t>
        </is>
      </c>
      <c r="D67" t="inlineStr">
        <is>
          <t>megantaraindojaya@gmail.com</t>
        </is>
      </c>
      <c r="E67" t="inlineStr">
        <is>
          <t>https://lpjk.pu.go.id/search-badan-usaha-detail/SkJvZ0U0bnErcHIzSFdxTWIxOFMrS1JVb1pzc296UGZaMS94TFVnWmFOUT0</t>
        </is>
      </c>
      <c r="F67" t="n">
        <v>3</v>
      </c>
      <c r="G67" t="inlineStr">
        <is>
          <t>BS001</t>
        </is>
      </c>
      <c r="H67" t="inlineStr">
        <is>
          <t>7 Mei 2025</t>
        </is>
      </c>
      <c r="I67" s="2" t="n">
        <v>46333</v>
      </c>
      <c r="J67" t="inlineStr">
        <is>
          <t>Disetujui</t>
        </is>
      </c>
      <c r="K67" t="n">
        <v>60</v>
      </c>
      <c r="L67" t="inlineStr">
        <is>
          <t>7 November 2026</t>
        </is>
      </c>
      <c r="M67" t="inlineStr">
        <is>
          <t>Konstruksi Bangunan Sipil Jalan</t>
        </is>
      </c>
      <c r="N67" t="inlineStr">
        <is>
          <t>K</t>
        </is>
      </c>
      <c r="O67" t="inlineStr">
        <is>
          <t>20231025</t>
        </is>
      </c>
      <c r="P67" t="inlineStr">
        <is>
          <t>Jawa Timur</t>
        </is>
      </c>
      <c r="Q67" t="inlineStr"/>
    </row>
    <row r="68">
      <c r="A68" t="inlineStr">
        <is>
          <t>MERAH PUTIH</t>
        </is>
      </c>
      <c r="B68" t="inlineStr">
        <is>
          <t>Kota Semarang</t>
        </is>
      </c>
      <c r="C68" t="inlineStr">
        <is>
          <t>02470465569</t>
        </is>
      </c>
      <c r="D68" t="inlineStr">
        <is>
          <t>riskykiki21221@yahoo.com</t>
        </is>
      </c>
      <c r="E68" t="inlineStr">
        <is>
          <t>https://lpjk.pu.go.id/search-badan-usaha-detail/U0hXdjNkdzNSYVFWVThjeitxVndLUT09</t>
        </is>
      </c>
      <c r="F68" t="n">
        <v>1</v>
      </c>
      <c r="G68" t="inlineStr">
        <is>
          <t>BG005</t>
        </is>
      </c>
      <c r="H68" t="inlineStr">
        <is>
          <t>12 Januari 2010</t>
        </is>
      </c>
      <c r="I68" s="2" t="n">
        <v>46333</v>
      </c>
      <c r="J68" t="inlineStr">
        <is>
          <t>Pencabutan</t>
        </is>
      </c>
      <c r="K68" t="n">
        <v>60</v>
      </c>
      <c r="L68" t="inlineStr">
        <is>
          <t>7 November 2026</t>
        </is>
      </c>
      <c r="M68" t="inlineStr">
        <is>
          <t>Konstruksi Gedung Kesehatan</t>
        </is>
      </c>
      <c r="N68" t="inlineStr">
        <is>
          <t>K</t>
        </is>
      </c>
      <c r="O68" t="inlineStr">
        <is>
          <t>20231103</t>
        </is>
      </c>
      <c r="P68" t="inlineStr">
        <is>
          <t>Jawa Tengah</t>
        </is>
      </c>
      <c r="Q68" t="inlineStr"/>
    </row>
    <row r="69">
      <c r="A69" t="inlineStr">
        <is>
          <t>MITRA MANDIRI</t>
        </is>
      </c>
      <c r="B69" t="inlineStr">
        <is>
          <t>Kab. Pekalongan</t>
        </is>
      </c>
      <c r="C69" t="inlineStr">
        <is>
          <t>085226382679</t>
        </is>
      </c>
      <c r="D69" t="inlineStr">
        <is>
          <t>mitra_mandiri9ku@yahoo.co.id</t>
        </is>
      </c>
      <c r="E69" t="inlineStr">
        <is>
          <t>https://lpjk.pu.go.id/search-badan-usaha-detail/ZTYvWnY5VlYrRHJUNmpUVzNpZnFhQT09</t>
        </is>
      </c>
      <c r="F69" t="n">
        <v>4</v>
      </c>
      <c r="G69" t="inlineStr">
        <is>
          <t>BG001, BG005, BG006, BG009</t>
        </is>
      </c>
      <c r="H69" t="inlineStr">
        <is>
          <t>10 Mei 2007</t>
        </is>
      </c>
      <c r="I69" s="2" t="n">
        <v>46333</v>
      </c>
      <c r="J69" t="inlineStr">
        <is>
          <t>Disetujui</t>
        </is>
      </c>
      <c r="K69" t="n">
        <v>60</v>
      </c>
      <c r="L69" t="inlineStr">
        <is>
          <t>7 November 2026</t>
        </is>
      </c>
      <c r="M69" t="inlineStr">
        <is>
          <t>Konstruksi Gedung Hunian, Konstruksi Gedung Kesehatan, Konstruksi Gedung Lainnya, Konstruksi Gedung Pendidikan</t>
        </is>
      </c>
      <c r="N69" t="inlineStr">
        <is>
          <t>K</t>
        </is>
      </c>
      <c r="O69" t="inlineStr">
        <is>
          <t>20231031, 20231102, 20231103</t>
        </is>
      </c>
      <c r="P69" t="inlineStr">
        <is>
          <t>Jawa Tengah</t>
        </is>
      </c>
      <c r="Q69" t="inlineStr"/>
    </row>
    <row r="70">
      <c r="A70" t="inlineStr">
        <is>
          <t>MULTI KREASI BORNEO</t>
        </is>
      </c>
      <c r="B70" t="inlineStr">
        <is>
          <t>Kab. Tanah Laut</t>
        </is>
      </c>
      <c r="C70" t="inlineStr">
        <is>
          <t>081349639841</t>
        </is>
      </c>
      <c r="D70" t="inlineStr">
        <is>
          <t>multikreasiborneo@yahoo.com</t>
        </is>
      </c>
      <c r="E70" t="inlineStr">
        <is>
          <t>https://lpjk.pu.go.id/search-badan-usaha-detail/WTMwUmx1bkl5RnlVOWh1ZThpNEg5QT09</t>
        </is>
      </c>
      <c r="F70" t="n">
        <v>1</v>
      </c>
      <c r="G70" t="inlineStr">
        <is>
          <t>BS010</t>
        </is>
      </c>
      <c r="H70" t="inlineStr">
        <is>
          <t>24 Januari 2004</t>
        </is>
      </c>
      <c r="I70" s="2" t="n">
        <v>46333</v>
      </c>
      <c r="J70" t="inlineStr">
        <is>
          <t>Disetujui</t>
        </is>
      </c>
      <c r="K70" t="n">
        <v>60</v>
      </c>
      <c r="L70" t="inlineStr">
        <is>
          <t>7 November 2026</t>
        </is>
      </c>
      <c r="M70" t="inlineStr">
        <is>
          <t>Konstruksi Bangunan Prasarana Sumber Daya Air</t>
        </is>
      </c>
      <c r="N70" t="inlineStr">
        <is>
          <t>K</t>
        </is>
      </c>
      <c r="O70" t="inlineStr">
        <is>
          <t>20231026</t>
        </is>
      </c>
      <c r="P70" t="inlineStr">
        <is>
          <t>Kalimantan Selatan</t>
        </is>
      </c>
      <c r="Q70" t="inlineStr"/>
    </row>
    <row r="71">
      <c r="A71" t="inlineStr">
        <is>
          <t>MUTIARA KUSUMA ABADI</t>
        </is>
      </c>
      <c r="B71" t="inlineStr">
        <is>
          <t>Kab. Ogan Ilir</t>
        </is>
      </c>
      <c r="C71" t="inlineStr">
        <is>
          <t>082179444999</t>
        </is>
      </c>
      <c r="D71" t="inlineStr">
        <is>
          <t>hn355086@gmail.com</t>
        </is>
      </c>
      <c r="E71" t="inlineStr">
        <is>
          <t>https://lpjk.pu.go.id/search-badan-usaha-detail/dGo3RlNLWlZLSUExbGthcjJkSHduQT09</t>
        </is>
      </c>
      <c r="F71" t="n">
        <v>2</v>
      </c>
      <c r="G71" t="inlineStr">
        <is>
          <t>BS002, BS010</t>
        </is>
      </c>
      <c r="H71" t="inlineStr">
        <is>
          <t>22 Februari 2019</t>
        </is>
      </c>
      <c r="I71" s="2" t="n">
        <v>46333</v>
      </c>
      <c r="J71" t="inlineStr">
        <is>
          <t>Disetujui, Pencabutan</t>
        </is>
      </c>
      <c r="K71" t="n">
        <v>60</v>
      </c>
      <c r="L71" t="inlineStr">
        <is>
          <t>7 November 2026</t>
        </is>
      </c>
      <c r="M71" t="inlineStr">
        <is>
          <t>Bangunan Sipil Jembatan, Jalan Layang, Fly Over, dan Underpass, Konstruksi Bangunan Prasarana Sumber Daya Air</t>
        </is>
      </c>
      <c r="N71" t="inlineStr">
        <is>
          <t>K</t>
        </is>
      </c>
      <c r="O71" t="inlineStr">
        <is>
          <t>20231107</t>
        </is>
      </c>
      <c r="P71" t="inlineStr">
        <is>
          <t>Sumatera Selatan</t>
        </is>
      </c>
      <c r="Q71" t="inlineStr"/>
    </row>
    <row r="72">
      <c r="A72" t="inlineStr">
        <is>
          <t>NAM NAM</t>
        </is>
      </c>
      <c r="B72" t="inlineStr">
        <is>
          <t>Kab. Subang</t>
        </is>
      </c>
      <c r="C72" t="inlineStr">
        <is>
          <t>089656652310</t>
        </is>
      </c>
      <c r="D72" t="inlineStr">
        <is>
          <t>namnam.cv@yahoo.com</t>
        </is>
      </c>
      <c r="E72" t="inlineStr">
        <is>
          <t>https://lpjk.pu.go.id/search-badan-usaha-detail/eHIrN3Y1YnY4eERIaVlLekZ1Y2xOdz09</t>
        </is>
      </c>
      <c r="F72" t="n">
        <v>1</v>
      </c>
      <c r="G72" t="inlineStr">
        <is>
          <t>BS005</t>
        </is>
      </c>
      <c r="H72" t="inlineStr">
        <is>
          <t>11 Oktober 2023</t>
        </is>
      </c>
      <c r="I72" s="2" t="n">
        <v>46333</v>
      </c>
      <c r="J72" t="inlineStr">
        <is>
          <t>Disetujui</t>
        </is>
      </c>
      <c r="K72" t="n">
        <v>60</v>
      </c>
      <c r="L72" t="inlineStr">
        <is>
          <t>7 November 2026</t>
        </is>
      </c>
      <c r="M72" t="inlineStr">
        <is>
          <t>Konstruksi Bangunan Sipil Pengolahan Air Bersih</t>
        </is>
      </c>
      <c r="N72" t="inlineStr">
        <is>
          <t>K</t>
        </is>
      </c>
      <c r="O72" t="inlineStr">
        <is>
          <t>20231105</t>
        </is>
      </c>
      <c r="P72" t="inlineStr">
        <is>
          <t>Jawa Barat</t>
        </is>
      </c>
      <c r="Q72" t="inlineStr"/>
    </row>
    <row r="73">
      <c r="A73" t="inlineStr">
        <is>
          <t>NUSA JAYA SENTOSA</t>
        </is>
      </c>
      <c r="B73" t="inlineStr">
        <is>
          <t>Kota Adm. Jakarta Utara</t>
        </is>
      </c>
      <c r="C73" t="inlineStr">
        <is>
          <t>02122667357</t>
        </is>
      </c>
      <c r="D73" t="inlineStr">
        <is>
          <t>jakarta@njsentosa.com</t>
        </is>
      </c>
      <c r="E73" t="inlineStr">
        <is>
          <t>https://lpjk.pu.go.id/search-badan-usaha-detail/Z1hhdGNiZ0gwSWRmUlRIR1A1N00zZz09</t>
        </is>
      </c>
      <c r="F73" t="n">
        <v>1</v>
      </c>
      <c r="G73" t="inlineStr">
        <is>
          <t>BS013</t>
        </is>
      </c>
      <c r="H73" t="inlineStr">
        <is>
          <t>24 Mei 2002</t>
        </is>
      </c>
      <c r="I73" s="2" t="n">
        <v>46333</v>
      </c>
      <c r="J73" t="inlineStr">
        <is>
          <t>Pencabutan</t>
        </is>
      </c>
      <c r="K73" t="n">
        <v>60</v>
      </c>
      <c r="L73" t="inlineStr">
        <is>
          <t>7 November 2026</t>
        </is>
      </c>
      <c r="M73" t="inlineStr">
        <is>
          <t>Konstruksi Bangunan Sipil Minyak dan Gas Bumi</t>
        </is>
      </c>
      <c r="N73" t="inlineStr">
        <is>
          <t>M</t>
        </is>
      </c>
      <c r="O73" t="inlineStr">
        <is>
          <t>20220707</t>
        </is>
      </c>
      <c r="P73" t="inlineStr">
        <is>
          <t>DKI Jakarta</t>
        </is>
      </c>
      <c r="Q73" t="inlineStr"/>
    </row>
    <row r="74">
      <c r="A74" t="inlineStr">
        <is>
          <t>PADAT AKSI NIAGA</t>
        </is>
      </c>
      <c r="B74" t="inlineStr">
        <is>
          <t>Kab. Bolaang Mongondow Utara</t>
        </is>
      </c>
      <c r="C74" t="inlineStr">
        <is>
          <t>085241293111</t>
        </is>
      </c>
      <c r="D74" t="inlineStr">
        <is>
          <t>padataksiniaga7@gmail.com</t>
        </is>
      </c>
      <c r="E74" t="inlineStr">
        <is>
          <t>https://lpjk.pu.go.id/search-badan-usaha-detail/YkJjM1BOQk1rWlA1aWMvbTdnVzdKZz09</t>
        </is>
      </c>
      <c r="F74" t="n">
        <v>1</v>
      </c>
      <c r="G74" t="inlineStr">
        <is>
          <t>BS006</t>
        </is>
      </c>
      <c r="H74" t="inlineStr">
        <is>
          <t>8 Februari 2010</t>
        </is>
      </c>
      <c r="I74" s="2" t="n">
        <v>46333</v>
      </c>
      <c r="J74" t="inlineStr">
        <is>
          <t>Disetujui</t>
        </is>
      </c>
      <c r="K74" t="n">
        <v>60</v>
      </c>
      <c r="L74" t="inlineStr">
        <is>
          <t>7 November 2026</t>
        </is>
      </c>
      <c r="M74" t="inlineStr">
        <is>
          <t>Konstruksi Bangunan Sipil Prasarana dan Sarana Sistem Pengolahan Limbah Padat, Cair, dan Gas</t>
        </is>
      </c>
      <c r="N74" t="inlineStr">
        <is>
          <t>K</t>
        </is>
      </c>
      <c r="O74" t="inlineStr">
        <is>
          <t>20231106</t>
        </is>
      </c>
      <c r="P74" t="inlineStr">
        <is>
          <t>Sulawesi Utara</t>
        </is>
      </c>
      <c r="Q74" t="inlineStr"/>
    </row>
    <row r="75">
      <c r="A75" t="inlineStr">
        <is>
          <t>PARAMA DHARMA</t>
        </is>
      </c>
      <c r="B75" t="inlineStr">
        <is>
          <t>Kota Adm. Jakarta Selatan</t>
        </is>
      </c>
      <c r="C75" t="inlineStr">
        <is>
          <t>0217253008</t>
        </is>
      </c>
      <c r="D75" t="inlineStr">
        <is>
          <t>construction@paramadharma.co.id</t>
        </is>
      </c>
      <c r="E75" t="inlineStr">
        <is>
          <t>https://lpjk.pu.go.id/search-badan-usaha-detail/MEFuU0I3U0kxQi83UFJqQXFac0xFQT09</t>
        </is>
      </c>
      <c r="F75" t="n">
        <v>1</v>
      </c>
      <c r="G75" t="inlineStr">
        <is>
          <t>BG005</t>
        </is>
      </c>
      <c r="H75" t="inlineStr">
        <is>
          <t>8 November 1982</t>
        </is>
      </c>
      <c r="I75" s="2" t="n">
        <v>46333</v>
      </c>
      <c r="J75" t="inlineStr">
        <is>
          <t>Disetujui</t>
        </is>
      </c>
      <c r="K75" t="n">
        <v>60</v>
      </c>
      <c r="L75" t="inlineStr">
        <is>
          <t>7 November 2026</t>
        </is>
      </c>
      <c r="M75" t="inlineStr">
        <is>
          <t>Konstruksi Gedung Kesehatan</t>
        </is>
      </c>
      <c r="N75" t="inlineStr">
        <is>
          <t>M</t>
        </is>
      </c>
      <c r="O75" t="inlineStr">
        <is>
          <t>20231016</t>
        </is>
      </c>
      <c r="P75" t="inlineStr">
        <is>
          <t>DKI Jakarta</t>
        </is>
      </c>
      <c r="Q75" t="inlineStr"/>
    </row>
    <row r="76">
      <c r="A76" t="inlineStr">
        <is>
          <t>PESONA SURYA GEMILANG</t>
        </is>
      </c>
      <c r="B76" t="inlineStr">
        <is>
          <t>Kab. Jember</t>
        </is>
      </c>
      <c r="C76" t="inlineStr">
        <is>
          <t>08123871180</t>
        </is>
      </c>
      <c r="D76" t="inlineStr">
        <is>
          <t>pesonasuryagemilang@yahoo.com</t>
        </is>
      </c>
      <c r="E76" t="inlineStr">
        <is>
          <t>https://lpjk.pu.go.id/search-badan-usaha-detail/YkUzTFJuZHJKaUtHallaQmVNYlBNQT09</t>
        </is>
      </c>
      <c r="F76" t="n">
        <v>2</v>
      </c>
      <c r="G76" t="inlineStr">
        <is>
          <t>BG001, BS001</t>
        </is>
      </c>
      <c r="H76" t="inlineStr">
        <is>
          <t>19 Desember 2014</t>
        </is>
      </c>
      <c r="I76" s="2" t="n">
        <v>46333</v>
      </c>
      <c r="J76" t="inlineStr">
        <is>
          <t>Disetujui</t>
        </is>
      </c>
      <c r="K76" t="n">
        <v>60</v>
      </c>
      <c r="L76" t="inlineStr">
        <is>
          <t>7 November 2026</t>
        </is>
      </c>
      <c r="M76" t="inlineStr">
        <is>
          <t>Konstruksi Bangunan Sipil Jalan, Konstruksi Gedung Hunian</t>
        </is>
      </c>
      <c r="N76" t="inlineStr">
        <is>
          <t>K</t>
        </is>
      </c>
      <c r="O76" t="inlineStr">
        <is>
          <t>20231101, 20231102</t>
        </is>
      </c>
      <c r="P76" t="inlineStr">
        <is>
          <t>Jawa Timur</t>
        </is>
      </c>
      <c r="Q76" t="inlineStr"/>
    </row>
    <row r="77">
      <c r="A77" t="inlineStr">
        <is>
          <t>PILAR 94</t>
        </is>
      </c>
      <c r="B77" t="inlineStr">
        <is>
          <t>Kab. Banyumas</t>
        </is>
      </c>
      <c r="C77" t="inlineStr">
        <is>
          <t>0281639882</t>
        </is>
      </c>
      <c r="D77" t="inlineStr">
        <is>
          <t>rudipilar94@gmail.com</t>
        </is>
      </c>
      <c r="E77" t="inlineStr">
        <is>
          <t>https://lpjk.pu.go.id/search-badan-usaha-detail/ZUE0b24zUFI4dGhFRk8xcXI1TVR0UT09</t>
        </is>
      </c>
      <c r="F77" t="n">
        <v>1</v>
      </c>
      <c r="G77" t="inlineStr">
        <is>
          <t>BS001</t>
        </is>
      </c>
      <c r="H77" t="inlineStr">
        <is>
          <t>14 Desember 1993</t>
        </is>
      </c>
      <c r="I77" s="2" t="n">
        <v>46333</v>
      </c>
      <c r="J77" t="inlineStr">
        <is>
          <t>Disetujui</t>
        </is>
      </c>
      <c r="K77" t="n">
        <v>60</v>
      </c>
      <c r="L77" t="inlineStr">
        <is>
          <t>7 November 2026</t>
        </is>
      </c>
      <c r="M77" t="inlineStr">
        <is>
          <t>Konstruksi Bangunan Sipil Jalan</t>
        </is>
      </c>
      <c r="N77" t="inlineStr">
        <is>
          <t>K</t>
        </is>
      </c>
      <c r="O77" t="inlineStr">
        <is>
          <t>20231103</t>
        </is>
      </c>
      <c r="P77" t="inlineStr">
        <is>
          <t>Jawa Tengah</t>
        </is>
      </c>
      <c r="Q77" t="inlineStr"/>
    </row>
    <row r="78">
      <c r="A78" t="inlineStr">
        <is>
          <t>PRAMES WARA</t>
        </is>
      </c>
      <c r="B78" t="inlineStr">
        <is>
          <t>Kab. Toba Samosir</t>
        </is>
      </c>
      <c r="C78" t="inlineStr">
        <is>
          <t>081260089016</t>
        </is>
      </c>
      <c r="D78" t="inlineStr">
        <is>
          <t>cvprameswara@gmail.com</t>
        </is>
      </c>
      <c r="E78" t="inlineStr">
        <is>
          <t>https://lpjk.pu.go.id/search-badan-usaha-detail/R2N4R2pHdmtidnZtcTBoZ1ozUWpmQT09</t>
        </is>
      </c>
      <c r="F78" t="n">
        <v>3</v>
      </c>
      <c r="G78" t="inlineStr">
        <is>
          <t>BG005, BG006, BS001</t>
        </is>
      </c>
      <c r="H78" t="inlineStr">
        <is>
          <t>23 Agustus 2023</t>
        </is>
      </c>
      <c r="I78" s="2" t="n">
        <v>46333</v>
      </c>
      <c r="J78" t="inlineStr">
        <is>
          <t>Disetujui</t>
        </is>
      </c>
      <c r="K78" t="n">
        <v>60</v>
      </c>
      <c r="L78" t="inlineStr">
        <is>
          <t>7 November 2026</t>
        </is>
      </c>
      <c r="M78" t="inlineStr">
        <is>
          <t>Konstruksi Bangunan Sipil Jalan, Konstruksi Gedung Kesehatan, Konstruksi Gedung Pendidikan</t>
        </is>
      </c>
      <c r="N78" t="inlineStr">
        <is>
          <t>K</t>
        </is>
      </c>
      <c r="O78" t="inlineStr">
        <is>
          <t>20231106, 20231107, 20231108</t>
        </is>
      </c>
      <c r="P78" t="inlineStr">
        <is>
          <t>Sumatera Utara</t>
        </is>
      </c>
      <c r="Q78" t="inlineStr"/>
    </row>
    <row r="79">
      <c r="A79" t="inlineStr">
        <is>
          <t>PRESISINDO JAYA MANDIRI</t>
        </is>
      </c>
      <c r="B79" t="inlineStr">
        <is>
          <t>Kota Tangerang</t>
        </is>
      </c>
      <c r="C79" t="inlineStr">
        <is>
          <t>02155750169</t>
        </is>
      </c>
      <c r="D79" t="inlineStr">
        <is>
          <t>cv.presisindojayamandiri@gmail.com</t>
        </is>
      </c>
      <c r="E79" t="inlineStr">
        <is>
          <t>https://lpjk.pu.go.id/search-badan-usaha-detail/MWhuSFo4bUEzcnZ2cmVzN1FrU0x5UT09</t>
        </is>
      </c>
      <c r="F79" t="n">
        <v>7</v>
      </c>
      <c r="G79" t="inlineStr">
        <is>
          <t>BG001, BG002, BG003, BG006, BG009, BS001, BS004</t>
        </is>
      </c>
      <c r="H79" t="inlineStr">
        <is>
          <t>4 Agustus 2011</t>
        </is>
      </c>
      <c r="I79" s="2" t="n">
        <v>46333</v>
      </c>
      <c r="J79" t="inlineStr">
        <is>
          <t>Disetujui</t>
        </is>
      </c>
      <c r="K79" t="n">
        <v>60</v>
      </c>
      <c r="L79" t="inlineStr">
        <is>
          <t>7 November 2026</t>
        </is>
      </c>
      <c r="M79" t="inlineStr">
        <is>
          <t>Konstruksi Bangunan Sipil Jalan, Konstruksi Gedung Hunian, Konstruksi Gedung Industri, Konstruksi Gedung Lainnya, Konstruksi Gedung Pendidikan, Konstruksi Gedung Perkantoran, Konstruksi Jaringan Irigasi dan Drainase</t>
        </is>
      </c>
      <c r="N79" t="inlineStr">
        <is>
          <t>K</t>
        </is>
      </c>
      <c r="O79" t="inlineStr">
        <is>
          <t>20231106, 20231109, 20231110</t>
        </is>
      </c>
      <c r="P79" t="inlineStr">
        <is>
          <t>Banten</t>
        </is>
      </c>
      <c r="Q79" t="inlineStr"/>
    </row>
    <row r="80">
      <c r="A80" t="inlineStr">
        <is>
          <t>PRIMA BANGKIT GEMILANG</t>
        </is>
      </c>
      <c r="B80" t="inlineStr">
        <is>
          <t>Kota Adm. Jakarta Selatan</t>
        </is>
      </c>
      <c r="C80" t="inlineStr">
        <is>
          <t>02122832757</t>
        </is>
      </c>
      <c r="D80" t="inlineStr">
        <is>
          <t>cv.primabangkitgemilang@gmail.com</t>
        </is>
      </c>
      <c r="E80" t="inlineStr">
        <is>
          <t>https://lpjk.pu.go.id/search-badan-usaha-detail/V0d3NEw2L3RHN0EwZk1SZU02ZEszUT09</t>
        </is>
      </c>
      <c r="F80" t="n">
        <v>1</v>
      </c>
      <c r="G80" t="inlineStr">
        <is>
          <t>BS010</t>
        </is>
      </c>
      <c r="H80" t="inlineStr">
        <is>
          <t>12 September 2012</t>
        </is>
      </c>
      <c r="I80" s="2" t="n">
        <v>46333</v>
      </c>
      <c r="J80" t="inlineStr">
        <is>
          <t>Disetujui</t>
        </is>
      </c>
      <c r="K80" t="n">
        <v>60</v>
      </c>
      <c r="L80" t="inlineStr">
        <is>
          <t>7 November 2026</t>
        </is>
      </c>
      <c r="M80" t="inlineStr">
        <is>
          <t>Konstruksi Bangunan Prasarana Sumber Daya Air</t>
        </is>
      </c>
      <c r="N80" t="inlineStr">
        <is>
          <t>K</t>
        </is>
      </c>
      <c r="O80" t="inlineStr">
        <is>
          <t>20231107</t>
        </is>
      </c>
      <c r="P80" t="inlineStr">
        <is>
          <t>DKI Jakarta</t>
        </is>
      </c>
      <c r="Q80" t="inlineStr"/>
    </row>
    <row r="81">
      <c r="A81" t="inlineStr">
        <is>
          <t>PUSAKA PARAHYANGAN</t>
        </is>
      </c>
      <c r="B81" t="inlineStr">
        <is>
          <t>Kab. Garut</t>
        </is>
      </c>
      <c r="C81" t="inlineStr">
        <is>
          <t>082120064812</t>
        </is>
      </c>
      <c r="D81" t="inlineStr">
        <is>
          <t>cv.pusakaparahyangan@gmail.com</t>
        </is>
      </c>
      <c r="E81" t="inlineStr">
        <is>
          <t>https://lpjk.pu.go.id/search-badan-usaha-detail/bWN2RHV2MGNoektGTjIxOUNlTFZrdz09</t>
        </is>
      </c>
      <c r="F81" t="n">
        <v>2</v>
      </c>
      <c r="G81" t="inlineStr">
        <is>
          <t>BS001, BS009</t>
        </is>
      </c>
      <c r="H81" t="inlineStr">
        <is>
          <t>14 Maret 2019</t>
        </is>
      </c>
      <c r="I81" s="2" t="n">
        <v>46333</v>
      </c>
      <c r="J81" t="inlineStr">
        <is>
          <t>Disetujui</t>
        </is>
      </c>
      <c r="K81" t="n">
        <v>60</v>
      </c>
      <c r="L81" t="inlineStr">
        <is>
          <t>7 November 2026</t>
        </is>
      </c>
      <c r="M81" t="inlineStr">
        <is>
          <t>Konstruksi Bangunan Sipil Jalan, Konstruksi Sentral Telekomunikasi</t>
        </is>
      </c>
      <c r="N81" t="inlineStr">
        <is>
          <t>K</t>
        </is>
      </c>
      <c r="O81" t="inlineStr">
        <is>
          <t>20231101</t>
        </is>
      </c>
      <c r="P81" t="inlineStr">
        <is>
          <t>Jawa Barat</t>
        </is>
      </c>
      <c r="Q81" t="inlineStr"/>
    </row>
    <row r="82">
      <c r="A82" t="inlineStr">
        <is>
          <t>PUTRA PENDAUN</t>
        </is>
      </c>
      <c r="B82" t="inlineStr">
        <is>
          <t>Kab. Ketapang</t>
        </is>
      </c>
      <c r="C82" t="inlineStr">
        <is>
          <t>085820783346</t>
        </is>
      </c>
      <c r="D82" t="inlineStr">
        <is>
          <t>cvputrapendaun@gmail.com</t>
        </is>
      </c>
      <c r="E82" t="inlineStr">
        <is>
          <t>https://lpjk.pu.go.id/search-badan-usaha-detail/bU41eTE2cktkWk9NRk1mdlFXYW9TZz09</t>
        </is>
      </c>
      <c r="F82" t="n">
        <v>1</v>
      </c>
      <c r="G82" t="inlineStr">
        <is>
          <t>BS004</t>
        </is>
      </c>
      <c r="H82" t="inlineStr">
        <is>
          <t>1 Desember 2006</t>
        </is>
      </c>
      <c r="I82" s="2" t="n">
        <v>46333</v>
      </c>
      <c r="J82" t="inlineStr">
        <is>
          <t>Disetujui</t>
        </is>
      </c>
      <c r="K82" t="n">
        <v>60</v>
      </c>
      <c r="L82" t="inlineStr">
        <is>
          <t>7 November 2026</t>
        </is>
      </c>
      <c r="M82" t="inlineStr">
        <is>
          <t>Konstruksi Jaringan Irigasi dan Drainase</t>
        </is>
      </c>
      <c r="N82" t="inlineStr">
        <is>
          <t>K</t>
        </is>
      </c>
      <c r="O82" t="inlineStr">
        <is>
          <t>20231018</t>
        </is>
      </c>
      <c r="P82" t="inlineStr">
        <is>
          <t>Kalimantan Barat</t>
        </is>
      </c>
      <c r="Q82" t="inlineStr"/>
    </row>
    <row r="83">
      <c r="A83" t="inlineStr">
        <is>
          <t>PUTRA PERKASA PRIMA</t>
        </is>
      </c>
      <c r="B83" t="inlineStr">
        <is>
          <t>Kab. Sukabumi</t>
        </is>
      </c>
      <c r="C83" t="inlineStr">
        <is>
          <t>085814514850</t>
        </is>
      </c>
      <c r="D83" t="inlineStr">
        <is>
          <t>putraperkasaprima88@gmail.com</t>
        </is>
      </c>
      <c r="E83" t="inlineStr">
        <is>
          <t>https://lpjk.pu.go.id/search-badan-usaha-detail/Wk1nRTRtZWJ0ZWMyOGE0cHNZNDc1dz09</t>
        </is>
      </c>
      <c r="F83" t="n">
        <v>2</v>
      </c>
      <c r="G83" t="inlineStr">
        <is>
          <t>BS001, BS004</t>
        </is>
      </c>
      <c r="H83" t="inlineStr">
        <is>
          <t>13 Agustus 2020</t>
        </is>
      </c>
      <c r="I83" s="2" t="n">
        <v>46333</v>
      </c>
      <c r="J83" t="inlineStr">
        <is>
          <t>Disetujui</t>
        </is>
      </c>
      <c r="K83" t="n">
        <v>60</v>
      </c>
      <c r="L83" t="inlineStr">
        <is>
          <t>7 November 2026</t>
        </is>
      </c>
      <c r="M83" t="inlineStr">
        <is>
          <t>Konstruksi Bangunan Sipil Jalan, Konstruksi Jaringan Irigasi dan Drainase</t>
        </is>
      </c>
      <c r="N83" t="inlineStr">
        <is>
          <t>K</t>
        </is>
      </c>
      <c r="O83" t="inlineStr">
        <is>
          <t>20231103</t>
        </is>
      </c>
      <c r="P83" t="inlineStr">
        <is>
          <t>Jawa Barat</t>
        </is>
      </c>
      <c r="Q83" t="inlineStr"/>
    </row>
    <row r="84">
      <c r="A84" t="inlineStr">
        <is>
          <t>PUTRA TUNGGAL</t>
        </is>
      </c>
      <c r="B84" t="inlineStr">
        <is>
          <t>Kab. Cirebon</t>
        </is>
      </c>
      <c r="C84" t="inlineStr">
        <is>
          <t>082128846456</t>
        </is>
      </c>
      <c r="D84" t="inlineStr">
        <is>
          <t>cv.putra.tunggal777@gmail.com</t>
        </is>
      </c>
      <c r="E84" t="inlineStr">
        <is>
          <t>https://lpjk.pu.go.id/search-badan-usaha-detail/ZU9lWVRzbzlPa2VURmZNU3BSNDFodz09</t>
        </is>
      </c>
      <c r="F84" t="n">
        <v>1</v>
      </c>
      <c r="G84" t="inlineStr">
        <is>
          <t>BS001</t>
        </is>
      </c>
      <c r="H84" t="inlineStr">
        <is>
          <t>7 Januari 2013</t>
        </is>
      </c>
      <c r="I84" s="2" t="n">
        <v>46333</v>
      </c>
      <c r="J84" t="inlineStr">
        <is>
          <t>Disetujui</t>
        </is>
      </c>
      <c r="K84" t="n">
        <v>60</v>
      </c>
      <c r="L84" t="inlineStr">
        <is>
          <t>7 November 2026</t>
        </is>
      </c>
      <c r="M84" t="inlineStr">
        <is>
          <t>Konstruksi Bangunan Sipil Jalan</t>
        </is>
      </c>
      <c r="N84" t="inlineStr">
        <is>
          <t>K</t>
        </is>
      </c>
      <c r="O84" t="inlineStr">
        <is>
          <t>20231106</t>
        </is>
      </c>
      <c r="P84" t="inlineStr">
        <is>
          <t>Jawa Barat</t>
        </is>
      </c>
      <c r="Q84" t="inlineStr"/>
    </row>
    <row r="85">
      <c r="A85" t="inlineStr">
        <is>
          <t>PUTRA UTAMA ABADI</t>
        </is>
      </c>
      <c r="B85" t="inlineStr">
        <is>
          <t>Kota Medan</t>
        </is>
      </c>
      <c r="C85" t="inlineStr">
        <is>
          <t>081260006685</t>
        </is>
      </c>
      <c r="D85" t="inlineStr">
        <is>
          <t>cv.putrautama_abadi@yahoo.com</t>
        </is>
      </c>
      <c r="E85" t="inlineStr">
        <is>
          <t>https://lpjk.pu.go.id/search-badan-usaha-detail/WUtUSnlPaGlJWklpZWRaM0xGa25uZz09</t>
        </is>
      </c>
      <c r="F85" t="n">
        <v>4</v>
      </c>
      <c r="G85" t="inlineStr">
        <is>
          <t>BG006, BG009, BS001, BS004</t>
        </is>
      </c>
      <c r="H85" t="inlineStr">
        <is>
          <t>12 Desember 2019</t>
        </is>
      </c>
      <c r="I85" s="2" t="n">
        <v>46333</v>
      </c>
      <c r="J85" t="inlineStr">
        <is>
          <t>Disetujui</t>
        </is>
      </c>
      <c r="K85" t="n">
        <v>60</v>
      </c>
      <c r="L85" t="inlineStr">
        <is>
          <t>7 November 2026</t>
        </is>
      </c>
      <c r="M85" t="inlineStr">
        <is>
          <t>Konstruksi Bangunan Sipil Jalan, Konstruksi Gedung Lainnya, Konstruksi Gedung Pendidikan, Konstruksi Jaringan Irigasi dan Drainase</t>
        </is>
      </c>
      <c r="N85" t="inlineStr">
        <is>
          <t>K</t>
        </is>
      </c>
      <c r="O85" t="inlineStr">
        <is>
          <t>20231106, 20231108</t>
        </is>
      </c>
      <c r="P85" t="inlineStr">
        <is>
          <t>Sumatera Utara</t>
        </is>
      </c>
      <c r="Q85" t="inlineStr"/>
    </row>
    <row r="86">
      <c r="A86" t="inlineStr">
        <is>
          <t>PUTRI MAHARANI</t>
        </is>
      </c>
      <c r="B86" t="inlineStr">
        <is>
          <t>Kab. Bandung</t>
        </is>
      </c>
      <c r="C86" t="inlineStr">
        <is>
          <t>082129534002</t>
        </is>
      </c>
      <c r="D86" t="inlineStr">
        <is>
          <t>maharani_putri8284@yahoo.com</t>
        </is>
      </c>
      <c r="E86" t="inlineStr">
        <is>
          <t>https://lpjk.pu.go.id/search-badan-usaha-detail/VEg4UEVFS2NGdUJqc2tDcmFFZUtmdz09</t>
        </is>
      </c>
      <c r="F86" t="n">
        <v>1</v>
      </c>
      <c r="G86" t="inlineStr">
        <is>
          <t>BS002</t>
        </is>
      </c>
      <c r="H86" t="inlineStr">
        <is>
          <t>27 April 2018</t>
        </is>
      </c>
      <c r="I86" s="2" t="n">
        <v>46333</v>
      </c>
      <c r="J86" t="inlineStr">
        <is>
          <t>Disetujui</t>
        </is>
      </c>
      <c r="K86" t="n">
        <v>60</v>
      </c>
      <c r="L86" t="inlineStr">
        <is>
          <t>7 November 2026</t>
        </is>
      </c>
      <c r="M86" t="inlineStr">
        <is>
          <t>Bangunan Sipil Jembatan, Jalan Layang, Fly Over, dan Underpass</t>
        </is>
      </c>
      <c r="N86" t="inlineStr">
        <is>
          <t>K</t>
        </is>
      </c>
      <c r="O86" t="inlineStr">
        <is>
          <t>20231106</t>
        </is>
      </c>
      <c r="P86" t="inlineStr">
        <is>
          <t>Jawa Barat</t>
        </is>
      </c>
      <c r="Q86" t="inlineStr"/>
    </row>
    <row r="87">
      <c r="A87" t="inlineStr">
        <is>
          <t>RAHAYU JAYA CONSTRUCTION</t>
        </is>
      </c>
      <c r="B87" t="inlineStr">
        <is>
          <t>Kota Surabaya</t>
        </is>
      </c>
      <c r="C87" t="inlineStr">
        <is>
          <t>08113190218</t>
        </is>
      </c>
      <c r="D87" t="inlineStr">
        <is>
          <t>rahayujayaconstruction@gmail.com</t>
        </is>
      </c>
      <c r="E87" t="inlineStr">
        <is>
          <t>https://lpjk.pu.go.id/search-badan-usaha-detail/NGhWc3NWY2FMN0toNzhmWVNSS3c3UT09</t>
        </is>
      </c>
      <c r="F87" t="n">
        <v>5</v>
      </c>
      <c r="G87" t="inlineStr">
        <is>
          <t>BG001, BG006, BG009, BS001, BS004</t>
        </is>
      </c>
      <c r="H87" t="inlineStr">
        <is>
          <t>5 Oktober 2023</t>
        </is>
      </c>
      <c r="I87" s="2" t="n">
        <v>46333</v>
      </c>
      <c r="J87" t="inlineStr">
        <is>
          <t>Disetujui</t>
        </is>
      </c>
      <c r="K87" t="n">
        <v>60</v>
      </c>
      <c r="L87" t="inlineStr">
        <is>
          <t>7 November 2026</t>
        </is>
      </c>
      <c r="M87" t="inlineStr">
        <is>
          <t>Konstruksi Bangunan Sipil Jalan, Konstruksi Gedung Hunian, Konstruksi Gedung Lainnya, Konstruksi Gedung Pendidikan, Konstruksi Jaringan Irigasi dan Drainase</t>
        </is>
      </c>
      <c r="N87" t="inlineStr">
        <is>
          <t>K</t>
        </is>
      </c>
      <c r="O87" t="inlineStr">
        <is>
          <t>20231106, 20231107, 20231108</t>
        </is>
      </c>
      <c r="P87" t="inlineStr">
        <is>
          <t>Jawa Timur</t>
        </is>
      </c>
      <c r="Q87" t="inlineStr"/>
    </row>
    <row r="88">
      <c r="A88" t="inlineStr">
        <is>
          <t>RAIH PUTRA PERDANA</t>
        </is>
      </c>
      <c r="B88" t="inlineStr">
        <is>
          <t>Kab. Tangerang</t>
        </is>
      </c>
      <c r="C88" t="inlineStr">
        <is>
          <t>085691398310</t>
        </is>
      </c>
      <c r="D88" t="inlineStr">
        <is>
          <t>cv_rpp1321@yahoo.com</t>
        </is>
      </c>
      <c r="E88" t="inlineStr">
        <is>
          <t>https://lpjk.pu.go.id/search-badan-usaha-detail/blZpM0FobEdZVmlpNk1rRVpudStTZz09</t>
        </is>
      </c>
      <c r="F88" t="n">
        <v>1</v>
      </c>
      <c r="G88" t="inlineStr">
        <is>
          <t>BG009</t>
        </is>
      </c>
      <c r="H88" t="inlineStr">
        <is>
          <t>25 Oktober 2023</t>
        </is>
      </c>
      <c r="I88" s="2" t="n">
        <v>46333</v>
      </c>
      <c r="J88" t="inlineStr">
        <is>
          <t>Disetujui</t>
        </is>
      </c>
      <c r="K88" t="n">
        <v>60</v>
      </c>
      <c r="L88" t="inlineStr">
        <is>
          <t>7 November 2026</t>
        </is>
      </c>
      <c r="M88" t="inlineStr">
        <is>
          <t>Konstruksi Gedung Lainnya</t>
        </is>
      </c>
      <c r="N88" t="inlineStr">
        <is>
          <t>K</t>
        </is>
      </c>
      <c r="O88" t="inlineStr">
        <is>
          <t>20231102</t>
        </is>
      </c>
      <c r="P88" t="inlineStr">
        <is>
          <t>Banten</t>
        </is>
      </c>
      <c r="Q88" t="inlineStr"/>
    </row>
    <row r="89">
      <c r="A89" t="inlineStr">
        <is>
          <t>RAKA BALI</t>
        </is>
      </c>
      <c r="B89" t="inlineStr">
        <is>
          <t>Kab. Badung</t>
        </is>
      </c>
      <c r="C89" t="inlineStr">
        <is>
          <t>087863427579</t>
        </is>
      </c>
      <c r="D89" t="inlineStr">
        <is>
          <t>cvrakabali@gmail.com</t>
        </is>
      </c>
      <c r="E89" t="inlineStr">
        <is>
          <t>https://lpjk.pu.go.id/search-badan-usaha-detail/OTJQSWlOQnRQNjFRWERIWjZxME44QT09</t>
        </is>
      </c>
      <c r="F89" t="n">
        <v>2</v>
      </c>
      <c r="G89" t="inlineStr">
        <is>
          <t>BG002, BG009</t>
        </is>
      </c>
      <c r="H89" t="inlineStr">
        <is>
          <t>6 Oktober 2023</t>
        </is>
      </c>
      <c r="I89" s="2" t="n">
        <v>46333</v>
      </c>
      <c r="J89" t="inlineStr">
        <is>
          <t>Disetujui</t>
        </is>
      </c>
      <c r="K89" t="n">
        <v>60</v>
      </c>
      <c r="L89" t="inlineStr">
        <is>
          <t>7 November 2026</t>
        </is>
      </c>
      <c r="M89" t="inlineStr">
        <is>
          <t>Konstruksi Gedung Lainnya, Konstruksi Gedung Perkantoran</t>
        </is>
      </c>
      <c r="N89" t="inlineStr">
        <is>
          <t>K</t>
        </is>
      </c>
      <c r="O89" t="inlineStr">
        <is>
          <t>20231102</t>
        </is>
      </c>
      <c r="P89" t="inlineStr">
        <is>
          <t>Bali</t>
        </is>
      </c>
      <c r="Q89" t="inlineStr"/>
    </row>
    <row r="90">
      <c r="A90" t="inlineStr">
        <is>
          <t>RAKA RAPE</t>
        </is>
      </c>
      <c r="B90" t="inlineStr">
        <is>
          <t>Kab. Langkat</t>
        </is>
      </c>
      <c r="C90" t="inlineStr">
        <is>
          <t>081264212548</t>
        </is>
      </c>
      <c r="D90" t="inlineStr">
        <is>
          <t>cvrkrp@yahoo.com</t>
        </is>
      </c>
      <c r="E90" t="inlineStr">
        <is>
          <t>https://lpjk.pu.go.id/search-badan-usaha-detail/Z0NwTTdheC9CeHF1di9QSzdTak83Zz09</t>
        </is>
      </c>
      <c r="F90" t="n">
        <v>2</v>
      </c>
      <c r="G90" t="inlineStr">
        <is>
          <t>BG005, BG006</t>
        </is>
      </c>
      <c r="H90" t="inlineStr">
        <is>
          <t>19 Juli 1999</t>
        </is>
      </c>
      <c r="I90" s="2" t="n">
        <v>46333</v>
      </c>
      <c r="J90" t="inlineStr">
        <is>
          <t>Disetujui</t>
        </is>
      </c>
      <c r="K90" t="n">
        <v>60</v>
      </c>
      <c r="L90" t="inlineStr">
        <is>
          <t>7 November 2026</t>
        </is>
      </c>
      <c r="M90" t="inlineStr">
        <is>
          <t>Konstruksi Gedung Kesehatan, Konstruksi Gedung Pendidikan</t>
        </is>
      </c>
      <c r="N90" t="inlineStr">
        <is>
          <t>K</t>
        </is>
      </c>
      <c r="O90" t="inlineStr">
        <is>
          <t>20231106</t>
        </is>
      </c>
      <c r="P90" t="inlineStr">
        <is>
          <t>Sumatera Utara</t>
        </is>
      </c>
      <c r="Q90" t="inlineStr"/>
    </row>
    <row r="91">
      <c r="A91" t="inlineStr">
        <is>
          <t>RANUM DESYA PERKASA</t>
        </is>
      </c>
      <c r="B91" t="inlineStr">
        <is>
          <t>Kab. Kayong Utara</t>
        </is>
      </c>
      <c r="C91" t="inlineStr">
        <is>
          <t>089612562728</t>
        </is>
      </c>
      <c r="D91" t="inlineStr">
        <is>
          <t>cv.ranumdesyaperkasa@gmail.com</t>
        </is>
      </c>
      <c r="E91" t="inlineStr">
        <is>
          <t>https://lpjk.pu.go.id/search-badan-usaha-detail/YnVVMms0OWo2QUk2TTd5V0psREJlUT09</t>
        </is>
      </c>
      <c r="F91" t="n">
        <v>2</v>
      </c>
      <c r="G91" t="inlineStr">
        <is>
          <t>BS001, BS005</t>
        </is>
      </c>
      <c r="H91" t="inlineStr">
        <is>
          <t>4 Januari 2012</t>
        </is>
      </c>
      <c r="I91" s="2" t="n">
        <v>46333</v>
      </c>
      <c r="J91" t="inlineStr">
        <is>
          <t>Disetujui</t>
        </is>
      </c>
      <c r="K91" t="n">
        <v>60</v>
      </c>
      <c r="L91" t="inlineStr">
        <is>
          <t>7 November 2026</t>
        </is>
      </c>
      <c r="M91" t="inlineStr">
        <is>
          <t>Konstruksi Bangunan Sipil Jalan, Konstruksi Bangunan Sipil Pengolahan Air Bersih</t>
        </is>
      </c>
      <c r="N91" t="inlineStr">
        <is>
          <t>K</t>
        </is>
      </c>
      <c r="O91" t="inlineStr">
        <is>
          <t>20230921</t>
        </is>
      </c>
      <c r="P91" t="inlineStr">
        <is>
          <t>Kalimantan Barat</t>
        </is>
      </c>
      <c r="Q91" t="inlineStr"/>
    </row>
    <row r="92">
      <c r="A92" t="inlineStr">
        <is>
          <t>REKA CIPTA INOVASI</t>
        </is>
      </c>
      <c r="B92" t="inlineStr">
        <is>
          <t>Kota Medan</t>
        </is>
      </c>
      <c r="C92" t="inlineStr">
        <is>
          <t>0618086220</t>
        </is>
      </c>
      <c r="D92" t="inlineStr">
        <is>
          <t>arridhan.pranoto1@gmail.com</t>
        </is>
      </c>
      <c r="E92" t="inlineStr">
        <is>
          <t>https://lpjk.pu.go.id/search-badan-usaha-detail/RkRmeHc0b3Y0eGx3S2xWNHBranBXdz09</t>
        </is>
      </c>
      <c r="F92" t="n">
        <v>1</v>
      </c>
      <c r="G92" t="inlineStr">
        <is>
          <t>BS001</t>
        </is>
      </c>
      <c r="H92" t="inlineStr">
        <is>
          <t>30 November 2018</t>
        </is>
      </c>
      <c r="I92" s="2" t="n">
        <v>46333</v>
      </c>
      <c r="J92" t="inlineStr">
        <is>
          <t>Pencabutan</t>
        </is>
      </c>
      <c r="K92" t="n">
        <v>60</v>
      </c>
      <c r="L92" t="inlineStr">
        <is>
          <t>7 November 2026</t>
        </is>
      </c>
      <c r="M92" t="inlineStr">
        <is>
          <t>Konstruksi Bangunan Sipil Jalan</t>
        </is>
      </c>
      <c r="N92" t="inlineStr">
        <is>
          <t>K</t>
        </is>
      </c>
      <c r="O92" t="inlineStr">
        <is>
          <t>20231030</t>
        </is>
      </c>
      <c r="P92" t="inlineStr">
        <is>
          <t>Sumatera Utara</t>
        </is>
      </c>
      <c r="Q92" t="inlineStr"/>
    </row>
    <row r="93">
      <c r="A93" t="inlineStr">
        <is>
          <t>REKA GRIYASARANA CONSULTING ENGINEERS</t>
        </is>
      </c>
      <c r="B93" t="inlineStr">
        <is>
          <t>Kota Bandung</t>
        </is>
      </c>
      <c r="C93" t="inlineStr">
        <is>
          <t>0222533230</t>
        </is>
      </c>
      <c r="D93" t="inlineStr">
        <is>
          <t>rgs_bandung@yahoo.com</t>
        </is>
      </c>
      <c r="E93" t="inlineStr">
        <is>
          <t>https://lpjk.pu.go.id/search-badan-usaha-detail/MktCaWdwcldWVkRtWEFPc3ZuTEladz09</t>
        </is>
      </c>
      <c r="F93" t="n">
        <v>2</v>
      </c>
      <c r="G93" t="inlineStr">
        <is>
          <t>RK002, RK003</t>
        </is>
      </c>
      <c r="H93" t="inlineStr">
        <is>
          <t>7 Agustus 1989</t>
        </is>
      </c>
      <c r="I93" s="2" t="n">
        <v>46333</v>
      </c>
      <c r="J93" t="inlineStr">
        <is>
          <t>Disetujui</t>
        </is>
      </c>
      <c r="K93" t="n">
        <v>60</v>
      </c>
      <c r="L93" t="inlineStr">
        <is>
          <t>7 November 2026</t>
        </is>
      </c>
      <c r="M93" t="inlineStr">
        <is>
          <t>Jasa Rekayasa Pekerjaan Teknik Sipil Sumber Daya Air, Jasa Rekayasa Pekerjaan Teknik Sipil Transportasi</t>
        </is>
      </c>
      <c r="N93" t="inlineStr">
        <is>
          <t>K, M</t>
        </is>
      </c>
      <c r="O93" t="inlineStr">
        <is>
          <t>20231006</t>
        </is>
      </c>
      <c r="P93" t="inlineStr">
        <is>
          <t>Jawa Barat</t>
        </is>
      </c>
      <c r="Q93" t="inlineStr"/>
    </row>
    <row r="94">
      <c r="A94" t="inlineStr">
        <is>
          <t>REZKANA CIPTA KONSTRUKSI</t>
        </is>
      </c>
      <c r="B94" t="inlineStr">
        <is>
          <t>Kab. Sumbawa Barat</t>
        </is>
      </c>
      <c r="C94" t="inlineStr">
        <is>
          <t>082339383964</t>
        </is>
      </c>
      <c r="D94" t="inlineStr">
        <is>
          <t>rezkanaciptakontruksi@gmail.com</t>
        </is>
      </c>
      <c r="E94" t="inlineStr">
        <is>
          <t>https://lpjk.pu.go.id/search-badan-usaha-detail/a1BHdVg2cnpxVnpUTHJZOFlqRldqTkxLaFh3aldkR2RpRnVTTXFMYlBoRT0</t>
        </is>
      </c>
      <c r="F94" t="n">
        <v>1</v>
      </c>
      <c r="G94" t="inlineStr">
        <is>
          <t>PL005</t>
        </is>
      </c>
      <c r="H94" t="inlineStr">
        <is>
          <t>16 Juli 2025</t>
        </is>
      </c>
      <c r="I94" s="2" t="n">
        <v>46333</v>
      </c>
      <c r="J94" t="inlineStr">
        <is>
          <t>Pencabutan</t>
        </is>
      </c>
      <c r="K94" t="n">
        <v>60</v>
      </c>
      <c r="L94" t="inlineStr">
        <is>
          <t>7 November 2026</t>
        </is>
      </c>
      <c r="M94" t="inlineStr">
        <is>
          <t>Pembuatan/Pengeboran Sumur Air Tanah</t>
        </is>
      </c>
      <c r="N94" t="inlineStr">
        <is>
          <t>Spesialis</t>
        </is>
      </c>
      <c r="O94" t="inlineStr">
        <is>
          <t>20231107</t>
        </is>
      </c>
      <c r="P94" t="inlineStr">
        <is>
          <t>Nusa Tenggara Barat</t>
        </is>
      </c>
      <c r="Q94" t="inlineStr"/>
    </row>
    <row r="95">
      <c r="A95" t="inlineStr">
        <is>
          <t>ROMA</t>
        </is>
      </c>
      <c r="B95" t="inlineStr">
        <is>
          <t>Kab. Kutai Kartanegara</t>
        </is>
      </c>
      <c r="C95" t="inlineStr">
        <is>
          <t>081255501502</t>
        </is>
      </c>
      <c r="D95" t="inlineStr">
        <is>
          <t>cvroma1980@gmail.com</t>
        </is>
      </c>
      <c r="E95" t="inlineStr">
        <is>
          <t>https://lpjk.pu.go.id/search-badan-usaha-detail/OW04cjIvZlhkOCtJaW5rMVNqNEk4UT09</t>
        </is>
      </c>
      <c r="F95" t="n">
        <v>6</v>
      </c>
      <c r="G95" t="inlineStr">
        <is>
          <t>BG005, BG006, BG009, BS001, BS004, BS006</t>
        </is>
      </c>
      <c r="H95" t="inlineStr">
        <is>
          <t>25 Januari 2006</t>
        </is>
      </c>
      <c r="I95" s="2" t="n">
        <v>46333</v>
      </c>
      <c r="J95" t="inlineStr">
        <is>
          <t>Pencabutan</t>
        </is>
      </c>
      <c r="K95" t="n">
        <v>60</v>
      </c>
      <c r="L95" t="inlineStr">
        <is>
          <t>7 November 2026</t>
        </is>
      </c>
      <c r="M95" t="inlineStr">
        <is>
          <t>Konstruksi Bangunan Sipil Jalan, Konstruksi Bangunan Sipil Prasarana dan Sarana Sistem Pengolahan Limbah Padat, Cair, dan Gas, Konstruksi Gedung Kesehatan, Konstruksi Gedung Lainnya, Konstruksi Gedung Pendidikan, Konstruksi Jaringan Irigasi dan Drainase</t>
        </is>
      </c>
      <c r="N95" t="inlineStr">
        <is>
          <t>K</t>
        </is>
      </c>
      <c r="O95" t="inlineStr">
        <is>
          <t>20231106</t>
        </is>
      </c>
      <c r="P95" t="inlineStr">
        <is>
          <t>Kalimantan Timur</t>
        </is>
      </c>
      <c r="Q95" t="inlineStr"/>
    </row>
    <row r="96">
      <c r="A96" t="inlineStr">
        <is>
          <t>SAMAGATA CASANOVA ARSITEK</t>
        </is>
      </c>
      <c r="B96" t="inlineStr">
        <is>
          <t>Kota Adm. Jakarta Selatan</t>
        </is>
      </c>
      <c r="C96" t="inlineStr">
        <is>
          <t>081806560172</t>
        </is>
      </c>
      <c r="D96" t="inlineStr">
        <is>
          <t>pt.samagatacasanovaarsitek@gmail.com</t>
        </is>
      </c>
      <c r="E96" t="inlineStr">
        <is>
          <t>https://lpjk.pu.go.id/search-badan-usaha-detail/QzFWNlhxMSswQ1pxcTNUNFljTFpSU2dkV2JSSHVJZGRrTVRkZUFhK1I2bz0</t>
        </is>
      </c>
      <c r="F96" t="n">
        <v>4</v>
      </c>
      <c r="G96" t="inlineStr">
        <is>
          <t>AR001, AR003</t>
        </is>
      </c>
      <c r="H96" t="inlineStr">
        <is>
          <t>19 Mei 2023</t>
        </is>
      </c>
      <c r="I96" s="2" t="n">
        <v>46333</v>
      </c>
      <c r="J96" t="inlineStr">
        <is>
          <t>Disetujui</t>
        </is>
      </c>
      <c r="K96" t="n">
        <v>60</v>
      </c>
      <c r="L96" t="inlineStr">
        <is>
          <t>7 November 2026</t>
        </is>
      </c>
      <c r="M96" t="inlineStr">
        <is>
          <t>Jasa Arsitektural Bangunan Gedung Hunian dan Non Hunian, Jasa Desain Interior pada Bangunan Gedung dan Bangunan Sipil</t>
        </is>
      </c>
      <c r="N96" t="inlineStr">
        <is>
          <t>K</t>
        </is>
      </c>
      <c r="O96" t="inlineStr">
        <is>
          <t>20231106</t>
        </is>
      </c>
      <c r="P96" t="inlineStr">
        <is>
          <t>DKI Jakarta</t>
        </is>
      </c>
      <c r="Q96" t="inlineStr"/>
    </row>
    <row r="97">
      <c r="A97" t="inlineStr">
        <is>
          <t>SAMUDERA ASA PRATAMA</t>
        </is>
      </c>
      <c r="B97" t="inlineStr">
        <is>
          <t>Kota Tangerang</t>
        </is>
      </c>
      <c r="C97" t="inlineStr">
        <is>
          <t>081283201397</t>
        </is>
      </c>
      <c r="D97" t="inlineStr">
        <is>
          <t>samudera929394@gmail.com</t>
        </is>
      </c>
      <c r="E97" t="inlineStr">
        <is>
          <t>https://lpjk.pu.go.id/search-badan-usaha-detail/SXJOSVVIVnBqbFY3RXRUQ3NJZkhIUT09</t>
        </is>
      </c>
      <c r="F97" t="n">
        <v>1</v>
      </c>
      <c r="G97" t="inlineStr">
        <is>
          <t>BG009</t>
        </is>
      </c>
      <c r="H97" t="inlineStr">
        <is>
          <t>9 November 2023</t>
        </is>
      </c>
      <c r="I97" s="2" t="n">
        <v>46333</v>
      </c>
      <c r="J97" t="inlineStr">
        <is>
          <t>Disetujui</t>
        </is>
      </c>
      <c r="K97" t="n">
        <v>60</v>
      </c>
      <c r="L97" t="inlineStr">
        <is>
          <t>7 November 2026</t>
        </is>
      </c>
      <c r="M97" t="inlineStr">
        <is>
          <t>Konstruksi Gedung Lainnya</t>
        </is>
      </c>
      <c r="N97" t="inlineStr">
        <is>
          <t>K</t>
        </is>
      </c>
      <c r="O97" t="inlineStr">
        <is>
          <t>20231106</t>
        </is>
      </c>
      <c r="P97" t="inlineStr">
        <is>
          <t>Banten</t>
        </is>
      </c>
      <c r="Q97" t="inlineStr"/>
    </row>
    <row r="98">
      <c r="A98" t="inlineStr">
        <is>
          <t>SATU TUJUH KONSTRUKSI</t>
        </is>
      </c>
      <c r="B98" t="inlineStr">
        <is>
          <t>Kota Palu</t>
        </is>
      </c>
      <c r="C98" t="inlineStr">
        <is>
          <t>082293751310</t>
        </is>
      </c>
      <c r="D98" t="inlineStr">
        <is>
          <t>satutujuhkonstruksi@gmail.com</t>
        </is>
      </c>
      <c r="E98" t="inlineStr">
        <is>
          <t>https://lpjk.pu.go.id/search-badan-usaha-detail/Y2FEcHcrcVBDTkFLd3hwT0cxdnZlZz09</t>
        </is>
      </c>
      <c r="F98" t="n">
        <v>1</v>
      </c>
      <c r="G98" t="inlineStr">
        <is>
          <t>BG009</t>
        </is>
      </c>
      <c r="H98" t="inlineStr">
        <is>
          <t>5 Juli 2023</t>
        </is>
      </c>
      <c r="I98" s="2" t="n">
        <v>46333</v>
      </c>
      <c r="J98" t="inlineStr">
        <is>
          <t>Disetujui</t>
        </is>
      </c>
      <c r="K98" t="n">
        <v>60</v>
      </c>
      <c r="L98" t="inlineStr">
        <is>
          <t>7 November 2026</t>
        </is>
      </c>
      <c r="M98" t="inlineStr">
        <is>
          <t>Konstruksi Gedung Lainnya</t>
        </is>
      </c>
      <c r="N98" t="inlineStr">
        <is>
          <t>K</t>
        </is>
      </c>
      <c r="O98" t="inlineStr">
        <is>
          <t>20231107</t>
        </is>
      </c>
      <c r="P98" t="inlineStr">
        <is>
          <t>Sulawesi Tengah</t>
        </is>
      </c>
      <c r="Q98" t="inlineStr"/>
    </row>
    <row r="99">
      <c r="A99" t="inlineStr">
        <is>
          <t>SENDANG JAYA MAKMUR</t>
        </is>
      </c>
      <c r="B99" t="inlineStr">
        <is>
          <t>Kota Semarang</t>
        </is>
      </c>
      <c r="C99" t="inlineStr">
        <is>
          <t>081227378845</t>
        </is>
      </c>
      <c r="D99" t="inlineStr">
        <is>
          <t>munjamilsjm@gmail.com</t>
        </is>
      </c>
      <c r="E99" t="inlineStr">
        <is>
          <t>https://lpjk.pu.go.id/search-badan-usaha-detail/QVh3ZGVNNGt4ZCtXWnpFTGVZZDlNUT09</t>
        </is>
      </c>
      <c r="F99" t="n">
        <v>4</v>
      </c>
      <c r="G99" t="inlineStr">
        <is>
          <t>BG002, BG003, BG004, BG007</t>
        </is>
      </c>
      <c r="H99" t="inlineStr">
        <is>
          <t>23 November 2016</t>
        </is>
      </c>
      <c r="I99" s="2" t="n">
        <v>46333</v>
      </c>
      <c r="J99" t="inlineStr">
        <is>
          <t>Disetujui</t>
        </is>
      </c>
      <c r="K99" t="n">
        <v>60</v>
      </c>
      <c r="L99" t="inlineStr">
        <is>
          <t>7 November 2026</t>
        </is>
      </c>
      <c r="M99" t="inlineStr">
        <is>
          <t>Konstruksi Gedung Industri, Konstruksi Gedung Penginapan, Konstruksi Gedung Perbelanjaan, Konstruksi Gedung Perkantoran</t>
        </is>
      </c>
      <c r="N99" t="inlineStr">
        <is>
          <t>K</t>
        </is>
      </c>
      <c r="O99" t="inlineStr">
        <is>
          <t>20231101</t>
        </is>
      </c>
      <c r="P99" t="inlineStr">
        <is>
          <t>Jawa Tengah</t>
        </is>
      </c>
      <c r="Q99" t="inlineStr"/>
    </row>
    <row r="100">
      <c r="A100" t="inlineStr">
        <is>
          <t>SINAR PUTRI UTAMA</t>
        </is>
      </c>
      <c r="B100" t="inlineStr">
        <is>
          <t>Kab. Cirebon</t>
        </is>
      </c>
      <c r="C100" t="inlineStr">
        <is>
          <t>08122342724</t>
        </is>
      </c>
      <c r="D100" t="inlineStr">
        <is>
          <t>pt.sinarputriutama@gmail.com</t>
        </is>
      </c>
      <c r="E100" t="inlineStr">
        <is>
          <t>https://lpjk.pu.go.id/search-badan-usaha-detail/WXRqcjNEQ3J4c0tSVFA1S3ViWGZjZz09</t>
        </is>
      </c>
      <c r="F100" t="n">
        <v>2</v>
      </c>
      <c r="G100" t="inlineStr">
        <is>
          <t>BS002, BS003</t>
        </is>
      </c>
      <c r="H100" t="inlineStr">
        <is>
          <t>11 November 2020</t>
        </is>
      </c>
      <c r="I100" s="2" t="n">
        <v>46333</v>
      </c>
      <c r="J100" t="inlineStr">
        <is>
          <t>Disetujui</t>
        </is>
      </c>
      <c r="K100" t="n">
        <v>60</v>
      </c>
      <c r="L100" t="inlineStr">
        <is>
          <t>7 November 2026</t>
        </is>
      </c>
      <c r="M100" t="inlineStr">
        <is>
          <t>Bangunan Sipil Jembatan, Jalan Layang, Fly Over, dan Underpass, Konstruksi Jalan Rel</t>
        </is>
      </c>
      <c r="N100" t="inlineStr">
        <is>
          <t>K</t>
        </is>
      </c>
      <c r="O100" t="inlineStr">
        <is>
          <t>20231107</t>
        </is>
      </c>
      <c r="P100" t="inlineStr">
        <is>
          <t>Jawa Barat</t>
        </is>
      </c>
      <c r="Q100" t="inlineStr"/>
    </row>
    <row r="101">
      <c r="A101" t="inlineStr">
        <is>
          <t>SINAR TANTINA</t>
        </is>
      </c>
      <c r="B101" t="inlineStr">
        <is>
          <t>Kab. Kutai Timur</t>
        </is>
      </c>
      <c r="C101" t="inlineStr">
        <is>
          <t>085250853833</t>
        </is>
      </c>
      <c r="D101" t="inlineStr">
        <is>
          <t>cvsinartantina@yahoo.com</t>
        </is>
      </c>
      <c r="E101" t="inlineStr">
        <is>
          <t>https://lpjk.pu.go.id/search-badan-usaha-detail/anN4cG9xMFVoQWhwNDB3RG5LdjdNdz09</t>
        </is>
      </c>
      <c r="F101" t="n">
        <v>1</v>
      </c>
      <c r="G101" t="inlineStr">
        <is>
          <t>BS004</t>
        </is>
      </c>
      <c r="H101" t="inlineStr">
        <is>
          <t>1 November 2022</t>
        </is>
      </c>
      <c r="I101" s="2" t="n">
        <v>46333</v>
      </c>
      <c r="J101" t="inlineStr">
        <is>
          <t>Disetujui</t>
        </is>
      </c>
      <c r="K101" t="n">
        <v>60</v>
      </c>
      <c r="L101" t="inlineStr">
        <is>
          <t>7 November 2026</t>
        </is>
      </c>
      <c r="M101" t="inlineStr">
        <is>
          <t>Konstruksi Jaringan Irigasi dan Drainase</t>
        </is>
      </c>
      <c r="N101" t="inlineStr">
        <is>
          <t>K</t>
        </is>
      </c>
      <c r="O101" t="inlineStr">
        <is>
          <t>20231106</t>
        </is>
      </c>
      <c r="P101" t="inlineStr">
        <is>
          <t>Kalimantan Timur</t>
        </is>
      </c>
      <c r="Q101" t="inlineStr"/>
    </row>
    <row r="102">
      <c r="A102" t="inlineStr">
        <is>
          <t>SPARTAN</t>
        </is>
      </c>
      <c r="B102" t="inlineStr">
        <is>
          <t>Kab. Sanggau</t>
        </is>
      </c>
      <c r="C102" t="inlineStr">
        <is>
          <t>085353351992</t>
        </is>
      </c>
      <c r="D102" t="inlineStr">
        <is>
          <t>spartansanggaucv11@gmail.com</t>
        </is>
      </c>
      <c r="E102" t="inlineStr">
        <is>
          <t>https://lpjk.pu.go.id/search-badan-usaha-detail/SGR1ZFlGT0NiVTI4NXNsNTQ3TkxBUT09</t>
        </is>
      </c>
      <c r="F102" t="n">
        <v>1</v>
      </c>
      <c r="G102" t="inlineStr">
        <is>
          <t>BG009</t>
        </is>
      </c>
      <c r="H102" t="inlineStr">
        <is>
          <t>11 Desember 2017</t>
        </is>
      </c>
      <c r="I102" s="2" t="n">
        <v>46333</v>
      </c>
      <c r="J102" t="inlineStr">
        <is>
          <t>Disetujui</t>
        </is>
      </c>
      <c r="K102" t="n">
        <v>60</v>
      </c>
      <c r="L102" t="inlineStr">
        <is>
          <t>7 November 2026</t>
        </is>
      </c>
      <c r="M102" t="inlineStr">
        <is>
          <t>Konstruksi Gedung Lainnya</t>
        </is>
      </c>
      <c r="N102" t="inlineStr">
        <is>
          <t>K</t>
        </is>
      </c>
      <c r="O102" t="inlineStr">
        <is>
          <t>20231103</t>
        </is>
      </c>
      <c r="P102" t="inlineStr">
        <is>
          <t>Kalimantan Barat</t>
        </is>
      </c>
      <c r="Q102" t="inlineStr"/>
    </row>
    <row r="103">
      <c r="A103" t="inlineStr">
        <is>
          <t>SRIWIJAYA MAKMUR</t>
        </is>
      </c>
      <c r="B103" t="inlineStr">
        <is>
          <t>Kab. Banyuwangi</t>
        </is>
      </c>
      <c r="C103" t="inlineStr">
        <is>
          <t>08525816570</t>
        </is>
      </c>
      <c r="D103" t="inlineStr">
        <is>
          <t>cvsriwijayamakmur1@gmail.com</t>
        </is>
      </c>
      <c r="E103" t="inlineStr">
        <is>
          <t>https://lpjk.pu.go.id/search-badan-usaha-detail/WS9PeXFLQkFOaEdWMlMxMkxEYkUvZz09</t>
        </is>
      </c>
      <c r="F103" t="n">
        <v>1</v>
      </c>
      <c r="G103" t="inlineStr">
        <is>
          <t>BS004</t>
        </is>
      </c>
      <c r="H103" t="inlineStr">
        <is>
          <t>28 Oktober 2010</t>
        </is>
      </c>
      <c r="I103" s="2" t="n">
        <v>46333</v>
      </c>
      <c r="J103" t="inlineStr">
        <is>
          <t>Disetujui</t>
        </is>
      </c>
      <c r="K103" t="n">
        <v>60</v>
      </c>
      <c r="L103" t="inlineStr">
        <is>
          <t>7 November 2026</t>
        </is>
      </c>
      <c r="M103" t="inlineStr">
        <is>
          <t>Konstruksi Jaringan Irigasi dan Drainase</t>
        </is>
      </c>
      <c r="N103" t="inlineStr">
        <is>
          <t>K</t>
        </is>
      </c>
      <c r="O103" t="inlineStr">
        <is>
          <t>20231027</t>
        </is>
      </c>
      <c r="P103" t="inlineStr">
        <is>
          <t>Jawa Timur</t>
        </is>
      </c>
      <c r="Q103" t="inlineStr"/>
    </row>
    <row r="104">
      <c r="A104" t="inlineStr">
        <is>
          <t>SWARNA DWIPA</t>
        </is>
      </c>
      <c r="B104" t="inlineStr">
        <is>
          <t>Kab. Deli Serdang</t>
        </is>
      </c>
      <c r="C104" t="inlineStr">
        <is>
          <t>085362169112</t>
        </is>
      </c>
      <c r="D104" t="inlineStr">
        <is>
          <t>cv.swarna.dwipa96@gmail.com</t>
        </is>
      </c>
      <c r="E104" t="inlineStr">
        <is>
          <t>https://lpjk.pu.go.id/search-badan-usaha-detail/b24yZUJibm9mUThZQ0xsSmxGS2tiZz09</t>
        </is>
      </c>
      <c r="F104" t="n">
        <v>2</v>
      </c>
      <c r="G104" t="inlineStr">
        <is>
          <t>BG009, BS001</t>
        </is>
      </c>
      <c r="H104" t="inlineStr">
        <is>
          <t>14 Maret 2012</t>
        </is>
      </c>
      <c r="I104" s="2" t="n">
        <v>46333</v>
      </c>
      <c r="J104" t="inlineStr">
        <is>
          <t>Disetujui</t>
        </is>
      </c>
      <c r="K104" t="n">
        <v>60</v>
      </c>
      <c r="L104" t="inlineStr">
        <is>
          <t>7 November 2026</t>
        </is>
      </c>
      <c r="M104" t="inlineStr">
        <is>
          <t>Konstruksi Bangunan Sipil Jalan, Konstruksi Gedung Lainnya</t>
        </is>
      </c>
      <c r="N104" t="inlineStr">
        <is>
          <t>K</t>
        </is>
      </c>
      <c r="O104" t="inlineStr">
        <is>
          <t>20231106</t>
        </is>
      </c>
      <c r="P104" t="inlineStr">
        <is>
          <t>Sumatera Utara</t>
        </is>
      </c>
      <c r="Q104" t="inlineStr"/>
    </row>
    <row r="105">
      <c r="A105" t="inlineStr">
        <is>
          <t>TRIKARYA VISI BERSAMA</t>
        </is>
      </c>
      <c r="B105" t="inlineStr">
        <is>
          <t>Kota Semarang</t>
        </is>
      </c>
      <c r="C105" t="inlineStr">
        <is>
          <t>081390039785</t>
        </is>
      </c>
      <c r="D105" t="inlineStr">
        <is>
          <t>cvtrikaryavisibersama@gmail.com</t>
        </is>
      </c>
      <c r="E105" t="inlineStr">
        <is>
          <t>https://lpjk.pu.go.id/search-badan-usaha-detail/WlJsdW81YUN2VlE4cjZVaSszNi92dz09</t>
        </is>
      </c>
      <c r="F105" t="n">
        <v>1</v>
      </c>
      <c r="G105" t="inlineStr">
        <is>
          <t>BG002</t>
        </is>
      </c>
      <c r="H105" t="inlineStr">
        <is>
          <t>21 Desember 2022</t>
        </is>
      </c>
      <c r="I105" s="2" t="n">
        <v>46333</v>
      </c>
      <c r="J105" t="inlineStr">
        <is>
          <t>Disetujui</t>
        </is>
      </c>
      <c r="K105" t="n">
        <v>60</v>
      </c>
      <c r="L105" t="inlineStr">
        <is>
          <t>7 November 2026</t>
        </is>
      </c>
      <c r="M105" t="inlineStr">
        <is>
          <t>Konstruksi Gedung Perkantoran</t>
        </is>
      </c>
      <c r="N105" t="inlineStr">
        <is>
          <t>K</t>
        </is>
      </c>
      <c r="O105" t="inlineStr">
        <is>
          <t>20231008</t>
        </is>
      </c>
      <c r="P105" t="inlineStr">
        <is>
          <t>Jawa Tengah</t>
        </is>
      </c>
      <c r="Q10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8"/>
  <sheetViews>
    <sheetView workbookViewId="0">
      <selection activeCell="A1" sqref="A1"/>
    </sheetView>
  </sheetViews>
  <sheetFormatPr baseColWidth="8" defaultRowHeight="15"/>
  <cols>
    <col width="44" customWidth="1" min="1" max="1"/>
    <col width="27" customWidth="1" min="2" max="2"/>
    <col width="15" customWidth="1" min="3" max="3"/>
    <col width="42" customWidth="1" min="4" max="4"/>
    <col width="50" customWidth="1" min="5" max="5"/>
    <col width="18" customWidth="1" min="6" max="6"/>
    <col width="49" customWidth="1" min="7" max="7"/>
    <col width="20" customWidth="1" min="8" max="8"/>
    <col width="28" customWidth="1" min="9" max="9"/>
    <col width="35" customWidth="1" min="10" max="10"/>
    <col width="11" customWidth="1" min="11" max="11"/>
    <col width="17"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BAYAU</t>
        </is>
      </c>
      <c r="B2" t="inlineStr">
        <is>
          <t>Kab. Bekasi</t>
        </is>
      </c>
      <c r="C2" t="inlineStr">
        <is>
          <t>08129937993</t>
        </is>
      </c>
      <c r="D2" t="inlineStr">
        <is>
          <t>cvbayau@gmail.com</t>
        </is>
      </c>
      <c r="E2" t="inlineStr">
        <is>
          <t>https://lpjk.pu.go.id/search-badan-usaha-detail/dENSNXI2dFdFQmx2OXdqUk5MRU9RQT09</t>
        </is>
      </c>
      <c r="F2" t="n">
        <v>1</v>
      </c>
      <c r="G2" t="inlineStr">
        <is>
          <t>BS001</t>
        </is>
      </c>
      <c r="H2" t="inlineStr">
        <is>
          <t>25 Juni 1999</t>
        </is>
      </c>
      <c r="I2" s="2" t="n">
        <v>46303</v>
      </c>
      <c r="J2" t="inlineStr">
        <is>
          <t>Disetujui</t>
        </is>
      </c>
      <c r="K2" t="n">
        <v>30</v>
      </c>
      <c r="L2" t="inlineStr">
        <is>
          <t>8 Oktober 2026</t>
        </is>
      </c>
      <c r="M2" t="inlineStr">
        <is>
          <t>Konstruksi Bangunan Sipil Jalan</t>
        </is>
      </c>
      <c r="N2" t="inlineStr">
        <is>
          <t>K</t>
        </is>
      </c>
      <c r="O2" t="inlineStr">
        <is>
          <t>20231006</t>
        </is>
      </c>
      <c r="P2" t="inlineStr">
        <is>
          <t>Jawa Barat</t>
        </is>
      </c>
      <c r="Q2" s="3">
        <f>HYPERLINK("https://wa.me/628129937993?text=*[Pengingat Masa Berlaku SBU BAYAU]*%0A%0AYth. Pimpinan BAYAU,%0AMohon izin menginformasikan status SBU Anda:%0A%0A📄 SBU: BS001%0A📅 Expired: 8 Oktober 2026 (30 Hari Lagi)%0A%0AKami tim PT. ESDEA Assistance Management siap men-support proses perpanjangan segera agar administrasi proyek tidak terhambat%0A%0AApakah boleh saya bantu siapkan estimasi biaya dan waktu pengerjaannya?.", "Hubungi")</f>
        <v/>
      </c>
    </row>
    <row r="3">
      <c r="A3" t="inlineStr">
        <is>
          <t>INDOKARYA DUTA PERKASA</t>
        </is>
      </c>
      <c r="B3" t="inlineStr">
        <is>
          <t>Kota Adm. Jakarta Timur</t>
        </is>
      </c>
      <c r="C3" t="inlineStr">
        <is>
          <t>0218606464</t>
        </is>
      </c>
      <c r="D3" t="inlineStr">
        <is>
          <t>idp@indokaryadp.co.id</t>
        </is>
      </c>
      <c r="E3" t="inlineStr">
        <is>
          <t>https://lpjk.pu.go.id/search-badan-usaha-detail/VnBzY1JxeGFJZGF6S0ZWbjJNcDJsQT09</t>
        </is>
      </c>
      <c r="F3" t="n">
        <v>2</v>
      </c>
      <c r="G3" t="inlineStr">
        <is>
          <t>IN002</t>
        </is>
      </c>
      <c r="H3" t="inlineStr">
        <is>
          <t>23 Maret 2004</t>
        </is>
      </c>
      <c r="I3" s="2" t="n">
        <v>46303</v>
      </c>
      <c r="J3" t="inlineStr">
        <is>
          <t>Disetujui</t>
        </is>
      </c>
      <c r="K3" t="n">
        <v>30</v>
      </c>
      <c r="L3" t="inlineStr">
        <is>
          <t>8 Oktober 2026</t>
        </is>
      </c>
      <c r="M3" t="inlineStr">
        <is>
          <t>Instalasi Telekomunikasi</t>
        </is>
      </c>
      <c r="N3" t="inlineStr">
        <is>
          <t>Spesialis</t>
        </is>
      </c>
      <c r="O3" t="inlineStr">
        <is>
          <t>20231004</t>
        </is>
      </c>
      <c r="P3" t="inlineStr">
        <is>
          <t>DKI Jakarta</t>
        </is>
      </c>
      <c r="Q3" t="inlineStr"/>
    </row>
    <row r="4">
      <c r="A4" t="inlineStr">
        <is>
          <t>KARYA PUTRA BAHAGIA</t>
        </is>
      </c>
      <c r="B4" t="inlineStr">
        <is>
          <t>Kota Bogor</t>
        </is>
      </c>
      <c r="C4" t="inlineStr">
        <is>
          <t>02517538323</t>
        </is>
      </c>
      <c r="D4" t="inlineStr">
        <is>
          <t>pt.karyaputrabahagia@yahoo.com</t>
        </is>
      </c>
      <c r="E4" t="inlineStr">
        <is>
          <t>https://lpjk.pu.go.id/search-badan-usaha-detail/b1prOExsL0dEZ295MXFNeG1NWjVKZz09</t>
        </is>
      </c>
      <c r="F4" t="n">
        <v>2</v>
      </c>
      <c r="G4" t="inlineStr">
        <is>
          <t>BG009, BS002</t>
        </is>
      </c>
      <c r="H4" t="inlineStr">
        <is>
          <t>30 Januari 2016</t>
        </is>
      </c>
      <c r="I4" s="2" t="n">
        <v>46303</v>
      </c>
      <c r="J4" t="inlineStr">
        <is>
          <t>Disetujui</t>
        </is>
      </c>
      <c r="K4" t="n">
        <v>30</v>
      </c>
      <c r="L4" t="inlineStr">
        <is>
          <t>8 Oktober 2026</t>
        </is>
      </c>
      <c r="M4" t="inlineStr">
        <is>
          <t>Bangunan Sipil Jembatan, Jalan Layang, Fly Over, dan Underpass, Konstruksi Gedung Lainnya</t>
        </is>
      </c>
      <c r="N4" t="inlineStr">
        <is>
          <t>K</t>
        </is>
      </c>
      <c r="O4" t="inlineStr">
        <is>
          <t>20231003, 20231005</t>
        </is>
      </c>
      <c r="P4" t="inlineStr">
        <is>
          <t>Jawa Barat</t>
        </is>
      </c>
      <c r="Q4" s="3">
        <f>HYPERLINK("https://wa.me/622517538323?text=*[Pengingat Masa Berlaku SBU KARYA PUTRA BAHAGIA]*%0A%0AYth. Pimpinan KARYA PUTRA BAHAGIA,%0AMohon izin menginformasikan status SBU Anda:%0A%0A📄 SBU: BG009, BS002%0A📅 Expired: 8 Oktober 2026 (30 Hari Lagi)%0A%0AKami tim PT. ESDEA Assistance Management siap men-support proses perpanjangan segera agar administrasi proyek tidak terhambat%0A%0AApakah boleh saya bantu siapkan estimasi biaya dan waktu pengerjaannya?.", "Hubungi")</f>
        <v/>
      </c>
    </row>
    <row r="5">
      <c r="A5" t="inlineStr">
        <is>
          <t>NUSANTARA DEPOK MULIA</t>
        </is>
      </c>
      <c r="B5" t="inlineStr">
        <is>
          <t>Kota Depok</t>
        </is>
      </c>
      <c r="C5" t="inlineStr">
        <is>
          <t>082190006485</t>
        </is>
      </c>
      <c r="D5" t="inlineStr">
        <is>
          <t>pt.nusantaradepokmulia@gmail.com</t>
        </is>
      </c>
      <c r="E5" t="inlineStr">
        <is>
          <t>https://lpjk.pu.go.id/search-badan-usaha-detail/WHhPUXRXRkg5KzJWSWJydmlIN2dDQT09</t>
        </is>
      </c>
      <c r="F5" t="n">
        <v>2</v>
      </c>
      <c r="G5" t="inlineStr">
        <is>
          <t>AL003, AL004</t>
        </is>
      </c>
      <c r="H5" t="inlineStr">
        <is>
          <t>29 Mei 2023</t>
        </is>
      </c>
      <c r="I5" s="2" t="n">
        <v>46303</v>
      </c>
      <c r="J5" t="inlineStr">
        <is>
          <t>Disetujui</t>
        </is>
      </c>
      <c r="K5" t="n">
        <v>30</v>
      </c>
      <c r="L5" t="inlineStr">
        <is>
          <t>8 Oktober 2026</t>
        </is>
      </c>
      <c r="M5" t="inlineStr">
        <is>
          <t>Jasa Pengembangan Lingkungan Bangunan dan Lanskap, Jasa Pengembangan Perkotaan</t>
        </is>
      </c>
      <c r="N5" t="inlineStr">
        <is>
          <t>K</t>
        </is>
      </c>
      <c r="O5" t="inlineStr">
        <is>
          <t>20230918</t>
        </is>
      </c>
      <c r="P5" t="inlineStr">
        <is>
          <t>Jawa Barat</t>
        </is>
      </c>
      <c r="Q5" s="3">
        <f>HYPERLINK("https://wa.me/6282190006485?text=*[Pengingat Masa Berlaku SBU NUSANTARA DEPOK MULIA]*%0A%0AYth. Pimpinan NUSANTARA DEPOK MULIA,%0AMohon izin menginformasikan status SBU Anda:%0A%0A📄 SBU: AL003, AL004%0A📅 Expired: 8 Oktober 2026 (30 Hari Lagi)%0A%0AKami tim PT. ESDEA Assistance Management siap men-support proses perpanjangan segera agar administrasi proyek tidak terhambat%0A%0AApakah boleh saya bantu siapkan estimasi biaya dan waktu pengerjaannya?.", "Hubungi")</f>
        <v/>
      </c>
    </row>
    <row r="6">
      <c r="A6" t="inlineStr">
        <is>
          <t>PRIMA SENTOSA ABADI</t>
        </is>
      </c>
      <c r="B6" t="inlineStr">
        <is>
          <t>Kota Adm. Jakarta Timur</t>
        </is>
      </c>
      <c r="C6" t="inlineStr">
        <is>
          <t>02185906581</t>
        </is>
      </c>
      <c r="D6" t="inlineStr">
        <is>
          <t>prima_sentosa2000@yahoo.com</t>
        </is>
      </c>
      <c r="E6" t="inlineStr">
        <is>
          <t>https://lpjk.pu.go.id/search-badan-usaha-detail/bDRaZXA1Wkp4TmhhOTBIWU1SMndaQT09</t>
        </is>
      </c>
      <c r="F6" t="n">
        <v>2</v>
      </c>
      <c r="G6" t="inlineStr">
        <is>
          <t>BG002, PB004</t>
        </is>
      </c>
      <c r="H6" t="inlineStr">
        <is>
          <t>17 September 2004</t>
        </is>
      </c>
      <c r="I6" s="2" t="n">
        <v>46303</v>
      </c>
      <c r="J6" t="inlineStr">
        <is>
          <t>Disetujui</t>
        </is>
      </c>
      <c r="K6" t="n">
        <v>30</v>
      </c>
      <c r="L6" t="inlineStr">
        <is>
          <t>8 Oktober 2026</t>
        </is>
      </c>
      <c r="M6" t="inlineStr">
        <is>
          <t>Dekorasi Interior, Konstruksi Gedung Perkantoran</t>
        </is>
      </c>
      <c r="N6" t="inlineStr">
        <is>
          <t>K, Spesialis</t>
        </is>
      </c>
      <c r="O6" t="inlineStr">
        <is>
          <t>20231004, 20231010</t>
        </is>
      </c>
      <c r="P6" t="inlineStr">
        <is>
          <t>DKI Jakarta</t>
        </is>
      </c>
      <c r="Q6" t="inlineStr"/>
    </row>
    <row r="7">
      <c r="A7" t="inlineStr">
        <is>
          <t>RAFAM ELEKTRIK</t>
        </is>
      </c>
      <c r="B7" t="inlineStr">
        <is>
          <t>Kota Bekasi</t>
        </is>
      </c>
      <c r="C7" t="inlineStr">
        <is>
          <t>02129257727</t>
        </is>
      </c>
      <c r="D7" t="inlineStr">
        <is>
          <t>elektrikfam@gmail.com</t>
        </is>
      </c>
      <c r="E7" t="inlineStr">
        <is>
          <t>https://lpjk.pu.go.id/search-badan-usaha-detail/ZElqSm5xUmtZMWhJVWY2bktMR2FXZz09</t>
        </is>
      </c>
      <c r="F7" t="n">
        <v>2</v>
      </c>
      <c r="G7" t="inlineStr">
        <is>
          <t>BG009</t>
        </is>
      </c>
      <c r="H7" t="inlineStr">
        <is>
          <t>13 Maret 2013</t>
        </is>
      </c>
      <c r="I7" s="2" t="n">
        <v>46303</v>
      </c>
      <c r="J7" t="inlineStr">
        <is>
          <t>Disetujui</t>
        </is>
      </c>
      <c r="K7" t="n">
        <v>30</v>
      </c>
      <c r="L7" t="inlineStr">
        <is>
          <t>8 Oktober 2026</t>
        </is>
      </c>
      <c r="M7" t="inlineStr">
        <is>
          <t>Konstruksi Gedung Lainnya</t>
        </is>
      </c>
      <c r="N7" t="inlineStr">
        <is>
          <t>K</t>
        </is>
      </c>
      <c r="O7" t="inlineStr">
        <is>
          <t>20231009</t>
        </is>
      </c>
      <c r="P7" t="inlineStr">
        <is>
          <t>Jawa Barat</t>
        </is>
      </c>
      <c r="Q7" t="inlineStr"/>
    </row>
    <row r="8">
      <c r="A8" t="inlineStr">
        <is>
          <t>ADHIRAJASA SEJAHTERA</t>
        </is>
      </c>
      <c r="B8" t="inlineStr">
        <is>
          <t>Kab. Sleman</t>
        </is>
      </c>
      <c r="C8" t="inlineStr">
        <is>
          <t>087838278123</t>
        </is>
      </c>
      <c r="D8" t="inlineStr">
        <is>
          <t>cvadhirajasasejahtera@gmail.com</t>
        </is>
      </c>
      <c r="E8" t="inlineStr">
        <is>
          <t>https://lpjk.pu.go.id/search-badan-usaha-detail/Mll4bElyQXJuMnRyVFFKYUlWTFkrQT09</t>
        </is>
      </c>
      <c r="F8" t="n">
        <v>2</v>
      </c>
      <c r="G8" t="inlineStr">
        <is>
          <t>BG002, BG009</t>
        </is>
      </c>
      <c r="H8" t="inlineStr">
        <is>
          <t>8 Desember 2016</t>
        </is>
      </c>
      <c r="I8" s="2" t="n">
        <v>46303</v>
      </c>
      <c r="J8" t="inlineStr">
        <is>
          <t>Disetujui</t>
        </is>
      </c>
      <c r="K8" t="n">
        <v>30</v>
      </c>
      <c r="L8" t="inlineStr">
        <is>
          <t>8 Oktober 2026</t>
        </is>
      </c>
      <c r="M8" t="inlineStr">
        <is>
          <t>Konstruksi Gedung Lainnya, Konstruksi Gedung Perkantoran</t>
        </is>
      </c>
      <c r="N8" t="inlineStr">
        <is>
          <t>K</t>
        </is>
      </c>
      <c r="O8" t="inlineStr">
        <is>
          <t>20231004</t>
        </is>
      </c>
      <c r="P8" t="inlineStr">
        <is>
          <t>DI Yogyakarta</t>
        </is>
      </c>
      <c r="Q8" t="inlineStr"/>
    </row>
    <row r="9">
      <c r="A9" t="inlineStr">
        <is>
          <t>ADISHA PROPERTINDO PRATAMA</t>
        </is>
      </c>
      <c r="B9" t="inlineStr">
        <is>
          <t>Kab. Purwakarta</t>
        </is>
      </c>
      <c r="C9" t="inlineStr">
        <is>
          <t>081388666679</t>
        </is>
      </c>
      <c r="D9" t="inlineStr">
        <is>
          <t>adi.nuroni@gmail.com</t>
        </is>
      </c>
      <c r="E9" t="inlineStr">
        <is>
          <t>https://lpjk.pu.go.id/search-badan-usaha-detail/Zzl0allRLzFqaFBPd1ErZFkxY1A1UT09</t>
        </is>
      </c>
      <c r="F9" t="n">
        <v>2</v>
      </c>
      <c r="G9" t="inlineStr">
        <is>
          <t>BG009</t>
        </is>
      </c>
      <c r="H9" t="inlineStr">
        <is>
          <t>18 November 2020</t>
        </is>
      </c>
      <c r="I9" s="2" t="n">
        <v>46303</v>
      </c>
      <c r="J9" t="inlineStr">
        <is>
          <t>Disetujui</t>
        </is>
      </c>
      <c r="K9" t="n">
        <v>30</v>
      </c>
      <c r="L9" t="inlineStr">
        <is>
          <t>8 Oktober 2026</t>
        </is>
      </c>
      <c r="M9" t="inlineStr">
        <is>
          <t>Konstruksi Gedung Lainnya</t>
        </is>
      </c>
      <c r="N9" t="inlineStr">
        <is>
          <t>K</t>
        </is>
      </c>
      <c r="O9" t="inlineStr">
        <is>
          <t>20231005</t>
        </is>
      </c>
      <c r="P9" t="inlineStr">
        <is>
          <t>Jawa Barat</t>
        </is>
      </c>
      <c r="Q9" t="inlineStr"/>
    </row>
    <row r="10">
      <c r="A10" t="inlineStr">
        <is>
          <t>ALAM ARTA PERSADA</t>
        </is>
      </c>
      <c r="B10" t="inlineStr">
        <is>
          <t>Kab. Kendal</t>
        </is>
      </c>
      <c r="C10" t="inlineStr">
        <is>
          <t>08112991981</t>
        </is>
      </c>
      <c r="D10" t="inlineStr">
        <is>
          <t>alam.arta.persada@gmail.com</t>
        </is>
      </c>
      <c r="E10" t="inlineStr">
        <is>
          <t>https://lpjk.pu.go.id/search-badan-usaha-detail/VGNyRG1neUR1MFhvb0U4aDZON3NYUT09</t>
        </is>
      </c>
      <c r="F10" t="n">
        <v>1</v>
      </c>
      <c r="G10" t="inlineStr">
        <is>
          <t>BG002</t>
        </is>
      </c>
      <c r="H10" t="inlineStr">
        <is>
          <t>11 April 2017</t>
        </is>
      </c>
      <c r="I10" s="2" t="n">
        <v>46303</v>
      </c>
      <c r="J10" t="inlineStr">
        <is>
          <t>Disetujui</t>
        </is>
      </c>
      <c r="K10" t="n">
        <v>30</v>
      </c>
      <c r="L10" t="inlineStr">
        <is>
          <t>8 Oktober 2026</t>
        </is>
      </c>
      <c r="M10" t="inlineStr">
        <is>
          <t>Konstruksi Gedung Perkantoran</t>
        </is>
      </c>
      <c r="N10" t="inlineStr">
        <is>
          <t>K</t>
        </is>
      </c>
      <c r="O10" t="inlineStr">
        <is>
          <t>20231004</t>
        </is>
      </c>
      <c r="P10" t="inlineStr">
        <is>
          <t>Jawa Tengah</t>
        </is>
      </c>
      <c r="Q10" t="inlineStr"/>
    </row>
    <row r="11">
      <c r="A11" t="inlineStr">
        <is>
          <t>ALTIMATE</t>
        </is>
      </c>
      <c r="B11" t="inlineStr">
        <is>
          <t>Kab. Dompu</t>
        </is>
      </c>
      <c r="C11" t="inlineStr">
        <is>
          <t>085338940749</t>
        </is>
      </c>
      <c r="D11" t="inlineStr">
        <is>
          <t>cv.altimate1987@gmail.com</t>
        </is>
      </c>
      <c r="E11" t="inlineStr">
        <is>
          <t>https://lpjk.pu.go.id/search-badan-usaha-detail/d1htOHdMNWthUWZ3MTl1UnIydWYzZz09</t>
        </is>
      </c>
      <c r="F11" t="n">
        <v>1</v>
      </c>
      <c r="G11" t="inlineStr">
        <is>
          <t>BG009</t>
        </is>
      </c>
      <c r="H11" t="inlineStr">
        <is>
          <t>22 Juni 2012</t>
        </is>
      </c>
      <c r="I11" s="2" t="n">
        <v>46303</v>
      </c>
      <c r="J11" t="inlineStr">
        <is>
          <t>Disetujui</t>
        </is>
      </c>
      <c r="K11" t="n">
        <v>30</v>
      </c>
      <c r="L11" t="inlineStr">
        <is>
          <t>8 Oktober 2026</t>
        </is>
      </c>
      <c r="M11" t="inlineStr">
        <is>
          <t>Konstruksi Gedung Lainnya</t>
        </is>
      </c>
      <c r="N11" t="inlineStr">
        <is>
          <t>K</t>
        </is>
      </c>
      <c r="O11" t="inlineStr">
        <is>
          <t>20231009</t>
        </is>
      </c>
      <c r="P11" t="inlineStr">
        <is>
          <t>Nusa Tenggara Barat</t>
        </is>
      </c>
      <c r="Q11" t="inlineStr"/>
    </row>
    <row r="12">
      <c r="A12" t="inlineStr">
        <is>
          <t>ALYA BERKAH</t>
        </is>
      </c>
      <c r="B12" t="inlineStr">
        <is>
          <t>Kota Gorontalo</t>
        </is>
      </c>
      <c r="C12" t="inlineStr">
        <is>
          <t>085256719678</t>
        </is>
      </c>
      <c r="D12" t="inlineStr">
        <is>
          <t>kasimhusain550@gmail.com</t>
        </is>
      </c>
      <c r="E12" t="inlineStr">
        <is>
          <t>https://lpjk.pu.go.id/search-badan-usaha-detail/aTd6QWhvNlFwVllVbitncU1DZ2IyZz09</t>
        </is>
      </c>
      <c r="F12" t="n">
        <v>1</v>
      </c>
      <c r="G12" t="inlineStr">
        <is>
          <t>BS001</t>
        </is>
      </c>
      <c r="H12" t="inlineStr">
        <is>
          <t>2 Mei 2019</t>
        </is>
      </c>
      <c r="I12" s="2" t="n">
        <v>46303</v>
      </c>
      <c r="J12" t="inlineStr">
        <is>
          <t>Disetujui</t>
        </is>
      </c>
      <c r="K12" t="n">
        <v>30</v>
      </c>
      <c r="L12" t="inlineStr">
        <is>
          <t>8 Oktober 2026</t>
        </is>
      </c>
      <c r="M12" t="inlineStr">
        <is>
          <t>Konstruksi Bangunan Sipil Jalan</t>
        </is>
      </c>
      <c r="N12" t="inlineStr">
        <is>
          <t>K</t>
        </is>
      </c>
      <c r="O12" t="inlineStr">
        <is>
          <t>20231009</t>
        </is>
      </c>
      <c r="P12" t="inlineStr">
        <is>
          <t>Gorontalo</t>
        </is>
      </c>
      <c r="Q12" t="inlineStr"/>
    </row>
    <row r="13">
      <c r="A13" t="inlineStr">
        <is>
          <t>ANUGERAH RAUDHAH</t>
        </is>
      </c>
      <c r="B13" t="inlineStr">
        <is>
          <t>Kota Banjarbaru</t>
        </is>
      </c>
      <c r="C13" t="inlineStr">
        <is>
          <t>081351700900</t>
        </is>
      </c>
      <c r="D13" t="inlineStr">
        <is>
          <t>anugerahraudhah@yahoo.com</t>
        </is>
      </c>
      <c r="E13" t="inlineStr">
        <is>
          <t>https://lpjk.pu.go.id/search-badan-usaha-detail/WkYwWTlTL0lueVdsdTlDTGVlbGlSZz09</t>
        </is>
      </c>
      <c r="F13" t="n">
        <v>4</v>
      </c>
      <c r="G13" t="inlineStr">
        <is>
          <t>BG002, BG006, BG009, BS004</t>
        </is>
      </c>
      <c r="H13" t="inlineStr">
        <is>
          <t>26 Januari 2016</t>
        </is>
      </c>
      <c r="I13" s="2" t="n">
        <v>46303</v>
      </c>
      <c r="J13" t="inlineStr">
        <is>
          <t>Disetujui</t>
        </is>
      </c>
      <c r="K13" t="n">
        <v>30</v>
      </c>
      <c r="L13" t="inlineStr">
        <is>
          <t>8 Oktober 2026</t>
        </is>
      </c>
      <c r="M13" t="inlineStr">
        <is>
          <t>Konstruksi Gedung Lainnya, Konstruksi Gedung Pendidikan, Konstruksi Gedung Perkantoran, Konstruksi Jaringan Irigasi dan Drainase</t>
        </is>
      </c>
      <c r="N13" t="inlineStr">
        <is>
          <t>K</t>
        </is>
      </c>
      <c r="O13" t="inlineStr">
        <is>
          <t>20230606, 20230625, 20230626, 20231004</t>
        </is>
      </c>
      <c r="P13" t="inlineStr">
        <is>
          <t>Kalimantan Selatan</t>
        </is>
      </c>
      <c r="Q13" t="inlineStr"/>
    </row>
    <row r="14">
      <c r="A14" t="inlineStr">
        <is>
          <t>ARFINDO UTAMA KARYA</t>
        </is>
      </c>
      <c r="B14" t="inlineStr">
        <is>
          <t>Kota Padang</t>
        </is>
      </c>
      <c r="C14" t="inlineStr">
        <is>
          <t>08116681418</t>
        </is>
      </c>
      <c r="D14" t="inlineStr">
        <is>
          <t>pt.arfindoutamakarya@yahoo.com</t>
        </is>
      </c>
      <c r="E14" t="inlineStr">
        <is>
          <t>https://lpjk.pu.go.id/search-badan-usaha-detail/ZVdVSjRLblFPd1BhSXpVRzFUZUw2UT09</t>
        </is>
      </c>
      <c r="F14" t="n">
        <v>1</v>
      </c>
      <c r="G14" t="inlineStr">
        <is>
          <t>BG003</t>
        </is>
      </c>
      <c r="H14" t="inlineStr">
        <is>
          <t>14 Maret 2012</t>
        </is>
      </c>
      <c r="I14" s="2" t="n">
        <v>46303</v>
      </c>
      <c r="J14" t="inlineStr">
        <is>
          <t>Disetujui</t>
        </is>
      </c>
      <c r="K14" t="n">
        <v>30</v>
      </c>
      <c r="L14" t="inlineStr">
        <is>
          <t>8 Oktober 2026</t>
        </is>
      </c>
      <c r="M14" t="inlineStr">
        <is>
          <t>Konstruksi Gedung Industri</t>
        </is>
      </c>
      <c r="N14" t="inlineStr">
        <is>
          <t>K</t>
        </is>
      </c>
      <c r="O14" t="inlineStr">
        <is>
          <t>20231009</t>
        </is>
      </c>
      <c r="P14" t="inlineStr">
        <is>
          <t>Sumatera Barat</t>
        </is>
      </c>
      <c r="Q14" t="inlineStr"/>
    </row>
    <row r="15">
      <c r="A15" t="inlineStr">
        <is>
          <t>ASIA CITRA KAYUBE</t>
        </is>
      </c>
      <c r="B15" t="inlineStr">
        <is>
          <t>Kab. Sumbawa Barat</t>
        </is>
      </c>
      <c r="C15" t="inlineStr">
        <is>
          <t>081339744047</t>
        </is>
      </c>
      <c r="D15" t="inlineStr">
        <is>
          <t>amjadkayube@gmail.com</t>
        </is>
      </c>
      <c r="E15" t="inlineStr">
        <is>
          <t>https://lpjk.pu.go.id/search-badan-usaha-detail/VXFQYm1rL2pSSkRkZ1VJMi9ROUxUQT09</t>
        </is>
      </c>
      <c r="F15" t="n">
        <v>1</v>
      </c>
      <c r="G15" t="inlineStr">
        <is>
          <t>BS001</t>
        </is>
      </c>
      <c r="H15" t="inlineStr">
        <is>
          <t>21 Desember 2009</t>
        </is>
      </c>
      <c r="I15" s="2" t="n">
        <v>46303</v>
      </c>
      <c r="J15" t="inlineStr">
        <is>
          <t>Pencabutan</t>
        </is>
      </c>
      <c r="K15" t="n">
        <v>30</v>
      </c>
      <c r="L15" t="inlineStr">
        <is>
          <t>8 Oktober 2026</t>
        </is>
      </c>
      <c r="M15" t="inlineStr">
        <is>
          <t>Konstruksi Bangunan Sipil Jalan</t>
        </is>
      </c>
      <c r="N15" t="inlineStr">
        <is>
          <t>K</t>
        </is>
      </c>
      <c r="O15" t="inlineStr">
        <is>
          <t>20231006</t>
        </is>
      </c>
      <c r="P15" t="inlineStr">
        <is>
          <t>Nusa Tenggara Barat</t>
        </is>
      </c>
      <c r="Q15" t="inlineStr"/>
    </row>
    <row r="16">
      <c r="A16" t="inlineStr">
        <is>
          <t>BANGUN CIPTA KREASINDO</t>
        </is>
      </c>
      <c r="B16" t="inlineStr">
        <is>
          <t>Kota Batam</t>
        </is>
      </c>
      <c r="C16" t="inlineStr">
        <is>
          <t>08116942427</t>
        </is>
      </c>
      <c r="D16" t="inlineStr">
        <is>
          <t>pt.bangunciptakreasindo@gmail.com</t>
        </is>
      </c>
      <c r="E16" t="inlineStr">
        <is>
          <t>https://lpjk.pu.go.id/search-badan-usaha-detail/Q3c5TXN5WDVMaTVFMlUwVXVEOG9EQT09</t>
        </is>
      </c>
      <c r="F16" t="n">
        <v>1</v>
      </c>
      <c r="G16" t="inlineStr">
        <is>
          <t>BG001</t>
        </is>
      </c>
      <c r="H16" t="inlineStr">
        <is>
          <t>21 Maret 2017</t>
        </is>
      </c>
      <c r="I16" s="2" t="n">
        <v>46303</v>
      </c>
      <c r="J16" t="inlineStr">
        <is>
          <t>Disetujui</t>
        </is>
      </c>
      <c r="K16" t="n">
        <v>30</v>
      </c>
      <c r="L16" t="inlineStr">
        <is>
          <t>8 Oktober 2026</t>
        </is>
      </c>
      <c r="M16" t="inlineStr">
        <is>
          <t>Konstruksi Gedung Hunian</t>
        </is>
      </c>
      <c r="N16" t="inlineStr">
        <is>
          <t>K</t>
        </is>
      </c>
      <c r="O16" t="inlineStr">
        <is>
          <t>20231006</t>
        </is>
      </c>
      <c r="P16" t="inlineStr">
        <is>
          <t>Kepulauan Riau</t>
        </is>
      </c>
      <c r="Q16" t="inlineStr"/>
    </row>
    <row r="17">
      <c r="A17" t="inlineStr">
        <is>
          <t>BANGUN TAMBAK ABADI</t>
        </is>
      </c>
      <c r="B17" t="inlineStr">
        <is>
          <t>Kota Bandung</t>
        </is>
      </c>
      <c r="C17" t="inlineStr">
        <is>
          <t>081369300616</t>
        </is>
      </c>
      <c r="D17" t="inlineStr">
        <is>
          <t>cvbanguntambak@gmail.com</t>
        </is>
      </c>
      <c r="E17" t="inlineStr">
        <is>
          <t>https://lpjk.pu.go.id/search-badan-usaha-detail/TzdpMmhhR1VES2hDeVJsSlhCLzhEZz09</t>
        </is>
      </c>
      <c r="F17" t="n">
        <v>2</v>
      </c>
      <c r="G17" t="inlineStr">
        <is>
          <t>BG009, BS010</t>
        </is>
      </c>
      <c r="H17" t="inlineStr">
        <is>
          <t>21 September 2023</t>
        </is>
      </c>
      <c r="I17" s="2" t="n">
        <v>46303</v>
      </c>
      <c r="J17" t="inlineStr">
        <is>
          <t>Disetujui</t>
        </is>
      </c>
      <c r="K17" t="n">
        <v>30</v>
      </c>
      <c r="L17" t="inlineStr">
        <is>
          <t>8 Oktober 2026</t>
        </is>
      </c>
      <c r="M17" t="inlineStr">
        <is>
          <t>Konstruksi Bangunan Prasarana Sumber Daya Air, Konstruksi Gedung Lainnya</t>
        </is>
      </c>
      <c r="N17" t="inlineStr">
        <is>
          <t>K</t>
        </is>
      </c>
      <c r="O17" t="inlineStr">
        <is>
          <t>20231009</t>
        </is>
      </c>
      <c r="P17" t="inlineStr">
        <is>
          <t>Jawa Barat</t>
        </is>
      </c>
      <c r="Q17" t="inlineStr"/>
    </row>
    <row r="18">
      <c r="A18" t="inlineStr">
        <is>
          <t>BAYU PUTRA</t>
        </is>
      </c>
      <c r="B18" t="inlineStr">
        <is>
          <t>Kab. Dharmasraya</t>
        </is>
      </c>
      <c r="C18" t="inlineStr">
        <is>
          <t>085263666319</t>
        </is>
      </c>
      <c r="D18" t="inlineStr">
        <is>
          <t>cv.bayuputra2017@gmail.com</t>
        </is>
      </c>
      <c r="E18" t="inlineStr">
        <is>
          <t>https://lpjk.pu.go.id/search-badan-usaha-detail/ak40MCtMOXpTMm5jaEpiTUxhM1V3dz09</t>
        </is>
      </c>
      <c r="F18" t="n">
        <v>2</v>
      </c>
      <c r="G18" t="inlineStr">
        <is>
          <t>BG006, BG009</t>
        </is>
      </c>
      <c r="H18" t="inlineStr">
        <is>
          <t>12 Januari 2016</t>
        </is>
      </c>
      <c r="I18" s="2" t="n">
        <v>46303</v>
      </c>
      <c r="J18" t="inlineStr">
        <is>
          <t>Disetujui</t>
        </is>
      </c>
      <c r="K18" t="n">
        <v>30</v>
      </c>
      <c r="L18" t="inlineStr">
        <is>
          <t>8 Oktober 2026</t>
        </is>
      </c>
      <c r="M18" t="inlineStr">
        <is>
          <t>Konstruksi Gedung Lainnya, Konstruksi Gedung Pendidikan</t>
        </is>
      </c>
      <c r="N18" t="inlineStr">
        <is>
          <t>K</t>
        </is>
      </c>
      <c r="O18" t="inlineStr">
        <is>
          <t>20231007</t>
        </is>
      </c>
      <c r="P18" t="inlineStr">
        <is>
          <t>Sumatera Barat</t>
        </is>
      </c>
      <c r="Q18" t="inlineStr"/>
    </row>
    <row r="19">
      <c r="A19" t="inlineStr">
        <is>
          <t>BERKAH FITRA BERSAMA</t>
        </is>
      </c>
      <c r="B19" t="inlineStr">
        <is>
          <t>Kota Tangerang Selatan</t>
        </is>
      </c>
      <c r="C19" t="inlineStr">
        <is>
          <t>085879236276</t>
        </is>
      </c>
      <c r="D19" t="inlineStr">
        <is>
          <t>berkah.fitrabersama@gmail.com</t>
        </is>
      </c>
      <c r="E19" t="inlineStr">
        <is>
          <t>https://lpjk.pu.go.id/search-badan-usaha-detail/dHpONGgwSUdNci9WeFFqdWxLcHhidz09</t>
        </is>
      </c>
      <c r="F19" t="n">
        <v>2</v>
      </c>
      <c r="G19" t="inlineStr">
        <is>
          <t>BS004</t>
        </is>
      </c>
      <c r="H19" t="inlineStr">
        <is>
          <t>8 November 2022</t>
        </is>
      </c>
      <c r="I19" s="2" t="n">
        <v>46303</v>
      </c>
      <c r="J19" t="inlineStr">
        <is>
          <t>Disetujui</t>
        </is>
      </c>
      <c r="K19" t="n">
        <v>30</v>
      </c>
      <c r="L19" t="inlineStr">
        <is>
          <t>8 Oktober 2026</t>
        </is>
      </c>
      <c r="M19" t="inlineStr">
        <is>
          <t>Konstruksi Jaringan Irigasi dan Drainase</t>
        </is>
      </c>
      <c r="N19" t="inlineStr">
        <is>
          <t>K</t>
        </is>
      </c>
      <c r="O19" t="inlineStr">
        <is>
          <t>20231005</t>
        </is>
      </c>
      <c r="P19" t="inlineStr">
        <is>
          <t>Banten</t>
        </is>
      </c>
      <c r="Q19" t="inlineStr"/>
    </row>
    <row r="20">
      <c r="A20" t="inlineStr">
        <is>
          <t>BERLIAN AMAL PERKASA</t>
        </is>
      </c>
      <c r="B20" t="inlineStr">
        <is>
          <t>Kota Adm. Jakarta Selatan</t>
        </is>
      </c>
      <c r="C20" t="inlineStr">
        <is>
          <t>082122919196</t>
        </is>
      </c>
      <c r="D20" t="inlineStr">
        <is>
          <t>adminsbubap@gmail.com</t>
        </is>
      </c>
      <c r="E20" t="inlineStr">
        <is>
          <t>https://lpjk.pu.go.id/search-badan-usaha-detail/NTRMWCtWK3B4VHF6U2hjMnJodXBTMDN4dEhCQ05odklrUHNkWm1naGYrWT0</t>
        </is>
      </c>
      <c r="F20" t="n">
        <v>1</v>
      </c>
      <c r="G20" t="inlineStr">
        <is>
          <t>PA001</t>
        </is>
      </c>
      <c r="H20" t="inlineStr">
        <is>
          <t>7 Agustus 2023</t>
        </is>
      </c>
      <c r="I20" s="2" t="n">
        <v>46303</v>
      </c>
      <c r="J20" t="inlineStr">
        <is>
          <t>Disetujui</t>
        </is>
      </c>
      <c r="K20" t="n">
        <v>30</v>
      </c>
      <c r="L20" t="inlineStr">
        <is>
          <t>8 Oktober 2026</t>
        </is>
      </c>
      <c r="M20" t="inlineStr">
        <is>
          <t>Penyewaan Peralatan Konstruksi</t>
        </is>
      </c>
      <c r="N20" t="inlineStr">
        <is>
          <t>Spesialis</t>
        </is>
      </c>
      <c r="O20" t="inlineStr">
        <is>
          <t>20230114</t>
        </is>
      </c>
      <c r="P20" t="inlineStr">
        <is>
          <t>DKI Jakarta</t>
        </is>
      </c>
      <c r="Q20" t="inlineStr"/>
    </row>
    <row r="21">
      <c r="A21" t="inlineStr">
        <is>
          <t>BERLIAN JAYA</t>
        </is>
      </c>
      <c r="B21" t="inlineStr">
        <is>
          <t>Kab. Gresik</t>
        </is>
      </c>
      <c r="C21" t="inlineStr">
        <is>
          <t>081230560777</t>
        </is>
      </c>
      <c r="D21" t="inlineStr">
        <is>
          <t>berlianjayaku@gmail.com</t>
        </is>
      </c>
      <c r="E21" t="inlineStr">
        <is>
          <t>https://lpjk.pu.go.id/search-badan-usaha-detail/cWFmQU5FTmg4OWpmS0lNYlFEUTNVdz09</t>
        </is>
      </c>
      <c r="F21" t="n">
        <v>1</v>
      </c>
      <c r="G21" t="inlineStr">
        <is>
          <t>BS001</t>
        </is>
      </c>
      <c r="H21" t="inlineStr">
        <is>
          <t>18 Januari 2011</t>
        </is>
      </c>
      <c r="I21" s="2" t="n">
        <v>46303</v>
      </c>
      <c r="J21" t="inlineStr">
        <is>
          <t>Disetujui</t>
        </is>
      </c>
      <c r="K21" t="n">
        <v>30</v>
      </c>
      <c r="L21" t="inlineStr">
        <is>
          <t>8 Oktober 2026</t>
        </is>
      </c>
      <c r="M21" t="inlineStr">
        <is>
          <t>Konstruksi Bangunan Sipil Jalan</t>
        </is>
      </c>
      <c r="N21" t="inlineStr">
        <is>
          <t>K</t>
        </is>
      </c>
      <c r="O21" t="inlineStr">
        <is>
          <t>20231004</t>
        </is>
      </c>
      <c r="P21" t="inlineStr">
        <is>
          <t>Jawa Timur</t>
        </is>
      </c>
      <c r="Q21" t="inlineStr"/>
    </row>
    <row r="22">
      <c r="A22" t="inlineStr">
        <is>
          <t>BIAS MONARCHY KONSULTAN</t>
        </is>
      </c>
      <c r="B22" t="inlineStr">
        <is>
          <t>Kota Makassar</t>
        </is>
      </c>
      <c r="C22" t="inlineStr">
        <is>
          <t>081242855033</t>
        </is>
      </c>
      <c r="D22" t="inlineStr">
        <is>
          <t>bias_monarchy@yahoo.co.id</t>
        </is>
      </c>
      <c r="E22" t="inlineStr">
        <is>
          <t>https://lpjk.pu.go.id/search-badan-usaha-detail/RE9wRXA4ZXNkU004Z25GSmpFQUd3Zz09</t>
        </is>
      </c>
      <c r="F22" t="n">
        <v>5</v>
      </c>
      <c r="G22" t="inlineStr">
        <is>
          <t>AR001, AR002, AR003, RK001, RK004</t>
        </is>
      </c>
      <c r="H22" t="inlineStr">
        <is>
          <t>14 Januari 2006</t>
        </is>
      </c>
      <c r="I22" s="2" t="n">
        <v>46303</v>
      </c>
      <c r="J22" t="inlineStr">
        <is>
          <t>Disetujui</t>
        </is>
      </c>
      <c r="K22" t="n">
        <v>30</v>
      </c>
      <c r="L22" t="inlineStr">
        <is>
          <t>8 Oktober 2026</t>
        </is>
      </c>
      <c r="M22" t="inlineStr">
        <is>
          <t>Jasa Arsitektural Bangunan Gedung Hunian dan Non Hunian, Jasa Arsitektural Lainnya, Jasa Desain Interior pada Bangunan Gedung dan Bangunan Sipil, Jasa Rekayasa Konstruksi Bangunan Gedung Hunian dan Non Hunian, Jasa Rekayasa Pekerjaan Mekanikal Dalam Bangunan</t>
        </is>
      </c>
      <c r="N22" t="inlineStr">
        <is>
          <t>K</t>
        </is>
      </c>
      <c r="O22" t="inlineStr">
        <is>
          <t>20230928</t>
        </is>
      </c>
      <c r="P22" t="inlineStr">
        <is>
          <t>Sulawesi Selatan</t>
        </is>
      </c>
      <c r="Q22" t="inlineStr"/>
    </row>
    <row r="23">
      <c r="A23" t="inlineStr">
        <is>
          <t>BIN SYAHAB</t>
        </is>
      </c>
      <c r="B23" t="inlineStr">
        <is>
          <t>Kota Pontianak</t>
        </is>
      </c>
      <c r="C23" t="inlineStr">
        <is>
          <t>089692597467</t>
        </is>
      </c>
      <c r="D23" t="inlineStr">
        <is>
          <t>Binsyahab9@gmail.com</t>
        </is>
      </c>
      <c r="E23" t="inlineStr">
        <is>
          <t>https://lpjk.pu.go.id/search-badan-usaha-detail/NmJzS04yL2ZZNUI0Szcvak1uT3BCUT09</t>
        </is>
      </c>
      <c r="F23" t="n">
        <v>2</v>
      </c>
      <c r="G23" t="inlineStr">
        <is>
          <t>BS001, BS004</t>
        </is>
      </c>
      <c r="H23" t="inlineStr">
        <is>
          <t>30 Januari 2020</t>
        </is>
      </c>
      <c r="I23" s="2" t="n">
        <v>46303</v>
      </c>
      <c r="J23" t="inlineStr">
        <is>
          <t>Disetujui</t>
        </is>
      </c>
      <c r="K23" t="n">
        <v>30</v>
      </c>
      <c r="L23" t="inlineStr">
        <is>
          <t>8 Oktober 2026</t>
        </is>
      </c>
      <c r="M23" t="inlineStr">
        <is>
          <t>Konstruksi Bangunan Sipil Jalan, Konstruksi Jaringan Irigasi dan Drainase</t>
        </is>
      </c>
      <c r="N23" t="inlineStr">
        <is>
          <t>K</t>
        </is>
      </c>
      <c r="O23" t="inlineStr">
        <is>
          <t>20230930, 20231006</t>
        </is>
      </c>
      <c r="P23" t="inlineStr">
        <is>
          <t>Kalimantan Barat</t>
        </is>
      </c>
      <c r="Q23" t="inlineStr"/>
    </row>
    <row r="24">
      <c r="A24" t="inlineStr">
        <is>
          <t>BINTANG JAYA</t>
        </is>
      </c>
      <c r="B24" t="inlineStr">
        <is>
          <t>Kab. Nganjuk</t>
        </is>
      </c>
      <c r="C24" t="inlineStr">
        <is>
          <t>085331487395</t>
        </is>
      </c>
      <c r="D24" t="inlineStr">
        <is>
          <t>cv_bintangj@yahoo.com</t>
        </is>
      </c>
      <c r="E24" t="inlineStr">
        <is>
          <t>https://lpjk.pu.go.id/search-badan-usaha-detail/ZTZZaWdOdmJtaE92SFFPS0NDQVU3dz09</t>
        </is>
      </c>
      <c r="F24" t="n">
        <v>4</v>
      </c>
      <c r="G24" t="inlineStr">
        <is>
          <t>BG001, BG005</t>
        </is>
      </c>
      <c r="H24" t="inlineStr">
        <is>
          <t>15 Juli 2003</t>
        </is>
      </c>
      <c r="I24" s="2" t="n">
        <v>46303</v>
      </c>
      <c r="J24" t="inlineStr">
        <is>
          <t>Disetujui</t>
        </is>
      </c>
      <c r="K24" t="n">
        <v>30</v>
      </c>
      <c r="L24" t="inlineStr">
        <is>
          <t>8 Oktober 2026</t>
        </is>
      </c>
      <c r="M24" t="inlineStr">
        <is>
          <t>Konstruksi Gedung Hunian, Konstruksi Gedung Kesehatan</t>
        </is>
      </c>
      <c r="N24" t="inlineStr">
        <is>
          <t>K</t>
        </is>
      </c>
      <c r="O24" t="inlineStr">
        <is>
          <t>20231004</t>
        </is>
      </c>
      <c r="P24" t="inlineStr">
        <is>
          <t>Jawa Timur</t>
        </is>
      </c>
      <c r="Q24" t="inlineStr"/>
    </row>
    <row r="25">
      <c r="A25" t="inlineStr">
        <is>
          <t>BINTANG PERDANA</t>
        </is>
      </c>
      <c r="B25" t="inlineStr">
        <is>
          <t>Kab. Dompu</t>
        </is>
      </c>
      <c r="C25" t="inlineStr">
        <is>
          <t>085338406570</t>
        </is>
      </c>
      <c r="D25" t="inlineStr">
        <is>
          <t>cv.bintangperdana1101@gmail.com</t>
        </is>
      </c>
      <c r="E25" t="inlineStr">
        <is>
          <t>https://lpjk.pu.go.id/search-badan-usaha-detail/VW4rSW5GdWRYcEtCNVpVRnE3M2ljdz09</t>
        </is>
      </c>
      <c r="F25" t="n">
        <v>4</v>
      </c>
      <c r="G25" t="inlineStr">
        <is>
          <t>BG009, BS004</t>
        </is>
      </c>
      <c r="H25" t="inlineStr">
        <is>
          <t>28 Agustus 2007</t>
        </is>
      </c>
      <c r="I25" s="2" t="n">
        <v>46303</v>
      </c>
      <c r="J25" t="inlineStr">
        <is>
          <t>Disetujui</t>
        </is>
      </c>
      <c r="K25" t="n">
        <v>30</v>
      </c>
      <c r="L25" t="inlineStr">
        <is>
          <t>8 Oktober 2026</t>
        </is>
      </c>
      <c r="M25" t="inlineStr">
        <is>
          <t>Konstruksi Gedung Lainnya, Konstruksi Jaringan Irigasi dan Drainase</t>
        </is>
      </c>
      <c r="N25" t="inlineStr">
        <is>
          <t>K</t>
        </is>
      </c>
      <c r="O25" t="inlineStr">
        <is>
          <t>20231006, 20231012</t>
        </is>
      </c>
      <c r="P25" t="inlineStr">
        <is>
          <t>Nusa Tenggara Barat</t>
        </is>
      </c>
      <c r="Q25" t="inlineStr"/>
    </row>
    <row r="26">
      <c r="A26" t="inlineStr">
        <is>
          <t>BIRO TEKNIK CAHAYA</t>
        </is>
      </c>
      <c r="B26" t="inlineStr">
        <is>
          <t>Kab. Indramayu</t>
        </is>
      </c>
      <c r="C26" t="inlineStr">
        <is>
          <t>084829036558</t>
        </is>
      </c>
      <c r="D26" t="inlineStr">
        <is>
          <t>cahayapt_crb@Yahoo.com</t>
        </is>
      </c>
      <c r="E26" t="inlineStr">
        <is>
          <t>https://lpjk.pu.go.id/search-badan-usaha-detail/dGhuRFYwOFdhSmhTNUk2aDRpcTVrZz09</t>
        </is>
      </c>
      <c r="F26" t="n">
        <v>10</v>
      </c>
      <c r="G26" t="inlineStr">
        <is>
          <t>BG002, BG003, BG005, BG006, BG009, BS001, BS002</t>
        </is>
      </c>
      <c r="H26" t="inlineStr">
        <is>
          <t>15 Juni 2006</t>
        </is>
      </c>
      <c r="I26" s="2" t="n">
        <v>46303</v>
      </c>
      <c r="J26" t="inlineStr">
        <is>
          <t>Disetujui</t>
        </is>
      </c>
      <c r="K26" t="n">
        <v>30</v>
      </c>
      <c r="L26" t="inlineStr">
        <is>
          <t>8 Oktober 2026</t>
        </is>
      </c>
      <c r="M26" t="inlineStr">
        <is>
          <t>Bangunan Sipil Jembatan, Jalan Layang, Fly Over, dan Underpass, Konstruksi Bangunan Sipil Jalan, Konstruksi Gedung Industri, Konstruksi Gedung Kesehatan, Konstruksi Gedung Lainnya, Konstruksi Gedung Pendidikan, Konstruksi Gedung Perkantoran</t>
        </is>
      </c>
      <c r="N26" t="inlineStr">
        <is>
          <t>K</t>
        </is>
      </c>
      <c r="O26" t="inlineStr">
        <is>
          <t>20231003, 20231006, 20231008</t>
        </is>
      </c>
      <c r="P26" t="inlineStr">
        <is>
          <t>Jawa Barat</t>
        </is>
      </c>
      <c r="Q26" t="inlineStr"/>
    </row>
    <row r="27">
      <c r="A27" t="inlineStr">
        <is>
          <t>BORNEO PRATAMA KONSULTAN</t>
        </is>
      </c>
      <c r="B27" t="inlineStr">
        <is>
          <t>Kota Tarakan</t>
        </is>
      </c>
      <c r="C27" t="inlineStr">
        <is>
          <t>08125306653</t>
        </is>
      </c>
      <c r="D27" t="inlineStr">
        <is>
          <t>cvborneo01pratama@gmail.com</t>
        </is>
      </c>
      <c r="E27" t="inlineStr">
        <is>
          <t>https://lpjk.pu.go.id/search-badan-usaha-detail/MWJUeTJRbllOWTdmR3laajFzWlhndz09</t>
        </is>
      </c>
      <c r="F27" t="n">
        <v>1</v>
      </c>
      <c r="G27" t="inlineStr">
        <is>
          <t>RK001</t>
        </is>
      </c>
      <c r="H27" t="inlineStr">
        <is>
          <t>6 Mei 2011</t>
        </is>
      </c>
      <c r="I27" s="2" t="n">
        <v>46303</v>
      </c>
      <c r="J27" t="inlineStr">
        <is>
          <t>Disetujui</t>
        </is>
      </c>
      <c r="K27" t="n">
        <v>30</v>
      </c>
      <c r="L27" t="inlineStr">
        <is>
          <t>8 Oktober 2026</t>
        </is>
      </c>
      <c r="M27" t="inlineStr">
        <is>
          <t>Jasa Rekayasa Konstruksi Bangunan Gedung Hunian dan Non Hunian</t>
        </is>
      </c>
      <c r="N27" t="inlineStr">
        <is>
          <t>K</t>
        </is>
      </c>
      <c r="O27" t="inlineStr">
        <is>
          <t>20230925</t>
        </is>
      </c>
      <c r="P27" t="inlineStr">
        <is>
          <t>Kalimantan Utara</t>
        </is>
      </c>
      <c r="Q27" t="inlineStr"/>
    </row>
    <row r="28">
      <c r="A28" t="inlineStr">
        <is>
          <t>BUDI DAYA KARYA</t>
        </is>
      </c>
      <c r="B28" t="inlineStr">
        <is>
          <t>Kab. Kebumen</t>
        </is>
      </c>
      <c r="C28" t="inlineStr">
        <is>
          <t>08122747442</t>
        </is>
      </c>
      <c r="D28" t="inlineStr">
        <is>
          <t>suratbdk@gmail.com</t>
        </is>
      </c>
      <c r="E28" t="inlineStr">
        <is>
          <t>https://lpjk.pu.go.id/search-badan-usaha-detail/M3NJQVBOdUEzVWxTN2FTbnJzSHhIUT09</t>
        </is>
      </c>
      <c r="F28" t="n">
        <v>2</v>
      </c>
      <c r="G28" t="inlineStr">
        <is>
          <t>BG002, BG006</t>
        </is>
      </c>
      <c r="H28" t="inlineStr">
        <is>
          <t>10 Februari 1983</t>
        </is>
      </c>
      <c r="I28" s="2" t="n">
        <v>46303</v>
      </c>
      <c r="J28" t="inlineStr">
        <is>
          <t>Disetujui</t>
        </is>
      </c>
      <c r="K28" t="n">
        <v>30</v>
      </c>
      <c r="L28" t="inlineStr">
        <is>
          <t>8 Oktober 2026</t>
        </is>
      </c>
      <c r="M28" t="inlineStr">
        <is>
          <t>Konstruksi Gedung Pendidikan, Konstruksi Gedung Perkantoran</t>
        </is>
      </c>
      <c r="N28" t="inlineStr">
        <is>
          <t>K</t>
        </is>
      </c>
      <c r="O28" t="inlineStr">
        <is>
          <t>20231003</t>
        </is>
      </c>
      <c r="P28" t="inlineStr">
        <is>
          <t>Jawa Tengah</t>
        </is>
      </c>
      <c r="Q28" t="inlineStr"/>
    </row>
    <row r="29">
      <c r="A29" t="inlineStr">
        <is>
          <t>CAKRAWALA NUSANTARA KONSTRUKSI</t>
        </is>
      </c>
      <c r="B29" t="inlineStr">
        <is>
          <t>Kota Bandar Lampung</t>
        </is>
      </c>
      <c r="C29" t="inlineStr">
        <is>
          <t>085267371434</t>
        </is>
      </c>
      <c r="D29" t="inlineStr">
        <is>
          <t>ptcakrawalanusantarakonstruksi@gmail.com</t>
        </is>
      </c>
      <c r="E29" t="inlineStr">
        <is>
          <t>https://lpjk.pu.go.id/search-badan-usaha-detail/VTY5OUcySzRHb0FPdTB3Nk9nZGVCQT09</t>
        </is>
      </c>
      <c r="F29" t="n">
        <v>4</v>
      </c>
      <c r="G29" t="inlineStr">
        <is>
          <t>BG004</t>
        </is>
      </c>
      <c r="H29" t="inlineStr">
        <is>
          <t>17 April 2024</t>
        </is>
      </c>
      <c r="I29" s="2" t="n">
        <v>46303</v>
      </c>
      <c r="J29" t="inlineStr">
        <is>
          <t>Disetujui</t>
        </is>
      </c>
      <c r="K29" t="n">
        <v>30</v>
      </c>
      <c r="L29" t="inlineStr">
        <is>
          <t>8 Oktober 2026</t>
        </is>
      </c>
      <c r="M29" t="inlineStr">
        <is>
          <t>Konstruksi Gedung Perbelanjaan</t>
        </is>
      </c>
      <c r="N29" t="inlineStr">
        <is>
          <t>K</t>
        </is>
      </c>
      <c r="O29" t="inlineStr">
        <is>
          <t>20231004</t>
        </is>
      </c>
      <c r="P29" t="inlineStr">
        <is>
          <t>Lampung</t>
        </is>
      </c>
      <c r="Q29" t="inlineStr"/>
    </row>
    <row r="30">
      <c r="A30" t="inlineStr">
        <is>
          <t>CIPTA ANUGRAH MANDIRI</t>
        </is>
      </c>
      <c r="B30" t="inlineStr">
        <is>
          <t>Kab. Sidoarjo</t>
        </is>
      </c>
      <c r="C30" t="inlineStr">
        <is>
          <t>081358533322</t>
        </is>
      </c>
      <c r="D30" t="inlineStr">
        <is>
          <t>ciptamandiri53@yahoo.com</t>
        </is>
      </c>
      <c r="E30" t="inlineStr">
        <is>
          <t>https://lpjk.pu.go.id/search-badan-usaha-detail/dHdsVS9VNHhLOUVXazJOOHlMWDRQQT09</t>
        </is>
      </c>
      <c r="F30" t="n">
        <v>2</v>
      </c>
      <c r="G30" t="inlineStr">
        <is>
          <t>BG004</t>
        </is>
      </c>
      <c r="H30" t="inlineStr">
        <is>
          <t>12 Juli 2013</t>
        </is>
      </c>
      <c r="I30" s="2" t="n">
        <v>46303</v>
      </c>
      <c r="J30" t="inlineStr">
        <is>
          <t>Disetujui</t>
        </is>
      </c>
      <c r="K30" t="n">
        <v>30</v>
      </c>
      <c r="L30" t="inlineStr">
        <is>
          <t>8 Oktober 2026</t>
        </is>
      </c>
      <c r="M30" t="inlineStr">
        <is>
          <t>Konstruksi Gedung Perbelanjaan</t>
        </is>
      </c>
      <c r="N30" t="inlineStr">
        <is>
          <t>K</t>
        </is>
      </c>
      <c r="O30" t="inlineStr">
        <is>
          <t>20231003</t>
        </is>
      </c>
      <c r="P30" t="inlineStr">
        <is>
          <t>Jawa Timur</t>
        </is>
      </c>
      <c r="Q30" t="inlineStr"/>
    </row>
    <row r="31">
      <c r="A31" t="inlineStr">
        <is>
          <t>CIPTA BIOSFERA ABADI</t>
        </is>
      </c>
      <c r="B31" t="inlineStr">
        <is>
          <t>Kota Pontianak</t>
        </is>
      </c>
      <c r="C31" t="inlineStr">
        <is>
          <t>081256059329</t>
        </is>
      </c>
      <c r="D31" t="inlineStr">
        <is>
          <t>cbiosferaabadi@gmail.com</t>
        </is>
      </c>
      <c r="E31" t="inlineStr">
        <is>
          <t>https://lpjk.pu.go.id/search-badan-usaha-detail/QndsQkhtMERTTUtHNk5Tbm9nTnZBQT09</t>
        </is>
      </c>
      <c r="F31" t="n">
        <v>4</v>
      </c>
      <c r="G31" t="inlineStr">
        <is>
          <t>BG001, BS001</t>
        </is>
      </c>
      <c r="H31" t="inlineStr">
        <is>
          <t>4 Maret 2015</t>
        </is>
      </c>
      <c r="I31" s="2" t="n">
        <v>46303</v>
      </c>
      <c r="J31" t="inlineStr">
        <is>
          <t>Disetujui</t>
        </is>
      </c>
      <c r="K31" t="n">
        <v>30</v>
      </c>
      <c r="L31" t="inlineStr">
        <is>
          <t>8 Oktober 2026</t>
        </is>
      </c>
      <c r="M31" t="inlineStr">
        <is>
          <t>Konstruksi Bangunan Sipil Jalan, Konstruksi Gedung Hunian</t>
        </is>
      </c>
      <c r="N31" t="inlineStr">
        <is>
          <t>K</t>
        </is>
      </c>
      <c r="O31" t="inlineStr">
        <is>
          <t>20231009</t>
        </is>
      </c>
      <c r="P31" t="inlineStr">
        <is>
          <t>Kalimantan Barat</t>
        </is>
      </c>
      <c r="Q31" t="inlineStr"/>
    </row>
    <row r="32">
      <c r="A32" t="inlineStr">
        <is>
          <t>CIPTA BUDITAMA</t>
        </is>
      </c>
      <c r="B32" t="inlineStr">
        <is>
          <t>Kota Banjarmasin</t>
        </is>
      </c>
      <c r="C32" t="inlineStr">
        <is>
          <t>08115139760</t>
        </is>
      </c>
      <c r="D32" t="inlineStr">
        <is>
          <t>cv.ciptabuditama@gmail.com</t>
        </is>
      </c>
      <c r="E32" t="inlineStr">
        <is>
          <t>https://lpjk.pu.go.id/search-badan-usaha-detail/MVlmd2JnVVBxRVBNOFQyWU5aMmpNZz09</t>
        </is>
      </c>
      <c r="F32" t="n">
        <v>2</v>
      </c>
      <c r="G32" t="inlineStr">
        <is>
          <t>RK001, RK002</t>
        </is>
      </c>
      <c r="H32" t="inlineStr">
        <is>
          <t>18 Desember 2013</t>
        </is>
      </c>
      <c r="I32" s="2" t="n">
        <v>46303</v>
      </c>
      <c r="J32" t="inlineStr">
        <is>
          <t>Disetujui</t>
        </is>
      </c>
      <c r="K32" t="n">
        <v>30</v>
      </c>
      <c r="L32" t="inlineStr">
        <is>
          <t>8 Oktober 2026</t>
        </is>
      </c>
      <c r="M32" t="inlineStr">
        <is>
          <t>Jasa Rekayasa Konstruksi Bangunan Gedung Hunian dan Non Hunian, Jasa Rekayasa Pekerjaan Teknik Sipil Sumber Daya Air</t>
        </is>
      </c>
      <c r="N32" t="inlineStr">
        <is>
          <t>K</t>
        </is>
      </c>
      <c r="O32" t="inlineStr">
        <is>
          <t>20231003</t>
        </is>
      </c>
      <c r="P32" t="inlineStr">
        <is>
          <t>Kalimantan Selatan</t>
        </is>
      </c>
      <c r="Q32" t="inlineStr"/>
    </row>
    <row r="33">
      <c r="A33" t="inlineStr">
        <is>
          <t>CIPTA YASA</t>
        </is>
      </c>
      <c r="B33" t="inlineStr">
        <is>
          <t>Kota Malang</t>
        </is>
      </c>
      <c r="C33" t="inlineStr">
        <is>
          <t>08123396344</t>
        </is>
      </c>
      <c r="D33" t="inlineStr">
        <is>
          <t>cv_ciptayasa04@yahoo.com</t>
        </is>
      </c>
      <c r="E33" t="inlineStr">
        <is>
          <t>https://lpjk.pu.go.id/search-badan-usaha-detail/cnRnQ0JyNW9ZU0tPSG5pYzJHcjI5dz09</t>
        </is>
      </c>
      <c r="F33" t="n">
        <v>2</v>
      </c>
      <c r="G33" t="inlineStr">
        <is>
          <t>RK001</t>
        </is>
      </c>
      <c r="H33" t="inlineStr">
        <is>
          <t>30 Mei 1991</t>
        </is>
      </c>
      <c r="I33" s="2" t="n">
        <v>46303</v>
      </c>
      <c r="J33" t="inlineStr">
        <is>
          <t>Disetujui</t>
        </is>
      </c>
      <c r="K33" t="n">
        <v>30</v>
      </c>
      <c r="L33" t="inlineStr">
        <is>
          <t>8 Oktober 2026</t>
        </is>
      </c>
      <c r="M33" t="inlineStr">
        <is>
          <t>Jasa Rekayasa Konstruksi Bangunan Gedung Hunian dan Non Hunian</t>
        </is>
      </c>
      <c r="N33" t="inlineStr">
        <is>
          <t>K</t>
        </is>
      </c>
      <c r="O33" t="inlineStr">
        <is>
          <t>20230927</t>
        </is>
      </c>
      <c r="P33" t="inlineStr">
        <is>
          <t>Jawa Timur</t>
        </is>
      </c>
      <c r="Q33" t="inlineStr"/>
    </row>
    <row r="34">
      <c r="A34" t="inlineStr">
        <is>
          <t>CITA RANCANG PRAJA</t>
        </is>
      </c>
      <c r="B34" t="inlineStr">
        <is>
          <t>Kota Palu</t>
        </is>
      </c>
      <c r="C34" t="inlineStr">
        <is>
          <t>082259105565</t>
        </is>
      </c>
      <c r="D34" t="inlineStr">
        <is>
          <t>ptcitarancangpraja@gmail.com</t>
        </is>
      </c>
      <c r="E34" t="inlineStr">
        <is>
          <t>https://lpjk.pu.go.id/search-badan-usaha-detail/YjBXRmZoclhBTDZjUkRNVWN4ajQydz09</t>
        </is>
      </c>
      <c r="F34" t="n">
        <v>3</v>
      </c>
      <c r="G34" t="inlineStr">
        <is>
          <t>AR001, AR002, AR003</t>
        </is>
      </c>
      <c r="H34" t="inlineStr">
        <is>
          <t>3 Juli 2023</t>
        </is>
      </c>
      <c r="I34" s="2" t="n">
        <v>46303</v>
      </c>
      <c r="J34" t="inlineStr">
        <is>
          <t>Pencabutan</t>
        </is>
      </c>
      <c r="K34" t="n">
        <v>30</v>
      </c>
      <c r="L34" t="inlineStr">
        <is>
          <t>8 Oktober 2026</t>
        </is>
      </c>
      <c r="M34" t="inlineStr">
        <is>
          <t>Jasa Arsitektural Bangunan Gedung Hunian dan Non Hunian, Jasa Arsitektural Lainnya, Jasa Desain Interior pada Bangunan Gedung dan Bangunan Sipil</t>
        </is>
      </c>
      <c r="N34" t="inlineStr">
        <is>
          <t>K</t>
        </is>
      </c>
      <c r="O34" t="inlineStr">
        <is>
          <t>20230915</t>
        </is>
      </c>
      <c r="P34" t="inlineStr">
        <is>
          <t>Sulawesi Tengah</t>
        </is>
      </c>
      <c r="Q34" t="inlineStr"/>
    </row>
    <row r="35">
      <c r="A35" t="inlineStr">
        <is>
          <t>CITRA</t>
        </is>
      </c>
      <c r="B35" t="inlineStr">
        <is>
          <t>Kab. Banyuwangi</t>
        </is>
      </c>
      <c r="C35" t="inlineStr">
        <is>
          <t>081231523509</t>
        </is>
      </c>
      <c r="D35" t="inlineStr">
        <is>
          <t>citrasejahtera525@gmail.com</t>
        </is>
      </c>
      <c r="E35" t="inlineStr">
        <is>
          <t>https://lpjk.pu.go.id/search-badan-usaha-detail/SnFGN0JNVTZuUXllSWdQUzBsOVB0QT09</t>
        </is>
      </c>
      <c r="F35" t="n">
        <v>4</v>
      </c>
      <c r="G35" t="inlineStr">
        <is>
          <t>BG005, BG006, BS001, BS004</t>
        </is>
      </c>
      <c r="H35" t="inlineStr">
        <is>
          <t>2 Oktober 1987</t>
        </is>
      </c>
      <c r="I35" s="2" t="n">
        <v>46303</v>
      </c>
      <c r="J35" t="inlineStr">
        <is>
          <t>Disetujui</t>
        </is>
      </c>
      <c r="K35" t="n">
        <v>30</v>
      </c>
      <c r="L35" t="inlineStr">
        <is>
          <t>8 Oktober 2026</t>
        </is>
      </c>
      <c r="M35" t="inlineStr">
        <is>
          <t>Konstruksi Bangunan Sipil Jalan, Konstruksi Gedung Kesehatan, Konstruksi Gedung Pendidikan, Konstruksi Jaringan Irigasi dan Drainase</t>
        </is>
      </c>
      <c r="N35" t="inlineStr">
        <is>
          <t>K</t>
        </is>
      </c>
      <c r="O35" t="inlineStr">
        <is>
          <t>20231006, 20231007, 20231009</t>
        </is>
      </c>
      <c r="P35" t="inlineStr">
        <is>
          <t>Jawa Timur</t>
        </is>
      </c>
      <c r="Q35" t="inlineStr"/>
    </row>
    <row r="36">
      <c r="A36" t="inlineStr">
        <is>
          <t>CITRA ANUGERAH SEJATI</t>
        </is>
      </c>
      <c r="B36" t="inlineStr">
        <is>
          <t>Kota Banjarmasin</t>
        </is>
      </c>
      <c r="C36" t="inlineStr">
        <is>
          <t>081257748903</t>
        </is>
      </c>
      <c r="D36" t="inlineStr">
        <is>
          <t>cvcitraanugerahsejati@gmail.com</t>
        </is>
      </c>
      <c r="E36" t="inlineStr">
        <is>
          <t>https://lpjk.pu.go.id/search-badan-usaha-detail/TzZqNC8ybURLbmZOY3lPVzBOVkxXQT09</t>
        </is>
      </c>
      <c r="F36" t="n">
        <v>1</v>
      </c>
      <c r="G36" t="inlineStr">
        <is>
          <t>BS010</t>
        </is>
      </c>
      <c r="H36" t="inlineStr">
        <is>
          <t>25 Juli 2022</t>
        </is>
      </c>
      <c r="I36" s="2" t="n">
        <v>46303</v>
      </c>
      <c r="J36" t="inlineStr">
        <is>
          <t>Disetujui</t>
        </is>
      </c>
      <c r="K36" t="n">
        <v>30</v>
      </c>
      <c r="L36" t="inlineStr">
        <is>
          <t>8 Oktober 2026</t>
        </is>
      </c>
      <c r="M36" t="inlineStr">
        <is>
          <t>Konstruksi Bangunan Prasarana Sumber Daya Air</t>
        </is>
      </c>
      <c r="N36" t="inlineStr">
        <is>
          <t>K</t>
        </is>
      </c>
      <c r="O36" t="inlineStr">
        <is>
          <t>20230921</t>
        </is>
      </c>
      <c r="P36" t="inlineStr">
        <is>
          <t>Kalimantan Selatan</t>
        </is>
      </c>
      <c r="Q36" t="inlineStr"/>
    </row>
    <row r="37">
      <c r="A37" t="inlineStr">
        <is>
          <t>CITRA DELTA MAKMUR</t>
        </is>
      </c>
      <c r="B37" t="inlineStr">
        <is>
          <t>Kab. Sidoarjo</t>
        </is>
      </c>
      <c r="C37" t="inlineStr">
        <is>
          <t>03199005858</t>
        </is>
      </c>
      <c r="D37" t="inlineStr">
        <is>
          <t>smcitradelta@gmail.com</t>
        </is>
      </c>
      <c r="E37" t="inlineStr">
        <is>
          <t>https://lpjk.pu.go.id/search-badan-usaha-detail/anZBRzBwMk8rK2RYZEhqYXdteEprUT09</t>
        </is>
      </c>
      <c r="F37" t="n">
        <v>2</v>
      </c>
      <c r="G37" t="inlineStr">
        <is>
          <t>BS001, BS004</t>
        </is>
      </c>
      <c r="H37" t="inlineStr">
        <is>
          <t>26 Maret 2012</t>
        </is>
      </c>
      <c r="I37" s="2" t="n">
        <v>46303</v>
      </c>
      <c r="J37" t="inlineStr">
        <is>
          <t>Disetujui</t>
        </is>
      </c>
      <c r="K37" t="n">
        <v>30</v>
      </c>
      <c r="L37" t="inlineStr">
        <is>
          <t>8 Oktober 2026</t>
        </is>
      </c>
      <c r="M37" t="inlineStr">
        <is>
          <t>Konstruksi Bangunan Sipil Jalan, Konstruksi Jaringan Irigasi dan Drainase</t>
        </is>
      </c>
      <c r="N37" t="inlineStr">
        <is>
          <t>K</t>
        </is>
      </c>
      <c r="O37" t="inlineStr">
        <is>
          <t>20230922, 20231009</t>
        </is>
      </c>
      <c r="P37" t="inlineStr">
        <is>
          <t>Jawa Timur</t>
        </is>
      </c>
      <c r="Q37" t="inlineStr"/>
    </row>
    <row r="38">
      <c r="A38" t="inlineStr">
        <is>
          <t>CITRA HARDA MANDIRI</t>
        </is>
      </c>
      <c r="B38" t="inlineStr">
        <is>
          <t>Kota Pangkal Pinang</t>
        </is>
      </c>
      <c r="C38" t="inlineStr">
        <is>
          <t>085267277330</t>
        </is>
      </c>
      <c r="D38" t="inlineStr">
        <is>
          <t>citrahardamandiri1@gmail.com</t>
        </is>
      </c>
      <c r="E38" t="inlineStr">
        <is>
          <t>https://lpjk.pu.go.id/search-badan-usaha-detail/SVg2cWdQVlZMZ2RvbHZTUW9rM1pEdz09</t>
        </is>
      </c>
      <c r="F38" t="n">
        <v>1</v>
      </c>
      <c r="G38" t="inlineStr">
        <is>
          <t>BG009</t>
        </is>
      </c>
      <c r="H38" t="inlineStr">
        <is>
          <t>23 April 2004</t>
        </is>
      </c>
      <c r="I38" s="2" t="n">
        <v>46303</v>
      </c>
      <c r="J38" t="inlineStr">
        <is>
          <t>Disetujui</t>
        </is>
      </c>
      <c r="K38" t="n">
        <v>30</v>
      </c>
      <c r="L38" t="inlineStr">
        <is>
          <t>8 Oktober 2026</t>
        </is>
      </c>
      <c r="M38" t="inlineStr">
        <is>
          <t>Konstruksi Gedung Lainnya</t>
        </is>
      </c>
      <c r="N38" t="inlineStr">
        <is>
          <t>K</t>
        </is>
      </c>
      <c r="O38" t="inlineStr">
        <is>
          <t>20230920</t>
        </is>
      </c>
      <c r="P38" t="inlineStr">
        <is>
          <t>Kepulauan Bangka Belitung</t>
        </is>
      </c>
      <c r="Q38" t="inlineStr"/>
    </row>
    <row r="39">
      <c r="A39" t="inlineStr">
        <is>
          <t>CITRA KARYA MANDIRI</t>
        </is>
      </c>
      <c r="B39" t="inlineStr">
        <is>
          <t>Kota Bandung</t>
        </is>
      </c>
      <c r="C39" t="inlineStr">
        <is>
          <t>0227565827</t>
        </is>
      </c>
      <c r="D39" t="inlineStr">
        <is>
          <t>cvckmbdg@gmail.com</t>
        </is>
      </c>
      <c r="E39" t="inlineStr">
        <is>
          <t>https://lpjk.pu.go.id/search-badan-usaha-detail/NWhRN2kzQy9VK2lXNy9hb2ZJdmplQT09</t>
        </is>
      </c>
      <c r="F39" t="n">
        <v>3</v>
      </c>
      <c r="G39" t="inlineStr">
        <is>
          <t>BG001, BG002, BG006</t>
        </is>
      </c>
      <c r="H39" t="inlineStr">
        <is>
          <t>21 April 1992</t>
        </is>
      </c>
      <c r="I39" s="2" t="n">
        <v>46303</v>
      </c>
      <c r="J39" t="inlineStr">
        <is>
          <t>Disetujui</t>
        </is>
      </c>
      <c r="K39" t="n">
        <v>30</v>
      </c>
      <c r="L39" t="inlineStr">
        <is>
          <t>8 Oktober 2026</t>
        </is>
      </c>
      <c r="M39" t="inlineStr">
        <is>
          <t>Konstruksi Gedung Hunian, Konstruksi Gedung Pendidikan, Konstruksi Gedung Perkantoran</t>
        </is>
      </c>
      <c r="N39" t="inlineStr">
        <is>
          <t>K</t>
        </is>
      </c>
      <c r="O39" t="inlineStr">
        <is>
          <t>20230907, 20231006</t>
        </is>
      </c>
      <c r="P39" t="inlineStr">
        <is>
          <t>Jawa Barat</t>
        </is>
      </c>
      <c r="Q39" t="inlineStr"/>
    </row>
    <row r="40">
      <c r="A40" t="inlineStr">
        <is>
          <t>CV. BAHAS</t>
        </is>
      </c>
      <c r="B40" t="inlineStr">
        <is>
          <t>Kab. Dharmasraya</t>
        </is>
      </c>
      <c r="C40" t="inlineStr">
        <is>
          <t>081374351544</t>
        </is>
      </c>
      <c r="D40" t="inlineStr">
        <is>
          <t>cv.bahas2019@gmail.com</t>
        </is>
      </c>
      <c r="E40" t="inlineStr">
        <is>
          <t>https://lpjk.pu.go.id/search-badan-usaha-detail/M1A3TlcwT1NvOHBycmZoUXlYQXdPUT09</t>
        </is>
      </c>
      <c r="F40" t="n">
        <v>2</v>
      </c>
      <c r="G40" t="inlineStr">
        <is>
          <t>BS002, BS004</t>
        </is>
      </c>
      <c r="H40" t="inlineStr">
        <is>
          <t>9 Mei 2005</t>
        </is>
      </c>
      <c r="I40" s="2" t="n">
        <v>46303</v>
      </c>
      <c r="J40" t="inlineStr">
        <is>
          <t>Disetujui</t>
        </is>
      </c>
      <c r="K40" t="n">
        <v>30</v>
      </c>
      <c r="L40" t="inlineStr">
        <is>
          <t>8 Oktober 2026</t>
        </is>
      </c>
      <c r="M40" t="inlineStr">
        <is>
          <t>Bangunan Sipil Jembatan, Jalan Layang, Fly Over, dan Underpass, Konstruksi Jaringan Irigasi dan Drainase</t>
        </is>
      </c>
      <c r="N40" t="inlineStr">
        <is>
          <t>K</t>
        </is>
      </c>
      <c r="O40" t="inlineStr">
        <is>
          <t>20231008, 20231009</t>
        </is>
      </c>
      <c r="P40" t="inlineStr">
        <is>
          <t>Sumatera Barat</t>
        </is>
      </c>
      <c r="Q40" t="inlineStr"/>
    </row>
    <row r="41">
      <c r="A41" t="inlineStr">
        <is>
          <t>CV. MAY</t>
        </is>
      </c>
      <c r="B41" t="inlineStr">
        <is>
          <t>Kab. Barito Selatan</t>
        </is>
      </c>
      <c r="C41" t="inlineStr">
        <is>
          <t>082255399827</t>
        </is>
      </c>
      <c r="D41" t="inlineStr">
        <is>
          <t>may.cv.buntok@gmail.com</t>
        </is>
      </c>
      <c r="E41" t="inlineStr">
        <is>
          <t>https://lpjk.pu.go.id/search-badan-usaha-detail/dXQrSE02b2FVaVdvaUtnRGR6YzJmUT09</t>
        </is>
      </c>
      <c r="F41" t="n">
        <v>3</v>
      </c>
      <c r="G41" t="inlineStr">
        <is>
          <t>BG006, BG009, BS001</t>
        </is>
      </c>
      <c r="H41" t="inlineStr">
        <is>
          <t>16 September 2001</t>
        </is>
      </c>
      <c r="I41" s="2" t="n">
        <v>46303</v>
      </c>
      <c r="J41" t="inlineStr">
        <is>
          <t>Disetujui</t>
        </is>
      </c>
      <c r="K41" t="n">
        <v>30</v>
      </c>
      <c r="L41" t="inlineStr">
        <is>
          <t>8 Oktober 2026</t>
        </is>
      </c>
      <c r="M41" t="inlineStr">
        <is>
          <t>Konstruksi Bangunan Sipil Jalan, Konstruksi Gedung Lainnya, Konstruksi Gedung Pendidikan</t>
        </is>
      </c>
      <c r="N41" t="inlineStr">
        <is>
          <t>K</t>
        </is>
      </c>
      <c r="O41" t="inlineStr">
        <is>
          <t>20231005</t>
        </is>
      </c>
      <c r="P41" t="inlineStr">
        <is>
          <t>Kalimantan Tengah</t>
        </is>
      </c>
      <c r="Q41" t="inlineStr"/>
    </row>
    <row r="42">
      <c r="A42" t="inlineStr">
        <is>
          <t>DAMAR KARYA ENGINEERING</t>
        </is>
      </c>
      <c r="B42" t="inlineStr">
        <is>
          <t>Kota Bukittinggi</t>
        </is>
      </c>
      <c r="C42" t="inlineStr">
        <is>
          <t>081363337112</t>
        </is>
      </c>
      <c r="D42" t="inlineStr">
        <is>
          <t>mril6030@gmail.com</t>
        </is>
      </c>
      <c r="E42" t="inlineStr">
        <is>
          <t>https://lpjk.pu.go.id/search-badan-usaha-detail/clRGNUUreEZ6SlNuOG81SUlob1pEUT09</t>
        </is>
      </c>
      <c r="F42" t="n">
        <v>2</v>
      </c>
      <c r="G42" t="inlineStr">
        <is>
          <t>RK001</t>
        </is>
      </c>
      <c r="H42" t="inlineStr">
        <is>
          <t>9 Januari 2012</t>
        </is>
      </c>
      <c r="I42" s="2" t="n">
        <v>46303</v>
      </c>
      <c r="J42" t="inlineStr">
        <is>
          <t>Disetujui</t>
        </is>
      </c>
      <c r="K42" t="n">
        <v>30</v>
      </c>
      <c r="L42" t="inlineStr">
        <is>
          <t>8 Oktober 2026</t>
        </is>
      </c>
      <c r="M42" t="inlineStr">
        <is>
          <t>Jasa Rekayasa Konstruksi Bangunan Gedung Hunian dan Non Hunian</t>
        </is>
      </c>
      <c r="N42" t="inlineStr">
        <is>
          <t>K</t>
        </is>
      </c>
      <c r="O42" t="inlineStr">
        <is>
          <t>20230920</t>
        </is>
      </c>
      <c r="P42" t="inlineStr">
        <is>
          <t>Sumatera Barat</t>
        </is>
      </c>
      <c r="Q42" t="inlineStr"/>
    </row>
    <row r="43">
      <c r="A43" t="inlineStr">
        <is>
          <t>DAYA INTRA PERSADA</t>
        </is>
      </c>
      <c r="B43" t="inlineStr">
        <is>
          <t>Kota Adm. Jakarta Pusat</t>
        </is>
      </c>
      <c r="C43" t="inlineStr">
        <is>
          <t>081298871472</t>
        </is>
      </c>
      <c r="D43" t="inlineStr">
        <is>
          <t>hello.ptdip@gmail.com</t>
        </is>
      </c>
      <c r="E43" t="inlineStr">
        <is>
          <t>https://lpjk.pu.go.id/search-badan-usaha-detail/d1ZNU2t0OVpKeC9PK0lKWHBFNGtBdz09</t>
        </is>
      </c>
      <c r="F43" t="n">
        <v>1</v>
      </c>
      <c r="G43" t="inlineStr">
        <is>
          <t>BS001</t>
        </is>
      </c>
      <c r="H43" t="inlineStr">
        <is>
          <t>19 Juni 2023</t>
        </is>
      </c>
      <c r="I43" s="2" t="n">
        <v>46303</v>
      </c>
      <c r="J43" t="inlineStr">
        <is>
          <t>Disetujui</t>
        </is>
      </c>
      <c r="K43" t="n">
        <v>30</v>
      </c>
      <c r="L43" t="inlineStr">
        <is>
          <t>8 Oktober 2026</t>
        </is>
      </c>
      <c r="M43" t="inlineStr">
        <is>
          <t>Konstruksi Bangunan Sipil Jalan</t>
        </is>
      </c>
      <c r="N43" t="inlineStr">
        <is>
          <t>K</t>
        </is>
      </c>
      <c r="O43" t="inlineStr">
        <is>
          <t>20231006</t>
        </is>
      </c>
      <c r="P43" t="inlineStr">
        <is>
          <t>DKI Jakarta</t>
        </is>
      </c>
      <c r="Q43" t="inlineStr"/>
    </row>
    <row r="44">
      <c r="A44" t="inlineStr">
        <is>
          <t>DEWI LESTARI</t>
        </is>
      </c>
      <c r="B44" t="inlineStr">
        <is>
          <t>Kab. Ketapang</t>
        </is>
      </c>
      <c r="C44" t="inlineStr">
        <is>
          <t>089694324690</t>
        </is>
      </c>
      <c r="D44" t="inlineStr">
        <is>
          <t>darmawan64k@gmail.com</t>
        </is>
      </c>
      <c r="E44" t="inlineStr">
        <is>
          <t>https://lpjk.pu.go.id/search-badan-usaha-detail/aC9sb1pvM2NTdlFqYm9hK2RwTzBvUT09</t>
        </is>
      </c>
      <c r="F44" t="n">
        <v>1</v>
      </c>
      <c r="G44" t="inlineStr">
        <is>
          <t>BG005</t>
        </is>
      </c>
      <c r="H44" t="inlineStr">
        <is>
          <t>9 Juni 2008</t>
        </is>
      </c>
      <c r="I44" s="2" t="n">
        <v>46303</v>
      </c>
      <c r="J44" t="inlineStr">
        <is>
          <t>Disetujui</t>
        </is>
      </c>
      <c r="K44" t="n">
        <v>30</v>
      </c>
      <c r="L44" t="inlineStr">
        <is>
          <t>8 Oktober 2026</t>
        </is>
      </c>
      <c r="M44" t="inlineStr">
        <is>
          <t>Konstruksi Gedung Kesehatan</t>
        </is>
      </c>
      <c r="N44" t="inlineStr">
        <is>
          <t>K</t>
        </is>
      </c>
      <c r="O44" t="inlineStr">
        <is>
          <t>20231009</t>
        </is>
      </c>
      <c r="P44" t="inlineStr">
        <is>
          <t>Kalimantan Barat</t>
        </is>
      </c>
      <c r="Q44" t="inlineStr"/>
    </row>
    <row r="45">
      <c r="A45" t="inlineStr">
        <is>
          <t>DITA KONSULTAN</t>
        </is>
      </c>
      <c r="B45" t="inlineStr">
        <is>
          <t>Kab. Sumbawa</t>
        </is>
      </c>
      <c r="C45" t="inlineStr">
        <is>
          <t>085239557575</t>
        </is>
      </c>
      <c r="D45" t="inlineStr">
        <is>
          <t>cvdita@gmail.com</t>
        </is>
      </c>
      <c r="E45" t="inlineStr">
        <is>
          <t>https://lpjk.pu.go.id/search-badan-usaha-detail/dmgvaE41OWEzZUM1cW5GQWUxMGdBZz09</t>
        </is>
      </c>
      <c r="F45" t="n">
        <v>1</v>
      </c>
      <c r="G45" t="inlineStr">
        <is>
          <t>RK003</t>
        </is>
      </c>
      <c r="H45" t="inlineStr">
        <is>
          <t>21 Agustus 2009</t>
        </is>
      </c>
      <c r="I45" s="2" t="n">
        <v>46303</v>
      </c>
      <c r="J45" t="inlineStr">
        <is>
          <t>Disetujui</t>
        </is>
      </c>
      <c r="K45" t="n">
        <v>30</v>
      </c>
      <c r="L45" t="inlineStr">
        <is>
          <t>8 Oktober 2026</t>
        </is>
      </c>
      <c r="M45" t="inlineStr">
        <is>
          <t>Jasa Rekayasa Pekerjaan Teknik Sipil Transportasi</t>
        </is>
      </c>
      <c r="N45" t="inlineStr">
        <is>
          <t>K</t>
        </is>
      </c>
      <c r="O45" t="inlineStr">
        <is>
          <t>20230926</t>
        </is>
      </c>
      <c r="P45" t="inlineStr">
        <is>
          <t>Nusa Tenggara Barat</t>
        </is>
      </c>
      <c r="Q45" t="inlineStr"/>
    </row>
    <row r="46">
      <c r="A46" t="inlineStr">
        <is>
          <t>DUTA JAYA SEJAHTERA</t>
        </is>
      </c>
      <c r="B46" t="inlineStr">
        <is>
          <t>Kab. Bojonegoro</t>
        </is>
      </c>
      <c r="C46" t="inlineStr">
        <is>
          <t>081234918040</t>
        </is>
      </c>
      <c r="D46" t="inlineStr">
        <is>
          <t>sejahtera305@gmail.com</t>
        </is>
      </c>
      <c r="E46" t="inlineStr">
        <is>
          <t>https://lpjk.pu.go.id/search-badan-usaha-detail/ZTFQMmljQjVNVkYvNzllUEtTQk0zQT09</t>
        </is>
      </c>
      <c r="F46" t="n">
        <v>3</v>
      </c>
      <c r="G46" t="inlineStr">
        <is>
          <t>BS001, BS002, BS004</t>
        </is>
      </c>
      <c r="H46" t="inlineStr">
        <is>
          <t>24 Agustus 2020</t>
        </is>
      </c>
      <c r="I46" s="2" t="n">
        <v>46303</v>
      </c>
      <c r="J46" t="inlineStr">
        <is>
          <t>Disetujui</t>
        </is>
      </c>
      <c r="K46" t="n">
        <v>30</v>
      </c>
      <c r="L46" t="inlineStr">
        <is>
          <t>8 Oktober 2026</t>
        </is>
      </c>
      <c r="M46" t="inlineStr">
        <is>
          <t>Bangunan Sipil Jembatan, Jalan Layang, Fly Over, dan Underpass, Konstruksi Bangunan Sipil Jalan, Konstruksi Jaringan Irigasi dan Drainase</t>
        </is>
      </c>
      <c r="N46" t="inlineStr">
        <is>
          <t>K</t>
        </is>
      </c>
      <c r="O46" t="inlineStr">
        <is>
          <t>20231009</t>
        </is>
      </c>
      <c r="P46" t="inlineStr">
        <is>
          <t>Jawa Timur</t>
        </is>
      </c>
      <c r="Q46" t="inlineStr"/>
    </row>
    <row r="47">
      <c r="A47" t="inlineStr">
        <is>
          <t>EKA PUTRA MANDIRI</t>
        </is>
      </c>
      <c r="B47" t="inlineStr">
        <is>
          <t>Kota Bitung</t>
        </is>
      </c>
      <c r="C47" t="inlineStr">
        <is>
          <t>081340517919</t>
        </is>
      </c>
      <c r="D47" t="inlineStr">
        <is>
          <t>latifrasqa@gmail.com</t>
        </is>
      </c>
      <c r="E47" t="inlineStr">
        <is>
          <t>https://lpjk.pu.go.id/search-badan-usaha-detail/MG0rN1ZUWWpDeVluUVRNTlJmeFRJdz09</t>
        </is>
      </c>
      <c r="F47" t="n">
        <v>1</v>
      </c>
      <c r="G47" t="inlineStr">
        <is>
          <t>BG002</t>
        </is>
      </c>
      <c r="H47" t="inlineStr">
        <is>
          <t>12 Januari 2007</t>
        </is>
      </c>
      <c r="I47" s="2" t="n">
        <v>46303</v>
      </c>
      <c r="J47" t="inlineStr">
        <is>
          <t>Disetujui</t>
        </is>
      </c>
      <c r="K47" t="n">
        <v>30</v>
      </c>
      <c r="L47" t="inlineStr">
        <is>
          <t>8 Oktober 2026</t>
        </is>
      </c>
      <c r="M47" t="inlineStr">
        <is>
          <t>Konstruksi Gedung Perkantoran</t>
        </is>
      </c>
      <c r="N47" t="inlineStr">
        <is>
          <t>K</t>
        </is>
      </c>
      <c r="O47" t="inlineStr">
        <is>
          <t>20231005</t>
        </is>
      </c>
      <c r="P47" t="inlineStr">
        <is>
          <t>Sulawesi Utara</t>
        </is>
      </c>
      <c r="Q47" t="inlineStr"/>
    </row>
    <row r="48">
      <c r="A48" t="inlineStr">
        <is>
          <t>EMPAT TUJUH</t>
        </is>
      </c>
      <c r="B48" t="inlineStr">
        <is>
          <t>Kab. Boven Digoel</t>
        </is>
      </c>
      <c r="C48" t="inlineStr">
        <is>
          <t>085399995299</t>
        </is>
      </c>
      <c r="D48" t="inlineStr">
        <is>
          <t>cvempat7@gmail.com</t>
        </is>
      </c>
      <c r="E48" t="inlineStr">
        <is>
          <t>https://lpjk.pu.go.id/search-badan-usaha-detail/Sk9ZbEZ6SVBPRWpKUjJBemlNMVVJZz09</t>
        </is>
      </c>
      <c r="F48" t="n">
        <v>1</v>
      </c>
      <c r="G48" t="inlineStr">
        <is>
          <t>BS001</t>
        </is>
      </c>
      <c r="H48" t="inlineStr">
        <is>
          <t>19 Oktober 2020</t>
        </is>
      </c>
      <c r="I48" s="2" t="n">
        <v>46303</v>
      </c>
      <c r="J48" t="inlineStr">
        <is>
          <t>Disetujui</t>
        </is>
      </c>
      <c r="K48" t="n">
        <v>30</v>
      </c>
      <c r="L48" t="inlineStr">
        <is>
          <t>8 Oktober 2026</t>
        </is>
      </c>
      <c r="M48" t="inlineStr">
        <is>
          <t>Konstruksi Bangunan Sipil Jalan</t>
        </is>
      </c>
      <c r="N48" t="inlineStr">
        <is>
          <t>K</t>
        </is>
      </c>
      <c r="O48" t="inlineStr">
        <is>
          <t>20231008</t>
        </is>
      </c>
      <c r="P48" t="inlineStr">
        <is>
          <t>Papua</t>
        </is>
      </c>
      <c r="Q48" t="inlineStr"/>
    </row>
    <row r="49">
      <c r="A49" t="inlineStr">
        <is>
          <t>ERDUA KARYA UTAMA</t>
        </is>
      </c>
      <c r="B49" t="inlineStr">
        <is>
          <t>Kota Surabaya</t>
        </is>
      </c>
      <c r="C49" t="inlineStr">
        <is>
          <t>081335803589</t>
        </is>
      </c>
      <c r="D49" t="inlineStr">
        <is>
          <t>erduakaryautama@gmail.com</t>
        </is>
      </c>
      <c r="E49" t="inlineStr">
        <is>
          <t>https://lpjk.pu.go.id/search-badan-usaha-detail/TGpaUDdZRm9STFhJaGFnOHZiVUd0Zz09</t>
        </is>
      </c>
      <c r="F49" t="n">
        <v>2</v>
      </c>
      <c r="G49" t="inlineStr">
        <is>
          <t>BG004, BG006</t>
        </is>
      </c>
      <c r="H49" t="inlineStr">
        <is>
          <t>16 Januari 2014</t>
        </is>
      </c>
      <c r="I49" s="2" t="n">
        <v>46303</v>
      </c>
      <c r="J49" t="inlineStr">
        <is>
          <t>Disetujui</t>
        </is>
      </c>
      <c r="K49" t="n">
        <v>30</v>
      </c>
      <c r="L49" t="inlineStr">
        <is>
          <t>8 Oktober 2026</t>
        </is>
      </c>
      <c r="M49" t="inlineStr">
        <is>
          <t>Konstruksi Gedung Pendidikan, Konstruksi Gedung Perbelanjaan</t>
        </is>
      </c>
      <c r="N49" t="inlineStr">
        <is>
          <t>K</t>
        </is>
      </c>
      <c r="O49" t="inlineStr">
        <is>
          <t>20231004</t>
        </is>
      </c>
      <c r="P49" t="inlineStr">
        <is>
          <t>Jawa Timur</t>
        </is>
      </c>
      <c r="Q49" t="inlineStr"/>
    </row>
    <row r="50">
      <c r="A50" t="inlineStr">
        <is>
          <t>GELARAN JAYA MANUNGGAL</t>
        </is>
      </c>
      <c r="B50" t="inlineStr">
        <is>
          <t>Kota Semarang</t>
        </is>
      </c>
      <c r="C50" t="inlineStr">
        <is>
          <t>089668678899</t>
        </is>
      </c>
      <c r="D50" t="inlineStr">
        <is>
          <t>gelaranjayamanunggalcv@gmail.com</t>
        </is>
      </c>
      <c r="E50" t="inlineStr">
        <is>
          <t>https://lpjk.pu.go.id/search-badan-usaha-detail/VlFsY0JuSGt6TGVtRG5zaU4wcXdQQT09</t>
        </is>
      </c>
      <c r="F50" t="n">
        <v>6</v>
      </c>
      <c r="G50" t="inlineStr">
        <is>
          <t>BG002, BG005, BG006</t>
        </is>
      </c>
      <c r="H50" t="inlineStr">
        <is>
          <t>11 April 1990</t>
        </is>
      </c>
      <c r="I50" s="2" t="n">
        <v>46303</v>
      </c>
      <c r="J50" t="inlineStr">
        <is>
          <t>Disetujui</t>
        </is>
      </c>
      <c r="K50" t="n">
        <v>30</v>
      </c>
      <c r="L50" t="inlineStr">
        <is>
          <t>8 Oktober 2026</t>
        </is>
      </c>
      <c r="M50" t="inlineStr">
        <is>
          <t>Konstruksi Gedung Kesehatan, Konstruksi Gedung Pendidikan, Konstruksi Gedung Perkantoran</t>
        </is>
      </c>
      <c r="N50" t="inlineStr">
        <is>
          <t>K</t>
        </is>
      </c>
      <c r="O50" t="inlineStr">
        <is>
          <t>20231004</t>
        </is>
      </c>
      <c r="P50" t="inlineStr">
        <is>
          <t>Jawa Tengah</t>
        </is>
      </c>
      <c r="Q50" t="inlineStr"/>
    </row>
    <row r="51">
      <c r="A51" t="inlineStr">
        <is>
          <t>GERBANG MULTINDO NUSANTARA</t>
        </is>
      </c>
      <c r="B51" t="inlineStr">
        <is>
          <t>Kota Adm. Jakarta Barat</t>
        </is>
      </c>
      <c r="C51" t="inlineStr">
        <is>
          <t>0217651824</t>
        </is>
      </c>
      <c r="D51" t="inlineStr">
        <is>
          <t>gmultindonusantara@gmail.com</t>
        </is>
      </c>
      <c r="E51" t="inlineStr">
        <is>
          <t>https://lpjk.pu.go.id/search-badan-usaha-detail/U0cwOHlWTzM3SEJ4Q3lHbFdyTHA4Zz09</t>
        </is>
      </c>
      <c r="F51" t="n">
        <v>1</v>
      </c>
      <c r="G51" t="inlineStr">
        <is>
          <t>IN008</t>
        </is>
      </c>
      <c r="H51" t="inlineStr">
        <is>
          <t>2 September 1994</t>
        </is>
      </c>
      <c r="I51" s="2" t="n">
        <v>46303</v>
      </c>
      <c r="J51" t="inlineStr">
        <is>
          <t>Pembekuan</t>
        </is>
      </c>
      <c r="K51" t="n">
        <v>30</v>
      </c>
      <c r="L51" t="inlineStr">
        <is>
          <t>8 Oktober 2026</t>
        </is>
      </c>
      <c r="M51" t="inlineStr">
        <is>
          <t>Instalasi Pendingin Dan Ventilasi Udara</t>
        </is>
      </c>
      <c r="N51" t="inlineStr">
        <is>
          <t>Spesialis</t>
        </is>
      </c>
      <c r="O51" t="inlineStr">
        <is>
          <t>20231006</t>
        </is>
      </c>
      <c r="P51" t="inlineStr">
        <is>
          <t>DKI Jakarta</t>
        </is>
      </c>
      <c r="Q51" t="inlineStr"/>
    </row>
    <row r="52">
      <c r="A52" t="inlineStr">
        <is>
          <t>GIBRAN CAHAYA ANUGRAH</t>
        </is>
      </c>
      <c r="B52" t="inlineStr">
        <is>
          <t>Kota Pekanbaru</t>
        </is>
      </c>
      <c r="C52" t="inlineStr">
        <is>
          <t>081363280039</t>
        </is>
      </c>
      <c r="D52" t="inlineStr">
        <is>
          <t>gibrancahayaanugrah.pt@gmail.com</t>
        </is>
      </c>
      <c r="E52" t="inlineStr">
        <is>
          <t>https://lpjk.pu.go.id/search-badan-usaha-detail/ZXo0ZWdGaTVScHlITnl4KzZaYWhxZz09</t>
        </is>
      </c>
      <c r="F52" t="n">
        <v>1</v>
      </c>
      <c r="G52" t="inlineStr">
        <is>
          <t>BG001</t>
        </is>
      </c>
      <c r="H52" t="inlineStr">
        <is>
          <t>20 Januari 2016</t>
        </is>
      </c>
      <c r="I52" s="2" t="n">
        <v>46303</v>
      </c>
      <c r="J52" t="inlineStr">
        <is>
          <t>Disetujui</t>
        </is>
      </c>
      <c r="K52" t="n">
        <v>30</v>
      </c>
      <c r="L52" t="inlineStr">
        <is>
          <t>8 Oktober 2026</t>
        </is>
      </c>
      <c r="M52" t="inlineStr">
        <is>
          <t>Konstruksi Gedung Hunian</t>
        </is>
      </c>
      <c r="N52" t="inlineStr">
        <is>
          <t>K</t>
        </is>
      </c>
      <c r="O52" t="inlineStr">
        <is>
          <t>20231008</t>
        </is>
      </c>
      <c r="P52" t="inlineStr">
        <is>
          <t>Riau</t>
        </is>
      </c>
      <c r="Q52" t="inlineStr"/>
    </row>
    <row r="53">
      <c r="A53" t="inlineStr">
        <is>
          <t>GOLDEN KEY</t>
        </is>
      </c>
      <c r="B53" t="inlineStr">
        <is>
          <t>Kab. Minahasa Utara</t>
        </is>
      </c>
      <c r="C53" t="inlineStr">
        <is>
          <t>085398396975</t>
        </is>
      </c>
      <c r="D53" t="inlineStr">
        <is>
          <t>wagiu.natasya@gmail.com</t>
        </is>
      </c>
      <c r="E53" t="inlineStr">
        <is>
          <t>https://lpjk.pu.go.id/search-badan-usaha-detail/ZnlkUUgwNWhGNnB5VmtiQ1B2UTRqdz09</t>
        </is>
      </c>
      <c r="F53" t="n">
        <v>2</v>
      </c>
      <c r="G53" t="inlineStr">
        <is>
          <t>BG006</t>
        </is>
      </c>
      <c r="H53" t="inlineStr">
        <is>
          <t>19 Maret 2019</t>
        </is>
      </c>
      <c r="I53" s="2" t="n">
        <v>46303</v>
      </c>
      <c r="J53" t="inlineStr">
        <is>
          <t>Disetujui</t>
        </is>
      </c>
      <c r="K53" t="n">
        <v>30</v>
      </c>
      <c r="L53" t="inlineStr">
        <is>
          <t>8 Oktober 2026</t>
        </is>
      </c>
      <c r="M53" t="inlineStr">
        <is>
          <t>Konstruksi Gedung Pendidikan</t>
        </is>
      </c>
      <c r="N53" t="inlineStr">
        <is>
          <t>K</t>
        </is>
      </c>
      <c r="O53" t="inlineStr">
        <is>
          <t>20231009</t>
        </is>
      </c>
      <c r="P53" t="inlineStr">
        <is>
          <t>Sulawesi Utara</t>
        </is>
      </c>
      <c r="Q53" t="inlineStr"/>
    </row>
    <row r="54">
      <c r="A54" t="inlineStr">
        <is>
          <t>GREEN AMOLE</t>
        </is>
      </c>
      <c r="B54" t="inlineStr">
        <is>
          <t>Kab. Kutai Timur</t>
        </is>
      </c>
      <c r="C54" t="inlineStr">
        <is>
          <t>085334778855</t>
        </is>
      </c>
      <c r="D54" t="inlineStr">
        <is>
          <t>Greenamolec@gmail.com</t>
        </is>
      </c>
      <c r="E54" t="inlineStr">
        <is>
          <t>https://lpjk.pu.go.id/search-badan-usaha-detail/RTVaTHVpUFJacDUwVGl0Yjh6YkxqQT09</t>
        </is>
      </c>
      <c r="F54" t="n">
        <v>2</v>
      </c>
      <c r="G54" t="inlineStr">
        <is>
          <t>BG001</t>
        </is>
      </c>
      <c r="H54" t="inlineStr">
        <is>
          <t>1 September 2023</t>
        </is>
      </c>
      <c r="I54" s="2" t="n">
        <v>46303</v>
      </c>
      <c r="J54" t="inlineStr">
        <is>
          <t>Pencabutan</t>
        </is>
      </c>
      <c r="K54" t="n">
        <v>30</v>
      </c>
      <c r="L54" t="inlineStr">
        <is>
          <t>8 Oktober 2026</t>
        </is>
      </c>
      <c r="M54" t="inlineStr">
        <is>
          <t>Konstruksi Gedung Hunian</t>
        </is>
      </c>
      <c r="N54" t="inlineStr">
        <is>
          <t>K</t>
        </is>
      </c>
      <c r="O54" t="inlineStr">
        <is>
          <t>20231009</t>
        </is>
      </c>
      <c r="P54" t="inlineStr">
        <is>
          <t>Kalimantan Timur</t>
        </is>
      </c>
      <c r="Q54" t="inlineStr"/>
    </row>
    <row r="55">
      <c r="A55" t="inlineStr">
        <is>
          <t>GREEN GARDEN</t>
        </is>
      </c>
      <c r="B55" t="inlineStr">
        <is>
          <t>Kab. Banyumas</t>
        </is>
      </c>
      <c r="C55" t="inlineStr">
        <is>
          <t>081311963945</t>
        </is>
      </c>
      <c r="D55" t="inlineStr">
        <is>
          <t>cvgreengarden20@gmail.com</t>
        </is>
      </c>
      <c r="E55" t="inlineStr">
        <is>
          <t>https://lpjk.pu.go.id/search-badan-usaha-detail/Nll3VHpRQVB6Ry8wUlpZNk9tNDAyQT09</t>
        </is>
      </c>
      <c r="F55" t="n">
        <v>4</v>
      </c>
      <c r="G55" t="inlineStr">
        <is>
          <t>BG006, BG009</t>
        </is>
      </c>
      <c r="H55" t="inlineStr">
        <is>
          <t>1 Oktober 2020</t>
        </is>
      </c>
      <c r="I55" s="2" t="n">
        <v>46303</v>
      </c>
      <c r="J55" t="inlineStr">
        <is>
          <t>Pencabutan</t>
        </is>
      </c>
      <c r="K55" t="n">
        <v>30</v>
      </c>
      <c r="L55" t="inlineStr">
        <is>
          <t>8 Oktober 2026</t>
        </is>
      </c>
      <c r="M55" t="inlineStr">
        <is>
          <t>Konstruksi Gedung Lainnya, Konstruksi Gedung Pendidikan</t>
        </is>
      </c>
      <c r="N55" t="inlineStr">
        <is>
          <t>K</t>
        </is>
      </c>
      <c r="O55" t="inlineStr">
        <is>
          <t>20231005</t>
        </is>
      </c>
      <c r="P55" t="inlineStr">
        <is>
          <t>Jawa Tengah</t>
        </is>
      </c>
      <c r="Q55" t="inlineStr"/>
    </row>
    <row r="56">
      <c r="A56" t="inlineStr">
        <is>
          <t>HARYA JAYA</t>
        </is>
      </c>
      <c r="B56" t="inlineStr">
        <is>
          <t>Kota Adm. Jakarta Selatan</t>
        </is>
      </c>
      <c r="C56" t="inlineStr">
        <is>
          <t>08128755414</t>
        </is>
      </c>
      <c r="D56" t="inlineStr">
        <is>
          <t>haryajay.cv@gmail.com</t>
        </is>
      </c>
      <c r="E56" t="inlineStr">
        <is>
          <t>https://lpjk.pu.go.id/search-badan-usaha-detail/bGpDVEpiR3BSWXJSbjBCMTdxZHJIQT09</t>
        </is>
      </c>
      <c r="F56" t="n">
        <v>1</v>
      </c>
      <c r="G56" t="inlineStr">
        <is>
          <t>BG009</t>
        </is>
      </c>
      <c r="H56" t="inlineStr">
        <is>
          <t>1 Oktober 2020</t>
        </is>
      </c>
      <c r="I56" s="2" t="n">
        <v>46303</v>
      </c>
      <c r="J56" t="inlineStr">
        <is>
          <t>Disetujui</t>
        </is>
      </c>
      <c r="K56" t="n">
        <v>30</v>
      </c>
      <c r="L56" t="inlineStr">
        <is>
          <t>8 Oktober 2026</t>
        </is>
      </c>
      <c r="M56" t="inlineStr">
        <is>
          <t>Konstruksi Gedung Lainnya</t>
        </is>
      </c>
      <c r="N56" t="inlineStr">
        <is>
          <t>K</t>
        </is>
      </c>
      <c r="O56" t="inlineStr">
        <is>
          <t>20231007</t>
        </is>
      </c>
      <c r="P56" t="inlineStr">
        <is>
          <t>DKI Jakarta</t>
        </is>
      </c>
      <c r="Q56" t="inlineStr"/>
    </row>
    <row r="57">
      <c r="A57" t="inlineStr">
        <is>
          <t>HUTAN AGATIS</t>
        </is>
      </c>
      <c r="B57" t="inlineStr">
        <is>
          <t>Kab. Kutai Kartanegara</t>
        </is>
      </c>
      <c r="C57" t="inlineStr">
        <is>
          <t>081350404531</t>
        </is>
      </c>
      <c r="D57" t="inlineStr">
        <is>
          <t>hutanagatis.cv@gmail.com</t>
        </is>
      </c>
      <c r="E57" t="inlineStr">
        <is>
          <t>https://lpjk.pu.go.id/search-badan-usaha-detail/UDMxSGlHa1FhS1FwMzhEZWUrUGxpUT09</t>
        </is>
      </c>
      <c r="F57" t="n">
        <v>4</v>
      </c>
      <c r="G57" t="inlineStr">
        <is>
          <t>BG002, BG005, BG006, BG009</t>
        </is>
      </c>
      <c r="H57" t="inlineStr">
        <is>
          <t>16 Agustus 2019</t>
        </is>
      </c>
      <c r="I57" s="2" t="n">
        <v>46303</v>
      </c>
      <c r="J57" t="inlineStr">
        <is>
          <t>Pencabutan</t>
        </is>
      </c>
      <c r="K57" t="n">
        <v>30</v>
      </c>
      <c r="L57" t="inlineStr">
        <is>
          <t>8 Oktober 2026</t>
        </is>
      </c>
      <c r="M57" t="inlineStr">
        <is>
          <t>Konstruksi Gedung Kesehatan, Konstruksi Gedung Lainnya, Konstruksi Gedung Pendidikan, Konstruksi Gedung Perkantoran</t>
        </is>
      </c>
      <c r="N57" t="inlineStr">
        <is>
          <t>K</t>
        </is>
      </c>
      <c r="O57" t="inlineStr">
        <is>
          <t>20231009</t>
        </is>
      </c>
      <c r="P57" t="inlineStr">
        <is>
          <t>Kalimantan Timur</t>
        </is>
      </c>
      <c r="Q57" t="inlineStr"/>
    </row>
    <row r="58">
      <c r="A58" t="inlineStr">
        <is>
          <t>ILHAM JAYA</t>
        </is>
      </c>
      <c r="B58" t="inlineStr">
        <is>
          <t>Kab. Kotawaringin Timur</t>
        </is>
      </c>
      <c r="C58" t="inlineStr">
        <is>
          <t>089692085623</t>
        </is>
      </c>
      <c r="D58" t="inlineStr">
        <is>
          <t>cvilhamjaya123@gmail.com</t>
        </is>
      </c>
      <c r="E58" t="inlineStr">
        <is>
          <t>https://lpjk.pu.go.id/search-badan-usaha-detail/cEJTNW5lYURyeEpSYnNFSFRzallVZz09</t>
        </is>
      </c>
      <c r="F58" t="n">
        <v>1</v>
      </c>
      <c r="G58" t="inlineStr">
        <is>
          <t>BS001</t>
        </is>
      </c>
      <c r="H58" t="inlineStr">
        <is>
          <t>28 Agustus 2001</t>
        </is>
      </c>
      <c r="I58" s="2" t="n">
        <v>46303</v>
      </c>
      <c r="J58" t="inlineStr">
        <is>
          <t>Disetujui</t>
        </is>
      </c>
      <c r="K58" t="n">
        <v>30</v>
      </c>
      <c r="L58" t="inlineStr">
        <is>
          <t>8 Oktober 2026</t>
        </is>
      </c>
      <c r="M58" t="inlineStr">
        <is>
          <t>Konstruksi Bangunan Sipil Jalan</t>
        </is>
      </c>
      <c r="N58" t="inlineStr">
        <is>
          <t>K</t>
        </is>
      </c>
      <c r="O58" t="inlineStr">
        <is>
          <t>20231005</t>
        </is>
      </c>
      <c r="P58" t="inlineStr">
        <is>
          <t>Kalimantan Tengah</t>
        </is>
      </c>
      <c r="Q58" t="inlineStr"/>
    </row>
    <row r="59">
      <c r="A59" t="inlineStr">
        <is>
          <t>INDOTAMA GROUP</t>
        </is>
      </c>
      <c r="B59" t="inlineStr">
        <is>
          <t>Kab. Tulungagung</t>
        </is>
      </c>
      <c r="C59" t="inlineStr">
        <is>
          <t>082338929827</t>
        </is>
      </c>
      <c r="D59" t="inlineStr">
        <is>
          <t>cvindotamagroup@gmail.com</t>
        </is>
      </c>
      <c r="E59" t="inlineStr">
        <is>
          <t>https://lpjk.pu.go.id/search-badan-usaha-detail/dVJnVUxQWEV2bVlxRWsvUkVhSTRsQT09</t>
        </is>
      </c>
      <c r="F59" t="n">
        <v>1</v>
      </c>
      <c r="G59" t="inlineStr">
        <is>
          <t>BS006</t>
        </is>
      </c>
      <c r="H59" t="inlineStr">
        <is>
          <t>13 Oktober 2020</t>
        </is>
      </c>
      <c r="I59" s="2" t="n">
        <v>46303</v>
      </c>
      <c r="J59" t="inlineStr">
        <is>
          <t>Disetujui</t>
        </is>
      </c>
      <c r="K59" t="n">
        <v>30</v>
      </c>
      <c r="L59" t="inlineStr">
        <is>
          <t>8 Oktober 2026</t>
        </is>
      </c>
      <c r="M59" t="inlineStr">
        <is>
          <t>Konstruksi Bangunan Sipil Prasarana dan Sarana Sistem Pengolahan Limbah Padat, Cair, dan Gas</t>
        </is>
      </c>
      <c r="N59" t="inlineStr">
        <is>
          <t>K</t>
        </is>
      </c>
      <c r="O59" t="inlineStr">
        <is>
          <t>20231005</t>
        </is>
      </c>
      <c r="P59" t="inlineStr">
        <is>
          <t>Jawa Timur</t>
        </is>
      </c>
      <c r="Q59" t="inlineStr"/>
    </row>
    <row r="60">
      <c r="A60" t="inlineStr">
        <is>
          <t>JAKARTA GLOBAL SERVICES</t>
        </is>
      </c>
      <c r="B60" t="inlineStr">
        <is>
          <t>Kota Adm. Jakarta Selatan</t>
        </is>
      </c>
      <c r="C60" t="inlineStr">
        <is>
          <t>021</t>
        </is>
      </c>
      <c r="D60" t="inlineStr">
        <is>
          <t>-</t>
        </is>
      </c>
      <c r="E60" t="inlineStr">
        <is>
          <t>https://lpjk.pu.go.id/search-badan-usaha-detail/SzFOa09XODh3Vm44UTJhMDVYUlExUT09</t>
        </is>
      </c>
      <c r="F60" t="n">
        <v>2</v>
      </c>
      <c r="G60" t="inlineStr">
        <is>
          <t>PB009</t>
        </is>
      </c>
      <c r="H60" t="inlineStr">
        <is>
          <t>11 Juni 2001</t>
        </is>
      </c>
      <c r="I60" s="2" t="n">
        <v>46303</v>
      </c>
      <c r="J60" t="inlineStr">
        <is>
          <t>Disetujui</t>
        </is>
      </c>
      <c r="K60" t="n">
        <v>30</v>
      </c>
      <c r="L60" t="inlineStr">
        <is>
          <t>8 Oktober 2026</t>
        </is>
      </c>
      <c r="M60" t="inlineStr">
        <is>
          <t>Pembersihan dan Perapihan Bangunan Gedung dan/atau Bangunan Sipil</t>
        </is>
      </c>
      <c r="N60" t="inlineStr">
        <is>
          <t>Spesialis</t>
        </is>
      </c>
      <c r="O60" t="inlineStr">
        <is>
          <t>20230926</t>
        </is>
      </c>
      <c r="P60" t="inlineStr">
        <is>
          <t>DKI Jakarta</t>
        </is>
      </c>
      <c r="Q60" t="inlineStr"/>
    </row>
    <row r="61">
      <c r="A61" t="inlineStr">
        <is>
          <t>JAYA LAKSANA MAKMUR</t>
        </is>
      </c>
      <c r="B61" t="inlineStr">
        <is>
          <t>Kab. Tangerang</t>
        </is>
      </c>
      <c r="C61" t="inlineStr">
        <is>
          <t>02159376000</t>
        </is>
      </c>
      <c r="D61" t="inlineStr">
        <is>
          <t>jayalaksanamakmurpt@gmail.com</t>
        </is>
      </c>
      <c r="E61" t="inlineStr">
        <is>
          <t>https://lpjk.pu.go.id/search-badan-usaha-detail/Vld2OFJRVSsxWUdIbnpLY1MwOTh6QT09</t>
        </is>
      </c>
      <c r="F61" t="n">
        <v>3</v>
      </c>
      <c r="G61" t="inlineStr">
        <is>
          <t>BG002, BG003, BG009</t>
        </is>
      </c>
      <c r="H61" t="inlineStr">
        <is>
          <t>21 Desember 2017</t>
        </is>
      </c>
      <c r="I61" s="2" t="n">
        <v>46303</v>
      </c>
      <c r="J61" t="inlineStr">
        <is>
          <t>Pembekuan</t>
        </is>
      </c>
      <c r="K61" t="n">
        <v>30</v>
      </c>
      <c r="L61" t="inlineStr">
        <is>
          <t>8 Oktober 2026</t>
        </is>
      </c>
      <c r="M61" t="inlineStr">
        <is>
          <t>Konstruksi Gedung Industri, Konstruksi Gedung Lainnya, Konstruksi Gedung Perkantoran</t>
        </is>
      </c>
      <c r="N61" t="inlineStr">
        <is>
          <t>M</t>
        </is>
      </c>
      <c r="O61" t="inlineStr">
        <is>
          <t>20231009</t>
        </is>
      </c>
      <c r="P61" t="inlineStr">
        <is>
          <t>Banten</t>
        </is>
      </c>
      <c r="Q61" t="inlineStr"/>
    </row>
    <row r="62">
      <c r="A62" t="inlineStr">
        <is>
          <t>KARYA HANISYA</t>
        </is>
      </c>
      <c r="B62" t="inlineStr">
        <is>
          <t>Kota Medan</t>
        </is>
      </c>
      <c r="C62" t="inlineStr">
        <is>
          <t>081396455004</t>
        </is>
      </c>
      <c r="D62" t="inlineStr">
        <is>
          <t>cvkarya_hanisya@yahoo.com</t>
        </is>
      </c>
      <c r="E62" t="inlineStr">
        <is>
          <t>https://lpjk.pu.go.id/search-badan-usaha-detail/RkFtMlBGZ3AwZlFHMXA1V3UxWDA5UT09</t>
        </is>
      </c>
      <c r="F62" t="n">
        <v>2</v>
      </c>
      <c r="G62" t="inlineStr">
        <is>
          <t>BG006, BG009</t>
        </is>
      </c>
      <c r="H62" t="inlineStr">
        <is>
          <t>24 Mei 2011</t>
        </is>
      </c>
      <c r="I62" s="2" t="n">
        <v>46303</v>
      </c>
      <c r="J62" t="inlineStr">
        <is>
          <t>Pencabutan</t>
        </is>
      </c>
      <c r="K62" t="n">
        <v>30</v>
      </c>
      <c r="L62" t="inlineStr">
        <is>
          <t>8 Oktober 2026</t>
        </is>
      </c>
      <c r="M62" t="inlineStr">
        <is>
          <t>Konstruksi Gedung Lainnya, Konstruksi Gedung Pendidikan</t>
        </is>
      </c>
      <c r="N62" t="inlineStr">
        <is>
          <t>K</t>
        </is>
      </c>
      <c r="O62" t="inlineStr">
        <is>
          <t>20231004, 20231011</t>
        </is>
      </c>
      <c r="P62" t="inlineStr">
        <is>
          <t>Sumatera Utara</t>
        </is>
      </c>
      <c r="Q62" t="inlineStr"/>
    </row>
    <row r="63">
      <c r="A63" t="inlineStr">
        <is>
          <t>KARYA PUTRA</t>
        </is>
      </c>
      <c r="B63" t="inlineStr">
        <is>
          <t>Kab. Batang</t>
        </is>
      </c>
      <c r="C63" t="inlineStr">
        <is>
          <t>085692872348</t>
        </is>
      </c>
      <c r="D63" t="inlineStr">
        <is>
          <t>karyaputracv.btg@gmail.com</t>
        </is>
      </c>
      <c r="E63" t="inlineStr">
        <is>
          <t>https://lpjk.pu.go.id/search-badan-usaha-detail/RG1TS0xQTzdQR3lUV0NIRnJJZUx3UT09</t>
        </is>
      </c>
      <c r="F63" t="n">
        <v>7</v>
      </c>
      <c r="G63" t="inlineStr">
        <is>
          <t>BG004, BG005, BG006, BG009, BS001, BS004</t>
        </is>
      </c>
      <c r="H63" t="inlineStr">
        <is>
          <t>4 Januari 2012</t>
        </is>
      </c>
      <c r="I63" s="2" t="n">
        <v>46303</v>
      </c>
      <c r="J63" t="inlineStr">
        <is>
          <t>Disetujui</t>
        </is>
      </c>
      <c r="K63" t="n">
        <v>30</v>
      </c>
      <c r="L63" t="inlineStr">
        <is>
          <t>8 Oktober 2026</t>
        </is>
      </c>
      <c r="M63" t="inlineStr">
        <is>
          <t>Konstruksi Bangunan Sipil Jalan, Konstruksi Gedung Kesehatan, Konstruksi Gedung Lainnya, Konstruksi Gedung Pendidikan, Konstruksi Gedung Perbelanjaan, Konstruksi Jaringan Irigasi dan Drainase</t>
        </is>
      </c>
      <c r="N63" t="inlineStr">
        <is>
          <t>K</t>
        </is>
      </c>
      <c r="O63" t="inlineStr">
        <is>
          <t>20230927, 20231004</t>
        </is>
      </c>
      <c r="P63" t="inlineStr">
        <is>
          <t>Jawa Tengah</t>
        </is>
      </c>
      <c r="Q63" t="inlineStr"/>
    </row>
    <row r="64">
      <c r="A64" t="inlineStr">
        <is>
          <t>KARYA SEPAKAT CONSULTANT</t>
        </is>
      </c>
      <c r="B64" t="inlineStr">
        <is>
          <t>Kota Makassar</t>
        </is>
      </c>
      <c r="C64" t="inlineStr">
        <is>
          <t>081243333811</t>
        </is>
      </c>
      <c r="D64" t="inlineStr">
        <is>
          <t>karyasepakat80@gmail.com</t>
        </is>
      </c>
      <c r="E64" t="inlineStr">
        <is>
          <t>https://lpjk.pu.go.id/search-badan-usaha-detail/c0hsUmdvL0dYRVV5ektPYWMyMmlidz09</t>
        </is>
      </c>
      <c r="F64" t="n">
        <v>1</v>
      </c>
      <c r="G64" t="inlineStr">
        <is>
          <t>AR002</t>
        </is>
      </c>
      <c r="H64" t="inlineStr">
        <is>
          <t>30 April 2015</t>
        </is>
      </c>
      <c r="I64" s="2" t="n">
        <v>46303</v>
      </c>
      <c r="J64" t="inlineStr">
        <is>
          <t>Disetujui</t>
        </is>
      </c>
      <c r="K64" t="n">
        <v>30</v>
      </c>
      <c r="L64" t="inlineStr">
        <is>
          <t>8 Oktober 2026</t>
        </is>
      </c>
      <c r="M64" t="inlineStr">
        <is>
          <t>Jasa Arsitektural Lainnya</t>
        </is>
      </c>
      <c r="N64" t="inlineStr">
        <is>
          <t>K</t>
        </is>
      </c>
      <c r="O64" t="inlineStr">
        <is>
          <t>20230908</t>
        </is>
      </c>
      <c r="P64" t="inlineStr">
        <is>
          <t>Sulawesi Selatan</t>
        </is>
      </c>
      <c r="Q64" t="inlineStr"/>
    </row>
    <row r="65">
      <c r="A65" t="inlineStr">
        <is>
          <t>KAYUMAS SEJAHTERA</t>
        </is>
      </c>
      <c r="B65" t="inlineStr">
        <is>
          <t>Kab. Trenggalek</t>
        </is>
      </c>
      <c r="C65" t="inlineStr">
        <is>
          <t>081331043559</t>
        </is>
      </c>
      <c r="D65" t="inlineStr">
        <is>
          <t>kayumas32@yahoo.com</t>
        </is>
      </c>
      <c r="E65" t="inlineStr">
        <is>
          <t>https://lpjk.pu.go.id/search-badan-usaha-detail/cXFicjlXN1pjam5aZWZqclZqaVFvZz09</t>
        </is>
      </c>
      <c r="F65" t="n">
        <v>1</v>
      </c>
      <c r="G65" t="inlineStr">
        <is>
          <t>BS004</t>
        </is>
      </c>
      <c r="H65" t="inlineStr">
        <is>
          <t>1 November 2010</t>
        </is>
      </c>
      <c r="I65" s="2" t="n">
        <v>46303</v>
      </c>
      <c r="J65" t="inlineStr">
        <is>
          <t>Disetujui</t>
        </is>
      </c>
      <c r="K65" t="n">
        <v>30</v>
      </c>
      <c r="L65" t="inlineStr">
        <is>
          <t>8 Oktober 2026</t>
        </is>
      </c>
      <c r="M65" t="inlineStr">
        <is>
          <t>Konstruksi Jaringan Irigasi dan Drainase</t>
        </is>
      </c>
      <c r="N65" t="inlineStr">
        <is>
          <t>K</t>
        </is>
      </c>
      <c r="O65" t="inlineStr">
        <is>
          <t>20231006</t>
        </is>
      </c>
      <c r="P65" t="inlineStr">
        <is>
          <t>Jawa Timur</t>
        </is>
      </c>
      <c r="Q65" t="inlineStr"/>
    </row>
    <row r="66">
      <c r="A66" t="inlineStr">
        <is>
          <t>KEMBAR JAYA</t>
        </is>
      </c>
      <c r="B66" t="inlineStr">
        <is>
          <t>Kab. Takalar</t>
        </is>
      </c>
      <c r="C66" t="inlineStr">
        <is>
          <t>0811442901</t>
        </is>
      </c>
      <c r="D66" t="inlineStr">
        <is>
          <t>mustafakarimptc01@gmail.com</t>
        </is>
      </c>
      <c r="E66" t="inlineStr">
        <is>
          <t>https://lpjk.pu.go.id/search-badan-usaha-detail/MHEwNWxsSzdyU0RyU1drbzVqcytkZz09</t>
        </is>
      </c>
      <c r="F66" t="n">
        <v>1</v>
      </c>
      <c r="G66" t="inlineStr">
        <is>
          <t>BS001</t>
        </is>
      </c>
      <c r="H66" t="inlineStr">
        <is>
          <t>9 Desember 2014</t>
        </is>
      </c>
      <c r="I66" s="2" t="n">
        <v>46303</v>
      </c>
      <c r="J66" t="inlineStr">
        <is>
          <t>Disetujui</t>
        </is>
      </c>
      <c r="K66" t="n">
        <v>30</v>
      </c>
      <c r="L66" t="inlineStr">
        <is>
          <t>8 Oktober 2026</t>
        </is>
      </c>
      <c r="M66" t="inlineStr">
        <is>
          <t>Konstruksi Bangunan Sipil Jalan</t>
        </is>
      </c>
      <c r="N66" t="inlineStr">
        <is>
          <t>K</t>
        </is>
      </c>
      <c r="O66" t="inlineStr">
        <is>
          <t>20231007</t>
        </is>
      </c>
      <c r="P66" t="inlineStr">
        <is>
          <t>Sulawesi Selatan</t>
        </is>
      </c>
      <c r="Q66" t="inlineStr"/>
    </row>
    <row r="67">
      <c r="A67" t="inlineStr">
        <is>
          <t>KENANGA</t>
        </is>
      </c>
      <c r="B67" t="inlineStr">
        <is>
          <t>Kab. Kebumen</t>
        </is>
      </c>
      <c r="C67" t="inlineStr">
        <is>
          <t>081327414737</t>
        </is>
      </c>
      <c r="D67" t="inlineStr">
        <is>
          <t>kenanga_kebu@yahoo.com</t>
        </is>
      </c>
      <c r="E67" t="inlineStr">
        <is>
          <t>https://lpjk.pu.go.id/search-badan-usaha-detail/bkxQSWdEeGZqQzVXbkt5TS9CcTVqdz09</t>
        </is>
      </c>
      <c r="F67" t="n">
        <v>2</v>
      </c>
      <c r="G67" t="inlineStr">
        <is>
          <t>BG005</t>
        </is>
      </c>
      <c r="H67" t="inlineStr">
        <is>
          <t>8 September 2008</t>
        </is>
      </c>
      <c r="I67" s="2" t="n">
        <v>46303</v>
      </c>
      <c r="J67" t="inlineStr">
        <is>
          <t>Disetujui</t>
        </is>
      </c>
      <c r="K67" t="n">
        <v>30</v>
      </c>
      <c r="L67" t="inlineStr">
        <is>
          <t>8 Oktober 2026</t>
        </is>
      </c>
      <c r="M67" t="inlineStr">
        <is>
          <t>Konstruksi Gedung Kesehatan</t>
        </is>
      </c>
      <c r="N67" t="inlineStr">
        <is>
          <t>K</t>
        </is>
      </c>
      <c r="O67" t="inlineStr">
        <is>
          <t>20231003</t>
        </is>
      </c>
      <c r="P67" t="inlineStr">
        <is>
          <t>Jawa Tengah</t>
        </is>
      </c>
      <c r="Q67" t="inlineStr"/>
    </row>
    <row r="68">
      <c r="A68" t="inlineStr">
        <is>
          <t>KHARISMA MITRA MEDIA</t>
        </is>
      </c>
      <c r="B68" t="inlineStr">
        <is>
          <t>Kota Balikpapan</t>
        </is>
      </c>
      <c r="C68" t="inlineStr">
        <is>
          <t>08125395211</t>
        </is>
      </c>
      <c r="D68" t="inlineStr">
        <is>
          <t>cvkmmbpp@gmail.com</t>
        </is>
      </c>
      <c r="E68" t="inlineStr">
        <is>
          <t>https://lpjk.pu.go.id/search-badan-usaha-detail/elhGMjlnV3o4TjhlRERTT21tYUpvUT09</t>
        </is>
      </c>
      <c r="F68" t="n">
        <v>12</v>
      </c>
      <c r="G68" t="inlineStr">
        <is>
          <t>BG006, BG009, BS001, BS004</t>
        </is>
      </c>
      <c r="H68" t="inlineStr">
        <is>
          <t>17 November 2005</t>
        </is>
      </c>
      <c r="I68" s="2" t="n">
        <v>46303</v>
      </c>
      <c r="J68" t="inlineStr">
        <is>
          <t>Disetujui</t>
        </is>
      </c>
      <c r="K68" t="n">
        <v>30</v>
      </c>
      <c r="L68" t="inlineStr">
        <is>
          <t>8 Oktober 2026</t>
        </is>
      </c>
      <c r="M68" t="inlineStr">
        <is>
          <t>Konstruksi Bangunan Sipil Jalan, Konstruksi Gedung Lainnya, Konstruksi Gedung Pendidikan, Konstruksi Jaringan Irigasi dan Drainase</t>
        </is>
      </c>
      <c r="N68" t="inlineStr">
        <is>
          <t>K</t>
        </is>
      </c>
      <c r="O68" t="inlineStr">
        <is>
          <t>20230930, 20231006, 20231009</t>
        </is>
      </c>
      <c r="P68" t="inlineStr">
        <is>
          <t>Kalimantan Timur</t>
        </is>
      </c>
      <c r="Q68" t="inlineStr"/>
    </row>
    <row r="69">
      <c r="A69" t="inlineStr">
        <is>
          <t>KUBANG</t>
        </is>
      </c>
      <c r="B69" t="inlineStr">
        <is>
          <t>Kab. Ciamis</t>
        </is>
      </c>
      <c r="C69" t="inlineStr">
        <is>
          <t>082120373828</t>
        </is>
      </c>
      <c r="D69" t="inlineStr">
        <is>
          <t>kubang81@gmail.com</t>
        </is>
      </c>
      <c r="E69" t="inlineStr">
        <is>
          <t>https://lpjk.pu.go.id/search-badan-usaha-detail/MTNydEdkQkNEUGZvdWtCNEIyaVRZdz09</t>
        </is>
      </c>
      <c r="F69" t="n">
        <v>2</v>
      </c>
      <c r="G69" t="inlineStr">
        <is>
          <t>BG009, BS001</t>
        </is>
      </c>
      <c r="H69" t="inlineStr">
        <is>
          <t>21 Desember 2015</t>
        </is>
      </c>
      <c r="I69" s="2" t="n">
        <v>46303</v>
      </c>
      <c r="J69" t="inlineStr">
        <is>
          <t>Disetujui</t>
        </is>
      </c>
      <c r="K69" t="n">
        <v>30</v>
      </c>
      <c r="L69" t="inlineStr">
        <is>
          <t>8 Oktober 2026</t>
        </is>
      </c>
      <c r="M69" t="inlineStr">
        <is>
          <t>Konstruksi Bangunan Sipil Jalan, Konstruksi Gedung Lainnya</t>
        </is>
      </c>
      <c r="N69" t="inlineStr">
        <is>
          <t>K</t>
        </is>
      </c>
      <c r="O69" t="inlineStr">
        <is>
          <t>20231006</t>
        </is>
      </c>
      <c r="P69" t="inlineStr">
        <is>
          <t>Jawa Barat</t>
        </is>
      </c>
      <c r="Q69" t="inlineStr"/>
    </row>
    <row r="70">
      <c r="A70" t="inlineStr">
        <is>
          <t>KURNIAWAN</t>
        </is>
      </c>
      <c r="B70" t="inlineStr">
        <is>
          <t>Kab. Magetan</t>
        </is>
      </c>
      <c r="C70" t="inlineStr">
        <is>
          <t>085736382833</t>
        </is>
      </c>
      <c r="D70" t="inlineStr">
        <is>
          <t>cv.kurniawan@ymail.com</t>
        </is>
      </c>
      <c r="E70" t="inlineStr">
        <is>
          <t>https://lpjk.pu.go.id/search-badan-usaha-detail/TjRpTFZ0LzNpZy9VL1hscUg0TUV4UT09</t>
        </is>
      </c>
      <c r="F70" t="n">
        <v>4</v>
      </c>
      <c r="G70" t="inlineStr">
        <is>
          <t>BS004, BS005</t>
        </is>
      </c>
      <c r="H70" t="inlineStr">
        <is>
          <t>30 November 2000</t>
        </is>
      </c>
      <c r="I70" s="2" t="n">
        <v>46303</v>
      </c>
      <c r="J70" t="inlineStr">
        <is>
          <t>Disetujui</t>
        </is>
      </c>
      <c r="K70" t="n">
        <v>30</v>
      </c>
      <c r="L70" t="inlineStr">
        <is>
          <t>8 Oktober 2026</t>
        </is>
      </c>
      <c r="M70" t="inlineStr">
        <is>
          <t>Konstruksi Bangunan Sipil Pengolahan Air Bersih, Konstruksi Jaringan Irigasi dan Drainase</t>
        </is>
      </c>
      <c r="N70" t="inlineStr">
        <is>
          <t>K</t>
        </is>
      </c>
      <c r="O70" t="inlineStr">
        <is>
          <t>20231006</t>
        </is>
      </c>
      <c r="P70" t="inlineStr">
        <is>
          <t>Jawa Timur</t>
        </is>
      </c>
      <c r="Q70" t="inlineStr"/>
    </row>
    <row r="71">
      <c r="A71" t="inlineStr">
        <is>
          <t>LAMPUNG ANDALAS SHIPBUILDING &amp; ENGINEERING</t>
        </is>
      </c>
      <c r="B71" t="inlineStr">
        <is>
          <t>Kab. Lampung Selatan</t>
        </is>
      </c>
      <c r="C71" t="inlineStr">
        <is>
          <t>072131187</t>
        </is>
      </c>
      <c r="D71" t="inlineStr">
        <is>
          <t>legal@lampungandalas.com</t>
        </is>
      </c>
      <c r="E71" t="inlineStr">
        <is>
          <t>https://lpjk.pu.go.id/search-badan-usaha-detail/Sm56a3ZKREpWbm9BNC85T21tVTBLdz09</t>
        </is>
      </c>
      <c r="F71" t="n">
        <v>2</v>
      </c>
      <c r="G71" t="inlineStr">
        <is>
          <t>IN004, IN013</t>
        </is>
      </c>
      <c r="H71" t="inlineStr">
        <is>
          <t>1 Juli 2000</t>
        </is>
      </c>
      <c r="I71" s="2" t="n">
        <v>46303</v>
      </c>
      <c r="J71" t="inlineStr">
        <is>
          <t>Disetujui</t>
        </is>
      </c>
      <c r="K71" t="n">
        <v>30</v>
      </c>
      <c r="L71" t="inlineStr">
        <is>
          <t>8 Oktober 2026</t>
        </is>
      </c>
      <c r="M71" t="inlineStr">
        <is>
          <t>Instalasi Minyak dan Gas, Instalasi Pemanas dan Geotermal</t>
        </is>
      </c>
      <c r="N71" t="inlineStr">
        <is>
          <t>Spesialis</t>
        </is>
      </c>
      <c r="O71" t="inlineStr">
        <is>
          <t>20230922</t>
        </is>
      </c>
      <c r="P71" t="inlineStr">
        <is>
          <t>Lampung</t>
        </is>
      </c>
      <c r="Q71" t="inlineStr"/>
    </row>
    <row r="72">
      <c r="A72" t="inlineStr">
        <is>
          <t>LEON BERDIKARI</t>
        </is>
      </c>
      <c r="B72" t="inlineStr">
        <is>
          <t>Kab. Nganjuk</t>
        </is>
      </c>
      <c r="C72" t="inlineStr">
        <is>
          <t>081333444051</t>
        </is>
      </c>
      <c r="D72" t="inlineStr">
        <is>
          <t>leonberdikari@gmail.com</t>
        </is>
      </c>
      <c r="E72" t="inlineStr">
        <is>
          <t>https://lpjk.pu.go.id/search-badan-usaha-detail/a3hJUDROMXBXV3duZFJ4MXJPalZFUT09</t>
        </is>
      </c>
      <c r="F72" t="n">
        <v>9</v>
      </c>
      <c r="G72" t="inlineStr">
        <is>
          <t>BG001, BG002, BG004, BG008, BS001, BS002</t>
        </is>
      </c>
      <c r="H72" t="inlineStr">
        <is>
          <t>17 Januari 2020</t>
        </is>
      </c>
      <c r="I72" s="2" t="n">
        <v>46303</v>
      </c>
      <c r="J72" t="inlineStr">
        <is>
          <t>Disetujui, Pencabutan</t>
        </is>
      </c>
      <c r="K72" t="n">
        <v>30</v>
      </c>
      <c r="L72" t="inlineStr">
        <is>
          <t>8 Oktober 2026</t>
        </is>
      </c>
      <c r="M72" t="inlineStr">
        <is>
          <t>Bangunan Sipil Jembatan, Jalan Layang, Fly Over, dan Underpass, Konstruksi Bangunan Sipil Jalan, Konstruksi Gedung Hunian, Konstruksi Gedung Perbelanjaan, Konstruksi Gedung Perkantoran, Konstruksi Gedung Tempat Hiburan dan Olahraga</t>
        </is>
      </c>
      <c r="N72" t="inlineStr">
        <is>
          <t>K</t>
        </is>
      </c>
      <c r="O72" t="inlineStr">
        <is>
          <t>20230904, 20230908, 20231006</t>
        </is>
      </c>
      <c r="P72" t="inlineStr">
        <is>
          <t>Jawa Timur</t>
        </is>
      </c>
      <c r="Q72" t="inlineStr"/>
    </row>
    <row r="73">
      <c r="A73" t="inlineStr">
        <is>
          <t>MAHARDHIKA BINTANG KONSULTAN</t>
        </is>
      </c>
      <c r="B73" t="inlineStr">
        <is>
          <t>Kab. Jember</t>
        </is>
      </c>
      <c r="C73" t="inlineStr">
        <is>
          <t>082233938148</t>
        </is>
      </c>
      <c r="D73" t="inlineStr">
        <is>
          <t>mahardhikabintangkonsultan@gmail.com</t>
        </is>
      </c>
      <c r="E73" t="inlineStr">
        <is>
          <t>https://lpjk.pu.go.id/search-badan-usaha-detail/Q3VhWDM4VXRydytGcTh0aVNQclIzQT09</t>
        </is>
      </c>
      <c r="F73" t="n">
        <v>6</v>
      </c>
      <c r="G73" t="inlineStr">
        <is>
          <t>RK001, RK003</t>
        </is>
      </c>
      <c r="H73" t="inlineStr">
        <is>
          <t>24 Desember 2019</t>
        </is>
      </c>
      <c r="I73" s="2" t="n">
        <v>46303</v>
      </c>
      <c r="J73" t="inlineStr">
        <is>
          <t>Disetujui</t>
        </is>
      </c>
      <c r="K73" t="n">
        <v>30</v>
      </c>
      <c r="L73" t="inlineStr">
        <is>
          <t>8 Oktober 2026</t>
        </is>
      </c>
      <c r="M73" t="inlineStr">
        <is>
          <t>Jasa Rekayasa Konstruksi Bangunan Gedung Hunian dan Non Hunian, Jasa Rekayasa Pekerjaan Teknik Sipil Transportasi</t>
        </is>
      </c>
      <c r="N73" t="inlineStr">
        <is>
          <t>K</t>
        </is>
      </c>
      <c r="O73" t="inlineStr">
        <is>
          <t>20231003</t>
        </is>
      </c>
      <c r="P73" t="inlineStr">
        <is>
          <t>Jawa Timur</t>
        </is>
      </c>
      <c r="Q73" t="inlineStr"/>
    </row>
    <row r="74">
      <c r="A74" t="inlineStr">
        <is>
          <t>MAKMUR</t>
        </is>
      </c>
      <c r="B74" t="inlineStr">
        <is>
          <t>Kab. Sukabumi</t>
        </is>
      </c>
      <c r="C74" t="inlineStr">
        <is>
          <t>085659438569</t>
        </is>
      </c>
      <c r="D74" t="inlineStr">
        <is>
          <t>cvmakmur005@gmail.com</t>
        </is>
      </c>
      <c r="E74" t="inlineStr">
        <is>
          <t>https://lpjk.pu.go.id/search-badan-usaha-detail/djhBMGZadVRaaXJoVHpjaHlTWGh5Zz09</t>
        </is>
      </c>
      <c r="F74" t="n">
        <v>1</v>
      </c>
      <c r="G74" t="inlineStr">
        <is>
          <t>BG009</t>
        </is>
      </c>
      <c r="H74" t="inlineStr">
        <is>
          <t>13 Mei 2002</t>
        </is>
      </c>
      <c r="I74" s="2" t="n">
        <v>46303</v>
      </c>
      <c r="J74" t="inlineStr">
        <is>
          <t>Disetujui</t>
        </is>
      </c>
      <c r="K74" t="n">
        <v>30</v>
      </c>
      <c r="L74" t="inlineStr">
        <is>
          <t>8 Oktober 2026</t>
        </is>
      </c>
      <c r="M74" t="inlineStr">
        <is>
          <t>Konstruksi Gedung Lainnya</t>
        </is>
      </c>
      <c r="N74" t="inlineStr">
        <is>
          <t>K</t>
        </is>
      </c>
      <c r="O74" t="inlineStr">
        <is>
          <t>20231007</t>
        </is>
      </c>
      <c r="P74" t="inlineStr">
        <is>
          <t>Jawa Barat</t>
        </is>
      </c>
      <c r="Q74" t="inlineStr"/>
    </row>
    <row r="75">
      <c r="A75" t="inlineStr">
        <is>
          <t>MANGKU JAGAD</t>
        </is>
      </c>
      <c r="B75" t="inlineStr">
        <is>
          <t>Kab. Nganjuk</t>
        </is>
      </c>
      <c r="C75" t="inlineStr">
        <is>
          <t>081233444244</t>
        </is>
      </c>
      <c r="D75" t="inlineStr">
        <is>
          <t>mangkujagad10@gmail.com</t>
        </is>
      </c>
      <c r="E75" t="inlineStr">
        <is>
          <t>https://lpjk.pu.go.id/search-badan-usaha-detail/dDlpRmpydXVKUzVIRFBTNlZrL0gyQT09</t>
        </is>
      </c>
      <c r="F75" t="n">
        <v>5</v>
      </c>
      <c r="G75" t="inlineStr">
        <is>
          <t>BG002, BG005, BG009, BS002, BS004</t>
        </is>
      </c>
      <c r="H75" t="inlineStr">
        <is>
          <t>2 Februari 2022</t>
        </is>
      </c>
      <c r="I75" s="2" t="n">
        <v>46303</v>
      </c>
      <c r="J75" t="inlineStr">
        <is>
          <t>Disetujui</t>
        </is>
      </c>
      <c r="K75" t="n">
        <v>30</v>
      </c>
      <c r="L75" t="inlineStr">
        <is>
          <t>8 Oktober 2026</t>
        </is>
      </c>
      <c r="M75" t="inlineStr">
        <is>
          <t>Bangunan Sipil Jembatan, Jalan Layang, Fly Over, dan Underpass, Konstruksi Gedung Kesehatan, Konstruksi Gedung Lainnya, Konstruksi Gedung Perkantoran, Konstruksi Jaringan Irigasi dan Drainase</t>
        </is>
      </c>
      <c r="N75" t="inlineStr">
        <is>
          <t>K</t>
        </is>
      </c>
      <c r="O75" t="inlineStr">
        <is>
          <t>20231005, 20231006</t>
        </is>
      </c>
      <c r="P75" t="inlineStr">
        <is>
          <t>Jawa Timur</t>
        </is>
      </c>
      <c r="Q75" t="inlineStr"/>
    </row>
    <row r="76">
      <c r="A76" t="inlineStr">
        <is>
          <t>MARATAMA CIPTA MANDIRI</t>
        </is>
      </c>
      <c r="B76" t="inlineStr">
        <is>
          <t>Kota Bandung</t>
        </is>
      </c>
      <c r="C76" t="inlineStr">
        <is>
          <t>02220503855</t>
        </is>
      </c>
      <c r="D76" t="inlineStr">
        <is>
          <t>adm.keuangan@maratama.co.id</t>
        </is>
      </c>
      <c r="E76" t="inlineStr">
        <is>
          <t>https://lpjk.pu.go.id/search-badan-usaha-detail/akxJQjlhTGV0RUVCdU96djJwTFNiQT09</t>
        </is>
      </c>
      <c r="F76" t="n">
        <v>8</v>
      </c>
      <c r="G76" t="inlineStr">
        <is>
          <t>AR001, AR002, AR003, RK003</t>
        </is>
      </c>
      <c r="H76" t="inlineStr">
        <is>
          <t>20 Maret 2007</t>
        </is>
      </c>
      <c r="I76" s="2" t="n">
        <v>46303</v>
      </c>
      <c r="J76" t="inlineStr">
        <is>
          <t>Disetujui</t>
        </is>
      </c>
      <c r="K76" t="n">
        <v>30</v>
      </c>
      <c r="L76" t="inlineStr">
        <is>
          <t>8 Oktober 2026</t>
        </is>
      </c>
      <c r="M76" t="inlineStr">
        <is>
          <t>Jasa Arsitektural Bangunan Gedung Hunian dan Non Hunian, Jasa Arsitektural Lainnya, Jasa Desain Interior pada Bangunan Gedung dan Bangunan Sipil, Jasa Rekayasa Pekerjaan Teknik Sipil Transportasi</t>
        </is>
      </c>
      <c r="N76" t="inlineStr">
        <is>
          <t>B, K, M</t>
        </is>
      </c>
      <c r="O76" t="inlineStr">
        <is>
          <t>20230912, 20231002</t>
        </is>
      </c>
      <c r="P76" t="inlineStr">
        <is>
          <t>Jawa Barat</t>
        </is>
      </c>
      <c r="Q76" t="inlineStr"/>
    </row>
    <row r="77">
      <c r="A77" t="inlineStr">
        <is>
          <t>MARGA KARYA</t>
        </is>
      </c>
      <c r="B77" t="inlineStr">
        <is>
          <t>Kab. Pati</t>
        </is>
      </c>
      <c r="C77" t="inlineStr">
        <is>
          <t>81578021943</t>
        </is>
      </c>
      <c r="D77" t="inlineStr">
        <is>
          <t>ptmarga.karya@gmail.com</t>
        </is>
      </c>
      <c r="E77" t="inlineStr">
        <is>
          <t>https://lpjk.pu.go.id/search-badan-usaha-detail/MkVHNUR5MlY2MWZuWnVOWE5WUWhNdz09</t>
        </is>
      </c>
      <c r="F77" t="n">
        <v>2</v>
      </c>
      <c r="G77" t="inlineStr">
        <is>
          <t>BS001, BS002</t>
        </is>
      </c>
      <c r="H77" t="inlineStr">
        <is>
          <t>3 Mei 2005</t>
        </is>
      </c>
      <c r="I77" s="2" t="n">
        <v>46303</v>
      </c>
      <c r="J77" t="inlineStr">
        <is>
          <t>Dokumen Tidak Lengkap, Pencabutan</t>
        </is>
      </c>
      <c r="K77" t="n">
        <v>30</v>
      </c>
      <c r="L77" t="inlineStr">
        <is>
          <t>8 Oktober 2026</t>
        </is>
      </c>
      <c r="M77" t="inlineStr">
        <is>
          <t>Bangunan Sipil Jembatan, Jalan Layang, Fly Over, dan Underpass, Konstruksi Bangunan Sipil Jalan</t>
        </is>
      </c>
      <c r="N77" t="inlineStr">
        <is>
          <t>M</t>
        </is>
      </c>
      <c r="O77" t="inlineStr">
        <is>
          <t>20231004</t>
        </is>
      </c>
      <c r="P77" t="inlineStr">
        <is>
          <t>Jawa Tengah</t>
        </is>
      </c>
      <c r="Q77" t="inlineStr"/>
    </row>
    <row r="78">
      <c r="A78" t="inlineStr">
        <is>
          <t>MARIA GLOBAL MANDIRI</t>
        </is>
      </c>
      <c r="B78" t="inlineStr">
        <is>
          <t>Kab. Karawang</t>
        </is>
      </c>
      <c r="C78" t="inlineStr">
        <is>
          <t>081220017222</t>
        </is>
      </c>
      <c r="D78" t="inlineStr">
        <is>
          <t>cv.mariaglobalmandiri.01@gmail.com</t>
        </is>
      </c>
      <c r="E78" t="inlineStr">
        <is>
          <t>https://lpjk.pu.go.id/search-badan-usaha-detail/M3R4bVBmSWNHMUEzbjhIV0dQOEZoQT09</t>
        </is>
      </c>
      <c r="F78" t="n">
        <v>1</v>
      </c>
      <c r="G78" t="inlineStr">
        <is>
          <t>BG006</t>
        </is>
      </c>
      <c r="H78" t="inlineStr">
        <is>
          <t>17 Oktober 2017</t>
        </is>
      </c>
      <c r="I78" s="2" t="n">
        <v>46303</v>
      </c>
      <c r="J78" t="inlineStr">
        <is>
          <t>Disetujui</t>
        </is>
      </c>
      <c r="K78" t="n">
        <v>30</v>
      </c>
      <c r="L78" t="inlineStr">
        <is>
          <t>8 Oktober 2026</t>
        </is>
      </c>
      <c r="M78" t="inlineStr">
        <is>
          <t>Konstruksi Gedung Pendidikan</t>
        </is>
      </c>
      <c r="N78" t="inlineStr">
        <is>
          <t>K</t>
        </is>
      </c>
      <c r="O78" t="inlineStr">
        <is>
          <t>20231007</t>
        </is>
      </c>
      <c r="P78" t="inlineStr">
        <is>
          <t>Jawa Barat</t>
        </is>
      </c>
      <c r="Q78" t="inlineStr"/>
    </row>
    <row r="79">
      <c r="A79" t="inlineStr">
        <is>
          <t>MEKAR</t>
        </is>
      </c>
      <c r="B79" t="inlineStr">
        <is>
          <t>Kota Semarang</t>
        </is>
      </c>
      <c r="C79" t="inlineStr">
        <is>
          <t>08122441194</t>
        </is>
      </c>
      <c r="D79" t="inlineStr">
        <is>
          <t>mekarkonsultan@ymail.com</t>
        </is>
      </c>
      <c r="E79" t="inlineStr">
        <is>
          <t>https://lpjk.pu.go.id/search-badan-usaha-detail/M2tTcTBrQXlHY2RLcVN4RzdmQitTdz09</t>
        </is>
      </c>
      <c r="F79" t="n">
        <v>20</v>
      </c>
      <c r="G79" t="inlineStr">
        <is>
          <t>AR001, RK001, RK002</t>
        </is>
      </c>
      <c r="H79" t="inlineStr">
        <is>
          <t>8 Desember 1982</t>
        </is>
      </c>
      <c r="I79" s="2" t="n">
        <v>46303</v>
      </c>
      <c r="J79" t="inlineStr">
        <is>
          <t>Disetujui</t>
        </is>
      </c>
      <c r="K79" t="n">
        <v>30</v>
      </c>
      <c r="L79" t="inlineStr">
        <is>
          <t>8 Oktober 2026</t>
        </is>
      </c>
      <c r="M79" t="inlineStr">
        <is>
          <t>Jasa Arsitektural Bangunan Gedung Hunian dan Non Hunian, Jasa Rekayasa Konstruksi Bangunan Gedung Hunian dan Non Hunian, Jasa Rekayasa Pekerjaan Teknik Sipil Sumber Daya Air</t>
        </is>
      </c>
      <c r="N79" t="inlineStr">
        <is>
          <t>K</t>
        </is>
      </c>
      <c r="O79" t="inlineStr">
        <is>
          <t>20230929</t>
        </is>
      </c>
      <c r="P79" t="inlineStr">
        <is>
          <t>Jawa Tengah</t>
        </is>
      </c>
      <c r="Q79" t="inlineStr"/>
    </row>
    <row r="80">
      <c r="A80" t="inlineStr">
        <is>
          <t>MITRA MUDA PERKASA</t>
        </is>
      </c>
      <c r="B80" t="inlineStr">
        <is>
          <t>Kab. Lampung Utara</t>
        </is>
      </c>
      <c r="C80" t="inlineStr">
        <is>
          <t>081367679988</t>
        </is>
      </c>
      <c r="D80" t="inlineStr">
        <is>
          <t>cvmitramudaperkasa89@gmail.com</t>
        </is>
      </c>
      <c r="E80" t="inlineStr">
        <is>
          <t>https://lpjk.pu.go.id/search-badan-usaha-detail/bGlrL2JPMnpkSWgzVmhLU0xRTlFHZz09</t>
        </is>
      </c>
      <c r="F80" t="n">
        <v>3</v>
      </c>
      <c r="G80" t="inlineStr">
        <is>
          <t>BG002, BG005, BG006</t>
        </is>
      </c>
      <c r="H80" t="inlineStr">
        <is>
          <t>26 Oktober 2001</t>
        </is>
      </c>
      <c r="I80" s="2" t="n">
        <v>46303</v>
      </c>
      <c r="J80" t="inlineStr">
        <is>
          <t>Disetujui</t>
        </is>
      </c>
      <c r="K80" t="n">
        <v>30</v>
      </c>
      <c r="L80" t="inlineStr">
        <is>
          <t>8 Oktober 2026</t>
        </is>
      </c>
      <c r="M80" t="inlineStr">
        <is>
          <t>Konstruksi Gedung Kesehatan, Konstruksi Gedung Pendidikan, Konstruksi Gedung Perkantoran</t>
        </is>
      </c>
      <c r="N80" t="inlineStr">
        <is>
          <t>K</t>
        </is>
      </c>
      <c r="O80" t="inlineStr">
        <is>
          <t>20230929</t>
        </is>
      </c>
      <c r="P80" t="inlineStr">
        <is>
          <t>Lampung</t>
        </is>
      </c>
      <c r="Q80" t="inlineStr"/>
    </row>
    <row r="81">
      <c r="A81" t="inlineStr">
        <is>
          <t>MITRA PRATAMA &amp; CO</t>
        </is>
      </c>
      <c r="B81" t="inlineStr">
        <is>
          <t>Kota Padang</t>
        </is>
      </c>
      <c r="C81" t="inlineStr">
        <is>
          <t>08126604654</t>
        </is>
      </c>
      <c r="D81" t="inlineStr">
        <is>
          <t>mitrapratamapadang@gmail.com</t>
        </is>
      </c>
      <c r="E81" t="inlineStr">
        <is>
          <t>https://lpjk.pu.go.id/search-badan-usaha-detail/ZFRsTXVxbE03VmNmU2RZSVc0VzhPZz09</t>
        </is>
      </c>
      <c r="F81" t="n">
        <v>1</v>
      </c>
      <c r="G81" t="inlineStr">
        <is>
          <t>BG002</t>
        </is>
      </c>
      <c r="H81" t="inlineStr">
        <is>
          <t>11 Juni 1999</t>
        </is>
      </c>
      <c r="I81" s="2" t="n">
        <v>46303</v>
      </c>
      <c r="J81" t="inlineStr">
        <is>
          <t>Disetujui</t>
        </is>
      </c>
      <c r="K81" t="n">
        <v>30</v>
      </c>
      <c r="L81" t="inlineStr">
        <is>
          <t>8 Oktober 2026</t>
        </is>
      </c>
      <c r="M81" t="inlineStr">
        <is>
          <t>Konstruksi Gedung Perkantoran</t>
        </is>
      </c>
      <c r="N81" t="inlineStr">
        <is>
          <t>K</t>
        </is>
      </c>
      <c r="O81" t="inlineStr">
        <is>
          <t>20231002</t>
        </is>
      </c>
      <c r="P81" t="inlineStr">
        <is>
          <t>Sumatera Barat</t>
        </is>
      </c>
      <c r="Q81" t="inlineStr"/>
    </row>
    <row r="82">
      <c r="A82" t="inlineStr">
        <is>
          <t>MUGHNI LINTASNUSA</t>
        </is>
      </c>
      <c r="B82" t="inlineStr">
        <is>
          <t>Kota Medan</t>
        </is>
      </c>
      <c r="C82" t="inlineStr">
        <is>
          <t>08116072077</t>
        </is>
      </c>
      <c r="D82" t="inlineStr">
        <is>
          <t>cv.mughnilintasnusa@yahoo.com</t>
        </is>
      </c>
      <c r="E82" t="inlineStr">
        <is>
          <t>https://lpjk.pu.go.id/search-badan-usaha-detail/RGFjdnBreUsyTjd0emI4djRGWERaUT09</t>
        </is>
      </c>
      <c r="F82" t="n">
        <v>1</v>
      </c>
      <c r="G82" t="inlineStr">
        <is>
          <t>BS001</t>
        </is>
      </c>
      <c r="H82" t="inlineStr">
        <is>
          <t>4 Februari 2020</t>
        </is>
      </c>
      <c r="I82" s="2" t="n">
        <v>46303</v>
      </c>
      <c r="J82" t="inlineStr">
        <is>
          <t>Disetujui</t>
        </is>
      </c>
      <c r="K82" t="n">
        <v>30</v>
      </c>
      <c r="L82" t="inlineStr">
        <is>
          <t>8 Oktober 2026</t>
        </is>
      </c>
      <c r="M82" t="inlineStr">
        <is>
          <t>Konstruksi Bangunan Sipil Jalan</t>
        </is>
      </c>
      <c r="N82" t="inlineStr">
        <is>
          <t>K</t>
        </is>
      </c>
      <c r="O82" t="inlineStr">
        <is>
          <t>20231008</t>
        </is>
      </c>
      <c r="P82" t="inlineStr">
        <is>
          <t>Sumatera Utara</t>
        </is>
      </c>
      <c r="Q82" t="inlineStr"/>
    </row>
    <row r="83">
      <c r="A83" t="inlineStr">
        <is>
          <t>MULTI ARTHA SEHATI</t>
        </is>
      </c>
      <c r="B83" t="inlineStr">
        <is>
          <t>Kota Cimahi</t>
        </is>
      </c>
      <c r="C83" t="inlineStr">
        <is>
          <t>6659222</t>
        </is>
      </c>
      <c r="D83" t="inlineStr">
        <is>
          <t>admin@multiarthasehati.com</t>
        </is>
      </c>
      <c r="E83" t="inlineStr">
        <is>
          <t>https://lpjk.pu.go.id/search-badan-usaha-detail/NWNGM2wzak5rNkUrV0xoVVo5U1Frdz09</t>
        </is>
      </c>
      <c r="F83" t="n">
        <v>3</v>
      </c>
      <c r="G83" t="inlineStr">
        <is>
          <t>BG005, BG006, BG009</t>
        </is>
      </c>
      <c r="H83" t="inlineStr">
        <is>
          <t>22 Mei 2014</t>
        </is>
      </c>
      <c r="I83" s="2" t="n">
        <v>46303</v>
      </c>
      <c r="J83" t="inlineStr">
        <is>
          <t>Disetujui</t>
        </is>
      </c>
      <c r="K83" t="n">
        <v>30</v>
      </c>
      <c r="L83" t="inlineStr">
        <is>
          <t>8 Oktober 2026</t>
        </is>
      </c>
      <c r="M83" t="inlineStr">
        <is>
          <t>Konstruksi Gedung Kesehatan, Konstruksi Gedung Lainnya, Konstruksi Gedung Pendidikan</t>
        </is>
      </c>
      <c r="N83" t="inlineStr">
        <is>
          <t>K, M</t>
        </is>
      </c>
      <c r="O83" t="inlineStr">
        <is>
          <t>20231006</t>
        </is>
      </c>
      <c r="P83" t="inlineStr">
        <is>
          <t>Jawa Barat</t>
        </is>
      </c>
      <c r="Q83" t="inlineStr"/>
    </row>
    <row r="84">
      <c r="A84" t="inlineStr">
        <is>
          <t>MULTI BANGUN KONSTRUKSI</t>
        </is>
      </c>
      <c r="B84" t="inlineStr">
        <is>
          <t>Kota Palembang</t>
        </is>
      </c>
      <c r="C84" t="inlineStr">
        <is>
          <t>07115715746</t>
        </is>
      </c>
      <c r="D84" t="inlineStr">
        <is>
          <t>multibangun1@gmail.com</t>
        </is>
      </c>
      <c r="E84" t="inlineStr">
        <is>
          <t>https://lpjk.pu.go.id/search-badan-usaha-detail/bURsSlpNc3JHWmhteGp5bTF1cURXQT09</t>
        </is>
      </c>
      <c r="F84" t="n">
        <v>5</v>
      </c>
      <c r="G84" t="inlineStr">
        <is>
          <t>BG001, BG002, BG005, BG006, BG009</t>
        </is>
      </c>
      <c r="H84" t="inlineStr">
        <is>
          <t>9 Mei 2012</t>
        </is>
      </c>
      <c r="I84" s="2" t="n">
        <v>46303</v>
      </c>
      <c r="J84" t="inlineStr">
        <is>
          <t>Disetujui</t>
        </is>
      </c>
      <c r="K84" t="n">
        <v>30</v>
      </c>
      <c r="L84" t="inlineStr">
        <is>
          <t>8 Oktober 2026</t>
        </is>
      </c>
      <c r="M84" t="inlineStr">
        <is>
          <t>Konstruksi Gedung Hunian, Konstruksi Gedung Kesehatan, Konstruksi Gedung Lainnya, Konstruksi Gedung Pendidikan, Konstruksi Gedung Perkantoran</t>
        </is>
      </c>
      <c r="N84" t="inlineStr">
        <is>
          <t>K</t>
        </is>
      </c>
      <c r="O84" t="inlineStr">
        <is>
          <t>20230929, 20231005, 20231006, 20231010</t>
        </is>
      </c>
      <c r="P84" t="inlineStr">
        <is>
          <t>Sumatera Selatan</t>
        </is>
      </c>
      <c r="Q84" t="inlineStr"/>
    </row>
    <row r="85">
      <c r="A85" t="inlineStr">
        <is>
          <t>MULTI ELEVASI INDONESIA</t>
        </is>
      </c>
      <c r="B85" t="inlineStr">
        <is>
          <t>Kota Pekanbaru</t>
        </is>
      </c>
      <c r="C85" t="inlineStr">
        <is>
          <t>081260199262</t>
        </is>
      </c>
      <c r="D85" t="inlineStr">
        <is>
          <t>multielevasi@gmail.com</t>
        </is>
      </c>
      <c r="E85" t="inlineStr">
        <is>
          <t>https://lpjk.pu.go.id/search-badan-usaha-detail/dFRsUzRNSE9nWmdtRGYxMlM5MXZWQT09</t>
        </is>
      </c>
      <c r="F85" t="n">
        <v>4</v>
      </c>
      <c r="G85" t="inlineStr">
        <is>
          <t>BG002, BG003, BG007, BG009</t>
        </is>
      </c>
      <c r="H85" t="inlineStr">
        <is>
          <t>31 Agustus 2020</t>
        </is>
      </c>
      <c r="I85" s="2" t="n">
        <v>46303</v>
      </c>
      <c r="J85" t="inlineStr">
        <is>
          <t>Disetujui</t>
        </is>
      </c>
      <c r="K85" t="n">
        <v>30</v>
      </c>
      <c r="L85" t="inlineStr">
        <is>
          <t>8 Oktober 2026</t>
        </is>
      </c>
      <c r="M85" t="inlineStr">
        <is>
          <t>Konstruksi Gedung Industri, Konstruksi Gedung Lainnya, Konstruksi Gedung Penginapan, Konstruksi Gedung Perkantoran</t>
        </is>
      </c>
      <c r="N85" t="inlineStr">
        <is>
          <t>K</t>
        </is>
      </c>
      <c r="O85" t="inlineStr">
        <is>
          <t>20231009</t>
        </is>
      </c>
      <c r="P85" t="inlineStr">
        <is>
          <t>Riau</t>
        </is>
      </c>
      <c r="Q85" t="inlineStr"/>
    </row>
    <row r="86">
      <c r="A86" t="inlineStr">
        <is>
          <t>MUTIARA INDAH WASIOR</t>
        </is>
      </c>
      <c r="B86" t="inlineStr">
        <is>
          <t>Kab. Teluk Wondama</t>
        </is>
      </c>
      <c r="C86" t="inlineStr">
        <is>
          <t>082198351677</t>
        </is>
      </c>
      <c r="D86" t="inlineStr">
        <is>
          <t>cvmutiaraindah36@gmail.com</t>
        </is>
      </c>
      <c r="E86" t="inlineStr">
        <is>
          <t>https://lpjk.pu.go.id/search-badan-usaha-detail/Y2kreVpva2gxanBhQmJOTm9OeFhHQT09</t>
        </is>
      </c>
      <c r="F86" t="n">
        <v>10</v>
      </c>
      <c r="G86" t="inlineStr">
        <is>
          <t>BG001, BG005, BG006, BG009, BS004</t>
        </is>
      </c>
      <c r="H86" t="inlineStr">
        <is>
          <t>7 Januari 2016</t>
        </is>
      </c>
      <c r="I86" s="2" t="n">
        <v>46303</v>
      </c>
      <c r="J86" t="inlineStr">
        <is>
          <t>Disetujui</t>
        </is>
      </c>
      <c r="K86" t="n">
        <v>30</v>
      </c>
      <c r="L86" t="inlineStr">
        <is>
          <t>8 Oktober 2026</t>
        </is>
      </c>
      <c r="M86" t="inlineStr">
        <is>
          <t>Konstruksi Gedung Hunian, Konstruksi Gedung Kesehatan, Konstruksi Gedung Lainnya, Konstruksi Gedung Pendidikan, Konstruksi Jaringan Irigasi dan Drainase</t>
        </is>
      </c>
      <c r="N86" t="inlineStr">
        <is>
          <t>K</t>
        </is>
      </c>
      <c r="O86" t="inlineStr">
        <is>
          <t>20231009, 20231010</t>
        </is>
      </c>
      <c r="P86" t="inlineStr">
        <is>
          <t>Papua Barat</t>
        </is>
      </c>
      <c r="Q86" t="inlineStr"/>
    </row>
    <row r="87">
      <c r="A87" t="inlineStr">
        <is>
          <t>NAYAKA</t>
        </is>
      </c>
      <c r="B87" t="inlineStr">
        <is>
          <t>Kab. Jepara</t>
        </is>
      </c>
      <c r="C87" t="inlineStr">
        <is>
          <t>08122610838</t>
        </is>
      </c>
      <c r="D87" t="inlineStr">
        <is>
          <t>nayakajepara@yahoo.com</t>
        </is>
      </c>
      <c r="E87" t="inlineStr">
        <is>
          <t>https://lpjk.pu.go.id/search-badan-usaha-detail/NG1GUllQRDdRU0NLbzQ4Tnc2dEpCZz09</t>
        </is>
      </c>
      <c r="F87" t="n">
        <v>1</v>
      </c>
      <c r="G87" t="inlineStr">
        <is>
          <t>BG009</t>
        </is>
      </c>
      <c r="H87" t="inlineStr">
        <is>
          <t>10 Februari 2012</t>
        </is>
      </c>
      <c r="I87" s="2" t="n">
        <v>46303</v>
      </c>
      <c r="J87" t="inlineStr">
        <is>
          <t>Disetujui</t>
        </is>
      </c>
      <c r="K87" t="n">
        <v>30</v>
      </c>
      <c r="L87" t="inlineStr">
        <is>
          <t>8 Oktober 2026</t>
        </is>
      </c>
      <c r="M87" t="inlineStr">
        <is>
          <t>Konstruksi Gedung Lainnya</t>
        </is>
      </c>
      <c r="N87" t="inlineStr">
        <is>
          <t>K</t>
        </is>
      </c>
      <c r="O87" t="inlineStr">
        <is>
          <t>20231009</t>
        </is>
      </c>
      <c r="P87" t="inlineStr">
        <is>
          <t>Jawa Tengah</t>
        </is>
      </c>
      <c r="Q87" t="inlineStr"/>
    </row>
    <row r="88">
      <c r="A88" t="inlineStr">
        <is>
          <t>NAYAKA MANUNGGAL SHANKARA</t>
        </is>
      </c>
      <c r="B88" t="inlineStr">
        <is>
          <t>Kab. Batang</t>
        </is>
      </c>
      <c r="C88" t="inlineStr">
        <is>
          <t>85600545433</t>
        </is>
      </c>
      <c r="D88" t="inlineStr">
        <is>
          <t>nayakamanunggalshankara@gmail.com</t>
        </is>
      </c>
      <c r="E88" t="inlineStr">
        <is>
          <t>https://lpjk.pu.go.id/search-badan-usaha-detail/eFBIM3Axc2diMEJObXpJcXVHUVM2QT09</t>
        </is>
      </c>
      <c r="F88" t="n">
        <v>1</v>
      </c>
      <c r="G88" t="inlineStr">
        <is>
          <t>BG009</t>
        </is>
      </c>
      <c r="H88" t="inlineStr">
        <is>
          <t>10 April 2023</t>
        </is>
      </c>
      <c r="I88" s="2" t="n">
        <v>46303</v>
      </c>
      <c r="J88" t="inlineStr">
        <is>
          <t>Disetujui</t>
        </is>
      </c>
      <c r="K88" t="n">
        <v>30</v>
      </c>
      <c r="L88" t="inlineStr">
        <is>
          <t>8 Oktober 2026</t>
        </is>
      </c>
      <c r="M88" t="inlineStr">
        <is>
          <t>Konstruksi Gedung Lainnya</t>
        </is>
      </c>
      <c r="N88" t="inlineStr">
        <is>
          <t>K</t>
        </is>
      </c>
      <c r="O88" t="inlineStr">
        <is>
          <t>20231006</t>
        </is>
      </c>
      <c r="P88" t="inlineStr">
        <is>
          <t>Jawa Tengah</t>
        </is>
      </c>
      <c r="Q88" t="inlineStr"/>
    </row>
    <row r="89">
      <c r="A89" t="inlineStr">
        <is>
          <t>NAYLA PERMATA KONSTRUKSI</t>
        </is>
      </c>
      <c r="B89" t="inlineStr">
        <is>
          <t>Kab. Kotabaru</t>
        </is>
      </c>
      <c r="C89" t="inlineStr">
        <is>
          <t>081256404579</t>
        </is>
      </c>
      <c r="D89" t="inlineStr">
        <is>
          <t>naylapermatakonstruksi@gmail.com</t>
        </is>
      </c>
      <c r="E89" t="inlineStr">
        <is>
          <t>https://lpjk.pu.go.id/search-badan-usaha-detail/Zjd6SmFLaUJzSWhZSG41Z2g4Zzdjdz09</t>
        </is>
      </c>
      <c r="F89" t="n">
        <v>1</v>
      </c>
      <c r="G89" t="inlineStr">
        <is>
          <t>PL003</t>
        </is>
      </c>
      <c r="H89" t="inlineStr">
        <is>
          <t>29 September 2023</t>
        </is>
      </c>
      <c r="I89" s="2" t="n">
        <v>46303</v>
      </c>
      <c r="J89" t="inlineStr">
        <is>
          <t>Disetujui</t>
        </is>
      </c>
      <c r="K89" t="n">
        <v>30</v>
      </c>
      <c r="L89" t="inlineStr">
        <is>
          <t>8 Oktober 2026</t>
        </is>
      </c>
      <c r="M89" t="inlineStr">
        <is>
          <t>Penyiapan Lahan Konstruksi</t>
        </is>
      </c>
      <c r="N89" t="inlineStr">
        <is>
          <t>Spesialis</t>
        </is>
      </c>
      <c r="O89" t="inlineStr">
        <is>
          <t>20231004</t>
        </is>
      </c>
      <c r="P89" t="inlineStr">
        <is>
          <t>Kalimantan Selatan</t>
        </is>
      </c>
      <c r="Q89" t="inlineStr"/>
    </row>
    <row r="90">
      <c r="A90" t="inlineStr">
        <is>
          <t>PAMUNGKAS JAVA CONSTRUCTION</t>
        </is>
      </c>
      <c r="B90" t="inlineStr">
        <is>
          <t>Kota Semarang</t>
        </is>
      </c>
      <c r="C90" t="inlineStr">
        <is>
          <t>02476739361</t>
        </is>
      </c>
      <c r="D90" t="inlineStr">
        <is>
          <t>pampamunkas@gmail.com</t>
        </is>
      </c>
      <c r="E90" t="inlineStr">
        <is>
          <t>https://lpjk.pu.go.id/search-badan-usaha-detail/cEQwYlA4N3k2c093eG1HaFVZRm9QQT09</t>
        </is>
      </c>
      <c r="F90" t="n">
        <v>1</v>
      </c>
      <c r="G90" t="inlineStr">
        <is>
          <t>BS010</t>
        </is>
      </c>
      <c r="H90" t="inlineStr">
        <is>
          <t>1 Juni 2012</t>
        </is>
      </c>
      <c r="I90" s="2" t="n">
        <v>46303</v>
      </c>
      <c r="J90" t="inlineStr">
        <is>
          <t>Disetujui</t>
        </is>
      </c>
      <c r="K90" t="n">
        <v>30</v>
      </c>
      <c r="L90" t="inlineStr">
        <is>
          <t>8 Oktober 2026</t>
        </is>
      </c>
      <c r="M90" t="inlineStr">
        <is>
          <t>Konstruksi Bangunan Prasarana Sumber Daya Air</t>
        </is>
      </c>
      <c r="N90" t="inlineStr">
        <is>
          <t>K</t>
        </is>
      </c>
      <c r="O90" t="inlineStr">
        <is>
          <t>20231002</t>
        </is>
      </c>
      <c r="P90" t="inlineStr">
        <is>
          <t>Jawa Tengah</t>
        </is>
      </c>
      <c r="Q90" t="inlineStr"/>
    </row>
    <row r="91">
      <c r="A91" t="inlineStr">
        <is>
          <t>PANAMAS</t>
        </is>
      </c>
      <c r="B91" t="inlineStr">
        <is>
          <t>Kota Ambon</t>
        </is>
      </c>
      <c r="C91" t="inlineStr">
        <is>
          <t>081343030593</t>
        </is>
      </c>
      <c r="D91" t="inlineStr">
        <is>
          <t>panamascv@gmail.com</t>
        </is>
      </c>
      <c r="E91" t="inlineStr">
        <is>
          <t>https://lpjk.pu.go.id/search-badan-usaha-detail/MXhuaUQrL3dQNVQ0aGRzblQ5cTFKZz09</t>
        </is>
      </c>
      <c r="F91" t="n">
        <v>4</v>
      </c>
      <c r="G91" t="inlineStr">
        <is>
          <t>BG001, BG002, BG006, BG009</t>
        </is>
      </c>
      <c r="H91" t="inlineStr">
        <is>
          <t>28 September 1991</t>
        </is>
      </c>
      <c r="I91" s="2" t="n">
        <v>46303</v>
      </c>
      <c r="J91" t="inlineStr">
        <is>
          <t>Disetujui</t>
        </is>
      </c>
      <c r="K91" t="n">
        <v>30</v>
      </c>
      <c r="L91" t="inlineStr">
        <is>
          <t>8 Oktober 2026</t>
        </is>
      </c>
      <c r="M91" t="inlineStr">
        <is>
          <t>Konstruksi Gedung Hunian, Konstruksi Gedung Lainnya, Konstruksi Gedung Pendidikan, Konstruksi Gedung Perkantoran</t>
        </is>
      </c>
      <c r="N91" t="inlineStr">
        <is>
          <t>K</t>
        </is>
      </c>
      <c r="O91" t="inlineStr">
        <is>
          <t>20231008, 20231009</t>
        </is>
      </c>
      <c r="P91" t="inlineStr">
        <is>
          <t>Maluku</t>
        </is>
      </c>
      <c r="Q91" t="inlineStr"/>
    </row>
    <row r="92">
      <c r="A92" t="inlineStr">
        <is>
          <t>PANDAWA NADIMPU</t>
        </is>
      </c>
      <c r="B92" t="inlineStr">
        <is>
          <t>Kota Padang Sidempuan</t>
        </is>
      </c>
      <c r="C92" t="inlineStr">
        <is>
          <t>082278270029</t>
        </is>
      </c>
      <c r="D92" t="inlineStr">
        <is>
          <t>cvpandawanadimpu@gmail.com</t>
        </is>
      </c>
      <c r="E92" t="inlineStr">
        <is>
          <t>https://lpjk.pu.go.id/search-badan-usaha-detail/TGFQSlpiRDlNaklzMW42OWo0SVZDUT09</t>
        </is>
      </c>
      <c r="F92" t="n">
        <v>6</v>
      </c>
      <c r="G92" t="inlineStr">
        <is>
          <t>BG005, BG006, BS004</t>
        </is>
      </c>
      <c r="H92" t="inlineStr">
        <is>
          <t>27 September 2023</t>
        </is>
      </c>
      <c r="I92" s="2" t="n">
        <v>46303</v>
      </c>
      <c r="J92" t="inlineStr">
        <is>
          <t>Pencabutan</t>
        </is>
      </c>
      <c r="K92" t="n">
        <v>30</v>
      </c>
      <c r="L92" t="inlineStr">
        <is>
          <t>8 Oktober 2026</t>
        </is>
      </c>
      <c r="M92" t="inlineStr">
        <is>
          <t>Konstruksi Gedung Kesehatan, Konstruksi Gedung Pendidikan, Konstruksi Jaringan Irigasi dan Drainase</t>
        </is>
      </c>
      <c r="N92" t="inlineStr">
        <is>
          <t>K</t>
        </is>
      </c>
      <c r="O92" t="inlineStr">
        <is>
          <t>20231007, 20231009</t>
        </is>
      </c>
      <c r="P92" t="inlineStr">
        <is>
          <t>Sumatera Utara</t>
        </is>
      </c>
      <c r="Q92" t="inlineStr"/>
    </row>
    <row r="93">
      <c r="A93" t="inlineStr">
        <is>
          <t>PANDAWA PASIFIK INDONESIA</t>
        </is>
      </c>
      <c r="B93" t="inlineStr">
        <is>
          <t>Kota Palembang</t>
        </is>
      </c>
      <c r="C93" t="inlineStr">
        <is>
          <t>0</t>
        </is>
      </c>
      <c r="D93" t="inlineStr">
        <is>
          <t>pt.pandawapasifikindonesiia@yahoo.com</t>
        </is>
      </c>
      <c r="E93" t="inlineStr">
        <is>
          <t>https://lpjk.pu.go.id/search-badan-usaha-detail/Y0t5Uk1FNnF1N0p3VHRSMTRIY1hLQT09</t>
        </is>
      </c>
      <c r="F93" t="n">
        <v>2</v>
      </c>
      <c r="G93" t="inlineStr">
        <is>
          <t>BG001</t>
        </is>
      </c>
      <c r="H93" t="inlineStr">
        <is>
          <t>5 Agustus 2016</t>
        </is>
      </c>
      <c r="I93" s="2" t="n">
        <v>46303</v>
      </c>
      <c r="J93" t="inlineStr">
        <is>
          <t>Pencabutan</t>
        </is>
      </c>
      <c r="K93" t="n">
        <v>30</v>
      </c>
      <c r="L93" t="inlineStr">
        <is>
          <t>8 Oktober 2026</t>
        </is>
      </c>
      <c r="M93" t="inlineStr">
        <is>
          <t>Konstruksi Gedung Hunian</t>
        </is>
      </c>
      <c r="N93" t="inlineStr">
        <is>
          <t>K</t>
        </is>
      </c>
      <c r="O93" t="inlineStr">
        <is>
          <t>20231009</t>
        </is>
      </c>
      <c r="P93" t="inlineStr">
        <is>
          <t>Sumatera Selatan</t>
        </is>
      </c>
      <c r="Q93" t="inlineStr"/>
    </row>
    <row r="94">
      <c r="A94" t="inlineStr">
        <is>
          <t>PEMBANGUNAN PERUMAHAN KAWANUA</t>
        </is>
      </c>
      <c r="B94" t="inlineStr">
        <is>
          <t>Kota Tomohon</t>
        </is>
      </c>
      <c r="C94" t="inlineStr">
        <is>
          <t>082188449255</t>
        </is>
      </c>
      <c r="D94" t="inlineStr">
        <is>
          <t>kawanuapinarasresidence@gmail.com</t>
        </is>
      </c>
      <c r="E94" t="inlineStr">
        <is>
          <t>https://lpjk.pu.go.id/search-badan-usaha-detail/Z3loUVo2cTZRYVFkeVVzOEVhMm5tQT09</t>
        </is>
      </c>
      <c r="F94" t="n">
        <v>3</v>
      </c>
      <c r="G94" t="inlineStr">
        <is>
          <t>BG001, BS001</t>
        </is>
      </c>
      <c r="H94" t="inlineStr">
        <is>
          <t>27 Juni 2022</t>
        </is>
      </c>
      <c r="I94" s="2" t="n">
        <v>46303</v>
      </c>
      <c r="J94" t="inlineStr">
        <is>
          <t>Disetujui</t>
        </is>
      </c>
      <c r="K94" t="n">
        <v>30</v>
      </c>
      <c r="L94" t="inlineStr">
        <is>
          <t>8 Oktober 2026</t>
        </is>
      </c>
      <c r="M94" t="inlineStr">
        <is>
          <t>Konstruksi Bangunan Sipil Jalan, Konstruksi Gedung Hunian</t>
        </is>
      </c>
      <c r="N94" t="inlineStr">
        <is>
          <t>K</t>
        </is>
      </c>
      <c r="O94" t="inlineStr">
        <is>
          <t>20231004, 20231007</t>
        </is>
      </c>
      <c r="P94" t="inlineStr">
        <is>
          <t>Sulawesi Utara</t>
        </is>
      </c>
      <c r="Q94" t="inlineStr"/>
    </row>
    <row r="95">
      <c r="A95" t="inlineStr">
        <is>
          <t>PERMATA INDAH</t>
        </is>
      </c>
      <c r="B95" t="inlineStr">
        <is>
          <t>Kab. Toli Toli</t>
        </is>
      </c>
      <c r="C95" t="inlineStr">
        <is>
          <t>085220466477</t>
        </is>
      </c>
      <c r="D95" t="inlineStr">
        <is>
          <t>permataindahtolis@yahoo.co.id</t>
        </is>
      </c>
      <c r="E95" t="inlineStr">
        <is>
          <t>https://lpjk.pu.go.id/search-badan-usaha-detail/cTI2Q0hXcjJwYlN3N0UwVUo0K1ZhUT09</t>
        </is>
      </c>
      <c r="F95" t="n">
        <v>3</v>
      </c>
      <c r="G95" t="inlineStr">
        <is>
          <t>BS001, BS002, BS010</t>
        </is>
      </c>
      <c r="H95" t="inlineStr">
        <is>
          <t>22 Januari 2014</t>
        </is>
      </c>
      <c r="I95" s="2" t="n">
        <v>46303</v>
      </c>
      <c r="J95" t="inlineStr">
        <is>
          <t>Disetujui</t>
        </is>
      </c>
      <c r="K95" t="n">
        <v>30</v>
      </c>
      <c r="L95" t="inlineStr">
        <is>
          <t>8 Oktober 2026</t>
        </is>
      </c>
      <c r="M95" t="inlineStr">
        <is>
          <t>Bangunan Sipil Jembatan, Jalan Layang, Fly Over, dan Underpass, Konstruksi Bangunan Prasarana Sumber Daya Air, Konstruksi Bangunan Sipil Jalan</t>
        </is>
      </c>
      <c r="N95" t="inlineStr">
        <is>
          <t>K</t>
        </is>
      </c>
      <c r="O95" t="inlineStr">
        <is>
          <t>20231007, 20231009</t>
        </is>
      </c>
      <c r="P95" t="inlineStr">
        <is>
          <t>Sulawesi Tengah</t>
        </is>
      </c>
      <c r="Q95" t="inlineStr"/>
    </row>
    <row r="96">
      <c r="A96" t="inlineStr">
        <is>
          <t>PRIGI PUTRA</t>
        </is>
      </c>
      <c r="B96" t="inlineStr">
        <is>
          <t>Kab. Majalengka</t>
        </is>
      </c>
      <c r="C96" t="inlineStr">
        <is>
          <t>082127311161</t>
        </is>
      </c>
      <c r="D96" t="inlineStr">
        <is>
          <t>lavamobile703@gmail.com</t>
        </is>
      </c>
      <c r="E96" t="inlineStr">
        <is>
          <t>https://lpjk.pu.go.id/search-badan-usaha-detail/V2x1a0NsV1pCM0xCWWxkUFJtSzVWUT09</t>
        </is>
      </c>
      <c r="F96" t="n">
        <v>2</v>
      </c>
      <c r="G96" t="inlineStr">
        <is>
          <t>BS001, BS004</t>
        </is>
      </c>
      <c r="H96" t="inlineStr">
        <is>
          <t>6 Oktober 2018</t>
        </is>
      </c>
      <c r="I96" s="2" t="n">
        <v>46303</v>
      </c>
      <c r="J96" t="inlineStr">
        <is>
          <t>Disetujui</t>
        </is>
      </c>
      <c r="K96" t="n">
        <v>30</v>
      </c>
      <c r="L96" t="inlineStr">
        <is>
          <t>8 Oktober 2026</t>
        </is>
      </c>
      <c r="M96" t="inlineStr">
        <is>
          <t>Konstruksi Bangunan Sipil Jalan, Konstruksi Jaringan Irigasi dan Drainase</t>
        </is>
      </c>
      <c r="N96" t="inlineStr">
        <is>
          <t>K</t>
        </is>
      </c>
      <c r="O96" t="inlineStr">
        <is>
          <t>20231006</t>
        </is>
      </c>
      <c r="P96" t="inlineStr">
        <is>
          <t>Jawa Barat</t>
        </is>
      </c>
      <c r="Q96" t="inlineStr"/>
    </row>
    <row r="97">
      <c r="A97" t="inlineStr">
        <is>
          <t>PRIMA JAYA ELECTRIC</t>
        </is>
      </c>
      <c r="B97" t="inlineStr">
        <is>
          <t>Kab. Purwakarta</t>
        </is>
      </c>
      <c r="C97" t="inlineStr">
        <is>
          <t>08172308901</t>
        </is>
      </c>
      <c r="D97" t="inlineStr">
        <is>
          <t>primajayaelectric@gmail.com</t>
        </is>
      </c>
      <c r="E97" t="inlineStr">
        <is>
          <t>https://lpjk.pu.go.id/search-badan-usaha-detail/R2MwcVFZVFdMZEhMSDUybGEzcm5SZz09</t>
        </is>
      </c>
      <c r="F97" t="n">
        <v>3</v>
      </c>
      <c r="G97" t="inlineStr">
        <is>
          <t>BS001, BS007, BS010</t>
        </is>
      </c>
      <c r="H97" t="inlineStr">
        <is>
          <t>22 September 2014</t>
        </is>
      </c>
      <c r="I97" s="2" t="n">
        <v>46303</v>
      </c>
      <c r="J97" t="inlineStr">
        <is>
          <t>Disetujui, Pencabutan</t>
        </is>
      </c>
      <c r="K97" t="n">
        <v>30</v>
      </c>
      <c r="L97" t="inlineStr">
        <is>
          <t>8 Oktober 2026</t>
        </is>
      </c>
      <c r="M97" t="inlineStr">
        <is>
          <t>Konstruksi Bangunan Prasarana Sumber Daya Air, Konstruksi Bangunan Sipil Elektrikal, Konstruksi Bangunan Sipil Jalan</t>
        </is>
      </c>
      <c r="N97" t="inlineStr">
        <is>
          <t>K</t>
        </is>
      </c>
      <c r="O97" t="inlineStr">
        <is>
          <t>20231007</t>
        </is>
      </c>
      <c r="P97" t="inlineStr">
        <is>
          <t>Jawa Barat</t>
        </is>
      </c>
      <c r="Q97" t="inlineStr"/>
    </row>
    <row r="98">
      <c r="A98" t="inlineStr">
        <is>
          <t>PRIMA MANDIRI</t>
        </is>
      </c>
      <c r="B98" t="inlineStr">
        <is>
          <t>Kota Jambi</t>
        </is>
      </c>
      <c r="C98" t="inlineStr">
        <is>
          <t>0741669127</t>
        </is>
      </c>
      <c r="D98" t="inlineStr">
        <is>
          <t>primamandiri82@yahoo.co.id</t>
        </is>
      </c>
      <c r="E98" t="inlineStr">
        <is>
          <t>https://lpjk.pu.go.id/search-badan-usaha-detail/cVBLK0pVeWV6cGNtQVRJeTBlNHBjZz09</t>
        </is>
      </c>
      <c r="F98" t="n">
        <v>5</v>
      </c>
      <c r="G98" t="inlineStr">
        <is>
          <t>BG002, BG004, BG005, BG006, BG009</t>
        </is>
      </c>
      <c r="H98" t="inlineStr">
        <is>
          <t>24 Maret 2006</t>
        </is>
      </c>
      <c r="I98" s="2" t="n">
        <v>46303</v>
      </c>
      <c r="J98" t="inlineStr">
        <is>
          <t>Disetujui</t>
        </is>
      </c>
      <c r="K98" t="n">
        <v>30</v>
      </c>
      <c r="L98" t="inlineStr">
        <is>
          <t>8 Oktober 2026</t>
        </is>
      </c>
      <c r="M98" t="inlineStr">
        <is>
          <t>Konstruksi Gedung Kesehatan, Konstruksi Gedung Lainnya, Konstruksi Gedung Pendidikan, Konstruksi Gedung Perbelanjaan, Konstruksi Gedung Perkantoran</t>
        </is>
      </c>
      <c r="N98" t="inlineStr">
        <is>
          <t>K</t>
        </is>
      </c>
      <c r="O98" t="inlineStr">
        <is>
          <t>20230724, 20231005</t>
        </is>
      </c>
      <c r="P98" t="inlineStr">
        <is>
          <t>Jambi</t>
        </is>
      </c>
      <c r="Q98" t="inlineStr"/>
    </row>
    <row r="99">
      <c r="A99" t="inlineStr">
        <is>
          <t>PUTRA BUNGSU</t>
        </is>
      </c>
      <c r="B99" t="inlineStr">
        <is>
          <t>Kab. Demak</t>
        </is>
      </c>
      <c r="C99" t="inlineStr">
        <is>
          <t>0895359869671</t>
        </is>
      </c>
      <c r="D99" t="inlineStr">
        <is>
          <t>putrabungsu.d21@gmail.com</t>
        </is>
      </c>
      <c r="E99" t="inlineStr">
        <is>
          <t>https://lpjk.pu.go.id/search-badan-usaha-detail/Z2pMaytZQWtjZFVHYzZiOUx6RWtEdz09</t>
        </is>
      </c>
      <c r="F99" t="n">
        <v>1</v>
      </c>
      <c r="G99" t="inlineStr">
        <is>
          <t>BG005</t>
        </is>
      </c>
      <c r="H99" t="inlineStr">
        <is>
          <t>14 November 2003</t>
        </is>
      </c>
      <c r="I99" s="2" t="n">
        <v>46303</v>
      </c>
      <c r="J99" t="inlineStr">
        <is>
          <t>Disetujui</t>
        </is>
      </c>
      <c r="K99" t="n">
        <v>30</v>
      </c>
      <c r="L99" t="inlineStr">
        <is>
          <t>8 Oktober 2026</t>
        </is>
      </c>
      <c r="M99" t="inlineStr">
        <is>
          <t>Konstruksi Gedung Kesehatan</t>
        </is>
      </c>
      <c r="N99" t="inlineStr">
        <is>
          <t>K</t>
        </is>
      </c>
      <c r="O99" t="inlineStr">
        <is>
          <t>20231004</t>
        </is>
      </c>
      <c r="P99" t="inlineStr">
        <is>
          <t>Jawa Tengah</t>
        </is>
      </c>
      <c r="Q99" t="inlineStr"/>
    </row>
    <row r="100">
      <c r="A100" t="inlineStr">
        <is>
          <t>PUTRA GOZALI GEMILANG</t>
        </is>
      </c>
      <c r="B100" t="inlineStr">
        <is>
          <t>Kab. Kubu Raya</t>
        </is>
      </c>
      <c r="C100" t="inlineStr">
        <is>
          <t>081236909560</t>
        </is>
      </c>
      <c r="D100" t="inlineStr">
        <is>
          <t>putragozaligemilang@gmail.com</t>
        </is>
      </c>
      <c r="E100" t="inlineStr">
        <is>
          <t>https://lpjk.pu.go.id/search-badan-usaha-detail/ZGdQNWZDK0VXYlRRZlBhNkFmR2xzZz09</t>
        </is>
      </c>
      <c r="F100" t="n">
        <v>2</v>
      </c>
      <c r="G100" t="inlineStr">
        <is>
          <t>BG001, BS001</t>
        </is>
      </c>
      <c r="H100" t="inlineStr">
        <is>
          <t>2 November 2018</t>
        </is>
      </c>
      <c r="I100" s="2" t="n">
        <v>46303</v>
      </c>
      <c r="J100" t="inlineStr">
        <is>
          <t>Disetujui</t>
        </is>
      </c>
      <c r="K100" t="n">
        <v>30</v>
      </c>
      <c r="L100" t="inlineStr">
        <is>
          <t>8 Oktober 2026</t>
        </is>
      </c>
      <c r="M100" t="inlineStr">
        <is>
          <t>Konstruksi Bangunan Sipil Jalan, Konstruksi Gedung Hunian</t>
        </is>
      </c>
      <c r="N100" t="inlineStr">
        <is>
          <t>K</t>
        </is>
      </c>
      <c r="O100" t="inlineStr">
        <is>
          <t>20231004</t>
        </is>
      </c>
      <c r="P100" t="inlineStr">
        <is>
          <t>Kalimantan Barat</t>
        </is>
      </c>
      <c r="Q100" t="inlineStr"/>
    </row>
    <row r="101">
      <c r="A101" t="inlineStr">
        <is>
          <t>PUTRA LAWU SANTAN</t>
        </is>
      </c>
      <c r="B101" t="inlineStr">
        <is>
          <t>Kab. Kutai Timur</t>
        </is>
      </c>
      <c r="C101" t="inlineStr">
        <is>
          <t>081250258421</t>
        </is>
      </c>
      <c r="D101" t="inlineStr">
        <is>
          <t>putralawusantan23@gmail.com</t>
        </is>
      </c>
      <c r="E101" t="inlineStr">
        <is>
          <t>https://lpjk.pu.go.id/search-badan-usaha-detail/aEpHcmd4QlRRaWdmQ3UxVG5NOGs5QT09</t>
        </is>
      </c>
      <c r="F101" t="n">
        <v>2</v>
      </c>
      <c r="G101" t="inlineStr">
        <is>
          <t>BS001, BS004</t>
        </is>
      </c>
      <c r="H101" t="inlineStr">
        <is>
          <t>14 Februari 2023</t>
        </is>
      </c>
      <c r="I101" s="2" t="n">
        <v>46303</v>
      </c>
      <c r="J101" t="inlineStr">
        <is>
          <t>Disetujui</t>
        </is>
      </c>
      <c r="K101" t="n">
        <v>30</v>
      </c>
      <c r="L101" t="inlineStr">
        <is>
          <t>8 Oktober 2026</t>
        </is>
      </c>
      <c r="M101" t="inlineStr">
        <is>
          <t>Konstruksi Bangunan Sipil Jalan, Konstruksi Jaringan Irigasi dan Drainase</t>
        </is>
      </c>
      <c r="N101" t="inlineStr">
        <is>
          <t>K</t>
        </is>
      </c>
      <c r="O101" t="inlineStr">
        <is>
          <t>20230919</t>
        </is>
      </c>
      <c r="P101" t="inlineStr">
        <is>
          <t>Kalimantan Timur</t>
        </is>
      </c>
      <c r="Q101" t="inlineStr"/>
    </row>
    <row r="102">
      <c r="A102" t="inlineStr">
        <is>
          <t>PUTRA MAHKOTA MOROWALI</t>
        </is>
      </c>
      <c r="B102" t="inlineStr">
        <is>
          <t>Kab. Morowali</t>
        </is>
      </c>
      <c r="C102" t="inlineStr">
        <is>
          <t>081343951859</t>
        </is>
      </c>
      <c r="D102" t="inlineStr">
        <is>
          <t>ptputramahkotamorowali@gmail.com</t>
        </is>
      </c>
      <c r="E102" t="inlineStr">
        <is>
          <t>https://lpjk.pu.go.id/search-badan-usaha-detail/Ri9xcVg1ZWUxcmZhUTF5QlJVOUY5dz09</t>
        </is>
      </c>
      <c r="F102" t="n">
        <v>1</v>
      </c>
      <c r="G102" t="inlineStr">
        <is>
          <t>BG005</t>
        </is>
      </c>
      <c r="H102" t="inlineStr">
        <is>
          <t>15 Maret 2022</t>
        </is>
      </c>
      <c r="I102" s="2" t="n">
        <v>46303</v>
      </c>
      <c r="J102" t="inlineStr">
        <is>
          <t>Disetujui</t>
        </is>
      </c>
      <c r="K102" t="n">
        <v>30</v>
      </c>
      <c r="L102" t="inlineStr">
        <is>
          <t>8 Oktober 2026</t>
        </is>
      </c>
      <c r="M102" t="inlineStr">
        <is>
          <t>Konstruksi Gedung Kesehatan</t>
        </is>
      </c>
      <c r="N102" t="inlineStr">
        <is>
          <t>K</t>
        </is>
      </c>
      <c r="O102" t="inlineStr">
        <is>
          <t>20231009</t>
        </is>
      </c>
      <c r="P102" t="inlineStr">
        <is>
          <t>Sulawesi Tengah</t>
        </is>
      </c>
      <c r="Q102" t="inlineStr"/>
    </row>
    <row r="103">
      <c r="A103" t="inlineStr">
        <is>
          <t>PUTRI ICHA LESTARI</t>
        </is>
      </c>
      <c r="B103" t="inlineStr">
        <is>
          <t>Kab. Muaro Jambi</t>
        </is>
      </c>
      <c r="C103" t="inlineStr">
        <is>
          <t>081274251111</t>
        </is>
      </c>
      <c r="D103" t="inlineStr">
        <is>
          <t>puristar.pil@gmail.com</t>
        </is>
      </c>
      <c r="E103" t="inlineStr">
        <is>
          <t>https://lpjk.pu.go.id/search-badan-usaha-detail/ZUpFVWpDdm13RlNRZ25CQXJyUVJZQT09</t>
        </is>
      </c>
      <c r="F103" t="n">
        <v>1</v>
      </c>
      <c r="G103" t="inlineStr">
        <is>
          <t>BS004</t>
        </is>
      </c>
      <c r="H103" t="inlineStr">
        <is>
          <t>7 Februari 2001</t>
        </is>
      </c>
      <c r="I103" s="2" t="n">
        <v>46303</v>
      </c>
      <c r="J103" t="inlineStr">
        <is>
          <t>Disetujui</t>
        </is>
      </c>
      <c r="K103" t="n">
        <v>30</v>
      </c>
      <c r="L103" t="inlineStr">
        <is>
          <t>8 Oktober 2026</t>
        </is>
      </c>
      <c r="M103" t="inlineStr">
        <is>
          <t>Konstruksi Jaringan Irigasi dan Drainase</t>
        </is>
      </c>
      <c r="N103" t="inlineStr">
        <is>
          <t>K</t>
        </is>
      </c>
      <c r="O103" t="inlineStr">
        <is>
          <t>20231003</t>
        </is>
      </c>
      <c r="P103" t="inlineStr">
        <is>
          <t>Jambi</t>
        </is>
      </c>
      <c r="Q103" t="inlineStr"/>
    </row>
    <row r="104">
      <c r="A104" t="inlineStr">
        <is>
          <t>PUTROE FIRA PERMATA</t>
        </is>
      </c>
      <c r="B104" t="inlineStr">
        <is>
          <t>Kab. Nagan Raya</t>
        </is>
      </c>
      <c r="C104" t="inlineStr">
        <is>
          <t>085210983510</t>
        </is>
      </c>
      <c r="D104" t="inlineStr">
        <is>
          <t>cvputroefirapermata@gmail.com</t>
        </is>
      </c>
      <c r="E104" t="inlineStr">
        <is>
          <t>https://lpjk.pu.go.id/search-badan-usaha-detail/bnpyYjdjSmJ4Ukg4azJmT2VQOGVyZz09</t>
        </is>
      </c>
      <c r="F104" t="n">
        <v>1</v>
      </c>
      <c r="G104" t="inlineStr">
        <is>
          <t>BG005</t>
        </is>
      </c>
      <c r="H104" t="inlineStr">
        <is>
          <t>12 April 2021</t>
        </is>
      </c>
      <c r="I104" s="2" t="n">
        <v>46303</v>
      </c>
      <c r="J104" t="inlineStr">
        <is>
          <t>Disetujui</t>
        </is>
      </c>
      <c r="K104" t="n">
        <v>30</v>
      </c>
      <c r="L104" t="inlineStr">
        <is>
          <t>8 Oktober 2026</t>
        </is>
      </c>
      <c r="M104" t="inlineStr">
        <is>
          <t>Konstruksi Gedung Kesehatan</t>
        </is>
      </c>
      <c r="N104" t="inlineStr">
        <is>
          <t>K</t>
        </is>
      </c>
      <c r="O104" t="inlineStr">
        <is>
          <t>20231006</t>
        </is>
      </c>
      <c r="P104" t="inlineStr">
        <is>
          <t>Aceh</t>
        </is>
      </c>
      <c r="Q104" t="inlineStr"/>
    </row>
    <row r="105">
      <c r="A105" t="inlineStr">
        <is>
          <t>QUEENO ANUGRAH MANDIRI</t>
        </is>
      </c>
      <c r="B105" t="inlineStr">
        <is>
          <t>Kota Pekanbaru</t>
        </is>
      </c>
      <c r="C105" t="inlineStr">
        <is>
          <t>081276691486</t>
        </is>
      </c>
      <c r="D105" t="inlineStr">
        <is>
          <t>cv.queenoanugrahmandiri@gmail.com</t>
        </is>
      </c>
      <c r="E105" t="inlineStr">
        <is>
          <t>https://lpjk.pu.go.id/search-badan-usaha-detail/MVY2S3NNKzZ6MFdMcjJuZEtVdC9QUT09</t>
        </is>
      </c>
      <c r="F105" t="n">
        <v>2</v>
      </c>
      <c r="G105" t="inlineStr">
        <is>
          <t>BG009, BS004</t>
        </is>
      </c>
      <c r="H105" t="inlineStr">
        <is>
          <t>15 September 2023</t>
        </is>
      </c>
      <c r="I105" s="2" t="n">
        <v>46303</v>
      </c>
      <c r="J105" t="inlineStr">
        <is>
          <t>Disetujui, Pencabutan</t>
        </is>
      </c>
      <c r="K105" t="n">
        <v>30</v>
      </c>
      <c r="L105" t="inlineStr">
        <is>
          <t>8 Oktober 2026</t>
        </is>
      </c>
      <c r="M105" t="inlineStr">
        <is>
          <t>Konstruksi Gedung Lainnya, Konstruksi Jaringan Irigasi dan Drainase</t>
        </is>
      </c>
      <c r="N105" t="inlineStr">
        <is>
          <t>K</t>
        </is>
      </c>
      <c r="O105" t="inlineStr">
        <is>
          <t>20231008</t>
        </is>
      </c>
      <c r="P105" t="inlineStr">
        <is>
          <t>Riau</t>
        </is>
      </c>
      <c r="Q105" t="inlineStr"/>
    </row>
    <row r="106">
      <c r="A106" t="inlineStr">
        <is>
          <t>RAKHA JAYA UTAMA</t>
        </is>
      </c>
      <c r="B106" t="inlineStr">
        <is>
          <t>Kab. Kutai Timur</t>
        </is>
      </c>
      <c r="C106" t="inlineStr">
        <is>
          <t>0811552344</t>
        </is>
      </c>
      <c r="D106" t="inlineStr">
        <is>
          <t>rhakajaya.utama@gmail.com</t>
        </is>
      </c>
      <c r="E106" t="inlineStr">
        <is>
          <t>https://lpjk.pu.go.id/search-badan-usaha-detail/N1B3cWVrZk1kOHhUdjZnVmhJRTdMZz09</t>
        </is>
      </c>
      <c r="F106" t="n">
        <v>4</v>
      </c>
      <c r="G106" t="inlineStr">
        <is>
          <t>BG002, BG009, BS001, BS004</t>
        </is>
      </c>
      <c r="H106" t="inlineStr">
        <is>
          <t>15 Agustus 2023</t>
        </is>
      </c>
      <c r="I106" s="2" t="n">
        <v>46303</v>
      </c>
      <c r="J106" t="inlineStr">
        <is>
          <t>Disetujui</t>
        </is>
      </c>
      <c r="K106" t="n">
        <v>30</v>
      </c>
      <c r="L106" t="inlineStr">
        <is>
          <t>8 Oktober 2026</t>
        </is>
      </c>
      <c r="M106" t="inlineStr">
        <is>
          <t>Konstruksi Bangunan Sipil Jalan, Konstruksi Gedung Lainnya, Konstruksi Gedung Perkantoran, Konstruksi Jaringan Irigasi dan Drainase</t>
        </is>
      </c>
      <c r="N106" t="inlineStr">
        <is>
          <t>K</t>
        </is>
      </c>
      <c r="O106" t="inlineStr">
        <is>
          <t>20231004</t>
        </is>
      </c>
      <c r="P106" t="inlineStr">
        <is>
          <t>Kalimantan Timur</t>
        </is>
      </c>
      <c r="Q106" t="inlineStr"/>
    </row>
    <row r="107">
      <c r="A107" t="inlineStr">
        <is>
          <t>REZKY UTAMA KONSTRUKSI</t>
        </is>
      </c>
      <c r="B107" t="inlineStr">
        <is>
          <t>Kab. Nunukan</t>
        </is>
      </c>
      <c r="C107" t="inlineStr">
        <is>
          <t>081347474023</t>
        </is>
      </c>
      <c r="D107" t="inlineStr">
        <is>
          <t>rezkyutamakonstruksi@yahoo.com</t>
        </is>
      </c>
      <c r="E107" t="inlineStr">
        <is>
          <t>https://lpjk.pu.go.id/search-badan-usaha-detail/WENZZWVzK2tCckxEdmtqalRzTWpOQT09</t>
        </is>
      </c>
      <c r="F107" t="n">
        <v>4</v>
      </c>
      <c r="G107" t="inlineStr">
        <is>
          <t>BG001, BG002, BG006, BS001</t>
        </is>
      </c>
      <c r="H107" t="inlineStr">
        <is>
          <t>15 November 2019</t>
        </is>
      </c>
      <c r="I107" s="2" t="n">
        <v>46303</v>
      </c>
      <c r="J107" t="inlineStr">
        <is>
          <t>Disetujui</t>
        </is>
      </c>
      <c r="K107" t="n">
        <v>30</v>
      </c>
      <c r="L107" t="inlineStr">
        <is>
          <t>8 Oktober 2026</t>
        </is>
      </c>
      <c r="M107" t="inlineStr">
        <is>
          <t>Konstruksi Bangunan Sipil Jalan, Konstruksi Gedung Hunian, Konstruksi Gedung Pendidikan, Konstruksi Gedung Perkantoran</t>
        </is>
      </c>
      <c r="N107" t="inlineStr">
        <is>
          <t>K</t>
        </is>
      </c>
      <c r="O107" t="inlineStr">
        <is>
          <t>20230923, 20231009</t>
        </is>
      </c>
      <c r="P107" t="inlineStr">
        <is>
          <t>Kalimantan Utara</t>
        </is>
      </c>
      <c r="Q107" t="inlineStr"/>
    </row>
    <row r="108">
      <c r="A108" t="inlineStr">
        <is>
          <t>RIMBA JAYA</t>
        </is>
      </c>
      <c r="B108" t="inlineStr">
        <is>
          <t>Kab. Boven Digoel</t>
        </is>
      </c>
      <c r="C108" t="inlineStr">
        <is>
          <t>085211660752</t>
        </is>
      </c>
      <c r="D108" t="inlineStr">
        <is>
          <t>rimbajaya24@gmail.com</t>
        </is>
      </c>
      <c r="E108" t="inlineStr">
        <is>
          <t>https://lpjk.pu.go.id/search-badan-usaha-detail/K2FqbnRyV1Jnc1RQRnZ1dDlxYkZadz09</t>
        </is>
      </c>
      <c r="F108" t="n">
        <v>1</v>
      </c>
      <c r="G108" t="inlineStr">
        <is>
          <t>BG001</t>
        </is>
      </c>
      <c r="H108" t="inlineStr">
        <is>
          <t>27 Desember 2017</t>
        </is>
      </c>
      <c r="I108" s="2" t="n">
        <v>46303</v>
      </c>
      <c r="J108" t="inlineStr">
        <is>
          <t>Disetujui</t>
        </is>
      </c>
      <c r="K108" t="n">
        <v>30</v>
      </c>
      <c r="L108" t="inlineStr">
        <is>
          <t>8 Oktober 2026</t>
        </is>
      </c>
      <c r="M108" t="inlineStr">
        <is>
          <t>Konstruksi Gedung Hunian</t>
        </is>
      </c>
      <c r="N108" t="inlineStr">
        <is>
          <t>K</t>
        </is>
      </c>
      <c r="O108" t="inlineStr">
        <is>
          <t>20231009</t>
        </is>
      </c>
      <c r="P108" t="inlineStr">
        <is>
          <t>Papua</t>
        </is>
      </c>
      <c r="Q108" t="inlineStr"/>
    </row>
    <row r="109">
      <c r="A109" t="inlineStr">
        <is>
          <t>RIZKI AGUNG</t>
        </is>
      </c>
      <c r="B109" t="inlineStr">
        <is>
          <t>Kab. Gunungkidul</t>
        </is>
      </c>
      <c r="C109" t="inlineStr">
        <is>
          <t>0811295198</t>
        </is>
      </c>
      <c r="D109" t="inlineStr">
        <is>
          <t>cvrizki_agung@yahoo.co.id</t>
        </is>
      </c>
      <c r="E109" t="inlineStr">
        <is>
          <t>https://lpjk.pu.go.id/search-badan-usaha-detail/czBSTDdOSlZzTzNqYUVrNnd2VW9Gdz09</t>
        </is>
      </c>
      <c r="F109" t="n">
        <v>5</v>
      </c>
      <c r="G109" t="inlineStr">
        <is>
          <t>BG002, BG005, BG006, BG009, BS001</t>
        </is>
      </c>
      <c r="H109" t="inlineStr">
        <is>
          <t>8 Januari 2008</t>
        </is>
      </c>
      <c r="I109" s="2" t="n">
        <v>46303</v>
      </c>
      <c r="J109" t="inlineStr">
        <is>
          <t>Disetujui</t>
        </is>
      </c>
      <c r="K109" t="n">
        <v>30</v>
      </c>
      <c r="L109" t="inlineStr">
        <is>
          <t>8 Oktober 2026</t>
        </is>
      </c>
      <c r="M109" t="inlineStr">
        <is>
          <t>Konstruksi Bangunan Sipil Jalan, Konstruksi Gedung Kesehatan, Konstruksi Gedung Lainnya, Konstruksi Gedung Pendidikan, Konstruksi Gedung Perkantoran</t>
        </is>
      </c>
      <c r="N109" t="inlineStr">
        <is>
          <t>K</t>
        </is>
      </c>
      <c r="O109" t="inlineStr">
        <is>
          <t>20231005, 20231009, 20231011</t>
        </is>
      </c>
      <c r="P109" t="inlineStr">
        <is>
          <t>DI Yogyakarta</t>
        </is>
      </c>
      <c r="Q109" t="inlineStr"/>
    </row>
    <row r="110">
      <c r="A110" t="inlineStr">
        <is>
          <t>RUMPUN KARYA</t>
        </is>
      </c>
      <c r="B110" t="inlineStr">
        <is>
          <t>Kota Tasikmalaya</t>
        </is>
      </c>
      <c r="C110" t="inlineStr">
        <is>
          <t>081321017127</t>
        </is>
      </c>
      <c r="D110" t="inlineStr">
        <is>
          <t>der1andala123@gmail.com</t>
        </is>
      </c>
      <c r="E110" t="inlineStr">
        <is>
          <t>https://lpjk.pu.go.id/search-badan-usaha-detail/aW9BT3I4Rm95cGVURU55Z0pRcVBPUT09</t>
        </is>
      </c>
      <c r="F110" t="n">
        <v>2</v>
      </c>
      <c r="G110" t="inlineStr">
        <is>
          <t>BG009</t>
        </is>
      </c>
      <c r="H110" t="inlineStr">
        <is>
          <t>31 Desember 1984</t>
        </is>
      </c>
      <c r="I110" s="2" t="n">
        <v>46303</v>
      </c>
      <c r="J110" t="inlineStr">
        <is>
          <t>Pencabutan</t>
        </is>
      </c>
      <c r="K110" t="n">
        <v>30</v>
      </c>
      <c r="L110" t="inlineStr">
        <is>
          <t>8 Oktober 2026</t>
        </is>
      </c>
      <c r="M110" t="inlineStr">
        <is>
          <t>Konstruksi Gedung Lainnya</t>
        </is>
      </c>
      <c r="N110" t="inlineStr">
        <is>
          <t>K</t>
        </is>
      </c>
      <c r="O110" t="inlineStr">
        <is>
          <t>20231005</t>
        </is>
      </c>
      <c r="P110" t="inlineStr">
        <is>
          <t>Jawa Barat</t>
        </is>
      </c>
      <c r="Q110" t="inlineStr"/>
    </row>
    <row r="111">
      <c r="A111" t="inlineStr">
        <is>
          <t>SAPTA MANUNGGAL LESTARI</t>
        </is>
      </c>
      <c r="B111" t="inlineStr">
        <is>
          <t>Kab. Lamongan</t>
        </is>
      </c>
      <c r="C111" t="inlineStr">
        <is>
          <t>0322312418</t>
        </is>
      </c>
      <c r="D111" t="inlineStr">
        <is>
          <t>cv.saptamanunggal@gmail.com</t>
        </is>
      </c>
      <c r="E111" t="inlineStr">
        <is>
          <t>https://lpjk.pu.go.id/search-badan-usaha-detail/MFFwZWFjbUV4YkVRMWNldHJMc2ZFUT09</t>
        </is>
      </c>
      <c r="F111" t="n">
        <v>4</v>
      </c>
      <c r="G111" t="inlineStr">
        <is>
          <t>BG005, BG006, BG009, BS010</t>
        </is>
      </c>
      <c r="H111" t="inlineStr">
        <is>
          <t>10 Agustus 2006</t>
        </is>
      </c>
      <c r="I111" s="2" t="n">
        <v>46303</v>
      </c>
      <c r="J111" t="inlineStr">
        <is>
          <t>Disetujui</t>
        </is>
      </c>
      <c r="K111" t="n">
        <v>30</v>
      </c>
      <c r="L111" t="inlineStr">
        <is>
          <t>8 Oktober 2026</t>
        </is>
      </c>
      <c r="M111" t="inlineStr">
        <is>
          <t>Konstruksi Bangunan Prasarana Sumber Daya Air, Konstruksi Gedung Kesehatan, Konstruksi Gedung Lainnya, Konstruksi Gedung Pendidikan</t>
        </is>
      </c>
      <c r="N111" t="inlineStr">
        <is>
          <t>K</t>
        </is>
      </c>
      <c r="O111" t="inlineStr">
        <is>
          <t>20231009</t>
        </is>
      </c>
      <c r="P111" t="inlineStr">
        <is>
          <t>Jawa Timur</t>
        </is>
      </c>
      <c r="Q111" t="inlineStr"/>
    </row>
    <row r="112">
      <c r="A112" t="inlineStr">
        <is>
          <t>SEMBILAN ENAM TIGA</t>
        </is>
      </c>
      <c r="B112" t="inlineStr">
        <is>
          <t>Kab. Pamekasan</t>
        </is>
      </c>
      <c r="C112" t="inlineStr">
        <is>
          <t>082336920665</t>
        </is>
      </c>
      <c r="D112" t="inlineStr">
        <is>
          <t>sembilanenamtiga963@gmail.com</t>
        </is>
      </c>
      <c r="E112" t="inlineStr">
        <is>
          <t>https://lpjk.pu.go.id/search-badan-usaha-detail/Q3R6REFIMlJWaHdCa0VnSjFVZDRUQT09</t>
        </is>
      </c>
      <c r="F112" t="n">
        <v>1</v>
      </c>
      <c r="G112" t="inlineStr">
        <is>
          <t>BS001</t>
        </is>
      </c>
      <c r="H112" t="inlineStr">
        <is>
          <t>1 Agustus 2023</t>
        </is>
      </c>
      <c r="I112" s="2" t="n">
        <v>46303</v>
      </c>
      <c r="J112" t="inlineStr">
        <is>
          <t>Disetujui</t>
        </is>
      </c>
      <c r="K112" t="n">
        <v>30</v>
      </c>
      <c r="L112" t="inlineStr">
        <is>
          <t>8 Oktober 2026</t>
        </is>
      </c>
      <c r="M112" t="inlineStr">
        <is>
          <t>Konstruksi Bangunan Sipil Jalan</t>
        </is>
      </c>
      <c r="N112" t="inlineStr">
        <is>
          <t>K</t>
        </is>
      </c>
      <c r="O112" t="inlineStr">
        <is>
          <t>20230905</t>
        </is>
      </c>
      <c r="P112" t="inlineStr">
        <is>
          <t>Jawa Timur</t>
        </is>
      </c>
      <c r="Q112" t="inlineStr"/>
    </row>
    <row r="113">
      <c r="A113" t="inlineStr">
        <is>
          <t>SEMERU PRIMA ABADI</t>
        </is>
      </c>
      <c r="B113" t="inlineStr">
        <is>
          <t>Kab. Sukabumi</t>
        </is>
      </c>
      <c r="C113" t="inlineStr">
        <is>
          <t>08156307761</t>
        </is>
      </c>
      <c r="D113" t="inlineStr">
        <is>
          <t>semeruprimaabadi@gmail.com</t>
        </is>
      </c>
      <c r="E113" t="inlineStr">
        <is>
          <t>https://lpjk.pu.go.id/search-badan-usaha-detail/WmpHVzBhNEw5cFAvRlhkWkZDb2RWZz09</t>
        </is>
      </c>
      <c r="F113" t="n">
        <v>1</v>
      </c>
      <c r="G113" t="inlineStr">
        <is>
          <t>BS005</t>
        </is>
      </c>
      <c r="H113" t="inlineStr">
        <is>
          <t>12 Mei 2015</t>
        </is>
      </c>
      <c r="I113" s="2" t="n">
        <v>46303</v>
      </c>
      <c r="J113" t="inlineStr">
        <is>
          <t>Pencabutan</t>
        </is>
      </c>
      <c r="K113" t="n">
        <v>30</v>
      </c>
      <c r="L113" t="inlineStr">
        <is>
          <t>8 Oktober 2026</t>
        </is>
      </c>
      <c r="M113" t="inlineStr">
        <is>
          <t>Konstruksi Bangunan Sipil Pengolahan Air Bersih</t>
        </is>
      </c>
      <c r="N113" t="inlineStr">
        <is>
          <t>K</t>
        </is>
      </c>
      <c r="O113" t="inlineStr">
        <is>
          <t>20231006</t>
        </is>
      </c>
      <c r="P113" t="inlineStr">
        <is>
          <t>Jawa Barat</t>
        </is>
      </c>
      <c r="Q113" t="inlineStr"/>
    </row>
    <row r="114">
      <c r="A114" t="inlineStr">
        <is>
          <t>SERUMPUN INDAH LESTARI</t>
        </is>
      </c>
      <c r="B114" t="inlineStr">
        <is>
          <t>Kab. Deli Serdang</t>
        </is>
      </c>
      <c r="C114" t="inlineStr">
        <is>
          <t>082164636222</t>
        </is>
      </c>
      <c r="D114" t="inlineStr">
        <is>
          <t>imp.serumpun@yahoo.com</t>
        </is>
      </c>
      <c r="E114" t="inlineStr">
        <is>
          <t>https://lpjk.pu.go.id/search-badan-usaha-detail/a2d2QzlFTTZvOHhZemVHSklEc3VjQT09</t>
        </is>
      </c>
      <c r="F114" t="n">
        <v>1</v>
      </c>
      <c r="G114" t="inlineStr">
        <is>
          <t>IN001</t>
        </is>
      </c>
      <c r="H114" t="inlineStr">
        <is>
          <t>17 Januari 2006</t>
        </is>
      </c>
      <c r="I114" s="2" t="n">
        <v>46303</v>
      </c>
      <c r="J114" t="inlineStr">
        <is>
          <t>Pembekuan</t>
        </is>
      </c>
      <c r="K114" t="n">
        <v>30</v>
      </c>
      <c r="L114" t="inlineStr">
        <is>
          <t>8 Oktober 2026</t>
        </is>
      </c>
      <c r="M114" t="inlineStr">
        <is>
          <t>Instalasi Mekanikal</t>
        </is>
      </c>
      <c r="N114" t="inlineStr">
        <is>
          <t>Spesialis</t>
        </is>
      </c>
      <c r="O114" t="inlineStr">
        <is>
          <t>20231007</t>
        </is>
      </c>
      <c r="P114" t="inlineStr">
        <is>
          <t>Sumatera Utara</t>
        </is>
      </c>
      <c r="Q114" t="inlineStr"/>
    </row>
    <row r="115">
      <c r="A115" t="inlineStr">
        <is>
          <t>SINAR TIRTA CEMERLANG</t>
        </is>
      </c>
      <c r="B115" t="inlineStr">
        <is>
          <t>Kab. Tanah Bumbu</t>
        </is>
      </c>
      <c r="C115" t="inlineStr">
        <is>
          <t>082251863867</t>
        </is>
      </c>
      <c r="D115" t="inlineStr">
        <is>
          <t>cv.sinartirtacemerlang@gmail.com</t>
        </is>
      </c>
      <c r="E115" t="inlineStr">
        <is>
          <t>https://lpjk.pu.go.id/search-badan-usaha-detail/dmVuNGdiQ3pZT3RvWjJZL1RraTYyUT09</t>
        </is>
      </c>
      <c r="F115" t="n">
        <v>3</v>
      </c>
      <c r="G115" t="inlineStr">
        <is>
          <t>BG001, BG002, BG006</t>
        </is>
      </c>
      <c r="H115" t="inlineStr">
        <is>
          <t>8 November 2021</t>
        </is>
      </c>
      <c r="I115" s="2" t="n">
        <v>46303</v>
      </c>
      <c r="J115" t="inlineStr">
        <is>
          <t>Disetujui</t>
        </is>
      </c>
      <c r="K115" t="n">
        <v>30</v>
      </c>
      <c r="L115" t="inlineStr">
        <is>
          <t>8 Oktober 2026</t>
        </is>
      </c>
      <c r="M115" t="inlineStr">
        <is>
          <t>Konstruksi Gedung Hunian, Konstruksi Gedung Pendidikan, Konstruksi Gedung Perkantoran</t>
        </is>
      </c>
      <c r="N115" t="inlineStr">
        <is>
          <t>K</t>
        </is>
      </c>
      <c r="O115" t="inlineStr">
        <is>
          <t>20231009</t>
        </is>
      </c>
      <c r="P115" t="inlineStr">
        <is>
          <t>Kalimantan Selatan</t>
        </is>
      </c>
      <c r="Q115" t="inlineStr"/>
    </row>
    <row r="116">
      <c r="A116" t="inlineStr">
        <is>
          <t>SINAR TRIMORA ABADI</t>
        </is>
      </c>
      <c r="B116" t="inlineStr">
        <is>
          <t>Kab. Deli Serdang</t>
        </is>
      </c>
      <c r="C116" t="inlineStr">
        <is>
          <t>081361481579</t>
        </is>
      </c>
      <c r="D116" t="inlineStr">
        <is>
          <t>ptsinartrimoraa@gmail.com</t>
        </is>
      </c>
      <c r="E116" t="inlineStr">
        <is>
          <t>https://lpjk.pu.go.id/search-badan-usaha-detail/eWRHbWFUOGF1TzZGSU9vNld1bjBFdz09</t>
        </is>
      </c>
      <c r="F116" t="n">
        <v>1</v>
      </c>
      <c r="G116" t="inlineStr">
        <is>
          <t>BG006</t>
        </is>
      </c>
      <c r="H116" t="inlineStr">
        <is>
          <t>28 September 2021</t>
        </is>
      </c>
      <c r="I116" s="2" t="n">
        <v>46303</v>
      </c>
      <c r="J116" t="inlineStr">
        <is>
          <t>Disetujui</t>
        </is>
      </c>
      <c r="K116" t="n">
        <v>30</v>
      </c>
      <c r="L116" t="inlineStr">
        <is>
          <t>8 Oktober 2026</t>
        </is>
      </c>
      <c r="M116" t="inlineStr">
        <is>
          <t>Konstruksi Gedung Pendidikan</t>
        </is>
      </c>
      <c r="N116" t="inlineStr">
        <is>
          <t>K</t>
        </is>
      </c>
      <c r="O116" t="inlineStr">
        <is>
          <t>20230926</t>
        </is>
      </c>
      <c r="P116" t="inlineStr">
        <is>
          <t>Sumatera Utara</t>
        </is>
      </c>
      <c r="Q116" t="inlineStr"/>
    </row>
    <row r="117">
      <c r="A117" t="inlineStr">
        <is>
          <t>SUMBER CISADANE</t>
        </is>
      </c>
      <c r="B117" t="inlineStr">
        <is>
          <t>Kab. Tangerang</t>
        </is>
      </c>
      <c r="C117" t="inlineStr">
        <is>
          <t>081282190113</t>
        </is>
      </c>
      <c r="D117" t="inlineStr">
        <is>
          <t>sumbercisadane@gmail.com</t>
        </is>
      </c>
      <c r="E117" t="inlineStr">
        <is>
          <t>https://lpjk.pu.go.id/search-badan-usaha-detail/VWNpNzhXY3hVUWdzOCt1anFXNTF6QT09</t>
        </is>
      </c>
      <c r="F117" t="n">
        <v>2</v>
      </c>
      <c r="G117" t="inlineStr">
        <is>
          <t>BG006, BS001</t>
        </is>
      </c>
      <c r="H117" t="inlineStr">
        <is>
          <t>11 Januari 2012</t>
        </is>
      </c>
      <c r="I117" s="2" t="n">
        <v>46303</v>
      </c>
      <c r="J117" t="inlineStr">
        <is>
          <t>Disetujui</t>
        </is>
      </c>
      <c r="K117" t="n">
        <v>30</v>
      </c>
      <c r="L117" t="inlineStr">
        <is>
          <t>8 Oktober 2026</t>
        </is>
      </c>
      <c r="M117" t="inlineStr">
        <is>
          <t>Konstruksi Bangunan Sipil Jalan, Konstruksi Gedung Pendidikan</t>
        </is>
      </c>
      <c r="N117" t="inlineStr">
        <is>
          <t>K</t>
        </is>
      </c>
      <c r="O117" t="inlineStr">
        <is>
          <t>20230927, 20230930</t>
        </is>
      </c>
      <c r="P117" t="inlineStr">
        <is>
          <t>Banten</t>
        </is>
      </c>
      <c r="Q117" t="inlineStr"/>
    </row>
    <row r="118">
      <c r="A118" t="inlineStr">
        <is>
          <t>TATA NUSA KONSULTINDO</t>
        </is>
      </c>
      <c r="B118" t="inlineStr">
        <is>
          <t>Kota Blitar</t>
        </is>
      </c>
      <c r="C118" t="inlineStr">
        <is>
          <t>081383655123</t>
        </is>
      </c>
      <c r="D118" t="inlineStr">
        <is>
          <t>tatanusa.konsultindo@gmail.com</t>
        </is>
      </c>
      <c r="E118" t="inlineStr">
        <is>
          <t>https://lpjk.pu.go.id/search-badan-usaha-detail/NXQwZmNlanRuYzZBbUd6bzNTdkZPUT09</t>
        </is>
      </c>
      <c r="F118" t="n">
        <v>3</v>
      </c>
      <c r="G118" t="inlineStr">
        <is>
          <t>RK001, RK002, RK003</t>
        </is>
      </c>
      <c r="H118" t="inlineStr">
        <is>
          <t>3 Maret 2023</t>
        </is>
      </c>
      <c r="I118" s="2" t="n">
        <v>46303</v>
      </c>
      <c r="J118" t="inlineStr">
        <is>
          <t>Disetujui</t>
        </is>
      </c>
      <c r="K118" t="n">
        <v>30</v>
      </c>
      <c r="L118" t="inlineStr">
        <is>
          <t>8 Oktober 2026</t>
        </is>
      </c>
      <c r="M118" t="inlineStr">
        <is>
          <t>Jasa Rekayasa Konstruksi Bangunan Gedung Hunian dan Non Hunian, Jasa Rekayasa Pekerjaan Teknik Sipil Sumber Daya Air, Jasa Rekayasa Pekerjaan Teknik Sipil Transportasi</t>
        </is>
      </c>
      <c r="N118" t="inlineStr">
        <is>
          <t>K</t>
        </is>
      </c>
      <c r="O118" t="inlineStr">
        <is>
          <t>20230925, 20230927</t>
        </is>
      </c>
      <c r="P118" t="inlineStr">
        <is>
          <t>Jawa Timur</t>
        </is>
      </c>
      <c r="Q118" t="inlineStr"/>
    </row>
    <row r="119">
      <c r="A119" t="inlineStr">
        <is>
          <t>TIGA MUARA JAYA</t>
        </is>
      </c>
      <c r="B119" t="inlineStr">
        <is>
          <t>Kota Surabaya</t>
        </is>
      </c>
      <c r="C119" t="inlineStr">
        <is>
          <t>0315042362</t>
        </is>
      </c>
      <c r="D119" t="inlineStr">
        <is>
          <t>-</t>
        </is>
      </c>
      <c r="E119" t="inlineStr">
        <is>
          <t>https://lpjk.pu.go.id/search-badan-usaha-detail/THdFd2ROVnlkcnE0cUtaVm9Gd0NqUT09</t>
        </is>
      </c>
      <c r="F119" t="n">
        <v>1</v>
      </c>
      <c r="G119" t="inlineStr">
        <is>
          <t>BG006</t>
        </is>
      </c>
      <c r="H119" t="inlineStr">
        <is>
          <t>1 November 2002</t>
        </is>
      </c>
      <c r="I119" s="2" t="n">
        <v>46303</v>
      </c>
      <c r="J119" t="inlineStr">
        <is>
          <t>Disetujui</t>
        </is>
      </c>
      <c r="K119" t="n">
        <v>30</v>
      </c>
      <c r="L119" t="inlineStr">
        <is>
          <t>8 Oktober 2026</t>
        </is>
      </c>
      <c r="M119" t="inlineStr">
        <is>
          <t>Konstruksi Gedung Pendidikan</t>
        </is>
      </c>
      <c r="N119" t="inlineStr">
        <is>
          <t>M</t>
        </is>
      </c>
      <c r="O119" t="inlineStr">
        <is>
          <t>20230925</t>
        </is>
      </c>
      <c r="P119" t="inlineStr">
        <is>
          <t>Jawa Timur</t>
        </is>
      </c>
      <c r="Q119" t="inlineStr"/>
    </row>
    <row r="120">
      <c r="A120" t="inlineStr">
        <is>
          <t>TIGA PUTRA JAYA</t>
        </is>
      </c>
      <c r="B120" t="inlineStr">
        <is>
          <t>Kab. Ciamis</t>
        </is>
      </c>
      <c r="C120" t="inlineStr">
        <is>
          <t>085352970510</t>
        </is>
      </c>
      <c r="D120" t="inlineStr">
        <is>
          <t>cv3putrajaya@yahoo.com</t>
        </is>
      </c>
      <c r="E120" t="inlineStr">
        <is>
          <t>https://lpjk.pu.go.id/search-badan-usaha-detail/TXBUQmdSUVBCK25xTGtVWUJISitGUT09</t>
        </is>
      </c>
      <c r="F120" t="n">
        <v>5</v>
      </c>
      <c r="G120" t="inlineStr">
        <is>
          <t>BG002, BG006, BG009, BS001, BS004</t>
        </is>
      </c>
      <c r="H120" t="inlineStr">
        <is>
          <t>13 Oktober 2004</t>
        </is>
      </c>
      <c r="I120" s="2" t="n">
        <v>46303</v>
      </c>
      <c r="J120" t="inlineStr">
        <is>
          <t>Disetujui</t>
        </is>
      </c>
      <c r="K120" t="n">
        <v>30</v>
      </c>
      <c r="L120" t="inlineStr">
        <is>
          <t>8 Oktober 2026</t>
        </is>
      </c>
      <c r="M120" t="inlineStr">
        <is>
          <t>Konstruksi Bangunan Sipil Jalan, Konstruksi Gedung Lainnya, Konstruksi Gedung Pendidikan, Konstruksi Gedung Perkantoran, Konstruksi Jaringan Irigasi dan Drainase</t>
        </is>
      </c>
      <c r="N120" t="inlineStr">
        <is>
          <t>K</t>
        </is>
      </c>
      <c r="O120" t="inlineStr">
        <is>
          <t>20231004</t>
        </is>
      </c>
      <c r="P120" t="inlineStr">
        <is>
          <t>Jawa Barat</t>
        </is>
      </c>
      <c r="Q120" t="inlineStr"/>
    </row>
    <row r="121">
      <c r="A121" t="inlineStr">
        <is>
          <t>TIGA RATU BERKARYA</t>
        </is>
      </c>
      <c r="B121" t="inlineStr">
        <is>
          <t>Kab. Pandeglang</t>
        </is>
      </c>
      <c r="C121" t="inlineStr">
        <is>
          <t>083890120439</t>
        </is>
      </c>
      <c r="D121" t="inlineStr">
        <is>
          <t>pttigaratuberkaryapandeglang@gmail.com</t>
        </is>
      </c>
      <c r="E121" t="inlineStr">
        <is>
          <t>https://lpjk.pu.go.id/search-badan-usaha-detail/Z0NPLzBJV3ZIMW4vc0tuWVlmaHBvQT09</t>
        </is>
      </c>
      <c r="F121" t="n">
        <v>1</v>
      </c>
      <c r="G121" t="inlineStr">
        <is>
          <t>BG002</t>
        </is>
      </c>
      <c r="H121" t="inlineStr">
        <is>
          <t>16 Agustus 2021</t>
        </is>
      </c>
      <c r="I121" s="2" t="n">
        <v>46303</v>
      </c>
      <c r="J121" t="inlineStr">
        <is>
          <t>Pencabutan</t>
        </is>
      </c>
      <c r="K121" t="n">
        <v>30</v>
      </c>
      <c r="L121" t="inlineStr">
        <is>
          <t>8 Oktober 2026</t>
        </is>
      </c>
      <c r="M121" t="inlineStr">
        <is>
          <t>Konstruksi Gedung Perkantoran</t>
        </is>
      </c>
      <c r="N121" t="inlineStr">
        <is>
          <t>K</t>
        </is>
      </c>
      <c r="O121" t="inlineStr">
        <is>
          <t>20231007</t>
        </is>
      </c>
      <c r="P121" t="inlineStr">
        <is>
          <t>Banten</t>
        </is>
      </c>
      <c r="Q121" t="inlineStr"/>
    </row>
    <row r="122">
      <c r="A122" t="inlineStr">
        <is>
          <t>TORNADO KONSULTAN</t>
        </is>
      </c>
      <c r="B122" t="inlineStr">
        <is>
          <t>Kota Banjarbaru</t>
        </is>
      </c>
      <c r="C122" t="inlineStr">
        <is>
          <t>08125014438</t>
        </is>
      </c>
      <c r="D122" t="inlineStr">
        <is>
          <t>cv.tornado@yahoo.co.id</t>
        </is>
      </c>
      <c r="E122" t="inlineStr">
        <is>
          <t>https://lpjk.pu.go.id/search-badan-usaha-detail/RGtyeU8xdDNPek52YXlaaFNQSFpXdz09</t>
        </is>
      </c>
      <c r="F122" t="n">
        <v>1</v>
      </c>
      <c r="G122" t="inlineStr">
        <is>
          <t>RK001</t>
        </is>
      </c>
      <c r="H122" t="inlineStr">
        <is>
          <t>19 Oktober 1992</t>
        </is>
      </c>
      <c r="I122" s="2" t="n">
        <v>46303</v>
      </c>
      <c r="J122" t="inlineStr">
        <is>
          <t>Disetujui</t>
        </is>
      </c>
      <c r="K122" t="n">
        <v>30</v>
      </c>
      <c r="L122" t="inlineStr">
        <is>
          <t>8 Oktober 2026</t>
        </is>
      </c>
      <c r="M122" t="inlineStr">
        <is>
          <t>Jasa Rekayasa Konstruksi Bangunan Gedung Hunian dan Non Hunian</t>
        </is>
      </c>
      <c r="N122" t="inlineStr">
        <is>
          <t>K</t>
        </is>
      </c>
      <c r="O122" t="inlineStr">
        <is>
          <t>20230925</t>
        </is>
      </c>
      <c r="P122" t="inlineStr">
        <is>
          <t>Kalimantan Selatan</t>
        </is>
      </c>
      <c r="Q122" t="inlineStr"/>
    </row>
    <row r="123">
      <c r="A123" t="inlineStr">
        <is>
          <t>TRIABADI TEKNIK</t>
        </is>
      </c>
      <c r="B123" t="inlineStr">
        <is>
          <t>Kab. Bantul</t>
        </is>
      </c>
      <c r="C123" t="inlineStr">
        <is>
          <t>087738046000</t>
        </is>
      </c>
      <c r="D123" t="inlineStr">
        <is>
          <t>triabaditeknik@gmail.com</t>
        </is>
      </c>
      <c r="E123" t="inlineStr">
        <is>
          <t>https://lpjk.pu.go.id/search-badan-usaha-detail/VkZxVWFwMHNVWlNqTGlKd2IvdXJ3QT09</t>
        </is>
      </c>
      <c r="F123" t="n">
        <v>1</v>
      </c>
      <c r="G123" t="inlineStr">
        <is>
          <t>BG001</t>
        </is>
      </c>
      <c r="H123" t="inlineStr">
        <is>
          <t>22 Juli 2020</t>
        </is>
      </c>
      <c r="I123" s="2" t="n">
        <v>46303</v>
      </c>
      <c r="J123" t="inlineStr">
        <is>
          <t>Disetujui</t>
        </is>
      </c>
      <c r="K123" t="n">
        <v>30</v>
      </c>
      <c r="L123" t="inlineStr">
        <is>
          <t>8 Oktober 2026</t>
        </is>
      </c>
      <c r="M123" t="inlineStr">
        <is>
          <t>Konstruksi Gedung Hunian</t>
        </is>
      </c>
      <c r="N123" t="inlineStr">
        <is>
          <t>K</t>
        </is>
      </c>
      <c r="O123" t="inlineStr">
        <is>
          <t>20231004</t>
        </is>
      </c>
      <c r="P123" t="inlineStr">
        <is>
          <t>DI Yogyakarta</t>
        </is>
      </c>
      <c r="Q123" t="inlineStr"/>
    </row>
    <row r="124">
      <c r="A124" t="inlineStr">
        <is>
          <t>TUNAS MANDIRI</t>
        </is>
      </c>
      <c r="B124" t="inlineStr">
        <is>
          <t>Kab. Lamandau</t>
        </is>
      </c>
      <c r="C124" t="inlineStr">
        <is>
          <t>081347888228</t>
        </is>
      </c>
      <c r="D124" t="inlineStr">
        <is>
          <t>nurnurdesember@gmail.com</t>
        </is>
      </c>
      <c r="E124" t="inlineStr">
        <is>
          <t>https://lpjk.pu.go.id/search-badan-usaha-detail/WHJEb3A2bjh5VXhESlZVMTlKajE1dz09</t>
        </is>
      </c>
      <c r="F124" t="n">
        <v>2</v>
      </c>
      <c r="G124" t="inlineStr">
        <is>
          <t>BS001, BS004</t>
        </is>
      </c>
      <c r="H124" t="inlineStr">
        <is>
          <t>29 Juni 2021</t>
        </is>
      </c>
      <c r="I124" s="2" t="n">
        <v>46303</v>
      </c>
      <c r="J124" t="inlineStr">
        <is>
          <t>Disetujui</t>
        </is>
      </c>
      <c r="K124" t="n">
        <v>30</v>
      </c>
      <c r="L124" t="inlineStr">
        <is>
          <t>8 Oktober 2026</t>
        </is>
      </c>
      <c r="M124" t="inlineStr">
        <is>
          <t>Konstruksi Bangunan Sipil Jalan, Konstruksi Jaringan Irigasi dan Drainase</t>
        </is>
      </c>
      <c r="N124" t="inlineStr">
        <is>
          <t>K</t>
        </is>
      </c>
      <c r="O124" t="inlineStr">
        <is>
          <t>20231006</t>
        </is>
      </c>
      <c r="P124" t="inlineStr">
        <is>
          <t>Kalimantan Tengah</t>
        </is>
      </c>
      <c r="Q124" t="inlineStr"/>
    </row>
    <row r="125">
      <c r="A125" t="inlineStr">
        <is>
          <t>WAHYU UTAMA JAYA</t>
        </is>
      </c>
      <c r="B125" t="inlineStr">
        <is>
          <t>Kota Dumai</t>
        </is>
      </c>
      <c r="C125" t="inlineStr">
        <is>
          <t>082386054102</t>
        </is>
      </c>
      <c r="D125" t="inlineStr">
        <is>
          <t>wahyuutamajaya@gmail.com</t>
        </is>
      </c>
      <c r="E125" t="inlineStr">
        <is>
          <t>https://lpjk.pu.go.id/search-badan-usaha-detail/cFpZblJ2aU9aL0FDSExHMkVtbmlJZz09</t>
        </is>
      </c>
      <c r="F125" t="n">
        <v>1</v>
      </c>
      <c r="G125" t="inlineStr">
        <is>
          <t>BS001</t>
        </is>
      </c>
      <c r="H125" t="inlineStr">
        <is>
          <t>22 April 2020</t>
        </is>
      </c>
      <c r="I125" s="2" t="n">
        <v>46303</v>
      </c>
      <c r="J125" t="inlineStr">
        <is>
          <t>Pencabutan</t>
        </is>
      </c>
      <c r="K125" t="n">
        <v>30</v>
      </c>
      <c r="L125" t="inlineStr">
        <is>
          <t>8 Oktober 2026</t>
        </is>
      </c>
      <c r="M125" t="inlineStr">
        <is>
          <t>Konstruksi Bangunan Sipil Jalan</t>
        </is>
      </c>
      <c r="N125" t="inlineStr">
        <is>
          <t>K</t>
        </is>
      </c>
      <c r="O125" t="inlineStr">
        <is>
          <t>20230914</t>
        </is>
      </c>
      <c r="P125" t="inlineStr">
        <is>
          <t>Riau</t>
        </is>
      </c>
      <c r="Q125" t="inlineStr"/>
    </row>
    <row r="126">
      <c r="A126" t="inlineStr">
        <is>
          <t>WIDYA PRATAMA</t>
        </is>
      </c>
      <c r="B126" t="inlineStr">
        <is>
          <t>Kab. Halmahera Tengah</t>
        </is>
      </c>
      <c r="C126" t="inlineStr">
        <is>
          <t>081243400250</t>
        </is>
      </c>
      <c r="D126" t="inlineStr">
        <is>
          <t>cv.widyapratama22@gmail.com</t>
        </is>
      </c>
      <c r="E126" t="inlineStr">
        <is>
          <t>https://lpjk.pu.go.id/search-badan-usaha-detail/NXhtbDVabFR1a3ZpZUxTUkViU1FVdz09</t>
        </is>
      </c>
      <c r="F126" t="n">
        <v>1</v>
      </c>
      <c r="G126" t="inlineStr">
        <is>
          <t>BG009</t>
        </is>
      </c>
      <c r="H126" t="inlineStr">
        <is>
          <t>29 Januari 2007</t>
        </is>
      </c>
      <c r="I126" s="2" t="n">
        <v>46303</v>
      </c>
      <c r="J126" t="inlineStr">
        <is>
          <t>Disetujui</t>
        </is>
      </c>
      <c r="K126" t="n">
        <v>30</v>
      </c>
      <c r="L126" t="inlineStr">
        <is>
          <t>8 Oktober 2026</t>
        </is>
      </c>
      <c r="M126" t="inlineStr">
        <is>
          <t>Konstruksi Gedung Lainnya</t>
        </is>
      </c>
      <c r="N126" t="inlineStr">
        <is>
          <t>K</t>
        </is>
      </c>
      <c r="O126" t="inlineStr">
        <is>
          <t>20231005</t>
        </is>
      </c>
      <c r="P126" t="inlineStr">
        <is>
          <t>Maluku Utara</t>
        </is>
      </c>
      <c r="Q126" t="inlineStr"/>
    </row>
    <row r="127">
      <c r="A127" t="inlineStr">
        <is>
          <t>WIRA KARYA TEHNIKA</t>
        </is>
      </c>
      <c r="B127" t="inlineStr">
        <is>
          <t>Kab. Tuban</t>
        </is>
      </c>
      <c r="C127" t="inlineStr">
        <is>
          <t>085732453166</t>
        </is>
      </c>
      <c r="D127" t="inlineStr">
        <is>
          <t>wirakaryatehnika45@gmail.com</t>
        </is>
      </c>
      <c r="E127" t="inlineStr">
        <is>
          <t>https://lpjk.pu.go.id/search-badan-usaha-detail/VE9JYWRzQ1o4QlZMOUlKRmtKOXFKUT09</t>
        </is>
      </c>
      <c r="F127" t="n">
        <v>2</v>
      </c>
      <c r="G127" t="inlineStr">
        <is>
          <t>BG003, BS013</t>
        </is>
      </c>
      <c r="H127" t="inlineStr">
        <is>
          <t>29 Desember 2014</t>
        </is>
      </c>
      <c r="I127" s="2" t="n">
        <v>46303</v>
      </c>
      <c r="J127" t="inlineStr">
        <is>
          <t>Pembekuan, Pencabutan</t>
        </is>
      </c>
      <c r="K127" t="n">
        <v>30</v>
      </c>
      <c r="L127" t="inlineStr">
        <is>
          <t>8 Oktober 2026</t>
        </is>
      </c>
      <c r="M127" t="inlineStr">
        <is>
          <t>Konstruksi Bangunan Sipil Minyak dan Gas Bumi, Konstruksi Gedung Industri</t>
        </is>
      </c>
      <c r="N127" t="inlineStr">
        <is>
          <t>M</t>
        </is>
      </c>
      <c r="O127" t="inlineStr">
        <is>
          <t>20231008, 20231010</t>
        </is>
      </c>
      <c r="P127" t="inlineStr">
        <is>
          <t>Jawa Timur</t>
        </is>
      </c>
      <c r="Q127" t="inlineStr"/>
    </row>
    <row r="128">
      <c r="A128" t="inlineStr">
        <is>
          <t>WIRATAMA SENTOSA</t>
        </is>
      </c>
      <c r="B128" t="inlineStr">
        <is>
          <t>Kota Palembang</t>
        </is>
      </c>
      <c r="C128" t="inlineStr">
        <is>
          <t>081278570061</t>
        </is>
      </c>
      <c r="D128" t="inlineStr">
        <is>
          <t>wiratamasentosa21@gmail.com</t>
        </is>
      </c>
      <c r="E128" t="inlineStr">
        <is>
          <t>https://lpjk.pu.go.id/search-badan-usaha-detail/WmZHY2d4THFFZis5UWNYcStsNVFsdz09</t>
        </is>
      </c>
      <c r="F128" t="n">
        <v>2</v>
      </c>
      <c r="G128" t="inlineStr">
        <is>
          <t>BS001</t>
        </is>
      </c>
      <c r="H128" t="inlineStr">
        <is>
          <t>9 September 2018</t>
        </is>
      </c>
      <c r="I128" s="2" t="n">
        <v>46303</v>
      </c>
      <c r="J128" t="inlineStr">
        <is>
          <t>Disetujui</t>
        </is>
      </c>
      <c r="K128" t="n">
        <v>30</v>
      </c>
      <c r="L128" t="inlineStr">
        <is>
          <t>8 Oktober 2026</t>
        </is>
      </c>
      <c r="M128" t="inlineStr">
        <is>
          <t>Konstruksi Bangunan Sipil Jalan</t>
        </is>
      </c>
      <c r="N128" t="inlineStr">
        <is>
          <t>K</t>
        </is>
      </c>
      <c r="O128" t="inlineStr">
        <is>
          <t>20231006</t>
        </is>
      </c>
      <c r="P128" t="inlineStr">
        <is>
          <t>Sumatera Selatan</t>
        </is>
      </c>
      <c r="Q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2026-09-08T02:12:52Z</dcterms:created>
  <dcterms:modified xsi:type="dcterms:W3CDTF">2026-09-08T02:12:52Z</dcterms:modified>
</cp:coreProperties>
</file>