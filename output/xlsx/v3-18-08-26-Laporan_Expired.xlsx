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
  <sheetViews>
    <sheetView workbookViewId="0">
      <selection activeCell="A1" sqref="A1"/>
    </sheetView>
  </sheetViews>
  <sheetFormatPr baseColWidth="8" defaultRowHeight="15"/>
  <cols>
    <col width="40" customWidth="1" min="1" max="1"/>
    <col width="28" customWidth="1" min="2" max="2"/>
    <col width="16" customWidth="1" min="3" max="3"/>
    <col width="38" customWidth="1" min="4" max="4"/>
    <col width="50" customWidth="1" min="5" max="5"/>
    <col width="18" customWidth="1" min="6" max="6"/>
    <col width="50" customWidth="1" min="7" max="7"/>
    <col width="20" customWidth="1" min="8" max="8"/>
    <col width="28" customWidth="1" min="9" max="9"/>
    <col width="34" customWidth="1" min="10" max="10"/>
    <col width="11" customWidth="1" min="11" max="11"/>
    <col width="18" customWidth="1" min="12" max="12"/>
    <col width="50" customWidth="1" min="13" max="13"/>
    <col width="14" customWidth="1" min="14" max="14"/>
    <col width="4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CAKRA ESA UNGGUL</t>
        </is>
      </c>
      <c r="B2" t="inlineStr">
        <is>
          <t>Kota Depok</t>
        </is>
      </c>
      <c r="C2" t="inlineStr">
        <is>
          <t>085959049044</t>
        </is>
      </c>
      <c r="D2" t="inlineStr">
        <is>
          <t>sales@cakraesa.com</t>
        </is>
      </c>
      <c r="E2" t="inlineStr">
        <is>
          <t>https://lpjk.pu.go.id/search-badan-usaha-detail/ZFovbk1BUWZjdGIrTnFMYnRYZ3NUQT09</t>
        </is>
      </c>
      <c r="F2" t="n">
        <v>1</v>
      </c>
      <c r="G2" t="inlineStr">
        <is>
          <t>BG005</t>
        </is>
      </c>
      <c r="H2" t="inlineStr">
        <is>
          <t>27 Oktober 2023</t>
        </is>
      </c>
      <c r="I2" s="2" t="n">
        <v>46339</v>
      </c>
      <c r="J2" t="inlineStr">
        <is>
          <t>Disetujui</t>
        </is>
      </c>
      <c r="K2" t="n">
        <v>87</v>
      </c>
      <c r="L2" t="inlineStr">
        <is>
          <t>13 November 2026</t>
        </is>
      </c>
      <c r="M2" t="inlineStr">
        <is>
          <t>Konstruksi Gedung Kesehatan</t>
        </is>
      </c>
      <c r="N2" t="inlineStr">
        <is>
          <t>K</t>
        </is>
      </c>
      <c r="O2" t="inlineStr">
        <is>
          <t>20231113</t>
        </is>
      </c>
      <c r="P2" t="inlineStr">
        <is>
          <t>Jawa Barat</t>
        </is>
      </c>
      <c r="Q2" s="3">
        <f>HYPERLINK("https://wa.me/6285959049044?text=Selamat siang Bapak/Ibu pimpinan CAKRA ESA UNGGUL,%0A%0ASemoga Bapak/Ibu dalam keadaan baik.%0ABerdasarkan data LPJK, masa berlaku SBU perusahaan Bapak/Ibu akan berakhir sekitar 3 bulan lagi (pada 13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ESHAN PANCA BERSAMA</t>
        </is>
      </c>
      <c r="B3" t="inlineStr">
        <is>
          <t>Kota Bogor</t>
        </is>
      </c>
      <c r="C3" t="inlineStr">
        <is>
          <t>081584847506</t>
        </is>
      </c>
      <c r="D3" t="inlineStr">
        <is>
          <t>pt.eshanpancabersama5@gmail.com</t>
        </is>
      </c>
      <c r="E3" t="inlineStr">
        <is>
          <t>https://lpjk.pu.go.id/search-badan-usaha-detail/SjJiTFVjZkU5LzdpVGRmUFVrWXBvdz09</t>
        </is>
      </c>
      <c r="F3" t="n">
        <v>2</v>
      </c>
      <c r="G3" t="inlineStr">
        <is>
          <t>BG009</t>
        </is>
      </c>
      <c r="H3" t="inlineStr">
        <is>
          <t>10 Februari 2017</t>
        </is>
      </c>
      <c r="I3" s="2" t="n">
        <v>46339</v>
      </c>
      <c r="J3" t="inlineStr">
        <is>
          <t>Disetujui</t>
        </is>
      </c>
      <c r="K3" t="n">
        <v>87</v>
      </c>
      <c r="L3" t="inlineStr">
        <is>
          <t>13 November 2026</t>
        </is>
      </c>
      <c r="M3" t="inlineStr">
        <is>
          <t>Konstruksi Gedung Lainnya</t>
        </is>
      </c>
      <c r="N3" t="inlineStr">
        <is>
          <t>K</t>
        </is>
      </c>
      <c r="O3" t="inlineStr">
        <is>
          <t>20231109</t>
        </is>
      </c>
      <c r="P3" t="inlineStr">
        <is>
          <t>Jawa Barat</t>
        </is>
      </c>
      <c r="Q3" s="3">
        <f>HYPERLINK("https://wa.me/6281584847506?text=Selamat siang Bapak/Ibu pimpinan ESHAN PANCA BERSAMA,%0A%0ASemoga Bapak/Ibu dalam keadaan baik.%0ABerdasarkan data LPJK, masa berlaku SBU perusahaan Bapak/Ibu akan berakhir sekitar 3 bulan lagi (pada 13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GABE TAMA KARYA</t>
        </is>
      </c>
      <c r="B4" t="inlineStr">
        <is>
          <t>Kota Adm. Jakarta Timur</t>
        </is>
      </c>
      <c r="C4" t="inlineStr">
        <is>
          <t>02122876388</t>
        </is>
      </c>
      <c r="D4" t="inlineStr">
        <is>
          <t>gabetamakarya@yahoo.com</t>
        </is>
      </c>
      <c r="E4" t="inlineStr">
        <is>
          <t>https://lpjk.pu.go.id/search-badan-usaha-detail/T3Jxd1JYYnY0TnJRK0xFaWtPNW01dz09</t>
        </is>
      </c>
      <c r="F4" t="n">
        <v>5</v>
      </c>
      <c r="G4" t="inlineStr">
        <is>
          <t>BG001, BG002, BG005, BG006, BG009</t>
        </is>
      </c>
      <c r="H4" t="inlineStr">
        <is>
          <t>26 September 2023</t>
        </is>
      </c>
      <c r="I4" s="2" t="n">
        <v>46339</v>
      </c>
      <c r="J4" t="inlineStr">
        <is>
          <t>Disetujui</t>
        </is>
      </c>
      <c r="K4" t="n">
        <v>87</v>
      </c>
      <c r="L4" t="inlineStr">
        <is>
          <t>13 November 2026</t>
        </is>
      </c>
      <c r="M4" t="inlineStr">
        <is>
          <t>Konstruksi Gedung Hunian, Konstruksi Gedung Kesehatan, Konstruksi Gedung Lainnya, Konstruksi Gedung Pendidikan, Konstruksi Gedung Perkantoran</t>
        </is>
      </c>
      <c r="N4" t="inlineStr">
        <is>
          <t>K</t>
        </is>
      </c>
      <c r="O4" t="inlineStr">
        <is>
          <t>20231106, 20231113</t>
        </is>
      </c>
      <c r="P4" t="inlineStr">
        <is>
          <t>DKI Jakarta</t>
        </is>
      </c>
      <c r="Q4" t="inlineStr"/>
    </row>
    <row r="5">
      <c r="A5" t="inlineStr">
        <is>
          <t>KARYA WIKA KONSTRUKSI</t>
        </is>
      </c>
      <c r="B5" t="inlineStr">
        <is>
          <t>Kota Depok</t>
        </is>
      </c>
      <c r="C5" t="inlineStr">
        <is>
          <t>08111115153</t>
        </is>
      </c>
      <c r="D5" t="inlineStr">
        <is>
          <t>karyawika.konstruksi@gmail.com</t>
        </is>
      </c>
      <c r="E5" t="inlineStr">
        <is>
          <t>https://lpjk.pu.go.id/search-badan-usaha-detail/OFBmNW0yZXcwb3N1dEYxZEwrbXJIQT09</t>
        </is>
      </c>
      <c r="F5" t="n">
        <v>1</v>
      </c>
      <c r="G5" t="inlineStr">
        <is>
          <t>BS004</t>
        </is>
      </c>
      <c r="H5" t="inlineStr">
        <is>
          <t>24 Agustus 2023</t>
        </is>
      </c>
      <c r="I5" s="2" t="n">
        <v>46339</v>
      </c>
      <c r="J5" t="inlineStr">
        <is>
          <t>Disetujui</t>
        </is>
      </c>
      <c r="K5" t="n">
        <v>87</v>
      </c>
      <c r="L5" t="inlineStr">
        <is>
          <t>13 November 2026</t>
        </is>
      </c>
      <c r="M5" t="inlineStr">
        <is>
          <t>Konstruksi Jaringan Irigasi dan Drainase</t>
        </is>
      </c>
      <c r="N5" t="inlineStr">
        <is>
          <t>K</t>
        </is>
      </c>
      <c r="O5" t="inlineStr">
        <is>
          <t>20231114</t>
        </is>
      </c>
      <c r="P5" t="inlineStr">
        <is>
          <t>Jawa Barat</t>
        </is>
      </c>
      <c r="Q5" s="3">
        <f>HYPERLINK("https://wa.me/628111115153?text=Selamat siang Bapak/Ibu pimpinan KARYA WIKA KONSTRUKSI,%0A%0ASemoga Bapak/Ibu dalam keadaan baik.%0ABerdasarkan data LPJK, masa berlaku SBU perusahaan Bapak/Ibu akan berakhir sekitar 3 bulan lagi (pada 13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LASKAR CIPTAUTAMA</t>
        </is>
      </c>
      <c r="B6" t="inlineStr">
        <is>
          <t>Kota Adm. Jakarta Timur</t>
        </is>
      </c>
      <c r="C6" t="inlineStr">
        <is>
          <t>02122868759</t>
        </is>
      </c>
      <c r="D6" t="inlineStr">
        <is>
          <t>marketing@laskar-corp.com</t>
        </is>
      </c>
      <c r="E6" t="inlineStr">
        <is>
          <t>https://lpjk.pu.go.id/search-badan-usaha-detail/VVdvUVFVYlJCRGJWdFJuTk95Mis4dz09</t>
        </is>
      </c>
      <c r="F6" t="n">
        <v>4</v>
      </c>
      <c r="G6" t="inlineStr">
        <is>
          <t>BG002, BG003, BG008, BG009</t>
        </is>
      </c>
      <c r="H6" t="inlineStr">
        <is>
          <t>12 Agustus 1989</t>
        </is>
      </c>
      <c r="I6" s="2" t="n">
        <v>46339</v>
      </c>
      <c r="J6" t="inlineStr">
        <is>
          <t>Disetujui</t>
        </is>
      </c>
      <c r="K6" t="n">
        <v>87</v>
      </c>
      <c r="L6" t="inlineStr">
        <is>
          <t>13 November 2026</t>
        </is>
      </c>
      <c r="M6" t="inlineStr">
        <is>
          <t>Konstruksi Gedung Industri, Konstruksi Gedung Lainnya, Konstruksi Gedung Perkantoran, Konstruksi Gedung Tempat Hiburan dan Olahraga</t>
        </is>
      </c>
      <c r="N6" t="inlineStr">
        <is>
          <t>K</t>
        </is>
      </c>
      <c r="O6" t="inlineStr">
        <is>
          <t>20231109, 20231110</t>
        </is>
      </c>
      <c r="P6" t="inlineStr">
        <is>
          <t>DKI Jakarta</t>
        </is>
      </c>
      <c r="Q6" t="inlineStr"/>
    </row>
    <row r="7">
      <c r="A7" t="inlineStr">
        <is>
          <t>MITRA JASA LAKSANA</t>
        </is>
      </c>
      <c r="B7" t="inlineStr">
        <is>
          <t>Kota Bogor</t>
        </is>
      </c>
      <c r="C7" t="inlineStr">
        <is>
          <t>0251327974</t>
        </is>
      </c>
      <c r="D7" t="inlineStr">
        <is>
          <t>rief73@yahoo.co.id</t>
        </is>
      </c>
      <c r="E7" t="inlineStr">
        <is>
          <t>https://lpjk.pu.go.id/search-badan-usaha-detail/aUU2UGFvSVVHUWt5YmdONFBZTWZLUT09</t>
        </is>
      </c>
      <c r="F7" t="n">
        <v>3</v>
      </c>
      <c r="G7" t="inlineStr">
        <is>
          <t>BG009, BS001, BS004</t>
        </is>
      </c>
      <c r="H7" t="inlineStr">
        <is>
          <t>19 November 2001</t>
        </is>
      </c>
      <c r="I7" s="2" t="n">
        <v>46339</v>
      </c>
      <c r="J7" t="inlineStr">
        <is>
          <t>Disetujui</t>
        </is>
      </c>
      <c r="K7" t="n">
        <v>87</v>
      </c>
      <c r="L7" t="inlineStr">
        <is>
          <t>13 November 2026</t>
        </is>
      </c>
      <c r="M7" t="inlineStr">
        <is>
          <t>Konstruksi Bangunan Sipil Jalan, Konstruksi Gedung Lainnya, Konstruksi Jaringan Irigasi dan Drainase</t>
        </is>
      </c>
      <c r="N7" t="inlineStr">
        <is>
          <t>K</t>
        </is>
      </c>
      <c r="O7" t="inlineStr">
        <is>
          <t>20231110</t>
        </is>
      </c>
      <c r="P7" t="inlineStr">
        <is>
          <t>Jawa Barat</t>
        </is>
      </c>
      <c r="Q7" s="3">
        <f>HYPERLINK("https://wa.me/62251327974?text=Selamat siang Bapak/Ibu pimpinan MITRA JASA LAKSANA,%0A%0ASemoga Bapak/Ibu dalam keadaan baik.%0ABerdasarkan data LPJK, masa berlaku SBU perusahaan Bapak/Ibu akan berakhir sekitar 3 bulan lagi (pada 13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MUSANO PERMATA INDO</t>
        </is>
      </c>
      <c r="B8" t="inlineStr">
        <is>
          <t>Kab. Bekasi</t>
        </is>
      </c>
      <c r="C8" t="inlineStr">
        <is>
          <t>085779170668</t>
        </is>
      </c>
      <c r="D8" t="inlineStr">
        <is>
          <t>musanopermata.indo@gmail.com</t>
        </is>
      </c>
      <c r="E8" t="inlineStr">
        <is>
          <t>https://lpjk.pu.go.id/search-badan-usaha-detail/MzlNc1BNRW03WFl6WFlzVE5uYlZ1UT09</t>
        </is>
      </c>
      <c r="F8" t="n">
        <v>1</v>
      </c>
      <c r="G8" t="inlineStr">
        <is>
          <t>BG009</t>
        </is>
      </c>
      <c r="H8" t="inlineStr">
        <is>
          <t>24 Oktober 2023</t>
        </is>
      </c>
      <c r="I8" s="2" t="n">
        <v>46339</v>
      </c>
      <c r="J8" t="inlineStr">
        <is>
          <t>Disetujui</t>
        </is>
      </c>
      <c r="K8" t="n">
        <v>87</v>
      </c>
      <c r="L8" t="inlineStr">
        <is>
          <t>13 November 2026</t>
        </is>
      </c>
      <c r="M8" t="inlineStr">
        <is>
          <t>Konstruksi Gedung Lainnya</t>
        </is>
      </c>
      <c r="N8" t="inlineStr">
        <is>
          <t>K</t>
        </is>
      </c>
      <c r="O8" t="inlineStr">
        <is>
          <t>20231027</t>
        </is>
      </c>
      <c r="P8" t="inlineStr">
        <is>
          <t>Jawa Barat</t>
        </is>
      </c>
      <c r="Q8" s="3">
        <f>HYPERLINK("https://wa.me/6285779170668?text=Selamat siang Bapak/Ibu pimpinan MUSANO PERMATA INDO,%0A%0ASemoga Bapak/Ibu dalam keadaan baik.%0ABerdasarkan data LPJK, masa berlaku SBU perusahaan Bapak/Ibu akan berakhir sekitar 3 bulan lagi (pada 13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OIXIO RANCANG BANGUN</t>
        </is>
      </c>
      <c r="B9" t="inlineStr">
        <is>
          <t>Kota Bogor</t>
        </is>
      </c>
      <c r="C9" t="inlineStr">
        <is>
          <t>081386028424</t>
        </is>
      </c>
      <c r="D9" t="inlineStr">
        <is>
          <t>oixiodesignandbuild@gmail.com</t>
        </is>
      </c>
      <c r="E9" t="inlineStr">
        <is>
          <t>https://lpjk.pu.go.id/search-badan-usaha-detail/L3laMVR1REF1UDZ3RzBsSTI3RDQyQT09</t>
        </is>
      </c>
      <c r="F9" t="n">
        <v>1</v>
      </c>
      <c r="G9" t="inlineStr">
        <is>
          <t>BG009</t>
        </is>
      </c>
      <c r="H9" t="inlineStr">
        <is>
          <t>18 Agustus 2023</t>
        </is>
      </c>
      <c r="I9" s="2" t="n">
        <v>46339</v>
      </c>
      <c r="J9" t="inlineStr">
        <is>
          <t>Disetujui</t>
        </is>
      </c>
      <c r="K9" t="n">
        <v>87</v>
      </c>
      <c r="L9" t="inlineStr">
        <is>
          <t>13 November 2026</t>
        </is>
      </c>
      <c r="M9" t="inlineStr">
        <is>
          <t>Konstruksi Gedung Lainnya</t>
        </is>
      </c>
      <c r="N9" t="inlineStr">
        <is>
          <t>K</t>
        </is>
      </c>
      <c r="O9" t="inlineStr">
        <is>
          <t>20231113</t>
        </is>
      </c>
      <c r="P9" t="inlineStr">
        <is>
          <t>Jawa Barat</t>
        </is>
      </c>
      <c r="Q9" s="3">
        <f>HYPERLINK("https://wa.me/6281386028424?text=Selamat siang Bapak/Ibu pimpinan OIXIO RANCANG BANGUN,%0A%0ASemoga Bapak/Ibu dalam keadaan baik.%0ABerdasarkan data LPJK, masa berlaku SBU perusahaan Bapak/Ibu akan berakhir sekitar 3 bulan lagi (pada 13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PRATAMA CITRA KREASI</t>
        </is>
      </c>
      <c r="B10" t="inlineStr">
        <is>
          <t>Kota Adm. Jakarta Timur</t>
        </is>
      </c>
      <c r="C10" t="inlineStr">
        <is>
          <t>0218611576</t>
        </is>
      </c>
      <c r="D10" t="inlineStr">
        <is>
          <t>pratamacitrakreasi@yahoo.co.id</t>
        </is>
      </c>
      <c r="E10" t="inlineStr">
        <is>
          <t>https://lpjk.pu.go.id/search-badan-usaha-detail/S0VJamI2RnB5c1NBU3lFSktyTWtRdz09</t>
        </is>
      </c>
      <c r="F10" t="n">
        <v>1</v>
      </c>
      <c r="G10" t="inlineStr">
        <is>
          <t>BS004</t>
        </is>
      </c>
      <c r="H10" t="inlineStr">
        <is>
          <t>19 Maret 2014</t>
        </is>
      </c>
      <c r="I10" s="2" t="n">
        <v>46339</v>
      </c>
      <c r="J10" t="inlineStr">
        <is>
          <t>Disetujui</t>
        </is>
      </c>
      <c r="K10" t="n">
        <v>87</v>
      </c>
      <c r="L10" t="inlineStr">
        <is>
          <t>13 November 2026</t>
        </is>
      </c>
      <c r="M10" t="inlineStr">
        <is>
          <t>Konstruksi Jaringan Irigasi dan Drainase</t>
        </is>
      </c>
      <c r="N10" t="inlineStr">
        <is>
          <t>K</t>
        </is>
      </c>
      <c r="O10" t="inlineStr">
        <is>
          <t>20231112</t>
        </is>
      </c>
      <c r="P10" t="inlineStr">
        <is>
          <t>DKI Jakarta</t>
        </is>
      </c>
      <c r="Q10" t="inlineStr"/>
    </row>
    <row r="11">
      <c r="A11" t="inlineStr">
        <is>
          <t>RAJA RIMBUN RAYA</t>
        </is>
      </c>
      <c r="B11" t="inlineStr">
        <is>
          <t>Kota Adm. Jakarta Timur</t>
        </is>
      </c>
      <c r="C11" t="inlineStr">
        <is>
          <t>082211364615</t>
        </is>
      </c>
      <c r="D11" t="inlineStr">
        <is>
          <t>Ryanmogalana@gmail.com</t>
        </is>
      </c>
      <c r="E11" t="inlineStr">
        <is>
          <t>https://lpjk.pu.go.id/search-badan-usaha-detail/S0JnNVJ1MXgxYTNQRmVwMmRVUGk5Zz09</t>
        </is>
      </c>
      <c r="F11" t="n">
        <v>1</v>
      </c>
      <c r="G11" t="inlineStr">
        <is>
          <t>BS001</t>
        </is>
      </c>
      <c r="H11" t="inlineStr">
        <is>
          <t>5 Oktober 2023</t>
        </is>
      </c>
      <c r="I11" s="2" t="n">
        <v>46339</v>
      </c>
      <c r="J11" t="inlineStr">
        <is>
          <t>Disetujui</t>
        </is>
      </c>
      <c r="K11" t="n">
        <v>87</v>
      </c>
      <c r="L11" t="inlineStr">
        <is>
          <t>13 November 2026</t>
        </is>
      </c>
      <c r="M11" t="inlineStr">
        <is>
          <t>Konstruksi Bangunan Sipil Jalan</t>
        </is>
      </c>
      <c r="N11" t="inlineStr">
        <is>
          <t>K</t>
        </is>
      </c>
      <c r="O11" t="inlineStr">
        <is>
          <t>20231110</t>
        </is>
      </c>
      <c r="P11" t="inlineStr">
        <is>
          <t>DKI Jakarta</t>
        </is>
      </c>
      <c r="Q11" s="3">
        <f>HYPERLINK("https://wa.me/6282211364615?text=Selamat siang Bapak/Ibu pimpinan RAJA RIMBUN RAYA,%0A%0ASemoga Bapak/Ibu dalam keadaan baik.%0ABerdasarkan data LPJK, masa berlaku SBU perusahaan Bapak/Ibu akan berakhir sekitar 3 bulan lagi (pada 13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2">
      <c r="A12" t="inlineStr">
        <is>
          <t>SANGGUL BARINGIN BERKARYA</t>
        </is>
      </c>
      <c r="B12" t="inlineStr">
        <is>
          <t>Kota Bekasi</t>
        </is>
      </c>
      <c r="C12" t="inlineStr">
        <is>
          <t>087804072018</t>
        </is>
      </c>
      <c r="D12" t="inlineStr">
        <is>
          <t>pt.sanggulbaringinberkarya@gmail.com</t>
        </is>
      </c>
      <c r="E12" t="inlineStr">
        <is>
          <t>https://lpjk.pu.go.id/search-badan-usaha-detail/RDVYcmFTc00vTzliMUxQWExZT2h2QT09</t>
        </is>
      </c>
      <c r="F12" t="n">
        <v>2</v>
      </c>
      <c r="G12" t="inlineStr">
        <is>
          <t>BS001</t>
        </is>
      </c>
      <c r="H12" t="inlineStr">
        <is>
          <t>4 Juli 2022</t>
        </is>
      </c>
      <c r="I12" s="2" t="n">
        <v>46339</v>
      </c>
      <c r="J12" t="inlineStr">
        <is>
          <t>Disetujui</t>
        </is>
      </c>
      <c r="K12" t="n">
        <v>87</v>
      </c>
      <c r="L12" t="inlineStr">
        <is>
          <t>13 November 2026</t>
        </is>
      </c>
      <c r="M12" t="inlineStr">
        <is>
          <t>Konstruksi Bangunan Sipil Jalan</t>
        </is>
      </c>
      <c r="N12" t="inlineStr">
        <is>
          <t>K</t>
        </is>
      </c>
      <c r="O12" t="inlineStr">
        <is>
          <t>20231031</t>
        </is>
      </c>
      <c r="P12" t="inlineStr">
        <is>
          <t>Jawa Barat</t>
        </is>
      </c>
      <c r="Q12" s="3">
        <f>HYPERLINK("https://wa.me/6287804072018?text=Selamat siang Bapak/Ibu pimpinan SANGGUL BARINGIN BERKARYA,%0A%0ASemoga Bapak/Ibu dalam keadaan baik.%0ABerdasarkan data LPJK, masa berlaku SBU perusahaan Bapak/Ibu akan berakhir sekitar 3 bulan lagi (pada 13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3">
      <c r="A13" t="inlineStr">
        <is>
          <t>TYVAS PRAST ADHIGANA</t>
        </is>
      </c>
      <c r="B13" t="inlineStr">
        <is>
          <t>Kota Bekasi</t>
        </is>
      </c>
      <c r="C13" t="inlineStr">
        <is>
          <t>081280105719</t>
        </is>
      </c>
      <c r="D13" t="inlineStr">
        <is>
          <t>tyvasprastadhigana@gmail.com</t>
        </is>
      </c>
      <c r="E13" t="inlineStr">
        <is>
          <t>https://lpjk.pu.go.id/search-badan-usaha-detail/Z2J0czhvbE1SaklKN3grNWthWVdKdz09</t>
        </is>
      </c>
      <c r="F13" t="n">
        <v>2</v>
      </c>
      <c r="G13" t="inlineStr">
        <is>
          <t>BS001, BS002</t>
        </is>
      </c>
      <c r="H13" t="inlineStr">
        <is>
          <t>14 Juli 2022</t>
        </is>
      </c>
      <c r="I13" s="2" t="n">
        <v>46339</v>
      </c>
      <c r="J13" t="inlineStr">
        <is>
          <t>Pembekuan</t>
        </is>
      </c>
      <c r="K13" t="n">
        <v>87</v>
      </c>
      <c r="L13" t="inlineStr">
        <is>
          <t>13 November 2026</t>
        </is>
      </c>
      <c r="M13" t="inlineStr">
        <is>
          <t>Bangunan Sipil Jembatan, Jalan Layang, Fly Over, dan Underpass, Konstruksi Bangunan Sipil Jalan</t>
        </is>
      </c>
      <c r="N13" t="inlineStr">
        <is>
          <t>M</t>
        </is>
      </c>
      <c r="O13" t="inlineStr">
        <is>
          <t>20231113</t>
        </is>
      </c>
      <c r="P13" t="inlineStr">
        <is>
          <t>Jawa Barat</t>
        </is>
      </c>
      <c r="Q13" s="3">
        <f>HYPERLINK("https://wa.me/6281280105719?text=Selamat siang Bapak/Ibu pimpinan TYVAS PRAST ADHIGANA,%0A%0ASemoga Bapak/Ibu dalam keadaan baik.%0ABerdasarkan data LPJK, masa berlaku SBU perusahaan Bapak/Ibu akan berakhir sekitar 3 bulan lagi (pada 13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4">
      <c r="A14" t="inlineStr">
        <is>
          <t>WIDYA BANGUN PRAJA SEJAHTERA</t>
        </is>
      </c>
      <c r="B14" t="inlineStr">
        <is>
          <t>Kota Bogor</t>
        </is>
      </c>
      <c r="C14" t="inlineStr">
        <is>
          <t>08192123403</t>
        </is>
      </c>
      <c r="D14" t="inlineStr">
        <is>
          <t>wbps2021@gmail.com</t>
        </is>
      </c>
      <c r="E14" t="inlineStr">
        <is>
          <t>https://lpjk.pu.go.id/search-badan-usaha-detail/MmgwdkVWZFRiYlBjR2VrUHBUNldCZz09</t>
        </is>
      </c>
      <c r="F14" t="n">
        <v>1</v>
      </c>
      <c r="G14" t="inlineStr">
        <is>
          <t>BS009</t>
        </is>
      </c>
      <c r="H14" t="inlineStr">
        <is>
          <t>24 Februari 2021</t>
        </is>
      </c>
      <c r="I14" s="2" t="n">
        <v>46339</v>
      </c>
      <c r="J14" t="inlineStr">
        <is>
          <t>Disetujui</t>
        </is>
      </c>
      <c r="K14" t="n">
        <v>87</v>
      </c>
      <c r="L14" t="inlineStr">
        <is>
          <t>13 November 2026</t>
        </is>
      </c>
      <c r="M14" t="inlineStr">
        <is>
          <t>Konstruksi Sentral Telekomunikasi</t>
        </is>
      </c>
      <c r="N14" t="inlineStr">
        <is>
          <t>K</t>
        </is>
      </c>
      <c r="O14" t="inlineStr">
        <is>
          <t>20231108</t>
        </is>
      </c>
      <c r="P14" t="inlineStr">
        <is>
          <t>Jawa Barat</t>
        </is>
      </c>
      <c r="Q14" s="3">
        <f>HYPERLINK("https://wa.me/628192123403?text=Selamat siang Bapak/Ibu pimpinan WIDYA BANGUN PRAJA SEJAHTERA,%0A%0ASemoga Bapak/Ibu dalam keadaan baik.%0ABerdasarkan data LPJK, masa berlaku SBU perusahaan Bapak/Ibu akan berakhir sekitar 3 bulan lagi (pada 13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5">
      <c r="A15" t="inlineStr">
        <is>
          <t>ABADI MITRA KARYA KONSTRUKSI INDONESIA</t>
        </is>
      </c>
      <c r="B15" t="inlineStr">
        <is>
          <t>Kota Adm. Jakarta Utara</t>
        </is>
      </c>
      <c r="C15" t="inlineStr">
        <is>
          <t>08111258151</t>
        </is>
      </c>
      <c r="D15" t="inlineStr">
        <is>
          <t>abadimitrakaryaKI@gmail.com</t>
        </is>
      </c>
      <c r="E15" t="inlineStr">
        <is>
          <t>https://lpjk.pu.go.id/search-badan-usaha-detail/d1ZMM1BvM1RESm5uUVZpL25wMENjZz09</t>
        </is>
      </c>
      <c r="F15" t="n">
        <v>2</v>
      </c>
      <c r="G15" t="inlineStr">
        <is>
          <t>BG003</t>
        </is>
      </c>
      <c r="H15" t="inlineStr">
        <is>
          <t>30 Oktober 2023</t>
        </is>
      </c>
      <c r="I15" s="2" t="n">
        <v>46339</v>
      </c>
      <c r="J15" t="inlineStr">
        <is>
          <t>Disetujui</t>
        </is>
      </c>
      <c r="K15" t="n">
        <v>87</v>
      </c>
      <c r="L15" t="inlineStr">
        <is>
          <t>13 November 2026</t>
        </is>
      </c>
      <c r="M15" t="inlineStr">
        <is>
          <t>Konstruksi Gedung Industri</t>
        </is>
      </c>
      <c r="N15" t="inlineStr">
        <is>
          <t>B</t>
        </is>
      </c>
      <c r="O15" t="inlineStr">
        <is>
          <t>20231110</t>
        </is>
      </c>
      <c r="P15" t="inlineStr">
        <is>
          <t>DKI Jakarta</t>
        </is>
      </c>
      <c r="Q15" t="inlineStr"/>
    </row>
    <row r="16">
      <c r="A16" t="inlineStr">
        <is>
          <t>ABIN PUTRA RAYA</t>
        </is>
      </c>
      <c r="B16" t="inlineStr">
        <is>
          <t>Kab. Cirebon</t>
        </is>
      </c>
      <c r="C16" t="inlineStr">
        <is>
          <t>0231248396</t>
        </is>
      </c>
      <c r="D16" t="inlineStr">
        <is>
          <t>pt.abinputraraya@gmail.com</t>
        </is>
      </c>
      <c r="E16" t="inlineStr">
        <is>
          <t>https://lpjk.pu.go.id/search-badan-usaha-detail/eS9obmpJdm5tMkFkUkJrSmNRSFpWUT09</t>
        </is>
      </c>
      <c r="F16" t="n">
        <v>2</v>
      </c>
      <c r="G16" t="inlineStr">
        <is>
          <t>IN001, IN004</t>
        </is>
      </c>
      <c r="H16" t="inlineStr">
        <is>
          <t>14 Februari 2011</t>
        </is>
      </c>
      <c r="I16" s="2" t="n">
        <v>46339</v>
      </c>
      <c r="J16" t="inlineStr">
        <is>
          <t>Pembekuan</t>
        </is>
      </c>
      <c r="K16" t="n">
        <v>87</v>
      </c>
      <c r="L16" t="inlineStr">
        <is>
          <t>13 November 2026</t>
        </is>
      </c>
      <c r="M16" t="inlineStr">
        <is>
          <t>Instalasi Mekanikal, Instalasi Minyak dan Gas</t>
        </is>
      </c>
      <c r="N16" t="inlineStr">
        <is>
          <t>Spesialis</t>
        </is>
      </c>
      <c r="O16" t="inlineStr">
        <is>
          <t>20231107, 20231113</t>
        </is>
      </c>
      <c r="P16" t="inlineStr">
        <is>
          <t>Jawa Barat</t>
        </is>
      </c>
      <c r="Q16" t="inlineStr"/>
    </row>
    <row r="17">
      <c r="A17" t="inlineStr">
        <is>
          <t>ADIPRIMA TEHNIKA</t>
        </is>
      </c>
      <c r="B17" t="inlineStr">
        <is>
          <t>Kab. Bondowoso</t>
        </is>
      </c>
      <c r="C17" t="inlineStr">
        <is>
          <t>085236986859</t>
        </is>
      </c>
      <c r="D17" t="inlineStr">
        <is>
          <t>andyrobbianmeidianto@gmail.com</t>
        </is>
      </c>
      <c r="E17" t="inlineStr">
        <is>
          <t>https://lpjk.pu.go.id/search-badan-usaha-detail/bWw2b3AvUUhNZU9jaGdlRkd2OEdqZz09</t>
        </is>
      </c>
      <c r="F17" t="n">
        <v>5</v>
      </c>
      <c r="G17" t="inlineStr">
        <is>
          <t>BG002, BG006, BG009, BS001, BS004</t>
        </is>
      </c>
      <c r="H17" t="inlineStr">
        <is>
          <t>11 Maret 2002</t>
        </is>
      </c>
      <c r="I17" s="2" t="n">
        <v>46339</v>
      </c>
      <c r="J17" t="inlineStr">
        <is>
          <t>Disetujui</t>
        </is>
      </c>
      <c r="K17" t="n">
        <v>87</v>
      </c>
      <c r="L17" t="inlineStr">
        <is>
          <t>13 November 2026</t>
        </is>
      </c>
      <c r="M17" t="inlineStr">
        <is>
          <t>Konstruksi Bangunan Sipil Jalan, Konstruksi Gedung Lainnya, Konstruksi Gedung Pendidikan, Konstruksi Gedung Perkantoran, Konstruksi Jaringan Irigasi dan Drainase</t>
        </is>
      </c>
      <c r="N17" t="inlineStr">
        <is>
          <t>K</t>
        </is>
      </c>
      <c r="O17" t="inlineStr">
        <is>
          <t>20231110</t>
        </is>
      </c>
      <c r="P17" t="inlineStr">
        <is>
          <t>Jawa Timur</t>
        </is>
      </c>
      <c r="Q17" t="inlineStr"/>
    </row>
    <row r="18">
      <c r="A18" t="inlineStr">
        <is>
          <t>AGUNG RAYA</t>
        </is>
      </c>
      <c r="B18" t="inlineStr">
        <is>
          <t>Kab. Magetan</t>
        </is>
      </c>
      <c r="C18" t="inlineStr">
        <is>
          <t>08993503442</t>
        </is>
      </c>
      <c r="D18" t="inlineStr">
        <is>
          <t>agungraya.19@yahoo.com</t>
        </is>
      </c>
      <c r="E18" t="inlineStr">
        <is>
          <t>https://lpjk.pu.go.id/search-badan-usaha-detail/d2puNXBLSlFwWVFocnFkMi94TEJoZz09</t>
        </is>
      </c>
      <c r="F18" t="n">
        <v>2</v>
      </c>
      <c r="G18" t="inlineStr">
        <is>
          <t>BG009</t>
        </is>
      </c>
      <c r="H18" t="inlineStr">
        <is>
          <t>7 Februari 2019</t>
        </is>
      </c>
      <c r="I18" s="2" t="n">
        <v>46339</v>
      </c>
      <c r="J18" t="inlineStr">
        <is>
          <t>Disetujui</t>
        </is>
      </c>
      <c r="K18" t="n">
        <v>87</v>
      </c>
      <c r="L18" t="inlineStr">
        <is>
          <t>13 November 2026</t>
        </is>
      </c>
      <c r="M18" t="inlineStr">
        <is>
          <t>Konstruksi Gedung Lainnya</t>
        </is>
      </c>
      <c r="N18" t="inlineStr">
        <is>
          <t>K</t>
        </is>
      </c>
      <c r="O18" t="inlineStr">
        <is>
          <t>20231030</t>
        </is>
      </c>
      <c r="P18" t="inlineStr">
        <is>
          <t>Jawa Timur</t>
        </is>
      </c>
      <c r="Q18" t="inlineStr"/>
    </row>
    <row r="19">
      <c r="A19" t="inlineStr">
        <is>
          <t>ALAM MINANG</t>
        </is>
      </c>
      <c r="B19" t="inlineStr">
        <is>
          <t>Kab. Agam</t>
        </is>
      </c>
      <c r="C19" t="inlineStr">
        <is>
          <t>081363152611</t>
        </is>
      </c>
      <c r="D19" t="inlineStr">
        <is>
          <t>cv.alamminang@gmail.com</t>
        </is>
      </c>
      <c r="E19" t="inlineStr">
        <is>
          <t>https://lpjk.pu.go.id/search-badan-usaha-detail/alVFd2dlQlM4a3V0MFBxd2ZIUHBOdz09</t>
        </is>
      </c>
      <c r="F19" t="n">
        <v>3</v>
      </c>
      <c r="G19" t="inlineStr">
        <is>
          <t>BS001, BS002, BS004</t>
        </is>
      </c>
      <c r="H19" t="inlineStr">
        <is>
          <t>10 April 2003</t>
        </is>
      </c>
      <c r="I19" s="2" t="n">
        <v>46339</v>
      </c>
      <c r="J19" t="inlineStr">
        <is>
          <t>Disetujui</t>
        </is>
      </c>
      <c r="K19" t="n">
        <v>87</v>
      </c>
      <c r="L19" t="inlineStr">
        <is>
          <t>13 November 2026</t>
        </is>
      </c>
      <c r="M19" t="inlineStr">
        <is>
          <t>Bangunan Sipil Jembatan, Jalan Layang, Fly Over, dan Underpass, Konstruksi Bangunan Sipil Jalan, Konstruksi Jaringan Irigasi dan Drainase</t>
        </is>
      </c>
      <c r="N19" t="inlineStr">
        <is>
          <t>K</t>
        </is>
      </c>
      <c r="O19" t="inlineStr">
        <is>
          <t>20231113</t>
        </is>
      </c>
      <c r="P19" t="inlineStr">
        <is>
          <t>Sumatera Barat</t>
        </is>
      </c>
      <c r="Q19" t="inlineStr"/>
    </row>
    <row r="20">
      <c r="A20" t="inlineStr">
        <is>
          <t>ALIF BERDIRI</t>
        </is>
      </c>
      <c r="B20" t="inlineStr">
        <is>
          <t>Kab. Kutai Timur</t>
        </is>
      </c>
      <c r="C20" t="inlineStr">
        <is>
          <t>081333406808</t>
        </is>
      </c>
      <c r="D20" t="inlineStr">
        <is>
          <t>alifberdiri5@gmail.com</t>
        </is>
      </c>
      <c r="E20" t="inlineStr">
        <is>
          <t>https://lpjk.pu.go.id/search-badan-usaha-detail/NWxScDBROXZFaXFIMHR5Y1VnNVdCUT09</t>
        </is>
      </c>
      <c r="F20" t="n">
        <v>1</v>
      </c>
      <c r="G20" t="inlineStr">
        <is>
          <t>BS001</t>
        </is>
      </c>
      <c r="H20" t="inlineStr">
        <is>
          <t>17 April 2018</t>
        </is>
      </c>
      <c r="I20" s="2" t="n">
        <v>46339</v>
      </c>
      <c r="J20" t="inlineStr">
        <is>
          <t>Disetujui</t>
        </is>
      </c>
      <c r="K20" t="n">
        <v>87</v>
      </c>
      <c r="L20" t="inlineStr">
        <is>
          <t>13 November 2026</t>
        </is>
      </c>
      <c r="M20" t="inlineStr">
        <is>
          <t>Konstruksi Bangunan Sipil Jalan</t>
        </is>
      </c>
      <c r="N20" t="inlineStr">
        <is>
          <t>K</t>
        </is>
      </c>
      <c r="O20" t="inlineStr">
        <is>
          <t>20231114</t>
        </is>
      </c>
      <c r="P20" t="inlineStr">
        <is>
          <t>Kalimantan Timur</t>
        </is>
      </c>
      <c r="Q20" t="inlineStr"/>
    </row>
    <row r="21">
      <c r="A21" t="inlineStr">
        <is>
          <t>ANTIKA PURNAMA JAYA</t>
        </is>
      </c>
      <c r="B21" t="inlineStr">
        <is>
          <t>Kab. Gresik</t>
        </is>
      </c>
      <c r="C21" t="inlineStr">
        <is>
          <t>081334714500</t>
        </is>
      </c>
      <c r="D21" t="inlineStr">
        <is>
          <t>cv.antikapurnamajaya@gmail.com</t>
        </is>
      </c>
      <c r="E21" t="inlineStr">
        <is>
          <t>https://lpjk.pu.go.id/search-badan-usaha-detail/UUM1T3ZQNXduaTJlMHVESkc0aXZMdz09</t>
        </is>
      </c>
      <c r="F21" t="n">
        <v>1</v>
      </c>
      <c r="G21" t="inlineStr">
        <is>
          <t>BG005</t>
        </is>
      </c>
      <c r="H21" t="inlineStr">
        <is>
          <t>21 Februari 2023</t>
        </is>
      </c>
      <c r="I21" s="2" t="n">
        <v>46339</v>
      </c>
      <c r="J21" t="inlineStr">
        <is>
          <t>Disetujui</t>
        </is>
      </c>
      <c r="K21" t="n">
        <v>87</v>
      </c>
      <c r="L21" t="inlineStr">
        <is>
          <t>13 November 2026</t>
        </is>
      </c>
      <c r="M21" t="inlineStr">
        <is>
          <t>Konstruksi Gedung Kesehatan</t>
        </is>
      </c>
      <c r="N21" t="inlineStr">
        <is>
          <t>K</t>
        </is>
      </c>
      <c r="O21" t="inlineStr">
        <is>
          <t>20231103</t>
        </is>
      </c>
      <c r="P21" t="inlineStr">
        <is>
          <t>Jawa Timur</t>
        </is>
      </c>
      <c r="Q21" t="inlineStr"/>
    </row>
    <row r="22">
      <c r="A22" t="inlineStr">
        <is>
          <t>ARTHA GA</t>
        </is>
      </c>
      <c r="B22" t="inlineStr">
        <is>
          <t>Kab. Bener Meriah</t>
        </is>
      </c>
      <c r="C22" t="inlineStr">
        <is>
          <t>08126919039</t>
        </is>
      </c>
      <c r="D22" t="inlineStr">
        <is>
          <t>arthaga.cv@gmail.com</t>
        </is>
      </c>
      <c r="E22" t="inlineStr">
        <is>
          <t>https://lpjk.pu.go.id/search-badan-usaha-detail/Tm5YbGRqa1JiQ2xTUXJMcUxNQURsdz09</t>
        </is>
      </c>
      <c r="F22" t="n">
        <v>1</v>
      </c>
      <c r="G22" t="inlineStr">
        <is>
          <t>BS005</t>
        </is>
      </c>
      <c r="H22" t="inlineStr">
        <is>
          <t>12 Desember 2006</t>
        </is>
      </c>
      <c r="I22" s="2" t="n">
        <v>46339</v>
      </c>
      <c r="J22" t="inlineStr">
        <is>
          <t>Disetujui</t>
        </is>
      </c>
      <c r="K22" t="n">
        <v>87</v>
      </c>
      <c r="L22" t="inlineStr">
        <is>
          <t>13 November 2026</t>
        </is>
      </c>
      <c r="M22" t="inlineStr">
        <is>
          <t>Konstruksi Bangunan Sipil Pengolahan Air Bersih</t>
        </is>
      </c>
      <c r="N22" t="inlineStr">
        <is>
          <t>K</t>
        </is>
      </c>
      <c r="O22" t="inlineStr">
        <is>
          <t>20231113</t>
        </is>
      </c>
      <c r="P22" t="inlineStr">
        <is>
          <t>Aceh</t>
        </is>
      </c>
      <c r="Q22" t="inlineStr"/>
    </row>
    <row r="23">
      <c r="A23" t="inlineStr">
        <is>
          <t>ASIA NUSA GRAHA</t>
        </is>
      </c>
      <c r="B23" t="inlineStr">
        <is>
          <t>Kab. Tangerang</t>
        </is>
      </c>
      <c r="C23" t="inlineStr">
        <is>
          <t>02154217633</t>
        </is>
      </c>
      <c r="D23" t="inlineStr">
        <is>
          <t>anugrah.umum@gmail.com</t>
        </is>
      </c>
      <c r="E23" t="inlineStr">
        <is>
          <t>https://lpjk.pu.go.id/search-badan-usaha-detail/cEdvOW4wdndtNEZDbk5KTHVBRllQdz09</t>
        </is>
      </c>
      <c r="F23" t="n">
        <v>3</v>
      </c>
      <c r="G23" t="inlineStr">
        <is>
          <t>BG001, BG003, BG007</t>
        </is>
      </c>
      <c r="H23" t="inlineStr">
        <is>
          <t>14 Maret 2012</t>
        </is>
      </c>
      <c r="I23" s="2" t="n">
        <v>46339</v>
      </c>
      <c r="J23" t="inlineStr">
        <is>
          <t>Disetujui</t>
        </is>
      </c>
      <c r="K23" t="n">
        <v>87</v>
      </c>
      <c r="L23" t="inlineStr">
        <is>
          <t>13 November 2026</t>
        </is>
      </c>
      <c r="M23" t="inlineStr">
        <is>
          <t>Konstruksi Gedung Hunian, Konstruksi Gedung Industri, Konstruksi Gedung Penginapan</t>
        </is>
      </c>
      <c r="N23" t="inlineStr">
        <is>
          <t>K</t>
        </is>
      </c>
      <c r="O23" t="inlineStr">
        <is>
          <t>20231114</t>
        </is>
      </c>
      <c r="P23" t="inlineStr">
        <is>
          <t>Banten</t>
        </is>
      </c>
      <c r="Q23" t="inlineStr"/>
    </row>
    <row r="24">
      <c r="A24" t="inlineStr">
        <is>
          <t>ATHARA</t>
        </is>
      </c>
      <c r="B24" t="inlineStr">
        <is>
          <t>Kab. Bondowoso</t>
        </is>
      </c>
      <c r="C24" t="inlineStr">
        <is>
          <t>082264157779</t>
        </is>
      </c>
      <c r="D24" t="inlineStr">
        <is>
          <t>atharacv0@gmail.com</t>
        </is>
      </c>
      <c r="E24" t="inlineStr">
        <is>
          <t>https://lpjk.pu.go.id/search-badan-usaha-detail/L3lSWTBLR0dhQ2RUSVJtNG1uSXJOQT09</t>
        </is>
      </c>
      <c r="F24" t="n">
        <v>2</v>
      </c>
      <c r="G24" t="inlineStr">
        <is>
          <t>BG005, BG009</t>
        </is>
      </c>
      <c r="H24" t="inlineStr">
        <is>
          <t>13 Desember 2017</t>
        </is>
      </c>
      <c r="I24" s="2" t="n">
        <v>46339</v>
      </c>
      <c r="J24" t="inlineStr">
        <is>
          <t>Disetujui</t>
        </is>
      </c>
      <c r="K24" t="n">
        <v>87</v>
      </c>
      <c r="L24" t="inlineStr">
        <is>
          <t>13 November 2026</t>
        </is>
      </c>
      <c r="M24" t="inlineStr">
        <is>
          <t>Konstruksi Gedung Kesehatan, Konstruksi Gedung Lainnya</t>
        </is>
      </c>
      <c r="N24" t="inlineStr">
        <is>
          <t>K</t>
        </is>
      </c>
      <c r="O24" t="inlineStr">
        <is>
          <t>20231110</t>
        </is>
      </c>
      <c r="P24" t="inlineStr">
        <is>
          <t>Jawa Timur</t>
        </is>
      </c>
      <c r="Q24" t="inlineStr"/>
    </row>
    <row r="25">
      <c r="A25" t="inlineStr">
        <is>
          <t>AZZAHRA</t>
        </is>
      </c>
      <c r="B25" t="inlineStr">
        <is>
          <t>Kab. Lombok Tengah</t>
        </is>
      </c>
      <c r="C25" t="inlineStr">
        <is>
          <t>87854370517</t>
        </is>
      </c>
      <c r="D25" t="inlineStr">
        <is>
          <t>cvazzahra111@gmail.com</t>
        </is>
      </c>
      <c r="E25" t="inlineStr">
        <is>
          <t>https://lpjk.pu.go.id/search-badan-usaha-detail/MmRIUkdISFdJd2hIRlBWemd3TGdLQT09</t>
        </is>
      </c>
      <c r="F25" t="n">
        <v>1</v>
      </c>
      <c r="G25" t="inlineStr">
        <is>
          <t>BS001</t>
        </is>
      </c>
      <c r="H25" t="inlineStr">
        <is>
          <t>23 Mei 2016</t>
        </is>
      </c>
      <c r="I25" s="2" t="n">
        <v>46339</v>
      </c>
      <c r="J25" t="inlineStr">
        <is>
          <t>Disetujui</t>
        </is>
      </c>
      <c r="K25" t="n">
        <v>87</v>
      </c>
      <c r="L25" t="inlineStr">
        <is>
          <t>13 November 2026</t>
        </is>
      </c>
      <c r="M25" t="inlineStr">
        <is>
          <t>Konstruksi Bangunan Sipil Jalan</t>
        </is>
      </c>
      <c r="N25" t="inlineStr">
        <is>
          <t>K</t>
        </is>
      </c>
      <c r="O25" t="inlineStr">
        <is>
          <t>20231113</t>
        </is>
      </c>
      <c r="P25" t="inlineStr">
        <is>
          <t>Nusa Tenggara Barat</t>
        </is>
      </c>
      <c r="Q25" t="inlineStr"/>
    </row>
    <row r="26">
      <c r="A26" t="inlineStr">
        <is>
          <t>BANGUN PAPUA RAYA</t>
        </is>
      </c>
      <c r="B26" t="inlineStr">
        <is>
          <t>Kota Sorong</t>
        </is>
      </c>
      <c r="C26" t="inlineStr">
        <is>
          <t>085315555388</t>
        </is>
      </c>
      <c r="D26" t="inlineStr">
        <is>
          <t>cv.bangunpapuaraya@gmail.com</t>
        </is>
      </c>
      <c r="E26" t="inlineStr">
        <is>
          <t>https://lpjk.pu.go.id/search-badan-usaha-detail/dDdzbFVqU09TRE5oWmZMVE5rcWRsdTFUZDRjcHd1VG9zbzNnaVVGdzB5bz0</t>
        </is>
      </c>
      <c r="F26" t="n">
        <v>1</v>
      </c>
      <c r="G26" t="inlineStr">
        <is>
          <t>BS005</t>
        </is>
      </c>
      <c r="H26" t="inlineStr">
        <is>
          <t>8 Juli 2025</t>
        </is>
      </c>
      <c r="I26" s="2" t="n">
        <v>46339</v>
      </c>
      <c r="J26" t="inlineStr">
        <is>
          <t>Disetujui</t>
        </is>
      </c>
      <c r="K26" t="n">
        <v>87</v>
      </c>
      <c r="L26" t="inlineStr">
        <is>
          <t>13 November 2026</t>
        </is>
      </c>
      <c r="M26" t="inlineStr">
        <is>
          <t>Konstruksi Bangunan Sipil Pengolahan Air Bersih</t>
        </is>
      </c>
      <c r="N26" t="inlineStr">
        <is>
          <t>K</t>
        </is>
      </c>
      <c r="O26" t="inlineStr">
        <is>
          <t>20231113</t>
        </is>
      </c>
      <c r="P26" t="inlineStr">
        <is>
          <t>Papua Barat Daya</t>
        </is>
      </c>
      <c r="Q26" t="inlineStr"/>
    </row>
    <row r="27">
      <c r="A27" t="inlineStr">
        <is>
          <t>BARA ABADI GROUP</t>
        </is>
      </c>
      <c r="B27" t="inlineStr">
        <is>
          <t>Kota Pekanbaru</t>
        </is>
      </c>
      <c r="C27" t="inlineStr">
        <is>
          <t>087837479400</t>
        </is>
      </c>
      <c r="D27" t="inlineStr">
        <is>
          <t>groupbaraabadi@gmail.com</t>
        </is>
      </c>
      <c r="E27" t="inlineStr">
        <is>
          <t>https://lpjk.pu.go.id/search-badan-usaha-detail/c3hsLzgzY2pmUGpRZDhLYldJYWNQdz09</t>
        </is>
      </c>
      <c r="F27" t="n">
        <v>4</v>
      </c>
      <c r="G27" t="inlineStr">
        <is>
          <t>BS001, BS004</t>
        </is>
      </c>
      <c r="H27" t="inlineStr">
        <is>
          <t>18 April 2023</t>
        </is>
      </c>
      <c r="I27" s="2" t="n">
        <v>46339</v>
      </c>
      <c r="J27" t="inlineStr">
        <is>
          <t>Pencabutan</t>
        </is>
      </c>
      <c r="K27" t="n">
        <v>87</v>
      </c>
      <c r="L27" t="inlineStr">
        <is>
          <t>13 November 2026</t>
        </is>
      </c>
      <c r="M27" t="inlineStr">
        <is>
          <t>Konstruksi Bangunan Sipil Jalan, Konstruksi Jaringan Irigasi dan Drainase</t>
        </is>
      </c>
      <c r="N27" t="inlineStr">
        <is>
          <t>K</t>
        </is>
      </c>
      <c r="O27" t="inlineStr">
        <is>
          <t>20231113, 20231114</t>
        </is>
      </c>
      <c r="P27" t="inlineStr">
        <is>
          <t>Riau</t>
        </is>
      </c>
      <c r="Q27" t="inlineStr"/>
    </row>
    <row r="28">
      <c r="A28" t="inlineStr">
        <is>
          <t>BARA JAYA MUDA</t>
        </is>
      </c>
      <c r="B28" t="inlineStr">
        <is>
          <t>Kab. Kampar</t>
        </is>
      </c>
      <c r="C28" t="inlineStr">
        <is>
          <t>0</t>
        </is>
      </c>
      <c r="D28" t="inlineStr">
        <is>
          <t>barajayamuda92@gmail.com</t>
        </is>
      </c>
      <c r="E28" t="inlineStr">
        <is>
          <t>https://lpjk.pu.go.id/search-badan-usaha-detail/bURyN01WclQrN0MrV1hSbDB5YVdPdz09</t>
        </is>
      </c>
      <c r="F28" t="n">
        <v>4</v>
      </c>
      <c r="G28" t="inlineStr">
        <is>
          <t>BS001, BS004</t>
        </is>
      </c>
      <c r="H28" t="inlineStr">
        <is>
          <t>11 Januari 2023</t>
        </is>
      </c>
      <c r="I28" s="2" t="n">
        <v>46339</v>
      </c>
      <c r="J28" t="inlineStr">
        <is>
          <t>Disetujui</t>
        </is>
      </c>
      <c r="K28" t="n">
        <v>87</v>
      </c>
      <c r="L28" t="inlineStr">
        <is>
          <t>13 November 2026</t>
        </is>
      </c>
      <c r="M28" t="inlineStr">
        <is>
          <t>Konstruksi Bangunan Sipil Jalan, Konstruksi Jaringan Irigasi dan Drainase</t>
        </is>
      </c>
      <c r="N28" t="inlineStr">
        <is>
          <t>K</t>
        </is>
      </c>
      <c r="O28" t="inlineStr">
        <is>
          <t>20231114, 20231115</t>
        </is>
      </c>
      <c r="P28" t="inlineStr">
        <is>
          <t>Riau</t>
        </is>
      </c>
      <c r="Q28" t="inlineStr"/>
    </row>
    <row r="29">
      <c r="A29" t="inlineStr">
        <is>
          <t>BARATAMA</t>
        </is>
      </c>
      <c r="B29" t="inlineStr">
        <is>
          <t>Kab. Sukoharjo</t>
        </is>
      </c>
      <c r="C29" t="inlineStr">
        <is>
          <t>081393282277</t>
        </is>
      </c>
      <c r="D29" t="inlineStr">
        <is>
          <t>baratamaskh@gmail.com</t>
        </is>
      </c>
      <c r="E29" t="inlineStr">
        <is>
          <t>https://lpjk.pu.go.id/search-badan-usaha-detail/NkdwRkVqWWNSUXh4Z1k5SU9kVFBxdz09</t>
        </is>
      </c>
      <c r="F29" t="n">
        <v>5</v>
      </c>
      <c r="G29" t="inlineStr">
        <is>
          <t>PL005</t>
        </is>
      </c>
      <c r="H29" t="inlineStr">
        <is>
          <t>25 Juni 2020</t>
        </is>
      </c>
      <c r="I29" s="2" t="n">
        <v>46339</v>
      </c>
      <c r="J29" t="inlineStr">
        <is>
          <t>Pembekuan</t>
        </is>
      </c>
      <c r="K29" t="n">
        <v>87</v>
      </c>
      <c r="L29" t="inlineStr">
        <is>
          <t>13 November 2026</t>
        </is>
      </c>
      <c r="M29" t="inlineStr">
        <is>
          <t>Pembuatan/Pengeboran Sumur Air Tanah</t>
        </is>
      </c>
      <c r="N29" t="inlineStr">
        <is>
          <t>Spesialis</t>
        </is>
      </c>
      <c r="O29" t="inlineStr">
        <is>
          <t>20231114</t>
        </is>
      </c>
      <c r="P29" t="inlineStr">
        <is>
          <t>Jawa Tengah</t>
        </is>
      </c>
      <c r="Q29" t="inlineStr"/>
    </row>
    <row r="30">
      <c r="A30" t="inlineStr">
        <is>
          <t>BIMA SURYA MANDIRI</t>
        </is>
      </c>
      <c r="B30" t="inlineStr">
        <is>
          <t>Kota Tangerang Selatan</t>
        </is>
      </c>
      <c r="C30" t="inlineStr">
        <is>
          <t>02153122918</t>
        </is>
      </c>
      <c r="D30" t="inlineStr">
        <is>
          <t>bimasuryamandiri67@gmail.com</t>
        </is>
      </c>
      <c r="E30" t="inlineStr">
        <is>
          <t>https://lpjk.pu.go.id/search-badan-usaha-detail/M1BIa1FndTZqY1BNa01KMWVxZ004Zz09</t>
        </is>
      </c>
      <c r="F30" t="n">
        <v>1</v>
      </c>
      <c r="G30" t="inlineStr">
        <is>
          <t>BG009</t>
        </is>
      </c>
      <c r="H30" t="inlineStr">
        <is>
          <t>24 Juni 2019</t>
        </is>
      </c>
      <c r="I30" s="2" t="n">
        <v>46339</v>
      </c>
      <c r="J30" t="inlineStr">
        <is>
          <t>Disetujui</t>
        </is>
      </c>
      <c r="K30" t="n">
        <v>87</v>
      </c>
      <c r="L30" t="inlineStr">
        <is>
          <t>13 November 2026</t>
        </is>
      </c>
      <c r="M30" t="inlineStr">
        <is>
          <t>Konstruksi Gedung Lainnya</t>
        </is>
      </c>
      <c r="N30" t="inlineStr">
        <is>
          <t>K</t>
        </is>
      </c>
      <c r="O30" t="inlineStr">
        <is>
          <t>20231113</t>
        </is>
      </c>
      <c r="P30" t="inlineStr">
        <is>
          <t>Banten</t>
        </is>
      </c>
      <c r="Q30" t="inlineStr"/>
    </row>
    <row r="31">
      <c r="A31" t="inlineStr">
        <is>
          <t>BINA MANDIRI</t>
        </is>
      </c>
      <c r="B31" t="inlineStr">
        <is>
          <t>Kota Langsa</t>
        </is>
      </c>
      <c r="C31" t="inlineStr">
        <is>
          <t>0813 6164 3666</t>
        </is>
      </c>
      <c r="D31" t="inlineStr">
        <is>
          <t>binamandiri801@gmail.com</t>
        </is>
      </c>
      <c r="E31" t="inlineStr">
        <is>
          <t>https://lpjk.pu.go.id/search-badan-usaha-detail/bVdURlZQbHJnVkMwVXJsdVJWV28zUT09</t>
        </is>
      </c>
      <c r="F31" t="n">
        <v>3</v>
      </c>
      <c r="G31" t="inlineStr">
        <is>
          <t>BG001, BG002, BS001</t>
        </is>
      </c>
      <c r="H31" t="inlineStr">
        <is>
          <t>4 November 2000</t>
        </is>
      </c>
      <c r="I31" s="2" t="n">
        <v>46339</v>
      </c>
      <c r="J31" t="inlineStr">
        <is>
          <t>Disetujui</t>
        </is>
      </c>
      <c r="K31" t="n">
        <v>87</v>
      </c>
      <c r="L31" t="inlineStr">
        <is>
          <t>13 November 2026</t>
        </is>
      </c>
      <c r="M31" t="inlineStr">
        <is>
          <t>Konstruksi Bangunan Sipil Jalan, Konstruksi Gedung Hunian, Konstruksi Gedung Perkantoran</t>
        </is>
      </c>
      <c r="N31" t="inlineStr">
        <is>
          <t>K</t>
        </is>
      </c>
      <c r="O31" t="inlineStr">
        <is>
          <t>20231108, 20231113</t>
        </is>
      </c>
      <c r="P31" t="inlineStr">
        <is>
          <t>Aceh</t>
        </is>
      </c>
      <c r="Q31" t="inlineStr"/>
    </row>
    <row r="32">
      <c r="A32" t="inlineStr">
        <is>
          <t>BINTANG SAHABAT</t>
        </is>
      </c>
      <c r="B32" t="inlineStr">
        <is>
          <t>Kab. Tegal</t>
        </is>
      </c>
      <c r="C32" t="inlineStr">
        <is>
          <t>0858 6627 9119</t>
        </is>
      </c>
      <c r="D32" t="inlineStr">
        <is>
          <t>bintangsahabat25@yahoo.com</t>
        </is>
      </c>
      <c r="E32" t="inlineStr">
        <is>
          <t>https://lpjk.pu.go.id/search-badan-usaha-detail/Q1ZtUVJ4TklPTEJ1V2xVbmw4U2RYZz09</t>
        </is>
      </c>
      <c r="F32" t="n">
        <v>6</v>
      </c>
      <c r="G32" t="inlineStr">
        <is>
          <t>BG006, BG009, BS001</t>
        </is>
      </c>
      <c r="H32" t="inlineStr">
        <is>
          <t>24 Juli 2008</t>
        </is>
      </c>
      <c r="I32" s="2" t="n">
        <v>46339</v>
      </c>
      <c r="J32" t="inlineStr">
        <is>
          <t>Disetujui</t>
        </is>
      </c>
      <c r="K32" t="n">
        <v>87</v>
      </c>
      <c r="L32" t="inlineStr">
        <is>
          <t>13 November 2026</t>
        </is>
      </c>
      <c r="M32" t="inlineStr">
        <is>
          <t>Konstruksi Bangunan Sipil Jalan, Konstruksi Gedung Lainnya, Konstruksi Gedung Pendidikan</t>
        </is>
      </c>
      <c r="N32" t="inlineStr">
        <is>
          <t>K</t>
        </is>
      </c>
      <c r="O32" t="inlineStr">
        <is>
          <t>20231110, 20231113</t>
        </is>
      </c>
      <c r="P32" t="inlineStr">
        <is>
          <t>Jawa Tengah</t>
        </is>
      </c>
      <c r="Q32" t="inlineStr"/>
    </row>
    <row r="33">
      <c r="A33" t="inlineStr">
        <is>
          <t>BORNEO UTAMA NUSANTARA</t>
        </is>
      </c>
      <c r="B33" t="inlineStr">
        <is>
          <t>Kota Pontianak</t>
        </is>
      </c>
      <c r="C33" t="inlineStr">
        <is>
          <t>082358774589</t>
        </is>
      </c>
      <c r="D33" t="inlineStr">
        <is>
          <t>-</t>
        </is>
      </c>
      <c r="E33" t="inlineStr">
        <is>
          <t>https://lpjk.pu.go.id/search-badan-usaha-detail/OFpsTlVvUmRHR2x4aEphVFZWT2J5Zz09</t>
        </is>
      </c>
      <c r="F33" t="n">
        <v>1</v>
      </c>
      <c r="G33" t="inlineStr">
        <is>
          <t>BS001</t>
        </is>
      </c>
      <c r="H33" t="inlineStr">
        <is>
          <t>4 Oktober 2021</t>
        </is>
      </c>
      <c r="I33" s="2" t="n">
        <v>46339</v>
      </c>
      <c r="J33" t="inlineStr">
        <is>
          <t>Disetujui</t>
        </is>
      </c>
      <c r="K33" t="n">
        <v>87</v>
      </c>
      <c r="L33" t="inlineStr">
        <is>
          <t>13 November 2026</t>
        </is>
      </c>
      <c r="M33" t="inlineStr">
        <is>
          <t>Konstruksi Bangunan Sipil Jalan</t>
        </is>
      </c>
      <c r="N33" t="inlineStr">
        <is>
          <t>K</t>
        </is>
      </c>
      <c r="O33" t="inlineStr">
        <is>
          <t>20231114</t>
        </is>
      </c>
      <c r="P33" t="inlineStr">
        <is>
          <t>Kalimantan Barat</t>
        </is>
      </c>
      <c r="Q33" t="inlineStr"/>
    </row>
    <row r="34">
      <c r="A34" t="inlineStr">
        <is>
          <t>BUMI BANGUNAN</t>
        </is>
      </c>
      <c r="B34" t="inlineStr">
        <is>
          <t>Kab. Lingga</t>
        </is>
      </c>
      <c r="C34" t="inlineStr">
        <is>
          <t>08127739288</t>
        </is>
      </c>
      <c r="D34" t="inlineStr">
        <is>
          <t>bb_aan165@ymail.com</t>
        </is>
      </c>
      <c r="E34" t="inlineStr">
        <is>
          <t>https://lpjk.pu.go.id/search-badan-usaha-detail/QmN4R2xKMFBUdSsrK2ZmSlpsUFlOdz09</t>
        </is>
      </c>
      <c r="F34" t="n">
        <v>3</v>
      </c>
      <c r="G34" t="inlineStr">
        <is>
          <t>BG005, BG006, BS001</t>
        </is>
      </c>
      <c r="H34" t="inlineStr">
        <is>
          <t>14 Februari 2014</t>
        </is>
      </c>
      <c r="I34" s="2" t="n">
        <v>46339</v>
      </c>
      <c r="J34" t="inlineStr">
        <is>
          <t>Disetujui</t>
        </is>
      </c>
      <c r="K34" t="n">
        <v>87</v>
      </c>
      <c r="L34" t="inlineStr">
        <is>
          <t>13 November 2026</t>
        </is>
      </c>
      <c r="M34" t="inlineStr">
        <is>
          <t>Konstruksi Bangunan Sipil Jalan, Konstruksi Gedung Kesehatan, Konstruksi Gedung Pendidikan</t>
        </is>
      </c>
      <c r="N34" t="inlineStr">
        <is>
          <t>K</t>
        </is>
      </c>
      <c r="O34" t="inlineStr">
        <is>
          <t>20221219, 20231102</t>
        </is>
      </c>
      <c r="P34" t="inlineStr">
        <is>
          <t>Kepulauan Riau</t>
        </is>
      </c>
      <c r="Q34" t="inlineStr"/>
    </row>
    <row r="35">
      <c r="A35" t="inlineStr">
        <is>
          <t>CAHAYA BERLIAN ARBAS</t>
        </is>
      </c>
      <c r="B35" t="inlineStr">
        <is>
          <t>Kota Pekanbaru</t>
        </is>
      </c>
      <c r="C35" t="inlineStr">
        <is>
          <t>0761587791</t>
        </is>
      </c>
      <c r="D35" t="inlineStr">
        <is>
          <t>cahayaberlianarbas@yahoo.com</t>
        </is>
      </c>
      <c r="E35" t="inlineStr">
        <is>
          <t>https://lpjk.pu.go.id/search-badan-usaha-detail/KzdFOUo0bS81WloyWURVQzZLbkdmdz09</t>
        </is>
      </c>
      <c r="F35" t="n">
        <v>1</v>
      </c>
      <c r="G35" t="inlineStr">
        <is>
          <t>BG009</t>
        </is>
      </c>
      <c r="H35" t="inlineStr">
        <is>
          <t>20 Juni 2011</t>
        </is>
      </c>
      <c r="I35" s="2" t="n">
        <v>46339</v>
      </c>
      <c r="J35" t="inlineStr">
        <is>
          <t>Disetujui</t>
        </is>
      </c>
      <c r="K35" t="n">
        <v>87</v>
      </c>
      <c r="L35" t="inlineStr">
        <is>
          <t>13 November 2026</t>
        </is>
      </c>
      <c r="M35" t="inlineStr">
        <is>
          <t>Konstruksi Gedung Lainnya</t>
        </is>
      </c>
      <c r="N35" t="inlineStr">
        <is>
          <t>K</t>
        </is>
      </c>
      <c r="O35" t="inlineStr">
        <is>
          <t>20231112</t>
        </is>
      </c>
      <c r="P35" t="inlineStr">
        <is>
          <t>Riau</t>
        </is>
      </c>
      <c r="Q35" t="inlineStr"/>
    </row>
    <row r="36">
      <c r="A36" t="inlineStr">
        <is>
          <t>CAHAYA BINTANG TEKNINDO</t>
        </is>
      </c>
      <c r="B36" t="inlineStr">
        <is>
          <t>Kota Adm. Jakarta Barat</t>
        </is>
      </c>
      <c r="C36" t="inlineStr">
        <is>
          <t>08111080446</t>
        </is>
      </c>
      <c r="D36" t="inlineStr">
        <is>
          <t>ptcahayabintangteknindo@gmail.com</t>
        </is>
      </c>
      <c r="E36" t="inlineStr">
        <is>
          <t>https://lpjk.pu.go.id/search-badan-usaha-detail/MmVDdW56MkRLUmprV1RYeHYxczZMZz09</t>
        </is>
      </c>
      <c r="F36" t="n">
        <v>2</v>
      </c>
      <c r="G36" t="inlineStr">
        <is>
          <t>BS007, BS009</t>
        </is>
      </c>
      <c r="H36" t="inlineStr">
        <is>
          <t>14 April 2021</t>
        </is>
      </c>
      <c r="I36" s="2" t="n">
        <v>46339</v>
      </c>
      <c r="J36" t="inlineStr">
        <is>
          <t>Disetujui</t>
        </is>
      </c>
      <c r="K36" t="n">
        <v>87</v>
      </c>
      <c r="L36" t="inlineStr">
        <is>
          <t>13 November 2026</t>
        </is>
      </c>
      <c r="M36" t="inlineStr">
        <is>
          <t>Konstruksi Bangunan Sipil Elektrikal, Konstruksi Sentral Telekomunikasi</t>
        </is>
      </c>
      <c r="N36" t="inlineStr">
        <is>
          <t>K</t>
        </is>
      </c>
      <c r="O36" t="inlineStr">
        <is>
          <t>20231114</t>
        </is>
      </c>
      <c r="P36" t="inlineStr">
        <is>
          <t>DKI Jakarta</t>
        </is>
      </c>
      <c r="Q36" t="inlineStr"/>
    </row>
    <row r="37">
      <c r="A37" t="inlineStr">
        <is>
          <t>CAHAYA KASIH BUNDA</t>
        </is>
      </c>
      <c r="B37" t="inlineStr">
        <is>
          <t>Kab. Banyuwangi</t>
        </is>
      </c>
      <c r="C37" t="inlineStr">
        <is>
          <t>0895411079391</t>
        </is>
      </c>
      <c r="D37" t="inlineStr">
        <is>
          <t>cahayakasihbunga@yahoo.com</t>
        </is>
      </c>
      <c r="E37" t="inlineStr">
        <is>
          <t>https://lpjk.pu.go.id/search-badan-usaha-detail/UDl0QTF1OUxOaDJGWTIydHUvTUcrZz09</t>
        </is>
      </c>
      <c r="F37" t="n">
        <v>2</v>
      </c>
      <c r="G37" t="inlineStr">
        <is>
          <t>BS001, BS004</t>
        </is>
      </c>
      <c r="H37" t="inlineStr">
        <is>
          <t>15 April 2021</t>
        </is>
      </c>
      <c r="I37" s="2" t="n">
        <v>46339</v>
      </c>
      <c r="J37" t="inlineStr">
        <is>
          <t>Disetujui</t>
        </is>
      </c>
      <c r="K37" t="n">
        <v>87</v>
      </c>
      <c r="L37" t="inlineStr">
        <is>
          <t>13 November 2026</t>
        </is>
      </c>
      <c r="M37" t="inlineStr">
        <is>
          <t>Konstruksi Bangunan Sipil Jalan, Konstruksi Jaringan Irigasi dan Drainase</t>
        </is>
      </c>
      <c r="N37" t="inlineStr">
        <is>
          <t>K</t>
        </is>
      </c>
      <c r="O37" t="inlineStr">
        <is>
          <t>20231113</t>
        </is>
      </c>
      <c r="P37" t="inlineStr">
        <is>
          <t>Jawa Timur</t>
        </is>
      </c>
      <c r="Q37" t="inlineStr"/>
    </row>
    <row r="38">
      <c r="A38" t="inlineStr">
        <is>
          <t>CAHAYA TARIM</t>
        </is>
      </c>
      <c r="B38" t="inlineStr">
        <is>
          <t>Kab. Balangan</t>
        </is>
      </c>
      <c r="C38" t="inlineStr">
        <is>
          <t>081255589094</t>
        </is>
      </c>
      <c r="D38" t="inlineStr">
        <is>
          <t>cahayatarim88@gmail.com</t>
        </is>
      </c>
      <c r="E38" t="inlineStr">
        <is>
          <t>https://lpjk.pu.go.id/search-badan-usaha-detail/M2V6dUxCZmo1NmVnN1M4WmIxTElkQT09</t>
        </is>
      </c>
      <c r="F38" t="n">
        <v>4</v>
      </c>
      <c r="G38" t="inlineStr">
        <is>
          <t>BG009, BS002, BS004, BS010</t>
        </is>
      </c>
      <c r="H38" t="inlineStr">
        <is>
          <t>6 Mei 2010</t>
        </is>
      </c>
      <c r="I38" s="2" t="n">
        <v>46339</v>
      </c>
      <c r="J38" t="inlineStr">
        <is>
          <t>Disetujui, Pencabutan</t>
        </is>
      </c>
      <c r="K38" t="n">
        <v>87</v>
      </c>
      <c r="L38" t="inlineStr">
        <is>
          <t>13 November 2026</t>
        </is>
      </c>
      <c r="M38" t="inlineStr">
        <is>
          <t>Bangunan Sipil Jembatan, Jalan Layang, Fly Over, dan Underpass, Konstruksi Bangunan Prasarana Sumber Daya Air, Konstruksi Gedung Lainnya, Konstruksi Jaringan Irigasi dan Drainase</t>
        </is>
      </c>
      <c r="N38" t="inlineStr">
        <is>
          <t>K</t>
        </is>
      </c>
      <c r="O38" t="inlineStr">
        <is>
          <t>20231107</t>
        </is>
      </c>
      <c r="P38" t="inlineStr">
        <is>
          <t>Kalimantan Selatan</t>
        </is>
      </c>
      <c r="Q38" t="inlineStr"/>
    </row>
    <row r="39">
      <c r="A39" t="inlineStr">
        <is>
          <t>CHELSI PERDANA</t>
        </is>
      </c>
      <c r="B39" t="inlineStr">
        <is>
          <t>Kab. Morowali Utara</t>
        </is>
      </c>
      <c r="C39" t="inlineStr">
        <is>
          <t>082188356867</t>
        </is>
      </c>
      <c r="D39" t="inlineStr">
        <is>
          <t>cvchelsiperdana26@gmail.com</t>
        </is>
      </c>
      <c r="E39" t="inlineStr">
        <is>
          <t>https://lpjk.pu.go.id/search-badan-usaha-detail/WXdXWk8zUWE1TjdNNHlZajNzQ1U2Zz09</t>
        </is>
      </c>
      <c r="F39" t="n">
        <v>3</v>
      </c>
      <c r="G39" t="inlineStr">
        <is>
          <t>BG001, BG005, BG006</t>
        </is>
      </c>
      <c r="H39" t="inlineStr">
        <is>
          <t>9 Mei 2019</t>
        </is>
      </c>
      <c r="I39" s="2" t="n">
        <v>46339</v>
      </c>
      <c r="J39" t="inlineStr">
        <is>
          <t>Disetujui</t>
        </is>
      </c>
      <c r="K39" t="n">
        <v>87</v>
      </c>
      <c r="L39" t="inlineStr">
        <is>
          <t>13 November 2026</t>
        </is>
      </c>
      <c r="M39" t="inlineStr">
        <is>
          <t>Konstruksi Gedung Hunian, Konstruksi Gedung Kesehatan, Konstruksi Gedung Pendidikan</t>
        </is>
      </c>
      <c r="N39" t="inlineStr">
        <is>
          <t>K</t>
        </is>
      </c>
      <c r="O39" t="inlineStr">
        <is>
          <t>20231110</t>
        </is>
      </c>
      <c r="P39" t="inlineStr">
        <is>
          <t>Sulawesi Tengah</t>
        </is>
      </c>
      <c r="Q39" t="inlineStr"/>
    </row>
    <row r="40">
      <c r="A40" t="inlineStr">
        <is>
          <t>CIPTA BANGUN NUSANTARA</t>
        </is>
      </c>
      <c r="B40" t="inlineStr">
        <is>
          <t>Kota Sukabumi</t>
        </is>
      </c>
      <c r="C40" t="inlineStr">
        <is>
          <t>02666247273</t>
        </is>
      </c>
      <c r="D40" t="inlineStr">
        <is>
          <t>information@cbn-epcm.com</t>
        </is>
      </c>
      <c r="E40" t="inlineStr">
        <is>
          <t>https://lpjk.pu.go.id/search-badan-usaha-detail/eWUwSjhrVVFGaytzYWd6aFFJVThIWnVMM1cramVEcno5bzh6WlQ4NzdBND0</t>
        </is>
      </c>
      <c r="F40" t="n">
        <v>2</v>
      </c>
      <c r="G40" t="inlineStr">
        <is>
          <t>ST008</t>
        </is>
      </c>
      <c r="H40" t="inlineStr">
        <is>
          <t>24 Februari 2023</t>
        </is>
      </c>
      <c r="I40" s="2" t="n">
        <v>46339</v>
      </c>
      <c r="J40" t="inlineStr">
        <is>
          <t>Disetujui</t>
        </is>
      </c>
      <c r="K40" t="n">
        <v>87</v>
      </c>
      <c r="L40" t="inlineStr">
        <is>
          <t>13 November 2026</t>
        </is>
      </c>
      <c r="M40" t="inlineStr">
        <is>
          <t>Konstruksi Bangunan Sipil Panas Bumi</t>
        </is>
      </c>
      <c r="N40" t="inlineStr">
        <is>
          <t>B</t>
        </is>
      </c>
      <c r="O40" t="inlineStr">
        <is>
          <t>20220127</t>
        </is>
      </c>
      <c r="P40" t="inlineStr">
        <is>
          <t>Jawa Barat</t>
        </is>
      </c>
      <c r="Q40" t="inlineStr"/>
    </row>
    <row r="41">
      <c r="A41" t="inlineStr">
        <is>
          <t>CIPTA DYTAMA</t>
        </is>
      </c>
      <c r="B41" t="inlineStr">
        <is>
          <t>Kota Surabaya</t>
        </is>
      </c>
      <c r="C41" t="inlineStr">
        <is>
          <t>08133639417</t>
        </is>
      </c>
      <c r="D41" t="inlineStr">
        <is>
          <t>cvciptadytama2@outlook.com</t>
        </is>
      </c>
      <c r="E41" t="inlineStr">
        <is>
          <t>https://lpjk.pu.go.id/search-badan-usaha-detail/R2J2ckFGS0FodjJPQ3RVU3QrcVRyZz09</t>
        </is>
      </c>
      <c r="F41" t="n">
        <v>4</v>
      </c>
      <c r="G41" t="inlineStr">
        <is>
          <t>BG003, BG009</t>
        </is>
      </c>
      <c r="H41" t="inlineStr">
        <is>
          <t>28 September 1995</t>
        </is>
      </c>
      <c r="I41" s="2" t="n">
        <v>46339</v>
      </c>
      <c r="J41" t="inlineStr">
        <is>
          <t>Disetujui</t>
        </is>
      </c>
      <c r="K41" t="n">
        <v>87</v>
      </c>
      <c r="L41" t="inlineStr">
        <is>
          <t>13 November 2026</t>
        </is>
      </c>
      <c r="M41" t="inlineStr">
        <is>
          <t>Konstruksi Gedung Industri, Konstruksi Gedung Lainnya</t>
        </is>
      </c>
      <c r="N41" t="inlineStr">
        <is>
          <t>K</t>
        </is>
      </c>
      <c r="O41" t="inlineStr">
        <is>
          <t>20231110</t>
        </is>
      </c>
      <c r="P41" t="inlineStr">
        <is>
          <t>Jawa Timur</t>
        </is>
      </c>
      <c r="Q41" t="inlineStr"/>
    </row>
    <row r="42">
      <c r="A42" t="inlineStr">
        <is>
          <t>CIPTA KARSA BUMI LESTARI</t>
        </is>
      </c>
      <c r="B42" t="inlineStr">
        <is>
          <t>Kota Surabaya</t>
        </is>
      </c>
      <c r="C42" t="inlineStr">
        <is>
          <t>0318280593</t>
        </is>
      </c>
      <c r="D42" t="inlineStr">
        <is>
          <t>ptcipta2006_sing@yahoo.com</t>
        </is>
      </c>
      <c r="E42" t="inlineStr">
        <is>
          <t>https://lpjk.pu.go.id/search-badan-usaha-detail/azNJNzJ5K3JaSGNWcjA3Zi9kYXNhdz09</t>
        </is>
      </c>
      <c r="F42" t="n">
        <v>2</v>
      </c>
      <c r="G42" t="inlineStr">
        <is>
          <t>BS001</t>
        </is>
      </c>
      <c r="H42" t="inlineStr">
        <is>
          <t>4 Oktober 1999</t>
        </is>
      </c>
      <c r="I42" s="2" t="n">
        <v>46339</v>
      </c>
      <c r="J42" t="inlineStr">
        <is>
          <t>Disetujui</t>
        </is>
      </c>
      <c r="K42" t="n">
        <v>87</v>
      </c>
      <c r="L42" t="inlineStr">
        <is>
          <t>13 November 2026</t>
        </is>
      </c>
      <c r="M42" t="inlineStr">
        <is>
          <t>Konstruksi Bangunan Sipil Jalan</t>
        </is>
      </c>
      <c r="N42" t="inlineStr">
        <is>
          <t>M</t>
        </is>
      </c>
      <c r="O42" t="inlineStr">
        <is>
          <t>20231109</t>
        </is>
      </c>
      <c r="P42" t="inlineStr">
        <is>
          <t>Jawa Timur</t>
        </is>
      </c>
      <c r="Q42" t="inlineStr"/>
    </row>
    <row r="43">
      <c r="A43" t="inlineStr">
        <is>
          <t>CIPTA MULTI KONSTRUKSINDO</t>
        </is>
      </c>
      <c r="B43" t="inlineStr">
        <is>
          <t>Kab. Malang</t>
        </is>
      </c>
      <c r="C43" t="inlineStr">
        <is>
          <t>03413021118</t>
        </is>
      </c>
      <c r="D43" t="inlineStr">
        <is>
          <t>ciptamultikonstruksindo@gmail.com</t>
        </is>
      </c>
      <c r="E43" t="inlineStr">
        <is>
          <t>https://lpjk.pu.go.id/search-badan-usaha-detail/RmhrdWVjYnlMVVZDbEUvaUh5RjNXUT09</t>
        </is>
      </c>
      <c r="F43" t="n">
        <v>4</v>
      </c>
      <c r="G43" t="inlineStr">
        <is>
          <t>BG001, BG002, BG005, BG009</t>
        </is>
      </c>
      <c r="H43" t="inlineStr">
        <is>
          <t>22 Juni 2012</t>
        </is>
      </c>
      <c r="I43" s="2" t="n">
        <v>46339</v>
      </c>
      <c r="J43" t="inlineStr">
        <is>
          <t>Disetujui</t>
        </is>
      </c>
      <c r="K43" t="n">
        <v>87</v>
      </c>
      <c r="L43" t="inlineStr">
        <is>
          <t>13 November 2026</t>
        </is>
      </c>
      <c r="M43" t="inlineStr">
        <is>
          <t>Konstruksi Gedung Hunian, Konstruksi Gedung Kesehatan, Konstruksi Gedung Lainnya, Konstruksi Gedung Perkantoran</t>
        </is>
      </c>
      <c r="N43" t="inlineStr">
        <is>
          <t>K</t>
        </is>
      </c>
      <c r="O43" t="inlineStr">
        <is>
          <t>20231111</t>
        </is>
      </c>
      <c r="P43" t="inlineStr">
        <is>
          <t>Jawa Timur</t>
        </is>
      </c>
      <c r="Q43" t="inlineStr"/>
    </row>
    <row r="44">
      <c r="A44" t="inlineStr">
        <is>
          <t>DAS KONSTRUKSI NUSANTARA</t>
        </is>
      </c>
      <c r="B44" t="inlineStr">
        <is>
          <t>Kota Makassar</t>
        </is>
      </c>
      <c r="C44" t="inlineStr">
        <is>
          <t>085242259296</t>
        </is>
      </c>
      <c r="D44" t="inlineStr">
        <is>
          <t>pt.dask@yahoo.com</t>
        </is>
      </c>
      <c r="E44" t="inlineStr">
        <is>
          <t>https://lpjk.pu.go.id/search-badan-usaha-detail/cHQ0TXpHMVMxZC9SZC9xM2hOY3NGdz09</t>
        </is>
      </c>
      <c r="F44" t="n">
        <v>2</v>
      </c>
      <c r="G44" t="inlineStr">
        <is>
          <t>BS004, BS010</t>
        </is>
      </c>
      <c r="H44" t="inlineStr">
        <is>
          <t>24 April 2012</t>
        </is>
      </c>
      <c r="I44" s="2" t="n">
        <v>46339</v>
      </c>
      <c r="J44" t="inlineStr">
        <is>
          <t>Pembekuan, Pencabutan</t>
        </is>
      </c>
      <c r="K44" t="n">
        <v>87</v>
      </c>
      <c r="L44" t="inlineStr">
        <is>
          <t>13 November 2026</t>
        </is>
      </c>
      <c r="M44" t="inlineStr">
        <is>
          <t>Konstruksi Bangunan Prasarana Sumber Daya Air, Konstruksi Jaringan Irigasi dan Drainase</t>
        </is>
      </c>
      <c r="N44" t="inlineStr">
        <is>
          <t>M</t>
        </is>
      </c>
      <c r="O44" t="inlineStr">
        <is>
          <t>20231113, 20231114</t>
        </is>
      </c>
      <c r="P44" t="inlineStr">
        <is>
          <t>Sulawesi Selatan</t>
        </is>
      </c>
      <c r="Q44" t="inlineStr"/>
    </row>
    <row r="45">
      <c r="A45" t="inlineStr">
        <is>
          <t>DEMIX JAYA UTAMA</t>
        </is>
      </c>
      <c r="B45" t="inlineStr">
        <is>
          <t>Kab. Sukabumi</t>
        </is>
      </c>
      <c r="C45" t="inlineStr">
        <is>
          <t>085659404222</t>
        </is>
      </c>
      <c r="D45" t="inlineStr">
        <is>
          <t>pt_demix@yahoo.co.id</t>
        </is>
      </c>
      <c r="E45" t="inlineStr">
        <is>
          <t>https://lpjk.pu.go.id/search-badan-usaha-detail/L0NBR2lCeFprK1JCQ0kvakhSNGorZz09</t>
        </is>
      </c>
      <c r="F45" t="n">
        <v>2</v>
      </c>
      <c r="G45" t="inlineStr">
        <is>
          <t>BS010</t>
        </is>
      </c>
      <c r="H45" t="inlineStr">
        <is>
          <t>3 Februari 2003</t>
        </is>
      </c>
      <c r="I45" s="2" t="n">
        <v>46339</v>
      </c>
      <c r="J45" t="inlineStr">
        <is>
          <t>Pencabutan</t>
        </is>
      </c>
      <c r="K45" t="n">
        <v>87</v>
      </c>
      <c r="L45" t="inlineStr">
        <is>
          <t>13 November 2026</t>
        </is>
      </c>
      <c r="M45" t="inlineStr">
        <is>
          <t>Konstruksi Bangunan Prasarana Sumber Daya Air</t>
        </is>
      </c>
      <c r="N45" t="inlineStr">
        <is>
          <t>M</t>
        </is>
      </c>
      <c r="O45" t="inlineStr">
        <is>
          <t>20230224</t>
        </is>
      </c>
      <c r="P45" t="inlineStr">
        <is>
          <t>Jawa Barat</t>
        </is>
      </c>
      <c r="Q45" t="inlineStr"/>
    </row>
    <row r="46">
      <c r="A46" t="inlineStr">
        <is>
          <t>DIRKA JAYA MANDIRI</t>
        </is>
      </c>
      <c r="B46" t="inlineStr">
        <is>
          <t>Kab. Tasikmalaya</t>
        </is>
      </c>
      <c r="C46" t="inlineStr">
        <is>
          <t>085220800648</t>
        </is>
      </c>
      <c r="D46" t="inlineStr">
        <is>
          <t>dirkajaya2000@gmail.com</t>
        </is>
      </c>
      <c r="E46" t="inlineStr">
        <is>
          <t>https://lpjk.pu.go.id/search-badan-usaha-detail/YVlCdkI4YWE0M2lMQmZQV1h4eDlYZz09</t>
        </is>
      </c>
      <c r="F46" t="n">
        <v>2</v>
      </c>
      <c r="G46" t="inlineStr">
        <is>
          <t>BS001, BS004</t>
        </is>
      </c>
      <c r="H46" t="inlineStr">
        <is>
          <t>13 September 2019</t>
        </is>
      </c>
      <c r="I46" s="2" t="n">
        <v>46339</v>
      </c>
      <c r="J46" t="inlineStr">
        <is>
          <t>Disetujui</t>
        </is>
      </c>
      <c r="K46" t="n">
        <v>87</v>
      </c>
      <c r="L46" t="inlineStr">
        <is>
          <t>13 November 2026</t>
        </is>
      </c>
      <c r="M46" t="inlineStr">
        <is>
          <t>Konstruksi Bangunan Sipil Jalan, Konstruksi Jaringan Irigasi dan Drainase</t>
        </is>
      </c>
      <c r="N46" t="inlineStr">
        <is>
          <t>K</t>
        </is>
      </c>
      <c r="O46" t="inlineStr">
        <is>
          <t>20231113</t>
        </is>
      </c>
      <c r="P46" t="inlineStr">
        <is>
          <t>Jawa Barat</t>
        </is>
      </c>
      <c r="Q46" t="inlineStr"/>
    </row>
    <row r="47">
      <c r="A47" t="inlineStr">
        <is>
          <t>DWIFA MULYA</t>
        </is>
      </c>
      <c r="B47" t="inlineStr">
        <is>
          <t>Kab. Kuningan</t>
        </is>
      </c>
      <c r="C47" t="inlineStr">
        <is>
          <t>085324437015</t>
        </is>
      </c>
      <c r="D47" t="inlineStr">
        <is>
          <t>dwifamulyadiding@yahoo.com</t>
        </is>
      </c>
      <c r="E47" t="inlineStr">
        <is>
          <t>https://lpjk.pu.go.id/search-badan-usaha-detail/c05lNFh1RnJ1TUx1dno0NFFCS1VQdz09</t>
        </is>
      </c>
      <c r="F47" t="n">
        <v>1</v>
      </c>
      <c r="G47" t="inlineStr">
        <is>
          <t>BG005</t>
        </is>
      </c>
      <c r="H47" t="inlineStr">
        <is>
          <t>13 Januari 2004</t>
        </is>
      </c>
      <c r="I47" s="2" t="n">
        <v>46339</v>
      </c>
      <c r="J47" t="inlineStr">
        <is>
          <t>Disetujui</t>
        </is>
      </c>
      <c r="K47" t="n">
        <v>87</v>
      </c>
      <c r="L47" t="inlineStr">
        <is>
          <t>13 November 2026</t>
        </is>
      </c>
      <c r="M47" t="inlineStr">
        <is>
          <t>Konstruksi Gedung Kesehatan</t>
        </is>
      </c>
      <c r="N47" t="inlineStr">
        <is>
          <t>K</t>
        </is>
      </c>
      <c r="O47" t="inlineStr">
        <is>
          <t>20231110</t>
        </is>
      </c>
      <c r="P47" t="inlineStr">
        <is>
          <t>Jawa Barat</t>
        </is>
      </c>
      <c r="Q47" t="inlineStr"/>
    </row>
    <row r="48">
      <c r="A48" t="inlineStr">
        <is>
          <t>ENERGI PERKASA CAKRAWALA</t>
        </is>
      </c>
      <c r="B48" t="inlineStr">
        <is>
          <t>Kota Adm. Jakarta Selatan</t>
        </is>
      </c>
      <c r="C48" t="inlineStr">
        <is>
          <t>0217655858</t>
        </is>
      </c>
      <c r="D48" t="inlineStr">
        <is>
          <t>energiperkasacakrawala999@gmail.com</t>
        </is>
      </c>
      <c r="E48" t="inlineStr">
        <is>
          <t>https://lpjk.pu.go.id/search-badan-usaha-detail/N3Q3c2lYNnExZm1IREluQ3l0cEhCUT09</t>
        </is>
      </c>
      <c r="F48" t="n">
        <v>1</v>
      </c>
      <c r="G48" t="inlineStr">
        <is>
          <t>BS007</t>
        </is>
      </c>
      <c r="H48" t="inlineStr">
        <is>
          <t>15 Juni 2017</t>
        </is>
      </c>
      <c r="I48" s="2" t="n">
        <v>46339</v>
      </c>
      <c r="J48" t="inlineStr">
        <is>
          <t>Disetujui</t>
        </is>
      </c>
      <c r="K48" t="n">
        <v>87</v>
      </c>
      <c r="L48" t="inlineStr">
        <is>
          <t>13 November 2026</t>
        </is>
      </c>
      <c r="M48" t="inlineStr">
        <is>
          <t>Konstruksi Bangunan Sipil Elektrikal</t>
        </is>
      </c>
      <c r="N48" t="inlineStr">
        <is>
          <t>K</t>
        </is>
      </c>
      <c r="O48" t="inlineStr">
        <is>
          <t>20231107</t>
        </is>
      </c>
      <c r="P48" t="inlineStr">
        <is>
          <t>DKI Jakarta</t>
        </is>
      </c>
      <c r="Q48" t="inlineStr"/>
    </row>
    <row r="49">
      <c r="A49" t="inlineStr">
        <is>
          <t>FIRDAUS JAYA ABADI</t>
        </is>
      </c>
      <c r="B49" t="inlineStr">
        <is>
          <t>Kab. Lampung Tengah</t>
        </is>
      </c>
      <c r="C49" t="inlineStr">
        <is>
          <t>082183976299</t>
        </is>
      </c>
      <c r="D49" t="inlineStr">
        <is>
          <t>firdausjayaabadi74@gmail.com</t>
        </is>
      </c>
      <c r="E49" t="inlineStr">
        <is>
          <t>https://lpjk.pu.go.id/search-badan-usaha-detail/QTV6OFlzcStGZGhLYnlBTjRvaVNEUT09</t>
        </is>
      </c>
      <c r="F49" t="n">
        <v>2</v>
      </c>
      <c r="G49" t="inlineStr">
        <is>
          <t>BG009</t>
        </is>
      </c>
      <c r="H49" t="inlineStr">
        <is>
          <t>13 Februari 2008</t>
        </is>
      </c>
      <c r="I49" s="2" t="n">
        <v>46339</v>
      </c>
      <c r="J49" t="inlineStr">
        <is>
          <t>Disetujui</t>
        </is>
      </c>
      <c r="K49" t="n">
        <v>87</v>
      </c>
      <c r="L49" t="inlineStr">
        <is>
          <t>13 November 2026</t>
        </is>
      </c>
      <c r="M49" t="inlineStr">
        <is>
          <t>Konstruksi Gedung Lainnya</t>
        </is>
      </c>
      <c r="N49" t="inlineStr">
        <is>
          <t>K</t>
        </is>
      </c>
      <c r="O49" t="inlineStr">
        <is>
          <t>20231112</t>
        </is>
      </c>
      <c r="P49" t="inlineStr">
        <is>
          <t>Lampung</t>
        </is>
      </c>
      <c r="Q49" t="inlineStr"/>
    </row>
    <row r="50">
      <c r="A50" t="inlineStr">
        <is>
          <t>FREYA JAYA MANDIRI</t>
        </is>
      </c>
      <c r="B50" t="inlineStr">
        <is>
          <t>Kota Kendari</t>
        </is>
      </c>
      <c r="C50" t="inlineStr">
        <is>
          <t>085241612951</t>
        </is>
      </c>
      <c r="D50" t="inlineStr">
        <is>
          <t>freyajayamandiri@gmail.com</t>
        </is>
      </c>
      <c r="E50" t="inlineStr">
        <is>
          <t>https://lpjk.pu.go.id/search-badan-usaha-detail/NWVOSDFuQ0UrdVlCdnhGV0s5MGlwQT09</t>
        </is>
      </c>
      <c r="F50" t="n">
        <v>1</v>
      </c>
      <c r="G50" t="inlineStr">
        <is>
          <t>BS005</t>
        </is>
      </c>
      <c r="H50" t="inlineStr">
        <is>
          <t>15 Juni 2017</t>
        </is>
      </c>
      <c r="I50" s="2" t="n">
        <v>46339</v>
      </c>
      <c r="J50" t="inlineStr">
        <is>
          <t>Disetujui</t>
        </is>
      </c>
      <c r="K50" t="n">
        <v>87</v>
      </c>
      <c r="L50" t="inlineStr">
        <is>
          <t>13 November 2026</t>
        </is>
      </c>
      <c r="M50" t="inlineStr">
        <is>
          <t>Konstruksi Bangunan Sipil Pengolahan Air Bersih</t>
        </is>
      </c>
      <c r="N50" t="inlineStr">
        <is>
          <t>K</t>
        </is>
      </c>
      <c r="O50" t="inlineStr">
        <is>
          <t>20231112</t>
        </is>
      </c>
      <c r="P50" t="inlineStr">
        <is>
          <t>Sulawesi Tenggara</t>
        </is>
      </c>
      <c r="Q50" t="inlineStr"/>
    </row>
    <row r="51">
      <c r="A51" t="inlineStr">
        <is>
          <t>GAY MELANDIS DEVELOPMENT</t>
        </is>
      </c>
      <c r="B51" t="inlineStr">
        <is>
          <t>Kab. Cianjur</t>
        </is>
      </c>
      <c r="C51" t="inlineStr">
        <is>
          <t>085863520900</t>
        </is>
      </c>
      <c r="D51" t="inlineStr">
        <is>
          <t>gmd.cianjur@gmail.com</t>
        </is>
      </c>
      <c r="E51" t="inlineStr">
        <is>
          <t>https://lpjk.pu.go.id/search-badan-usaha-detail/QjJtTE81ZEFlVEVZa1NNcW9ZRlpHdz09</t>
        </is>
      </c>
      <c r="F51" t="n">
        <v>1</v>
      </c>
      <c r="G51" t="inlineStr">
        <is>
          <t>BG009</t>
        </is>
      </c>
      <c r="H51" t="inlineStr">
        <is>
          <t>23 Oktober 1986</t>
        </is>
      </c>
      <c r="I51" s="2" t="n">
        <v>46339</v>
      </c>
      <c r="J51" t="inlineStr">
        <is>
          <t>Disetujui</t>
        </is>
      </c>
      <c r="K51" t="n">
        <v>87</v>
      </c>
      <c r="L51" t="inlineStr">
        <is>
          <t>13 November 2026</t>
        </is>
      </c>
      <c r="M51" t="inlineStr">
        <is>
          <t>Konstruksi Gedung Lainnya</t>
        </is>
      </c>
      <c r="N51" t="inlineStr">
        <is>
          <t>K</t>
        </is>
      </c>
      <c r="O51" t="inlineStr">
        <is>
          <t>20231113</t>
        </is>
      </c>
      <c r="P51" t="inlineStr">
        <is>
          <t>Jawa Barat</t>
        </is>
      </c>
      <c r="Q51" t="inlineStr"/>
    </row>
    <row r="52">
      <c r="A52" t="inlineStr">
        <is>
          <t>GENTA MULTI JAYYA</t>
        </is>
      </c>
      <c r="B52" t="inlineStr">
        <is>
          <t>Kota Semarang</t>
        </is>
      </c>
      <c r="C52" t="inlineStr">
        <is>
          <t>0243588766</t>
        </is>
      </c>
      <c r="D52" t="inlineStr">
        <is>
          <t>pt.gentamultijaya@gmail.com</t>
        </is>
      </c>
      <c r="E52" t="inlineStr">
        <is>
          <t>https://lpjk.pu.go.id/search-badan-usaha-detail/S2lrR1FtMk9qZEYxcWxEYnhBcXh6QT09</t>
        </is>
      </c>
      <c r="F52" t="n">
        <v>2</v>
      </c>
      <c r="G52" t="inlineStr">
        <is>
          <t>BS001, BS004</t>
        </is>
      </c>
      <c r="H52" t="inlineStr">
        <is>
          <t>5 November 2018</t>
        </is>
      </c>
      <c r="I52" s="2" t="n">
        <v>46339</v>
      </c>
      <c r="J52" t="inlineStr">
        <is>
          <t>Disetujui, Pencabutan</t>
        </is>
      </c>
      <c r="K52" t="n">
        <v>87</v>
      </c>
      <c r="L52" t="inlineStr">
        <is>
          <t>13 November 2026</t>
        </is>
      </c>
      <c r="M52" t="inlineStr">
        <is>
          <t>Konstruksi Bangunan Sipil Jalan, Konstruksi Jaringan Irigasi dan Drainase</t>
        </is>
      </c>
      <c r="N52" t="inlineStr">
        <is>
          <t>K</t>
        </is>
      </c>
      <c r="O52" t="inlineStr">
        <is>
          <t>20231111</t>
        </is>
      </c>
      <c r="P52" t="inlineStr">
        <is>
          <t>Jawa Tengah</t>
        </is>
      </c>
      <c r="Q52" t="inlineStr"/>
    </row>
    <row r="53">
      <c r="A53" t="inlineStr">
        <is>
          <t>GILANG BANGUN KARYA</t>
        </is>
      </c>
      <c r="B53" t="inlineStr">
        <is>
          <t>Kab. Banjarnegara</t>
        </is>
      </c>
      <c r="C53" t="inlineStr">
        <is>
          <t>081226844220</t>
        </is>
      </c>
      <c r="D53" t="inlineStr">
        <is>
          <t>gilangbangunk@yahoo.com</t>
        </is>
      </c>
      <c r="E53" t="inlineStr">
        <is>
          <t>https://lpjk.pu.go.id/search-badan-usaha-detail/VWFPVCtyeGlPR0xJOVlESVlHOTZHUT09</t>
        </is>
      </c>
      <c r="F53" t="n">
        <v>1</v>
      </c>
      <c r="G53" t="inlineStr">
        <is>
          <t>BG009</t>
        </is>
      </c>
      <c r="H53" t="inlineStr">
        <is>
          <t>24 September 2002</t>
        </is>
      </c>
      <c r="I53" s="2" t="n">
        <v>46339</v>
      </c>
      <c r="J53" t="inlineStr">
        <is>
          <t>Pencabutan</t>
        </is>
      </c>
      <c r="K53" t="n">
        <v>87</v>
      </c>
      <c r="L53" t="inlineStr">
        <is>
          <t>13 November 2026</t>
        </is>
      </c>
      <c r="M53" t="inlineStr">
        <is>
          <t>Konstruksi Gedung Lainnya</t>
        </is>
      </c>
      <c r="N53" t="inlineStr">
        <is>
          <t>K</t>
        </is>
      </c>
      <c r="O53" t="inlineStr">
        <is>
          <t>20231103</t>
        </is>
      </c>
      <c r="P53" t="inlineStr">
        <is>
          <t>Jawa Tengah</t>
        </is>
      </c>
      <c r="Q53" t="inlineStr"/>
    </row>
    <row r="54">
      <c r="A54" t="inlineStr">
        <is>
          <t>GRIYA PERSADA ENGINEERING</t>
        </is>
      </c>
      <c r="B54" t="inlineStr">
        <is>
          <t>Kota Surabaya</t>
        </is>
      </c>
      <c r="C54" t="inlineStr">
        <is>
          <t>081331390957</t>
        </is>
      </c>
      <c r="D54" t="inlineStr">
        <is>
          <t>griyapersada.sby@gmail.com</t>
        </is>
      </c>
      <c r="E54" t="inlineStr">
        <is>
          <t>https://lpjk.pu.go.id/search-badan-usaha-detail/K1FuT3Z4aDZFdmN1djJsV0lObnFMZz09</t>
        </is>
      </c>
      <c r="F54" t="n">
        <v>2</v>
      </c>
      <c r="G54" t="inlineStr">
        <is>
          <t>RK001, RK002</t>
        </is>
      </c>
      <c r="H54" t="inlineStr">
        <is>
          <t>4 April 2018</t>
        </is>
      </c>
      <c r="I54" s="2" t="n">
        <v>46339</v>
      </c>
      <c r="J54" t="inlineStr">
        <is>
          <t>Disetujui</t>
        </is>
      </c>
      <c r="K54" t="n">
        <v>87</v>
      </c>
      <c r="L54" t="inlineStr">
        <is>
          <t>13 November 2026</t>
        </is>
      </c>
      <c r="M54" t="inlineStr">
        <is>
          <t>Jasa Rekayasa Konstruksi Bangunan Gedung Hunian dan Non Hunian, Jasa Rekayasa Pekerjaan Teknik Sipil Sumber Daya Air</t>
        </is>
      </c>
      <c r="N54" t="inlineStr">
        <is>
          <t>K</t>
        </is>
      </c>
      <c r="O54" t="inlineStr">
        <is>
          <t>20231103</t>
        </is>
      </c>
      <c r="P54" t="inlineStr">
        <is>
          <t>Jawa Timur</t>
        </is>
      </c>
      <c r="Q54" t="inlineStr"/>
    </row>
    <row r="55">
      <c r="A55" t="inlineStr">
        <is>
          <t>HARAPAN JAYA KONSTRUKSI</t>
        </is>
      </c>
      <c r="B55" t="inlineStr">
        <is>
          <t>Kota Semarang</t>
        </is>
      </c>
      <c r="C55" t="inlineStr">
        <is>
          <t>81234234757</t>
        </is>
      </c>
      <c r="D55" t="inlineStr">
        <is>
          <t>hjkgroup@yahoo.com</t>
        </is>
      </c>
      <c r="E55" t="inlineStr">
        <is>
          <t>https://lpjk.pu.go.id/search-badan-usaha-detail/eHhidEhsR0R6ZCtIWjVSMStRY2t6dz09</t>
        </is>
      </c>
      <c r="F55" t="n">
        <v>3</v>
      </c>
      <c r="G55" t="inlineStr">
        <is>
          <t>BG004, BG006, BG009</t>
        </is>
      </c>
      <c r="H55" t="inlineStr">
        <is>
          <t>20 Januari 2010</t>
        </is>
      </c>
      <c r="I55" s="2" t="n">
        <v>46339</v>
      </c>
      <c r="J55" t="inlineStr">
        <is>
          <t>Disetujui</t>
        </is>
      </c>
      <c r="K55" t="n">
        <v>87</v>
      </c>
      <c r="L55" t="inlineStr">
        <is>
          <t>13 November 2026</t>
        </is>
      </c>
      <c r="M55" t="inlineStr">
        <is>
          <t>Konstruksi Gedung Lainnya, Konstruksi Gedung Pendidikan, Konstruksi Gedung Perbelanjaan</t>
        </is>
      </c>
      <c r="N55" t="inlineStr">
        <is>
          <t>K</t>
        </is>
      </c>
      <c r="O55" t="inlineStr">
        <is>
          <t>20231110, 20231114, 20231115</t>
        </is>
      </c>
      <c r="P55" t="inlineStr">
        <is>
          <t>Jawa Tengah</t>
        </is>
      </c>
      <c r="Q55" t="inlineStr"/>
    </row>
    <row r="56">
      <c r="A56" t="inlineStr">
        <is>
          <t>HASTARINDO</t>
        </is>
      </c>
      <c r="B56" t="inlineStr">
        <is>
          <t>Kota Adm. Jakarta Barat</t>
        </is>
      </c>
      <c r="C56" t="inlineStr">
        <is>
          <t>0215682420</t>
        </is>
      </c>
      <c r="D56" t="inlineStr">
        <is>
          <t>admin@hastarindo.com</t>
        </is>
      </c>
      <c r="E56" t="inlineStr">
        <is>
          <t>https://lpjk.pu.go.id/search-badan-usaha-detail/WUVaaGRVQTdCdkR3VUxIeE9PdEtQZz09</t>
        </is>
      </c>
      <c r="F56" t="n">
        <v>1</v>
      </c>
      <c r="G56" t="inlineStr">
        <is>
          <t>BG002</t>
        </is>
      </c>
      <c r="H56" t="inlineStr">
        <is>
          <t>25 Maret 2011</t>
        </is>
      </c>
      <c r="I56" s="2" t="n">
        <v>46339</v>
      </c>
      <c r="J56" t="inlineStr">
        <is>
          <t>Disetujui</t>
        </is>
      </c>
      <c r="K56" t="n">
        <v>87</v>
      </c>
      <c r="L56" t="inlineStr">
        <is>
          <t>13 November 2026</t>
        </is>
      </c>
      <c r="M56" t="inlineStr">
        <is>
          <t>Konstruksi Gedung Perkantoran</t>
        </is>
      </c>
      <c r="N56" t="inlineStr">
        <is>
          <t>K</t>
        </is>
      </c>
      <c r="O56" t="inlineStr">
        <is>
          <t>20231114</t>
        </is>
      </c>
      <c r="P56" t="inlineStr">
        <is>
          <t>DKI Jakarta</t>
        </is>
      </c>
      <c r="Q56" t="inlineStr"/>
    </row>
    <row r="57">
      <c r="A57" t="inlineStr">
        <is>
          <t>HYDRO TEKNO BESTARI</t>
        </is>
      </c>
      <c r="B57" t="inlineStr">
        <is>
          <t>Kota Adm. Jakarta Selatan</t>
        </is>
      </c>
      <c r="C57" t="inlineStr">
        <is>
          <t>02150812001</t>
        </is>
      </c>
      <c r="D57" t="inlineStr">
        <is>
          <t>hydroteknobestari@gmail.coom</t>
        </is>
      </c>
      <c r="E57" t="inlineStr">
        <is>
          <t>https://lpjk.pu.go.id/search-badan-usaha-detail/bnBSdk1DcS8rYjV6TkFhWEZsZTVzdz09</t>
        </is>
      </c>
      <c r="F57" t="n">
        <v>2</v>
      </c>
      <c r="G57" t="inlineStr">
        <is>
          <t>BS005, BS006</t>
        </is>
      </c>
      <c r="H57" t="inlineStr">
        <is>
          <t>30 April 2021</t>
        </is>
      </c>
      <c r="I57" s="2" t="n">
        <v>46339</v>
      </c>
      <c r="J57" t="inlineStr">
        <is>
          <t>Disetujui</t>
        </is>
      </c>
      <c r="K57" t="n">
        <v>87</v>
      </c>
      <c r="L57" t="inlineStr">
        <is>
          <t>13 November 2026</t>
        </is>
      </c>
      <c r="M57" t="inlineStr">
        <is>
          <t>Konstruksi Bangunan Sipil Pengolahan Air Bersih, Konstruksi Bangunan Sipil Prasarana dan Sarana Sistem Pengolahan Limbah Padat, Cair, dan Gas</t>
        </is>
      </c>
      <c r="N57" t="inlineStr">
        <is>
          <t>K</t>
        </is>
      </c>
      <c r="O57" t="inlineStr">
        <is>
          <t>20231111, 20231113</t>
        </is>
      </c>
      <c r="P57" t="inlineStr">
        <is>
          <t>DKI Jakarta</t>
        </is>
      </c>
      <c r="Q57" t="inlineStr"/>
    </row>
    <row r="58">
      <c r="A58" t="inlineStr">
        <is>
          <t>INAYA RASYA</t>
        </is>
      </c>
      <c r="B58" t="inlineStr">
        <is>
          <t>Kota Palangkaraya</t>
        </is>
      </c>
      <c r="C58" t="inlineStr">
        <is>
          <t>082125236364</t>
        </is>
      </c>
      <c r="D58" t="inlineStr">
        <is>
          <t>inayarasya.cv@gmail.com</t>
        </is>
      </c>
      <c r="E58" t="inlineStr">
        <is>
          <t>https://lpjk.pu.go.id/search-badan-usaha-detail/Z0VmWGw5bjMydGdSSjhna1A1WUtOQT09</t>
        </is>
      </c>
      <c r="F58" t="n">
        <v>6</v>
      </c>
      <c r="G58" t="inlineStr">
        <is>
          <t>BG001, BG002, BG005, BG006, BG009, BS001</t>
        </is>
      </c>
      <c r="H58" t="inlineStr">
        <is>
          <t>5 September 2014</t>
        </is>
      </c>
      <c r="I58" s="2" t="n">
        <v>46339</v>
      </c>
      <c r="J58" t="inlineStr">
        <is>
          <t>Disetujui</t>
        </is>
      </c>
      <c r="K58" t="n">
        <v>87</v>
      </c>
      <c r="L58" t="inlineStr">
        <is>
          <t>13 November 2026</t>
        </is>
      </c>
      <c r="M58" t="inlineStr">
        <is>
          <t>Konstruksi Bangunan Sipil Jalan, Konstruksi Gedung Hunian, Konstruksi Gedung Kesehatan, Konstruksi Gedung Lainnya, Konstruksi Gedung Pendidikan, Konstruksi Gedung Perkantoran</t>
        </is>
      </c>
      <c r="N58" t="inlineStr">
        <is>
          <t>K</t>
        </is>
      </c>
      <c r="O58" t="inlineStr">
        <is>
          <t>20231110, 20231113</t>
        </is>
      </c>
      <c r="P58" t="inlineStr">
        <is>
          <t>Kalimantan Tengah</t>
        </is>
      </c>
      <c r="Q58" t="inlineStr"/>
    </row>
    <row r="59">
      <c r="A59" t="inlineStr">
        <is>
          <t>INDIRAH</t>
        </is>
      </c>
      <c r="B59" t="inlineStr">
        <is>
          <t>Kab. Wajo</t>
        </is>
      </c>
      <c r="C59" t="inlineStr">
        <is>
          <t>085256212117</t>
        </is>
      </c>
      <c r="D59" t="inlineStr">
        <is>
          <t>cv.indirah@gmail.com</t>
        </is>
      </c>
      <c r="E59" t="inlineStr">
        <is>
          <t>https://lpjk.pu.go.id/search-badan-usaha-detail/R2ZFbzJVNjJtalNaK01veURiMFhOUT09</t>
        </is>
      </c>
      <c r="F59" t="n">
        <v>1</v>
      </c>
      <c r="G59" t="inlineStr">
        <is>
          <t>BG002</t>
        </is>
      </c>
      <c r="H59" t="inlineStr">
        <is>
          <t>12 April 2023</t>
        </is>
      </c>
      <c r="I59" s="2" t="n">
        <v>46339</v>
      </c>
      <c r="J59" t="inlineStr">
        <is>
          <t>Disetujui</t>
        </is>
      </c>
      <c r="K59" t="n">
        <v>87</v>
      </c>
      <c r="L59" t="inlineStr">
        <is>
          <t>13 November 2026</t>
        </is>
      </c>
      <c r="M59" t="inlineStr">
        <is>
          <t>Konstruksi Gedung Perkantoran</t>
        </is>
      </c>
      <c r="N59" t="inlineStr">
        <is>
          <t>K</t>
        </is>
      </c>
      <c r="O59" t="inlineStr">
        <is>
          <t>20231111</t>
        </is>
      </c>
      <c r="P59" t="inlineStr">
        <is>
          <t>Sulawesi Selatan</t>
        </is>
      </c>
      <c r="Q59" t="inlineStr"/>
    </row>
    <row r="60">
      <c r="A60" t="inlineStr">
        <is>
          <t>INDORAYA UTAMA KARYA</t>
        </is>
      </c>
      <c r="B60" t="inlineStr">
        <is>
          <t>Kab. Luwu Timur</t>
        </is>
      </c>
      <c r="C60" t="inlineStr">
        <is>
          <t>081241113649</t>
        </is>
      </c>
      <c r="D60" t="inlineStr">
        <is>
          <t>indor6896@gmail.com</t>
        </is>
      </c>
      <c r="E60" t="inlineStr">
        <is>
          <t>https://lpjk.pu.go.id/search-badan-usaha-detail/VFhpTVpQT05WZ0w4RU9DS2MvWHkyUT09</t>
        </is>
      </c>
      <c r="F60" t="n">
        <v>4</v>
      </c>
      <c r="G60" t="inlineStr">
        <is>
          <t>BS010, BS016</t>
        </is>
      </c>
      <c r="H60" t="inlineStr">
        <is>
          <t>27 Oktober 2023</t>
        </is>
      </c>
      <c r="I60" s="2" t="n">
        <v>46339</v>
      </c>
      <c r="J60" t="inlineStr">
        <is>
          <t>Disetujui</t>
        </is>
      </c>
      <c r="K60" t="n">
        <v>87</v>
      </c>
      <c r="L60" t="inlineStr">
        <is>
          <t>13 November 2026</t>
        </is>
      </c>
      <c r="M60" t="inlineStr">
        <is>
          <t>Konstruksi Bangunan Prasarana Sumber Daya Air, Konstruksi Bangunan Sipil Fasilitas Olah Raga</t>
        </is>
      </c>
      <c r="N60" t="inlineStr">
        <is>
          <t>K</t>
        </is>
      </c>
      <c r="O60" t="inlineStr">
        <is>
          <t>20231114</t>
        </is>
      </c>
      <c r="P60" t="inlineStr">
        <is>
          <t>Sulawesi Selatan</t>
        </is>
      </c>
      <c r="Q60" t="inlineStr"/>
    </row>
    <row r="61">
      <c r="A61" t="inlineStr">
        <is>
          <t>INTEGRAL KONSULTAN</t>
        </is>
      </c>
      <c r="B61" t="inlineStr">
        <is>
          <t>Kota Probolinggo</t>
        </is>
      </c>
      <c r="C61" t="inlineStr">
        <is>
          <t>081336763058</t>
        </is>
      </c>
      <c r="D61" t="inlineStr">
        <is>
          <t>integral.konsultan@gmail.com</t>
        </is>
      </c>
      <c r="E61" t="inlineStr">
        <is>
          <t>https://lpjk.pu.go.id/search-badan-usaha-detail/V0JwTkRVbkhRMm92aUtoYnRPUlIzQT09</t>
        </is>
      </c>
      <c r="F61" t="n">
        <v>3</v>
      </c>
      <c r="G61" t="inlineStr">
        <is>
          <t>RK001, RK002, RK003</t>
        </is>
      </c>
      <c r="H61" t="inlineStr">
        <is>
          <t>8 Agustus 2005</t>
        </is>
      </c>
      <c r="I61" s="2" t="n">
        <v>46339</v>
      </c>
      <c r="J61" t="inlineStr">
        <is>
          <t>Disetujui</t>
        </is>
      </c>
      <c r="K61" t="n">
        <v>87</v>
      </c>
      <c r="L61" t="inlineStr">
        <is>
          <t>13 November 2026</t>
        </is>
      </c>
      <c r="M61" t="inlineStr">
        <is>
          <t>Jasa Rekayasa Konstruksi Bangunan Gedung Hunian dan Non Hunian, Jasa Rekayasa Pekerjaan Teknik Sipil Sumber Daya Air, Jasa Rekayasa Pekerjaan Teknik Sipil Transportasi</t>
        </is>
      </c>
      <c r="N61" t="inlineStr">
        <is>
          <t>K</t>
        </is>
      </c>
      <c r="O61" t="inlineStr">
        <is>
          <t>20231019, 20231020</t>
        </is>
      </c>
      <c r="P61" t="inlineStr">
        <is>
          <t>Jawa Timur</t>
        </is>
      </c>
      <c r="Q61" t="inlineStr"/>
    </row>
    <row r="62">
      <c r="A62" t="inlineStr">
        <is>
          <t>JAGARNATAMA PUTRA MANDIRI</t>
        </is>
      </c>
      <c r="B62" t="inlineStr">
        <is>
          <t>Kota Padang</t>
        </is>
      </c>
      <c r="C62" t="inlineStr">
        <is>
          <t>085358618825</t>
        </is>
      </c>
      <c r="D62" t="inlineStr">
        <is>
          <t>jagarnatamaputram@gmail.com</t>
        </is>
      </c>
      <c r="E62" t="inlineStr">
        <is>
          <t>https://lpjk.pu.go.id/search-badan-usaha-detail/VkVqZllCSHVIUThRRkY3NkpBYmxMdz09</t>
        </is>
      </c>
      <c r="F62" t="n">
        <v>1</v>
      </c>
      <c r="G62" t="inlineStr">
        <is>
          <t>BG009</t>
        </is>
      </c>
      <c r="H62" t="inlineStr">
        <is>
          <t>14 Februari 2023</t>
        </is>
      </c>
      <c r="I62" s="2" t="n">
        <v>46339</v>
      </c>
      <c r="J62" t="inlineStr">
        <is>
          <t>Disetujui</t>
        </is>
      </c>
      <c r="K62" t="n">
        <v>87</v>
      </c>
      <c r="L62" t="inlineStr">
        <is>
          <t>13 November 2026</t>
        </is>
      </c>
      <c r="M62" t="inlineStr">
        <is>
          <t>Konstruksi Gedung Lainnya</t>
        </is>
      </c>
      <c r="N62" t="inlineStr">
        <is>
          <t>K</t>
        </is>
      </c>
      <c r="O62" t="inlineStr">
        <is>
          <t>20231113</t>
        </is>
      </c>
      <c r="P62" t="inlineStr">
        <is>
          <t>Sumatera Barat</t>
        </is>
      </c>
      <c r="Q62" t="inlineStr"/>
    </row>
    <row r="63">
      <c r="A63" t="inlineStr">
        <is>
          <t>JASA TEHNIK MANDIRI</t>
        </is>
      </c>
      <c r="B63" t="inlineStr">
        <is>
          <t>Kota Samarinda</t>
        </is>
      </c>
      <c r="C63" t="inlineStr">
        <is>
          <t>05417273786</t>
        </is>
      </c>
      <c r="D63" t="inlineStr">
        <is>
          <t>jastek_mandiri@yahoo.com</t>
        </is>
      </c>
      <c r="E63" t="inlineStr">
        <is>
          <t>https://lpjk.pu.go.id/search-badan-usaha-detail/Wkt2dm91Q2VwUjQ4WVhLcDVIb29xZz09</t>
        </is>
      </c>
      <c r="F63" t="n">
        <v>1</v>
      </c>
      <c r="G63" t="inlineStr">
        <is>
          <t>RK003</t>
        </is>
      </c>
      <c r="H63" t="inlineStr">
        <is>
          <t>23 Mei 2008</t>
        </is>
      </c>
      <c r="I63" s="2" t="n">
        <v>46339</v>
      </c>
      <c r="J63" t="inlineStr">
        <is>
          <t>Disetujui</t>
        </is>
      </c>
      <c r="K63" t="n">
        <v>87</v>
      </c>
      <c r="L63" t="inlineStr">
        <is>
          <t>13 November 2026</t>
        </is>
      </c>
      <c r="M63" t="inlineStr">
        <is>
          <t>Jasa Rekayasa Pekerjaan Teknik Sipil Transportasi</t>
        </is>
      </c>
      <c r="N63" t="inlineStr">
        <is>
          <t>M</t>
        </is>
      </c>
      <c r="O63" t="inlineStr">
        <is>
          <t>20231110</t>
        </is>
      </c>
      <c r="P63" t="inlineStr">
        <is>
          <t>Kalimantan Timur</t>
        </is>
      </c>
      <c r="Q63" t="inlineStr"/>
    </row>
    <row r="64">
      <c r="A64" t="inlineStr">
        <is>
          <t>JAYA INDO TAMA</t>
        </is>
      </c>
      <c r="B64" t="inlineStr">
        <is>
          <t>Kota Surabaya</t>
        </is>
      </c>
      <c r="C64" t="inlineStr">
        <is>
          <t>0318070536</t>
        </is>
      </c>
      <c r="D64" t="inlineStr">
        <is>
          <t>cvjayaindotama@gmail.com</t>
        </is>
      </c>
      <c r="E64" t="inlineStr">
        <is>
          <t>https://lpjk.pu.go.id/search-badan-usaha-detail/UFRZQnpmd0dQc3RRc3VzUnJoZDZFQT09</t>
        </is>
      </c>
      <c r="F64" t="n">
        <v>2</v>
      </c>
      <c r="G64" t="inlineStr">
        <is>
          <t>BG002, BG003</t>
        </is>
      </c>
      <c r="H64" t="inlineStr">
        <is>
          <t>5 Oktober 2016</t>
        </is>
      </c>
      <c r="I64" s="2" t="n">
        <v>46339</v>
      </c>
      <c r="J64" t="inlineStr">
        <is>
          <t>Disetujui</t>
        </is>
      </c>
      <c r="K64" t="n">
        <v>87</v>
      </c>
      <c r="L64" t="inlineStr">
        <is>
          <t>13 November 2026</t>
        </is>
      </c>
      <c r="M64" t="inlineStr">
        <is>
          <t>Konstruksi Gedung Industri, Konstruksi Gedung Perkantoran</t>
        </is>
      </c>
      <c r="N64" t="inlineStr">
        <is>
          <t>K</t>
        </is>
      </c>
      <c r="O64" t="inlineStr">
        <is>
          <t>20231109</t>
        </is>
      </c>
      <c r="P64" t="inlineStr">
        <is>
          <t>Jawa Timur</t>
        </is>
      </c>
      <c r="Q64" t="inlineStr"/>
    </row>
    <row r="65">
      <c r="A65" t="inlineStr">
        <is>
          <t>JAYA MANDIRI BERSAMA</t>
        </is>
      </c>
      <c r="B65" t="inlineStr">
        <is>
          <t>Kab. Penukal Abab Lematang</t>
        </is>
      </c>
      <c r="C65" t="inlineStr">
        <is>
          <t>082186114072</t>
        </is>
      </c>
      <c r="D65" t="inlineStr">
        <is>
          <t>cv.jayamandiribersama@gmail.com</t>
        </is>
      </c>
      <c r="E65" t="inlineStr">
        <is>
          <t>https://lpjk.pu.go.id/search-badan-usaha-detail/TEEraGJmSkpzUXpvRGFOVHRURXFSdz09</t>
        </is>
      </c>
      <c r="F65" t="n">
        <v>3</v>
      </c>
      <c r="G65" t="inlineStr">
        <is>
          <t>BG006, BS001, BS004</t>
        </is>
      </c>
      <c r="H65" t="inlineStr">
        <is>
          <t>26 April 2019</t>
        </is>
      </c>
      <c r="I65" s="2" t="n">
        <v>46339</v>
      </c>
      <c r="J65" t="inlineStr">
        <is>
          <t>Disetujui</t>
        </is>
      </c>
      <c r="K65" t="n">
        <v>87</v>
      </c>
      <c r="L65" t="inlineStr">
        <is>
          <t>13 November 2026</t>
        </is>
      </c>
      <c r="M65" t="inlineStr">
        <is>
          <t>Konstruksi Bangunan Sipil Jalan, Konstruksi Gedung Pendidikan, Konstruksi Jaringan Irigasi dan Drainase</t>
        </is>
      </c>
      <c r="N65" t="inlineStr">
        <is>
          <t>K</t>
        </is>
      </c>
      <c r="O65" t="inlineStr">
        <is>
          <t>20231110</t>
        </is>
      </c>
      <c r="P65" t="inlineStr">
        <is>
          <t>Sumatera Selatan</t>
        </is>
      </c>
      <c r="Q65" t="inlineStr"/>
    </row>
    <row r="66">
      <c r="A66" t="inlineStr">
        <is>
          <t>KARTA UTAMA KARYAMARGA</t>
        </is>
      </c>
      <c r="B66" t="inlineStr">
        <is>
          <t>Kota Palangkaraya</t>
        </is>
      </c>
      <c r="C66" t="inlineStr">
        <is>
          <t>081254080030</t>
        </is>
      </c>
      <c r="D66" t="inlineStr">
        <is>
          <t>sugiarto_21@yahoo.com</t>
        </is>
      </c>
      <c r="E66" t="inlineStr">
        <is>
          <t>https://lpjk.pu.go.id/search-badan-usaha-detail/d3gzMTVJMEhJWXYzMFpXd1VDaFRvZz09</t>
        </is>
      </c>
      <c r="F66" t="n">
        <v>1</v>
      </c>
      <c r="G66" t="inlineStr">
        <is>
          <t>BS001</t>
        </is>
      </c>
      <c r="H66" t="inlineStr">
        <is>
          <t>7 November 2006</t>
        </is>
      </c>
      <c r="I66" s="2" t="n">
        <v>46339</v>
      </c>
      <c r="J66" t="inlineStr">
        <is>
          <t>Pembekuan</t>
        </is>
      </c>
      <c r="K66" t="n">
        <v>87</v>
      </c>
      <c r="L66" t="inlineStr">
        <is>
          <t>13 November 2026</t>
        </is>
      </c>
      <c r="M66" t="inlineStr">
        <is>
          <t>Konstruksi Bangunan Sipil Jalan</t>
        </is>
      </c>
      <c r="N66" t="inlineStr">
        <is>
          <t>M</t>
        </is>
      </c>
      <c r="O66" t="inlineStr">
        <is>
          <t>20231020</t>
        </is>
      </c>
      <c r="P66" t="inlineStr">
        <is>
          <t>Kalimantan Tengah</t>
        </is>
      </c>
      <c r="Q66" t="inlineStr"/>
    </row>
    <row r="67">
      <c r="A67" t="inlineStr">
        <is>
          <t>KARYA DESY JAYA</t>
        </is>
      </c>
      <c r="B67" t="inlineStr">
        <is>
          <t>Kota Kendari</t>
        </is>
      </c>
      <c r="C67" t="inlineStr">
        <is>
          <t>085241922220</t>
        </is>
      </c>
      <c r="D67" t="inlineStr">
        <is>
          <t>karyadesyjaya@gmail.com</t>
        </is>
      </c>
      <c r="E67" t="inlineStr">
        <is>
          <t>https://lpjk.pu.go.id/search-badan-usaha-detail/Q0srY1NySXRxVWVzTXFKaWdmc3hIZz09</t>
        </is>
      </c>
      <c r="F67" t="n">
        <v>4</v>
      </c>
      <c r="G67" t="inlineStr">
        <is>
          <t>BG002, BG005, BG006, BG009</t>
        </is>
      </c>
      <c r="H67" t="inlineStr">
        <is>
          <t>1 Januari 2006</t>
        </is>
      </c>
      <c r="I67" s="2" t="n">
        <v>46339</v>
      </c>
      <c r="J67" t="inlineStr">
        <is>
          <t>Disetujui</t>
        </is>
      </c>
      <c r="K67" t="n">
        <v>87</v>
      </c>
      <c r="L67" t="inlineStr">
        <is>
          <t>13 November 2026</t>
        </is>
      </c>
      <c r="M67" t="inlineStr">
        <is>
          <t>Konstruksi Gedung Kesehatan, Konstruksi Gedung Lainnya, Konstruksi Gedung Pendidikan, Konstruksi Gedung Perkantoran</t>
        </is>
      </c>
      <c r="N67" t="inlineStr">
        <is>
          <t>K</t>
        </is>
      </c>
      <c r="O67" t="inlineStr">
        <is>
          <t>20231110</t>
        </is>
      </c>
      <c r="P67" t="inlineStr">
        <is>
          <t>Sulawesi Tenggara</t>
        </is>
      </c>
      <c r="Q67" t="inlineStr"/>
    </row>
    <row r="68">
      <c r="A68" t="inlineStr">
        <is>
          <t>KARYA GEOSIA CONSULTANT</t>
        </is>
      </c>
      <c r="B68" t="inlineStr">
        <is>
          <t>Kota Medan</t>
        </is>
      </c>
      <c r="C68" t="inlineStr">
        <is>
          <t>081260180512</t>
        </is>
      </c>
      <c r="D68" t="inlineStr">
        <is>
          <t>karyageosiaconsultantcv@gmail.com</t>
        </is>
      </c>
      <c r="E68" t="inlineStr">
        <is>
          <t>https://lpjk.pu.go.id/search-badan-usaha-detail/WjU5cUVlVHkyR1lUNlF4aS95WTJXQT09</t>
        </is>
      </c>
      <c r="F68" t="n">
        <v>1</v>
      </c>
      <c r="G68" t="inlineStr">
        <is>
          <t>RK001</t>
        </is>
      </c>
      <c r="H68" t="inlineStr">
        <is>
          <t>8 April 2019</t>
        </is>
      </c>
      <c r="I68" s="2" t="n">
        <v>46339</v>
      </c>
      <c r="J68" t="inlineStr">
        <is>
          <t>Disetujui</t>
        </is>
      </c>
      <c r="K68" t="n">
        <v>87</v>
      </c>
      <c r="L68" t="inlineStr">
        <is>
          <t>13 November 2026</t>
        </is>
      </c>
      <c r="M68" t="inlineStr">
        <is>
          <t>Jasa Rekayasa Konstruksi Bangunan Gedung Hunian dan Non Hunian</t>
        </is>
      </c>
      <c r="N68" t="inlineStr">
        <is>
          <t>K</t>
        </is>
      </c>
      <c r="O68" t="inlineStr">
        <is>
          <t>20230808</t>
        </is>
      </c>
      <c r="P68" t="inlineStr">
        <is>
          <t>Sumatera Utara</t>
        </is>
      </c>
      <c r="Q68" t="inlineStr"/>
    </row>
    <row r="69">
      <c r="A69" t="inlineStr">
        <is>
          <t>KARYA KAMEFADA WIJAYA INDONESIA</t>
        </is>
      </c>
      <c r="B69" t="inlineStr">
        <is>
          <t>Kota Bandar Lampung</t>
        </is>
      </c>
      <c r="C69" t="inlineStr">
        <is>
          <t>081367743843</t>
        </is>
      </c>
      <c r="D69" t="inlineStr">
        <is>
          <t>pt.karyakamefada2007@gmail.com</t>
        </is>
      </c>
      <c r="E69" t="inlineStr">
        <is>
          <t>https://lpjk.pu.go.id/search-badan-usaha-detail/YTJEVTJ1RHh5T2lPWVhHUjdGbDFtdz09</t>
        </is>
      </c>
      <c r="F69" t="n">
        <v>1</v>
      </c>
      <c r="G69" t="inlineStr">
        <is>
          <t>BG009</t>
        </is>
      </c>
      <c r="H69" t="inlineStr">
        <is>
          <t>22 Januari 2007</t>
        </is>
      </c>
      <c r="I69" s="2" t="n">
        <v>46339</v>
      </c>
      <c r="J69" t="inlineStr">
        <is>
          <t>Disetujui</t>
        </is>
      </c>
      <c r="K69" t="n">
        <v>87</v>
      </c>
      <c r="L69" t="inlineStr">
        <is>
          <t>13 November 2026</t>
        </is>
      </c>
      <c r="M69" t="inlineStr">
        <is>
          <t>Konstruksi Gedung Lainnya</t>
        </is>
      </c>
      <c r="N69" t="inlineStr">
        <is>
          <t>M</t>
        </is>
      </c>
      <c r="O69" t="inlineStr">
        <is>
          <t>20231109</t>
        </is>
      </c>
      <c r="P69" t="inlineStr">
        <is>
          <t>Lampung</t>
        </is>
      </c>
      <c r="Q69" t="inlineStr"/>
    </row>
    <row r="70">
      <c r="A70" t="inlineStr">
        <is>
          <t>KARYA SURYA PRADIPTA</t>
        </is>
      </c>
      <c r="B70" t="inlineStr">
        <is>
          <t>Kab. Banyuwangi</t>
        </is>
      </c>
      <c r="C70" t="inlineStr">
        <is>
          <t>081233106985</t>
        </is>
      </c>
      <c r="D70" t="inlineStr">
        <is>
          <t>kspbwi16@gmail.com</t>
        </is>
      </c>
      <c r="E70" t="inlineStr">
        <is>
          <t>https://lpjk.pu.go.id/search-badan-usaha-detail/YzZUN2JFcVhsU0ZLZ3YzeTVrS0lKdz09</t>
        </is>
      </c>
      <c r="F70" t="n">
        <v>1</v>
      </c>
      <c r="G70" t="inlineStr">
        <is>
          <t>BS004</t>
        </is>
      </c>
      <c r="H70" t="inlineStr">
        <is>
          <t>8 Agustus 2016</t>
        </is>
      </c>
      <c r="I70" s="2" t="n">
        <v>46339</v>
      </c>
      <c r="J70" t="inlineStr">
        <is>
          <t>Disetujui</t>
        </is>
      </c>
      <c r="K70" t="n">
        <v>87</v>
      </c>
      <c r="L70" t="inlineStr">
        <is>
          <t>13 November 2026</t>
        </is>
      </c>
      <c r="M70" t="inlineStr">
        <is>
          <t>Konstruksi Jaringan Irigasi dan Drainase</t>
        </is>
      </c>
      <c r="N70" t="inlineStr">
        <is>
          <t>K</t>
        </is>
      </c>
      <c r="O70" t="inlineStr">
        <is>
          <t>20231109</t>
        </is>
      </c>
      <c r="P70" t="inlineStr">
        <is>
          <t>Jawa Timur</t>
        </is>
      </c>
      <c r="Q70" t="inlineStr"/>
    </row>
    <row r="71">
      <c r="A71" t="inlineStr">
        <is>
          <t>KARYA TIRTA UTAMA</t>
        </is>
      </c>
      <c r="B71" t="inlineStr">
        <is>
          <t>Kota Bandung</t>
        </is>
      </c>
      <c r="C71" t="inlineStr">
        <is>
          <t>02220527066</t>
        </is>
      </c>
      <c r="D71" t="inlineStr">
        <is>
          <t>k.tirtautama@gmail.com</t>
        </is>
      </c>
      <c r="E71" t="inlineStr">
        <is>
          <t>https://lpjk.pu.go.id/search-badan-usaha-detail/V0lYb2JYQUg2YVNTRllDLzBvUzg3Zz09</t>
        </is>
      </c>
      <c r="F71" t="n">
        <v>1</v>
      </c>
      <c r="G71" t="inlineStr">
        <is>
          <t>PL005</t>
        </is>
      </c>
      <c r="H71" t="inlineStr">
        <is>
          <t>9 Januari 2017</t>
        </is>
      </c>
      <c r="I71" s="2" t="n">
        <v>46339</v>
      </c>
      <c r="J71" t="inlineStr">
        <is>
          <t>Pembekuan</t>
        </is>
      </c>
      <c r="K71" t="n">
        <v>87</v>
      </c>
      <c r="L71" t="inlineStr">
        <is>
          <t>13 November 2026</t>
        </is>
      </c>
      <c r="M71" t="inlineStr">
        <is>
          <t>Pembuatan/Pengeboran Sumur Air Tanah</t>
        </is>
      </c>
      <c r="N71" t="inlineStr">
        <is>
          <t>Spesialis</t>
        </is>
      </c>
      <c r="O71" t="inlineStr">
        <is>
          <t>20231030</t>
        </is>
      </c>
      <c r="P71" t="inlineStr">
        <is>
          <t>Jawa Barat</t>
        </is>
      </c>
      <c r="Q71" t="inlineStr"/>
    </row>
    <row r="72">
      <c r="A72" t="inlineStr">
        <is>
          <t>KAYANA WESA ABADI</t>
        </is>
      </c>
      <c r="B72" t="inlineStr">
        <is>
          <t>Kota Surabaya</t>
        </is>
      </c>
      <c r="C72" t="inlineStr">
        <is>
          <t>08113303607</t>
        </is>
      </c>
      <c r="D72" t="inlineStr">
        <is>
          <t>kayana.wesa@yahoo.co.id</t>
        </is>
      </c>
      <c r="E72" t="inlineStr">
        <is>
          <t>https://lpjk.pu.go.id/search-badan-usaha-detail/Nk5HNzhWYVN3SXJuQlNRZVZtajdXQT09</t>
        </is>
      </c>
      <c r="F72" t="n">
        <v>1</v>
      </c>
      <c r="G72" t="inlineStr">
        <is>
          <t>BG003</t>
        </is>
      </c>
      <c r="H72" t="inlineStr">
        <is>
          <t>21 Oktober 2023</t>
        </is>
      </c>
      <c r="I72" s="2" t="n">
        <v>46339</v>
      </c>
      <c r="J72" t="inlineStr">
        <is>
          <t>Disetujui</t>
        </is>
      </c>
      <c r="K72" t="n">
        <v>87</v>
      </c>
      <c r="L72" t="inlineStr">
        <is>
          <t>13 November 2026</t>
        </is>
      </c>
      <c r="M72" t="inlineStr">
        <is>
          <t>Konstruksi Gedung Industri</t>
        </is>
      </c>
      <c r="N72" t="inlineStr">
        <is>
          <t>K</t>
        </is>
      </c>
      <c r="O72" t="inlineStr">
        <is>
          <t>20231114</t>
        </is>
      </c>
      <c r="P72" t="inlineStr">
        <is>
          <t>Jawa Timur</t>
        </is>
      </c>
      <c r="Q72" t="inlineStr"/>
    </row>
    <row r="73">
      <c r="A73" t="inlineStr">
        <is>
          <t>KEMILAU</t>
        </is>
      </c>
      <c r="B73" t="inlineStr">
        <is>
          <t>Kota Pagar Alam</t>
        </is>
      </c>
      <c r="C73" t="inlineStr">
        <is>
          <t>082165044618</t>
        </is>
      </c>
      <c r="D73" t="inlineStr">
        <is>
          <t>cvkemilau4@gmail.com</t>
        </is>
      </c>
      <c r="E73" t="inlineStr">
        <is>
          <t>https://lpjk.pu.go.id/search-badan-usaha-detail/ekhEVVBDUHNnL25Hb0hlNWRzdDhzUT09</t>
        </is>
      </c>
      <c r="F73" t="n">
        <v>2</v>
      </c>
      <c r="G73" t="inlineStr">
        <is>
          <t>BG009, BS001</t>
        </is>
      </c>
      <c r="H73" t="inlineStr">
        <is>
          <t>19 Januari 2004</t>
        </is>
      </c>
      <c r="I73" s="2" t="n">
        <v>46339</v>
      </c>
      <c r="J73" t="inlineStr">
        <is>
          <t>Disetujui</t>
        </is>
      </c>
      <c r="K73" t="n">
        <v>87</v>
      </c>
      <c r="L73" t="inlineStr">
        <is>
          <t>13 November 2026</t>
        </is>
      </c>
      <c r="M73" t="inlineStr">
        <is>
          <t>Konstruksi Bangunan Sipil Jalan, Konstruksi Gedung Lainnya</t>
        </is>
      </c>
      <c r="N73" t="inlineStr">
        <is>
          <t>K</t>
        </is>
      </c>
      <c r="O73" t="inlineStr">
        <is>
          <t>20231110</t>
        </is>
      </c>
      <c r="P73" t="inlineStr">
        <is>
          <t>Sumatera Selatan</t>
        </is>
      </c>
      <c r="Q73" t="inlineStr"/>
    </row>
    <row r="74">
      <c r="A74" t="inlineStr">
        <is>
          <t>LANCAR ABADI KONSTRUKSI</t>
        </is>
      </c>
      <c r="B74" t="inlineStr">
        <is>
          <t>Kota Yogyakarta</t>
        </is>
      </c>
      <c r="C74" t="inlineStr">
        <is>
          <t>089614492060</t>
        </is>
      </c>
      <c r="D74" t="inlineStr">
        <is>
          <t>marketing.lakonstruksi@gmail.com</t>
        </is>
      </c>
      <c r="E74" t="inlineStr">
        <is>
          <t>https://lpjk.pu.go.id/search-badan-usaha-detail/Mkp0SCtkYVFDbCtvTFV4b0hSenB5QT09</t>
        </is>
      </c>
      <c r="F74" t="n">
        <v>5</v>
      </c>
      <c r="G74" t="inlineStr">
        <is>
          <t>BG001, BG002, BG004, BG006, BG007</t>
        </is>
      </c>
      <c r="H74" t="inlineStr">
        <is>
          <t>10 Oktober 2023</t>
        </is>
      </c>
      <c r="I74" s="2" t="n">
        <v>46339</v>
      </c>
      <c r="J74" t="inlineStr">
        <is>
          <t>Disetujui</t>
        </is>
      </c>
      <c r="K74" t="n">
        <v>87</v>
      </c>
      <c r="L74" t="inlineStr">
        <is>
          <t>13 November 2026</t>
        </is>
      </c>
      <c r="M74" t="inlineStr">
        <is>
          <t>Konstruksi Gedung Hunian, Konstruksi Gedung Pendidikan, Konstruksi Gedung Penginapan, Konstruksi Gedung Perbelanjaan, Konstruksi Gedung Perkantoran</t>
        </is>
      </c>
      <c r="N74" t="inlineStr">
        <is>
          <t>K</t>
        </is>
      </c>
      <c r="O74" t="inlineStr">
        <is>
          <t>20231110, 20231111</t>
        </is>
      </c>
      <c r="P74" t="inlineStr">
        <is>
          <t>DI Yogyakarta</t>
        </is>
      </c>
      <c r="Q74" t="inlineStr"/>
    </row>
    <row r="75">
      <c r="A75" t="inlineStr">
        <is>
          <t>MAHKOTA ALAM</t>
        </is>
      </c>
      <c r="B75" t="inlineStr">
        <is>
          <t>Kab. Sumedang</t>
        </is>
      </c>
      <c r="C75" t="inlineStr">
        <is>
          <t>082316661675</t>
        </is>
      </c>
      <c r="D75" t="inlineStr">
        <is>
          <t>cvmahkotaalam.smd@gmail.com</t>
        </is>
      </c>
      <c r="E75" t="inlineStr">
        <is>
          <t>https://lpjk.pu.go.id/search-badan-usaha-detail/bWQ4ejVNamdWRFBuZVFEcC9rc2ovQT09</t>
        </is>
      </c>
      <c r="F75" t="n">
        <v>2</v>
      </c>
      <c r="G75" t="inlineStr">
        <is>
          <t>BS001, BS004</t>
        </is>
      </c>
      <c r="H75" t="inlineStr">
        <is>
          <t>28 Februari 2011</t>
        </is>
      </c>
      <c r="I75" s="2" t="n">
        <v>46339</v>
      </c>
      <c r="J75" t="inlineStr">
        <is>
          <t>Disetujui</t>
        </is>
      </c>
      <c r="K75" t="n">
        <v>87</v>
      </c>
      <c r="L75" t="inlineStr">
        <is>
          <t>13 November 2026</t>
        </is>
      </c>
      <c r="M75" t="inlineStr">
        <is>
          <t>Konstruksi Bangunan Sipil Jalan, Konstruksi Jaringan Irigasi dan Drainase</t>
        </is>
      </c>
      <c r="N75" t="inlineStr">
        <is>
          <t>K</t>
        </is>
      </c>
      <c r="O75" t="inlineStr">
        <is>
          <t>20231019, 20231101</t>
        </is>
      </c>
      <c r="P75" t="inlineStr">
        <is>
          <t>Jawa Barat</t>
        </is>
      </c>
      <c r="Q75" t="inlineStr"/>
    </row>
    <row r="76">
      <c r="A76" t="inlineStr">
        <is>
          <t>MAKMUR JAYA BERKAT KONTRAKTOR</t>
        </is>
      </c>
      <c r="B76" t="inlineStr">
        <is>
          <t>Kota Adm. Jakarta Utara</t>
        </is>
      </c>
      <c r="C76" t="inlineStr">
        <is>
          <t>02129745083</t>
        </is>
      </c>
      <c r="D76" t="inlineStr">
        <is>
          <t>ptmjbk.comp@yahoo.co.id</t>
        </is>
      </c>
      <c r="E76" t="inlineStr">
        <is>
          <t>https://lpjk.pu.go.id/search-badan-usaha-detail/M0J5TXRCdk5XbW5ya2pDK2ZXU2lUZz09</t>
        </is>
      </c>
      <c r="F76" t="n">
        <v>1</v>
      </c>
      <c r="G76" t="inlineStr">
        <is>
          <t>BS001</t>
        </is>
      </c>
      <c r="H76" t="inlineStr">
        <is>
          <t>20 September 2023</t>
        </is>
      </c>
      <c r="I76" s="2" t="n">
        <v>46339</v>
      </c>
      <c r="J76" t="inlineStr">
        <is>
          <t>Pencabutan</t>
        </is>
      </c>
      <c r="K76" t="n">
        <v>87</v>
      </c>
      <c r="L76" t="inlineStr">
        <is>
          <t>13 November 2026</t>
        </is>
      </c>
      <c r="M76" t="inlineStr">
        <is>
          <t>Konstruksi Bangunan Sipil Jalan</t>
        </is>
      </c>
      <c r="N76" t="inlineStr">
        <is>
          <t>B</t>
        </is>
      </c>
      <c r="O76" t="inlineStr">
        <is>
          <t>20231031</t>
        </is>
      </c>
      <c r="P76" t="inlineStr">
        <is>
          <t>DKI Jakarta</t>
        </is>
      </c>
      <c r="Q76" t="inlineStr"/>
    </row>
    <row r="77">
      <c r="A77" t="inlineStr">
        <is>
          <t>MAKNA KARYA SEJAHTERA</t>
        </is>
      </c>
      <c r="B77" t="inlineStr">
        <is>
          <t>Kab. Deli Serdang</t>
        </is>
      </c>
      <c r="C77" t="inlineStr">
        <is>
          <t>081360263008</t>
        </is>
      </c>
      <c r="D77" t="inlineStr">
        <is>
          <t>pt.maknakaryasejahtera@gmail.com</t>
        </is>
      </c>
      <c r="E77" t="inlineStr">
        <is>
          <t>https://lpjk.pu.go.id/search-badan-usaha-detail/MG5qYXpBb2F3aW5xSzFlTVZaeXZnZz09</t>
        </is>
      </c>
      <c r="F77" t="n">
        <v>2</v>
      </c>
      <c r="G77" t="inlineStr">
        <is>
          <t>BG002, BS004</t>
        </is>
      </c>
      <c r="H77" t="inlineStr">
        <is>
          <t>23 Agustus 2023</t>
        </is>
      </c>
      <c r="I77" s="2" t="n">
        <v>46339</v>
      </c>
      <c r="J77" t="inlineStr">
        <is>
          <t>Disetujui</t>
        </is>
      </c>
      <c r="K77" t="n">
        <v>87</v>
      </c>
      <c r="L77" t="inlineStr">
        <is>
          <t>13 November 2026</t>
        </is>
      </c>
      <c r="M77" t="inlineStr">
        <is>
          <t>Konstruksi Gedung Perkantoran, Konstruksi Jaringan Irigasi dan Drainase</t>
        </is>
      </c>
      <c r="N77" t="inlineStr">
        <is>
          <t>K</t>
        </is>
      </c>
      <c r="O77" t="inlineStr">
        <is>
          <t>20231114, 20231115</t>
        </is>
      </c>
      <c r="P77" t="inlineStr">
        <is>
          <t>Sumatera Utara</t>
        </is>
      </c>
      <c r="Q77" t="inlineStr"/>
    </row>
    <row r="78">
      <c r="A78" t="inlineStr">
        <is>
          <t>MANDIRI PERSADA</t>
        </is>
      </c>
      <c r="B78" t="inlineStr">
        <is>
          <t>Kab. Kulon Progo</t>
        </is>
      </c>
      <c r="C78" t="inlineStr">
        <is>
          <t>0812280776691</t>
        </is>
      </c>
      <c r="D78" t="inlineStr">
        <is>
          <t>mandiri2110_cv@yahoo.com</t>
        </is>
      </c>
      <c r="E78" t="inlineStr">
        <is>
          <t>https://lpjk.pu.go.id/search-badan-usaha-detail/eGkyTTR6dGpzSjZIckc3MnMwS1Q2dz09</t>
        </is>
      </c>
      <c r="F78" t="n">
        <v>6</v>
      </c>
      <c r="G78" t="inlineStr">
        <is>
          <t>BG002, BG004, BG005, BG006, BG009, BS001</t>
        </is>
      </c>
      <c r="H78" t="inlineStr">
        <is>
          <t>16 April 2015</t>
        </is>
      </c>
      <c r="I78" s="2" t="n">
        <v>46339</v>
      </c>
      <c r="J78" t="inlineStr">
        <is>
          <t>Disetujui</t>
        </is>
      </c>
      <c r="K78" t="n">
        <v>87</v>
      </c>
      <c r="L78" t="inlineStr">
        <is>
          <t>13 November 2026</t>
        </is>
      </c>
      <c r="M78" t="inlineStr">
        <is>
          <t>Konstruksi Bangunan Sipil Jalan, Konstruksi Gedung Kesehatan, Konstruksi Gedung Lainnya, Konstruksi Gedung Pendidikan, Konstruksi Gedung Perbelanjaan, Konstruksi Gedung Perkantoran</t>
        </is>
      </c>
      <c r="N78" t="inlineStr">
        <is>
          <t>K</t>
        </is>
      </c>
      <c r="O78" t="inlineStr">
        <is>
          <t>20231109, 20231115</t>
        </is>
      </c>
      <c r="P78" t="inlineStr">
        <is>
          <t>DI Yogyakarta</t>
        </is>
      </c>
      <c r="Q78" t="inlineStr"/>
    </row>
    <row r="79">
      <c r="A79" t="inlineStr">
        <is>
          <t>MANDIRI UTAMA BANDAR TENGAH</t>
        </is>
      </c>
      <c r="B79" t="inlineStr">
        <is>
          <t>Kab. Serdang Bedagai</t>
        </is>
      </c>
      <c r="C79" t="inlineStr">
        <is>
          <t>08126957399</t>
        </is>
      </c>
      <c r="D79" t="inlineStr">
        <is>
          <t>cvmandiriutamabandartengah@gmail.com</t>
        </is>
      </c>
      <c r="E79" t="inlineStr">
        <is>
          <t>https://lpjk.pu.go.id/search-badan-usaha-detail/N3FXWkR0U29vZDRRM1paVjR2WWJNQT09</t>
        </is>
      </c>
      <c r="F79" t="n">
        <v>1</v>
      </c>
      <c r="G79" t="inlineStr">
        <is>
          <t>BS002</t>
        </is>
      </c>
      <c r="H79" t="inlineStr">
        <is>
          <t>7 September 2012</t>
        </is>
      </c>
      <c r="I79" s="2" t="n">
        <v>46339</v>
      </c>
      <c r="J79" t="inlineStr">
        <is>
          <t>Disetujui</t>
        </is>
      </c>
      <c r="K79" t="n">
        <v>87</v>
      </c>
      <c r="L79" t="inlineStr">
        <is>
          <t>13 November 2026</t>
        </is>
      </c>
      <c r="M79" t="inlineStr">
        <is>
          <t>Bangunan Sipil Jembatan, Jalan Layang, Fly Over, dan Underpass</t>
        </is>
      </c>
      <c r="N79" t="inlineStr">
        <is>
          <t>K</t>
        </is>
      </c>
      <c r="O79" t="inlineStr">
        <is>
          <t>20231113</t>
        </is>
      </c>
      <c r="P79" t="inlineStr">
        <is>
          <t>Sumatera Utara</t>
        </is>
      </c>
      <c r="Q79" t="inlineStr"/>
    </row>
    <row r="80">
      <c r="A80" t="inlineStr">
        <is>
          <t>MARINA CIPTA PRATAMA</t>
        </is>
      </c>
      <c r="B80" t="inlineStr">
        <is>
          <t>Kota Adm. Jakarta Selatan</t>
        </is>
      </c>
      <c r="C80" t="inlineStr">
        <is>
          <t>081291873332</t>
        </is>
      </c>
      <c r="D80" t="inlineStr">
        <is>
          <t>marinaciptapratama2019@gmail.com</t>
        </is>
      </c>
      <c r="E80" t="inlineStr">
        <is>
          <t>https://lpjk.pu.go.id/search-badan-usaha-detail/YXUxMEt1SExOdU5CRE5xeS9hRE40QT09</t>
        </is>
      </c>
      <c r="F80" t="n">
        <v>3</v>
      </c>
      <c r="G80" t="inlineStr">
        <is>
          <t>RK001, RK002, RK003</t>
        </is>
      </c>
      <c r="H80" t="inlineStr">
        <is>
          <t>21 Januari 2002</t>
        </is>
      </c>
      <c r="I80" s="2" t="n">
        <v>46339</v>
      </c>
      <c r="J80" t="inlineStr">
        <is>
          <t>Pencabutan</t>
        </is>
      </c>
      <c r="K80" t="n">
        <v>87</v>
      </c>
      <c r="L80" t="inlineStr">
        <is>
          <t>13 November 2026</t>
        </is>
      </c>
      <c r="M80" t="inlineStr">
        <is>
          <t>Jasa Rekayasa Konstruksi Bangunan Gedung Hunian dan Non Hunian, Jasa Rekayasa Pekerjaan Teknik Sipil Sumber Daya Air, Jasa Rekayasa Pekerjaan Teknik Sipil Transportasi</t>
        </is>
      </c>
      <c r="N80" t="inlineStr">
        <is>
          <t>K</t>
        </is>
      </c>
      <c r="O80" t="inlineStr">
        <is>
          <t>20231107</t>
        </is>
      </c>
      <c r="P80" t="inlineStr">
        <is>
          <t>DKI Jakarta</t>
        </is>
      </c>
      <c r="Q80" t="inlineStr"/>
    </row>
    <row r="81">
      <c r="A81" t="inlineStr">
        <is>
          <t>MEGAH TAMA PERKASA</t>
        </is>
      </c>
      <c r="B81" t="inlineStr">
        <is>
          <t>Kab. Badung</t>
        </is>
      </c>
      <c r="C81" t="inlineStr">
        <is>
          <t>0361466076</t>
        </is>
      </c>
      <c r="D81" t="inlineStr">
        <is>
          <t>pt.megahtamaperkasa@yahoo.com</t>
        </is>
      </c>
      <c r="E81" t="inlineStr">
        <is>
          <t>https://lpjk.pu.go.id/search-badan-usaha-detail/azQwaVN6NGh2cGxkVmtITW10eEhudz09</t>
        </is>
      </c>
      <c r="F81" t="n">
        <v>2</v>
      </c>
      <c r="G81" t="inlineStr">
        <is>
          <t>BS001</t>
        </is>
      </c>
      <c r="H81" t="inlineStr">
        <is>
          <t>4 November 2015</t>
        </is>
      </c>
      <c r="I81" s="2" t="n">
        <v>46339</v>
      </c>
      <c r="J81" t="inlineStr">
        <is>
          <t>Disetujui</t>
        </is>
      </c>
      <c r="K81" t="n">
        <v>87</v>
      </c>
      <c r="L81" t="inlineStr">
        <is>
          <t>13 November 2026</t>
        </is>
      </c>
      <c r="M81" t="inlineStr">
        <is>
          <t>Konstruksi Bangunan Sipil Jalan</t>
        </is>
      </c>
      <c r="N81" t="inlineStr">
        <is>
          <t>K</t>
        </is>
      </c>
      <c r="O81" t="inlineStr">
        <is>
          <t>20231111</t>
        </is>
      </c>
      <c r="P81" t="inlineStr">
        <is>
          <t>Bali</t>
        </is>
      </c>
      <c r="Q81" t="inlineStr"/>
    </row>
    <row r="82">
      <c r="A82" t="inlineStr">
        <is>
          <t>MERLYNA AGUNG</t>
        </is>
      </c>
      <c r="B82" t="inlineStr">
        <is>
          <t>Kota Bandung</t>
        </is>
      </c>
      <c r="C82" t="inlineStr">
        <is>
          <t>087821007364</t>
        </is>
      </c>
      <c r="D82" t="inlineStr">
        <is>
          <t>cvmerlynaagungizin@yahoo.com</t>
        </is>
      </c>
      <c r="E82" t="inlineStr">
        <is>
          <t>https://lpjk.pu.go.id/search-badan-usaha-detail/VEhiWjk4eWNhZGtlaUM1MExSZ1lKUT09</t>
        </is>
      </c>
      <c r="F82" t="n">
        <v>4</v>
      </c>
      <c r="G82" t="inlineStr">
        <is>
          <t>BG009, BS001, BS004, PL005</t>
        </is>
      </c>
      <c r="H82" t="inlineStr">
        <is>
          <t>22 September 1989</t>
        </is>
      </c>
      <c r="I82" s="2" t="n">
        <v>46339</v>
      </c>
      <c r="J82" t="inlineStr">
        <is>
          <t>Disetujui</t>
        </is>
      </c>
      <c r="K82" t="n">
        <v>87</v>
      </c>
      <c r="L82" t="inlineStr">
        <is>
          <t>13 November 2026</t>
        </is>
      </c>
      <c r="M82" t="inlineStr">
        <is>
          <t>Konstruksi Bangunan Sipil Jalan, Konstruksi Gedung Lainnya, Konstruksi Jaringan Irigasi dan Drainase, Pembuatan/Pengeboran Sumur Air Tanah</t>
        </is>
      </c>
      <c r="N82" t="inlineStr">
        <is>
          <t>K, Spesialis</t>
        </is>
      </c>
      <c r="O82" t="inlineStr">
        <is>
          <t>20231110</t>
        </is>
      </c>
      <c r="P82" t="inlineStr">
        <is>
          <t>Jawa Barat</t>
        </is>
      </c>
      <c r="Q82" t="inlineStr"/>
    </row>
    <row r="83">
      <c r="A83" t="inlineStr">
        <is>
          <t>MILIAN MUTIARA</t>
        </is>
      </c>
      <c r="B83" t="inlineStr">
        <is>
          <t>Kab. Garut</t>
        </is>
      </c>
      <c r="C83" t="inlineStr">
        <is>
          <t>081320961177</t>
        </is>
      </c>
      <c r="D83" t="inlineStr">
        <is>
          <t>sitianggiutari@gmail.com</t>
        </is>
      </c>
      <c r="E83" t="inlineStr">
        <is>
          <t>https://lpjk.pu.go.id/search-badan-usaha-detail/azIrVTlEcUlDUFlmMnRDUW11aEQrZz09</t>
        </is>
      </c>
      <c r="F83" t="n">
        <v>2</v>
      </c>
      <c r="G83" t="inlineStr">
        <is>
          <t>BS004</t>
        </is>
      </c>
      <c r="H83" t="inlineStr">
        <is>
          <t>11 Maret 2016</t>
        </is>
      </c>
      <c r="I83" s="2" t="n">
        <v>46339</v>
      </c>
      <c r="J83" t="inlineStr">
        <is>
          <t>Disetujui</t>
        </is>
      </c>
      <c r="K83" t="n">
        <v>87</v>
      </c>
      <c r="L83" t="inlineStr">
        <is>
          <t>13 November 2026</t>
        </is>
      </c>
      <c r="M83" t="inlineStr">
        <is>
          <t>Konstruksi Jaringan Irigasi dan Drainase</t>
        </is>
      </c>
      <c r="N83" t="inlineStr">
        <is>
          <t>K</t>
        </is>
      </c>
      <c r="O83" t="inlineStr">
        <is>
          <t>20231109</t>
        </is>
      </c>
      <c r="P83" t="inlineStr">
        <is>
          <t>Jawa Barat</t>
        </is>
      </c>
      <c r="Q83" t="inlineStr"/>
    </row>
    <row r="84">
      <c r="A84" t="inlineStr">
        <is>
          <t>MITA MITA MANDIRI</t>
        </is>
      </c>
      <c r="B84" t="inlineStr">
        <is>
          <t>Kab. Kulon Progo</t>
        </is>
      </c>
      <c r="C84" t="inlineStr">
        <is>
          <t>082136786858</t>
        </is>
      </c>
      <c r="D84" t="inlineStr">
        <is>
          <t>mita2.mandiri@gmail.com</t>
        </is>
      </c>
      <c r="E84" t="inlineStr">
        <is>
          <t>https://lpjk.pu.go.id/search-badan-usaha-detail/L0FKNkdMczJ2alNxL0xySGIxZWdiUT09</t>
        </is>
      </c>
      <c r="F84" t="n">
        <v>3</v>
      </c>
      <c r="G84" t="inlineStr">
        <is>
          <t>BG006, BG009, BS004</t>
        </is>
      </c>
      <c r="H84" t="inlineStr">
        <is>
          <t>24 Mei 2011</t>
        </is>
      </c>
      <c r="I84" s="2" t="n">
        <v>46339</v>
      </c>
      <c r="J84" t="inlineStr">
        <is>
          <t>Disetujui</t>
        </is>
      </c>
      <c r="K84" t="n">
        <v>87</v>
      </c>
      <c r="L84" t="inlineStr">
        <is>
          <t>13 November 2026</t>
        </is>
      </c>
      <c r="M84" t="inlineStr">
        <is>
          <t>Konstruksi Gedung Lainnya, Konstruksi Gedung Pendidikan, Konstruksi Jaringan Irigasi dan Drainase</t>
        </is>
      </c>
      <c r="N84" t="inlineStr">
        <is>
          <t>K</t>
        </is>
      </c>
      <c r="O84" t="inlineStr">
        <is>
          <t>20231114</t>
        </is>
      </c>
      <c r="P84" t="inlineStr">
        <is>
          <t>DI Yogyakarta</t>
        </is>
      </c>
      <c r="Q84" t="inlineStr"/>
    </row>
    <row r="85">
      <c r="A85" t="inlineStr">
        <is>
          <t>MITRA BONANZA</t>
        </is>
      </c>
      <c r="B85" t="inlineStr">
        <is>
          <t>Kota Banjarmasin</t>
        </is>
      </c>
      <c r="C85" t="inlineStr">
        <is>
          <t>081349667273</t>
        </is>
      </c>
      <c r="D85" t="inlineStr">
        <is>
          <t>mitrabonanza@gmail.com</t>
        </is>
      </c>
      <c r="E85" t="inlineStr">
        <is>
          <t>https://lpjk.pu.go.id/search-badan-usaha-detail/bERYY1pjZ0JmcjZhTnF0ZWhQY2VBdz09</t>
        </is>
      </c>
      <c r="F85" t="n">
        <v>2</v>
      </c>
      <c r="G85" t="inlineStr">
        <is>
          <t>BG009, BS001</t>
        </is>
      </c>
      <c r="H85" t="inlineStr">
        <is>
          <t>11 Mei 2001</t>
        </is>
      </c>
      <c r="I85" s="2" t="n">
        <v>46339</v>
      </c>
      <c r="J85" t="inlineStr">
        <is>
          <t>Pencabutan</t>
        </is>
      </c>
      <c r="K85" t="n">
        <v>87</v>
      </c>
      <c r="L85" t="inlineStr">
        <is>
          <t>13 November 2026</t>
        </is>
      </c>
      <c r="M85" t="inlineStr">
        <is>
          <t>Konstruksi Bangunan Sipil Jalan, Konstruksi Gedung Lainnya</t>
        </is>
      </c>
      <c r="N85" t="inlineStr">
        <is>
          <t>K</t>
        </is>
      </c>
      <c r="O85" t="inlineStr">
        <is>
          <t>20231111, 20231114</t>
        </is>
      </c>
      <c r="P85" t="inlineStr">
        <is>
          <t>Kalimantan Selatan</t>
        </is>
      </c>
      <c r="Q85" t="inlineStr"/>
    </row>
    <row r="86">
      <c r="A86" t="inlineStr">
        <is>
          <t>MITRA UTAMA</t>
        </is>
      </c>
      <c r="B86" t="inlineStr">
        <is>
          <t>Kota Banjarbaru</t>
        </is>
      </c>
      <c r="C86" t="inlineStr">
        <is>
          <t>08115128117</t>
        </is>
      </c>
      <c r="D86" t="inlineStr">
        <is>
          <t>cvmitrautamabudhi@gmail.com</t>
        </is>
      </c>
      <c r="E86" t="inlineStr">
        <is>
          <t>https://lpjk.pu.go.id/search-badan-usaha-detail/bWd6cnF1N284MHgvY0dPYmZXUVVSdz09</t>
        </is>
      </c>
      <c r="F86" t="n">
        <v>1</v>
      </c>
      <c r="G86" t="inlineStr">
        <is>
          <t>BG006</t>
        </is>
      </c>
      <c r="H86" t="inlineStr">
        <is>
          <t>3 Maret 1999</t>
        </is>
      </c>
      <c r="I86" s="2" t="n">
        <v>46339</v>
      </c>
      <c r="J86" t="inlineStr">
        <is>
          <t>Disetujui</t>
        </is>
      </c>
      <c r="K86" t="n">
        <v>87</v>
      </c>
      <c r="L86" t="inlineStr">
        <is>
          <t>13 November 2026</t>
        </is>
      </c>
      <c r="M86" t="inlineStr">
        <is>
          <t>Konstruksi Gedung Pendidikan</t>
        </is>
      </c>
      <c r="N86" t="inlineStr">
        <is>
          <t>K</t>
        </is>
      </c>
      <c r="O86" t="inlineStr">
        <is>
          <t>20231106</t>
        </is>
      </c>
      <c r="P86" t="inlineStr">
        <is>
          <t>Kalimantan Selatan</t>
        </is>
      </c>
      <c r="Q86" t="inlineStr"/>
    </row>
    <row r="87">
      <c r="A87" t="inlineStr">
        <is>
          <t>MUTIARA TERIMA BERKAT</t>
        </is>
      </c>
      <c r="B87" t="inlineStr">
        <is>
          <t>Kab. Asahan</t>
        </is>
      </c>
      <c r="C87" t="inlineStr">
        <is>
          <t>082161459861</t>
        </is>
      </c>
      <c r="D87" t="inlineStr">
        <is>
          <t>mutiaraterimaberkat@gmail.com</t>
        </is>
      </c>
      <c r="E87" t="inlineStr">
        <is>
          <t>https://lpjk.pu.go.id/search-badan-usaha-detail/cmxKR2EydVA0aHNaVmM5Z2hLKzRidz09</t>
        </is>
      </c>
      <c r="F87" t="n">
        <v>2</v>
      </c>
      <c r="G87" t="inlineStr">
        <is>
          <t>BS001</t>
        </is>
      </c>
      <c r="H87" t="inlineStr">
        <is>
          <t>21 Agustus 2023</t>
        </is>
      </c>
      <c r="I87" s="2" t="n">
        <v>46339</v>
      </c>
      <c r="J87" t="inlineStr">
        <is>
          <t>Disetujui</t>
        </is>
      </c>
      <c r="K87" t="n">
        <v>87</v>
      </c>
      <c r="L87" t="inlineStr">
        <is>
          <t>13 November 2026</t>
        </is>
      </c>
      <c r="M87" t="inlineStr">
        <is>
          <t>Konstruksi Bangunan Sipil Jalan</t>
        </is>
      </c>
      <c r="N87" t="inlineStr">
        <is>
          <t>K</t>
        </is>
      </c>
      <c r="O87" t="inlineStr">
        <is>
          <t>20231114</t>
        </is>
      </c>
      <c r="P87" t="inlineStr">
        <is>
          <t>Sumatera Utara</t>
        </is>
      </c>
      <c r="Q87" t="inlineStr"/>
    </row>
    <row r="88">
      <c r="A88" t="inlineStr">
        <is>
          <t>NATURAL</t>
        </is>
      </c>
      <c r="B88" t="inlineStr">
        <is>
          <t>Kota Banda Aceh</t>
        </is>
      </c>
      <c r="C88" t="inlineStr">
        <is>
          <t>082288216008</t>
        </is>
      </c>
      <c r="D88" t="inlineStr">
        <is>
          <t>cvnatural.cvn@gmail.com</t>
        </is>
      </c>
      <c r="E88" t="inlineStr">
        <is>
          <t>https://lpjk.pu.go.id/search-badan-usaha-detail/bWZhdVV2QkQzVTQxTU0vM1BUNTRlZz09</t>
        </is>
      </c>
      <c r="F88" t="n">
        <v>1</v>
      </c>
      <c r="G88" t="inlineStr">
        <is>
          <t>BS002</t>
        </is>
      </c>
      <c r="H88" t="inlineStr">
        <is>
          <t>10 Januari 2017</t>
        </is>
      </c>
      <c r="I88" s="2" t="n">
        <v>46339</v>
      </c>
      <c r="J88" t="inlineStr">
        <is>
          <t>Disetujui</t>
        </is>
      </c>
      <c r="K88" t="n">
        <v>87</v>
      </c>
      <c r="L88" t="inlineStr">
        <is>
          <t>13 November 2026</t>
        </is>
      </c>
      <c r="M88" t="inlineStr">
        <is>
          <t>Bangunan Sipil Jembatan, Jalan Layang, Fly Over, dan Underpass</t>
        </is>
      </c>
      <c r="N88" t="inlineStr">
        <is>
          <t>K</t>
        </is>
      </c>
      <c r="O88" t="inlineStr">
        <is>
          <t>20231107</t>
        </is>
      </c>
      <c r="P88" t="inlineStr">
        <is>
          <t>Aceh</t>
        </is>
      </c>
      <c r="Q88" t="inlineStr"/>
    </row>
    <row r="89">
      <c r="A89" t="inlineStr">
        <is>
          <t>PARADIGMA NUSANTARA</t>
        </is>
      </c>
      <c r="B89" t="inlineStr">
        <is>
          <t>Kota Pekanbaru</t>
        </is>
      </c>
      <c r="C89" t="inlineStr">
        <is>
          <t>0811764433</t>
        </is>
      </c>
      <c r="D89" t="inlineStr">
        <is>
          <t>cv.paradigma1993@gmail.com</t>
        </is>
      </c>
      <c r="E89" t="inlineStr">
        <is>
          <t>https://lpjk.pu.go.id/search-badan-usaha-detail/U0R1VFRyRnZRZjFYWDRlNnlWclArUT09</t>
        </is>
      </c>
      <c r="F89" t="n">
        <v>3</v>
      </c>
      <c r="G89" t="inlineStr">
        <is>
          <t>BG009, BS004, BS010</t>
        </is>
      </c>
      <c r="H89" t="inlineStr">
        <is>
          <t>22 Juni 2012</t>
        </is>
      </c>
      <c r="I89" s="2" t="n">
        <v>46339</v>
      </c>
      <c r="J89" t="inlineStr">
        <is>
          <t>Disetujui</t>
        </is>
      </c>
      <c r="K89" t="n">
        <v>87</v>
      </c>
      <c r="L89" t="inlineStr">
        <is>
          <t>13 November 2026</t>
        </is>
      </c>
      <c r="M89" t="inlineStr">
        <is>
          <t>Konstruksi Bangunan Prasarana Sumber Daya Air, Konstruksi Gedung Lainnya, Konstruksi Jaringan Irigasi dan Drainase</t>
        </is>
      </c>
      <c r="N89" t="inlineStr">
        <is>
          <t>K</t>
        </is>
      </c>
      <c r="O89" t="inlineStr">
        <is>
          <t>20231113, 20231115</t>
        </is>
      </c>
      <c r="P89" t="inlineStr">
        <is>
          <t>Riau</t>
        </is>
      </c>
      <c r="Q89" t="inlineStr"/>
    </row>
    <row r="90">
      <c r="A90" t="inlineStr">
        <is>
          <t>PRADANA EKA PERKASA</t>
        </is>
      </c>
      <c r="B90" t="inlineStr">
        <is>
          <t>Kab. Bojonegoro</t>
        </is>
      </c>
      <c r="C90" t="inlineStr">
        <is>
          <t>081239000458</t>
        </is>
      </c>
      <c r="D90" t="inlineStr">
        <is>
          <t>pradanaekaperkasa@gmail.com</t>
        </is>
      </c>
      <c r="E90" t="inlineStr">
        <is>
          <t>https://lpjk.pu.go.id/search-badan-usaha-detail/cGpSUW1YZmlSR2hmUjFpWi9ESUxkUT09</t>
        </is>
      </c>
      <c r="F90" t="n">
        <v>4</v>
      </c>
      <c r="G90" t="inlineStr">
        <is>
          <t>BG001, BG002, BG008, BS001</t>
        </is>
      </c>
      <c r="H90" t="inlineStr">
        <is>
          <t>9 September 2023</t>
        </is>
      </c>
      <c r="I90" s="2" t="n">
        <v>46339</v>
      </c>
      <c r="J90" t="inlineStr">
        <is>
          <t>Disetujui</t>
        </is>
      </c>
      <c r="K90" t="n">
        <v>87</v>
      </c>
      <c r="L90" t="inlineStr">
        <is>
          <t>13 November 2026</t>
        </is>
      </c>
      <c r="M90" t="inlineStr">
        <is>
          <t>Konstruksi Bangunan Sipil Jalan, Konstruksi Gedung Hunian, Konstruksi Gedung Perkantoran, Konstruksi Gedung Tempat Hiburan dan Olahraga</t>
        </is>
      </c>
      <c r="N90" t="inlineStr">
        <is>
          <t>K</t>
        </is>
      </c>
      <c r="O90" t="inlineStr">
        <is>
          <t>20231113, 20231115</t>
        </is>
      </c>
      <c r="P90" t="inlineStr">
        <is>
          <t>Jawa Timur</t>
        </is>
      </c>
      <c r="Q90" t="inlineStr"/>
    </row>
    <row r="91">
      <c r="A91" t="inlineStr">
        <is>
          <t>PRAMES WARA</t>
        </is>
      </c>
      <c r="B91" t="inlineStr">
        <is>
          <t>Kab. Toba Samosir</t>
        </is>
      </c>
      <c r="C91" t="inlineStr">
        <is>
          <t>081260089016</t>
        </is>
      </c>
      <c r="D91" t="inlineStr">
        <is>
          <t>cvprameswara@gmail.com</t>
        </is>
      </c>
      <c r="E91" t="inlineStr">
        <is>
          <t>https://lpjk.pu.go.id/search-badan-usaha-detail/R2N4R2pHdmtidnZtcTBoZ1ozUWpmQT09</t>
        </is>
      </c>
      <c r="F91" t="n">
        <v>2</v>
      </c>
      <c r="G91" t="inlineStr">
        <is>
          <t>BG006, BS001</t>
        </is>
      </c>
      <c r="H91" t="inlineStr">
        <is>
          <t>23 Agustus 2023</t>
        </is>
      </c>
      <c r="I91" s="2" t="n">
        <v>46339</v>
      </c>
      <c r="J91" t="inlineStr">
        <is>
          <t>Disetujui</t>
        </is>
      </c>
      <c r="K91" t="n">
        <v>87</v>
      </c>
      <c r="L91" t="inlineStr">
        <is>
          <t>13 November 2026</t>
        </is>
      </c>
      <c r="M91" t="inlineStr">
        <is>
          <t>Konstruksi Bangunan Sipil Jalan, Konstruksi Gedung Pendidikan</t>
        </is>
      </c>
      <c r="N91" t="inlineStr">
        <is>
          <t>K</t>
        </is>
      </c>
      <c r="O91" t="inlineStr">
        <is>
          <t>20231107, 20231108</t>
        </is>
      </c>
      <c r="P91" t="inlineStr">
        <is>
          <t>Sumatera Utara</t>
        </is>
      </c>
      <c r="Q91" t="inlineStr"/>
    </row>
    <row r="92">
      <c r="A92" t="inlineStr">
        <is>
          <t>PRESISINDO JAYA MANDIRI</t>
        </is>
      </c>
      <c r="B92" t="inlineStr">
        <is>
          <t>Kota Tangerang</t>
        </is>
      </c>
      <c r="C92" t="inlineStr">
        <is>
          <t>02155750169</t>
        </is>
      </c>
      <c r="D92" t="inlineStr">
        <is>
          <t>cv.presisindojayamandiri@gmail.com</t>
        </is>
      </c>
      <c r="E92" t="inlineStr">
        <is>
          <t>https://lpjk.pu.go.id/search-badan-usaha-detail/MWhuSFo4bUEzcnZ2cmVzN1FrU0x5UT09</t>
        </is>
      </c>
      <c r="F92" t="n">
        <v>6</v>
      </c>
      <c r="G92" t="inlineStr">
        <is>
          <t>BG001, BG002, BG003, BG006, BS001, BS004</t>
        </is>
      </c>
      <c r="H92" t="inlineStr">
        <is>
          <t>4 Agustus 2011</t>
        </is>
      </c>
      <c r="I92" s="2" t="n">
        <v>46339</v>
      </c>
      <c r="J92" t="inlineStr">
        <is>
          <t>Disetujui</t>
        </is>
      </c>
      <c r="K92" t="n">
        <v>87</v>
      </c>
      <c r="L92" t="inlineStr">
        <is>
          <t>13 November 2026</t>
        </is>
      </c>
      <c r="M92" t="inlineStr">
        <is>
          <t>Konstruksi Bangunan Sipil Jalan, Konstruksi Gedung Hunian, Konstruksi Gedung Industri, Konstruksi Gedung Pendidikan, Konstruksi Gedung Perkantoran, Konstruksi Jaringan Irigasi dan Drainase</t>
        </is>
      </c>
      <c r="N92" t="inlineStr">
        <is>
          <t>K</t>
        </is>
      </c>
      <c r="O92" t="inlineStr">
        <is>
          <t>20231109, 20231110</t>
        </is>
      </c>
      <c r="P92" t="inlineStr">
        <is>
          <t>Banten</t>
        </is>
      </c>
      <c r="Q92" t="inlineStr"/>
    </row>
    <row r="93">
      <c r="A93" t="inlineStr">
        <is>
          <t>PRIMA INDO PERSADA</t>
        </is>
      </c>
      <c r="B93" t="inlineStr">
        <is>
          <t>Kota Metro</t>
        </is>
      </c>
      <c r="C93" t="inlineStr">
        <is>
          <t>082184163658</t>
        </is>
      </c>
      <c r="D93" t="inlineStr">
        <is>
          <t>primaindopcv@gmail.com</t>
        </is>
      </c>
      <c r="E93" t="inlineStr">
        <is>
          <t>https://lpjk.pu.go.id/search-badan-usaha-detail/NWJDb1ZqWk5rU1dBdGN6QVY3TDRQdz09</t>
        </is>
      </c>
      <c r="F93" t="n">
        <v>1</v>
      </c>
      <c r="G93" t="inlineStr">
        <is>
          <t>BG006</t>
        </is>
      </c>
      <c r="H93" t="inlineStr">
        <is>
          <t>11 Juli 2017</t>
        </is>
      </c>
      <c r="I93" s="2" t="n">
        <v>46339</v>
      </c>
      <c r="J93" t="inlineStr">
        <is>
          <t>Disetujui</t>
        </is>
      </c>
      <c r="K93" t="n">
        <v>87</v>
      </c>
      <c r="L93" t="inlineStr">
        <is>
          <t>13 November 2026</t>
        </is>
      </c>
      <c r="M93" t="inlineStr">
        <is>
          <t>Konstruksi Gedung Pendidikan</t>
        </is>
      </c>
      <c r="N93" t="inlineStr">
        <is>
          <t>K</t>
        </is>
      </c>
      <c r="O93" t="inlineStr">
        <is>
          <t>20231114</t>
        </is>
      </c>
      <c r="P93" t="inlineStr">
        <is>
          <t>Lampung</t>
        </is>
      </c>
      <c r="Q93" t="inlineStr"/>
    </row>
    <row r="94">
      <c r="A94" t="inlineStr">
        <is>
          <t>PRISMA KUSUMA JAYA</t>
        </is>
      </c>
      <c r="B94" t="inlineStr">
        <is>
          <t>Kota Adm. Jakarta Selatan</t>
        </is>
      </c>
      <c r="C94" t="inlineStr">
        <is>
          <t>0217174096</t>
        </is>
      </c>
      <c r="D94" t="inlineStr">
        <is>
          <t>pt.prisma.kusuma.jaya@gmail.com</t>
        </is>
      </c>
      <c r="E94" t="inlineStr">
        <is>
          <t>https://lpjk.pu.go.id/search-badan-usaha-detail/VHlPaTl3NVcrcGw0REJmOFJCZFZqdz09</t>
        </is>
      </c>
      <c r="F94" t="n">
        <v>2</v>
      </c>
      <c r="G94" t="inlineStr">
        <is>
          <t>BG003, BG009</t>
        </is>
      </c>
      <c r="H94" t="inlineStr">
        <is>
          <t>6 Juni 1996</t>
        </is>
      </c>
      <c r="I94" s="2" t="n">
        <v>46339</v>
      </c>
      <c r="J94" t="inlineStr">
        <is>
          <t>Disetujui, Pencabutan</t>
        </is>
      </c>
      <c r="K94" t="n">
        <v>87</v>
      </c>
      <c r="L94" t="inlineStr">
        <is>
          <t>13 November 2026</t>
        </is>
      </c>
      <c r="M94" t="inlineStr">
        <is>
          <t>Konstruksi Gedung Industri, Konstruksi Gedung Lainnya</t>
        </is>
      </c>
      <c r="N94" t="inlineStr">
        <is>
          <t>K</t>
        </is>
      </c>
      <c r="O94" t="inlineStr">
        <is>
          <t>20231106</t>
        </is>
      </c>
      <c r="P94" t="inlineStr">
        <is>
          <t>DKI Jakarta</t>
        </is>
      </c>
      <c r="Q94" t="inlineStr"/>
    </row>
    <row r="95">
      <c r="A95" t="inlineStr">
        <is>
          <t>PROFESIONAL INDONESIA LANTERA RAGA</t>
        </is>
      </c>
      <c r="B95" t="inlineStr">
        <is>
          <t>Kab. Serang</t>
        </is>
      </c>
      <c r="C95" t="inlineStr">
        <is>
          <t>082280441238</t>
        </is>
      </c>
      <c r="D95" t="inlineStr">
        <is>
          <t>pilarcontractor.banten@gmail.com</t>
        </is>
      </c>
      <c r="E95" t="inlineStr">
        <is>
          <t>https://lpjk.pu.go.id/search-badan-usaha-detail/dllDQVRyUXkzVDVLZTV1dGEwcGRCQT09</t>
        </is>
      </c>
      <c r="F95" t="n">
        <v>5</v>
      </c>
      <c r="G95" t="inlineStr">
        <is>
          <t>BG001, BG002, BG003, BS001, PB004</t>
        </is>
      </c>
      <c r="H95" t="inlineStr">
        <is>
          <t>18 Januari 2002</t>
        </is>
      </c>
      <c r="I95" s="2" t="n">
        <v>46339</v>
      </c>
      <c r="J95" t="inlineStr">
        <is>
          <t>Disetujui</t>
        </is>
      </c>
      <c r="K95" t="n">
        <v>87</v>
      </c>
      <c r="L95" t="inlineStr">
        <is>
          <t>13 November 2026</t>
        </is>
      </c>
      <c r="M95" t="inlineStr">
        <is>
          <t>Dekorasi Interior, Konstruksi Bangunan Sipil Jalan, Konstruksi Gedung Hunian, Konstruksi Gedung Industri, Konstruksi Gedung Perkantoran</t>
        </is>
      </c>
      <c r="N95" t="inlineStr">
        <is>
          <t>K, Spesialis</t>
        </is>
      </c>
      <c r="O95" t="inlineStr">
        <is>
          <t>20231111</t>
        </is>
      </c>
      <c r="P95" t="inlineStr">
        <is>
          <t>Banten</t>
        </is>
      </c>
      <c r="Q95" t="inlineStr"/>
    </row>
    <row r="96">
      <c r="A96" t="inlineStr">
        <is>
          <t>PUTRA NATABA</t>
        </is>
      </c>
      <c r="B96" t="inlineStr">
        <is>
          <t>Kab. Garut</t>
        </is>
      </c>
      <c r="C96" t="inlineStr">
        <is>
          <t>085222224699</t>
        </is>
      </c>
      <c r="D96" t="inlineStr">
        <is>
          <t>cv.putranataba@gmail.com</t>
        </is>
      </c>
      <c r="E96" t="inlineStr">
        <is>
          <t>https://lpjk.pu.go.id/search-badan-usaha-detail/REtBTWhmbk5SUEVCUVNZdGorRFlCZz09</t>
        </is>
      </c>
      <c r="F96" t="n">
        <v>4</v>
      </c>
      <c r="G96" t="inlineStr">
        <is>
          <t>BG001, BG002, BG005, BG009</t>
        </is>
      </c>
      <c r="H96" t="inlineStr">
        <is>
          <t>20 Januari 2006</t>
        </is>
      </c>
      <c r="I96" s="2" t="n">
        <v>46339</v>
      </c>
      <c r="J96" t="inlineStr">
        <is>
          <t>Disetujui, Pencabutan</t>
        </is>
      </c>
      <c r="K96" t="n">
        <v>87</v>
      </c>
      <c r="L96" t="inlineStr">
        <is>
          <t>13 November 2026</t>
        </is>
      </c>
      <c r="M96" t="inlineStr">
        <is>
          <t>Konstruksi Gedung Hunian, Konstruksi Gedung Kesehatan, Konstruksi Gedung Lainnya, Konstruksi Gedung Perkantoran</t>
        </is>
      </c>
      <c r="N96" t="inlineStr">
        <is>
          <t>K</t>
        </is>
      </c>
      <c r="O96" t="inlineStr">
        <is>
          <t>20231113, 20231114</t>
        </is>
      </c>
      <c r="P96" t="inlineStr">
        <is>
          <t>Jawa Barat</t>
        </is>
      </c>
      <c r="Q96" t="inlineStr"/>
    </row>
    <row r="97">
      <c r="A97" t="inlineStr">
        <is>
          <t>PUTRACON PRIMA MANUNGGAL</t>
        </is>
      </c>
      <c r="B97" t="inlineStr">
        <is>
          <t>Kota Adm. Jakarta Barat</t>
        </is>
      </c>
      <c r="C97" t="inlineStr">
        <is>
          <t>02154365637</t>
        </is>
      </c>
      <c r="D97" t="inlineStr">
        <is>
          <t>putraconprima@gmail.com</t>
        </is>
      </c>
      <c r="E97" t="inlineStr">
        <is>
          <t>https://lpjk.pu.go.id/search-badan-usaha-detail/NWhvWTFxUy8vMWlRcGg1eFNRM3kvZz09</t>
        </is>
      </c>
      <c r="F97" t="n">
        <v>8</v>
      </c>
      <c r="G97" t="inlineStr">
        <is>
          <t>BG001, BG002, BG003, BG005, BG006, BG007, BG008, BG009</t>
        </is>
      </c>
      <c r="H97" t="inlineStr">
        <is>
          <t>26 Desember 2020</t>
        </is>
      </c>
      <c r="I97" s="2" t="n">
        <v>46339</v>
      </c>
      <c r="J97" t="inlineStr">
        <is>
          <t>Disetujui</t>
        </is>
      </c>
      <c r="K97" t="n">
        <v>87</v>
      </c>
      <c r="L97" t="inlineStr">
        <is>
          <t>13 November 2026</t>
        </is>
      </c>
      <c r="M97" t="inlineStr">
        <is>
          <t>Konstruksi Gedung Hunian, Konstruksi Gedung Industri, Konstruksi Gedung Kesehatan, Konstruksi Gedung Lainnya, Konstruksi Gedung Pendidikan, Konstruksi Gedung Penginapan, Konstruksi Gedung Perkantoran, Konstruksi Gedung Tempat Hiburan dan Olahraga</t>
        </is>
      </c>
      <c r="N97" t="inlineStr">
        <is>
          <t>K</t>
        </is>
      </c>
      <c r="O97" t="inlineStr">
        <is>
          <t>20231109, 20231110</t>
        </is>
      </c>
      <c r="P97" t="inlineStr">
        <is>
          <t>DKI Jakarta</t>
        </is>
      </c>
      <c r="Q97" t="inlineStr"/>
    </row>
    <row r="98">
      <c r="A98" t="inlineStr">
        <is>
          <t>SABDA ALAM</t>
        </is>
      </c>
      <c r="B98" t="inlineStr">
        <is>
          <t>Kab. Sumedang</t>
        </is>
      </c>
      <c r="C98" t="inlineStr">
        <is>
          <t>081223105088</t>
        </is>
      </c>
      <c r="D98" t="inlineStr">
        <is>
          <t>sabdaalam.company@gmail.com</t>
        </is>
      </c>
      <c r="E98" t="inlineStr">
        <is>
          <t>https://lpjk.pu.go.id/search-badan-usaha-detail/S1IvdzFNMm5tek9DRFdWL1FrZnBrdz09</t>
        </is>
      </c>
      <c r="F98" t="n">
        <v>4</v>
      </c>
      <c r="G98" t="inlineStr">
        <is>
          <t>BG006, BG009, BS004, BS005</t>
        </is>
      </c>
      <c r="H98" t="inlineStr">
        <is>
          <t>14 Oktober 2009</t>
        </is>
      </c>
      <c r="I98" s="2" t="n">
        <v>46339</v>
      </c>
      <c r="J98" t="inlineStr">
        <is>
          <t>Disetujui</t>
        </is>
      </c>
      <c r="K98" t="n">
        <v>87</v>
      </c>
      <c r="L98" t="inlineStr">
        <is>
          <t>13 November 2026</t>
        </is>
      </c>
      <c r="M98" t="inlineStr">
        <is>
          <t>Konstruksi Bangunan Sipil Pengolahan Air Bersih, Konstruksi Gedung Lainnya, Konstruksi Gedung Pendidikan, Konstruksi Jaringan Irigasi dan Drainase</t>
        </is>
      </c>
      <c r="N98" t="inlineStr">
        <is>
          <t>K</t>
        </is>
      </c>
      <c r="O98" t="inlineStr">
        <is>
          <t>20230922</t>
        </is>
      </c>
      <c r="P98" t="inlineStr">
        <is>
          <t>Jawa Barat</t>
        </is>
      </c>
      <c r="Q98" t="inlineStr"/>
    </row>
    <row r="99">
      <c r="A99" t="inlineStr">
        <is>
          <t>SAHABAT SARANA KONSTRUKSI</t>
        </is>
      </c>
      <c r="B99" t="inlineStr">
        <is>
          <t>Kab. Muara Enim</t>
        </is>
      </c>
      <c r="C99" t="inlineStr">
        <is>
          <t>082181718227</t>
        </is>
      </c>
      <c r="D99" t="inlineStr">
        <is>
          <t>sahabatsaranakonstruksi@gmail.com</t>
        </is>
      </c>
      <c r="E99" t="inlineStr">
        <is>
          <t>https://lpjk.pu.go.id/search-badan-usaha-detail/akVOdFcwaUQzVXF5c2NZUFdadnZQQT09</t>
        </is>
      </c>
      <c r="F99" t="n">
        <v>2</v>
      </c>
      <c r="G99" t="inlineStr">
        <is>
          <t>BG009, BS004</t>
        </is>
      </c>
      <c r="H99" t="inlineStr">
        <is>
          <t>24 Maret 2020</t>
        </is>
      </c>
      <c r="I99" s="2" t="n">
        <v>46339</v>
      </c>
      <c r="J99" t="inlineStr">
        <is>
          <t>Disetujui</t>
        </is>
      </c>
      <c r="K99" t="n">
        <v>87</v>
      </c>
      <c r="L99" t="inlineStr">
        <is>
          <t>13 November 2026</t>
        </is>
      </c>
      <c r="M99" t="inlineStr">
        <is>
          <t>Konstruksi Gedung Lainnya, Konstruksi Jaringan Irigasi dan Drainase</t>
        </is>
      </c>
      <c r="N99" t="inlineStr">
        <is>
          <t>K</t>
        </is>
      </c>
      <c r="O99" t="inlineStr">
        <is>
          <t>20231106, 20231110</t>
        </is>
      </c>
      <c r="P99" t="inlineStr">
        <is>
          <t>Sumatera Selatan</t>
        </is>
      </c>
      <c r="Q99" t="inlineStr"/>
    </row>
    <row r="100">
      <c r="A100" t="inlineStr">
        <is>
          <t>SAKA DEXTRA STRUKTURA</t>
        </is>
      </c>
      <c r="B100" t="inlineStr">
        <is>
          <t>Kota Adm. Jakarta Selatan</t>
        </is>
      </c>
      <c r="C100" t="inlineStr">
        <is>
          <t>081288281699</t>
        </is>
      </c>
      <c r="D100" t="inlineStr">
        <is>
          <t>sakadextrastruktura@gmail.com</t>
        </is>
      </c>
      <c r="E100" t="inlineStr">
        <is>
          <t>https://lpjk.pu.go.id/search-badan-usaha-detail/OG4vVUFxR0s0SjV1MUx2ejhoMHRzQT09</t>
        </is>
      </c>
      <c r="F100" t="n">
        <v>5</v>
      </c>
      <c r="G100" t="inlineStr">
        <is>
          <t>BG001, BG002, BG003, BG006, BG007</t>
        </is>
      </c>
      <c r="H100" t="inlineStr">
        <is>
          <t>1 Januari 2018</t>
        </is>
      </c>
      <c r="I100" s="2" t="n">
        <v>46339</v>
      </c>
      <c r="J100" t="inlineStr">
        <is>
          <t>Disetujui</t>
        </is>
      </c>
      <c r="K100" t="n">
        <v>87</v>
      </c>
      <c r="L100" t="inlineStr">
        <is>
          <t>13 November 2026</t>
        </is>
      </c>
      <c r="M100" t="inlineStr">
        <is>
          <t>Konstruksi Gedung Hunian, Konstruksi Gedung Industri, Konstruksi Gedung Pendidikan, Konstruksi Gedung Penginapan, Konstruksi Gedung Perkantoran</t>
        </is>
      </c>
      <c r="N100" t="inlineStr">
        <is>
          <t>K</t>
        </is>
      </c>
      <c r="O100" t="inlineStr">
        <is>
          <t>20230921</t>
        </is>
      </c>
      <c r="P100" t="inlineStr">
        <is>
          <t>DKI Jakarta</t>
        </is>
      </c>
      <c r="Q100" t="inlineStr"/>
    </row>
    <row r="101">
      <c r="A101" t="inlineStr">
        <is>
          <t>SATU DUA SATU SR</t>
        </is>
      </c>
      <c r="B101" t="inlineStr">
        <is>
          <t>Kota Kendari</t>
        </is>
      </c>
      <c r="C101" t="inlineStr">
        <is>
          <t>08114033351</t>
        </is>
      </c>
      <c r="D101" t="inlineStr">
        <is>
          <t>cv.satuduasatu.sr@gmail.com</t>
        </is>
      </c>
      <c r="E101" t="inlineStr">
        <is>
          <t>https://lpjk.pu.go.id/search-badan-usaha-detail/RksycEdlZDU3M3VVMCt0aUFHTFh1dz09</t>
        </is>
      </c>
      <c r="F101" t="n">
        <v>1</v>
      </c>
      <c r="G101" t="inlineStr">
        <is>
          <t>BS001</t>
        </is>
      </c>
      <c r="H101" t="inlineStr">
        <is>
          <t>4 Juni 2020</t>
        </is>
      </c>
      <c r="I101" s="2" t="n">
        <v>46339</v>
      </c>
      <c r="J101" t="inlineStr">
        <is>
          <t>Disetujui</t>
        </is>
      </c>
      <c r="K101" t="n">
        <v>87</v>
      </c>
      <c r="L101" t="inlineStr">
        <is>
          <t>13 November 2026</t>
        </is>
      </c>
      <c r="M101" t="inlineStr">
        <is>
          <t>Konstruksi Bangunan Sipil Jalan</t>
        </is>
      </c>
      <c r="N101" t="inlineStr">
        <is>
          <t>K</t>
        </is>
      </c>
      <c r="O101" t="inlineStr">
        <is>
          <t>20231109</t>
        </is>
      </c>
      <c r="P101" t="inlineStr">
        <is>
          <t>Sulawesi Tenggara</t>
        </is>
      </c>
      <c r="Q101" t="inlineStr"/>
    </row>
    <row r="102">
      <c r="A102" t="inlineStr">
        <is>
          <t>SEKAR KAHURIPAN</t>
        </is>
      </c>
      <c r="B102" t="inlineStr">
        <is>
          <t>Kota Mojokerto</t>
        </is>
      </c>
      <c r="C102" t="inlineStr">
        <is>
          <t>081230280226</t>
        </is>
      </c>
      <c r="D102" t="inlineStr">
        <is>
          <t>sekarkahuripan_cv@yahoo.com</t>
        </is>
      </c>
      <c r="E102" t="inlineStr">
        <is>
          <t>https://lpjk.pu.go.id/search-badan-usaha-detail/eGVZNXp5Z1RhM3FMUnIyRzdqRVJSZz09</t>
        </is>
      </c>
      <c r="F102" t="n">
        <v>6</v>
      </c>
      <c r="G102" t="inlineStr">
        <is>
          <t>BG005, BS001, BS004</t>
        </is>
      </c>
      <c r="H102" t="inlineStr">
        <is>
          <t>22 Juni 2012</t>
        </is>
      </c>
      <c r="I102" s="2" t="n">
        <v>46339</v>
      </c>
      <c r="J102" t="inlineStr">
        <is>
          <t>Disetujui</t>
        </is>
      </c>
      <c r="K102" t="n">
        <v>87</v>
      </c>
      <c r="L102" t="inlineStr">
        <is>
          <t>13 November 2026</t>
        </is>
      </c>
      <c r="M102" t="inlineStr">
        <is>
          <t>Konstruksi Bangunan Sipil Jalan, Konstruksi Gedung Kesehatan, Konstruksi Jaringan Irigasi dan Drainase</t>
        </is>
      </c>
      <c r="N102" t="inlineStr">
        <is>
          <t>K</t>
        </is>
      </c>
      <c r="O102" t="inlineStr">
        <is>
          <t>20231110, 20231113</t>
        </is>
      </c>
      <c r="P102" t="inlineStr">
        <is>
          <t>Jawa Timur</t>
        </is>
      </c>
      <c r="Q102" t="inlineStr"/>
    </row>
    <row r="103">
      <c r="A103" t="inlineStr">
        <is>
          <t>SENTANINDO HARAPAN PAPUA</t>
        </is>
      </c>
      <c r="B103" t="inlineStr">
        <is>
          <t>Kab. Jayapura</t>
        </is>
      </c>
      <c r="C103" t="inlineStr">
        <is>
          <t>0812191946326</t>
        </is>
      </c>
      <c r="D103" t="inlineStr">
        <is>
          <t>sentanindoharapanpapua@gmail.com</t>
        </is>
      </c>
      <c r="E103" t="inlineStr">
        <is>
          <t>https://lpjk.pu.go.id/search-badan-usaha-detail/NTZmUm9iMDdJVVBNQXFqK3RFSTNadz09</t>
        </is>
      </c>
      <c r="F103" t="n">
        <v>2</v>
      </c>
      <c r="G103" t="inlineStr">
        <is>
          <t>BS001, BS002</t>
        </is>
      </c>
      <c r="H103" t="inlineStr">
        <is>
          <t>12 Januari 2022</t>
        </is>
      </c>
      <c r="I103" s="2" t="n">
        <v>46339</v>
      </c>
      <c r="J103" t="inlineStr">
        <is>
          <t>Disetujui</t>
        </is>
      </c>
      <c r="K103" t="n">
        <v>87</v>
      </c>
      <c r="L103" t="inlineStr">
        <is>
          <t>13 November 2026</t>
        </is>
      </c>
      <c r="M103" t="inlineStr">
        <is>
          <t>Bangunan Sipil Jembatan, Jalan Layang, Fly Over, dan Underpass, Konstruksi Bangunan Sipil Jalan</t>
        </is>
      </c>
      <c r="N103" t="inlineStr">
        <is>
          <t>K</t>
        </is>
      </c>
      <c r="O103" t="inlineStr">
        <is>
          <t>20231113, 20231117</t>
        </is>
      </c>
      <c r="P103" t="inlineStr">
        <is>
          <t>Papua</t>
        </is>
      </c>
      <c r="Q103" t="inlineStr"/>
    </row>
    <row r="104">
      <c r="A104" t="inlineStr">
        <is>
          <t>SHANUM PRADISTA KONSTRUKSI</t>
        </is>
      </c>
      <c r="B104" t="inlineStr">
        <is>
          <t>Kab. Kerinci</t>
        </is>
      </c>
      <c r="C104" t="inlineStr">
        <is>
          <t>081380856868</t>
        </is>
      </c>
      <c r="D104" t="inlineStr">
        <is>
          <t>cv.shanumpk23@gmail.com</t>
        </is>
      </c>
      <c r="E104" t="inlineStr">
        <is>
          <t>https://lpjk.pu.go.id/search-badan-usaha-detail/aTFiMWFPdURNaGhHOEVjb2ViMlUvQT09</t>
        </is>
      </c>
      <c r="F104" t="n">
        <v>8</v>
      </c>
      <c r="G104" t="inlineStr">
        <is>
          <t>BG005, BG006, BS001, BS004</t>
        </is>
      </c>
      <c r="H104" t="inlineStr">
        <is>
          <t>13 September 2023</t>
        </is>
      </c>
      <c r="I104" s="2" t="n">
        <v>46339</v>
      </c>
      <c r="J104" t="inlineStr">
        <is>
          <t>Disetujui</t>
        </is>
      </c>
      <c r="K104" t="n">
        <v>87</v>
      </c>
      <c r="L104" t="inlineStr">
        <is>
          <t>13 November 2026</t>
        </is>
      </c>
      <c r="M104" t="inlineStr">
        <is>
          <t>Konstruksi Bangunan Sipil Jalan, Konstruksi Gedung Kesehatan, Konstruksi Gedung Pendidikan, Konstruksi Jaringan Irigasi dan Drainase</t>
        </is>
      </c>
      <c r="N104" t="inlineStr">
        <is>
          <t>K</t>
        </is>
      </c>
      <c r="O104" t="inlineStr">
        <is>
          <t>20231111, 20231113, 20231114, 20231115</t>
        </is>
      </c>
      <c r="P104" t="inlineStr">
        <is>
          <t>Jambi</t>
        </is>
      </c>
      <c r="Q104" t="inlineStr"/>
    </row>
    <row r="105">
      <c r="A105" t="inlineStr">
        <is>
          <t>SINAR ALAM BAHALAP</t>
        </is>
      </c>
      <c r="B105" t="inlineStr">
        <is>
          <t>Kab. Barito Kuala</t>
        </is>
      </c>
      <c r="C105" t="inlineStr">
        <is>
          <t>085251155599</t>
        </is>
      </c>
      <c r="D105" t="inlineStr">
        <is>
          <t>pt.sinaralambahalap69@gmail.com</t>
        </is>
      </c>
      <c r="E105" t="inlineStr">
        <is>
          <t>https://lpjk.pu.go.id/search-badan-usaha-detail/OFdHTUFSWnFCWjk1QzJGai85TFNUUT09</t>
        </is>
      </c>
      <c r="F105" t="n">
        <v>1</v>
      </c>
      <c r="G105" t="inlineStr">
        <is>
          <t>BG002</t>
        </is>
      </c>
      <c r="H105" t="inlineStr">
        <is>
          <t>30 Mei 1980</t>
        </is>
      </c>
      <c r="I105" s="2" t="n">
        <v>46339</v>
      </c>
      <c r="J105" t="inlineStr">
        <is>
          <t>Disetujui</t>
        </is>
      </c>
      <c r="K105" t="n">
        <v>87</v>
      </c>
      <c r="L105" t="inlineStr">
        <is>
          <t>13 November 2026</t>
        </is>
      </c>
      <c r="M105" t="inlineStr">
        <is>
          <t>Konstruksi Gedung Perkantoran</t>
        </is>
      </c>
      <c r="N105" t="inlineStr">
        <is>
          <t>K</t>
        </is>
      </c>
      <c r="O105" t="inlineStr">
        <is>
          <t>20231025</t>
        </is>
      </c>
      <c r="P105" t="inlineStr">
        <is>
          <t>Kalimantan Selatan</t>
        </is>
      </c>
      <c r="Q105" t="inlineStr"/>
    </row>
    <row r="106">
      <c r="A106" t="inlineStr">
        <is>
          <t>SINAR QALBY PRATAMA</t>
        </is>
      </c>
      <c r="B106" t="inlineStr">
        <is>
          <t>Kota Ternate</t>
        </is>
      </c>
      <c r="C106" t="inlineStr">
        <is>
          <t>081340501033</t>
        </is>
      </c>
      <c r="D106" t="inlineStr">
        <is>
          <t>sinarqalbypratamacv@gmail.com</t>
        </is>
      </c>
      <c r="E106" t="inlineStr">
        <is>
          <t>https://lpjk.pu.go.id/search-badan-usaha-detail/R2hUQ0RSenJpUFdxRG91Vkw1SzFVUT09</t>
        </is>
      </c>
      <c r="F106" t="n">
        <v>2</v>
      </c>
      <c r="G106" t="inlineStr">
        <is>
          <t>BG005, BG006</t>
        </is>
      </c>
      <c r="H106" t="inlineStr">
        <is>
          <t>25 Agustus 2023</t>
        </is>
      </c>
      <c r="I106" s="2" t="n">
        <v>46339</v>
      </c>
      <c r="J106" t="inlineStr">
        <is>
          <t>Disetujui</t>
        </is>
      </c>
      <c r="K106" t="n">
        <v>87</v>
      </c>
      <c r="L106" t="inlineStr">
        <is>
          <t>13 November 2026</t>
        </is>
      </c>
      <c r="M106" t="inlineStr">
        <is>
          <t>Konstruksi Gedung Kesehatan, Konstruksi Gedung Pendidikan</t>
        </is>
      </c>
      <c r="N106" t="inlineStr">
        <is>
          <t>K</t>
        </is>
      </c>
      <c r="O106" t="inlineStr">
        <is>
          <t>20231113</t>
        </is>
      </c>
      <c r="P106" t="inlineStr">
        <is>
          <t>Maluku Utara</t>
        </is>
      </c>
      <c r="Q106" t="inlineStr"/>
    </row>
    <row r="107">
      <c r="A107" t="inlineStr">
        <is>
          <t>SUMBER REZEKI</t>
        </is>
      </c>
      <c r="B107" t="inlineStr">
        <is>
          <t>Kab. Lombok Timur</t>
        </is>
      </c>
      <c r="C107" t="inlineStr">
        <is>
          <t>081918316002</t>
        </is>
      </c>
      <c r="D107" t="inlineStr">
        <is>
          <t>sumberrezekilsbu@gmail.com</t>
        </is>
      </c>
      <c r="E107" t="inlineStr">
        <is>
          <t>https://lpjk.pu.go.id/search-badan-usaha-detail/ZW5zUTdNbzVlRFM5T1VwUUtRSHVLZz09</t>
        </is>
      </c>
      <c r="F107" t="n">
        <v>3</v>
      </c>
      <c r="G107" t="inlineStr">
        <is>
          <t>BS001, BS004, BS010</t>
        </is>
      </c>
      <c r="H107" t="inlineStr">
        <is>
          <t>1 Juni 2015</t>
        </is>
      </c>
      <c r="I107" s="2" t="n">
        <v>46339</v>
      </c>
      <c r="J107" t="inlineStr">
        <is>
          <t>Disetujui</t>
        </is>
      </c>
      <c r="K107" t="n">
        <v>87</v>
      </c>
      <c r="L107" t="inlineStr">
        <is>
          <t>13 November 2026</t>
        </is>
      </c>
      <c r="M107" t="inlineStr">
        <is>
          <t>Konstruksi Bangunan Prasarana Sumber Daya Air, Konstruksi Bangunan Sipil Jalan, Konstruksi Jaringan Irigasi dan Drainase</t>
        </is>
      </c>
      <c r="N107" t="inlineStr">
        <is>
          <t>K</t>
        </is>
      </c>
      <c r="O107" t="inlineStr">
        <is>
          <t>20231109, 20231114, 20231115</t>
        </is>
      </c>
      <c r="P107" t="inlineStr">
        <is>
          <t>Nusa Tenggara Barat</t>
        </is>
      </c>
      <c r="Q107" t="inlineStr"/>
    </row>
    <row r="108">
      <c r="A108" t="inlineStr">
        <is>
          <t>TATA BANGUN PRIMA</t>
        </is>
      </c>
      <c r="B108" t="inlineStr">
        <is>
          <t>Kab. Jombang</t>
        </is>
      </c>
      <c r="C108" t="inlineStr">
        <is>
          <t>085748625649</t>
        </is>
      </c>
      <c r="D108" t="inlineStr">
        <is>
          <t>cv_tatabangun.prima@yahoo.com</t>
        </is>
      </c>
      <c r="E108" t="inlineStr">
        <is>
          <t>https://lpjk.pu.go.id/search-badan-usaha-detail/elZtcitkR0M2VmdNUXB6eXVtVXpzdz09</t>
        </is>
      </c>
      <c r="F108" t="n">
        <v>3</v>
      </c>
      <c r="G108" t="inlineStr">
        <is>
          <t>RK001, RK002, RK003</t>
        </is>
      </c>
      <c r="H108" t="inlineStr">
        <is>
          <t>6 Januari 2021</t>
        </is>
      </c>
      <c r="I108" s="2" t="n">
        <v>46339</v>
      </c>
      <c r="J108" t="inlineStr">
        <is>
          <t>Disetujui</t>
        </is>
      </c>
      <c r="K108" t="n">
        <v>87</v>
      </c>
      <c r="L108" t="inlineStr">
        <is>
          <t>13 November 2026</t>
        </is>
      </c>
      <c r="M108" t="inlineStr">
        <is>
          <t>Jasa Rekayasa Konstruksi Bangunan Gedung Hunian dan Non Hunian, Jasa Rekayasa Pekerjaan Teknik Sipil Sumber Daya Air, Jasa Rekayasa Pekerjaan Teknik Sipil Transportasi</t>
        </is>
      </c>
      <c r="N108" t="inlineStr">
        <is>
          <t>K</t>
        </is>
      </c>
      <c r="O108" t="inlineStr">
        <is>
          <t>20231103</t>
        </is>
      </c>
      <c r="P108" t="inlineStr">
        <is>
          <t>Jawa Timur</t>
        </is>
      </c>
      <c r="Q108" t="inlineStr"/>
    </row>
    <row r="109">
      <c r="A109" t="inlineStr">
        <is>
          <t>TERANG MEGAH</t>
        </is>
      </c>
      <c r="B109" t="inlineStr">
        <is>
          <t>Kab. Sukabumi</t>
        </is>
      </c>
      <c r="C109" t="inlineStr">
        <is>
          <t>085720840001</t>
        </is>
      </c>
      <c r="D109" t="inlineStr">
        <is>
          <t>cv.terangmegahtrm@yahoo.com</t>
        </is>
      </c>
      <c r="E109" t="inlineStr">
        <is>
          <t>https://lpjk.pu.go.id/search-badan-usaha-detail/eit4Um5DeDI3V0g2eCtOcDZHY0RRQT09</t>
        </is>
      </c>
      <c r="F109" t="n">
        <v>4</v>
      </c>
      <c r="G109" t="inlineStr">
        <is>
          <t>BG006, BS005</t>
        </is>
      </c>
      <c r="H109" t="inlineStr">
        <is>
          <t>30 Januari 2017</t>
        </is>
      </c>
      <c r="I109" s="2" t="n">
        <v>46339</v>
      </c>
      <c r="J109" t="inlineStr">
        <is>
          <t>Disetujui</t>
        </is>
      </c>
      <c r="K109" t="n">
        <v>87</v>
      </c>
      <c r="L109" t="inlineStr">
        <is>
          <t>13 November 2026</t>
        </is>
      </c>
      <c r="M109" t="inlineStr">
        <is>
          <t>Konstruksi Bangunan Sipil Pengolahan Air Bersih, Konstruksi Gedung Pendidikan</t>
        </is>
      </c>
      <c r="N109" t="inlineStr">
        <is>
          <t>K</t>
        </is>
      </c>
      <c r="O109" t="inlineStr">
        <is>
          <t>20231106, 20231113</t>
        </is>
      </c>
      <c r="P109" t="inlineStr">
        <is>
          <t>Jawa Barat</t>
        </is>
      </c>
      <c r="Q109" t="inlineStr"/>
    </row>
    <row r="110">
      <c r="A110" t="inlineStr">
        <is>
          <t>THREE PUTRA</t>
        </is>
      </c>
      <c r="B110" t="inlineStr">
        <is>
          <t>Kab. Kutai Timur</t>
        </is>
      </c>
      <c r="C110" t="inlineStr">
        <is>
          <t>081346478871</t>
        </is>
      </c>
      <c r="D110" t="inlineStr">
        <is>
          <t>cvthreeputra0305@gmail.com</t>
        </is>
      </c>
      <c r="E110" t="inlineStr">
        <is>
          <t>https://lpjk.pu.go.id/search-badan-usaha-detail/amRYaitBVmozVFNmRE5pQTFJNFlHdz09</t>
        </is>
      </c>
      <c r="F110" t="n">
        <v>1</v>
      </c>
      <c r="G110" t="inlineStr">
        <is>
          <t>BS001</t>
        </is>
      </c>
      <c r="H110" t="inlineStr">
        <is>
          <t>7 Maret 2012</t>
        </is>
      </c>
      <c r="I110" s="2" t="n">
        <v>46339</v>
      </c>
      <c r="J110" t="inlineStr">
        <is>
          <t>Disetujui</t>
        </is>
      </c>
      <c r="K110" t="n">
        <v>87</v>
      </c>
      <c r="L110" t="inlineStr">
        <is>
          <t>13 November 2026</t>
        </is>
      </c>
      <c r="M110" t="inlineStr">
        <is>
          <t>Konstruksi Bangunan Sipil Jalan</t>
        </is>
      </c>
      <c r="N110" t="inlineStr">
        <is>
          <t>K</t>
        </is>
      </c>
      <c r="O110" t="inlineStr">
        <is>
          <t>20231109</t>
        </is>
      </c>
      <c r="P110" t="inlineStr">
        <is>
          <t>Kalimantan Timur</t>
        </is>
      </c>
      <c r="Q110" t="inlineStr"/>
    </row>
    <row r="111">
      <c r="A111" t="inlineStr">
        <is>
          <t>TIDAR CITRA GEMILANG</t>
        </is>
      </c>
      <c r="B111" t="inlineStr">
        <is>
          <t>Kota Tasikmalaya</t>
        </is>
      </c>
      <c r="C111" t="inlineStr">
        <is>
          <t>08122372560</t>
        </is>
      </c>
      <c r="D111" t="inlineStr">
        <is>
          <t>tcg_tsm@yahoo.co.id</t>
        </is>
      </c>
      <c r="E111" t="inlineStr">
        <is>
          <t>https://lpjk.pu.go.id/search-badan-usaha-detail/WE1pSHJHUG9wVHVNMUFJWm9IN2EwZz09</t>
        </is>
      </c>
      <c r="F111" t="n">
        <v>1</v>
      </c>
      <c r="G111" t="inlineStr">
        <is>
          <t>BS001</t>
        </is>
      </c>
      <c r="H111" t="inlineStr">
        <is>
          <t>23 September 1992</t>
        </is>
      </c>
      <c r="I111" s="2" t="n">
        <v>46339</v>
      </c>
      <c r="J111" t="inlineStr">
        <is>
          <t>Disetujui</t>
        </is>
      </c>
      <c r="K111" t="n">
        <v>87</v>
      </c>
      <c r="L111" t="inlineStr">
        <is>
          <t>13 November 2026</t>
        </is>
      </c>
      <c r="M111" t="inlineStr">
        <is>
          <t>Konstruksi Bangunan Sipil Jalan</t>
        </is>
      </c>
      <c r="N111" t="inlineStr">
        <is>
          <t>K</t>
        </is>
      </c>
      <c r="O111" t="inlineStr">
        <is>
          <t>20231109</t>
        </is>
      </c>
      <c r="P111" t="inlineStr">
        <is>
          <t>Jawa Barat</t>
        </is>
      </c>
      <c r="Q111" t="inlineStr"/>
    </row>
    <row r="112">
      <c r="A112" t="inlineStr">
        <is>
          <t>TIMUR CEPAT</t>
        </is>
      </c>
      <c r="B112" t="inlineStr">
        <is>
          <t>Kab. Minahasa Selatan</t>
        </is>
      </c>
      <c r="C112" t="inlineStr">
        <is>
          <t>08114317171</t>
        </is>
      </c>
      <c r="D112" t="inlineStr">
        <is>
          <t>timurcepat254@gmail.com</t>
        </is>
      </c>
      <c r="E112" t="inlineStr">
        <is>
          <t>https://lpjk.pu.go.id/search-badan-usaha-detail/OHNxQXVLNXZrZjVWK1MwOXcvWXN2Zz09</t>
        </is>
      </c>
      <c r="F112" t="n">
        <v>1</v>
      </c>
      <c r="G112" t="inlineStr">
        <is>
          <t>BG009</t>
        </is>
      </c>
      <c r="H112" t="inlineStr">
        <is>
          <t>4 Februari 2019</t>
        </is>
      </c>
      <c r="I112" s="2" t="n">
        <v>46339</v>
      </c>
      <c r="J112" t="inlineStr">
        <is>
          <t>Disetujui</t>
        </is>
      </c>
      <c r="K112" t="n">
        <v>87</v>
      </c>
      <c r="L112" t="inlineStr">
        <is>
          <t>13 November 2026</t>
        </is>
      </c>
      <c r="M112" t="inlineStr">
        <is>
          <t>Konstruksi Gedung Lainnya</t>
        </is>
      </c>
      <c r="N112" t="inlineStr">
        <is>
          <t>K</t>
        </is>
      </c>
      <c r="O112" t="inlineStr">
        <is>
          <t>20231113</t>
        </is>
      </c>
      <c r="P112" t="inlineStr">
        <is>
          <t>Sulawesi Utara</t>
        </is>
      </c>
      <c r="Q112" t="inlineStr"/>
    </row>
    <row r="113">
      <c r="A113" t="inlineStr">
        <is>
          <t>TRI RESKY UTAMA MANDIRI</t>
        </is>
      </c>
      <c r="B113" t="inlineStr">
        <is>
          <t>Kab. Maros</t>
        </is>
      </c>
      <c r="C113" t="inlineStr">
        <is>
          <t>085333222077</t>
        </is>
      </c>
      <c r="D113" t="inlineStr">
        <is>
          <t>cvreskyutamamandiri@gmail.com</t>
        </is>
      </c>
      <c r="E113" t="inlineStr">
        <is>
          <t>https://lpjk.pu.go.id/search-badan-usaha-detail/K2hXeDg5cHRqaUdyUXMwZTdxMnhpUT09</t>
        </is>
      </c>
      <c r="F113" t="n">
        <v>1</v>
      </c>
      <c r="G113" t="inlineStr">
        <is>
          <t>BG002</t>
        </is>
      </c>
      <c r="H113" t="inlineStr">
        <is>
          <t>27 November 2020</t>
        </is>
      </c>
      <c r="I113" s="2" t="n">
        <v>46339</v>
      </c>
      <c r="J113" t="inlineStr">
        <is>
          <t>Disetujui</t>
        </is>
      </c>
      <c r="K113" t="n">
        <v>87</v>
      </c>
      <c r="L113" t="inlineStr">
        <is>
          <t>13 November 2026</t>
        </is>
      </c>
      <c r="M113" t="inlineStr">
        <is>
          <t>Konstruksi Gedung Perkantoran</t>
        </is>
      </c>
      <c r="N113" t="inlineStr">
        <is>
          <t>K</t>
        </is>
      </c>
      <c r="O113" t="inlineStr">
        <is>
          <t>20231110</t>
        </is>
      </c>
      <c r="P113" t="inlineStr">
        <is>
          <t>Sulawesi Selatan</t>
        </is>
      </c>
      <c r="Q113" t="inlineStr"/>
    </row>
    <row r="114">
      <c r="A114" t="inlineStr">
        <is>
          <t>TRIARTHA NUSA ENGINEERING</t>
        </is>
      </c>
      <c r="B114" t="inlineStr">
        <is>
          <t>Kota Padang</t>
        </is>
      </c>
      <c r="C114" t="inlineStr">
        <is>
          <t>0751443932</t>
        </is>
      </c>
      <c r="D114" t="inlineStr">
        <is>
          <t>TRIARTHANUSA_PT@YMAIL.COM</t>
        </is>
      </c>
      <c r="E114" t="inlineStr">
        <is>
          <t>https://lpjk.pu.go.id/search-badan-usaha-detail/YmtoZklha3ZZdkhnbUgvSGlCaG1rZz09</t>
        </is>
      </c>
      <c r="F114" t="n">
        <v>2</v>
      </c>
      <c r="G114" t="inlineStr">
        <is>
          <t>RK001, RK002</t>
        </is>
      </c>
      <c r="H114" t="inlineStr">
        <is>
          <t>24 Januari 2007</t>
        </is>
      </c>
      <c r="I114" s="2" t="n">
        <v>46339</v>
      </c>
      <c r="J114" t="inlineStr">
        <is>
          <t>Disetujui</t>
        </is>
      </c>
      <c r="K114" t="n">
        <v>87</v>
      </c>
      <c r="L114" t="inlineStr">
        <is>
          <t>13 November 2026</t>
        </is>
      </c>
      <c r="M114" t="inlineStr">
        <is>
          <t>Jasa Rekayasa Konstruksi Bangunan Gedung Hunian dan Non Hunian, Jasa Rekayasa Pekerjaan Teknik Sipil Sumber Daya Air</t>
        </is>
      </c>
      <c r="N114" t="inlineStr">
        <is>
          <t>K</t>
        </is>
      </c>
      <c r="O114" t="inlineStr">
        <is>
          <t>20231106, 20231107</t>
        </is>
      </c>
      <c r="P114" t="inlineStr">
        <is>
          <t>Sumatera Barat</t>
        </is>
      </c>
      <c r="Q114" t="inlineStr"/>
    </row>
    <row r="115">
      <c r="A115" t="inlineStr">
        <is>
          <t>TRISULA RESTU IBU</t>
        </is>
      </c>
      <c r="B115" t="inlineStr">
        <is>
          <t>Kab. Cianjur</t>
        </is>
      </c>
      <c r="C115" t="inlineStr">
        <is>
          <t>089666661401</t>
        </is>
      </c>
      <c r="D115" t="inlineStr">
        <is>
          <t>pttrisularestuibu@outlook.com</t>
        </is>
      </c>
      <c r="E115" t="inlineStr">
        <is>
          <t>https://lpjk.pu.go.id/search-badan-usaha-detail/c0QvaXZYTWlzMXZWUDFaL1FRRms0Zz09</t>
        </is>
      </c>
      <c r="F115" t="n">
        <v>1</v>
      </c>
      <c r="G115" t="inlineStr">
        <is>
          <t>BG002</t>
        </is>
      </c>
      <c r="H115" t="inlineStr">
        <is>
          <t>22 Februari 2018</t>
        </is>
      </c>
      <c r="I115" s="2" t="n">
        <v>46339</v>
      </c>
      <c r="J115" t="inlineStr">
        <is>
          <t>Pencabutan</t>
        </is>
      </c>
      <c r="K115" t="n">
        <v>87</v>
      </c>
      <c r="L115" t="inlineStr">
        <is>
          <t>13 November 2026</t>
        </is>
      </c>
      <c r="M115" t="inlineStr">
        <is>
          <t>Konstruksi Gedung Perkantoran</t>
        </is>
      </c>
      <c r="N115" t="inlineStr">
        <is>
          <t>M</t>
        </is>
      </c>
      <c r="O115" t="inlineStr">
        <is>
          <t>20231113</t>
        </is>
      </c>
      <c r="P115" t="inlineStr">
        <is>
          <t>Jawa Barat</t>
        </is>
      </c>
      <c r="Q115" t="inlineStr"/>
    </row>
    <row r="116">
      <c r="A116" t="inlineStr">
        <is>
          <t>TSABIT JAYA TAMA</t>
        </is>
      </c>
      <c r="B116" t="inlineStr">
        <is>
          <t>Kota Samarinda</t>
        </is>
      </c>
      <c r="C116" t="inlineStr">
        <is>
          <t>081250383828</t>
        </is>
      </c>
      <c r="D116" t="inlineStr">
        <is>
          <t>tsabitjayatama@gmail.com</t>
        </is>
      </c>
      <c r="E116" t="inlineStr">
        <is>
          <t>https://lpjk.pu.go.id/search-badan-usaha-detail/bmZYelpkNUFsNVUvaVB6WUFsV1g0QT09</t>
        </is>
      </c>
      <c r="F116" t="n">
        <v>2</v>
      </c>
      <c r="G116" t="inlineStr">
        <is>
          <t>BG005, BS005</t>
        </is>
      </c>
      <c r="H116" t="inlineStr">
        <is>
          <t>20 September 2013</t>
        </is>
      </c>
      <c r="I116" s="2" t="n">
        <v>46339</v>
      </c>
      <c r="J116" t="inlineStr">
        <is>
          <t>Permohonan Perubahan Non Asesmen</t>
        </is>
      </c>
      <c r="K116" t="n">
        <v>87</v>
      </c>
      <c r="L116" t="inlineStr">
        <is>
          <t>13 November 2026</t>
        </is>
      </c>
      <c r="M116" t="inlineStr">
        <is>
          <t>Konstruksi Bangunan Sipil Pengolahan Air Bersih, Konstruksi Gedung Kesehatan</t>
        </is>
      </c>
      <c r="N116" t="inlineStr">
        <is>
          <t>M</t>
        </is>
      </c>
      <c r="O116" t="inlineStr">
        <is>
          <t>20231102, 20231114</t>
        </is>
      </c>
      <c r="P116" t="inlineStr">
        <is>
          <t>Kalimantan Timur</t>
        </is>
      </c>
      <c r="Q116" t="inlineStr"/>
    </row>
    <row r="117">
      <c r="A117" t="inlineStr">
        <is>
          <t>TUNAS TEHNIK SEJATI</t>
        </is>
      </c>
      <c r="B117" t="inlineStr">
        <is>
          <t>Kota Makassar</t>
        </is>
      </c>
      <c r="C117" t="inlineStr">
        <is>
          <t>085255997064</t>
        </is>
      </c>
      <c r="D117" t="inlineStr">
        <is>
          <t>tunastehniksejati01@gmail.com</t>
        </is>
      </c>
      <c r="E117" t="inlineStr">
        <is>
          <t>https://lpjk.pu.go.id/search-badan-usaha-detail/U2VxMytucFd2YjhiNHFpaUo3a1lHdz09</t>
        </is>
      </c>
      <c r="F117" t="n">
        <v>1</v>
      </c>
      <c r="G117" t="inlineStr">
        <is>
          <t>BS010</t>
        </is>
      </c>
      <c r="H117" t="inlineStr">
        <is>
          <t>22 Agustus 2006</t>
        </is>
      </c>
      <c r="I117" s="2" t="n">
        <v>46339</v>
      </c>
      <c r="J117" t="inlineStr">
        <is>
          <t>Pembekuan</t>
        </is>
      </c>
      <c r="K117" t="n">
        <v>87</v>
      </c>
      <c r="L117" t="inlineStr">
        <is>
          <t>13 November 2026</t>
        </is>
      </c>
      <c r="M117" t="inlineStr">
        <is>
          <t>Konstruksi Bangunan Prasarana Sumber Daya Air</t>
        </is>
      </c>
      <c r="N117" t="inlineStr">
        <is>
          <t>M</t>
        </is>
      </c>
      <c r="O117" t="inlineStr">
        <is>
          <t>20231106</t>
        </is>
      </c>
      <c r="P117" t="inlineStr">
        <is>
          <t>Sulawesi Selatan</t>
        </is>
      </c>
      <c r="Q117" t="inlineStr"/>
    </row>
    <row r="118">
      <c r="A118" t="inlineStr">
        <is>
          <t>UTARI PUTRI</t>
        </is>
      </c>
      <c r="B118" t="inlineStr">
        <is>
          <t>Kota Makassar</t>
        </is>
      </c>
      <c r="C118" t="inlineStr">
        <is>
          <t>082189648655</t>
        </is>
      </c>
      <c r="D118" t="inlineStr">
        <is>
          <t>cvutariputri@gmail.com</t>
        </is>
      </c>
      <c r="E118" t="inlineStr">
        <is>
          <t>https://lpjk.pu.go.id/search-badan-usaha-detail/eDhUTHY5M0FFbXo4YUdvcUt6Z0pjdz09</t>
        </is>
      </c>
      <c r="F118" t="n">
        <v>5</v>
      </c>
      <c r="G118" t="inlineStr">
        <is>
          <t>BG001, BG002, BG005, BG006, BG009</t>
        </is>
      </c>
      <c r="H118" t="inlineStr">
        <is>
          <t>28 Juli 2022</t>
        </is>
      </c>
      <c r="I118" s="2" t="n">
        <v>46339</v>
      </c>
      <c r="J118" t="inlineStr">
        <is>
          <t>Disetujui</t>
        </is>
      </c>
      <c r="K118" t="n">
        <v>87</v>
      </c>
      <c r="L118" t="inlineStr">
        <is>
          <t>13 November 2026</t>
        </is>
      </c>
      <c r="M118" t="inlineStr">
        <is>
          <t>Konstruksi Gedung Hunian, Konstruksi Gedung Kesehatan, Konstruksi Gedung Lainnya, Konstruksi Gedung Pendidikan, Konstruksi Gedung Perkantoran</t>
        </is>
      </c>
      <c r="N118" t="inlineStr">
        <is>
          <t>K</t>
        </is>
      </c>
      <c r="O118" t="inlineStr">
        <is>
          <t>20231113</t>
        </is>
      </c>
      <c r="P118" t="inlineStr">
        <is>
          <t>Sulawesi Selatan</t>
        </is>
      </c>
      <c r="Q118" t="inlineStr"/>
    </row>
    <row r="119">
      <c r="A119" t="inlineStr">
        <is>
          <t>WAHANA TIGA KONSTRUKSI</t>
        </is>
      </c>
      <c r="B119" t="inlineStr">
        <is>
          <t>Kota Kendari</t>
        </is>
      </c>
      <c r="C119" t="inlineStr">
        <is>
          <t>085397569789</t>
        </is>
      </c>
      <c r="D119" t="inlineStr">
        <is>
          <t>wahanatigakonstruksi@gmail.com</t>
        </is>
      </c>
      <c r="E119" t="inlineStr">
        <is>
          <t>https://lpjk.pu.go.id/search-badan-usaha-detail/N2NOVStwU1JjenE1SE4zNlVwVi9uQT09</t>
        </is>
      </c>
      <c r="F119" t="n">
        <v>1</v>
      </c>
      <c r="G119" t="inlineStr">
        <is>
          <t>BS005</t>
        </is>
      </c>
      <c r="H119" t="inlineStr">
        <is>
          <t>7 Februari 2023</t>
        </is>
      </c>
      <c r="I119" s="2" t="n">
        <v>46339</v>
      </c>
      <c r="J119" t="inlineStr">
        <is>
          <t>Pencabutan</t>
        </is>
      </c>
      <c r="K119" t="n">
        <v>87</v>
      </c>
      <c r="L119" t="inlineStr">
        <is>
          <t>13 November 2026</t>
        </is>
      </c>
      <c r="M119" t="inlineStr">
        <is>
          <t>Konstruksi Bangunan Sipil Pengolahan Air Bersih</t>
        </is>
      </c>
      <c r="N119" t="inlineStr">
        <is>
          <t>K</t>
        </is>
      </c>
      <c r="O119" t="inlineStr">
        <is>
          <t>20231112</t>
        </is>
      </c>
      <c r="P119" t="inlineStr">
        <is>
          <t>Sulawesi Tenggara</t>
        </is>
      </c>
      <c r="Q1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7"/>
  <sheetViews>
    <sheetView workbookViewId="0">
      <selection activeCell="A1" sqref="A1"/>
    </sheetView>
  </sheetViews>
  <sheetFormatPr baseColWidth="8" defaultRowHeight="15"/>
  <cols>
    <col width="36" customWidth="1" min="1" max="1"/>
    <col width="27" customWidth="1" min="2" max="2"/>
    <col width="16" customWidth="1" min="3" max="3"/>
    <col width="40" customWidth="1" min="4" max="4"/>
    <col width="50" customWidth="1" min="5" max="5"/>
    <col width="18" customWidth="1" min="6" max="6"/>
    <col width="50" customWidth="1" min="7" max="7"/>
    <col width="20" customWidth="1" min="8" max="8"/>
    <col width="28" customWidth="1" min="9" max="9"/>
    <col width="34" customWidth="1" min="10" max="10"/>
    <col width="11" customWidth="1" min="11" max="11"/>
    <col width="17" customWidth="1" min="12" max="12"/>
    <col width="50" customWidth="1" min="13" max="13"/>
    <col width="17"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ABDEE ANTUSIAS</t>
        </is>
      </c>
      <c r="B2" t="inlineStr">
        <is>
          <t>Kab. Bekasi</t>
        </is>
      </c>
      <c r="C2" t="inlineStr">
        <is>
          <t>081280361456</t>
        </is>
      </c>
      <c r="D2" t="inlineStr">
        <is>
          <t>abdie.antusias@gmail.com</t>
        </is>
      </c>
      <c r="E2" t="inlineStr">
        <is>
          <t>https://lpjk.pu.go.id/search-badan-usaha-detail/eEdUM2N6WUxlZ3NwSS9SVEtGVjNHQT09</t>
        </is>
      </c>
      <c r="F2" t="n">
        <v>1</v>
      </c>
      <c r="G2" t="inlineStr">
        <is>
          <t>BS004</t>
        </is>
      </c>
      <c r="H2" t="inlineStr">
        <is>
          <t>21 Desember 2009</t>
        </is>
      </c>
      <c r="I2" s="2" t="n">
        <v>46312</v>
      </c>
      <c r="J2" t="inlineStr">
        <is>
          <t>Disetujui</t>
        </is>
      </c>
      <c r="K2" t="n">
        <v>60</v>
      </c>
      <c r="L2" t="inlineStr">
        <is>
          <t>17 Oktober 2026</t>
        </is>
      </c>
      <c r="M2" t="inlineStr">
        <is>
          <t>Konstruksi Jaringan Irigasi dan Drainase</t>
        </is>
      </c>
      <c r="N2" t="inlineStr">
        <is>
          <t>K</t>
        </is>
      </c>
      <c r="O2" t="inlineStr">
        <is>
          <t>20231010</t>
        </is>
      </c>
      <c r="P2" t="inlineStr">
        <is>
          <t>Jawa Barat</t>
        </is>
      </c>
      <c r="Q2" s="3">
        <f>HYPERLINK("https://wa.me/6281280361456?text=*[PENGINGAT MASA BERLAKU SBU ABDEE ANTUSIAS]*%0A%0AYth. Pimpinan ABDEE ANTUSIAS,%0AMohon izin menginformasikan status SBU Anda di sistem LPJK:%0A%0A📄 SBU: BS004%0A📅 Expired: 17 Oktober 2026 (60 Hari Lagi)%0A%0AKami tim PT. ESDEA Assistance Management siap men-support proses perpanjangan segera agar administrasi proyek tidak terhambat%0A%0AApakah boleh saya bantu siapkan estimasi biaya dan waktu pengerjaannya?.", "Hubungi")</f>
        <v/>
      </c>
    </row>
    <row r="3">
      <c r="A3" t="inlineStr">
        <is>
          <t>ADHIKARYA TEKNIK PERKASA</t>
        </is>
      </c>
      <c r="B3" t="inlineStr">
        <is>
          <t>Kota Adm. Jakarta Timur</t>
        </is>
      </c>
      <c r="C3" t="inlineStr">
        <is>
          <t>0214890787</t>
        </is>
      </c>
      <c r="D3" t="inlineStr">
        <is>
          <t>adhikarya_perkasa@yahoo.com</t>
        </is>
      </c>
      <c r="E3" t="inlineStr">
        <is>
          <t>https://lpjk.pu.go.id/search-badan-usaha-detail/bnd2RE9mdkp5UE5QK2NkTk5Yd1J3Zz09</t>
        </is>
      </c>
      <c r="F3" t="n">
        <v>3</v>
      </c>
      <c r="G3" t="inlineStr">
        <is>
          <t>BG003</t>
        </is>
      </c>
      <c r="H3" t="inlineStr">
        <is>
          <t>21 November 2003</t>
        </is>
      </c>
      <c r="I3" s="2" t="n">
        <v>46312</v>
      </c>
      <c r="J3" t="inlineStr">
        <is>
          <t>Disetujui</t>
        </is>
      </c>
      <c r="K3" t="n">
        <v>60</v>
      </c>
      <c r="L3" t="inlineStr">
        <is>
          <t>17 Oktober 2026</t>
        </is>
      </c>
      <c r="M3" t="inlineStr">
        <is>
          <t>Konstruksi Gedung Industri</t>
        </is>
      </c>
      <c r="N3" t="inlineStr">
        <is>
          <t>M</t>
        </is>
      </c>
      <c r="O3" t="inlineStr">
        <is>
          <t>20230905</t>
        </is>
      </c>
      <c r="P3" t="inlineStr">
        <is>
          <t>DKI Jakarta</t>
        </is>
      </c>
      <c r="Q3" t="inlineStr"/>
    </row>
    <row r="4">
      <c r="A4" t="inlineStr">
        <is>
          <t>ADINATA SURYA PRATAMA</t>
        </is>
      </c>
      <c r="B4" t="inlineStr">
        <is>
          <t>Kab. Bekasi</t>
        </is>
      </c>
      <c r="C4" t="inlineStr">
        <is>
          <t>08111343492</t>
        </is>
      </c>
      <c r="D4" t="inlineStr">
        <is>
          <t>adinataoffice@gmail.com</t>
        </is>
      </c>
      <c r="E4" t="inlineStr">
        <is>
          <t>https://lpjk.pu.go.id/search-badan-usaha-detail/K2podTBJemVuVjVIcC9oSnlld1BsUT09</t>
        </is>
      </c>
      <c r="F4" t="n">
        <v>2</v>
      </c>
      <c r="G4" t="inlineStr">
        <is>
          <t>RK001</t>
        </is>
      </c>
      <c r="H4" t="inlineStr">
        <is>
          <t>27 September 2011</t>
        </is>
      </c>
      <c r="I4" s="2" t="n">
        <v>46312</v>
      </c>
      <c r="J4" t="inlineStr">
        <is>
          <t>Disetujui</t>
        </is>
      </c>
      <c r="K4" t="n">
        <v>60</v>
      </c>
      <c r="L4" t="inlineStr">
        <is>
          <t>17 Oktober 2026</t>
        </is>
      </c>
      <c r="M4" t="inlineStr">
        <is>
          <t>Jasa Rekayasa Konstruksi Bangunan Gedung Hunian dan Non Hunian</t>
        </is>
      </c>
      <c r="N4" t="inlineStr">
        <is>
          <t>K</t>
        </is>
      </c>
      <c r="O4" t="inlineStr">
        <is>
          <t>20231010</t>
        </is>
      </c>
      <c r="P4" t="inlineStr">
        <is>
          <t>Jawa Barat</t>
        </is>
      </c>
      <c r="Q4" s="3">
        <f>HYPERLINK("https://wa.me/628111343492?text=*[PENGINGAT MASA BERLAKU SBU ADINATA SURYA PRATAMA]*%0A%0AYth. Pimpinan ADINATA SURYA PRATAMA,%0AMohon izin menginformasikan status SBU Anda di sistem LPJK:%0A%0A📄 SBU: RK001%0A📅 Expired: 17 Oktober 2026 (60 Hari Lagi)%0A%0AKami tim PT. ESDEA Assistance Management siap men-support proses perpanjangan segera agar administrasi proyek tidak terhambat%0A%0AApakah boleh saya bantu siapkan estimasi biaya dan waktu pengerjaannya?.", "Hubungi")</f>
        <v/>
      </c>
    </row>
    <row r="5">
      <c r="A5" t="inlineStr">
        <is>
          <t>ANUGERAH PUTERA SEMBILAN</t>
        </is>
      </c>
      <c r="B5" t="inlineStr">
        <is>
          <t>Kota Depok</t>
        </is>
      </c>
      <c r="C5" t="inlineStr">
        <is>
          <t>02177216217</t>
        </is>
      </c>
      <c r="D5" t="inlineStr">
        <is>
          <t>simpuldipantara@gmail.com</t>
        </is>
      </c>
      <c r="E5" t="inlineStr">
        <is>
          <t>https://lpjk.pu.go.id/search-badan-usaha-detail/YzBpZVpSSVY1Yi9ZcW5FQTVSM0xGZz09</t>
        </is>
      </c>
      <c r="F5" t="n">
        <v>1</v>
      </c>
      <c r="G5" t="inlineStr">
        <is>
          <t>BG001</t>
        </is>
      </c>
      <c r="H5" t="inlineStr">
        <is>
          <t>9 Februari 2012</t>
        </is>
      </c>
      <c r="I5" s="2" t="n">
        <v>46312</v>
      </c>
      <c r="J5" t="inlineStr">
        <is>
          <t>Disetujui</t>
        </is>
      </c>
      <c r="K5" t="n">
        <v>60</v>
      </c>
      <c r="L5" t="inlineStr">
        <is>
          <t>17 Oktober 2026</t>
        </is>
      </c>
      <c r="M5" t="inlineStr">
        <is>
          <t>Konstruksi Gedung Hunian</t>
        </is>
      </c>
      <c r="N5" t="inlineStr">
        <is>
          <t>K</t>
        </is>
      </c>
      <c r="O5" t="inlineStr">
        <is>
          <t>20231017</t>
        </is>
      </c>
      <c r="P5" t="inlineStr">
        <is>
          <t>Jawa Barat</t>
        </is>
      </c>
      <c r="Q5" t="inlineStr"/>
    </row>
    <row r="6">
      <c r="A6" t="inlineStr">
        <is>
          <t>BELLA KARYA BERSINERGI MANDIRI</t>
        </is>
      </c>
      <c r="B6" t="inlineStr">
        <is>
          <t>Kota Depok</t>
        </is>
      </c>
      <c r="C6" t="inlineStr">
        <is>
          <t>082299411808</t>
        </is>
      </c>
      <c r="D6" t="inlineStr">
        <is>
          <t>bbersinergi@gmail.com</t>
        </is>
      </c>
      <c r="E6" t="inlineStr">
        <is>
          <t>https://lpjk.pu.go.id/search-badan-usaha-detail/a0YrK2gweGF1aTMxT1lvaitzdG5KZz09</t>
        </is>
      </c>
      <c r="F6" t="n">
        <v>3</v>
      </c>
      <c r="G6" t="inlineStr">
        <is>
          <t>BG006, BG009</t>
        </is>
      </c>
      <c r="H6" t="inlineStr">
        <is>
          <t>12 Februari 2019</t>
        </is>
      </c>
      <c r="I6" s="2" t="n">
        <v>46312</v>
      </c>
      <c r="J6" t="inlineStr">
        <is>
          <t>Disetujui</t>
        </is>
      </c>
      <c r="K6" t="n">
        <v>60</v>
      </c>
      <c r="L6" t="inlineStr">
        <is>
          <t>17 Oktober 2026</t>
        </is>
      </c>
      <c r="M6" t="inlineStr">
        <is>
          <t>Konstruksi Gedung Lainnya, Konstruksi Gedung Pendidikan</t>
        </is>
      </c>
      <c r="N6" t="inlineStr">
        <is>
          <t>K</t>
        </is>
      </c>
      <c r="O6" t="inlineStr">
        <is>
          <t>20230918</t>
        </is>
      </c>
      <c r="P6" t="inlineStr">
        <is>
          <t>Jawa Barat</t>
        </is>
      </c>
      <c r="Q6" s="3">
        <f>HYPERLINK("https://wa.me/6282299411808?text=*[PENGINGAT MASA BERLAKU SBU BELLA KARYA BERSINERGI MANDIRI]*%0A%0AYth. Pimpinan BELLA KARYA BERSINERGI MANDIRI,%0AMohon izin menginformasikan status SBU Anda di sistem LPJK:%0A%0A📄 SBU: BG006, BG009%0A📅 Expired: 17 Oktober 2026 (60 Hari Lagi)%0A%0AKami tim PT. ESDEA Assistance Management siap men-support proses perpanjangan segera agar administrasi proyek tidak terhambat%0A%0AApakah boleh saya bantu siapkan estimasi biaya dan waktu pengerjaannya?.", "Hubungi")</f>
        <v/>
      </c>
    </row>
    <row r="7">
      <c r="A7" t="inlineStr">
        <is>
          <t>BINTANG KARYA KONSTRUKSI</t>
        </is>
      </c>
      <c r="B7" t="inlineStr">
        <is>
          <t>Kab. Bogor</t>
        </is>
      </c>
      <c r="C7" t="inlineStr">
        <is>
          <t>085716280300</t>
        </is>
      </c>
      <c r="D7" t="inlineStr">
        <is>
          <t>bkaryakonstruksi@gmail.com</t>
        </is>
      </c>
      <c r="E7" t="inlineStr">
        <is>
          <t>https://lpjk.pu.go.id/search-badan-usaha-detail/eWhrdS9obFE2bEp5bnJLekFrbTEzZz09</t>
        </is>
      </c>
      <c r="F7" t="n">
        <v>4</v>
      </c>
      <c r="G7" t="inlineStr">
        <is>
          <t>BG001, BS001</t>
        </is>
      </c>
      <c r="H7" t="inlineStr">
        <is>
          <t>18 Agustus 2023</t>
        </is>
      </c>
      <c r="I7" s="2" t="n">
        <v>46312</v>
      </c>
      <c r="J7" t="inlineStr">
        <is>
          <t>Disetujui</t>
        </is>
      </c>
      <c r="K7" t="n">
        <v>60</v>
      </c>
      <c r="L7" t="inlineStr">
        <is>
          <t>17 Oktober 2026</t>
        </is>
      </c>
      <c r="M7" t="inlineStr">
        <is>
          <t>Konstruksi Bangunan Sipil Jalan, Konstruksi Gedung Hunian</t>
        </is>
      </c>
      <c r="N7" t="inlineStr">
        <is>
          <t>K</t>
        </is>
      </c>
      <c r="O7" t="inlineStr">
        <is>
          <t>20231017</t>
        </is>
      </c>
      <c r="P7" t="inlineStr">
        <is>
          <t>Jawa Barat</t>
        </is>
      </c>
      <c r="Q7" s="3">
        <f>HYPERLINK("https://wa.me/6285716280300?text=*[PENGINGAT MASA BERLAKU SBU BINTANG KARYA KONSTRUKSI]*%0A%0AYth. Pimpinan BINTANG KARYA KONSTRUKSI,%0AMohon izin menginformasikan status SBU Anda di sistem LPJK:%0A%0A📄 SBU: BG001, BS001%0A📅 Expired: 17 Oktober 2026 (60 Hari Lagi)%0A%0AKami tim PT. ESDEA Assistance Management siap men-support proses perpanjangan segera agar administrasi proyek tidak terhambat%0A%0AApakah boleh saya bantu siapkan estimasi biaya dan waktu pengerjaannya?.", "Hubungi")</f>
        <v/>
      </c>
    </row>
    <row r="8">
      <c r="A8" t="inlineStr">
        <is>
          <t>KARYA JOUJA GEMILANG</t>
        </is>
      </c>
      <c r="B8" t="inlineStr">
        <is>
          <t>Kab. Bogor</t>
        </is>
      </c>
      <c r="C8" t="inlineStr">
        <is>
          <t>081210104992</t>
        </is>
      </c>
      <c r="D8" t="inlineStr">
        <is>
          <t>kjg70@yahoo.com</t>
        </is>
      </c>
      <c r="E8" t="inlineStr">
        <is>
          <t>https://lpjk.pu.go.id/search-badan-usaha-detail/QWNYV1hTQ0pFSk1mWTBEZk1oK0h4dz09</t>
        </is>
      </c>
      <c r="F8" t="n">
        <v>2</v>
      </c>
      <c r="G8" t="inlineStr">
        <is>
          <t>BS001, BS004</t>
        </is>
      </c>
      <c r="H8" t="inlineStr">
        <is>
          <t>3 Agustus 2023</t>
        </is>
      </c>
      <c r="I8" s="2" t="n">
        <v>46312</v>
      </c>
      <c r="J8" t="inlineStr">
        <is>
          <t>Disetujui</t>
        </is>
      </c>
      <c r="K8" t="n">
        <v>60</v>
      </c>
      <c r="L8" t="inlineStr">
        <is>
          <t>17 Oktober 2026</t>
        </is>
      </c>
      <c r="M8" t="inlineStr">
        <is>
          <t>Konstruksi Bangunan Sipil Jalan, Konstruksi Jaringan Irigasi dan Drainase</t>
        </is>
      </c>
      <c r="N8" t="inlineStr">
        <is>
          <t>K</t>
        </is>
      </c>
      <c r="O8" t="inlineStr">
        <is>
          <t>20231012</t>
        </is>
      </c>
      <c r="P8" t="inlineStr">
        <is>
          <t>Jawa Barat</t>
        </is>
      </c>
      <c r="Q8" s="3">
        <f>HYPERLINK("https://wa.me/6281210104992?text=*[PENGINGAT MASA BERLAKU SBU KARYA JOUJA GEMILANG]*%0A%0AYth. Pimpinan KARYA JOUJA GEMILANG,%0AMohon izin menginformasikan status SBU Anda di sistem LPJK:%0A%0A📄 SBU: BS001, BS004%0A📅 Expired: 17 Oktober 2026 (60 Hari Lagi)%0A%0AKami tim PT. ESDEA Assistance Management siap men-support proses perpanjangan segera agar administrasi proyek tidak terhambat%0A%0AApakah boleh saya bantu siapkan estimasi biaya dan waktu pengerjaannya?.", "Hubungi")</f>
        <v/>
      </c>
    </row>
    <row r="9">
      <c r="A9" t="inlineStr">
        <is>
          <t>MARANTI TRENCHLESINDO ABADI</t>
        </is>
      </c>
      <c r="B9" t="inlineStr">
        <is>
          <t>Kab. Bekasi</t>
        </is>
      </c>
      <c r="C9" t="inlineStr">
        <is>
          <t>021893254465</t>
        </is>
      </c>
      <c r="D9" t="inlineStr">
        <is>
          <t>meranti.trenchlesindo@gmail.com</t>
        </is>
      </c>
      <c r="E9" t="inlineStr">
        <is>
          <t>https://lpjk.pu.go.id/search-badan-usaha-detail/SzFyM3ZpS1AwdWhTTWVGbzZXRVRsQT09</t>
        </is>
      </c>
      <c r="F9" t="n">
        <v>3</v>
      </c>
      <c r="G9" t="inlineStr">
        <is>
          <t>BG001</t>
        </is>
      </c>
      <c r="H9" t="inlineStr">
        <is>
          <t>4 November 2020</t>
        </is>
      </c>
      <c r="I9" s="2" t="n">
        <v>46312</v>
      </c>
      <c r="J9" t="inlineStr">
        <is>
          <t>Disetujui</t>
        </is>
      </c>
      <c r="K9" t="n">
        <v>60</v>
      </c>
      <c r="L9" t="inlineStr">
        <is>
          <t>17 Oktober 2026</t>
        </is>
      </c>
      <c r="M9" t="inlineStr">
        <is>
          <t>Konstruksi Gedung Hunian</t>
        </is>
      </c>
      <c r="N9" t="inlineStr">
        <is>
          <t>K</t>
        </is>
      </c>
      <c r="O9" t="inlineStr">
        <is>
          <t>20231013</t>
        </is>
      </c>
      <c r="P9" t="inlineStr">
        <is>
          <t>Jawa Barat</t>
        </is>
      </c>
      <c r="Q9" t="inlineStr"/>
    </row>
    <row r="10">
      <c r="A10" t="inlineStr">
        <is>
          <t>MITRA TIRTA SUKSES</t>
        </is>
      </c>
      <c r="B10" t="inlineStr">
        <is>
          <t>Kota Adm. Jakarta Timur</t>
        </is>
      </c>
      <c r="C10" t="inlineStr">
        <is>
          <t>02129474881</t>
        </is>
      </c>
      <c r="D10" t="inlineStr">
        <is>
          <t>pt.mitra.tirta.sukses@gmail.com</t>
        </is>
      </c>
      <c r="E10" t="inlineStr">
        <is>
          <t>https://lpjk.pu.go.id/search-badan-usaha-detail/WHdrRk9XWmdNK090WEcvTXJFU21GQT09</t>
        </is>
      </c>
      <c r="F10" t="n">
        <v>1</v>
      </c>
      <c r="G10" t="inlineStr">
        <is>
          <t>BS005</t>
        </is>
      </c>
      <c r="H10" t="inlineStr">
        <is>
          <t>26 Oktober 2010</t>
        </is>
      </c>
      <c r="I10" s="2" t="n">
        <v>46312</v>
      </c>
      <c r="J10" t="inlineStr">
        <is>
          <t>Disetujui</t>
        </is>
      </c>
      <c r="K10" t="n">
        <v>60</v>
      </c>
      <c r="L10" t="inlineStr">
        <is>
          <t>17 Oktober 2026</t>
        </is>
      </c>
      <c r="M10" t="inlineStr">
        <is>
          <t>Konstruksi Bangunan Sipil Pengolahan Air Bersih</t>
        </is>
      </c>
      <c r="N10" t="inlineStr">
        <is>
          <t>K</t>
        </is>
      </c>
      <c r="O10" t="inlineStr">
        <is>
          <t>20231017</t>
        </is>
      </c>
      <c r="P10" t="inlineStr">
        <is>
          <t>DKI Jakarta</t>
        </is>
      </c>
      <c r="Q10" t="inlineStr"/>
    </row>
    <row r="11">
      <c r="A11" t="inlineStr">
        <is>
          <t>NUSALINTAS PERSADA OPTINET</t>
        </is>
      </c>
      <c r="B11" t="inlineStr">
        <is>
          <t>Kota Depok</t>
        </is>
      </c>
      <c r="C11" t="inlineStr">
        <is>
          <t>081287032661</t>
        </is>
      </c>
      <c r="D11" t="inlineStr">
        <is>
          <t>lintasnuspersadaoptinet@gmail.com</t>
        </is>
      </c>
      <c r="E11" t="inlineStr">
        <is>
          <t>https://lpjk.pu.go.id/search-badan-usaha-detail/bjdQYzhxV2dyZHdVZnRIcFNqZTNrZz09</t>
        </is>
      </c>
      <c r="F11" t="n">
        <v>2</v>
      </c>
      <c r="G11" t="inlineStr">
        <is>
          <t>BS001</t>
        </is>
      </c>
      <c r="H11" t="inlineStr">
        <is>
          <t>27 Juni 2023</t>
        </is>
      </c>
      <c r="I11" s="2" t="n">
        <v>46312</v>
      </c>
      <c r="J11" t="inlineStr">
        <is>
          <t>Pencabutan</t>
        </is>
      </c>
      <c r="K11" t="n">
        <v>60</v>
      </c>
      <c r="L11" t="inlineStr">
        <is>
          <t>17 Oktober 2026</t>
        </is>
      </c>
      <c r="M11" t="inlineStr">
        <is>
          <t>Konstruksi Bangunan Sipil Jalan</t>
        </is>
      </c>
      <c r="N11" t="inlineStr">
        <is>
          <t>K</t>
        </is>
      </c>
      <c r="O11" t="inlineStr">
        <is>
          <t>20230726</t>
        </is>
      </c>
      <c r="P11" t="inlineStr">
        <is>
          <t>Jawa Barat</t>
        </is>
      </c>
      <c r="Q11" s="3">
        <f>HYPERLINK("https://wa.me/6281287032661?text=*[PENGINGAT MASA BERLAKU SBU NUSALINTAS PERSADA OPTINET]*%0A%0AYth. Pimpinan NUSALINTAS PERSADA OPTINET,%0AMohon izin menginformasikan status SBU Anda di sistem LPJK:%0A%0A📄 SBU: BS001%0A📅 Expired: 17 Oktober 2026 (60 Hari Lagi)%0A%0AKami tim PT. ESDEA Assistance Management siap men-support proses perpanjangan segera agar administrasi proyek tidak terhambat%0A%0AApakah boleh saya bantu siapkan estimasi biaya dan waktu pengerjaannya?.", "Hubungi")</f>
        <v/>
      </c>
    </row>
    <row r="12">
      <c r="A12" t="inlineStr">
        <is>
          <t>PAGAR LUHUR LESTARI</t>
        </is>
      </c>
      <c r="B12" t="inlineStr">
        <is>
          <t>Kota Bekasi</t>
        </is>
      </c>
      <c r="C12" t="inlineStr">
        <is>
          <t>071388551515</t>
        </is>
      </c>
      <c r="D12" t="inlineStr">
        <is>
          <t>cvpagarluhurlestari@gmail.com</t>
        </is>
      </c>
      <c r="E12" t="inlineStr">
        <is>
          <t>https://lpjk.pu.go.id/search-badan-usaha-detail/ZitiTXhOMWhiT0M1SVp6ZnYrSXhGUT09</t>
        </is>
      </c>
      <c r="F12" t="n">
        <v>2</v>
      </c>
      <c r="G12" t="inlineStr">
        <is>
          <t>BG001, BG003</t>
        </is>
      </c>
      <c r="H12" t="inlineStr">
        <is>
          <t>13 Januari 2016</t>
        </is>
      </c>
      <c r="I12" s="2" t="n">
        <v>46312</v>
      </c>
      <c r="J12" t="inlineStr">
        <is>
          <t>Disetujui</t>
        </is>
      </c>
      <c r="K12" t="n">
        <v>60</v>
      </c>
      <c r="L12" t="inlineStr">
        <is>
          <t>17 Oktober 2026</t>
        </is>
      </c>
      <c r="M12" t="inlineStr">
        <is>
          <t>Konstruksi Gedung Hunian, Konstruksi Gedung Industri</t>
        </is>
      </c>
      <c r="N12" t="inlineStr">
        <is>
          <t>K</t>
        </is>
      </c>
      <c r="O12" t="inlineStr">
        <is>
          <t>20231017</t>
        </is>
      </c>
      <c r="P12" t="inlineStr">
        <is>
          <t>Jawa Barat</t>
        </is>
      </c>
      <c r="Q12" s="3">
        <f>HYPERLINK("https://wa.me/6271388551515?text=*[PENGINGAT MASA BERLAKU SBU PAGAR LUHUR LESTARI]*%0A%0AYth. Pimpinan PAGAR LUHUR LESTARI,%0AMohon izin menginformasikan status SBU Anda di sistem LPJK:%0A%0A📄 SBU: BG001, BG003%0A📅 Expired: 17 Oktober 2026 (60 Hari Lagi)%0A%0AKami tim PT. ESDEA Assistance Management siap men-support proses perpanjangan segera agar administrasi proyek tidak terhambat%0A%0AApakah boleh saya bantu siapkan estimasi biaya dan waktu pengerjaannya?.", "Hubungi")</f>
        <v/>
      </c>
    </row>
    <row r="13">
      <c r="A13" t="inlineStr">
        <is>
          <t>SAHABAT PUTRA JAVA</t>
        </is>
      </c>
      <c r="B13" t="inlineStr">
        <is>
          <t>Kota Adm. Jakarta Timur</t>
        </is>
      </c>
      <c r="C13" t="inlineStr">
        <is>
          <t>02187787546</t>
        </is>
      </c>
      <c r="D13" t="inlineStr">
        <is>
          <t>ptsahabat_java@ymail.com</t>
        </is>
      </c>
      <c r="E13" t="inlineStr">
        <is>
          <t>https://lpjk.pu.go.id/search-badan-usaha-detail/VE44NU9QcFYvYXdLVk5mVkVpUG1nQT09</t>
        </is>
      </c>
      <c r="F13" t="n">
        <v>1</v>
      </c>
      <c r="G13" t="inlineStr">
        <is>
          <t>BG006</t>
        </is>
      </c>
      <c r="H13" t="inlineStr">
        <is>
          <t>28 Maret 2006</t>
        </is>
      </c>
      <c r="I13" s="2" t="n">
        <v>46312</v>
      </c>
      <c r="J13" t="inlineStr">
        <is>
          <t>Pencabutan</t>
        </is>
      </c>
      <c r="K13" t="n">
        <v>60</v>
      </c>
      <c r="L13" t="inlineStr">
        <is>
          <t>17 Oktober 2026</t>
        </is>
      </c>
      <c r="M13" t="inlineStr">
        <is>
          <t>Konstruksi Gedung Pendidikan</t>
        </is>
      </c>
      <c r="N13" t="inlineStr">
        <is>
          <t>K</t>
        </is>
      </c>
      <c r="O13" t="inlineStr">
        <is>
          <t>20231013</t>
        </is>
      </c>
      <c r="P13" t="inlineStr">
        <is>
          <t>DKI Jakarta</t>
        </is>
      </c>
      <c r="Q13" t="inlineStr"/>
    </row>
    <row r="14">
      <c r="A14" t="inlineStr">
        <is>
          <t>SERINTUNAN</t>
        </is>
      </c>
      <c r="B14" t="inlineStr">
        <is>
          <t>Kab. Bogor</t>
        </is>
      </c>
      <c r="C14" t="inlineStr">
        <is>
          <t>08128061344</t>
        </is>
      </c>
      <c r="D14" t="inlineStr">
        <is>
          <t>cvserintunan@gmail.com</t>
        </is>
      </c>
      <c r="E14" t="inlineStr">
        <is>
          <t>https://lpjk.pu.go.id/search-badan-usaha-detail/U082RUV0KzZuTnUvcFVkT2tJZkR5dz09</t>
        </is>
      </c>
      <c r="F14" t="n">
        <v>2</v>
      </c>
      <c r="G14" t="inlineStr">
        <is>
          <t>BG005, BS004</t>
        </is>
      </c>
      <c r="H14" t="inlineStr">
        <is>
          <t>27 Januari 1999</t>
        </is>
      </c>
      <c r="I14" s="2" t="n">
        <v>46312</v>
      </c>
      <c r="J14" t="inlineStr">
        <is>
          <t>Disetujui</t>
        </is>
      </c>
      <c r="K14" t="n">
        <v>60</v>
      </c>
      <c r="L14" t="inlineStr">
        <is>
          <t>17 Oktober 2026</t>
        </is>
      </c>
      <c r="M14" t="inlineStr">
        <is>
          <t>Konstruksi Gedung Kesehatan, Konstruksi Jaringan Irigasi dan Drainase</t>
        </is>
      </c>
      <c r="N14" t="inlineStr">
        <is>
          <t>K</t>
        </is>
      </c>
      <c r="O14" t="inlineStr">
        <is>
          <t>20231012</t>
        </is>
      </c>
      <c r="P14" t="inlineStr">
        <is>
          <t>Jawa Barat</t>
        </is>
      </c>
      <c r="Q14" s="3">
        <f>HYPERLINK("https://wa.me/628128061344?text=*[PENGINGAT MASA BERLAKU SBU SERINTUNAN]*%0A%0AYth. Pimpinan SERINTUNAN,%0AMohon izin menginformasikan status SBU Anda di sistem LPJK:%0A%0A📄 SBU: BG005, BS004%0A📅 Expired: 17 Oktober 2026 (60 Hari Lagi)%0A%0AKami tim PT. ESDEA Assistance Management siap men-support proses perpanjangan segera agar administrasi proyek tidak terhambat%0A%0AApakah boleh saya bantu siapkan estimasi biaya dan waktu pengerjaannya?.", "Hubungi")</f>
        <v/>
      </c>
    </row>
    <row r="15">
      <c r="A15" t="inlineStr">
        <is>
          <t>SETARSA PUTRA MANDIRI</t>
        </is>
      </c>
      <c r="B15" t="inlineStr">
        <is>
          <t>Kota Depok</t>
        </is>
      </c>
      <c r="C15" t="inlineStr">
        <is>
          <t>081211144399</t>
        </is>
      </c>
      <c r="D15" t="inlineStr">
        <is>
          <t>mandirisetarsa@gmail.com</t>
        </is>
      </c>
      <c r="E15" t="inlineStr">
        <is>
          <t>https://lpjk.pu.go.id/search-badan-usaha-detail/ekZGNTBkQkdzT3dJOUV6eEttT2J4dz09</t>
        </is>
      </c>
      <c r="F15" t="n">
        <v>2</v>
      </c>
      <c r="G15" t="inlineStr">
        <is>
          <t>BG009, BS009</t>
        </is>
      </c>
      <c r="H15" t="inlineStr">
        <is>
          <t>27 Februari 2019</t>
        </is>
      </c>
      <c r="I15" s="2" t="n">
        <v>46312</v>
      </c>
      <c r="J15" t="inlineStr">
        <is>
          <t>Disetujui</t>
        </is>
      </c>
      <c r="K15" t="n">
        <v>60</v>
      </c>
      <c r="L15" t="inlineStr">
        <is>
          <t>17 Oktober 2026</t>
        </is>
      </c>
      <c r="M15" t="inlineStr">
        <is>
          <t>Konstruksi Gedung Lainnya, Konstruksi Sentral Telekomunikasi</t>
        </is>
      </c>
      <c r="N15" t="inlineStr">
        <is>
          <t>K</t>
        </is>
      </c>
      <c r="O15" t="inlineStr">
        <is>
          <t>20231013</t>
        </is>
      </c>
      <c r="P15" t="inlineStr">
        <is>
          <t>Jawa Barat</t>
        </is>
      </c>
      <c r="Q15" s="3">
        <f>HYPERLINK("https://wa.me/6281211144399?text=*[PENGINGAT MASA BERLAKU SBU SETARSA PUTRA MANDIRI]*%0A%0AYth. Pimpinan SETARSA PUTRA MANDIRI,%0AMohon izin menginformasikan status SBU Anda di sistem LPJK:%0A%0A📄 SBU: BG009, BS009%0A📅 Expired: 17 Oktober 2026 (60 Hari Lagi)%0A%0AKami tim PT. ESDEA Assistance Management siap men-support proses perpanjangan segera agar administrasi proyek tidak terhambat%0A%0AApakah boleh saya bantu siapkan estimasi biaya dan waktu pengerjaannya?.", "Hubungi")</f>
        <v/>
      </c>
    </row>
    <row r="16">
      <c r="A16" t="inlineStr">
        <is>
          <t>SURYAJAYA GEMILANG INDONESIA</t>
        </is>
      </c>
      <c r="B16" t="inlineStr">
        <is>
          <t>Kab. Bekasi</t>
        </is>
      </c>
      <c r="C16" t="inlineStr">
        <is>
          <t>02121253754</t>
        </is>
      </c>
      <c r="D16" t="inlineStr">
        <is>
          <t>Suryajayagemilangofficial1@gmail.com</t>
        </is>
      </c>
      <c r="E16" t="inlineStr">
        <is>
          <t>https://lpjk.pu.go.id/search-badan-usaha-detail/a0RaSkxnZ29NTHVkTUpVWlpjUnBXZz09</t>
        </is>
      </c>
      <c r="F16" t="n">
        <v>1</v>
      </c>
      <c r="G16" t="inlineStr">
        <is>
          <t>KK011</t>
        </is>
      </c>
      <c r="H16" t="inlineStr">
        <is>
          <t>7 September 2020</t>
        </is>
      </c>
      <c r="I16" s="2" t="n">
        <v>46312</v>
      </c>
      <c r="J16" t="inlineStr">
        <is>
          <t>Disetujui</t>
        </is>
      </c>
      <c r="K16" t="n">
        <v>60</v>
      </c>
      <c r="L16" t="inlineStr">
        <is>
          <t>17 Oktober 2026</t>
        </is>
      </c>
      <c r="M16" t="inlineStr">
        <is>
          <t>Pemasangan Rangka dan Atap/Roof Covering</t>
        </is>
      </c>
      <c r="N16" t="inlineStr">
        <is>
          <t>Spesialis</t>
        </is>
      </c>
      <c r="O16" t="inlineStr">
        <is>
          <t>20231014</t>
        </is>
      </c>
      <c r="P16" t="inlineStr">
        <is>
          <t>Jawa Barat</t>
        </is>
      </c>
      <c r="Q16" t="inlineStr"/>
    </row>
    <row r="17">
      <c r="A17" t="inlineStr">
        <is>
          <t>TRI SUTA BARA</t>
        </is>
      </c>
      <c r="B17" t="inlineStr">
        <is>
          <t>Kab. Bekasi</t>
        </is>
      </c>
      <c r="C17" t="inlineStr">
        <is>
          <t>08578005197</t>
        </is>
      </c>
      <c r="D17" t="inlineStr">
        <is>
          <t>trisutabara@gmail.com</t>
        </is>
      </c>
      <c r="E17" t="inlineStr">
        <is>
          <t>https://lpjk.pu.go.id/search-badan-usaha-detail/clV1SUNYNTljYW9nOG1QdDBYVHgvZz09</t>
        </is>
      </c>
      <c r="F17" t="n">
        <v>1</v>
      </c>
      <c r="G17" t="inlineStr">
        <is>
          <t>RK001</t>
        </is>
      </c>
      <c r="H17" t="inlineStr">
        <is>
          <t>12 Juli 2021</t>
        </is>
      </c>
      <c r="I17" s="2" t="n">
        <v>46312</v>
      </c>
      <c r="J17" t="inlineStr">
        <is>
          <t>Disetujui</t>
        </is>
      </c>
      <c r="K17" t="n">
        <v>60</v>
      </c>
      <c r="L17" t="inlineStr">
        <is>
          <t>17 Oktober 2026</t>
        </is>
      </c>
      <c r="M17" t="inlineStr">
        <is>
          <t>Jasa Rekayasa Konstruksi Bangunan Gedung Hunian dan Non Hunian</t>
        </is>
      </c>
      <c r="N17" t="inlineStr">
        <is>
          <t>K</t>
        </is>
      </c>
      <c r="O17" t="inlineStr">
        <is>
          <t>20231009</t>
        </is>
      </c>
      <c r="P17" t="inlineStr">
        <is>
          <t>Jawa Barat</t>
        </is>
      </c>
      <c r="Q17" s="3">
        <f>HYPERLINK("https://wa.me/628578005197?text=*[PENGINGAT MASA BERLAKU SBU TRI SUTA BARA]*%0A%0AYth. Pimpinan TRI SUTA BARA,%0AMohon izin menginformasikan status SBU Anda di sistem LPJK:%0A%0A📄 SBU: RK001%0A📅 Expired: 17 Oktober 2026 (60 Hari Lagi)%0A%0AKami tim PT. ESDEA Assistance Management siap men-support proses perpanjangan segera agar administrasi proyek tidak terhambat%0A%0AApakah boleh saya bantu siapkan estimasi biaya dan waktu pengerjaannya?.", "Hubungi")</f>
        <v/>
      </c>
    </row>
    <row r="18">
      <c r="A18" t="inlineStr">
        <is>
          <t>WORLD METAL INDUSTRI NATIONAL</t>
        </is>
      </c>
      <c r="B18" t="inlineStr">
        <is>
          <t>Kab. Bekasi</t>
        </is>
      </c>
      <c r="C18" t="inlineStr">
        <is>
          <t>082111866913</t>
        </is>
      </c>
      <c r="D18" t="inlineStr">
        <is>
          <t>worldmetalindustrinational@yahoo.co.id</t>
        </is>
      </c>
      <c r="E18" t="inlineStr">
        <is>
          <t>https://lpjk.pu.go.id/search-badan-usaha-detail/VVNUa1lJRk9XQmtPS3hEck96Q3ZKdz09</t>
        </is>
      </c>
      <c r="F18" t="n">
        <v>1</v>
      </c>
      <c r="G18" t="inlineStr">
        <is>
          <t>IN003</t>
        </is>
      </c>
      <c r="H18" t="inlineStr">
        <is>
          <t>21 Juni 2010</t>
        </is>
      </c>
      <c r="I18" s="2" t="n">
        <v>46312</v>
      </c>
      <c r="J18" t="inlineStr">
        <is>
          <t>Pembekuan</t>
        </is>
      </c>
      <c r="K18" t="n">
        <v>60</v>
      </c>
      <c r="L18" t="inlineStr">
        <is>
          <t>17 Oktober 2026</t>
        </is>
      </c>
      <c r="M18" t="inlineStr">
        <is>
          <t>Instalasi Peralatan Infrastruktur Pertambangan dan Manufaktur</t>
        </is>
      </c>
      <c r="N18" t="inlineStr">
        <is>
          <t>Spesialis</t>
        </is>
      </c>
      <c r="O18" t="inlineStr">
        <is>
          <t>20231018</t>
        </is>
      </c>
      <c r="P18" t="inlineStr">
        <is>
          <t>Jawa Barat</t>
        </is>
      </c>
      <c r="Q18" s="3">
        <f>HYPERLINK("https://wa.me/6282111866913?text=*[PENGINGAT MASA BERLAKU SBU WORLD METAL INDUSTRI NATIONAL]*%0A%0AYth. Pimpinan WORLD METAL INDUSTRI NATIONAL,%0AMohon izin menginformasikan status SBU Anda di sistem LPJK:%0A%0A📄 SBU: IN003%0A📅 Expired: 17 Oktober 2026 (60 Hari Lagi)%0A%0AKami tim PT. ESDEA Assistance Management siap men-support proses perpanjangan segera agar administrasi proyek tidak terhambat%0A%0AApakah boleh saya bantu siapkan estimasi biaya dan waktu pengerjaannya?.", "Hubungi")</f>
        <v/>
      </c>
    </row>
    <row r="19">
      <c r="A19" t="inlineStr">
        <is>
          <t>ABDI NEGERIKU</t>
        </is>
      </c>
      <c r="B19" t="inlineStr">
        <is>
          <t>Kota Pasuruan</t>
        </is>
      </c>
      <c r="C19" t="inlineStr">
        <is>
          <t>081252461953</t>
        </is>
      </c>
      <c r="D19" t="inlineStr">
        <is>
          <t>abdi.negeriku10@gmail.com</t>
        </is>
      </c>
      <c r="E19" t="inlineStr">
        <is>
          <t>https://lpjk.pu.go.id/search-badan-usaha-detail/ODdJR2YrNVk1OGtSck1yMytOSDQvUT09</t>
        </is>
      </c>
      <c r="F19" t="n">
        <v>1</v>
      </c>
      <c r="G19" t="inlineStr">
        <is>
          <t>BG009</t>
        </is>
      </c>
      <c r="H19" t="inlineStr">
        <is>
          <t>7 Februari 2005</t>
        </is>
      </c>
      <c r="I19" s="2" t="n">
        <v>46312</v>
      </c>
      <c r="J19" t="inlineStr">
        <is>
          <t>Disetujui</t>
        </is>
      </c>
      <c r="K19" t="n">
        <v>60</v>
      </c>
      <c r="L19" t="inlineStr">
        <is>
          <t>17 Oktober 2026</t>
        </is>
      </c>
      <c r="M19" t="inlineStr">
        <is>
          <t>Konstruksi Gedung Lainnya</t>
        </is>
      </c>
      <c r="N19" t="inlineStr">
        <is>
          <t>K</t>
        </is>
      </c>
      <c r="O19" t="inlineStr">
        <is>
          <t>20231017</t>
        </is>
      </c>
      <c r="P19" t="inlineStr">
        <is>
          <t>Jawa Timur</t>
        </is>
      </c>
      <c r="Q19" t="inlineStr"/>
    </row>
    <row r="20">
      <c r="A20" t="inlineStr">
        <is>
          <t>ABROSAH</t>
        </is>
      </c>
      <c r="B20" t="inlineStr">
        <is>
          <t>Kota Bandung</t>
        </is>
      </c>
      <c r="C20" t="inlineStr">
        <is>
          <t>08122382399</t>
        </is>
      </c>
      <c r="D20" t="inlineStr">
        <is>
          <t>abrosahcv@yahoo.co.id</t>
        </is>
      </c>
      <c r="E20" t="inlineStr">
        <is>
          <t>https://lpjk.pu.go.id/search-badan-usaha-detail/TFloYitpYzJVN0o2R2V3L1lnU2dwUT09</t>
        </is>
      </c>
      <c r="F20" t="n">
        <v>2</v>
      </c>
      <c r="G20" t="inlineStr">
        <is>
          <t>BS001, BS004</t>
        </is>
      </c>
      <c r="H20" t="inlineStr">
        <is>
          <t>22 Agustus 1992</t>
        </is>
      </c>
      <c r="I20" s="2" t="n">
        <v>46312</v>
      </c>
      <c r="J20" t="inlineStr">
        <is>
          <t>Disetujui</t>
        </is>
      </c>
      <c r="K20" t="n">
        <v>60</v>
      </c>
      <c r="L20" t="inlineStr">
        <is>
          <t>17 Oktober 2026</t>
        </is>
      </c>
      <c r="M20" t="inlineStr">
        <is>
          <t>Konstruksi Bangunan Sipil Jalan, Konstruksi Jaringan Irigasi dan Drainase</t>
        </is>
      </c>
      <c r="N20" t="inlineStr">
        <is>
          <t>K</t>
        </is>
      </c>
      <c r="O20" t="inlineStr">
        <is>
          <t>20230927, 20231013</t>
        </is>
      </c>
      <c r="P20" t="inlineStr">
        <is>
          <t>Jawa Barat</t>
        </is>
      </c>
      <c r="Q20" t="inlineStr"/>
    </row>
    <row r="21">
      <c r="A21" t="inlineStr">
        <is>
          <t>AGUNG PORSEA JAYA</t>
        </is>
      </c>
      <c r="B21" t="inlineStr">
        <is>
          <t>Kab. Cilacap</t>
        </is>
      </c>
      <c r="C21" t="inlineStr">
        <is>
          <t>0282542052</t>
        </is>
      </c>
      <c r="D21" t="inlineStr">
        <is>
          <t>agung_porsea_jaya@yahoo.co.id</t>
        </is>
      </c>
      <c r="E21" t="inlineStr">
        <is>
          <t>https://lpjk.pu.go.id/search-badan-usaha-detail/MFpzSU40MC8rVXpzSGNUcnFDQ2VmUT09</t>
        </is>
      </c>
      <c r="F21" t="n">
        <v>6</v>
      </c>
      <c r="G21" t="inlineStr">
        <is>
          <t>BG005, BG009, BS004</t>
        </is>
      </c>
      <c r="H21" t="inlineStr">
        <is>
          <t>11 Maret 2014</t>
        </is>
      </c>
      <c r="I21" s="2" t="n">
        <v>46312</v>
      </c>
      <c r="J21" t="inlineStr">
        <is>
          <t>Disetujui</t>
        </is>
      </c>
      <c r="K21" t="n">
        <v>60</v>
      </c>
      <c r="L21" t="inlineStr">
        <is>
          <t>17 Oktober 2026</t>
        </is>
      </c>
      <c r="M21" t="inlineStr">
        <is>
          <t>Konstruksi Gedung Kesehatan, Konstruksi Gedung Lainnya, Konstruksi Jaringan Irigasi dan Drainase</t>
        </is>
      </c>
      <c r="N21" t="inlineStr">
        <is>
          <t>K</t>
        </is>
      </c>
      <c r="O21" t="inlineStr">
        <is>
          <t>20231013</t>
        </is>
      </c>
      <c r="P21" t="inlineStr">
        <is>
          <t>Jawa Tengah</t>
        </is>
      </c>
      <c r="Q21" t="inlineStr"/>
    </row>
    <row r="22">
      <c r="A22" t="inlineStr">
        <is>
          <t>AKRAM SAAID ALIIF</t>
        </is>
      </c>
      <c r="B22" t="inlineStr">
        <is>
          <t>Kota Samarinda</t>
        </is>
      </c>
      <c r="C22" t="inlineStr">
        <is>
          <t>0811589039</t>
        </is>
      </c>
      <c r="D22" t="inlineStr">
        <is>
          <t>cv.akramsaaidaliif@gmail.com</t>
        </is>
      </c>
      <c r="E22" t="inlineStr">
        <is>
          <t>https://lpjk.pu.go.id/search-badan-usaha-detail/SGpuYXQvVVUxdjVaZ2ROWXlQOW5sZz09</t>
        </is>
      </c>
      <c r="F22" t="n">
        <v>6</v>
      </c>
      <c r="G22" t="inlineStr">
        <is>
          <t>RK001, RK002, RK003</t>
        </is>
      </c>
      <c r="H22" t="inlineStr">
        <is>
          <t>15 Juni 2022</t>
        </is>
      </c>
      <c r="I22" s="2" t="n">
        <v>46312</v>
      </c>
      <c r="J22" t="inlineStr">
        <is>
          <t>Disetujui</t>
        </is>
      </c>
      <c r="K22" t="n">
        <v>60</v>
      </c>
      <c r="L22" t="inlineStr">
        <is>
          <t>17 Oktober 2026</t>
        </is>
      </c>
      <c r="M22" t="inlineStr">
        <is>
          <t>Jasa Rekayasa Konstruksi Bangunan Gedung Hunian dan Non Hunian, Jasa Rekayasa Pekerjaan Teknik Sipil Sumber Daya Air, Jasa Rekayasa Pekerjaan Teknik Sipil Transportasi</t>
        </is>
      </c>
      <c r="N22" t="inlineStr">
        <is>
          <t>K</t>
        </is>
      </c>
      <c r="O22" t="inlineStr">
        <is>
          <t>20231012</t>
        </is>
      </c>
      <c r="P22" t="inlineStr">
        <is>
          <t>Kalimantan Timur</t>
        </is>
      </c>
      <c r="Q22" t="inlineStr"/>
    </row>
    <row r="23">
      <c r="A23" t="inlineStr">
        <is>
          <t>ALIRAN MAS</t>
        </is>
      </c>
      <c r="B23" t="inlineStr">
        <is>
          <t>Kab. Kepulauan Mentawai</t>
        </is>
      </c>
      <c r="C23" t="inlineStr">
        <is>
          <t>081275341936</t>
        </is>
      </c>
      <c r="D23" t="inlineStr">
        <is>
          <t>aliranmas2000@gmail.com</t>
        </is>
      </c>
      <c r="E23" t="inlineStr">
        <is>
          <t>https://lpjk.pu.go.id/search-badan-usaha-detail/UnlwT0x1blVLVDFsN3lBZVlhRU1lQT09</t>
        </is>
      </c>
      <c r="F23" t="n">
        <v>1</v>
      </c>
      <c r="G23" t="inlineStr">
        <is>
          <t>BG009</t>
        </is>
      </c>
      <c r="H23" t="inlineStr">
        <is>
          <t>23 Agustus 2017</t>
        </is>
      </c>
      <c r="I23" s="2" t="n">
        <v>46312</v>
      </c>
      <c r="J23" t="inlineStr">
        <is>
          <t>Disetujui</t>
        </is>
      </c>
      <c r="K23" t="n">
        <v>60</v>
      </c>
      <c r="L23" t="inlineStr">
        <is>
          <t>17 Oktober 2026</t>
        </is>
      </c>
      <c r="M23" t="inlineStr">
        <is>
          <t>Konstruksi Gedung Lainnya</t>
        </is>
      </c>
      <c r="N23" t="inlineStr">
        <is>
          <t>K</t>
        </is>
      </c>
      <c r="O23" t="inlineStr">
        <is>
          <t>20231016</t>
        </is>
      </c>
      <c r="P23" t="inlineStr">
        <is>
          <t>Sumatera Barat</t>
        </is>
      </c>
      <c r="Q23" t="inlineStr"/>
    </row>
    <row r="24">
      <c r="A24" t="inlineStr">
        <is>
          <t>AMANDA PERDANA</t>
        </is>
      </c>
      <c r="B24" t="inlineStr">
        <is>
          <t>Kota Makassar</t>
        </is>
      </c>
      <c r="C24" t="inlineStr">
        <is>
          <t>081355213822</t>
        </is>
      </c>
      <c r="D24" t="inlineStr">
        <is>
          <t>amandaperdana035@gmail.com</t>
        </is>
      </c>
      <c r="E24" t="inlineStr">
        <is>
          <t>https://lpjk.pu.go.id/search-badan-usaha-detail/U0tMVFZUNE1QN3pNWGhDanpycTlkQT09</t>
        </is>
      </c>
      <c r="F24" t="n">
        <v>8</v>
      </c>
      <c r="G24" t="inlineStr">
        <is>
          <t>BG001, BG002, BG006, BG009</t>
        </is>
      </c>
      <c r="H24" t="inlineStr">
        <is>
          <t>15 Juni 2004</t>
        </is>
      </c>
      <c r="I24" s="2" t="n">
        <v>46312</v>
      </c>
      <c r="J24" t="inlineStr">
        <is>
          <t>Disetujui</t>
        </is>
      </c>
      <c r="K24" t="n">
        <v>60</v>
      </c>
      <c r="L24" t="inlineStr">
        <is>
          <t>17 Oktober 2026</t>
        </is>
      </c>
      <c r="M24" t="inlineStr">
        <is>
          <t>Konstruksi Gedung Hunian, Konstruksi Gedung Lainnya, Konstruksi Gedung Pendidikan, Konstruksi Gedung Perkantoran</t>
        </is>
      </c>
      <c r="N24" t="inlineStr">
        <is>
          <t>K</t>
        </is>
      </c>
      <c r="O24" t="inlineStr">
        <is>
          <t>20231012</t>
        </is>
      </c>
      <c r="P24" t="inlineStr">
        <is>
          <t>Sulawesi Selatan</t>
        </is>
      </c>
      <c r="Q24" t="inlineStr"/>
    </row>
    <row r="25">
      <c r="A25" t="inlineStr">
        <is>
          <t>AMANDI KARYA</t>
        </is>
      </c>
      <c r="B25" t="inlineStr">
        <is>
          <t>Kota Pontianak</t>
        </is>
      </c>
      <c r="C25" t="inlineStr">
        <is>
          <t>085252765177</t>
        </is>
      </c>
      <c r="D25" t="inlineStr">
        <is>
          <t>amandikarya@gmail.com</t>
        </is>
      </c>
      <c r="E25" t="inlineStr">
        <is>
          <t>https://lpjk.pu.go.id/search-badan-usaha-detail/TDlzbzJzKzBKNkJyWDdTeENlWGcyUT09</t>
        </is>
      </c>
      <c r="F25" t="n">
        <v>3</v>
      </c>
      <c r="G25" t="inlineStr">
        <is>
          <t>BG005, BG008, BG009</t>
        </is>
      </c>
      <c r="H25" t="inlineStr">
        <is>
          <t>18 Juli 2023</t>
        </is>
      </c>
      <c r="I25" s="2" t="n">
        <v>46312</v>
      </c>
      <c r="J25" t="inlineStr">
        <is>
          <t>Disetujui</t>
        </is>
      </c>
      <c r="K25" t="n">
        <v>60</v>
      </c>
      <c r="L25" t="inlineStr">
        <is>
          <t>17 Oktober 2026</t>
        </is>
      </c>
      <c r="M25" t="inlineStr">
        <is>
          <t>Konstruksi Gedung Kesehatan, Konstruksi Gedung Lainnya, Konstruksi Gedung Tempat Hiburan dan Olahraga</t>
        </is>
      </c>
      <c r="N25" t="inlineStr">
        <is>
          <t>K</t>
        </is>
      </c>
      <c r="O25" t="inlineStr">
        <is>
          <t>20231010</t>
        </is>
      </c>
      <c r="P25" t="inlineStr">
        <is>
          <t>Kalimantan Barat</t>
        </is>
      </c>
      <c r="Q25" t="inlineStr"/>
    </row>
    <row r="26">
      <c r="A26" t="inlineStr">
        <is>
          <t>ANANTA KARYA</t>
        </is>
      </c>
      <c r="B26" t="inlineStr">
        <is>
          <t>Kab. Jember</t>
        </is>
      </c>
      <c r="C26" t="inlineStr">
        <is>
          <t>085236371240</t>
        </is>
      </c>
      <c r="D26" t="inlineStr">
        <is>
          <t>anantakaryajember@gmail.com</t>
        </is>
      </c>
      <c r="E26" t="inlineStr">
        <is>
          <t>https://lpjk.pu.go.id/search-badan-usaha-detail/UUUwRG44d2dyaG9OOE1uOXZhR0xsdz09</t>
        </is>
      </c>
      <c r="F26" t="n">
        <v>8</v>
      </c>
      <c r="G26" t="inlineStr">
        <is>
          <t>BG001, BG002, BG003, BG004, BG009, BS001, BS002, BS004</t>
        </is>
      </c>
      <c r="H26" t="inlineStr">
        <is>
          <t>11 November 2016</t>
        </is>
      </c>
      <c r="I26" s="2" t="n">
        <v>46312</v>
      </c>
      <c r="J26" t="inlineStr">
        <is>
          <t>Disetujui</t>
        </is>
      </c>
      <c r="K26" t="n">
        <v>60</v>
      </c>
      <c r="L26" t="inlineStr">
        <is>
          <t>17 Oktober 2026</t>
        </is>
      </c>
      <c r="M26" t="inlineStr">
        <is>
          <t>Bangunan Sipil Jembatan, Jalan Layang, Fly Over, dan Underpass, Konstruksi Bangunan Sipil Jalan, Konstruksi Gedung Hunian, Konstruksi Gedung Industri, Konstruksi Gedung Lainnya, Konstruksi Gedung Perbelanjaan, Konstruksi Gedung Perkantoran, Konstruksi Jaringan Irigasi dan Drainase</t>
        </is>
      </c>
      <c r="N26" t="inlineStr">
        <is>
          <t>K</t>
        </is>
      </c>
      <c r="O26" t="inlineStr">
        <is>
          <t>20231010, 20231018</t>
        </is>
      </c>
      <c r="P26" t="inlineStr">
        <is>
          <t>Jawa Timur</t>
        </is>
      </c>
      <c r="Q26" t="inlineStr"/>
    </row>
    <row r="27">
      <c r="A27" t="inlineStr">
        <is>
          <t>ANEKA JASA</t>
        </is>
      </c>
      <c r="B27" t="inlineStr">
        <is>
          <t>Kab. Blora</t>
        </is>
      </c>
      <c r="C27" t="inlineStr">
        <is>
          <t>081219641411</t>
        </is>
      </c>
      <c r="D27" t="inlineStr">
        <is>
          <t>cv.anekajasarandu@gmail.com</t>
        </is>
      </c>
      <c r="E27" t="inlineStr">
        <is>
          <t>https://lpjk.pu.go.id/search-badan-usaha-detail/NXF2ZE1HZHlMZGYza2d1cjhoWkJCQT09</t>
        </is>
      </c>
      <c r="F27" t="n">
        <v>2</v>
      </c>
      <c r="G27" t="inlineStr">
        <is>
          <t>BS002</t>
        </is>
      </c>
      <c r="H27" t="inlineStr">
        <is>
          <t>13 Maret 2018</t>
        </is>
      </c>
      <c r="I27" s="2" t="n">
        <v>46312</v>
      </c>
      <c r="J27" t="inlineStr">
        <is>
          <t>Disetujui</t>
        </is>
      </c>
      <c r="K27" t="n">
        <v>60</v>
      </c>
      <c r="L27" t="inlineStr">
        <is>
          <t>17 Oktober 2026</t>
        </is>
      </c>
      <c r="M27" t="inlineStr">
        <is>
          <t>Bangunan Sipil Jembatan, Jalan Layang, Fly Over, dan Underpass</t>
        </is>
      </c>
      <c r="N27" t="inlineStr">
        <is>
          <t>K</t>
        </is>
      </c>
      <c r="O27" t="inlineStr">
        <is>
          <t>20231016</t>
        </is>
      </c>
      <c r="P27" t="inlineStr">
        <is>
          <t>Jawa Tengah</t>
        </is>
      </c>
      <c r="Q27" t="inlineStr"/>
    </row>
    <row r="28">
      <c r="A28" t="inlineStr">
        <is>
          <t>ANEKA MATERIAL PERSADA</t>
        </is>
      </c>
      <c r="B28" t="inlineStr">
        <is>
          <t>Kota Adm. Jakarta Utara</t>
        </is>
      </c>
      <c r="C28" t="inlineStr">
        <is>
          <t>02164701032</t>
        </is>
      </c>
      <c r="D28" t="inlineStr">
        <is>
          <t>anekamaterialpersada@yahoo.co.id</t>
        </is>
      </c>
      <c r="E28" t="inlineStr">
        <is>
          <t>https://lpjk.pu.go.id/search-badan-usaha-detail/UG95Nk0yS2xpTC92ZERBNTM1Q0hLQT09</t>
        </is>
      </c>
      <c r="F28" t="n">
        <v>4</v>
      </c>
      <c r="G28" t="inlineStr">
        <is>
          <t>BG009, PB001</t>
        </is>
      </c>
      <c r="H28" t="inlineStr">
        <is>
          <t>2 Agustus 2021</t>
        </is>
      </c>
      <c r="I28" s="2" t="n">
        <v>46312</v>
      </c>
      <c r="J28" t="inlineStr">
        <is>
          <t>Disetujui, Pembekuan</t>
        </is>
      </c>
      <c r="K28" t="n">
        <v>60</v>
      </c>
      <c r="L28" t="inlineStr">
        <is>
          <t>17 Oktober 2026</t>
        </is>
      </c>
      <c r="M28" t="inlineStr">
        <is>
          <t>Konstruksi Gedung Lainnya, Pengerjaan Pemasangan Kaca dan Alumunium</t>
        </is>
      </c>
      <c r="N28" t="inlineStr">
        <is>
          <t>K, Spesialis</t>
        </is>
      </c>
      <c r="O28" t="inlineStr">
        <is>
          <t>20231013, 20231019</t>
        </is>
      </c>
      <c r="P28" t="inlineStr">
        <is>
          <t>DKI Jakarta</t>
        </is>
      </c>
      <c r="Q28" t="inlineStr"/>
    </row>
    <row r="29">
      <c r="A29" t="inlineStr">
        <is>
          <t>ANINDYA REKACIPTA UTAMA</t>
        </is>
      </c>
      <c r="B29" t="inlineStr">
        <is>
          <t>Kota Makassar</t>
        </is>
      </c>
      <c r="C29" t="inlineStr">
        <is>
          <t>082350140244</t>
        </is>
      </c>
      <c r="D29" t="inlineStr">
        <is>
          <t>anindyarekaciptautama@gmail.com</t>
        </is>
      </c>
      <c r="E29" t="inlineStr">
        <is>
          <t>https://lpjk.pu.go.id/search-badan-usaha-detail/SGpUcDdENW9uWSs0aCtDVVhqeS9KZz09</t>
        </is>
      </c>
      <c r="F29" t="n">
        <v>8</v>
      </c>
      <c r="G29" t="inlineStr">
        <is>
          <t>AL003, AL004, AR001, AR002</t>
        </is>
      </c>
      <c r="H29" t="inlineStr">
        <is>
          <t>1 Desember 2021</t>
        </is>
      </c>
      <c r="I29" s="2" t="n">
        <v>46312</v>
      </c>
      <c r="J29" t="inlineStr">
        <is>
          <t>Disetujui</t>
        </is>
      </c>
      <c r="K29" t="n">
        <v>60</v>
      </c>
      <c r="L29" t="inlineStr">
        <is>
          <t>17 Oktober 2026</t>
        </is>
      </c>
      <c r="M29" t="inlineStr">
        <is>
          <t>Jasa Arsitektural Bangunan Gedung Hunian dan Non Hunian, Jasa Arsitektural Lainnya, Jasa Pengembangan Lingkungan Bangunan dan Lanskap, Jasa Pengembangan Perkotaan</t>
        </is>
      </c>
      <c r="N29" t="inlineStr">
        <is>
          <t>K</t>
        </is>
      </c>
      <c r="O29" t="inlineStr">
        <is>
          <t>20231012</t>
        </is>
      </c>
      <c r="P29" t="inlineStr">
        <is>
          <t>Sulawesi Selatan</t>
        </is>
      </c>
      <c r="Q29" t="inlineStr"/>
    </row>
    <row r="30">
      <c r="A30" t="inlineStr">
        <is>
          <t>ANNISA PRIMA JAYA</t>
        </is>
      </c>
      <c r="B30" t="inlineStr">
        <is>
          <t>Kab. Kutai Timur</t>
        </is>
      </c>
      <c r="C30" t="inlineStr">
        <is>
          <t>081347776973</t>
        </is>
      </c>
      <c r="D30" t="inlineStr">
        <is>
          <t>cv.annisaprimajaya57@gmail.com</t>
        </is>
      </c>
      <c r="E30" t="inlineStr">
        <is>
          <t>https://lpjk.pu.go.id/search-badan-usaha-detail/NnJqakJ1b0ZPRk5mZVl2Q3M1SE9zZz09</t>
        </is>
      </c>
      <c r="F30" t="n">
        <v>3</v>
      </c>
      <c r="G30" t="inlineStr">
        <is>
          <t>BG002, BS001, BS004</t>
        </is>
      </c>
      <c r="H30" t="inlineStr">
        <is>
          <t>11 Juli 2007</t>
        </is>
      </c>
      <c r="I30" s="2" t="n">
        <v>46312</v>
      </c>
      <c r="J30" t="inlineStr">
        <is>
          <t>Pencabutan</t>
        </is>
      </c>
      <c r="K30" t="n">
        <v>60</v>
      </c>
      <c r="L30" t="inlineStr">
        <is>
          <t>17 Oktober 2026</t>
        </is>
      </c>
      <c r="M30" t="inlineStr">
        <is>
          <t>Konstruksi Bangunan Sipil Jalan, Konstruksi Gedung Perkantoran, Konstruksi Jaringan Irigasi dan Drainase</t>
        </is>
      </c>
      <c r="N30" t="inlineStr">
        <is>
          <t>K</t>
        </is>
      </c>
      <c r="O30" t="inlineStr">
        <is>
          <t>20231014</t>
        </is>
      </c>
      <c r="P30" t="inlineStr">
        <is>
          <t>Kalimantan Timur</t>
        </is>
      </c>
      <c r="Q30" t="inlineStr"/>
    </row>
    <row r="31">
      <c r="A31" t="inlineStr">
        <is>
          <t>ANNUR PUTRA</t>
        </is>
      </c>
      <c r="B31" t="inlineStr">
        <is>
          <t>Kab. Kutai Kartanegara</t>
        </is>
      </c>
      <c r="C31" t="inlineStr">
        <is>
          <t>08115999759</t>
        </is>
      </c>
      <c r="D31" t="inlineStr">
        <is>
          <t>annur_putra75@yahoo.com</t>
        </is>
      </c>
      <c r="E31" t="inlineStr">
        <is>
          <t>https://lpjk.pu.go.id/search-badan-usaha-detail/bU1DeDhWaFRlOVVoQjArdWVneS94dz09</t>
        </is>
      </c>
      <c r="F31" t="n">
        <v>1</v>
      </c>
      <c r="G31" t="inlineStr">
        <is>
          <t>BS002</t>
        </is>
      </c>
      <c r="H31" t="inlineStr">
        <is>
          <t>15 Januari 2010</t>
        </is>
      </c>
      <c r="I31" s="2" t="n">
        <v>46312</v>
      </c>
      <c r="J31" t="inlineStr">
        <is>
          <t>Disetujui</t>
        </is>
      </c>
      <c r="K31" t="n">
        <v>60</v>
      </c>
      <c r="L31" t="inlineStr">
        <is>
          <t>17 Oktober 2026</t>
        </is>
      </c>
      <c r="M31" t="inlineStr">
        <is>
          <t>Bangunan Sipil Jembatan, Jalan Layang, Fly Over, dan Underpass</t>
        </is>
      </c>
      <c r="N31" t="inlineStr">
        <is>
          <t>K</t>
        </is>
      </c>
      <c r="O31" t="inlineStr">
        <is>
          <t>20231017</t>
        </is>
      </c>
      <c r="P31" t="inlineStr">
        <is>
          <t>Kalimantan Timur</t>
        </is>
      </c>
      <c r="Q31" t="inlineStr"/>
    </row>
    <row r="32">
      <c r="A32" t="inlineStr">
        <is>
          <t>ANUGERAH JAYA</t>
        </is>
      </c>
      <c r="B32" t="inlineStr">
        <is>
          <t>Kab. Kotabaru</t>
        </is>
      </c>
      <c r="C32" t="inlineStr">
        <is>
          <t>081251513216</t>
        </is>
      </c>
      <c r="D32" t="inlineStr">
        <is>
          <t>cvanugerahjaya222@gmail.com</t>
        </is>
      </c>
      <c r="E32" t="inlineStr">
        <is>
          <t>https://lpjk.pu.go.id/search-badan-usaha-detail/OGNGdG1BdC9zWmpBcnpRaSt6eXFyUT09</t>
        </is>
      </c>
      <c r="F32" t="n">
        <v>1</v>
      </c>
      <c r="G32" t="inlineStr">
        <is>
          <t>BS001</t>
        </is>
      </c>
      <c r="H32" t="inlineStr">
        <is>
          <t>23 Oktober 2000</t>
        </is>
      </c>
      <c r="I32" s="2" t="n">
        <v>46312</v>
      </c>
      <c r="J32" t="inlineStr">
        <is>
          <t>Disetujui</t>
        </is>
      </c>
      <c r="K32" t="n">
        <v>60</v>
      </c>
      <c r="L32" t="inlineStr">
        <is>
          <t>17 Oktober 2026</t>
        </is>
      </c>
      <c r="M32" t="inlineStr">
        <is>
          <t>Konstruksi Bangunan Sipil Jalan</t>
        </is>
      </c>
      <c r="N32" t="inlineStr">
        <is>
          <t>K</t>
        </is>
      </c>
      <c r="O32" t="inlineStr">
        <is>
          <t>20231012</t>
        </is>
      </c>
      <c r="P32" t="inlineStr">
        <is>
          <t>Kalimantan Selatan</t>
        </is>
      </c>
      <c r="Q32" t="inlineStr"/>
    </row>
    <row r="33">
      <c r="A33" t="inlineStr">
        <is>
          <t>ANUGRAH JAYA ABADI</t>
        </is>
      </c>
      <c r="B33" t="inlineStr">
        <is>
          <t>Kab. Serdang Bedagai</t>
        </is>
      </c>
      <c r="C33" t="inlineStr">
        <is>
          <t>082370710695</t>
        </is>
      </c>
      <c r="D33" t="inlineStr">
        <is>
          <t>cvanugrahjayaabadi16@gmail.com</t>
        </is>
      </c>
      <c r="E33" t="inlineStr">
        <is>
          <t>https://lpjk.pu.go.id/search-badan-usaha-detail/eExzdWg2M1QrV04xRjRHZmR6Q2Zqdz09</t>
        </is>
      </c>
      <c r="F33" t="n">
        <v>2</v>
      </c>
      <c r="G33" t="inlineStr">
        <is>
          <t>BS004</t>
        </is>
      </c>
      <c r="H33" t="inlineStr">
        <is>
          <t>22 Januari 2018</t>
        </is>
      </c>
      <c r="I33" s="2" t="n">
        <v>46312</v>
      </c>
      <c r="J33" t="inlineStr">
        <is>
          <t>Disetujui</t>
        </is>
      </c>
      <c r="K33" t="n">
        <v>60</v>
      </c>
      <c r="L33" t="inlineStr">
        <is>
          <t>17 Oktober 2026</t>
        </is>
      </c>
      <c r="M33" t="inlineStr">
        <is>
          <t>Konstruksi Jaringan Irigasi dan Drainase</t>
        </is>
      </c>
      <c r="N33" t="inlineStr">
        <is>
          <t>K</t>
        </is>
      </c>
      <c r="O33" t="inlineStr">
        <is>
          <t>20231016</t>
        </is>
      </c>
      <c r="P33" t="inlineStr">
        <is>
          <t>Sumatera Utara</t>
        </is>
      </c>
      <c r="Q33" t="inlineStr"/>
    </row>
    <row r="34">
      <c r="A34" t="inlineStr">
        <is>
          <t>ARCHIGRAHA DESIGN CENTER</t>
        </is>
      </c>
      <c r="B34" t="inlineStr">
        <is>
          <t>Kota Jambi</t>
        </is>
      </c>
      <c r="C34" t="inlineStr">
        <is>
          <t>0821 7623 3158</t>
        </is>
      </c>
      <c r="D34" t="inlineStr">
        <is>
          <t>archigraha.design.center@gmail.com</t>
        </is>
      </c>
      <c r="E34" t="inlineStr">
        <is>
          <t>https://lpjk.pu.go.id/search-badan-usaha-detail/ODM4SVlaaFB1eHZMbWJDRHZrVG1wZz09</t>
        </is>
      </c>
      <c r="F34" t="n">
        <v>2</v>
      </c>
      <c r="G34" t="inlineStr">
        <is>
          <t>RK001, RK003</t>
        </is>
      </c>
      <c r="H34" t="inlineStr">
        <is>
          <t>19 Januari 2011</t>
        </is>
      </c>
      <c r="I34" s="2" t="n">
        <v>46312</v>
      </c>
      <c r="J34" t="inlineStr">
        <is>
          <t>Disetujui</t>
        </is>
      </c>
      <c r="K34" t="n">
        <v>60</v>
      </c>
      <c r="L34" t="inlineStr">
        <is>
          <t>17 Oktober 2026</t>
        </is>
      </c>
      <c r="M34" t="inlineStr">
        <is>
          <t>Jasa Rekayasa Konstruksi Bangunan Gedung Hunian dan Non Hunian, Jasa Rekayasa Pekerjaan Teknik Sipil Transportasi</t>
        </is>
      </c>
      <c r="N34" t="inlineStr">
        <is>
          <t>K</t>
        </is>
      </c>
      <c r="O34" t="inlineStr">
        <is>
          <t>20231004, 20231006</t>
        </is>
      </c>
      <c r="P34" t="inlineStr">
        <is>
          <t>Jambi</t>
        </is>
      </c>
      <c r="Q34" t="inlineStr"/>
    </row>
    <row r="35">
      <c r="A35" t="inlineStr">
        <is>
          <t>ARIES MUDA HUTAMA</t>
        </is>
      </c>
      <c r="B35" t="inlineStr">
        <is>
          <t>Kab. Sijunjung</t>
        </is>
      </c>
      <c r="C35" t="inlineStr">
        <is>
          <t>081266599852</t>
        </is>
      </c>
      <c r="D35" t="inlineStr">
        <is>
          <t>ariesmudahutama@gmail.com</t>
        </is>
      </c>
      <c r="E35" t="inlineStr">
        <is>
          <t>https://lpjk.pu.go.id/search-badan-usaha-detail/NlBiYTZ0VnNIUmo0REc0cVpHK0tXdz09</t>
        </is>
      </c>
      <c r="F35" t="n">
        <v>6</v>
      </c>
      <c r="G35" t="inlineStr">
        <is>
          <t>BG005, BG006, BG009</t>
        </is>
      </c>
      <c r="H35" t="inlineStr">
        <is>
          <t>5 Juni 2023</t>
        </is>
      </c>
      <c r="I35" s="2" t="n">
        <v>46312</v>
      </c>
      <c r="J35" t="inlineStr">
        <is>
          <t>Pencabutan</t>
        </is>
      </c>
      <c r="K35" t="n">
        <v>60</v>
      </c>
      <c r="L35" t="inlineStr">
        <is>
          <t>17 Oktober 2026</t>
        </is>
      </c>
      <c r="M35" t="inlineStr">
        <is>
          <t>Konstruksi Gedung Kesehatan, Konstruksi Gedung Lainnya, Konstruksi Gedung Pendidikan</t>
        </is>
      </c>
      <c r="N35" t="inlineStr">
        <is>
          <t>K</t>
        </is>
      </c>
      <c r="O35" t="inlineStr">
        <is>
          <t>20231009, 20231018</t>
        </is>
      </c>
      <c r="P35" t="inlineStr">
        <is>
          <t>Sumatera Barat</t>
        </is>
      </c>
      <c r="Q35" t="inlineStr"/>
    </row>
    <row r="36">
      <c r="A36" t="inlineStr">
        <is>
          <t>ARJUNA TRI SAKTI</t>
        </is>
      </c>
      <c r="B36" t="inlineStr">
        <is>
          <t>Kab. Indramayu</t>
        </is>
      </c>
      <c r="C36" t="inlineStr">
        <is>
          <t>081286252796</t>
        </is>
      </c>
      <c r="D36" t="inlineStr">
        <is>
          <t>jayalsbuid@gmail.com</t>
        </is>
      </c>
      <c r="E36" t="inlineStr">
        <is>
          <t>https://lpjk.pu.go.id/search-badan-usaha-detail/S2FVVzhQN3RsMU8zUlNyQ3RLMTBzdz09</t>
        </is>
      </c>
      <c r="F36" t="n">
        <v>2</v>
      </c>
      <c r="G36" t="inlineStr">
        <is>
          <t>BG009, BS004</t>
        </is>
      </c>
      <c r="H36" t="inlineStr">
        <is>
          <t>15 September 2021</t>
        </is>
      </c>
      <c r="I36" s="2" t="n">
        <v>46312</v>
      </c>
      <c r="J36" t="inlineStr">
        <is>
          <t>Disetujui</t>
        </is>
      </c>
      <c r="K36" t="n">
        <v>60</v>
      </c>
      <c r="L36" t="inlineStr">
        <is>
          <t>17 Oktober 2026</t>
        </is>
      </c>
      <c r="M36" t="inlineStr">
        <is>
          <t>Konstruksi Gedung Lainnya, Konstruksi Jaringan Irigasi dan Drainase</t>
        </is>
      </c>
      <c r="N36" t="inlineStr">
        <is>
          <t>K</t>
        </is>
      </c>
      <c r="O36" t="inlineStr">
        <is>
          <t>20231012</t>
        </is>
      </c>
      <c r="P36" t="inlineStr">
        <is>
          <t>Jawa Barat</t>
        </is>
      </c>
      <c r="Q36" t="inlineStr"/>
    </row>
    <row r="37">
      <c r="A37" t="inlineStr">
        <is>
          <t>ARTA PERMATA PARE</t>
        </is>
      </c>
      <c r="B37" t="inlineStr">
        <is>
          <t>Kota Samarinda</t>
        </is>
      </c>
      <c r="C37" t="inlineStr">
        <is>
          <t>082277664419</t>
        </is>
      </c>
      <c r="D37" t="inlineStr">
        <is>
          <t>artapermatapare.cv@gmail.com</t>
        </is>
      </c>
      <c r="E37" t="inlineStr">
        <is>
          <t>https://lpjk.pu.go.id/search-badan-usaha-detail/UXY3aFZ4Mk1BSnRFWXBZQ2RGRjl4QT09</t>
        </is>
      </c>
      <c r="F37" t="n">
        <v>2</v>
      </c>
      <c r="G37" t="inlineStr">
        <is>
          <t>BS001, BS002</t>
        </is>
      </c>
      <c r="H37" t="inlineStr">
        <is>
          <t>20 Februari 2023</t>
        </is>
      </c>
      <c r="I37" s="2" t="n">
        <v>46312</v>
      </c>
      <c r="J37" t="inlineStr">
        <is>
          <t>Disetujui, Dokumen Lengkap</t>
        </is>
      </c>
      <c r="K37" t="n">
        <v>60</v>
      </c>
      <c r="L37" t="inlineStr">
        <is>
          <t>17 Oktober 2026</t>
        </is>
      </c>
      <c r="M37" t="inlineStr">
        <is>
          <t>Bangunan Sipil Jembatan, Jalan Layang, Fly Over, dan Underpass, Konstruksi Bangunan Sipil Jalan</t>
        </is>
      </c>
      <c r="N37" t="inlineStr">
        <is>
          <t>K</t>
        </is>
      </c>
      <c r="O37" t="inlineStr">
        <is>
          <t>20231017</t>
        </is>
      </c>
      <c r="P37" t="inlineStr">
        <is>
          <t>Kalimantan Timur</t>
        </is>
      </c>
      <c r="Q37" t="inlineStr"/>
    </row>
    <row r="38">
      <c r="A38" t="inlineStr">
        <is>
          <t>ARTHA WAHYU AGUNG</t>
        </is>
      </c>
      <c r="B38" t="inlineStr">
        <is>
          <t>Kab. Tulungagung</t>
        </is>
      </c>
      <c r="C38" t="inlineStr">
        <is>
          <t>082171688503</t>
        </is>
      </c>
      <c r="D38" t="inlineStr">
        <is>
          <t>arthawahyuagung_cv@yahoo.com</t>
        </is>
      </c>
      <c r="E38" t="inlineStr">
        <is>
          <t>https://lpjk.pu.go.id/search-badan-usaha-detail/NDZ2d0hicFpaaldzVEdCaFF1UU5XUT09</t>
        </is>
      </c>
      <c r="F38" t="n">
        <v>2</v>
      </c>
      <c r="G38" t="inlineStr">
        <is>
          <t>BG006, BG009</t>
        </is>
      </c>
      <c r="H38" t="inlineStr">
        <is>
          <t>26 Januari 2016</t>
        </is>
      </c>
      <c r="I38" s="2" t="n">
        <v>46312</v>
      </c>
      <c r="J38" t="inlineStr">
        <is>
          <t>Disetujui</t>
        </is>
      </c>
      <c r="K38" t="n">
        <v>60</v>
      </c>
      <c r="L38" t="inlineStr">
        <is>
          <t>17 Oktober 2026</t>
        </is>
      </c>
      <c r="M38" t="inlineStr">
        <is>
          <t>Konstruksi Gedung Lainnya, Konstruksi Gedung Pendidikan</t>
        </is>
      </c>
      <c r="N38" t="inlineStr">
        <is>
          <t>K</t>
        </is>
      </c>
      <c r="O38" t="inlineStr">
        <is>
          <t>20231010, 20231017</t>
        </is>
      </c>
      <c r="P38" t="inlineStr">
        <is>
          <t>Jawa Timur</t>
        </is>
      </c>
      <c r="Q38" t="inlineStr"/>
    </row>
    <row r="39">
      <c r="A39" t="inlineStr">
        <is>
          <t>ASIA HARDA</t>
        </is>
      </c>
      <c r="B39" t="inlineStr">
        <is>
          <t>Kota Surabaya</t>
        </is>
      </c>
      <c r="C39" t="inlineStr">
        <is>
          <t>0811311598</t>
        </is>
      </c>
      <c r="D39" t="inlineStr">
        <is>
          <t>asiahardasurat@gmail.com</t>
        </is>
      </c>
      <c r="E39" t="inlineStr">
        <is>
          <t>https://lpjk.pu.go.id/search-badan-usaha-detail/eWhnaWw0NE5iVXhLRFIrWUd2QWZvQT09</t>
        </is>
      </c>
      <c r="F39" t="n">
        <v>3</v>
      </c>
      <c r="G39" t="inlineStr">
        <is>
          <t>RK001, RK002, RK003</t>
        </is>
      </c>
      <c r="H39" t="inlineStr">
        <is>
          <t>21 Mei 2013</t>
        </is>
      </c>
      <c r="I39" s="2" t="n">
        <v>46312</v>
      </c>
      <c r="J39" t="inlineStr">
        <is>
          <t>Disetujui</t>
        </is>
      </c>
      <c r="K39" t="n">
        <v>60</v>
      </c>
      <c r="L39" t="inlineStr">
        <is>
          <t>17 Oktober 2026</t>
        </is>
      </c>
      <c r="M39" t="inlineStr">
        <is>
          <t>Jasa Rekayasa Konstruksi Bangunan Gedung Hunian dan Non Hunian, Jasa Rekayasa Pekerjaan Teknik Sipil Sumber Daya Air, Jasa Rekayasa Pekerjaan Teknik Sipil Transportasi</t>
        </is>
      </c>
      <c r="N39" t="inlineStr">
        <is>
          <t>K</t>
        </is>
      </c>
      <c r="O39" t="inlineStr">
        <is>
          <t>20230925, 20231004</t>
        </is>
      </c>
      <c r="P39" t="inlineStr">
        <is>
          <t>Jawa Timur</t>
        </is>
      </c>
      <c r="Q39" t="inlineStr"/>
    </row>
    <row r="40">
      <c r="A40" t="inlineStr">
        <is>
          <t>ASKA MULIA ANOPAMA</t>
        </is>
      </c>
      <c r="B40" t="inlineStr">
        <is>
          <t>Kab. Sleman</t>
        </is>
      </c>
      <c r="C40" t="inlineStr">
        <is>
          <t>02742851913</t>
        </is>
      </c>
      <c r="D40" t="inlineStr">
        <is>
          <t>admaskaanopama@gmail.com</t>
        </is>
      </c>
      <c r="E40" t="inlineStr">
        <is>
          <t>https://lpjk.pu.go.id/search-badan-usaha-detail/ajVmWmF1dEdNQVo3NThodWQ5bERrUT09</t>
        </is>
      </c>
      <c r="F40" t="n">
        <v>1</v>
      </c>
      <c r="G40" t="inlineStr">
        <is>
          <t>AR002</t>
        </is>
      </c>
      <c r="H40" t="inlineStr">
        <is>
          <t>22 Oktober 2014</t>
        </is>
      </c>
      <c r="I40" s="2" t="n">
        <v>46312</v>
      </c>
      <c r="J40" t="inlineStr">
        <is>
          <t>Disetujui</t>
        </is>
      </c>
      <c r="K40" t="n">
        <v>60</v>
      </c>
      <c r="L40" t="inlineStr">
        <is>
          <t>17 Oktober 2026</t>
        </is>
      </c>
      <c r="M40" t="inlineStr">
        <is>
          <t>Jasa Arsitektural Lainnya</t>
        </is>
      </c>
      <c r="N40" t="inlineStr">
        <is>
          <t>K</t>
        </is>
      </c>
      <c r="O40" t="inlineStr">
        <is>
          <t>20231010</t>
        </is>
      </c>
      <c r="P40" t="inlineStr">
        <is>
          <t>DI Yogyakarta</t>
        </is>
      </c>
      <c r="Q40" t="inlineStr"/>
    </row>
    <row r="41">
      <c r="A41" t="inlineStr">
        <is>
          <t>AWAN INTAN KONSULTAN</t>
        </is>
      </c>
      <c r="B41" t="inlineStr">
        <is>
          <t>Kota Bandar Lampung</t>
        </is>
      </c>
      <c r="C41" t="inlineStr">
        <is>
          <t>081360704745</t>
        </is>
      </c>
      <c r="D41" t="inlineStr">
        <is>
          <t>awanintankonsultan@gmail.com</t>
        </is>
      </c>
      <c r="E41" t="inlineStr">
        <is>
          <t>https://lpjk.pu.go.id/search-badan-usaha-detail/a3ZoN055ZmdrRHZGdWx3cTZva0xjUT09</t>
        </is>
      </c>
      <c r="F41" t="n">
        <v>1</v>
      </c>
      <c r="G41" t="inlineStr">
        <is>
          <t>RK003</t>
        </is>
      </c>
      <c r="H41" t="inlineStr">
        <is>
          <t>31 Januari 2019</t>
        </is>
      </c>
      <c r="I41" s="2" t="n">
        <v>46312</v>
      </c>
      <c r="J41" t="inlineStr">
        <is>
          <t>Disetujui</t>
        </is>
      </c>
      <c r="K41" t="n">
        <v>60</v>
      </c>
      <c r="L41" t="inlineStr">
        <is>
          <t>17 Oktober 2026</t>
        </is>
      </c>
      <c r="M41" t="inlineStr">
        <is>
          <t>Jasa Rekayasa Pekerjaan Teknik Sipil Transportasi</t>
        </is>
      </c>
      <c r="N41" t="inlineStr">
        <is>
          <t>K</t>
        </is>
      </c>
      <c r="O41" t="inlineStr">
        <is>
          <t>20231006</t>
        </is>
      </c>
      <c r="P41" t="inlineStr">
        <is>
          <t>Lampung</t>
        </is>
      </c>
      <c r="Q41" t="inlineStr"/>
    </row>
    <row r="42">
      <c r="A42" t="inlineStr">
        <is>
          <t>BAGASKARA PRATALA MANUNGGAL</t>
        </is>
      </c>
      <c r="B42" t="inlineStr">
        <is>
          <t>Kab. Klaten</t>
        </is>
      </c>
      <c r="C42" t="inlineStr">
        <is>
          <t>081270411196</t>
        </is>
      </c>
      <c r="D42" t="inlineStr">
        <is>
          <t>bagaskarapratalamanunggal@gmail.com</t>
        </is>
      </c>
      <c r="E42" t="inlineStr">
        <is>
          <t>https://lpjk.pu.go.id/search-badan-usaha-detail/aUdYalY1QTVJK3ptQUxua1NuNjdEQT09</t>
        </is>
      </c>
      <c r="F42" t="n">
        <v>2</v>
      </c>
      <c r="G42" t="inlineStr">
        <is>
          <t>BS001</t>
        </is>
      </c>
      <c r="H42" t="inlineStr">
        <is>
          <t>19 Januari 2015</t>
        </is>
      </c>
      <c r="I42" s="2" t="n">
        <v>46312</v>
      </c>
      <c r="J42" t="inlineStr">
        <is>
          <t>Pencabutan</t>
        </is>
      </c>
      <c r="K42" t="n">
        <v>60</v>
      </c>
      <c r="L42" t="inlineStr">
        <is>
          <t>17 Oktober 2026</t>
        </is>
      </c>
      <c r="M42" t="inlineStr">
        <is>
          <t>Konstruksi Bangunan Sipil Jalan</t>
        </is>
      </c>
      <c r="N42" t="inlineStr">
        <is>
          <t>B</t>
        </is>
      </c>
      <c r="O42" t="inlineStr">
        <is>
          <t>20231016</t>
        </is>
      </c>
      <c r="P42" t="inlineStr">
        <is>
          <t>Jawa Tengah</t>
        </is>
      </c>
      <c r="Q42" t="inlineStr"/>
    </row>
    <row r="43">
      <c r="A43" t="inlineStr">
        <is>
          <t>BANGUN GAGAS KARYATAMA</t>
        </is>
      </c>
      <c r="B43" t="inlineStr">
        <is>
          <t>Kota Tangerang Selatan</t>
        </is>
      </c>
      <c r="C43" t="inlineStr">
        <is>
          <t>0217365963</t>
        </is>
      </c>
      <c r="D43" t="inlineStr">
        <is>
          <t>bagas.associates@gmail.com</t>
        </is>
      </c>
      <c r="E43" t="inlineStr">
        <is>
          <t>https://lpjk.pu.go.id/search-badan-usaha-detail/NXE3dEpVM1V5a3FnZVRGcmFXTEpIUT09</t>
        </is>
      </c>
      <c r="F43" t="n">
        <v>1</v>
      </c>
      <c r="G43" t="inlineStr">
        <is>
          <t>AR001</t>
        </is>
      </c>
      <c r="H43" t="inlineStr">
        <is>
          <t>30 Oktober 2003</t>
        </is>
      </c>
      <c r="I43" s="2" t="n">
        <v>46312</v>
      </c>
      <c r="J43" t="inlineStr">
        <is>
          <t>Disetujui</t>
        </is>
      </c>
      <c r="K43" t="n">
        <v>60</v>
      </c>
      <c r="L43" t="inlineStr">
        <is>
          <t>17 Oktober 2026</t>
        </is>
      </c>
      <c r="M43" t="inlineStr">
        <is>
          <t>Jasa Arsitektural Bangunan Gedung Hunian dan Non Hunian</t>
        </is>
      </c>
      <c r="N43" t="inlineStr">
        <is>
          <t>K</t>
        </is>
      </c>
      <c r="O43" t="inlineStr">
        <is>
          <t>20230911</t>
        </is>
      </c>
      <c r="P43" t="inlineStr">
        <is>
          <t>Banten</t>
        </is>
      </c>
      <c r="Q43" t="inlineStr"/>
    </row>
    <row r="44">
      <c r="A44" t="inlineStr">
        <is>
          <t>BANGUN PUTRA</t>
        </is>
      </c>
      <c r="B44" t="inlineStr">
        <is>
          <t>Kab. Kendal</t>
        </is>
      </c>
      <c r="C44" t="inlineStr">
        <is>
          <t>0294383667</t>
        </is>
      </c>
      <c r="D44" t="inlineStr">
        <is>
          <t>cvbangunputra12@gmail.com</t>
        </is>
      </c>
      <c r="E44" t="inlineStr">
        <is>
          <t>https://lpjk.pu.go.id/search-badan-usaha-detail/T05XbWZLS2tremN4aGVhUm1oZzJqUT09</t>
        </is>
      </c>
      <c r="F44" t="n">
        <v>2</v>
      </c>
      <c r="G44" t="inlineStr">
        <is>
          <t>BG009, BS001</t>
        </is>
      </c>
      <c r="H44" t="inlineStr">
        <is>
          <t>28 November 1998</t>
        </is>
      </c>
      <c r="I44" s="2" t="n">
        <v>46312</v>
      </c>
      <c r="J44" t="inlineStr">
        <is>
          <t>Disetujui</t>
        </is>
      </c>
      <c r="K44" t="n">
        <v>60</v>
      </c>
      <c r="L44" t="inlineStr">
        <is>
          <t>17 Oktober 2026</t>
        </is>
      </c>
      <c r="M44" t="inlineStr">
        <is>
          <t>Konstruksi Bangunan Sipil Jalan, Konstruksi Gedung Lainnya</t>
        </is>
      </c>
      <c r="N44" t="inlineStr">
        <is>
          <t>K</t>
        </is>
      </c>
      <c r="O44" t="inlineStr">
        <is>
          <t>20231017</t>
        </is>
      </c>
      <c r="P44" t="inlineStr">
        <is>
          <t>Jawa Tengah</t>
        </is>
      </c>
      <c r="Q44" t="inlineStr"/>
    </row>
    <row r="45">
      <c r="A45" t="inlineStr">
        <is>
          <t>BATARA GADA JAYA</t>
        </is>
      </c>
      <c r="B45" t="inlineStr">
        <is>
          <t>Kab. Kutai Kartanegara</t>
        </is>
      </c>
      <c r="C45" t="inlineStr">
        <is>
          <t>081253086818</t>
        </is>
      </c>
      <c r="D45" t="inlineStr">
        <is>
          <t>cvbataragadajaya@gmail.com</t>
        </is>
      </c>
      <c r="E45" t="inlineStr">
        <is>
          <t>https://lpjk.pu.go.id/search-badan-usaha-detail/TXV6NXBLcGlENmRKRm1Jd2RPN2NIdz09</t>
        </is>
      </c>
      <c r="F45" t="n">
        <v>1</v>
      </c>
      <c r="G45" t="inlineStr">
        <is>
          <t>BS001</t>
        </is>
      </c>
      <c r="H45" t="inlineStr">
        <is>
          <t>1 September 2023</t>
        </is>
      </c>
      <c r="I45" s="2" t="n">
        <v>46312</v>
      </c>
      <c r="J45" t="inlineStr">
        <is>
          <t>Disetujui</t>
        </is>
      </c>
      <c r="K45" t="n">
        <v>60</v>
      </c>
      <c r="L45" t="inlineStr">
        <is>
          <t>17 Oktober 2026</t>
        </is>
      </c>
      <c r="M45" t="inlineStr">
        <is>
          <t>Konstruksi Bangunan Sipil Jalan</t>
        </is>
      </c>
      <c r="N45" t="inlineStr">
        <is>
          <t>K</t>
        </is>
      </c>
      <c r="O45" t="inlineStr">
        <is>
          <t>20231013</t>
        </is>
      </c>
      <c r="P45" t="inlineStr">
        <is>
          <t>Kalimantan Timur</t>
        </is>
      </c>
      <c r="Q45" t="inlineStr"/>
    </row>
    <row r="46">
      <c r="A46" t="inlineStr">
        <is>
          <t>BAYURINI</t>
        </is>
      </c>
      <c r="B46" t="inlineStr">
        <is>
          <t>Kota Adm. Jakarta Barat</t>
        </is>
      </c>
      <c r="C46" t="inlineStr">
        <is>
          <t>021456548</t>
        </is>
      </c>
      <c r="D46" t="inlineStr">
        <is>
          <t>bayurini422@gmail.com</t>
        </is>
      </c>
      <c r="E46" t="inlineStr">
        <is>
          <t>https://lpjk.pu.go.id/search-badan-usaha-detail/RG9UZ1hyQ3B4K0hpVGNFcWYrM3FNdz09</t>
        </is>
      </c>
      <c r="F46" t="n">
        <v>2</v>
      </c>
      <c r="G46" t="inlineStr">
        <is>
          <t>BG001</t>
        </is>
      </c>
      <c r="H46" t="inlineStr">
        <is>
          <t>16 Agustus 2023</t>
        </is>
      </c>
      <c r="I46" s="2" t="n">
        <v>46312</v>
      </c>
      <c r="J46" t="inlineStr">
        <is>
          <t>Disetujui</t>
        </is>
      </c>
      <c r="K46" t="n">
        <v>60</v>
      </c>
      <c r="L46" t="inlineStr">
        <is>
          <t>17 Oktober 2026</t>
        </is>
      </c>
      <c r="M46" t="inlineStr">
        <is>
          <t>Konstruksi Gedung Hunian</t>
        </is>
      </c>
      <c r="N46" t="inlineStr">
        <is>
          <t>K</t>
        </is>
      </c>
      <c r="O46" t="inlineStr">
        <is>
          <t>20231009</t>
        </is>
      </c>
      <c r="P46" t="inlineStr">
        <is>
          <t>DKI Jakarta</t>
        </is>
      </c>
      <c r="Q46" t="inlineStr"/>
    </row>
    <row r="47">
      <c r="A47" t="inlineStr">
        <is>
          <t>BELKA CERIA PERSADA</t>
        </is>
      </c>
      <c r="B47" t="inlineStr">
        <is>
          <t>Kota Bandung</t>
        </is>
      </c>
      <c r="C47" t="inlineStr">
        <is>
          <t>02288880840</t>
        </is>
      </c>
      <c r="D47" t="inlineStr">
        <is>
          <t>belkaceriapersadapt@yahoo.com</t>
        </is>
      </c>
      <c r="E47" t="inlineStr">
        <is>
          <t>https://lpjk.pu.go.id/search-badan-usaha-detail/SEEvR3FjK3FJTURNWnpsWmJZbzY5dz09</t>
        </is>
      </c>
      <c r="F47" t="n">
        <v>4</v>
      </c>
      <c r="G47" t="inlineStr">
        <is>
          <t>BG002, BG005, BG009, BS004</t>
        </is>
      </c>
      <c r="H47" t="inlineStr">
        <is>
          <t>5 November 1994</t>
        </is>
      </c>
      <c r="I47" s="2" t="n">
        <v>46312</v>
      </c>
      <c r="J47" t="inlineStr">
        <is>
          <t>Disetujui</t>
        </is>
      </c>
      <c r="K47" t="n">
        <v>60</v>
      </c>
      <c r="L47" t="inlineStr">
        <is>
          <t>17 Oktober 2026</t>
        </is>
      </c>
      <c r="M47" t="inlineStr">
        <is>
          <t>Konstruksi Gedung Kesehatan, Konstruksi Gedung Lainnya, Konstruksi Gedung Perkantoran, Konstruksi Jaringan Irigasi dan Drainase</t>
        </is>
      </c>
      <c r="N47" t="inlineStr">
        <is>
          <t>K</t>
        </is>
      </c>
      <c r="O47" t="inlineStr">
        <is>
          <t>20231016, 20231017</t>
        </is>
      </c>
      <c r="P47" t="inlineStr">
        <is>
          <t>Jawa Barat</t>
        </is>
      </c>
      <c r="Q47" t="inlineStr"/>
    </row>
    <row r="48">
      <c r="A48" t="inlineStr">
        <is>
          <t>BELLAVEGA TERRA CONSULTANT</t>
        </is>
      </c>
      <c r="B48" t="inlineStr">
        <is>
          <t>Kota Pontianak</t>
        </is>
      </c>
      <c r="C48" t="inlineStr">
        <is>
          <t>085245772448</t>
        </is>
      </c>
      <c r="D48" t="inlineStr">
        <is>
          <t>bellavega.terra@gmail.com</t>
        </is>
      </c>
      <c r="E48" t="inlineStr">
        <is>
          <t>https://lpjk.pu.go.id/search-badan-usaha-detail/MTA2TWN0alVydFAxMHY5YjA5eGVYUT09</t>
        </is>
      </c>
      <c r="F48" t="n">
        <v>2</v>
      </c>
      <c r="G48" t="inlineStr">
        <is>
          <t>RK001, RK003</t>
        </is>
      </c>
      <c r="H48" t="inlineStr">
        <is>
          <t>24 Februari 2016</t>
        </is>
      </c>
      <c r="I48" s="2" t="n">
        <v>46312</v>
      </c>
      <c r="J48" t="inlineStr">
        <is>
          <t>Disetujui</t>
        </is>
      </c>
      <c r="K48" t="n">
        <v>60</v>
      </c>
      <c r="L48" t="inlineStr">
        <is>
          <t>17 Oktober 2026</t>
        </is>
      </c>
      <c r="M48" t="inlineStr">
        <is>
          <t>Jasa Rekayasa Konstruksi Bangunan Gedung Hunian dan Non Hunian, Jasa Rekayasa Pekerjaan Teknik Sipil Transportasi</t>
        </is>
      </c>
      <c r="N48" t="inlineStr">
        <is>
          <t>K</t>
        </is>
      </c>
      <c r="O48" t="inlineStr">
        <is>
          <t>20231006, 20231009</t>
        </is>
      </c>
      <c r="P48" t="inlineStr">
        <is>
          <t>Kalimantan Barat</t>
        </is>
      </c>
      <c r="Q48" t="inlineStr"/>
    </row>
    <row r="49">
      <c r="A49" t="inlineStr">
        <is>
          <t>BERKAH MANDIRI CONSULTANT</t>
        </is>
      </c>
      <c r="B49" t="inlineStr">
        <is>
          <t>Kota Samarinda</t>
        </is>
      </c>
      <c r="C49" t="inlineStr">
        <is>
          <t>082350859423</t>
        </is>
      </c>
      <c r="D49" t="inlineStr">
        <is>
          <t>berkahmandiriconsultant@gmail.com</t>
        </is>
      </c>
      <c r="E49" t="inlineStr">
        <is>
          <t>https://lpjk.pu.go.id/search-badan-usaha-detail/eGMxcFRCNjNHT3ZPcXFuTktnN2hsZz09</t>
        </is>
      </c>
      <c r="F49" t="n">
        <v>2</v>
      </c>
      <c r="G49" t="inlineStr">
        <is>
          <t>RK001</t>
        </is>
      </c>
      <c r="H49" t="inlineStr">
        <is>
          <t>17 Juni 2022</t>
        </is>
      </c>
      <c r="I49" s="2" t="n">
        <v>46312</v>
      </c>
      <c r="J49" t="inlineStr">
        <is>
          <t>Disetujui</t>
        </is>
      </c>
      <c r="K49" t="n">
        <v>60</v>
      </c>
      <c r="L49" t="inlineStr">
        <is>
          <t>17 Oktober 2026</t>
        </is>
      </c>
      <c r="M49" t="inlineStr">
        <is>
          <t>Jasa Rekayasa Konstruksi Bangunan Gedung Hunian dan Non Hunian</t>
        </is>
      </c>
      <c r="N49" t="inlineStr">
        <is>
          <t>K</t>
        </is>
      </c>
      <c r="O49" t="inlineStr">
        <is>
          <t>20230925</t>
        </is>
      </c>
      <c r="P49" t="inlineStr">
        <is>
          <t>Kalimantan Timur</t>
        </is>
      </c>
      <c r="Q49" t="inlineStr"/>
    </row>
    <row r="50">
      <c r="A50" t="inlineStr">
        <is>
          <t>BERKAH TENAGA MUDA</t>
        </is>
      </c>
      <c r="B50" t="inlineStr">
        <is>
          <t>Kab. Mojokerto</t>
        </is>
      </c>
      <c r="C50" t="inlineStr">
        <is>
          <t>081252214045</t>
        </is>
      </c>
      <c r="D50" t="inlineStr">
        <is>
          <t>cvberkahtenagamuda@gmail.com</t>
        </is>
      </c>
      <c r="E50" t="inlineStr">
        <is>
          <t>https://lpjk.pu.go.id/search-badan-usaha-detail/cGRqR1R3VnhNVnZhcW4rN25yc3kxQT09</t>
        </is>
      </c>
      <c r="F50" t="n">
        <v>2</v>
      </c>
      <c r="G50" t="inlineStr">
        <is>
          <t>BS001</t>
        </is>
      </c>
      <c r="H50" t="inlineStr">
        <is>
          <t>3 Agustus 2023</t>
        </is>
      </c>
      <c r="I50" s="2" t="n">
        <v>46312</v>
      </c>
      <c r="J50" t="inlineStr">
        <is>
          <t>Disetujui</t>
        </is>
      </c>
      <c r="K50" t="n">
        <v>60</v>
      </c>
      <c r="L50" t="inlineStr">
        <is>
          <t>17 Oktober 2026</t>
        </is>
      </c>
      <c r="M50" t="inlineStr">
        <is>
          <t>Konstruksi Bangunan Sipil Jalan</t>
        </is>
      </c>
      <c r="N50" t="inlineStr">
        <is>
          <t>K</t>
        </is>
      </c>
      <c r="O50" t="inlineStr">
        <is>
          <t>20231010</t>
        </is>
      </c>
      <c r="P50" t="inlineStr">
        <is>
          <t>Jawa Timur</t>
        </is>
      </c>
      <c r="Q50" t="inlineStr"/>
    </row>
    <row r="51">
      <c r="A51" t="inlineStr">
        <is>
          <t>BERKAT ABADI GROUP</t>
        </is>
      </c>
      <c r="B51" t="inlineStr">
        <is>
          <t>Kab. Tuban</t>
        </is>
      </c>
      <c r="C51" t="inlineStr">
        <is>
          <t>085779793788</t>
        </is>
      </c>
      <c r="D51" t="inlineStr">
        <is>
          <t>ptberkatabadigroup@gmail.com</t>
        </is>
      </c>
      <c r="E51" t="inlineStr">
        <is>
          <t>https://lpjk.pu.go.id/search-badan-usaha-detail/UThKZS9HTWlKek9ubUVSSW02YVRWUT09</t>
        </is>
      </c>
      <c r="F51" t="n">
        <v>6</v>
      </c>
      <c r="G51" t="inlineStr">
        <is>
          <t>BG003, BS002, BS004</t>
        </is>
      </c>
      <c r="H51" t="inlineStr">
        <is>
          <t>22 Agustus 2023</t>
        </is>
      </c>
      <c r="I51" s="2" t="n">
        <v>46312</v>
      </c>
      <c r="J51" t="inlineStr">
        <is>
          <t>Disetujui</t>
        </is>
      </c>
      <c r="K51" t="n">
        <v>60</v>
      </c>
      <c r="L51" t="inlineStr">
        <is>
          <t>17 Oktober 2026</t>
        </is>
      </c>
      <c r="M51" t="inlineStr">
        <is>
          <t>Bangunan Sipil Jembatan, Jalan Layang, Fly Over, dan Underpass, Konstruksi Gedung Industri, Konstruksi Jaringan Irigasi dan Drainase</t>
        </is>
      </c>
      <c r="N51" t="inlineStr">
        <is>
          <t>K</t>
        </is>
      </c>
      <c r="O51" t="inlineStr">
        <is>
          <t>20231017</t>
        </is>
      </c>
      <c r="P51" t="inlineStr">
        <is>
          <t>Jawa Timur</t>
        </is>
      </c>
      <c r="Q51" t="inlineStr"/>
    </row>
    <row r="52">
      <c r="A52" t="inlineStr">
        <is>
          <t>BERKAT SINAR PELANGI</t>
        </is>
      </c>
      <c r="B52" t="inlineStr">
        <is>
          <t>Kab. Kutai Timur</t>
        </is>
      </c>
      <c r="C52" t="inlineStr">
        <is>
          <t>081350634387</t>
        </is>
      </c>
      <c r="D52" t="inlineStr">
        <is>
          <t>cv.berkatsinarpelangi@gmail.com</t>
        </is>
      </c>
      <c r="E52" t="inlineStr">
        <is>
          <t>https://lpjk.pu.go.id/search-badan-usaha-detail/MytvR2RCWmVlWllXQ2NXc2FoNmlpZz09</t>
        </is>
      </c>
      <c r="F52" t="n">
        <v>4</v>
      </c>
      <c r="G52" t="inlineStr">
        <is>
          <t>BS001, BS004</t>
        </is>
      </c>
      <c r="H52" t="inlineStr">
        <is>
          <t>1 April 2008</t>
        </is>
      </c>
      <c r="I52" s="2" t="n">
        <v>46312</v>
      </c>
      <c r="J52" t="inlineStr">
        <is>
          <t>Disetujui</t>
        </is>
      </c>
      <c r="K52" t="n">
        <v>60</v>
      </c>
      <c r="L52" t="inlineStr">
        <is>
          <t>17 Oktober 2026</t>
        </is>
      </c>
      <c r="M52" t="inlineStr">
        <is>
          <t>Konstruksi Bangunan Sipil Jalan, Konstruksi Jaringan Irigasi dan Drainase</t>
        </is>
      </c>
      <c r="N52" t="inlineStr">
        <is>
          <t>K</t>
        </is>
      </c>
      <c r="O52" t="inlineStr">
        <is>
          <t>20231012</t>
        </is>
      </c>
      <c r="P52" t="inlineStr">
        <is>
          <t>Kalimantan Timur</t>
        </is>
      </c>
      <c r="Q52" t="inlineStr"/>
    </row>
    <row r="53">
      <c r="A53" t="inlineStr">
        <is>
          <t>BERLIAN</t>
        </is>
      </c>
      <c r="B53" t="inlineStr">
        <is>
          <t>Kab. Bojonegoro</t>
        </is>
      </c>
      <c r="C53" t="inlineStr">
        <is>
          <t>0353332404</t>
        </is>
      </c>
      <c r="D53" t="inlineStr">
        <is>
          <t>berlian_cv@ymail.com</t>
        </is>
      </c>
      <c r="E53" t="inlineStr">
        <is>
          <t>https://lpjk.pu.go.id/search-badan-usaha-detail/d3c2dzZUWW1KKzFGVXd0VkViOHJVQT09</t>
        </is>
      </c>
      <c r="F53" t="n">
        <v>2</v>
      </c>
      <c r="G53" t="inlineStr">
        <is>
          <t>BS001, BS004</t>
        </is>
      </c>
      <c r="H53" t="inlineStr">
        <is>
          <t>6 Desember 2001</t>
        </is>
      </c>
      <c r="I53" s="2" t="n">
        <v>46312</v>
      </c>
      <c r="J53" t="inlineStr">
        <is>
          <t>Disetujui</t>
        </is>
      </c>
      <c r="K53" t="n">
        <v>60</v>
      </c>
      <c r="L53" t="inlineStr">
        <is>
          <t>17 Oktober 2026</t>
        </is>
      </c>
      <c r="M53" t="inlineStr">
        <is>
          <t>Konstruksi Bangunan Sipil Jalan, Konstruksi Jaringan Irigasi dan Drainase</t>
        </is>
      </c>
      <c r="N53" t="inlineStr">
        <is>
          <t>K</t>
        </is>
      </c>
      <c r="O53" t="inlineStr">
        <is>
          <t>20231011, 20231018</t>
        </is>
      </c>
      <c r="P53" t="inlineStr">
        <is>
          <t>Jawa Timur</t>
        </is>
      </c>
      <c r="Q53" t="inlineStr"/>
    </row>
    <row r="54">
      <c r="A54" t="inlineStr">
        <is>
          <t>BHAKTIMITRA BESAR INOFAM</t>
        </is>
      </c>
      <c r="B54" t="inlineStr">
        <is>
          <t>Kota Tangerang Selatan</t>
        </is>
      </c>
      <c r="C54" t="inlineStr">
        <is>
          <t>02153160529</t>
        </is>
      </c>
      <c r="D54" t="inlineStr">
        <is>
          <t>bhaktimitrainofam@gmail.com</t>
        </is>
      </c>
      <c r="E54" t="inlineStr">
        <is>
          <t>https://lpjk.pu.go.id/search-badan-usaha-detail/S2NGVVhtbDN5RnVMc2tZM3pidW5Ldz09</t>
        </is>
      </c>
      <c r="F54" t="n">
        <v>1</v>
      </c>
      <c r="G54" t="inlineStr">
        <is>
          <t>BG001</t>
        </is>
      </c>
      <c r="H54" t="inlineStr">
        <is>
          <t>21 Desember 2022</t>
        </is>
      </c>
      <c r="I54" s="2" t="n">
        <v>46312</v>
      </c>
      <c r="J54" t="inlineStr">
        <is>
          <t>Disetujui</t>
        </is>
      </c>
      <c r="K54" t="n">
        <v>60</v>
      </c>
      <c r="L54" t="inlineStr">
        <is>
          <t>17 Oktober 2026</t>
        </is>
      </c>
      <c r="M54" t="inlineStr">
        <is>
          <t>Konstruksi Gedung Hunian</t>
        </is>
      </c>
      <c r="N54" t="inlineStr">
        <is>
          <t>K</t>
        </is>
      </c>
      <c r="O54" t="inlineStr">
        <is>
          <t>20231018</t>
        </is>
      </c>
      <c r="P54" t="inlineStr">
        <is>
          <t>Banten</t>
        </is>
      </c>
      <c r="Q54" t="inlineStr"/>
    </row>
    <row r="55">
      <c r="A55" t="inlineStr">
        <is>
          <t>BINA SAHABAT SEJATI</t>
        </is>
      </c>
      <c r="B55" t="inlineStr">
        <is>
          <t>Kota Tangerang</t>
        </is>
      </c>
      <c r="C55" t="inlineStr">
        <is>
          <t>0215918575</t>
        </is>
      </c>
      <c r="D55" t="inlineStr">
        <is>
          <t>pt-bss@cbn.net.id</t>
        </is>
      </c>
      <c r="E55" t="inlineStr">
        <is>
          <t>https://lpjk.pu.go.id/search-badan-usaha-detail/NDRkQzdSNkl3ZmREdllYUXJ4Mkd0UT09</t>
        </is>
      </c>
      <c r="F55" t="n">
        <v>2</v>
      </c>
      <c r="G55" t="inlineStr">
        <is>
          <t>BG003, BG009</t>
        </is>
      </c>
      <c r="H55" t="inlineStr">
        <is>
          <t>4 Februari 2005</t>
        </is>
      </c>
      <c r="I55" s="2" t="n">
        <v>46312</v>
      </c>
      <c r="J55" t="inlineStr">
        <is>
          <t>Pencabutan</t>
        </is>
      </c>
      <c r="K55" t="n">
        <v>60</v>
      </c>
      <c r="L55" t="inlineStr">
        <is>
          <t>17 Oktober 2026</t>
        </is>
      </c>
      <c r="M55" t="inlineStr">
        <is>
          <t>Konstruksi Gedung Industri, Konstruksi Gedung Lainnya</t>
        </is>
      </c>
      <c r="N55" t="inlineStr">
        <is>
          <t>K</t>
        </is>
      </c>
      <c r="O55" t="inlineStr">
        <is>
          <t>20230905, 20231016</t>
        </is>
      </c>
      <c r="P55" t="inlineStr">
        <is>
          <t>Banten</t>
        </is>
      </c>
      <c r="Q55" t="inlineStr"/>
    </row>
    <row r="56">
      <c r="A56" t="inlineStr">
        <is>
          <t>BINTANG JAYA</t>
        </is>
      </c>
      <c r="B56" t="inlineStr">
        <is>
          <t>Kab. Nganjuk</t>
        </is>
      </c>
      <c r="C56" t="inlineStr">
        <is>
          <t>085331487395</t>
        </is>
      </c>
      <c r="D56" t="inlineStr">
        <is>
          <t>cv_bintangj@yahoo.com</t>
        </is>
      </c>
      <c r="E56" t="inlineStr">
        <is>
          <t>https://lpjk.pu.go.id/search-badan-usaha-detail/ZTZZaWdOdmJtaE92SFFPS0NDQVU3dz09</t>
        </is>
      </c>
      <c r="F56" t="n">
        <v>6</v>
      </c>
      <c r="G56" t="inlineStr">
        <is>
          <t>BS001, BS002, BS004</t>
        </is>
      </c>
      <c r="H56" t="inlineStr">
        <is>
          <t>15 Juli 2003</t>
        </is>
      </c>
      <c r="I56" s="2" t="n">
        <v>46312</v>
      </c>
      <c r="J56" t="inlineStr">
        <is>
          <t>Disetujui</t>
        </is>
      </c>
      <c r="K56" t="n">
        <v>60</v>
      </c>
      <c r="L56" t="inlineStr">
        <is>
          <t>17 Oktober 2026</t>
        </is>
      </c>
      <c r="M56" t="inlineStr">
        <is>
          <t>Bangunan Sipil Jembatan, Jalan Layang, Fly Over, dan Underpass, Konstruksi Bangunan Sipil Jalan, Konstruksi Jaringan Irigasi dan Drainase</t>
        </is>
      </c>
      <c r="N56" t="inlineStr">
        <is>
          <t>K</t>
        </is>
      </c>
      <c r="O56" t="inlineStr">
        <is>
          <t>20231007, 20231018</t>
        </is>
      </c>
      <c r="P56" t="inlineStr">
        <is>
          <t>Jawa Timur</t>
        </is>
      </c>
      <c r="Q56" t="inlineStr"/>
    </row>
    <row r="57">
      <c r="A57" t="inlineStr">
        <is>
          <t>BINTANG MULIA INDONESIA</t>
        </is>
      </c>
      <c r="B57" t="inlineStr">
        <is>
          <t>Kota Makassar</t>
        </is>
      </c>
      <c r="C57" t="inlineStr">
        <is>
          <t>08114442001</t>
        </is>
      </c>
      <c r="D57" t="inlineStr">
        <is>
          <t>bintangmuliaindonesia@gmail.com</t>
        </is>
      </c>
      <c r="E57" t="inlineStr">
        <is>
          <t>https://lpjk.pu.go.id/search-badan-usaha-detail/SDVRRFJ2ZTJ2NldHWlA4elJobVF2UT09</t>
        </is>
      </c>
      <c r="F57" t="n">
        <v>6</v>
      </c>
      <c r="G57" t="inlineStr">
        <is>
          <t>BG002, BG006, BG009</t>
        </is>
      </c>
      <c r="H57" t="inlineStr">
        <is>
          <t>22 Juni 2012</t>
        </is>
      </c>
      <c r="I57" s="2" t="n">
        <v>46312</v>
      </c>
      <c r="J57" t="inlineStr">
        <is>
          <t>Disetujui</t>
        </is>
      </c>
      <c r="K57" t="n">
        <v>60</v>
      </c>
      <c r="L57" t="inlineStr">
        <is>
          <t>17 Oktober 2026</t>
        </is>
      </c>
      <c r="M57" t="inlineStr">
        <is>
          <t>Konstruksi Gedung Lainnya, Konstruksi Gedung Pendidikan, Konstruksi Gedung Perkantoran</t>
        </is>
      </c>
      <c r="N57" t="inlineStr">
        <is>
          <t>K</t>
        </is>
      </c>
      <c r="O57" t="inlineStr">
        <is>
          <t>20231013, 20231017</t>
        </is>
      </c>
      <c r="P57" t="inlineStr">
        <is>
          <t>Sulawesi Selatan</t>
        </is>
      </c>
      <c r="Q57" t="inlineStr"/>
    </row>
    <row r="58">
      <c r="A58" t="inlineStr">
        <is>
          <t>BINTANG PERMAI</t>
        </is>
      </c>
      <c r="B58" t="inlineStr">
        <is>
          <t>Kota Pontianak</t>
        </is>
      </c>
      <c r="C58" t="inlineStr">
        <is>
          <t>083143876144</t>
        </is>
      </c>
      <c r="D58" t="inlineStr">
        <is>
          <t>cvbintangpermai2021@gmail.com</t>
        </is>
      </c>
      <c r="E58" t="inlineStr">
        <is>
          <t>https://lpjk.pu.go.id/search-badan-usaha-detail/V1QzQ2Z4bUl1RnBZQ3lPbjZERmVxQT09</t>
        </is>
      </c>
      <c r="F58" t="n">
        <v>2</v>
      </c>
      <c r="G58" t="inlineStr">
        <is>
          <t>BG009</t>
        </is>
      </c>
      <c r="H58" t="inlineStr">
        <is>
          <t>16 April 2021</t>
        </is>
      </c>
      <c r="I58" s="2" t="n">
        <v>46312</v>
      </c>
      <c r="J58" t="inlineStr">
        <is>
          <t>Disetujui</t>
        </is>
      </c>
      <c r="K58" t="n">
        <v>60</v>
      </c>
      <c r="L58" t="inlineStr">
        <is>
          <t>17 Oktober 2026</t>
        </is>
      </c>
      <c r="M58" t="inlineStr">
        <is>
          <t>Konstruksi Gedung Lainnya</t>
        </is>
      </c>
      <c r="N58" t="inlineStr">
        <is>
          <t>K</t>
        </is>
      </c>
      <c r="O58" t="inlineStr">
        <is>
          <t>20231013</t>
        </is>
      </c>
      <c r="P58" t="inlineStr">
        <is>
          <t>Kalimantan Barat</t>
        </is>
      </c>
      <c r="Q58" t="inlineStr"/>
    </row>
    <row r="59">
      <c r="A59" t="inlineStr">
        <is>
          <t>BINTANG SEJAHTERA UTAMA</t>
        </is>
      </c>
      <c r="B59" t="inlineStr">
        <is>
          <t>Kab. Gowa</t>
        </is>
      </c>
      <c r="C59" t="inlineStr">
        <is>
          <t>0411615868</t>
        </is>
      </c>
      <c r="D59" t="inlineStr">
        <is>
          <t>cvbintangsejahterautama@yahoo.co.id</t>
        </is>
      </c>
      <c r="E59" t="inlineStr">
        <is>
          <t>https://lpjk.pu.go.id/search-badan-usaha-detail/bzR4RXRzYXNQVTU5RDllelRCUzZ4dz09</t>
        </is>
      </c>
      <c r="F59" t="n">
        <v>8</v>
      </c>
      <c r="G59" t="inlineStr">
        <is>
          <t>BG001, BG002, BG006, BG009</t>
        </is>
      </c>
      <c r="H59" t="inlineStr">
        <is>
          <t>30 Juni 2008</t>
        </is>
      </c>
      <c r="I59" s="2" t="n">
        <v>46312</v>
      </c>
      <c r="J59" t="inlineStr">
        <is>
          <t>Disetujui</t>
        </is>
      </c>
      <c r="K59" t="n">
        <v>60</v>
      </c>
      <c r="L59" t="inlineStr">
        <is>
          <t>17 Oktober 2026</t>
        </is>
      </c>
      <c r="M59" t="inlineStr">
        <is>
          <t>Konstruksi Gedung Hunian, Konstruksi Gedung Lainnya, Konstruksi Gedung Pendidikan, Konstruksi Gedung Perkantoran</t>
        </is>
      </c>
      <c r="N59" t="inlineStr">
        <is>
          <t>K</t>
        </is>
      </c>
      <c r="O59" t="inlineStr">
        <is>
          <t>20231013</t>
        </is>
      </c>
      <c r="P59" t="inlineStr">
        <is>
          <t>Sulawesi Selatan</t>
        </is>
      </c>
      <c r="Q59" t="inlineStr"/>
    </row>
    <row r="60">
      <c r="A60" t="inlineStr">
        <is>
          <t>BINTANGTIMUR UTAMA SEJAHTERA</t>
        </is>
      </c>
      <c r="B60" t="inlineStr">
        <is>
          <t>Kota Surabaya</t>
        </is>
      </c>
      <c r="C60" t="inlineStr">
        <is>
          <t>0315044343</t>
        </is>
      </c>
      <c r="D60" t="inlineStr">
        <is>
          <t>btu_berkarya@yahoo.com</t>
        </is>
      </c>
      <c r="E60" t="inlineStr">
        <is>
          <t>https://lpjk.pu.go.id/search-badan-usaha-detail/NVpSSThOZ1FvWEhURFBMaCtrR2RNdz09</t>
        </is>
      </c>
      <c r="F60" t="n">
        <v>2</v>
      </c>
      <c r="G60" t="inlineStr">
        <is>
          <t>BG009</t>
        </is>
      </c>
      <c r="H60" t="inlineStr">
        <is>
          <t>12 Desember 2008</t>
        </is>
      </c>
      <c r="I60" s="2" t="n">
        <v>46312</v>
      </c>
      <c r="J60" t="inlineStr">
        <is>
          <t>Pencabutan</t>
        </is>
      </c>
      <c r="K60" t="n">
        <v>60</v>
      </c>
      <c r="L60" t="inlineStr">
        <is>
          <t>17 Oktober 2026</t>
        </is>
      </c>
      <c r="M60" t="inlineStr">
        <is>
          <t>Konstruksi Gedung Lainnya</t>
        </is>
      </c>
      <c r="N60" t="inlineStr">
        <is>
          <t>K</t>
        </is>
      </c>
      <c r="O60" t="inlineStr">
        <is>
          <t>20231016</t>
        </is>
      </c>
      <c r="P60" t="inlineStr">
        <is>
          <t>Jawa Timur</t>
        </is>
      </c>
      <c r="Q60" t="inlineStr"/>
    </row>
    <row r="61">
      <c r="A61" t="inlineStr">
        <is>
          <t>BUMI ETAM SEJAHTERA</t>
        </is>
      </c>
      <c r="B61" t="inlineStr">
        <is>
          <t>Kab. Kutai Timur</t>
        </is>
      </c>
      <c r="C61" t="inlineStr">
        <is>
          <t>081226883777</t>
        </is>
      </c>
      <c r="D61" t="inlineStr">
        <is>
          <t>cvbumietamsejahtera@gmail.com</t>
        </is>
      </c>
      <c r="E61" t="inlineStr">
        <is>
          <t>https://lpjk.pu.go.id/search-badan-usaha-detail/VGxSTGw3VVNzZVp0WndxWTNaNVlyZz09</t>
        </is>
      </c>
      <c r="F61" t="n">
        <v>5</v>
      </c>
      <c r="G61" t="inlineStr">
        <is>
          <t>BG004, BG006, BG009, BS001, BS004</t>
        </is>
      </c>
      <c r="H61" t="inlineStr">
        <is>
          <t>17 Februari 2023</t>
        </is>
      </c>
      <c r="I61" s="2" t="n">
        <v>46312</v>
      </c>
      <c r="J61" t="inlineStr">
        <is>
          <t>Disetujui</t>
        </is>
      </c>
      <c r="K61" t="n">
        <v>60</v>
      </c>
      <c r="L61" t="inlineStr">
        <is>
          <t>17 Oktober 2026</t>
        </is>
      </c>
      <c r="M61" t="inlineStr">
        <is>
          <t>Konstruksi Bangunan Sipil Jalan, Konstruksi Gedung Lainnya, Konstruksi Gedung Pendidikan, Konstruksi Gedung Perbelanjaan, Konstruksi Jaringan Irigasi dan Drainase</t>
        </is>
      </c>
      <c r="N61" t="inlineStr">
        <is>
          <t>K</t>
        </is>
      </c>
      <c r="O61" t="inlineStr">
        <is>
          <t>20231018</t>
        </is>
      </c>
      <c r="P61" t="inlineStr">
        <is>
          <t>Kalimantan Timur</t>
        </is>
      </c>
      <c r="Q61" t="inlineStr"/>
    </row>
    <row r="62">
      <c r="A62" t="inlineStr">
        <is>
          <t>BUMI RAYA</t>
        </is>
      </c>
      <c r="B62" t="inlineStr">
        <is>
          <t>Kota Pekanbaru</t>
        </is>
      </c>
      <c r="C62" t="inlineStr">
        <is>
          <t>085377888877</t>
        </is>
      </c>
      <c r="D62" t="inlineStr">
        <is>
          <t>bumiraya_raya@yahoo.com</t>
        </is>
      </c>
      <c r="E62" t="inlineStr">
        <is>
          <t>https://lpjk.pu.go.id/search-badan-usaha-detail/ZXdZY3R6UG5lM3o2UzMrd3hTcUNCZz09</t>
        </is>
      </c>
      <c r="F62" t="n">
        <v>2</v>
      </c>
      <c r="G62" t="inlineStr">
        <is>
          <t>BG003, BG009</t>
        </is>
      </c>
      <c r="H62" t="inlineStr">
        <is>
          <t>22 April 1998</t>
        </is>
      </c>
      <c r="I62" s="2" t="n">
        <v>46312</v>
      </c>
      <c r="J62" t="inlineStr">
        <is>
          <t>Disetujui</t>
        </is>
      </c>
      <c r="K62" t="n">
        <v>60</v>
      </c>
      <c r="L62" t="inlineStr">
        <is>
          <t>17 Oktober 2026</t>
        </is>
      </c>
      <c r="M62" t="inlineStr">
        <is>
          <t>Konstruksi Gedung Industri, Konstruksi Gedung Lainnya</t>
        </is>
      </c>
      <c r="N62" t="inlineStr">
        <is>
          <t>K</t>
        </is>
      </c>
      <c r="O62" t="inlineStr">
        <is>
          <t>20231013</t>
        </is>
      </c>
      <c r="P62" t="inlineStr">
        <is>
          <t>Riau</t>
        </is>
      </c>
      <c r="Q62" t="inlineStr"/>
    </row>
    <row r="63">
      <c r="A63" t="inlineStr">
        <is>
          <t>CAHAYA TUNJUNG</t>
        </is>
      </c>
      <c r="B63" t="inlineStr">
        <is>
          <t>Kab. Lombok Tengah</t>
        </is>
      </c>
      <c r="C63" t="inlineStr">
        <is>
          <t>081917179640</t>
        </is>
      </c>
      <c r="D63" t="inlineStr">
        <is>
          <t>cahayatunjung@gmail.com</t>
        </is>
      </c>
      <c r="E63" t="inlineStr">
        <is>
          <t>https://lpjk.pu.go.id/search-badan-usaha-detail/L1cyMDh3WW1ySXpWTmQzcUQ5SFR4QT09</t>
        </is>
      </c>
      <c r="F63" t="n">
        <v>1</v>
      </c>
      <c r="G63" t="inlineStr">
        <is>
          <t>BG006</t>
        </is>
      </c>
      <c r="H63" t="inlineStr">
        <is>
          <t>20 Januari 2016</t>
        </is>
      </c>
      <c r="I63" s="2" t="n">
        <v>46312</v>
      </c>
      <c r="J63" t="inlineStr">
        <is>
          <t>Disetujui</t>
        </is>
      </c>
      <c r="K63" t="n">
        <v>60</v>
      </c>
      <c r="L63" t="inlineStr">
        <is>
          <t>17 Oktober 2026</t>
        </is>
      </c>
      <c r="M63" t="inlineStr">
        <is>
          <t>Konstruksi Gedung Pendidikan</t>
        </is>
      </c>
      <c r="N63" t="inlineStr">
        <is>
          <t>K</t>
        </is>
      </c>
      <c r="O63" t="inlineStr">
        <is>
          <t>20231010</t>
        </is>
      </c>
      <c r="P63" t="inlineStr">
        <is>
          <t>Nusa Tenggara Barat</t>
        </is>
      </c>
      <c r="Q63" t="inlineStr"/>
    </row>
    <row r="64">
      <c r="A64" t="inlineStr">
        <is>
          <t>CEMERLANG SAMUDRA KONTRINDO</t>
        </is>
      </c>
      <c r="B64" t="inlineStr">
        <is>
          <t>Kota Medan</t>
        </is>
      </c>
      <c r="C64" t="inlineStr">
        <is>
          <t>0614527251</t>
        </is>
      </c>
      <c r="D64" t="inlineStr">
        <is>
          <t>cskpt.medan@gmail.com</t>
        </is>
      </c>
      <c r="E64" t="inlineStr">
        <is>
          <t>https://lpjk.pu.go.id/search-badan-usaha-detail/TkQ5MTdTQ1QvRUk3WHpJZWk1VTA1dz09</t>
        </is>
      </c>
      <c r="F64" t="n">
        <v>1</v>
      </c>
      <c r="G64" t="inlineStr">
        <is>
          <t>BS011</t>
        </is>
      </c>
      <c r="H64" t="inlineStr">
        <is>
          <t>9 April 1998</t>
        </is>
      </c>
      <c r="I64" s="2" t="n">
        <v>46312</v>
      </c>
      <c r="J64" t="inlineStr">
        <is>
          <t>Disetujui</t>
        </is>
      </c>
      <c r="K64" t="n">
        <v>60</v>
      </c>
      <c r="L64" t="inlineStr">
        <is>
          <t>17 Oktober 2026</t>
        </is>
      </c>
      <c r="M64" t="inlineStr">
        <is>
          <t>Konstruksi Bangunan Pelabuhan Bukan Perikanan</t>
        </is>
      </c>
      <c r="N64" t="inlineStr">
        <is>
          <t>B</t>
        </is>
      </c>
      <c r="O64" t="inlineStr">
        <is>
          <t>20231004</t>
        </is>
      </c>
      <c r="P64" t="inlineStr">
        <is>
          <t>Sumatera Utara</t>
        </is>
      </c>
      <c r="Q64" t="inlineStr"/>
    </row>
    <row r="65">
      <c r="A65" t="inlineStr">
        <is>
          <t>CITRA SEJAHTERA MANDIRI</t>
        </is>
      </c>
      <c r="B65" t="inlineStr">
        <is>
          <t>Kab. Kotabaru</t>
        </is>
      </c>
      <c r="C65" t="inlineStr">
        <is>
          <t>082154962879</t>
        </is>
      </c>
      <c r="D65" t="inlineStr">
        <is>
          <t>cv.citrasejahteramandiri@yahoo.co.id</t>
        </is>
      </c>
      <c r="E65" t="inlineStr">
        <is>
          <t>https://lpjk.pu.go.id/search-badan-usaha-detail/aEY2Uk5LZEFCZmM1TUdXeEk0SkR2UT09</t>
        </is>
      </c>
      <c r="F65" t="n">
        <v>5</v>
      </c>
      <c r="G65" t="inlineStr">
        <is>
          <t>BG002, BG004, BG008, BG009, BS002</t>
        </is>
      </c>
      <c r="H65" t="inlineStr">
        <is>
          <t>26 Desember 2000</t>
        </is>
      </c>
      <c r="I65" s="2" t="n">
        <v>46312</v>
      </c>
      <c r="J65" t="inlineStr">
        <is>
          <t>Disetujui</t>
        </is>
      </c>
      <c r="K65" t="n">
        <v>60</v>
      </c>
      <c r="L65" t="inlineStr">
        <is>
          <t>17 Oktober 2026</t>
        </is>
      </c>
      <c r="M65" t="inlineStr">
        <is>
          <t>Bangunan Sipil Jembatan, Jalan Layang, Fly Over, dan Underpass, Konstruksi Gedung Lainnya, Konstruksi Gedung Perbelanjaan, Konstruksi Gedung Perkantoran, Konstruksi Gedung Tempat Hiburan dan Olahraga</t>
        </is>
      </c>
      <c r="N65" t="inlineStr">
        <is>
          <t>K</t>
        </is>
      </c>
      <c r="O65" t="inlineStr">
        <is>
          <t>20231014, 20231018</t>
        </is>
      </c>
      <c r="P65" t="inlineStr">
        <is>
          <t>Kalimantan Selatan</t>
        </is>
      </c>
      <c r="Q65" t="inlineStr"/>
    </row>
    <row r="66">
      <c r="A66" t="inlineStr">
        <is>
          <t>DAMAI PESONA</t>
        </is>
      </c>
      <c r="B66" t="inlineStr">
        <is>
          <t>Kab. Lombok Barat</t>
        </is>
      </c>
      <c r="C66" t="inlineStr">
        <is>
          <t>081907572510</t>
        </is>
      </c>
      <c r="D66" t="inlineStr">
        <is>
          <t>ayuardani1505@gmail.com</t>
        </is>
      </c>
      <c r="E66" t="inlineStr">
        <is>
          <t>https://lpjk.pu.go.id/search-badan-usaha-detail/dUI1YjgrWDZVZGNYR205ZUw3V1NxZz09</t>
        </is>
      </c>
      <c r="F66" t="n">
        <v>6</v>
      </c>
      <c r="G66" t="inlineStr">
        <is>
          <t>BG005, BG006, BS001</t>
        </is>
      </c>
      <c r="H66" t="inlineStr">
        <is>
          <t>10 Maret 2010</t>
        </is>
      </c>
      <c r="I66" s="2" t="n">
        <v>46312</v>
      </c>
      <c r="J66" t="inlineStr">
        <is>
          <t>Disetujui</t>
        </is>
      </c>
      <c r="K66" t="n">
        <v>60</v>
      </c>
      <c r="L66" t="inlineStr">
        <is>
          <t>17 Oktober 2026</t>
        </is>
      </c>
      <c r="M66" t="inlineStr">
        <is>
          <t>Konstruksi Bangunan Sipil Jalan, Konstruksi Gedung Kesehatan, Konstruksi Gedung Pendidikan</t>
        </is>
      </c>
      <c r="N66" t="inlineStr">
        <is>
          <t>K</t>
        </is>
      </c>
      <c r="O66" t="inlineStr">
        <is>
          <t>20231006, 20231009</t>
        </is>
      </c>
      <c r="P66" t="inlineStr">
        <is>
          <t>Nusa Tenggara Barat</t>
        </is>
      </c>
      <c r="Q66" t="inlineStr"/>
    </row>
    <row r="67">
      <c r="A67" t="inlineStr">
        <is>
          <t>DARMA JAYA KONTRAKTOR</t>
        </is>
      </c>
      <c r="B67" t="inlineStr">
        <is>
          <t>Kab. Gianyar</t>
        </is>
      </c>
      <c r="C67" t="inlineStr">
        <is>
          <t>087765149900</t>
        </is>
      </c>
      <c r="D67" t="inlineStr">
        <is>
          <t>darmajaya.kontraktor@gmail.com</t>
        </is>
      </c>
      <c r="E67" t="inlineStr">
        <is>
          <t>https://lpjk.pu.go.id/search-badan-usaha-detail/bm5QMGg5UVVMd1dDRVA4QURHMXJFQT09</t>
        </is>
      </c>
      <c r="F67" t="n">
        <v>2</v>
      </c>
      <c r="G67" t="inlineStr">
        <is>
          <t>BG001, BG002</t>
        </is>
      </c>
      <c r="H67" t="inlineStr">
        <is>
          <t>22 Juni 2023</t>
        </is>
      </c>
      <c r="I67" s="2" t="n">
        <v>46312</v>
      </c>
      <c r="J67" t="inlineStr">
        <is>
          <t>Disetujui</t>
        </is>
      </c>
      <c r="K67" t="n">
        <v>60</v>
      </c>
      <c r="L67" t="inlineStr">
        <is>
          <t>17 Oktober 2026</t>
        </is>
      </c>
      <c r="M67" t="inlineStr">
        <is>
          <t>Konstruksi Gedung Hunian, Konstruksi Gedung Perkantoran</t>
        </is>
      </c>
      <c r="N67" t="inlineStr">
        <is>
          <t>K</t>
        </is>
      </c>
      <c r="O67" t="inlineStr">
        <is>
          <t>20231016</t>
        </is>
      </c>
      <c r="P67" t="inlineStr">
        <is>
          <t>Bali</t>
        </is>
      </c>
      <c r="Q67" t="inlineStr"/>
    </row>
    <row r="68">
      <c r="A68" t="inlineStr">
        <is>
          <t>DELAPAN PILAR INTI SOLUSI</t>
        </is>
      </c>
      <c r="B68" t="inlineStr">
        <is>
          <t>Kota Tangerang Selatan</t>
        </is>
      </c>
      <c r="C68" t="inlineStr">
        <is>
          <t>0215373178</t>
        </is>
      </c>
      <c r="D68" t="inlineStr">
        <is>
          <t>delapanpilarintisolusi@gmail.com</t>
        </is>
      </c>
      <c r="E68" t="inlineStr">
        <is>
          <t>https://lpjk.pu.go.id/search-badan-usaha-detail/d2oyTW0yUTQzdHQ1YkRaK1NFZ2hJdz09</t>
        </is>
      </c>
      <c r="F68" t="n">
        <v>4</v>
      </c>
      <c r="G68" t="inlineStr">
        <is>
          <t>BG002, BG003</t>
        </is>
      </c>
      <c r="H68" t="inlineStr">
        <is>
          <t>21 Agustus 2023</t>
        </is>
      </c>
      <c r="I68" s="2" t="n">
        <v>46312</v>
      </c>
      <c r="J68" t="inlineStr">
        <is>
          <t>Disetujui</t>
        </is>
      </c>
      <c r="K68" t="n">
        <v>60</v>
      </c>
      <c r="L68" t="inlineStr">
        <is>
          <t>17 Oktober 2026</t>
        </is>
      </c>
      <c r="M68" t="inlineStr">
        <is>
          <t>Konstruksi Gedung Industri, Konstruksi Gedung Perkantoran</t>
        </is>
      </c>
      <c r="N68" t="inlineStr">
        <is>
          <t>K</t>
        </is>
      </c>
      <c r="O68" t="inlineStr">
        <is>
          <t>20231018</t>
        </is>
      </c>
      <c r="P68" t="inlineStr">
        <is>
          <t>Banten</t>
        </is>
      </c>
      <c r="Q68" t="inlineStr"/>
    </row>
    <row r="69">
      <c r="A69" t="inlineStr">
        <is>
          <t>DETAIL MERBANG SEULAWAH</t>
        </is>
      </c>
      <c r="B69" t="inlineStr">
        <is>
          <t>Kota Palembang</t>
        </is>
      </c>
      <c r="C69" t="inlineStr">
        <is>
          <t>082179583911</t>
        </is>
      </c>
      <c r="D69" t="inlineStr">
        <is>
          <t>cvdetailmerbangseulwah@gmail.com</t>
        </is>
      </c>
      <c r="E69" t="inlineStr">
        <is>
          <t>https://lpjk.pu.go.id/search-badan-usaha-detail/SzBDeDBxREVvV1BWc1htdjdiYUhSZz09</t>
        </is>
      </c>
      <c r="F69" t="n">
        <v>2</v>
      </c>
      <c r="G69" t="inlineStr">
        <is>
          <t>AR001, RK001</t>
        </is>
      </c>
      <c r="H69" t="inlineStr">
        <is>
          <t>11 Januari 2011</t>
        </is>
      </c>
      <c r="I69" s="2" t="n">
        <v>46312</v>
      </c>
      <c r="J69" t="inlineStr">
        <is>
          <t>Disetujui</t>
        </is>
      </c>
      <c r="K69" t="n">
        <v>60</v>
      </c>
      <c r="L69" t="inlineStr">
        <is>
          <t>17 Oktober 2026</t>
        </is>
      </c>
      <c r="M69" t="inlineStr">
        <is>
          <t>Jasa Arsitektural Bangunan Gedung Hunian dan Non Hunian, Jasa Rekayasa Konstruksi Bangunan Gedung Hunian dan Non Hunian</t>
        </is>
      </c>
      <c r="N69" t="inlineStr">
        <is>
          <t>K</t>
        </is>
      </c>
      <c r="O69" t="inlineStr">
        <is>
          <t>20231010, 20231013</t>
        </is>
      </c>
      <c r="P69" t="inlineStr">
        <is>
          <t>Sumatera Selatan</t>
        </is>
      </c>
      <c r="Q69" t="inlineStr"/>
    </row>
    <row r="70">
      <c r="A70" t="inlineStr">
        <is>
          <t>DEWA ELANG PERKASA</t>
        </is>
      </c>
      <c r="B70" t="inlineStr">
        <is>
          <t>Kab. Empat Lawang</t>
        </is>
      </c>
      <c r="C70" t="inlineStr">
        <is>
          <t>082183763603</t>
        </is>
      </c>
      <c r="D70" t="inlineStr">
        <is>
          <t>elangperkasadewa@gmail.com</t>
        </is>
      </c>
      <c r="E70" t="inlineStr">
        <is>
          <t>https://lpjk.pu.go.id/search-badan-usaha-detail/N3NaeEhyYjFTK1pGNm1VVkFKOWpMZz09</t>
        </is>
      </c>
      <c r="F70" t="n">
        <v>1</v>
      </c>
      <c r="G70" t="inlineStr">
        <is>
          <t>BS004</t>
        </is>
      </c>
      <c r="H70" t="inlineStr">
        <is>
          <t>4 Oktober 2023</t>
        </is>
      </c>
      <c r="I70" s="2" t="n">
        <v>46312</v>
      </c>
      <c r="J70" t="inlineStr">
        <is>
          <t>Disetujui</t>
        </is>
      </c>
      <c r="K70" t="n">
        <v>60</v>
      </c>
      <c r="L70" t="inlineStr">
        <is>
          <t>17 Oktober 2026</t>
        </is>
      </c>
      <c r="M70" t="inlineStr">
        <is>
          <t>Konstruksi Jaringan Irigasi dan Drainase</t>
        </is>
      </c>
      <c r="N70" t="inlineStr">
        <is>
          <t>K</t>
        </is>
      </c>
      <c r="O70" t="inlineStr">
        <is>
          <t>20231014</t>
        </is>
      </c>
      <c r="P70" t="inlineStr">
        <is>
          <t>Sumatera Selatan</t>
        </is>
      </c>
      <c r="Q70" t="inlineStr"/>
    </row>
    <row r="71">
      <c r="A71" t="inlineStr">
        <is>
          <t>DIPTA HARSANA</t>
        </is>
      </c>
      <c r="B71" t="inlineStr">
        <is>
          <t>Kota Bukittinggi</t>
        </is>
      </c>
      <c r="C71" t="inlineStr">
        <is>
          <t>-</t>
        </is>
      </c>
      <c r="D71" t="inlineStr">
        <is>
          <t>diptaharsana@gmail.com</t>
        </is>
      </c>
      <c r="E71" t="inlineStr">
        <is>
          <t>https://lpjk.pu.go.id/search-badan-usaha-detail/WDlaL2JBQVFrT090bzhOV0lla29vUT09</t>
        </is>
      </c>
      <c r="F71" t="n">
        <v>3</v>
      </c>
      <c r="G71" t="inlineStr">
        <is>
          <t>BG002, BG006, BS001</t>
        </is>
      </c>
      <c r="H71" t="inlineStr">
        <is>
          <t>24 Mei 2023</t>
        </is>
      </c>
      <c r="I71" s="2" t="n">
        <v>46312</v>
      </c>
      <c r="J71" t="inlineStr">
        <is>
          <t>Disetujui</t>
        </is>
      </c>
      <c r="K71" t="n">
        <v>60</v>
      </c>
      <c r="L71" t="inlineStr">
        <is>
          <t>17 Oktober 2026</t>
        </is>
      </c>
      <c r="M71" t="inlineStr">
        <is>
          <t>Konstruksi Bangunan Sipil Jalan, Konstruksi Gedung Pendidikan, Konstruksi Gedung Perkantoran</t>
        </is>
      </c>
      <c r="N71" t="inlineStr">
        <is>
          <t>K</t>
        </is>
      </c>
      <c r="O71" t="inlineStr">
        <is>
          <t>20230908, 20231011</t>
        </is>
      </c>
      <c r="P71" t="inlineStr">
        <is>
          <t>Sumatera Barat</t>
        </is>
      </c>
      <c r="Q71" t="inlineStr"/>
    </row>
    <row r="72">
      <c r="A72" t="inlineStr">
        <is>
          <t>DITA KONSULTAN</t>
        </is>
      </c>
      <c r="B72" t="inlineStr">
        <is>
          <t>Kab. Sumbawa</t>
        </is>
      </c>
      <c r="C72" t="inlineStr">
        <is>
          <t>085239557575</t>
        </is>
      </c>
      <c r="D72" t="inlineStr">
        <is>
          <t>cvdita@gmail.com</t>
        </is>
      </c>
      <c r="E72" t="inlineStr">
        <is>
          <t>https://lpjk.pu.go.id/search-badan-usaha-detail/dmgvaE41OWEzZUM1cW5GQWUxMGdBZz09</t>
        </is>
      </c>
      <c r="F72" t="n">
        <v>1</v>
      </c>
      <c r="G72" t="inlineStr">
        <is>
          <t>RK002</t>
        </is>
      </c>
      <c r="H72" t="inlineStr">
        <is>
          <t>21 Agustus 2009</t>
        </is>
      </c>
      <c r="I72" s="2" t="n">
        <v>46312</v>
      </c>
      <c r="J72" t="inlineStr">
        <is>
          <t>Disetujui</t>
        </is>
      </c>
      <c r="K72" t="n">
        <v>60</v>
      </c>
      <c r="L72" t="inlineStr">
        <is>
          <t>17 Oktober 2026</t>
        </is>
      </c>
      <c r="M72" t="inlineStr">
        <is>
          <t>Jasa Rekayasa Pekerjaan Teknik Sipil Sumber Daya Air</t>
        </is>
      </c>
      <c r="N72" t="inlineStr">
        <is>
          <t>K</t>
        </is>
      </c>
      <c r="O72" t="inlineStr">
        <is>
          <t>20231003</t>
        </is>
      </c>
      <c r="P72" t="inlineStr">
        <is>
          <t>Nusa Tenggara Barat</t>
        </is>
      </c>
      <c r="Q72" t="inlineStr"/>
    </row>
    <row r="73">
      <c r="A73" t="inlineStr">
        <is>
          <t>DOA EMAK PERKASA</t>
        </is>
      </c>
      <c r="B73" t="inlineStr">
        <is>
          <t>Kab. Tangerang</t>
        </is>
      </c>
      <c r="C73" t="inlineStr">
        <is>
          <t>081295413440</t>
        </is>
      </c>
      <c r="D73" t="inlineStr">
        <is>
          <t>aimanhalimy@gmail.com</t>
        </is>
      </c>
      <c r="E73" t="inlineStr">
        <is>
          <t>https://lpjk.pu.go.id/search-badan-usaha-detail/RnQ3azhqRG1pNXhWa0JUK1N4ZE14dz09</t>
        </is>
      </c>
      <c r="F73" t="n">
        <v>2</v>
      </c>
      <c r="G73" t="inlineStr">
        <is>
          <t>BG005, BG009</t>
        </is>
      </c>
      <c r="H73" t="inlineStr">
        <is>
          <t>12 Januari 2018</t>
        </is>
      </c>
      <c r="I73" s="2" t="n">
        <v>46312</v>
      </c>
      <c r="J73" t="inlineStr">
        <is>
          <t>Disetujui</t>
        </is>
      </c>
      <c r="K73" t="n">
        <v>60</v>
      </c>
      <c r="L73" t="inlineStr">
        <is>
          <t>17 Oktober 2026</t>
        </is>
      </c>
      <c r="M73" t="inlineStr">
        <is>
          <t>Konstruksi Gedung Kesehatan, Konstruksi Gedung Lainnya</t>
        </is>
      </c>
      <c r="N73" t="inlineStr">
        <is>
          <t>K</t>
        </is>
      </c>
      <c r="O73" t="inlineStr">
        <is>
          <t>20230919, 20231011</t>
        </is>
      </c>
      <c r="P73" t="inlineStr">
        <is>
          <t>Banten</t>
        </is>
      </c>
      <c r="Q73" t="inlineStr"/>
    </row>
    <row r="74">
      <c r="A74" t="inlineStr">
        <is>
          <t>DUA MAHKOTA</t>
        </is>
      </c>
      <c r="B74" t="inlineStr">
        <is>
          <t>Kota Bandung</t>
        </is>
      </c>
      <c r="C74" t="inlineStr">
        <is>
          <t>081394498833</t>
        </is>
      </c>
      <c r="D74" t="inlineStr">
        <is>
          <t>dua.mahkota@yahoo.com</t>
        </is>
      </c>
      <c r="E74" t="inlineStr">
        <is>
          <t>https://lpjk.pu.go.id/search-badan-usaha-detail/QWR5MWZsWEZENGo4dXJnbjFxcEhPUT09</t>
        </is>
      </c>
      <c r="F74" t="n">
        <v>3</v>
      </c>
      <c r="G74" t="inlineStr">
        <is>
          <t>BG005, BG006, BG009</t>
        </is>
      </c>
      <c r="H74" t="inlineStr">
        <is>
          <t>23 Juni 2009</t>
        </is>
      </c>
      <c r="I74" s="2" t="n">
        <v>46312</v>
      </c>
      <c r="J74" t="inlineStr">
        <is>
          <t>Disetujui</t>
        </is>
      </c>
      <c r="K74" t="n">
        <v>60</v>
      </c>
      <c r="L74" t="inlineStr">
        <is>
          <t>17 Oktober 2026</t>
        </is>
      </c>
      <c r="M74" t="inlineStr">
        <is>
          <t>Konstruksi Gedung Kesehatan, Konstruksi Gedung Lainnya, Konstruksi Gedung Pendidikan</t>
        </is>
      </c>
      <c r="N74" t="inlineStr">
        <is>
          <t>K</t>
        </is>
      </c>
      <c r="O74" t="inlineStr">
        <is>
          <t>20230929, 20231020</t>
        </is>
      </c>
      <c r="P74" t="inlineStr">
        <is>
          <t>Jawa Barat</t>
        </is>
      </c>
      <c r="Q74" t="inlineStr"/>
    </row>
    <row r="75">
      <c r="A75" t="inlineStr">
        <is>
          <t>DUTA KONSTRUKSI KHATULISTIWA</t>
        </is>
      </c>
      <c r="B75" t="inlineStr">
        <is>
          <t>Kab. Kubu Raya</t>
        </is>
      </c>
      <c r="C75" t="inlineStr">
        <is>
          <t>089510569889</t>
        </is>
      </c>
      <c r="D75" t="inlineStr">
        <is>
          <t>dutakonstruksikhatulistiwa@gmail.com</t>
        </is>
      </c>
      <c r="E75" t="inlineStr">
        <is>
          <t>https://lpjk.pu.go.id/search-badan-usaha-detail/NVE0cTExcU03TUt4bVZjTFBTeUhiUT09</t>
        </is>
      </c>
      <c r="F75" t="n">
        <v>1</v>
      </c>
      <c r="G75" t="inlineStr">
        <is>
          <t>BG002</t>
        </is>
      </c>
      <c r="H75" t="inlineStr">
        <is>
          <t>22 Desember 2021</t>
        </is>
      </c>
      <c r="I75" s="2" t="n">
        <v>46312</v>
      </c>
      <c r="J75" t="inlineStr">
        <is>
          <t>Disetujui</t>
        </is>
      </c>
      <c r="K75" t="n">
        <v>60</v>
      </c>
      <c r="L75" t="inlineStr">
        <is>
          <t>17 Oktober 2026</t>
        </is>
      </c>
      <c r="M75" t="inlineStr">
        <is>
          <t>Konstruksi Gedung Perkantoran</t>
        </is>
      </c>
      <c r="N75" t="inlineStr">
        <is>
          <t>K</t>
        </is>
      </c>
      <c r="O75" t="inlineStr">
        <is>
          <t>20231012</t>
        </is>
      </c>
      <c r="P75" t="inlineStr">
        <is>
          <t>Kalimantan Barat</t>
        </is>
      </c>
      <c r="Q75" t="inlineStr"/>
    </row>
    <row r="76">
      <c r="A76" t="inlineStr">
        <is>
          <t>DYAH AYU</t>
        </is>
      </c>
      <c r="B76" t="inlineStr">
        <is>
          <t>Kota Bontang</t>
        </is>
      </c>
      <c r="C76" t="inlineStr">
        <is>
          <t>0811586668</t>
        </is>
      </c>
      <c r="D76" t="inlineStr">
        <is>
          <t>cv_dyahayu@yahoo.co.id</t>
        </is>
      </c>
      <c r="E76" t="inlineStr">
        <is>
          <t>https://lpjk.pu.go.id/search-badan-usaha-detail/TkN5a1hvM3dWV0ZTOVNMcTlJdWxtQT09</t>
        </is>
      </c>
      <c r="F76" t="n">
        <v>2</v>
      </c>
      <c r="G76" t="inlineStr">
        <is>
          <t>BG002, BG009</t>
        </is>
      </c>
      <c r="H76" t="inlineStr">
        <is>
          <t>11 April 2013</t>
        </is>
      </c>
      <c r="I76" s="2" t="n">
        <v>46312</v>
      </c>
      <c r="J76" t="inlineStr">
        <is>
          <t>Disetujui</t>
        </is>
      </c>
      <c r="K76" t="n">
        <v>60</v>
      </c>
      <c r="L76" t="inlineStr">
        <is>
          <t>17 Oktober 2026</t>
        </is>
      </c>
      <c r="M76" t="inlineStr">
        <is>
          <t>Konstruksi Gedung Lainnya, Konstruksi Gedung Perkantoran</t>
        </is>
      </c>
      <c r="N76" t="inlineStr">
        <is>
          <t>K</t>
        </is>
      </c>
      <c r="O76" t="inlineStr">
        <is>
          <t>20231016, 20231018</t>
        </is>
      </c>
      <c r="P76" t="inlineStr">
        <is>
          <t>Kalimantan Timur</t>
        </is>
      </c>
      <c r="Q76" t="inlineStr"/>
    </row>
    <row r="77">
      <c r="A77" t="inlineStr">
        <is>
          <t>FARHAN JASA PRATAMA</t>
        </is>
      </c>
      <c r="B77" t="inlineStr">
        <is>
          <t>Kota Ambon</t>
        </is>
      </c>
      <c r="C77" t="inlineStr">
        <is>
          <t>081247907424</t>
        </is>
      </c>
      <c r="D77" t="inlineStr">
        <is>
          <t>Pratamafarhanjasa@gmail.com</t>
        </is>
      </c>
      <c r="E77" t="inlineStr">
        <is>
          <t>https://lpjk.pu.go.id/search-badan-usaha-detail/NkJ6cmQ1SzBRVVZVT3hRYUtNYm9Edz09</t>
        </is>
      </c>
      <c r="F77" t="n">
        <v>3</v>
      </c>
      <c r="G77" t="inlineStr">
        <is>
          <t>BG005, BS004, BS010</t>
        </is>
      </c>
      <c r="H77" t="inlineStr">
        <is>
          <t>30 Agustus 2023</t>
        </is>
      </c>
      <c r="I77" s="2" t="n">
        <v>46312</v>
      </c>
      <c r="J77" t="inlineStr">
        <is>
          <t>Disetujui</t>
        </is>
      </c>
      <c r="K77" t="n">
        <v>60</v>
      </c>
      <c r="L77" t="inlineStr">
        <is>
          <t>17 Oktober 2026</t>
        </is>
      </c>
      <c r="M77" t="inlineStr">
        <is>
          <t>Konstruksi Bangunan Prasarana Sumber Daya Air, Konstruksi Gedung Kesehatan, Konstruksi Jaringan Irigasi dan Drainase</t>
        </is>
      </c>
      <c r="N77" t="inlineStr">
        <is>
          <t>K</t>
        </is>
      </c>
      <c r="O77" t="inlineStr">
        <is>
          <t>20231016</t>
        </is>
      </c>
      <c r="P77" t="inlineStr">
        <is>
          <t>Maluku</t>
        </is>
      </c>
      <c r="Q77" t="inlineStr"/>
    </row>
    <row r="78">
      <c r="A78" t="inlineStr">
        <is>
          <t>FARSYAH CIPTA BERSAMA</t>
        </is>
      </c>
      <c r="B78" t="inlineStr">
        <is>
          <t>Kota Bitung</t>
        </is>
      </c>
      <c r="C78" t="inlineStr">
        <is>
          <t>0</t>
        </is>
      </c>
      <c r="D78" t="inlineStr">
        <is>
          <t>cv.farsyahciptabersama@gmail.com</t>
        </is>
      </c>
      <c r="E78" t="inlineStr">
        <is>
          <t>https://lpjk.pu.go.id/search-badan-usaha-detail/bDY4VVl1MkwxMnZGNXRjaVp3Yzk5Zz09</t>
        </is>
      </c>
      <c r="F78" t="n">
        <v>2</v>
      </c>
      <c r="G78" t="inlineStr">
        <is>
          <t>BS001, BS004</t>
        </is>
      </c>
      <c r="H78" t="inlineStr">
        <is>
          <t>14 Januari 2020</t>
        </is>
      </c>
      <c r="I78" s="2" t="n">
        <v>46312</v>
      </c>
      <c r="J78" t="inlineStr">
        <is>
          <t>Disetujui</t>
        </is>
      </c>
      <c r="K78" t="n">
        <v>60</v>
      </c>
      <c r="L78" t="inlineStr">
        <is>
          <t>17 Oktober 2026</t>
        </is>
      </c>
      <c r="M78" t="inlineStr">
        <is>
          <t>Konstruksi Bangunan Sipil Jalan, Konstruksi Jaringan Irigasi dan Drainase</t>
        </is>
      </c>
      <c r="N78" t="inlineStr">
        <is>
          <t>K</t>
        </is>
      </c>
      <c r="O78" t="inlineStr">
        <is>
          <t>20231016</t>
        </is>
      </c>
      <c r="P78" t="inlineStr">
        <is>
          <t>Sulawesi Utara</t>
        </is>
      </c>
      <c r="Q78" t="inlineStr"/>
    </row>
    <row r="79">
      <c r="A79" t="inlineStr">
        <is>
          <t>GENESIS BERKAT USAHA</t>
        </is>
      </c>
      <c r="B79" t="inlineStr">
        <is>
          <t>Kota Semarang</t>
        </is>
      </c>
      <c r="C79" t="inlineStr">
        <is>
          <t>0247619547</t>
        </is>
      </c>
      <c r="D79" t="inlineStr">
        <is>
          <t>genesis.gbu@gmail.com</t>
        </is>
      </c>
      <c r="E79" t="inlineStr">
        <is>
          <t>https://lpjk.pu.go.id/search-badan-usaha-detail/UnpJZ2phMG5ZY005MkJaU09YclA4UT09</t>
        </is>
      </c>
      <c r="F79" t="n">
        <v>1</v>
      </c>
      <c r="G79" t="inlineStr">
        <is>
          <t>BS009</t>
        </is>
      </c>
      <c r="H79" t="inlineStr">
        <is>
          <t>17 Juli 2019</t>
        </is>
      </c>
      <c r="I79" s="2" t="n">
        <v>46312</v>
      </c>
      <c r="J79" t="inlineStr">
        <is>
          <t>Disetujui</t>
        </is>
      </c>
      <c r="K79" t="n">
        <v>60</v>
      </c>
      <c r="L79" t="inlineStr">
        <is>
          <t>17 Oktober 2026</t>
        </is>
      </c>
      <c r="M79" t="inlineStr">
        <is>
          <t>Konstruksi Sentral Telekomunikasi</t>
        </is>
      </c>
      <c r="N79" t="inlineStr">
        <is>
          <t>K</t>
        </is>
      </c>
      <c r="O79" t="inlineStr">
        <is>
          <t>20230918</t>
        </is>
      </c>
      <c r="P79" t="inlineStr">
        <is>
          <t>Jawa Tengah</t>
        </is>
      </c>
      <c r="Q79" t="inlineStr"/>
    </row>
    <row r="80">
      <c r="A80" t="inlineStr">
        <is>
          <t>GEUBRINA RACHMAT RIZKY</t>
        </is>
      </c>
      <c r="B80" t="inlineStr">
        <is>
          <t>Kota Medan</t>
        </is>
      </c>
      <c r="C80" t="inlineStr">
        <is>
          <t>085362246085</t>
        </is>
      </c>
      <c r="D80" t="inlineStr">
        <is>
          <t>geubrina.danarizky@gmail.com</t>
        </is>
      </c>
      <c r="E80" t="inlineStr">
        <is>
          <t>https://lpjk.pu.go.id/search-badan-usaha-detail/QWN2SHNlK2hHL1ptMGZ5Z1ZiR1VUUT09</t>
        </is>
      </c>
      <c r="F80" t="n">
        <v>1</v>
      </c>
      <c r="G80" t="inlineStr">
        <is>
          <t>BG009</t>
        </is>
      </c>
      <c r="H80" t="inlineStr">
        <is>
          <t>31 Mei 2006</t>
        </is>
      </c>
      <c r="I80" s="2" t="n">
        <v>46312</v>
      </c>
      <c r="J80" t="inlineStr">
        <is>
          <t>Disetujui</t>
        </is>
      </c>
      <c r="K80" t="n">
        <v>60</v>
      </c>
      <c r="L80" t="inlineStr">
        <is>
          <t>17 Oktober 2026</t>
        </is>
      </c>
      <c r="M80" t="inlineStr">
        <is>
          <t>Konstruksi Gedung Lainnya</t>
        </is>
      </c>
      <c r="N80" t="inlineStr">
        <is>
          <t>K</t>
        </is>
      </c>
      <c r="O80" t="inlineStr">
        <is>
          <t>20231018</t>
        </is>
      </c>
      <c r="P80" t="inlineStr">
        <is>
          <t>Sumatera Utara</t>
        </is>
      </c>
      <c r="Q80" t="inlineStr"/>
    </row>
    <row r="81">
      <c r="A81" t="inlineStr">
        <is>
          <t>GLOBAL 09</t>
        </is>
      </c>
      <c r="B81" t="inlineStr">
        <is>
          <t>Kab. Kutai Kartanegara</t>
        </is>
      </c>
      <c r="C81" t="inlineStr">
        <is>
          <t>085393344867</t>
        </is>
      </c>
      <c r="D81" t="inlineStr">
        <is>
          <t>helda.purnamasari2012@gmail.com</t>
        </is>
      </c>
      <c r="E81" t="inlineStr">
        <is>
          <t>https://lpjk.pu.go.id/search-badan-usaha-detail/MG55UWlvcVNGUzhzS0k3dFV1K3BiQT09</t>
        </is>
      </c>
      <c r="F81" t="n">
        <v>1</v>
      </c>
      <c r="G81" t="inlineStr">
        <is>
          <t>BS004</t>
        </is>
      </c>
      <c r="H81" t="inlineStr">
        <is>
          <t>21 Februari 2012</t>
        </is>
      </c>
      <c r="I81" s="2" t="n">
        <v>46312</v>
      </c>
      <c r="J81" t="inlineStr">
        <is>
          <t>Disetujui</t>
        </is>
      </c>
      <c r="K81" t="n">
        <v>60</v>
      </c>
      <c r="L81" t="inlineStr">
        <is>
          <t>17 Oktober 2026</t>
        </is>
      </c>
      <c r="M81" t="inlineStr">
        <is>
          <t>Konstruksi Jaringan Irigasi dan Drainase</t>
        </is>
      </c>
      <c r="N81" t="inlineStr">
        <is>
          <t>K</t>
        </is>
      </c>
      <c r="O81" t="inlineStr">
        <is>
          <t>20231016</t>
        </is>
      </c>
      <c r="P81" t="inlineStr">
        <is>
          <t>Kalimantan Timur</t>
        </is>
      </c>
      <c r="Q81" t="inlineStr"/>
    </row>
    <row r="82">
      <c r="A82" t="inlineStr">
        <is>
          <t>GLOBAL KREASI DEVELOPMENT</t>
        </is>
      </c>
      <c r="B82" t="inlineStr">
        <is>
          <t>Kab. Jember</t>
        </is>
      </c>
      <c r="C82" t="inlineStr">
        <is>
          <t>082264522616</t>
        </is>
      </c>
      <c r="D82" t="inlineStr">
        <is>
          <t>globalkreasidevelopmentpt@gmail.com</t>
        </is>
      </c>
      <c r="E82" t="inlineStr">
        <is>
          <t>https://lpjk.pu.go.id/search-badan-usaha-detail/VGNPVkNYem9NR1lzWG8wSFVleEYxUT09</t>
        </is>
      </c>
      <c r="F82" t="n">
        <v>2</v>
      </c>
      <c r="G82" t="inlineStr">
        <is>
          <t>BS001, BS004</t>
        </is>
      </c>
      <c r="H82" t="inlineStr">
        <is>
          <t>3 April 2023</t>
        </is>
      </c>
      <c r="I82" s="2" t="n">
        <v>46312</v>
      </c>
      <c r="J82" t="inlineStr">
        <is>
          <t>Disetujui</t>
        </is>
      </c>
      <c r="K82" t="n">
        <v>60</v>
      </c>
      <c r="L82" t="inlineStr">
        <is>
          <t>17 Oktober 2026</t>
        </is>
      </c>
      <c r="M82" t="inlineStr">
        <is>
          <t>Konstruksi Bangunan Sipil Jalan, Konstruksi Jaringan Irigasi dan Drainase</t>
        </is>
      </c>
      <c r="N82" t="inlineStr">
        <is>
          <t>K</t>
        </is>
      </c>
      <c r="O82" t="inlineStr">
        <is>
          <t>20231003, 20231009</t>
        </is>
      </c>
      <c r="P82" t="inlineStr">
        <is>
          <t>Jawa Timur</t>
        </is>
      </c>
      <c r="Q82" t="inlineStr"/>
    </row>
    <row r="83">
      <c r="A83" t="inlineStr">
        <is>
          <t>GRAHA SOLUSINDO</t>
        </is>
      </c>
      <c r="B83" t="inlineStr">
        <is>
          <t>Kota Tangerang Selatan</t>
        </is>
      </c>
      <c r="C83" t="inlineStr">
        <is>
          <t>0</t>
        </is>
      </c>
      <c r="D83" t="inlineStr">
        <is>
          <t>grahakaruniapratama66@gmail.com</t>
        </is>
      </c>
      <c r="E83" t="inlineStr">
        <is>
          <t>https://lpjk.pu.go.id/search-badan-usaha-detail/VmljRVRMWjE3U0VuSkM0NkRxM2taZz09</t>
        </is>
      </c>
      <c r="F83" t="n">
        <v>1</v>
      </c>
      <c r="G83" t="inlineStr">
        <is>
          <t>BG001</t>
        </is>
      </c>
      <c r="H83" t="inlineStr">
        <is>
          <t>25 Agustus 2000</t>
        </is>
      </c>
      <c r="I83" s="2" t="n">
        <v>46312</v>
      </c>
      <c r="J83" t="inlineStr">
        <is>
          <t>Disetujui</t>
        </is>
      </c>
      <c r="K83" t="n">
        <v>60</v>
      </c>
      <c r="L83" t="inlineStr">
        <is>
          <t>17 Oktober 2026</t>
        </is>
      </c>
      <c r="M83" t="inlineStr">
        <is>
          <t>Konstruksi Gedung Hunian</t>
        </is>
      </c>
      <c r="N83" t="inlineStr">
        <is>
          <t>K</t>
        </is>
      </c>
      <c r="O83" t="inlineStr">
        <is>
          <t>20231010</t>
        </is>
      </c>
      <c r="P83" t="inlineStr">
        <is>
          <t>Banten</t>
        </is>
      </c>
      <c r="Q83" t="inlineStr"/>
    </row>
    <row r="84">
      <c r="A84" t="inlineStr">
        <is>
          <t>GUMILANG SAJATI</t>
        </is>
      </c>
      <c r="B84" t="inlineStr">
        <is>
          <t>Kota Bandung</t>
        </is>
      </c>
      <c r="C84" t="inlineStr">
        <is>
          <t>0227107296</t>
        </is>
      </c>
      <c r="D84" t="inlineStr">
        <is>
          <t>gumilangsajati@yahoo.com</t>
        </is>
      </c>
      <c r="E84" t="inlineStr">
        <is>
          <t>https://lpjk.pu.go.id/search-badan-usaha-detail/elE1SXNrWkFXcTlLTzZNS2NhNXJzd1R1RTNjdlFjbUcwZzhrU1JpNUs0ST0</t>
        </is>
      </c>
      <c r="F84" t="n">
        <v>3</v>
      </c>
      <c r="G84" t="inlineStr">
        <is>
          <t>AL001, AL002, AL004</t>
        </is>
      </c>
      <c r="H84" t="inlineStr">
        <is>
          <t>17 Juli 2025</t>
        </is>
      </c>
      <c r="I84" s="2" t="n">
        <v>46312</v>
      </c>
      <c r="J84" t="inlineStr">
        <is>
          <t>Disetujui</t>
        </is>
      </c>
      <c r="K84" t="n">
        <v>60</v>
      </c>
      <c r="L84" t="inlineStr">
        <is>
          <t>17 Oktober 2026</t>
        </is>
      </c>
      <c r="M84" t="inlineStr">
        <is>
          <t>Jasa Pengembangan Lingkungan Bangunan dan Lanskap, Jasa Pengembangan Pemanfaatan Ruang, Jasa Pengembangan Wilayah</t>
        </is>
      </c>
      <c r="N84" t="inlineStr">
        <is>
          <t>K</t>
        </is>
      </c>
      <c r="O84" t="inlineStr">
        <is>
          <t>20231011</t>
        </is>
      </c>
      <c r="P84" t="inlineStr">
        <is>
          <t>Jawa Barat</t>
        </is>
      </c>
      <c r="Q84" t="inlineStr"/>
    </row>
    <row r="85">
      <c r="A85" t="inlineStr">
        <is>
          <t>GUSTI RANDA</t>
        </is>
      </c>
      <c r="B85" t="inlineStr">
        <is>
          <t>Kab. Tanjung Jabung Barat</t>
        </is>
      </c>
      <c r="C85" t="inlineStr">
        <is>
          <t>085272601976</t>
        </is>
      </c>
      <c r="D85" t="inlineStr">
        <is>
          <t>gusti7880@gmail.com</t>
        </is>
      </c>
      <c r="E85" t="inlineStr">
        <is>
          <t>https://lpjk.pu.go.id/search-badan-usaha-detail/WExMaXZIQkNXR2dXTW9aYzJ2a0lJZz09</t>
        </is>
      </c>
      <c r="F85" t="n">
        <v>1</v>
      </c>
      <c r="G85" t="inlineStr">
        <is>
          <t>BS005</t>
        </is>
      </c>
      <c r="H85" t="inlineStr">
        <is>
          <t>31 Agustus 2021</t>
        </is>
      </c>
      <c r="I85" s="2" t="n">
        <v>46312</v>
      </c>
      <c r="J85" t="inlineStr">
        <is>
          <t>Disetujui</t>
        </is>
      </c>
      <c r="K85" t="n">
        <v>60</v>
      </c>
      <c r="L85" t="inlineStr">
        <is>
          <t>17 Oktober 2026</t>
        </is>
      </c>
      <c r="M85" t="inlineStr">
        <is>
          <t>Konstruksi Bangunan Sipil Pengolahan Air Bersih</t>
        </is>
      </c>
      <c r="N85" t="inlineStr">
        <is>
          <t>K</t>
        </is>
      </c>
      <c r="O85" t="inlineStr">
        <is>
          <t>20231016</t>
        </is>
      </c>
      <c r="P85" t="inlineStr">
        <is>
          <t>Jambi</t>
        </is>
      </c>
      <c r="Q85" t="inlineStr"/>
    </row>
    <row r="86">
      <c r="A86" t="inlineStr">
        <is>
          <t>HARAPAN GROUP</t>
        </is>
      </c>
      <c r="B86" t="inlineStr">
        <is>
          <t>Kab. Tapin</t>
        </is>
      </c>
      <c r="C86" t="inlineStr">
        <is>
          <t>081348354635</t>
        </is>
      </c>
      <c r="D86" t="inlineStr">
        <is>
          <t>cvharapangroup4@gmail.com</t>
        </is>
      </c>
      <c r="E86" t="inlineStr">
        <is>
          <t>https://lpjk.pu.go.id/search-badan-usaha-detail/OXhRbkpTNVJ0aFJoM0ZqcThzQjJVdz09</t>
        </is>
      </c>
      <c r="F86" t="n">
        <v>5</v>
      </c>
      <c r="G86" t="inlineStr">
        <is>
          <t>BG006, BG009, BS001, BS004, BS010</t>
        </is>
      </c>
      <c r="H86" t="inlineStr">
        <is>
          <t>7 September 2023</t>
        </is>
      </c>
      <c r="I86" s="2" t="n">
        <v>46312</v>
      </c>
      <c r="J86" t="inlineStr">
        <is>
          <t>Disetujui</t>
        </is>
      </c>
      <c r="K86" t="n">
        <v>60</v>
      </c>
      <c r="L86" t="inlineStr">
        <is>
          <t>17 Oktober 2026</t>
        </is>
      </c>
      <c r="M86" t="inlineStr">
        <is>
          <t>Konstruksi Bangunan Prasarana Sumber Daya Air, Konstruksi Bangunan Sipil Jalan, Konstruksi Gedung Lainnya, Konstruksi Gedung Pendidikan, Konstruksi Jaringan Irigasi dan Drainase</t>
        </is>
      </c>
      <c r="N86" t="inlineStr">
        <is>
          <t>K</t>
        </is>
      </c>
      <c r="O86" t="inlineStr">
        <is>
          <t>20231017</t>
        </is>
      </c>
      <c r="P86" t="inlineStr">
        <is>
          <t>Kalimantan Selatan</t>
        </is>
      </c>
      <c r="Q86" t="inlineStr"/>
    </row>
    <row r="87">
      <c r="A87" t="inlineStr">
        <is>
          <t>HASILKARYA DELTANUGRAHA</t>
        </is>
      </c>
      <c r="B87" t="inlineStr">
        <is>
          <t>Kota Bandung</t>
        </is>
      </c>
      <c r="C87" t="inlineStr">
        <is>
          <t>08122013366</t>
        </is>
      </c>
      <c r="D87" t="inlineStr">
        <is>
          <t>hasilkaryadeltanugraha@yahoo.co.id</t>
        </is>
      </c>
      <c r="E87" t="inlineStr">
        <is>
          <t>https://lpjk.pu.go.id/search-badan-usaha-detail/Y1RkRzhOclNJVlpvNm5CQWlLYXBGQT09</t>
        </is>
      </c>
      <c r="F87" t="n">
        <v>1</v>
      </c>
      <c r="G87" t="inlineStr">
        <is>
          <t>BG003</t>
        </is>
      </c>
      <c r="H87" t="inlineStr">
        <is>
          <t>19 Mei 1994</t>
        </is>
      </c>
      <c r="I87" s="2" t="n">
        <v>46312</v>
      </c>
      <c r="J87" t="inlineStr">
        <is>
          <t>Disetujui</t>
        </is>
      </c>
      <c r="K87" t="n">
        <v>60</v>
      </c>
      <c r="L87" t="inlineStr">
        <is>
          <t>17 Oktober 2026</t>
        </is>
      </c>
      <c r="M87" t="inlineStr">
        <is>
          <t>Konstruksi Gedung Industri</t>
        </is>
      </c>
      <c r="N87" t="inlineStr">
        <is>
          <t>K</t>
        </is>
      </c>
      <c r="O87" t="inlineStr">
        <is>
          <t>20231010</t>
        </is>
      </c>
      <c r="P87" t="inlineStr">
        <is>
          <t>Jawa Barat</t>
        </is>
      </c>
      <c r="Q87" t="inlineStr"/>
    </row>
    <row r="88">
      <c r="A88" t="inlineStr">
        <is>
          <t>HIJAU DAMAI LESTARI</t>
        </is>
      </c>
      <c r="B88" t="inlineStr">
        <is>
          <t>Kab. Tapanuli Selatan</t>
        </is>
      </c>
      <c r="C88" t="inlineStr">
        <is>
          <t>081260513932</t>
        </is>
      </c>
      <c r="D88" t="inlineStr">
        <is>
          <t>cv.hdl.enterprise@gmail.com</t>
        </is>
      </c>
      <c r="E88" t="inlineStr">
        <is>
          <t>https://lpjk.pu.go.id/search-badan-usaha-detail/R0owcnhzMVFuU3RDMUFiZUdBUlJOdz09</t>
        </is>
      </c>
      <c r="F88" t="n">
        <v>4</v>
      </c>
      <c r="G88" t="inlineStr">
        <is>
          <t>BG002, BG003, BG008, BG009</t>
        </is>
      </c>
      <c r="H88" t="inlineStr">
        <is>
          <t>3 Maret 2018</t>
        </is>
      </c>
      <c r="I88" s="2" t="n">
        <v>46312</v>
      </c>
      <c r="J88" t="inlineStr">
        <is>
          <t>Pencabutan</t>
        </is>
      </c>
      <c r="K88" t="n">
        <v>60</v>
      </c>
      <c r="L88" t="inlineStr">
        <is>
          <t>17 Oktober 2026</t>
        </is>
      </c>
      <c r="M88" t="inlineStr">
        <is>
          <t>Konstruksi Gedung Industri, Konstruksi Gedung Lainnya, Konstruksi Gedung Perkantoran, Konstruksi Gedung Tempat Hiburan dan Olahraga</t>
        </is>
      </c>
      <c r="N88" t="inlineStr">
        <is>
          <t>K</t>
        </is>
      </c>
      <c r="O88" t="inlineStr">
        <is>
          <t>20231013, 20231016</t>
        </is>
      </c>
      <c r="P88" t="inlineStr">
        <is>
          <t>Sumatera Utara</t>
        </is>
      </c>
      <c r="Q88" t="inlineStr"/>
    </row>
    <row r="89">
      <c r="A89" t="inlineStr">
        <is>
          <t>HITA KARYA JASA</t>
        </is>
      </c>
      <c r="B89" t="inlineStr">
        <is>
          <t>Kota Pekalongan</t>
        </is>
      </c>
      <c r="C89" t="inlineStr">
        <is>
          <t>085742830877</t>
        </is>
      </c>
      <c r="D89" t="inlineStr">
        <is>
          <t>hitakaryajasa@gmail.com</t>
        </is>
      </c>
      <c r="E89" t="inlineStr">
        <is>
          <t>https://lpjk.pu.go.id/search-badan-usaha-detail/ZDNudDZicm0zL0lVeDhyNWd1SnFGMFRFQ1JNd0hqRmloRG4xMGxjamVRUT0</t>
        </is>
      </c>
      <c r="F89" t="n">
        <v>1</v>
      </c>
      <c r="G89" t="inlineStr">
        <is>
          <t>AR001</t>
        </is>
      </c>
      <c r="H89" t="inlineStr">
        <is>
          <t>23 Juli 2025</t>
        </is>
      </c>
      <c r="I89" s="2" t="n">
        <v>46312</v>
      </c>
      <c r="J89" t="inlineStr">
        <is>
          <t>Disetujui</t>
        </is>
      </c>
      <c r="K89" t="n">
        <v>60</v>
      </c>
      <c r="L89" t="inlineStr">
        <is>
          <t>17 Oktober 2026</t>
        </is>
      </c>
      <c r="M89" t="inlineStr">
        <is>
          <t>Jasa Arsitektural Bangunan Gedung Hunian dan Non Hunian</t>
        </is>
      </c>
      <c r="N89" t="inlineStr">
        <is>
          <t>K</t>
        </is>
      </c>
      <c r="O89" t="inlineStr">
        <is>
          <t>20231010</t>
        </is>
      </c>
      <c r="P89" t="inlineStr">
        <is>
          <t>Jawa Tengah</t>
        </is>
      </c>
      <c r="Q89" t="inlineStr"/>
    </row>
    <row r="90">
      <c r="A90" t="inlineStr">
        <is>
          <t>IDEA MANDIRI</t>
        </is>
      </c>
      <c r="B90" t="inlineStr">
        <is>
          <t>Kota Adm. Jakarta Barat</t>
        </is>
      </c>
      <c r="C90" t="inlineStr">
        <is>
          <t>081282007383</t>
        </is>
      </c>
      <c r="D90" t="inlineStr">
        <is>
          <t>ideamandiri@gmail.com</t>
        </is>
      </c>
      <c r="E90" t="inlineStr">
        <is>
          <t>https://lpjk.pu.go.id/search-badan-usaha-detail/QjkzM1hRcUNtYm9weFlzeXJWY0RrUT09</t>
        </is>
      </c>
      <c r="F90" t="n">
        <v>1</v>
      </c>
      <c r="G90" t="inlineStr">
        <is>
          <t>BG004</t>
        </is>
      </c>
      <c r="H90" t="inlineStr">
        <is>
          <t>23 Desember 2002</t>
        </is>
      </c>
      <c r="I90" s="2" t="n">
        <v>46312</v>
      </c>
      <c r="J90" t="inlineStr">
        <is>
          <t>Disetujui</t>
        </is>
      </c>
      <c r="K90" t="n">
        <v>60</v>
      </c>
      <c r="L90" t="inlineStr">
        <is>
          <t>17 Oktober 2026</t>
        </is>
      </c>
      <c r="M90" t="inlineStr">
        <is>
          <t>Konstruksi Gedung Perbelanjaan</t>
        </is>
      </c>
      <c r="N90" t="inlineStr">
        <is>
          <t>K</t>
        </is>
      </c>
      <c r="O90" t="inlineStr">
        <is>
          <t>20231010</t>
        </is>
      </c>
      <c r="P90" t="inlineStr">
        <is>
          <t>DKI Jakarta</t>
        </is>
      </c>
      <c r="Q90" t="inlineStr"/>
    </row>
    <row r="91">
      <c r="A91" t="inlineStr">
        <is>
          <t>INDEPENDENT ENGINEERING CONSULTANT</t>
        </is>
      </c>
      <c r="B91" t="inlineStr">
        <is>
          <t>Kab. Luwu Utara</t>
        </is>
      </c>
      <c r="C91" t="inlineStr">
        <is>
          <t>081354974195</t>
        </is>
      </c>
      <c r="D91" t="inlineStr">
        <is>
          <t>independentconsult95@gmail.com</t>
        </is>
      </c>
      <c r="E91" t="inlineStr">
        <is>
          <t>https://lpjk.pu.go.id/search-badan-usaha-detail/UGhQczUyanFXc2dPUmREUmMwaU9oUT09</t>
        </is>
      </c>
      <c r="F91" t="n">
        <v>4</v>
      </c>
      <c r="G91" t="inlineStr">
        <is>
          <t>RK001, RK002, RK003, RK005</t>
        </is>
      </c>
      <c r="H91" t="inlineStr">
        <is>
          <t>7 Februari 2011</t>
        </is>
      </c>
      <c r="I91" s="2" t="n">
        <v>46312</v>
      </c>
      <c r="J91" t="inlineStr">
        <is>
          <t>Disetujui</t>
        </is>
      </c>
      <c r="K91" t="n">
        <v>60</v>
      </c>
      <c r="L91" t="inlineStr">
        <is>
          <t>17 Oktober 2026</t>
        </is>
      </c>
      <c r="M91" t="inlineStr">
        <is>
          <t>Jasa Rekayasa Konstruksi Bangunan Gedung Hunian dan Non Hunian, Jasa Rekayasa Lainnya, Jasa Rekayasa Pekerjaan Teknik Sipil Sumber Daya Air, Jasa Rekayasa Pekerjaan Teknik Sipil Transportasi</t>
        </is>
      </c>
      <c r="N91" t="inlineStr">
        <is>
          <t>K</t>
        </is>
      </c>
      <c r="O91" t="inlineStr">
        <is>
          <t>20231002</t>
        </is>
      </c>
      <c r="P91" t="inlineStr">
        <is>
          <t>Sulawesi Selatan</t>
        </is>
      </c>
      <c r="Q91" t="inlineStr"/>
    </row>
    <row r="92">
      <c r="A92" t="inlineStr">
        <is>
          <t>JAYA ABADI MEMBANGUN</t>
        </is>
      </c>
      <c r="B92" t="inlineStr">
        <is>
          <t>Kota Palembang</t>
        </is>
      </c>
      <c r="C92" t="inlineStr">
        <is>
          <t>082177778983</t>
        </is>
      </c>
      <c r="D92" t="inlineStr">
        <is>
          <t>cvjayaabadimembangun@gmail.com</t>
        </is>
      </c>
      <c r="E92" t="inlineStr">
        <is>
          <t>https://lpjk.pu.go.id/search-badan-usaha-detail/MTRnRmwvTU9GMkowL3YwU3FVV2hOUT09</t>
        </is>
      </c>
      <c r="F92" t="n">
        <v>1</v>
      </c>
      <c r="G92" t="inlineStr">
        <is>
          <t>BG005</t>
        </is>
      </c>
      <c r="H92" t="inlineStr">
        <is>
          <t>11 Januari 2016</t>
        </is>
      </c>
      <c r="I92" s="2" t="n">
        <v>46312</v>
      </c>
      <c r="J92" t="inlineStr">
        <is>
          <t>Disetujui</t>
        </is>
      </c>
      <c r="K92" t="n">
        <v>60</v>
      </c>
      <c r="L92" t="inlineStr">
        <is>
          <t>17 Oktober 2026</t>
        </is>
      </c>
      <c r="M92" t="inlineStr">
        <is>
          <t>Konstruksi Gedung Kesehatan</t>
        </is>
      </c>
      <c r="N92" t="inlineStr">
        <is>
          <t>K</t>
        </is>
      </c>
      <c r="O92" t="inlineStr">
        <is>
          <t>20231011</t>
        </is>
      </c>
      <c r="P92" t="inlineStr">
        <is>
          <t>Sumatera Selatan</t>
        </is>
      </c>
      <c r="Q92" t="inlineStr"/>
    </row>
    <row r="93">
      <c r="A93" t="inlineStr">
        <is>
          <t>JAYA EMPAT PENJURU</t>
        </is>
      </c>
      <c r="B93" t="inlineStr">
        <is>
          <t>Kab. Tangerang</t>
        </is>
      </c>
      <c r="C93" t="inlineStr">
        <is>
          <t>087777100727</t>
        </is>
      </c>
      <c r="D93" t="inlineStr">
        <is>
          <t>jaya4penjuru@gmail.com</t>
        </is>
      </c>
      <c r="E93" t="inlineStr">
        <is>
          <t>https://lpjk.pu.go.id/search-badan-usaha-detail/YTl2WHlmeFFHYmVOdXRGcExFTW00Zz09</t>
        </is>
      </c>
      <c r="F93" t="n">
        <v>1</v>
      </c>
      <c r="G93" t="inlineStr">
        <is>
          <t>BG009</t>
        </is>
      </c>
      <c r="H93" t="inlineStr">
        <is>
          <t>30 Juli 2016</t>
        </is>
      </c>
      <c r="I93" s="2" t="n">
        <v>46312</v>
      </c>
      <c r="J93" t="inlineStr">
        <is>
          <t>Disetujui</t>
        </is>
      </c>
      <c r="K93" t="n">
        <v>60</v>
      </c>
      <c r="L93" t="inlineStr">
        <is>
          <t>17 Oktober 2026</t>
        </is>
      </c>
      <c r="M93" t="inlineStr">
        <is>
          <t>Konstruksi Gedung Lainnya</t>
        </is>
      </c>
      <c r="N93" t="inlineStr">
        <is>
          <t>K</t>
        </is>
      </c>
      <c r="O93" t="inlineStr">
        <is>
          <t>20231011</t>
        </is>
      </c>
      <c r="P93" t="inlineStr">
        <is>
          <t>Banten</t>
        </is>
      </c>
      <c r="Q93" t="inlineStr"/>
    </row>
    <row r="94">
      <c r="A94" t="inlineStr">
        <is>
          <t>JAYA RAYA SENTOSA TEHNIK</t>
        </is>
      </c>
      <c r="B94" t="inlineStr">
        <is>
          <t>Kota Adm. Jakarta Pusat</t>
        </is>
      </c>
      <c r="C94" t="inlineStr">
        <is>
          <t>02121476272</t>
        </is>
      </c>
      <c r="D94" t="inlineStr">
        <is>
          <t>jayarayasentosateknik@gmail.com</t>
        </is>
      </c>
      <c r="E94" t="inlineStr">
        <is>
          <t>https://lpjk.pu.go.id/search-badan-usaha-detail/R0lmL3R0a0dPcnpqcWxHeHlCQnZzQT09</t>
        </is>
      </c>
      <c r="F94" t="n">
        <v>1</v>
      </c>
      <c r="G94" t="inlineStr">
        <is>
          <t>BG001</t>
        </is>
      </c>
      <c r="H94" t="inlineStr">
        <is>
          <t>7 Desember 2016</t>
        </is>
      </c>
      <c r="I94" s="2" t="n">
        <v>46312</v>
      </c>
      <c r="J94" t="inlineStr">
        <is>
          <t>Disetujui</t>
        </is>
      </c>
      <c r="K94" t="n">
        <v>60</v>
      </c>
      <c r="L94" t="inlineStr">
        <is>
          <t>17 Oktober 2026</t>
        </is>
      </c>
      <c r="M94" t="inlineStr">
        <is>
          <t>Konstruksi Gedung Hunian</t>
        </is>
      </c>
      <c r="N94" t="inlineStr">
        <is>
          <t>K</t>
        </is>
      </c>
      <c r="O94" t="inlineStr">
        <is>
          <t>20231008</t>
        </is>
      </c>
      <c r="P94" t="inlineStr">
        <is>
          <t>DKI Jakarta</t>
        </is>
      </c>
      <c r="Q94" t="inlineStr"/>
    </row>
    <row r="95">
      <c r="A95" t="inlineStr">
        <is>
          <t>JAYAMIQEN KONSTRUKSI</t>
        </is>
      </c>
      <c r="B95" t="inlineStr">
        <is>
          <t>Kota Banjarmasin</t>
        </is>
      </c>
      <c r="C95" t="inlineStr">
        <is>
          <t>081349437597</t>
        </is>
      </c>
      <c r="D95" t="inlineStr">
        <is>
          <t>jayamiqen.cv@yahoo.com</t>
        </is>
      </c>
      <c r="E95" t="inlineStr">
        <is>
          <t>https://lpjk.pu.go.id/search-badan-usaha-detail/KzJnN25iUDVDV21uMkJmMTJINmtzQT09</t>
        </is>
      </c>
      <c r="F95" t="n">
        <v>5</v>
      </c>
      <c r="G95" t="inlineStr">
        <is>
          <t>BG001, BG002, BG005, BG006, BG009</t>
        </is>
      </c>
      <c r="H95" t="inlineStr">
        <is>
          <t>16 Januari 2016</t>
        </is>
      </c>
      <c r="I95" s="2" t="n">
        <v>46312</v>
      </c>
      <c r="J95" t="inlineStr">
        <is>
          <t>Disetujui</t>
        </is>
      </c>
      <c r="K95" t="n">
        <v>60</v>
      </c>
      <c r="L95" t="inlineStr">
        <is>
          <t>17 Oktober 2026</t>
        </is>
      </c>
      <c r="M95" t="inlineStr">
        <is>
          <t>Konstruksi Gedung Hunian, Konstruksi Gedung Kesehatan, Konstruksi Gedung Lainnya, Konstruksi Gedung Pendidikan, Konstruksi Gedung Perkantoran</t>
        </is>
      </c>
      <c r="N95" t="inlineStr">
        <is>
          <t>K</t>
        </is>
      </c>
      <c r="O95" t="inlineStr">
        <is>
          <t>20231006, 20231009</t>
        </is>
      </c>
      <c r="P95" t="inlineStr">
        <is>
          <t>Kalimantan Selatan</t>
        </is>
      </c>
      <c r="Q95" t="inlineStr"/>
    </row>
    <row r="96">
      <c r="A96" t="inlineStr">
        <is>
          <t>JOINT BANGUN NEGERI</t>
        </is>
      </c>
      <c r="B96" t="inlineStr">
        <is>
          <t>Kota Ambon</t>
        </is>
      </c>
      <c r="C96" t="inlineStr">
        <is>
          <t>085243065306</t>
        </is>
      </c>
      <c r="D96" t="inlineStr">
        <is>
          <t>cv.jointbangunnegeri@gmail.com</t>
        </is>
      </c>
      <c r="E96" t="inlineStr">
        <is>
          <t>https://lpjk.pu.go.id/search-badan-usaha-detail/UFhFMnE3KzlkWGY2U29nWmJNMFlUQT09</t>
        </is>
      </c>
      <c r="F96" t="n">
        <v>2</v>
      </c>
      <c r="G96" t="inlineStr">
        <is>
          <t>BG005, BG006</t>
        </is>
      </c>
      <c r="H96" t="inlineStr">
        <is>
          <t>28 Juli 2023</t>
        </is>
      </c>
      <c r="I96" s="2" t="n">
        <v>46312</v>
      </c>
      <c r="J96" t="inlineStr">
        <is>
          <t>Disetujui</t>
        </is>
      </c>
      <c r="K96" t="n">
        <v>60</v>
      </c>
      <c r="L96" t="inlineStr">
        <is>
          <t>17 Oktober 2026</t>
        </is>
      </c>
      <c r="M96" t="inlineStr">
        <is>
          <t>Konstruksi Gedung Kesehatan, Konstruksi Gedung Pendidikan</t>
        </is>
      </c>
      <c r="N96" t="inlineStr">
        <is>
          <t>K</t>
        </is>
      </c>
      <c r="O96" t="inlineStr">
        <is>
          <t>20231018</t>
        </is>
      </c>
      <c r="P96" t="inlineStr">
        <is>
          <t>Maluku</t>
        </is>
      </c>
      <c r="Q96" t="inlineStr"/>
    </row>
    <row r="97">
      <c r="A97" t="inlineStr">
        <is>
          <t>KALIMAYA</t>
        </is>
      </c>
      <c r="B97" t="inlineStr">
        <is>
          <t>Kab. Barito Kuala</t>
        </is>
      </c>
      <c r="C97" t="inlineStr">
        <is>
          <t>081349080789</t>
        </is>
      </c>
      <c r="D97" t="inlineStr">
        <is>
          <t>effendibachtiar23@yahoo.co.id</t>
        </is>
      </c>
      <c r="E97" t="inlineStr">
        <is>
          <t>https://lpjk.pu.go.id/search-badan-usaha-detail/MVRFKzFYOVV1OWRsODNva2dLNnBnUT09</t>
        </is>
      </c>
      <c r="F97" t="n">
        <v>6</v>
      </c>
      <c r="G97" t="inlineStr">
        <is>
          <t>BG002, BS001</t>
        </is>
      </c>
      <c r="H97" t="inlineStr">
        <is>
          <t>13 Januari 2010</t>
        </is>
      </c>
      <c r="I97" s="2" t="n">
        <v>46312</v>
      </c>
      <c r="J97" t="inlineStr">
        <is>
          <t>Disetujui</t>
        </is>
      </c>
      <c r="K97" t="n">
        <v>60</v>
      </c>
      <c r="L97" t="inlineStr">
        <is>
          <t>17 Oktober 2026</t>
        </is>
      </c>
      <c r="M97" t="inlineStr">
        <is>
          <t>Konstruksi Bangunan Sipil Jalan, Konstruksi Gedung Perkantoran</t>
        </is>
      </c>
      <c r="N97" t="inlineStr">
        <is>
          <t>K</t>
        </is>
      </c>
      <c r="O97" t="inlineStr">
        <is>
          <t>20231010</t>
        </is>
      </c>
      <c r="P97" t="inlineStr">
        <is>
          <t>Kalimantan Selatan</t>
        </is>
      </c>
      <c r="Q97" t="inlineStr"/>
    </row>
    <row r="98">
      <c r="A98" t="inlineStr">
        <is>
          <t>KARYA BANGUN NASIONAL</t>
        </is>
      </c>
      <c r="B98" t="inlineStr">
        <is>
          <t>Kota Pekalongan</t>
        </is>
      </c>
      <c r="C98" t="inlineStr">
        <is>
          <t>085729905066</t>
        </is>
      </c>
      <c r="D98" t="inlineStr">
        <is>
          <t>pt.Karyabangunnasional99@gmail.com</t>
        </is>
      </c>
      <c r="E98" t="inlineStr">
        <is>
          <t>https://lpjk.pu.go.id/search-badan-usaha-detail/ZFpSeThUNDI5YzVpZWRMa3BKUEJIZz09</t>
        </is>
      </c>
      <c r="F98" t="n">
        <v>1</v>
      </c>
      <c r="G98" t="inlineStr">
        <is>
          <t>BS010</t>
        </is>
      </c>
      <c r="H98" t="inlineStr">
        <is>
          <t>28 Agustus 2015</t>
        </is>
      </c>
      <c r="I98" s="2" t="n">
        <v>46312</v>
      </c>
      <c r="J98" t="inlineStr">
        <is>
          <t>Disetujui</t>
        </is>
      </c>
      <c r="K98" t="n">
        <v>60</v>
      </c>
      <c r="L98" t="inlineStr">
        <is>
          <t>17 Oktober 2026</t>
        </is>
      </c>
      <c r="M98" t="inlineStr">
        <is>
          <t>Konstruksi Bangunan Prasarana Sumber Daya Air</t>
        </is>
      </c>
      <c r="N98" t="inlineStr">
        <is>
          <t>K</t>
        </is>
      </c>
      <c r="O98" t="inlineStr">
        <is>
          <t>20231016</t>
        </is>
      </c>
      <c r="P98" t="inlineStr">
        <is>
          <t>Jawa Tengah</t>
        </is>
      </c>
      <c r="Q98" t="inlineStr"/>
    </row>
    <row r="99">
      <c r="A99" t="inlineStr">
        <is>
          <t>KARYA KASARI KONSULTAN</t>
        </is>
      </c>
      <c r="B99" t="inlineStr">
        <is>
          <t>Kab. Agam</t>
        </is>
      </c>
      <c r="C99" t="inlineStr">
        <is>
          <t>08126772662</t>
        </is>
      </c>
      <c r="D99" t="inlineStr">
        <is>
          <t>cv.karyakasarikonsultan@gmail.com</t>
        </is>
      </c>
      <c r="E99" t="inlineStr">
        <is>
          <t>https://lpjk.pu.go.id/search-badan-usaha-detail/VkhJZ0VqQ3lZeTNXdGZ3d01nZWlJQT09</t>
        </is>
      </c>
      <c r="F99" t="n">
        <v>2</v>
      </c>
      <c r="G99" t="inlineStr">
        <is>
          <t>RK001, RK002</t>
        </is>
      </c>
      <c r="H99" t="inlineStr">
        <is>
          <t>9 Januari 2012</t>
        </is>
      </c>
      <c r="I99" s="2" t="n">
        <v>46312</v>
      </c>
      <c r="J99" t="inlineStr">
        <is>
          <t>Disetujui</t>
        </is>
      </c>
      <c r="K99" t="n">
        <v>60</v>
      </c>
      <c r="L99" t="inlineStr">
        <is>
          <t>17 Oktober 2026</t>
        </is>
      </c>
      <c r="M99" t="inlineStr">
        <is>
          <t>Jasa Rekayasa Konstruksi Bangunan Gedung Hunian dan Non Hunian, Jasa Rekayasa Pekerjaan Teknik Sipil Sumber Daya Air</t>
        </is>
      </c>
      <c r="N99" t="inlineStr">
        <is>
          <t>K</t>
        </is>
      </c>
      <c r="O99" t="inlineStr">
        <is>
          <t>20230921</t>
        </is>
      </c>
      <c r="P99" t="inlineStr">
        <is>
          <t>Sumatera Barat</t>
        </is>
      </c>
      <c r="Q99" t="inlineStr"/>
    </row>
    <row r="100">
      <c r="A100" t="inlineStr">
        <is>
          <t>KARYA MUKTI</t>
        </is>
      </c>
      <c r="B100" t="inlineStr">
        <is>
          <t>Kota Magelang</t>
        </is>
      </c>
      <c r="C100" t="inlineStr">
        <is>
          <t>0293312413</t>
        </is>
      </c>
      <c r="D100" t="inlineStr">
        <is>
          <t>cvkaryamukti2002@gmail.com</t>
        </is>
      </c>
      <c r="E100" t="inlineStr">
        <is>
          <t>https://lpjk.pu.go.id/search-badan-usaha-detail/bGlYYnh6TVBlK00zVUhiUllaM3dnQT09</t>
        </is>
      </c>
      <c r="F100" t="n">
        <v>5</v>
      </c>
      <c r="G100" t="inlineStr">
        <is>
          <t>BG002, BG006, BG009, BS001, BS004</t>
        </is>
      </c>
      <c r="H100" t="inlineStr">
        <is>
          <t>22 April 2002</t>
        </is>
      </c>
      <c r="I100" s="2" t="n">
        <v>46312</v>
      </c>
      <c r="J100" t="inlineStr">
        <is>
          <t>Disetujui</t>
        </is>
      </c>
      <c r="K100" t="n">
        <v>60</v>
      </c>
      <c r="L100" t="inlineStr">
        <is>
          <t>17 Oktober 2026</t>
        </is>
      </c>
      <c r="M100" t="inlineStr">
        <is>
          <t>Konstruksi Bangunan Sipil Jalan, Konstruksi Gedung Lainnya, Konstruksi Gedung Pendidikan, Konstruksi Gedung Perkantoran, Konstruksi Jaringan Irigasi dan Drainase</t>
        </is>
      </c>
      <c r="N100" t="inlineStr">
        <is>
          <t>K</t>
        </is>
      </c>
      <c r="O100" t="inlineStr">
        <is>
          <t>20231012</t>
        </is>
      </c>
      <c r="P100" t="inlineStr">
        <is>
          <t>Jawa Tengah</t>
        </is>
      </c>
      <c r="Q100" t="inlineStr"/>
    </row>
    <row r="101">
      <c r="A101" t="inlineStr">
        <is>
          <t>KARYA NATAMA</t>
        </is>
      </c>
      <c r="B101" t="inlineStr">
        <is>
          <t>Kota Medan</t>
        </is>
      </c>
      <c r="C101" t="inlineStr">
        <is>
          <t>082279856026</t>
        </is>
      </c>
      <c r="D101" t="inlineStr">
        <is>
          <t>ckaryanatama@gmail.com</t>
        </is>
      </c>
      <c r="E101" t="inlineStr">
        <is>
          <t>https://lpjk.pu.go.id/search-badan-usaha-detail/UUp3TFVQRzRyV3Y1WlJQb29hV2p6QT09</t>
        </is>
      </c>
      <c r="F101" t="n">
        <v>2</v>
      </c>
      <c r="G101" t="inlineStr">
        <is>
          <t>BS001, BS004</t>
        </is>
      </c>
      <c r="H101" t="inlineStr">
        <is>
          <t>17 September 2019</t>
        </is>
      </c>
      <c r="I101" s="2" t="n">
        <v>46312</v>
      </c>
      <c r="J101" t="inlineStr">
        <is>
          <t>Disetujui, Pencabutan</t>
        </is>
      </c>
      <c r="K101" t="n">
        <v>60</v>
      </c>
      <c r="L101" t="inlineStr">
        <is>
          <t>17 Oktober 2026</t>
        </is>
      </c>
      <c r="M101" t="inlineStr">
        <is>
          <t>Konstruksi Bangunan Sipil Jalan, Konstruksi Jaringan Irigasi dan Drainase</t>
        </is>
      </c>
      <c r="N101" t="inlineStr">
        <is>
          <t>K</t>
        </is>
      </c>
      <c r="O101" t="inlineStr">
        <is>
          <t>20231017, 20231020</t>
        </is>
      </c>
      <c r="P101" t="inlineStr">
        <is>
          <t>Sumatera Utara</t>
        </is>
      </c>
      <c r="Q101" t="inlineStr"/>
    </row>
    <row r="102">
      <c r="A102" t="inlineStr">
        <is>
          <t>KARYA SEJATI</t>
        </is>
      </c>
      <c r="B102" t="inlineStr">
        <is>
          <t>Kab. Banyuwangi</t>
        </is>
      </c>
      <c r="C102" t="inlineStr">
        <is>
          <t>0812 5248 8488</t>
        </is>
      </c>
      <c r="D102" t="inlineStr">
        <is>
          <t>kary4.sejati@gmail.com</t>
        </is>
      </c>
      <c r="E102" t="inlineStr">
        <is>
          <t>https://lpjk.pu.go.id/search-badan-usaha-detail/YTlYR0RTRWhkRWxUc1oxc1B5QlNPdz09</t>
        </is>
      </c>
      <c r="F102" t="n">
        <v>1</v>
      </c>
      <c r="G102" t="inlineStr">
        <is>
          <t>BS001</t>
        </is>
      </c>
      <c r="H102" t="inlineStr">
        <is>
          <t>30 Mei 2000</t>
        </is>
      </c>
      <c r="I102" s="2" t="n">
        <v>46312</v>
      </c>
      <c r="J102" t="inlineStr">
        <is>
          <t>Disetujui</t>
        </is>
      </c>
      <c r="K102" t="n">
        <v>60</v>
      </c>
      <c r="L102" t="inlineStr">
        <is>
          <t>17 Oktober 2026</t>
        </is>
      </c>
      <c r="M102" t="inlineStr">
        <is>
          <t>Konstruksi Bangunan Sipil Jalan</t>
        </is>
      </c>
      <c r="N102" t="inlineStr">
        <is>
          <t>K</t>
        </is>
      </c>
      <c r="O102" t="inlineStr">
        <is>
          <t>20230906</t>
        </is>
      </c>
      <c r="P102" t="inlineStr">
        <is>
          <t>Jawa Timur</t>
        </is>
      </c>
      <c r="Q102" t="inlineStr"/>
    </row>
    <row r="103">
      <c r="A103" t="inlineStr">
        <is>
          <t>KARYA UHS INDONESIA</t>
        </is>
      </c>
      <c r="B103" t="inlineStr">
        <is>
          <t>Kota Adm. Jakarta Selatan</t>
        </is>
      </c>
      <c r="C103" t="inlineStr">
        <is>
          <t>02150812002</t>
        </is>
      </c>
      <c r="D103" t="inlineStr">
        <is>
          <t>uhsindonesia@gmail.com</t>
        </is>
      </c>
      <c r="E103" t="inlineStr">
        <is>
          <t>https://lpjk.pu.go.id/search-badan-usaha-detail/ZERJT0liYktaQmFvbWZIWlNGQjNFUT09</t>
        </is>
      </c>
      <c r="F103" t="n">
        <v>1</v>
      </c>
      <c r="G103" t="inlineStr">
        <is>
          <t>PB004</t>
        </is>
      </c>
      <c r="H103" t="inlineStr">
        <is>
          <t>22 September 2021</t>
        </is>
      </c>
      <c r="I103" s="2" t="n">
        <v>46312</v>
      </c>
      <c r="J103" t="inlineStr">
        <is>
          <t>Pencabutan</t>
        </is>
      </c>
      <c r="K103" t="n">
        <v>60</v>
      </c>
      <c r="L103" t="inlineStr">
        <is>
          <t>17 Oktober 2026</t>
        </is>
      </c>
      <c r="M103" t="inlineStr">
        <is>
          <t>Dekorasi Interior</t>
        </is>
      </c>
      <c r="N103" t="inlineStr">
        <is>
          <t>Spesialis</t>
        </is>
      </c>
      <c r="O103" t="inlineStr">
        <is>
          <t>20231013</t>
        </is>
      </c>
      <c r="P103" t="inlineStr">
        <is>
          <t>DKI Jakarta</t>
        </is>
      </c>
      <c r="Q103" t="inlineStr"/>
    </row>
    <row r="104">
      <c r="A104" t="inlineStr">
        <is>
          <t>KELUARGA JAYA</t>
        </is>
      </c>
      <c r="B104" t="inlineStr">
        <is>
          <t>Kab. Blora</t>
        </is>
      </c>
      <c r="C104" t="inlineStr">
        <is>
          <t>082136750715</t>
        </is>
      </c>
      <c r="D104" t="inlineStr">
        <is>
          <t>keluargajaya.blora@gmail.com</t>
        </is>
      </c>
      <c r="E104" t="inlineStr">
        <is>
          <t>https://lpjk.pu.go.id/search-badan-usaha-detail/WWZ5ZUs3ZGxIVUprcUQxdk5udVRzdz09</t>
        </is>
      </c>
      <c r="F104" t="n">
        <v>2</v>
      </c>
      <c r="G104" t="inlineStr">
        <is>
          <t>BS002, BS004</t>
        </is>
      </c>
      <c r="H104" t="inlineStr">
        <is>
          <t>24 Januari 1984</t>
        </is>
      </c>
      <c r="I104" s="2" t="n">
        <v>46312</v>
      </c>
      <c r="J104" t="inlineStr">
        <is>
          <t>Disetujui</t>
        </is>
      </c>
      <c r="K104" t="n">
        <v>60</v>
      </c>
      <c r="L104" t="inlineStr">
        <is>
          <t>17 Oktober 2026</t>
        </is>
      </c>
      <c r="M104" t="inlineStr">
        <is>
          <t>Bangunan Sipil Jembatan, Jalan Layang, Fly Over, dan Underpass, Konstruksi Jaringan Irigasi dan Drainase</t>
        </is>
      </c>
      <c r="N104" t="inlineStr">
        <is>
          <t>K</t>
        </is>
      </c>
      <c r="O104" t="inlineStr">
        <is>
          <t>20231013</t>
        </is>
      </c>
      <c r="P104" t="inlineStr">
        <is>
          <t>Jawa Tengah</t>
        </is>
      </c>
      <c r="Q104" t="inlineStr"/>
    </row>
    <row r="105">
      <c r="A105" t="inlineStr">
        <is>
          <t>KEMBANG PRANATA</t>
        </is>
      </c>
      <c r="B105" t="inlineStr">
        <is>
          <t>Kab. Boalemo</t>
        </is>
      </c>
      <c r="C105" t="inlineStr">
        <is>
          <t>085240307976</t>
        </is>
      </c>
      <c r="D105" t="inlineStr">
        <is>
          <t>kembangpranata@gmail.com</t>
        </is>
      </c>
      <c r="E105" t="inlineStr">
        <is>
          <t>https://lpjk.pu.go.id/search-badan-usaha-detail/RDBnWmRCcXUvS3VYaGVQOWdsS3lIQT09</t>
        </is>
      </c>
      <c r="F105" t="n">
        <v>1</v>
      </c>
      <c r="G105" t="inlineStr">
        <is>
          <t>BS001</t>
        </is>
      </c>
      <c r="H105" t="inlineStr">
        <is>
          <t>25 Agustus 2023</t>
        </is>
      </c>
      <c r="I105" s="2" t="n">
        <v>46312</v>
      </c>
      <c r="J105" t="inlineStr">
        <is>
          <t>Disetujui</t>
        </is>
      </c>
      <c r="K105" t="n">
        <v>60</v>
      </c>
      <c r="L105" t="inlineStr">
        <is>
          <t>17 Oktober 2026</t>
        </is>
      </c>
      <c r="M105" t="inlineStr">
        <is>
          <t>Konstruksi Bangunan Sipil Jalan</t>
        </is>
      </c>
      <c r="N105" t="inlineStr">
        <is>
          <t>K</t>
        </is>
      </c>
      <c r="O105" t="inlineStr">
        <is>
          <t>20231017</t>
        </is>
      </c>
      <c r="P105" t="inlineStr">
        <is>
          <t>Gorontalo</t>
        </is>
      </c>
      <c r="Q105" t="inlineStr"/>
    </row>
    <row r="106">
      <c r="A106" t="inlineStr">
        <is>
          <t>KHAIRAT</t>
        </is>
      </c>
      <c r="B106" t="inlineStr">
        <is>
          <t>Kab. Pasaman Barat</t>
        </is>
      </c>
      <c r="C106" t="inlineStr">
        <is>
          <t>082285673013</t>
        </is>
      </c>
      <c r="D106" t="inlineStr">
        <is>
          <t>cv.khairatpasamanbarat@gmail.com</t>
        </is>
      </c>
      <c r="E106" t="inlineStr">
        <is>
          <t>https://lpjk.pu.go.id/search-badan-usaha-detail/bmdmMlUyWFdBVForN0o1TkZiTUNZUT09</t>
        </is>
      </c>
      <c r="F106" t="n">
        <v>3</v>
      </c>
      <c r="G106" t="inlineStr">
        <is>
          <t>BG001, BG005, BG006</t>
        </is>
      </c>
      <c r="H106" t="inlineStr">
        <is>
          <t>31 Mei 2017</t>
        </is>
      </c>
      <c r="I106" s="2" t="n">
        <v>46312</v>
      </c>
      <c r="J106" t="inlineStr">
        <is>
          <t>Pencabutan</t>
        </is>
      </c>
      <c r="K106" t="n">
        <v>60</v>
      </c>
      <c r="L106" t="inlineStr">
        <is>
          <t>17 Oktober 2026</t>
        </is>
      </c>
      <c r="M106" t="inlineStr">
        <is>
          <t>Konstruksi Gedung Hunian, Konstruksi Gedung Kesehatan, Konstruksi Gedung Pendidikan</t>
        </is>
      </c>
      <c r="N106" t="inlineStr">
        <is>
          <t>K</t>
        </is>
      </c>
      <c r="O106" t="inlineStr">
        <is>
          <t>20231016</t>
        </is>
      </c>
      <c r="P106" t="inlineStr">
        <is>
          <t>Sumatera Barat</t>
        </is>
      </c>
      <c r="Q106" t="inlineStr"/>
    </row>
    <row r="107">
      <c r="A107" t="inlineStr">
        <is>
          <t>KHARISMA MULIA MANDIRI</t>
        </is>
      </c>
      <c r="B107" t="inlineStr">
        <is>
          <t>Kota Adm. Jakarta Barat</t>
        </is>
      </c>
      <c r="C107" t="inlineStr">
        <is>
          <t>082110689428</t>
        </is>
      </c>
      <c r="D107" t="inlineStr">
        <is>
          <t>kharismamuliamdr@gmail.com</t>
        </is>
      </c>
      <c r="E107" t="inlineStr">
        <is>
          <t>https://lpjk.pu.go.id/search-badan-usaha-detail/ZHBsV0JiT29JNk84NXp5ME50MzNidz09</t>
        </is>
      </c>
      <c r="F107" t="n">
        <v>8</v>
      </c>
      <c r="G107" t="inlineStr">
        <is>
          <t>BG001, BG003, BG004, BG009</t>
        </is>
      </c>
      <c r="H107" t="inlineStr">
        <is>
          <t>8 April 2003</t>
        </is>
      </c>
      <c r="I107" s="2" t="n">
        <v>46312</v>
      </c>
      <c r="J107" t="inlineStr">
        <is>
          <t>Disetujui</t>
        </is>
      </c>
      <c r="K107" t="n">
        <v>60</v>
      </c>
      <c r="L107" t="inlineStr">
        <is>
          <t>17 Oktober 2026</t>
        </is>
      </c>
      <c r="M107" t="inlineStr">
        <is>
          <t>Konstruksi Gedung Hunian, Konstruksi Gedung Industri, Konstruksi Gedung Lainnya, Konstruksi Gedung Perbelanjaan</t>
        </is>
      </c>
      <c r="N107" t="inlineStr">
        <is>
          <t>K</t>
        </is>
      </c>
      <c r="O107" t="inlineStr">
        <is>
          <t>20231015, 20231016</t>
        </is>
      </c>
      <c r="P107" t="inlineStr">
        <is>
          <t>DKI Jakarta</t>
        </is>
      </c>
      <c r="Q107" t="inlineStr"/>
    </row>
    <row r="108">
      <c r="A108" t="inlineStr">
        <is>
          <t>KREASI DISAIN</t>
        </is>
      </c>
      <c r="B108" t="inlineStr">
        <is>
          <t>Kab. Tangerang</t>
        </is>
      </c>
      <c r="C108" t="inlineStr">
        <is>
          <t>081272272373</t>
        </is>
      </c>
      <c r="D108" t="inlineStr">
        <is>
          <t>kreasidisain.adm@gmail.com</t>
        </is>
      </c>
      <c r="E108" t="inlineStr">
        <is>
          <t>https://lpjk.pu.go.id/search-badan-usaha-detail/US9pR0ZwUTExSVJ5UTZCdUNLNndjZz09</t>
        </is>
      </c>
      <c r="F108" t="n">
        <v>1</v>
      </c>
      <c r="G108" t="inlineStr">
        <is>
          <t>BG001</t>
        </is>
      </c>
      <c r="H108" t="inlineStr">
        <is>
          <t>26 Agustus 2023</t>
        </is>
      </c>
      <c r="I108" s="2" t="n">
        <v>46312</v>
      </c>
      <c r="J108" t="inlineStr">
        <is>
          <t>Disetujui</t>
        </is>
      </c>
      <c r="K108" t="n">
        <v>60</v>
      </c>
      <c r="L108" t="inlineStr">
        <is>
          <t>17 Oktober 2026</t>
        </is>
      </c>
      <c r="M108" t="inlineStr">
        <is>
          <t>Konstruksi Gedung Hunian</t>
        </is>
      </c>
      <c r="N108" t="inlineStr">
        <is>
          <t>K</t>
        </is>
      </c>
      <c r="O108" t="inlineStr">
        <is>
          <t>20231017</t>
        </is>
      </c>
      <c r="P108" t="inlineStr">
        <is>
          <t>Banten</t>
        </is>
      </c>
      <c r="Q108" t="inlineStr"/>
    </row>
    <row r="109">
      <c r="A109" t="inlineStr">
        <is>
          <t>KURNIA AKBAR</t>
        </is>
      </c>
      <c r="B109" t="inlineStr">
        <is>
          <t>Kab. Bangka Barat</t>
        </is>
      </c>
      <c r="C109" t="inlineStr">
        <is>
          <t>081994128908</t>
        </is>
      </c>
      <c r="D109" t="inlineStr">
        <is>
          <t>kurniaakbar1717@gmail.com</t>
        </is>
      </c>
      <c r="E109" t="inlineStr">
        <is>
          <t>https://lpjk.pu.go.id/search-badan-usaha-detail/c1NJMlVGSEFvVk55bjVRSGFkL1prdz09</t>
        </is>
      </c>
      <c r="F109" t="n">
        <v>1</v>
      </c>
      <c r="G109" t="inlineStr">
        <is>
          <t>BS001</t>
        </is>
      </c>
      <c r="H109" t="inlineStr">
        <is>
          <t>22 Oktober 2002</t>
        </is>
      </c>
      <c r="I109" s="2" t="n">
        <v>46312</v>
      </c>
      <c r="J109" t="inlineStr">
        <is>
          <t>Disetujui</t>
        </is>
      </c>
      <c r="K109" t="n">
        <v>60</v>
      </c>
      <c r="L109" t="inlineStr">
        <is>
          <t>17 Oktober 2026</t>
        </is>
      </c>
      <c r="M109" t="inlineStr">
        <is>
          <t>Konstruksi Bangunan Sipil Jalan</t>
        </is>
      </c>
      <c r="N109" t="inlineStr">
        <is>
          <t>K</t>
        </is>
      </c>
      <c r="O109" t="inlineStr">
        <is>
          <t>20231016</t>
        </is>
      </c>
      <c r="P109" t="inlineStr">
        <is>
          <t>Kepulauan Bangka Belitung</t>
        </is>
      </c>
      <c r="Q109" t="inlineStr"/>
    </row>
    <row r="110">
      <c r="A110" t="inlineStr">
        <is>
          <t>LAMINAR ENGINEERING CONSULTANT</t>
        </is>
      </c>
      <c r="B110" t="inlineStr">
        <is>
          <t>Kota Adm. Jakarta Selatan</t>
        </is>
      </c>
      <c r="C110" t="inlineStr">
        <is>
          <t>085714610511</t>
        </is>
      </c>
      <c r="D110" t="inlineStr">
        <is>
          <t>service@laminar-consultant.com</t>
        </is>
      </c>
      <c r="E110" t="inlineStr">
        <is>
          <t>https://lpjk.pu.go.id/search-badan-usaha-detail/bmVmb3pweW43SEpEUjJWUkxxMWNiUT09</t>
        </is>
      </c>
      <c r="F110" t="n">
        <v>2</v>
      </c>
      <c r="G110" t="inlineStr">
        <is>
          <t>RK001, RK002</t>
        </is>
      </c>
      <c r="H110" t="inlineStr">
        <is>
          <t>4 September 2023</t>
        </is>
      </c>
      <c r="I110" s="2" t="n">
        <v>46312</v>
      </c>
      <c r="J110" t="inlineStr">
        <is>
          <t>Disetujui</t>
        </is>
      </c>
      <c r="K110" t="n">
        <v>60</v>
      </c>
      <c r="L110" t="inlineStr">
        <is>
          <t>17 Oktober 2026</t>
        </is>
      </c>
      <c r="M110" t="inlineStr">
        <is>
          <t>Jasa Rekayasa Konstruksi Bangunan Gedung Hunian dan Non Hunian, Jasa Rekayasa Pekerjaan Teknik Sipil Sumber Daya Air</t>
        </is>
      </c>
      <c r="N110" t="inlineStr">
        <is>
          <t>K</t>
        </is>
      </c>
      <c r="O110" t="inlineStr">
        <is>
          <t>20230929</t>
        </is>
      </c>
      <c r="P110" t="inlineStr">
        <is>
          <t>DKI Jakarta</t>
        </is>
      </c>
      <c r="Q110" t="inlineStr"/>
    </row>
    <row r="111">
      <c r="A111" t="inlineStr">
        <is>
          <t>LOKAL UTAMA</t>
        </is>
      </c>
      <c r="B111" t="inlineStr">
        <is>
          <t>Kab. Sumbawa Barat</t>
        </is>
      </c>
      <c r="C111" t="inlineStr">
        <is>
          <t>081339639396</t>
        </is>
      </c>
      <c r="D111" t="inlineStr">
        <is>
          <t>lokalutama@yahoo.com</t>
        </is>
      </c>
      <c r="E111" t="inlineStr">
        <is>
          <t>https://lpjk.pu.go.id/search-badan-usaha-detail/M2czZ21PWHhLcHRuRW5XQ1VyZlpxUT09</t>
        </is>
      </c>
      <c r="F111" t="n">
        <v>2</v>
      </c>
      <c r="G111" t="inlineStr">
        <is>
          <t>BG006, BS004</t>
        </is>
      </c>
      <c r="H111" t="inlineStr">
        <is>
          <t>19 Oktober 2001</t>
        </is>
      </c>
      <c r="I111" s="2" t="n">
        <v>46312</v>
      </c>
      <c r="J111" t="inlineStr">
        <is>
          <t>Disetujui</t>
        </is>
      </c>
      <c r="K111" t="n">
        <v>60</v>
      </c>
      <c r="L111" t="inlineStr">
        <is>
          <t>17 Oktober 2026</t>
        </is>
      </c>
      <c r="M111" t="inlineStr">
        <is>
          <t>Konstruksi Gedung Pendidikan, Konstruksi Jaringan Irigasi dan Drainase</t>
        </is>
      </c>
      <c r="N111" t="inlineStr">
        <is>
          <t>K</t>
        </is>
      </c>
      <c r="O111" t="inlineStr">
        <is>
          <t>20230925, 20231006</t>
        </is>
      </c>
      <c r="P111" t="inlineStr">
        <is>
          <t>Nusa Tenggara Barat</t>
        </is>
      </c>
      <c r="Q111" t="inlineStr"/>
    </row>
    <row r="112">
      <c r="A112" t="inlineStr">
        <is>
          <t>MAJU MAPAN</t>
        </is>
      </c>
      <c r="B112" t="inlineStr">
        <is>
          <t>Kab. Banyuwangi</t>
        </is>
      </c>
      <c r="C112" t="inlineStr">
        <is>
          <t>082333255205</t>
        </is>
      </c>
      <c r="D112" t="inlineStr">
        <is>
          <t>majumapan53@yahoo.com</t>
        </is>
      </c>
      <c r="E112" t="inlineStr">
        <is>
          <t>https://lpjk.pu.go.id/search-badan-usaha-detail/dGxkbTBQeGl3c1ZDVzEvTTA5K2U0Zz09</t>
        </is>
      </c>
      <c r="F112" t="n">
        <v>2</v>
      </c>
      <c r="G112" t="inlineStr">
        <is>
          <t>BS001, BS002</t>
        </is>
      </c>
      <c r="H112" t="inlineStr">
        <is>
          <t>2 November 2017</t>
        </is>
      </c>
      <c r="I112" s="2" t="n">
        <v>46312</v>
      </c>
      <c r="J112" t="inlineStr">
        <is>
          <t>Disetujui</t>
        </is>
      </c>
      <c r="K112" t="n">
        <v>60</v>
      </c>
      <c r="L112" t="inlineStr">
        <is>
          <t>17 Oktober 2026</t>
        </is>
      </c>
      <c r="M112" t="inlineStr">
        <is>
          <t>Bangunan Sipil Jembatan, Jalan Layang, Fly Over, dan Underpass, Konstruksi Bangunan Sipil Jalan</t>
        </is>
      </c>
      <c r="N112" t="inlineStr">
        <is>
          <t>K</t>
        </is>
      </c>
      <c r="O112" t="inlineStr">
        <is>
          <t>20231016</t>
        </is>
      </c>
      <c r="P112" t="inlineStr">
        <is>
          <t>Jawa Timur</t>
        </is>
      </c>
      <c r="Q112" t="inlineStr"/>
    </row>
    <row r="113">
      <c r="A113" t="inlineStr">
        <is>
          <t>MANDALA NUSA JAYA</t>
        </is>
      </c>
      <c r="B113" t="inlineStr">
        <is>
          <t>Kota Batam</t>
        </is>
      </c>
      <c r="C113" t="inlineStr">
        <is>
          <t>081260199262</t>
        </is>
      </c>
      <c r="D113" t="inlineStr">
        <is>
          <t>mandalanusajaya@gmail.com</t>
        </is>
      </c>
      <c r="E113" t="inlineStr">
        <is>
          <t>https://lpjk.pu.go.id/search-badan-usaha-detail/UmJVL1dmcy9NY1ZxZ01lKzlES1UrQT09</t>
        </is>
      </c>
      <c r="F113" t="n">
        <v>2</v>
      </c>
      <c r="G113" t="inlineStr">
        <is>
          <t>BS001</t>
        </is>
      </c>
      <c r="H113" t="inlineStr">
        <is>
          <t>12 November 2019</t>
        </is>
      </c>
      <c r="I113" s="2" t="n">
        <v>46312</v>
      </c>
      <c r="J113" t="inlineStr">
        <is>
          <t>Disetujui</t>
        </is>
      </c>
      <c r="K113" t="n">
        <v>60</v>
      </c>
      <c r="L113" t="inlineStr">
        <is>
          <t>17 Oktober 2026</t>
        </is>
      </c>
      <c r="M113" t="inlineStr">
        <is>
          <t>Konstruksi Bangunan Sipil Jalan</t>
        </is>
      </c>
      <c r="N113" t="inlineStr">
        <is>
          <t>K</t>
        </is>
      </c>
      <c r="O113" t="inlineStr">
        <is>
          <t>20231016</t>
        </is>
      </c>
      <c r="P113" t="inlineStr">
        <is>
          <t>Kepulauan Riau</t>
        </is>
      </c>
      <c r="Q113" t="inlineStr"/>
    </row>
    <row r="114">
      <c r="A114" t="inlineStr">
        <is>
          <t>MANGGALA</t>
        </is>
      </c>
      <c r="B114" t="inlineStr">
        <is>
          <t>Kota Denpasar</t>
        </is>
      </c>
      <c r="C114" t="inlineStr">
        <is>
          <t>081337324272</t>
        </is>
      </c>
      <c r="D114" t="inlineStr">
        <is>
          <t>cv.manggala20@ymail.com</t>
        </is>
      </c>
      <c r="E114" t="inlineStr">
        <is>
          <t>https://lpjk.pu.go.id/search-badan-usaha-detail/b3BtdTFYRG1kR1JDeHdNMzQrK2p4QT09</t>
        </is>
      </c>
      <c r="F114" t="n">
        <v>1</v>
      </c>
      <c r="G114" t="inlineStr">
        <is>
          <t>BG005</t>
        </is>
      </c>
      <c r="H114" t="inlineStr">
        <is>
          <t>31 Agustus 1984</t>
        </is>
      </c>
      <c r="I114" s="2" t="n">
        <v>46312</v>
      </c>
      <c r="J114" t="inlineStr">
        <is>
          <t>Disetujui</t>
        </is>
      </c>
      <c r="K114" t="n">
        <v>60</v>
      </c>
      <c r="L114" t="inlineStr">
        <is>
          <t>17 Oktober 2026</t>
        </is>
      </c>
      <c r="M114" t="inlineStr">
        <is>
          <t>Konstruksi Gedung Kesehatan</t>
        </is>
      </c>
      <c r="N114" t="inlineStr">
        <is>
          <t>K</t>
        </is>
      </c>
      <c r="O114" t="inlineStr">
        <is>
          <t>20231013</t>
        </is>
      </c>
      <c r="P114" t="inlineStr">
        <is>
          <t>Bali</t>
        </is>
      </c>
      <c r="Q114" t="inlineStr"/>
    </row>
    <row r="115">
      <c r="A115" t="inlineStr">
        <is>
          <t>MITRA BERINGIN</t>
        </is>
      </c>
      <c r="B115" t="inlineStr">
        <is>
          <t>Kota Makassar</t>
        </is>
      </c>
      <c r="C115" t="inlineStr">
        <is>
          <t>0811413357</t>
        </is>
      </c>
      <c r="D115" t="inlineStr">
        <is>
          <t>cv.mitraberingin1@gmail.com</t>
        </is>
      </c>
      <c r="E115" t="inlineStr">
        <is>
          <t>https://lpjk.pu.go.id/search-badan-usaha-detail/SEV2NGgxU3ZqbHBFM2FWU2xJV3RRdz09</t>
        </is>
      </c>
      <c r="F115" t="n">
        <v>1</v>
      </c>
      <c r="G115" t="inlineStr">
        <is>
          <t>BG001</t>
        </is>
      </c>
      <c r="H115" t="inlineStr">
        <is>
          <t>29 November 1994</t>
        </is>
      </c>
      <c r="I115" s="2" t="n">
        <v>46312</v>
      </c>
      <c r="J115" t="inlineStr">
        <is>
          <t>Disetujui</t>
        </is>
      </c>
      <c r="K115" t="n">
        <v>60</v>
      </c>
      <c r="L115" t="inlineStr">
        <is>
          <t>17 Oktober 2026</t>
        </is>
      </c>
      <c r="M115" t="inlineStr">
        <is>
          <t>Konstruksi Gedung Hunian</t>
        </is>
      </c>
      <c r="N115" t="inlineStr">
        <is>
          <t>K</t>
        </is>
      </c>
      <c r="O115" t="inlineStr">
        <is>
          <t>20231018</t>
        </is>
      </c>
      <c r="P115" t="inlineStr">
        <is>
          <t>Sulawesi Selatan</t>
        </is>
      </c>
      <c r="Q115" t="inlineStr"/>
    </row>
    <row r="116">
      <c r="A116" t="inlineStr">
        <is>
          <t>MITRA DINAMIS</t>
        </is>
      </c>
      <c r="B116" t="inlineStr">
        <is>
          <t>Kota Batam</t>
        </is>
      </c>
      <c r="C116" t="inlineStr">
        <is>
          <t>082277513388</t>
        </is>
      </c>
      <c r="D116" t="inlineStr">
        <is>
          <t>berthaprananda48@gmail.com</t>
        </is>
      </c>
      <c r="E116" t="inlineStr">
        <is>
          <t>https://lpjk.pu.go.id/search-badan-usaha-detail/aHd2MkRCaGRzSGlTQWNVNXFrNzZlQT09</t>
        </is>
      </c>
      <c r="F116" t="n">
        <v>1</v>
      </c>
      <c r="G116" t="inlineStr">
        <is>
          <t>IN007</t>
        </is>
      </c>
      <c r="H116" t="inlineStr">
        <is>
          <t>18 November 1995</t>
        </is>
      </c>
      <c r="I116" s="2" t="n">
        <v>46312</v>
      </c>
      <c r="J116" t="inlineStr">
        <is>
          <t>Disetujui</t>
        </is>
      </c>
      <c r="K116" t="n">
        <v>60</v>
      </c>
      <c r="L116" t="inlineStr">
        <is>
          <t>17 Oktober 2026</t>
        </is>
      </c>
      <c r="M116" t="inlineStr">
        <is>
          <t>Instalasi Saluran Air (Plambing)</t>
        </is>
      </c>
      <c r="N116" t="inlineStr">
        <is>
          <t>Spesialis</t>
        </is>
      </c>
      <c r="O116" t="inlineStr">
        <is>
          <t>20231012</t>
        </is>
      </c>
      <c r="P116" t="inlineStr">
        <is>
          <t>Kepulauan Riau</t>
        </is>
      </c>
      <c r="Q116" t="inlineStr"/>
    </row>
    <row r="117">
      <c r="A117" t="inlineStr">
        <is>
          <t>MITRA SARANA KARYA BANGSA</t>
        </is>
      </c>
      <c r="B117" t="inlineStr">
        <is>
          <t>Kota Adm. Jakarta Pusat</t>
        </is>
      </c>
      <c r="C117" t="inlineStr">
        <is>
          <t>02180631657</t>
        </is>
      </c>
      <c r="D117" t="inlineStr">
        <is>
          <t>miska@mitrakaryabangsa.com</t>
        </is>
      </c>
      <c r="E117" t="inlineStr">
        <is>
          <t>https://lpjk.pu.go.id/search-badan-usaha-detail/aldmMXBUTVY3R2tneml5N3BKSVdmZz09</t>
        </is>
      </c>
      <c r="F117" t="n">
        <v>1</v>
      </c>
      <c r="G117" t="inlineStr">
        <is>
          <t>BS009</t>
        </is>
      </c>
      <c r="H117" t="inlineStr">
        <is>
          <t>7 Agustus 2017</t>
        </is>
      </c>
      <c r="I117" s="2" t="n">
        <v>46312</v>
      </c>
      <c r="J117" t="inlineStr">
        <is>
          <t>Disetujui</t>
        </is>
      </c>
      <c r="K117" t="n">
        <v>60</v>
      </c>
      <c r="L117" t="inlineStr">
        <is>
          <t>17 Oktober 2026</t>
        </is>
      </c>
      <c r="M117" t="inlineStr">
        <is>
          <t>Konstruksi Sentral Telekomunikasi</t>
        </is>
      </c>
      <c r="N117" t="inlineStr">
        <is>
          <t>K</t>
        </is>
      </c>
      <c r="O117" t="inlineStr">
        <is>
          <t>20231018</t>
        </is>
      </c>
      <c r="P117" t="inlineStr">
        <is>
          <t>DKI Jakarta</t>
        </is>
      </c>
      <c r="Q117" t="inlineStr"/>
    </row>
    <row r="118">
      <c r="A118" t="inlineStr">
        <is>
          <t>MITRA TEKNIK UTAMA</t>
        </is>
      </c>
      <c r="B118" t="inlineStr">
        <is>
          <t>Kota Denpasar</t>
        </is>
      </c>
      <c r="C118" t="inlineStr">
        <is>
          <t>03618461811</t>
        </is>
      </c>
      <c r="D118" t="inlineStr">
        <is>
          <t>mitrateknikutama@yahoo.com</t>
        </is>
      </c>
      <c r="E118" t="inlineStr">
        <is>
          <t>https://lpjk.pu.go.id/search-badan-usaha-detail/dml0RjBBdEJDcmFuODJZWmVkN2R6dz09</t>
        </is>
      </c>
      <c r="F118" t="n">
        <v>1</v>
      </c>
      <c r="G118" t="inlineStr">
        <is>
          <t>BS001</t>
        </is>
      </c>
      <c r="H118" t="inlineStr">
        <is>
          <t>6 Juni 1995</t>
        </is>
      </c>
      <c r="I118" s="2" t="n">
        <v>46312</v>
      </c>
      <c r="J118" t="inlineStr">
        <is>
          <t>Disetujui</t>
        </is>
      </c>
      <c r="K118" t="n">
        <v>60</v>
      </c>
      <c r="L118" t="inlineStr">
        <is>
          <t>17 Oktober 2026</t>
        </is>
      </c>
      <c r="M118" t="inlineStr">
        <is>
          <t>Konstruksi Bangunan Sipil Jalan</t>
        </is>
      </c>
      <c r="N118" t="inlineStr">
        <is>
          <t>K</t>
        </is>
      </c>
      <c r="O118" t="inlineStr">
        <is>
          <t>20231009</t>
        </is>
      </c>
      <c r="P118" t="inlineStr">
        <is>
          <t>Bali</t>
        </is>
      </c>
      <c r="Q118" t="inlineStr"/>
    </row>
    <row r="119">
      <c r="A119" t="inlineStr">
        <is>
          <t>MULTI MATRA</t>
        </is>
      </c>
      <c r="B119" t="inlineStr">
        <is>
          <t>Kota Manado</t>
        </is>
      </c>
      <c r="C119" t="inlineStr">
        <is>
          <t>081340432890</t>
        </is>
      </c>
      <c r="D119" t="inlineStr">
        <is>
          <t>multimatramdo@gmail.com</t>
        </is>
      </c>
      <c r="E119" t="inlineStr">
        <is>
          <t>https://lpjk.pu.go.id/search-badan-usaha-detail/a21CcS9ES3pLcGh1TG9qTWtCVXdHQT09</t>
        </is>
      </c>
      <c r="F119" t="n">
        <v>1</v>
      </c>
      <c r="G119" t="inlineStr">
        <is>
          <t>BS001</t>
        </is>
      </c>
      <c r="H119" t="inlineStr">
        <is>
          <t>30 Juli 1991</t>
        </is>
      </c>
      <c r="I119" s="2" t="n">
        <v>46312</v>
      </c>
      <c r="J119" t="inlineStr">
        <is>
          <t>Disetujui</t>
        </is>
      </c>
      <c r="K119" t="n">
        <v>60</v>
      </c>
      <c r="L119" t="inlineStr">
        <is>
          <t>17 Oktober 2026</t>
        </is>
      </c>
      <c r="M119" t="inlineStr">
        <is>
          <t>Konstruksi Bangunan Sipil Jalan</t>
        </is>
      </c>
      <c r="N119" t="inlineStr">
        <is>
          <t>K</t>
        </is>
      </c>
      <c r="O119" t="inlineStr">
        <is>
          <t>20231017</t>
        </is>
      </c>
      <c r="P119" t="inlineStr">
        <is>
          <t>Sulawesi Utara</t>
        </is>
      </c>
      <c r="Q119" t="inlineStr"/>
    </row>
    <row r="120">
      <c r="A120" t="inlineStr">
        <is>
          <t>MUSTIKA PADJADJARAN</t>
        </is>
      </c>
      <c r="B120" t="inlineStr">
        <is>
          <t>Kota Bandung</t>
        </is>
      </c>
      <c r="C120" t="inlineStr">
        <is>
          <t>081312164234</t>
        </is>
      </c>
      <c r="D120" t="inlineStr">
        <is>
          <t>mustikapadjadjaran16@gmail.com</t>
        </is>
      </c>
      <c r="E120" t="inlineStr">
        <is>
          <t>https://lpjk.pu.go.id/search-badan-usaha-detail/bmdXdlhncHlZeWZ5bHlhRTA5eXorUT09</t>
        </is>
      </c>
      <c r="F120" t="n">
        <v>2</v>
      </c>
      <c r="G120" t="inlineStr">
        <is>
          <t>BG002, BG009</t>
        </is>
      </c>
      <c r="H120" t="inlineStr">
        <is>
          <t>3 Februari 2020</t>
        </is>
      </c>
      <c r="I120" s="2" t="n">
        <v>46312</v>
      </c>
      <c r="J120" t="inlineStr">
        <is>
          <t>Disetujui</t>
        </is>
      </c>
      <c r="K120" t="n">
        <v>60</v>
      </c>
      <c r="L120" t="inlineStr">
        <is>
          <t>17 Oktober 2026</t>
        </is>
      </c>
      <c r="M120" t="inlineStr">
        <is>
          <t>Konstruksi Gedung Lainnya, Konstruksi Gedung Perkantoran</t>
        </is>
      </c>
      <c r="N120" t="inlineStr">
        <is>
          <t>K</t>
        </is>
      </c>
      <c r="O120" t="inlineStr">
        <is>
          <t>20231010</t>
        </is>
      </c>
      <c r="P120" t="inlineStr">
        <is>
          <t>Jawa Barat</t>
        </is>
      </c>
      <c r="Q120" t="inlineStr"/>
    </row>
    <row r="121">
      <c r="A121" t="inlineStr">
        <is>
          <t>MUTIARA MITRA MANDIRI SAROHA</t>
        </is>
      </c>
      <c r="B121" t="inlineStr">
        <is>
          <t>Kab. Cilacap</t>
        </is>
      </c>
      <c r="C121" t="inlineStr">
        <is>
          <t>0282542062</t>
        </is>
      </c>
      <c r="D121" t="inlineStr">
        <is>
          <t>mutiara.mitra@gmail.com</t>
        </is>
      </c>
      <c r="E121" t="inlineStr">
        <is>
          <t>https://lpjk.pu.go.id/search-badan-usaha-detail/NFdQS2ZRZlgwSUlnMTlmYWlVeFpWUT09</t>
        </is>
      </c>
      <c r="F121" t="n">
        <v>10</v>
      </c>
      <c r="G121" t="inlineStr">
        <is>
          <t>BG001, BG006, BG009, BS001, BS004</t>
        </is>
      </c>
      <c r="H121" t="inlineStr">
        <is>
          <t>14 Maret 2000</t>
        </is>
      </c>
      <c r="I121" s="2" t="n">
        <v>46312</v>
      </c>
      <c r="J121" t="inlineStr">
        <is>
          <t>Disetujui</t>
        </is>
      </c>
      <c r="K121" t="n">
        <v>60</v>
      </c>
      <c r="L121" t="inlineStr">
        <is>
          <t>17 Oktober 2026</t>
        </is>
      </c>
      <c r="M121" t="inlineStr">
        <is>
          <t>Konstruksi Bangunan Sipil Jalan, Konstruksi Gedung Hunian, Konstruksi Gedung Lainnya, Konstruksi Gedung Pendidikan, Konstruksi Jaringan Irigasi dan Drainase</t>
        </is>
      </c>
      <c r="N121" t="inlineStr">
        <is>
          <t>K</t>
        </is>
      </c>
      <c r="O121" t="inlineStr">
        <is>
          <t>20231012</t>
        </is>
      </c>
      <c r="P121" t="inlineStr">
        <is>
          <t>Jawa Tengah</t>
        </is>
      </c>
      <c r="Q121" t="inlineStr"/>
    </row>
    <row r="122">
      <c r="A122" t="inlineStr">
        <is>
          <t>NANO CONSTRUCTIONS</t>
        </is>
      </c>
      <c r="B122" t="inlineStr">
        <is>
          <t>Kab. Sragen</t>
        </is>
      </c>
      <c r="C122" t="inlineStr">
        <is>
          <t>081280804300</t>
        </is>
      </c>
      <c r="D122" t="inlineStr">
        <is>
          <t>cvnanoconstructions@gmail.com</t>
        </is>
      </c>
      <c r="E122" t="inlineStr">
        <is>
          <t>https://lpjk.pu.go.id/search-badan-usaha-detail/aWI0eC9SKy9CU3VCMDU1N1VMR29yQT09</t>
        </is>
      </c>
      <c r="F122" t="n">
        <v>1</v>
      </c>
      <c r="G122" t="inlineStr">
        <is>
          <t>BS001</t>
        </is>
      </c>
      <c r="H122" t="inlineStr">
        <is>
          <t>14 Oktober 2023</t>
        </is>
      </c>
      <c r="I122" s="2" t="n">
        <v>46312</v>
      </c>
      <c r="J122" t="inlineStr">
        <is>
          <t>Pencabutan</t>
        </is>
      </c>
      <c r="K122" t="n">
        <v>60</v>
      </c>
      <c r="L122" t="inlineStr">
        <is>
          <t>17 Oktober 2026</t>
        </is>
      </c>
      <c r="M122" t="inlineStr">
        <is>
          <t>Konstruksi Bangunan Sipil Jalan</t>
        </is>
      </c>
      <c r="N122" t="inlineStr">
        <is>
          <t>K</t>
        </is>
      </c>
      <c r="O122" t="inlineStr">
        <is>
          <t>20231017</t>
        </is>
      </c>
      <c r="P122" t="inlineStr">
        <is>
          <t>Jawa Tengah</t>
        </is>
      </c>
      <c r="Q122" t="inlineStr"/>
    </row>
    <row r="123">
      <c r="A123" t="inlineStr">
        <is>
          <t>OPTIMA MITRA PERKASA</t>
        </is>
      </c>
      <c r="B123" t="inlineStr">
        <is>
          <t>Kota Tangerang</t>
        </is>
      </c>
      <c r="C123" t="inlineStr">
        <is>
          <t>087878424322</t>
        </is>
      </c>
      <c r="D123" t="inlineStr">
        <is>
          <t>optimamitraperkasa@yahoo.com</t>
        </is>
      </c>
      <c r="E123" t="inlineStr">
        <is>
          <t>https://lpjk.pu.go.id/search-badan-usaha-detail/VEQxZEJtRktmTUFYK3JMNmE1M0Jndz09</t>
        </is>
      </c>
      <c r="F123" t="n">
        <v>3</v>
      </c>
      <c r="G123" t="inlineStr">
        <is>
          <t>BG001, BG002, BG009</t>
        </is>
      </c>
      <c r="H123" t="inlineStr">
        <is>
          <t>16 Juni 2016</t>
        </is>
      </c>
      <c r="I123" s="2" t="n">
        <v>46312</v>
      </c>
      <c r="J123" t="inlineStr">
        <is>
          <t>Disetujui</t>
        </is>
      </c>
      <c r="K123" t="n">
        <v>60</v>
      </c>
      <c r="L123" t="inlineStr">
        <is>
          <t>17 Oktober 2026</t>
        </is>
      </c>
      <c r="M123" t="inlineStr">
        <is>
          <t>Konstruksi Gedung Hunian, Konstruksi Gedung Lainnya, Konstruksi Gedung Perkantoran</t>
        </is>
      </c>
      <c r="N123" t="inlineStr">
        <is>
          <t>K</t>
        </is>
      </c>
      <c r="O123" t="inlineStr">
        <is>
          <t>20231018</t>
        </is>
      </c>
      <c r="P123" t="inlineStr">
        <is>
          <t>Banten</t>
        </is>
      </c>
      <c r="Q123" t="inlineStr"/>
    </row>
    <row r="124">
      <c r="A124" t="inlineStr">
        <is>
          <t>PANDORA</t>
        </is>
      </c>
      <c r="B124" t="inlineStr">
        <is>
          <t>Kota Sorong</t>
        </is>
      </c>
      <c r="C124" t="inlineStr">
        <is>
          <t>081385976073</t>
        </is>
      </c>
      <c r="D124" t="inlineStr">
        <is>
          <t>dolfisworot@gmail.com</t>
        </is>
      </c>
      <c r="E124" t="inlineStr">
        <is>
          <t>https://lpjk.pu.go.id/search-badan-usaha-detail/TlVyN3pYMVdhNnErekxrZEt2d005Zz09</t>
        </is>
      </c>
      <c r="F124" t="n">
        <v>1</v>
      </c>
      <c r="G124" t="inlineStr">
        <is>
          <t>BG005</t>
        </is>
      </c>
      <c r="H124" t="inlineStr">
        <is>
          <t>5 April 2016</t>
        </is>
      </c>
      <c r="I124" s="2" t="n">
        <v>46312</v>
      </c>
      <c r="J124" t="inlineStr">
        <is>
          <t>Disetujui</t>
        </is>
      </c>
      <c r="K124" t="n">
        <v>60</v>
      </c>
      <c r="L124" t="inlineStr">
        <is>
          <t>17 Oktober 2026</t>
        </is>
      </c>
      <c r="M124" t="inlineStr">
        <is>
          <t>Konstruksi Gedung Kesehatan</t>
        </is>
      </c>
      <c r="N124" t="inlineStr">
        <is>
          <t>K</t>
        </is>
      </c>
      <c r="O124" t="inlineStr">
        <is>
          <t>20231009</t>
        </is>
      </c>
      <c r="P124" t="inlineStr">
        <is>
          <t>Papua Barat</t>
        </is>
      </c>
      <c r="Q124" t="inlineStr"/>
    </row>
    <row r="125">
      <c r="A125" t="inlineStr">
        <is>
          <t>PERDANA</t>
        </is>
      </c>
      <c r="B125" t="inlineStr">
        <is>
          <t>Kab. Bojonegoro</t>
        </is>
      </c>
      <c r="C125" t="inlineStr">
        <is>
          <t>082234869197</t>
        </is>
      </c>
      <c r="D125" t="inlineStr">
        <is>
          <t>cv.perdana50@yahoo.co.id</t>
        </is>
      </c>
      <c r="E125" t="inlineStr">
        <is>
          <t>https://lpjk.pu.go.id/search-badan-usaha-detail/L0kzdmxJTGNSWTJXT25jK1dNMUNFUT09</t>
        </is>
      </c>
      <c r="F125" t="n">
        <v>2</v>
      </c>
      <c r="G125" t="inlineStr">
        <is>
          <t>BS004, BS010</t>
        </is>
      </c>
      <c r="H125" t="inlineStr">
        <is>
          <t>22 September 1986</t>
        </is>
      </c>
      <c r="I125" s="2" t="n">
        <v>46312</v>
      </c>
      <c r="J125" t="inlineStr">
        <is>
          <t>Disetujui</t>
        </is>
      </c>
      <c r="K125" t="n">
        <v>60</v>
      </c>
      <c r="L125" t="inlineStr">
        <is>
          <t>17 Oktober 2026</t>
        </is>
      </c>
      <c r="M125" t="inlineStr">
        <is>
          <t>Konstruksi Bangunan Prasarana Sumber Daya Air, Konstruksi Jaringan Irigasi dan Drainase</t>
        </is>
      </c>
      <c r="N125" t="inlineStr">
        <is>
          <t>K</t>
        </is>
      </c>
      <c r="O125" t="inlineStr">
        <is>
          <t>20231006, 20231009</t>
        </is>
      </c>
      <c r="P125" t="inlineStr">
        <is>
          <t>Jawa Timur</t>
        </is>
      </c>
      <c r="Q125" t="inlineStr"/>
    </row>
    <row r="126">
      <c r="A126" t="inlineStr">
        <is>
          <t>PERDANA KARYA</t>
        </is>
      </c>
      <c r="B126" t="inlineStr">
        <is>
          <t>Kab. Belu</t>
        </is>
      </c>
      <c r="C126" t="inlineStr">
        <is>
          <t>081336553333</t>
        </is>
      </c>
      <c r="D126" t="inlineStr">
        <is>
          <t>ptperdanakarya@gmail.com</t>
        </is>
      </c>
      <c r="E126" t="inlineStr">
        <is>
          <t>https://lpjk.pu.go.id/search-badan-usaha-detail/NDREd3Q4SGZXaWttbFVMZ1NDeVVSdz09</t>
        </is>
      </c>
      <c r="F126" t="n">
        <v>1</v>
      </c>
      <c r="G126" t="inlineStr">
        <is>
          <t>BS001</t>
        </is>
      </c>
      <c r="H126" t="inlineStr">
        <is>
          <t>20 Februari 2004</t>
        </is>
      </c>
      <c r="I126" s="2" t="n">
        <v>46312</v>
      </c>
      <c r="J126" t="inlineStr">
        <is>
          <t>Pembekuan</t>
        </is>
      </c>
      <c r="K126" t="n">
        <v>60</v>
      </c>
      <c r="L126" t="inlineStr">
        <is>
          <t>17 Oktober 2026</t>
        </is>
      </c>
      <c r="M126" t="inlineStr">
        <is>
          <t>Konstruksi Bangunan Sipil Jalan</t>
        </is>
      </c>
      <c r="N126" t="inlineStr">
        <is>
          <t>M</t>
        </is>
      </c>
      <c r="O126" t="inlineStr">
        <is>
          <t>20231018</t>
        </is>
      </c>
      <c r="P126" t="inlineStr">
        <is>
          <t>Nusa Tenggara Timur</t>
        </is>
      </c>
      <c r="Q126" t="inlineStr"/>
    </row>
    <row r="127">
      <c r="A127" t="inlineStr">
        <is>
          <t>PERMATA</t>
        </is>
      </c>
      <c r="B127" t="inlineStr">
        <is>
          <t>Kab. Bandung Barat</t>
        </is>
      </c>
      <c r="C127" t="inlineStr">
        <is>
          <t>082121206969</t>
        </is>
      </c>
      <c r="D127" t="inlineStr">
        <is>
          <t>cvpermatakbb@gmail.com</t>
        </is>
      </c>
      <c r="E127" t="inlineStr">
        <is>
          <t>https://lpjk.pu.go.id/search-badan-usaha-detail/UHdEdzQrcHJnZmpzY2tYSmk5ZWFMUT09</t>
        </is>
      </c>
      <c r="F127" t="n">
        <v>1</v>
      </c>
      <c r="G127" t="inlineStr">
        <is>
          <t>BS006</t>
        </is>
      </c>
      <c r="H127" t="inlineStr">
        <is>
          <t>31 Januari 2011</t>
        </is>
      </c>
      <c r="I127" s="2" t="n">
        <v>46312</v>
      </c>
      <c r="J127" t="inlineStr">
        <is>
          <t>Disetujui</t>
        </is>
      </c>
      <c r="K127" t="n">
        <v>60</v>
      </c>
      <c r="L127" t="inlineStr">
        <is>
          <t>17 Oktober 2026</t>
        </is>
      </c>
      <c r="M127" t="inlineStr">
        <is>
          <t>Konstruksi Bangunan Sipil Prasarana dan Sarana Sistem Pengolahan Limbah Padat, Cair, dan Gas</t>
        </is>
      </c>
      <c r="N127" t="inlineStr">
        <is>
          <t>K</t>
        </is>
      </c>
      <c r="O127" t="inlineStr">
        <is>
          <t>20231016</t>
        </is>
      </c>
      <c r="P127" t="inlineStr">
        <is>
          <t>Jawa Barat</t>
        </is>
      </c>
      <c r="Q127" t="inlineStr"/>
    </row>
    <row r="128">
      <c r="A128" t="inlineStr">
        <is>
          <t>PILAR BANGUN</t>
        </is>
      </c>
      <c r="B128" t="inlineStr">
        <is>
          <t>Kab. Trenggalek</t>
        </is>
      </c>
      <c r="C128" t="inlineStr">
        <is>
          <t>081335337337</t>
        </is>
      </c>
      <c r="D128" t="inlineStr">
        <is>
          <t>ridwanpilar1980@gmail.com</t>
        </is>
      </c>
      <c r="E128" t="inlineStr">
        <is>
          <t>https://lpjk.pu.go.id/search-badan-usaha-detail/SGVDZHFzQVR0aC9jdThtUCtlbW42Zz09</t>
        </is>
      </c>
      <c r="F128" t="n">
        <v>3</v>
      </c>
      <c r="G128" t="inlineStr">
        <is>
          <t>BG006, BG009, BS005</t>
        </is>
      </c>
      <c r="H128" t="inlineStr">
        <is>
          <t>15 Januari 2018</t>
        </is>
      </c>
      <c r="I128" s="2" t="n">
        <v>46312</v>
      </c>
      <c r="J128" t="inlineStr">
        <is>
          <t>Disetujui</t>
        </is>
      </c>
      <c r="K128" t="n">
        <v>60</v>
      </c>
      <c r="L128" t="inlineStr">
        <is>
          <t>17 Oktober 2026</t>
        </is>
      </c>
      <c r="M128" t="inlineStr">
        <is>
          <t>Konstruksi Bangunan Sipil Pengolahan Air Bersih, Konstruksi Gedung Lainnya, Konstruksi Gedung Pendidikan</t>
        </is>
      </c>
      <c r="N128" t="inlineStr">
        <is>
          <t>K</t>
        </is>
      </c>
      <c r="O128" t="inlineStr">
        <is>
          <t>20231011, 20231012</t>
        </is>
      </c>
      <c r="P128" t="inlineStr">
        <is>
          <t>Jawa Timur</t>
        </is>
      </c>
      <c r="Q128" t="inlineStr"/>
    </row>
    <row r="129">
      <c r="A129" t="inlineStr">
        <is>
          <t>PRIMA BANGKIT GEMILANG</t>
        </is>
      </c>
      <c r="B129" t="inlineStr">
        <is>
          <t>Kota Adm. Jakarta Selatan</t>
        </is>
      </c>
      <c r="C129" t="inlineStr">
        <is>
          <t>02122832757</t>
        </is>
      </c>
      <c r="D129" t="inlineStr">
        <is>
          <t>cv.primabangkitgemilang@gmail.com</t>
        </is>
      </c>
      <c r="E129" t="inlineStr">
        <is>
          <t>https://lpjk.pu.go.id/search-badan-usaha-detail/V0d3NEw2L3RHN0EwZk1SZU02ZEszUT09</t>
        </is>
      </c>
      <c r="F129" t="n">
        <v>6</v>
      </c>
      <c r="G129" t="inlineStr">
        <is>
          <t>BG001, BG002, BG005, BG006, BS001, BS004</t>
        </is>
      </c>
      <c r="H129" t="inlineStr">
        <is>
          <t>12 September 2012</t>
        </is>
      </c>
      <c r="I129" s="2" t="n">
        <v>46312</v>
      </c>
      <c r="J129" t="inlineStr">
        <is>
          <t>Disetujui</t>
        </is>
      </c>
      <c r="K129" t="n">
        <v>60</v>
      </c>
      <c r="L129" t="inlineStr">
        <is>
          <t>17 Oktober 2026</t>
        </is>
      </c>
      <c r="M129" t="inlineStr">
        <is>
          <t>Konstruksi Bangunan Sipil Jalan, Konstruksi Gedung Hunian, Konstruksi Gedung Kesehatan, Konstruksi Gedung Pendidikan, Konstruksi Gedung Perkantoran, Konstruksi Jaringan Irigasi dan Drainase</t>
        </is>
      </c>
      <c r="N129" t="inlineStr">
        <is>
          <t>K</t>
        </is>
      </c>
      <c r="O129" t="inlineStr">
        <is>
          <t>20231010</t>
        </is>
      </c>
      <c r="P129" t="inlineStr">
        <is>
          <t>DKI Jakarta</t>
        </is>
      </c>
      <c r="Q129" t="inlineStr"/>
    </row>
    <row r="130">
      <c r="A130" t="inlineStr">
        <is>
          <t>PUJA ANDALAS</t>
        </is>
      </c>
      <c r="B130" t="inlineStr">
        <is>
          <t>Kota Jambi</t>
        </is>
      </c>
      <c r="C130" t="inlineStr">
        <is>
          <t>085266061401</t>
        </is>
      </c>
      <c r="D130" t="inlineStr">
        <is>
          <t>cv.pujaandalas2021@gmail.com</t>
        </is>
      </c>
      <c r="E130" t="inlineStr">
        <is>
          <t>https://lpjk.pu.go.id/search-badan-usaha-detail/QUdJdWxKbEQzUjBIZ1JIaHZPa1gvdz09</t>
        </is>
      </c>
      <c r="F130" t="n">
        <v>1</v>
      </c>
      <c r="G130" t="inlineStr">
        <is>
          <t>BS007</t>
        </is>
      </c>
      <c r="H130" t="inlineStr">
        <is>
          <t>21 Oktober 2021</t>
        </is>
      </c>
      <c r="I130" s="2" t="n">
        <v>46312</v>
      </c>
      <c r="J130" t="inlineStr">
        <is>
          <t>Disetujui</t>
        </is>
      </c>
      <c r="K130" t="n">
        <v>60</v>
      </c>
      <c r="L130" t="inlineStr">
        <is>
          <t>17 Oktober 2026</t>
        </is>
      </c>
      <c r="M130" t="inlineStr">
        <is>
          <t>Konstruksi Bangunan Sipil Elektrikal</t>
        </is>
      </c>
      <c r="N130" t="inlineStr">
        <is>
          <t>K</t>
        </is>
      </c>
      <c r="O130" t="inlineStr">
        <is>
          <t>20231016</t>
        </is>
      </c>
      <c r="P130" t="inlineStr">
        <is>
          <t>Jambi</t>
        </is>
      </c>
      <c r="Q130" t="inlineStr"/>
    </row>
    <row r="131">
      <c r="A131" t="inlineStr">
        <is>
          <t>PUTRA AKSA MULYA</t>
        </is>
      </c>
      <c r="B131" t="inlineStr">
        <is>
          <t>Kab. Tuban</t>
        </is>
      </c>
      <c r="C131" t="inlineStr">
        <is>
          <t>081332741111</t>
        </is>
      </c>
      <c r="D131" t="inlineStr">
        <is>
          <t>putraaksamulya@gmail.com</t>
        </is>
      </c>
      <c r="E131" t="inlineStr">
        <is>
          <t>https://lpjk.pu.go.id/search-badan-usaha-detail/S3AydVA1NTRjQ3c2Z3RyaUV1Q0t0dz09</t>
        </is>
      </c>
      <c r="F131" t="n">
        <v>1</v>
      </c>
      <c r="G131" t="inlineStr">
        <is>
          <t>BG008</t>
        </is>
      </c>
      <c r="H131" t="inlineStr">
        <is>
          <t>16 September 2023</t>
        </is>
      </c>
      <c r="I131" s="2" t="n">
        <v>46312</v>
      </c>
      <c r="J131" t="inlineStr">
        <is>
          <t>Disetujui</t>
        </is>
      </c>
      <c r="K131" t="n">
        <v>60</v>
      </c>
      <c r="L131" t="inlineStr">
        <is>
          <t>17 Oktober 2026</t>
        </is>
      </c>
      <c r="M131" t="inlineStr">
        <is>
          <t>Konstruksi Gedung Tempat Hiburan dan Olahraga</t>
        </is>
      </c>
      <c r="N131" t="inlineStr">
        <is>
          <t>K</t>
        </is>
      </c>
      <c r="O131" t="inlineStr">
        <is>
          <t>20231017</t>
        </is>
      </c>
      <c r="P131" t="inlineStr">
        <is>
          <t>Jawa Timur</t>
        </is>
      </c>
      <c r="Q131" t="inlineStr"/>
    </row>
    <row r="132">
      <c r="A132" t="inlineStr">
        <is>
          <t>PUTRA TRI DATU</t>
        </is>
      </c>
      <c r="B132" t="inlineStr">
        <is>
          <t>Kab. Gianyar</t>
        </is>
      </c>
      <c r="C132" t="inlineStr">
        <is>
          <t>081337576373</t>
        </is>
      </c>
      <c r="D132" t="inlineStr">
        <is>
          <t>pt.ptd@yahoo.com</t>
        </is>
      </c>
      <c r="E132" t="inlineStr">
        <is>
          <t>https://lpjk.pu.go.id/search-badan-usaha-detail/RjZaeTlHM3VSdGN3WlY4U0dBNnNDdz09</t>
        </is>
      </c>
      <c r="F132" t="n">
        <v>1</v>
      </c>
      <c r="G132" t="inlineStr">
        <is>
          <t>BG009</t>
        </is>
      </c>
      <c r="H132" t="inlineStr">
        <is>
          <t>2 Januari 2020</t>
        </is>
      </c>
      <c r="I132" s="2" t="n">
        <v>46312</v>
      </c>
      <c r="J132" t="inlineStr">
        <is>
          <t>Disetujui</t>
        </is>
      </c>
      <c r="K132" t="n">
        <v>60</v>
      </c>
      <c r="L132" t="inlineStr">
        <is>
          <t>17 Oktober 2026</t>
        </is>
      </c>
      <c r="M132" t="inlineStr">
        <is>
          <t>Konstruksi Gedung Lainnya</t>
        </is>
      </c>
      <c r="N132" t="inlineStr">
        <is>
          <t>K</t>
        </is>
      </c>
      <c r="O132" t="inlineStr">
        <is>
          <t>20231016</t>
        </is>
      </c>
      <c r="P132" t="inlineStr">
        <is>
          <t>Bali</t>
        </is>
      </c>
      <c r="Q132" t="inlineStr"/>
    </row>
    <row r="133">
      <c r="A133" t="inlineStr">
        <is>
          <t>PUTRI KEDUA MANDIRI</t>
        </is>
      </c>
      <c r="B133" t="inlineStr">
        <is>
          <t>Kota Balikpapan</t>
        </is>
      </c>
      <c r="C133" t="inlineStr">
        <is>
          <t>081299429999</t>
        </is>
      </c>
      <c r="D133" t="inlineStr">
        <is>
          <t>putrikeduamandiri.cv@gmail.com</t>
        </is>
      </c>
      <c r="E133" t="inlineStr">
        <is>
          <t>https://lpjk.pu.go.id/search-badan-usaha-detail/WVl3WXJnSkk4QTJZVlRFS3NiZFB5QT09</t>
        </is>
      </c>
      <c r="F133" t="n">
        <v>2</v>
      </c>
      <c r="G133" t="inlineStr">
        <is>
          <t>BG005, BG006</t>
        </is>
      </c>
      <c r="H133" t="inlineStr">
        <is>
          <t>8 Agustus 2019</t>
        </is>
      </c>
      <c r="I133" s="2" t="n">
        <v>46312</v>
      </c>
      <c r="J133" t="inlineStr">
        <is>
          <t>Disetujui</t>
        </is>
      </c>
      <c r="K133" t="n">
        <v>60</v>
      </c>
      <c r="L133" t="inlineStr">
        <is>
          <t>17 Oktober 2026</t>
        </is>
      </c>
      <c r="M133" t="inlineStr">
        <is>
          <t>Konstruksi Gedung Kesehatan, Konstruksi Gedung Pendidikan</t>
        </is>
      </c>
      <c r="N133" t="inlineStr">
        <is>
          <t>K</t>
        </is>
      </c>
      <c r="O133" t="inlineStr">
        <is>
          <t>20231018</t>
        </is>
      </c>
      <c r="P133" t="inlineStr">
        <is>
          <t>Kalimantan Timur</t>
        </is>
      </c>
      <c r="Q133" t="inlineStr"/>
    </row>
    <row r="134">
      <c r="A134" t="inlineStr">
        <is>
          <t>QANITA DEWI</t>
        </is>
      </c>
      <c r="B134" t="inlineStr">
        <is>
          <t>Kab. Cirebon</t>
        </is>
      </c>
      <c r="C134" t="inlineStr">
        <is>
          <t>08112444542</t>
        </is>
      </c>
      <c r="D134" t="inlineStr">
        <is>
          <t>qanitadewi3@gmail.com</t>
        </is>
      </c>
      <c r="E134" t="inlineStr">
        <is>
          <t>https://lpjk.pu.go.id/search-badan-usaha-detail/K2FBdkxaQk9uTHh1TDlqTW9COGkydz09</t>
        </is>
      </c>
      <c r="F134" t="n">
        <v>1</v>
      </c>
      <c r="G134" t="inlineStr">
        <is>
          <t>BS005</t>
        </is>
      </c>
      <c r="H134" t="inlineStr">
        <is>
          <t>10 Januari 2015</t>
        </is>
      </c>
      <c r="I134" s="2" t="n">
        <v>46312</v>
      </c>
      <c r="J134" t="inlineStr">
        <is>
          <t>Disetujui</t>
        </is>
      </c>
      <c r="K134" t="n">
        <v>60</v>
      </c>
      <c r="L134" t="inlineStr">
        <is>
          <t>17 Oktober 2026</t>
        </is>
      </c>
      <c r="M134" t="inlineStr">
        <is>
          <t>Konstruksi Bangunan Sipil Pengolahan Air Bersih</t>
        </is>
      </c>
      <c r="N134" t="inlineStr">
        <is>
          <t>K</t>
        </is>
      </c>
      <c r="O134" t="inlineStr">
        <is>
          <t>20231015</t>
        </is>
      </c>
      <c r="P134" t="inlineStr">
        <is>
          <t>Jawa Barat</t>
        </is>
      </c>
      <c r="Q134" t="inlineStr"/>
    </row>
    <row r="135">
      <c r="A135" t="inlineStr">
        <is>
          <t>RADEN SRIWIJAYA SUKSES</t>
        </is>
      </c>
      <c r="B135" t="inlineStr">
        <is>
          <t>Kota Palembang</t>
        </is>
      </c>
      <c r="C135" t="inlineStr">
        <is>
          <t>-</t>
        </is>
      </c>
      <c r="D135" t="inlineStr">
        <is>
          <t>cv.radensriwijayasukses@gmail.com</t>
        </is>
      </c>
      <c r="E135" t="inlineStr">
        <is>
          <t>https://lpjk.pu.go.id/search-badan-usaha-detail/ZWVaN3V2TWtXWmJDSnZlUGZkVFdIZz09</t>
        </is>
      </c>
      <c r="F135" t="n">
        <v>2</v>
      </c>
      <c r="G135" t="inlineStr">
        <is>
          <t>BS001, BS004</t>
        </is>
      </c>
      <c r="H135" t="inlineStr">
        <is>
          <t>21 Mei 2021</t>
        </is>
      </c>
      <c r="I135" s="2" t="n">
        <v>46312</v>
      </c>
      <c r="J135" t="inlineStr">
        <is>
          <t>Disetujui</t>
        </is>
      </c>
      <c r="K135" t="n">
        <v>60</v>
      </c>
      <c r="L135" t="inlineStr">
        <is>
          <t>17 Oktober 2026</t>
        </is>
      </c>
      <c r="M135" t="inlineStr">
        <is>
          <t>Konstruksi Bangunan Sipil Jalan, Konstruksi Jaringan Irigasi dan Drainase</t>
        </is>
      </c>
      <c r="N135" t="inlineStr">
        <is>
          <t>K</t>
        </is>
      </c>
      <c r="O135" t="inlineStr">
        <is>
          <t>20231012</t>
        </is>
      </c>
      <c r="P135" t="inlineStr">
        <is>
          <t>Sumatera Selatan</t>
        </is>
      </c>
      <c r="Q135" t="inlineStr"/>
    </row>
    <row r="136">
      <c r="A136" t="inlineStr">
        <is>
          <t>RADJASA</t>
        </is>
      </c>
      <c r="B136" t="inlineStr">
        <is>
          <t>Kab. Lampung Selatan</t>
        </is>
      </c>
      <c r="C136" t="inlineStr">
        <is>
          <t>-</t>
        </is>
      </c>
      <c r="D136" t="inlineStr">
        <is>
          <t>cv.radjasa@gmail.com</t>
        </is>
      </c>
      <c r="E136" t="inlineStr">
        <is>
          <t>https://lpjk.pu.go.id/search-badan-usaha-detail/cmRvUzBRNGY2MzZHazQ1VmN6b2hPdz09</t>
        </is>
      </c>
      <c r="F136" t="n">
        <v>2</v>
      </c>
      <c r="G136" t="inlineStr">
        <is>
          <t>BG002</t>
        </is>
      </c>
      <c r="H136" t="inlineStr">
        <is>
          <t>26 Mei 2023</t>
        </is>
      </c>
      <c r="I136" s="2" t="n">
        <v>46312</v>
      </c>
      <c r="J136" t="inlineStr">
        <is>
          <t>Disetujui</t>
        </is>
      </c>
      <c r="K136" t="n">
        <v>60</v>
      </c>
      <c r="L136" t="inlineStr">
        <is>
          <t>17 Oktober 2026</t>
        </is>
      </c>
      <c r="M136" t="inlineStr">
        <is>
          <t>Konstruksi Gedung Perkantoran</t>
        </is>
      </c>
      <c r="N136" t="inlineStr">
        <is>
          <t>K</t>
        </is>
      </c>
      <c r="O136" t="inlineStr">
        <is>
          <t>20231016</t>
        </is>
      </c>
      <c r="P136" t="inlineStr">
        <is>
          <t>Lampung</t>
        </is>
      </c>
      <c r="Q136" t="inlineStr"/>
    </row>
    <row r="137">
      <c r="A137" t="inlineStr">
        <is>
          <t>RAJAWALI MITRA KONSULTAN</t>
        </is>
      </c>
      <c r="B137" t="inlineStr">
        <is>
          <t>Kota Jambi</t>
        </is>
      </c>
      <c r="C137" t="inlineStr">
        <is>
          <t>085267025526</t>
        </is>
      </c>
      <c r="D137" t="inlineStr">
        <is>
          <t>cv.rajawalimitrakonsultan@gmail.com</t>
        </is>
      </c>
      <c r="E137" t="inlineStr">
        <is>
          <t>https://lpjk.pu.go.id/search-badan-usaha-detail/UVF2T2d2cXo3V1lvN1dmR2J2cmg2UT09</t>
        </is>
      </c>
      <c r="F137" t="n">
        <v>6</v>
      </c>
      <c r="G137" t="inlineStr">
        <is>
          <t>RK001, RK002, RK003</t>
        </is>
      </c>
      <c r="H137" t="inlineStr">
        <is>
          <t>20 Februari 2020</t>
        </is>
      </c>
      <c r="I137" s="2" t="n">
        <v>46312</v>
      </c>
      <c r="J137" t="inlineStr">
        <is>
          <t>Disetujui</t>
        </is>
      </c>
      <c r="K137" t="n">
        <v>60</v>
      </c>
      <c r="L137" t="inlineStr">
        <is>
          <t>17 Oktober 2026</t>
        </is>
      </c>
      <c r="M137" t="inlineStr">
        <is>
          <t>Jasa Rekayasa Konstruksi Bangunan Gedung Hunian dan Non Hunian, Jasa Rekayasa Pekerjaan Teknik Sipil Sumber Daya Air, Jasa Rekayasa Pekerjaan Teknik Sipil Transportasi</t>
        </is>
      </c>
      <c r="N137" t="inlineStr">
        <is>
          <t>K</t>
        </is>
      </c>
      <c r="O137" t="inlineStr">
        <is>
          <t>20230928, 20230929</t>
        </is>
      </c>
      <c r="P137" t="inlineStr">
        <is>
          <t>Jambi</t>
        </is>
      </c>
      <c r="Q137" t="inlineStr"/>
    </row>
    <row r="138">
      <c r="A138" t="inlineStr">
        <is>
          <t>RAPIMIX</t>
        </is>
      </c>
      <c r="B138" t="inlineStr">
        <is>
          <t>Kota Medan</t>
        </is>
      </c>
      <c r="C138" t="inlineStr">
        <is>
          <t>081311335858</t>
        </is>
      </c>
      <c r="D138" t="inlineStr">
        <is>
          <t>cvrapimix32@gmail.com</t>
        </is>
      </c>
      <c r="E138" t="inlineStr">
        <is>
          <t>https://lpjk.pu.go.id/search-badan-usaha-detail/RDVoRVEyTHlDUHJXelpTd2NBQzllaU51VmVvc2hHV0tqMHdtaUxoQ2J5dz0</t>
        </is>
      </c>
      <c r="F138" t="n">
        <v>2</v>
      </c>
      <c r="G138" t="inlineStr">
        <is>
          <t>BS001, BS002</t>
        </is>
      </c>
      <c r="H138" t="inlineStr">
        <is>
          <t>19 Januari 2026</t>
        </is>
      </c>
      <c r="I138" s="2" t="n">
        <v>46312</v>
      </c>
      <c r="J138" t="inlineStr">
        <is>
          <t>Disetujui</t>
        </is>
      </c>
      <c r="K138" t="n">
        <v>60</v>
      </c>
      <c r="L138" t="inlineStr">
        <is>
          <t>17 Oktober 2026</t>
        </is>
      </c>
      <c r="M138" t="inlineStr">
        <is>
          <t>Bangunan Sipil Jembatan, Jalan Layang, Fly Over, dan Underpass, Konstruksi Bangunan Sipil Jalan</t>
        </is>
      </c>
      <c r="N138" t="inlineStr">
        <is>
          <t>K</t>
        </is>
      </c>
      <c r="O138" t="inlineStr">
        <is>
          <t>20231012</t>
        </is>
      </c>
      <c r="P138" t="inlineStr">
        <is>
          <t>Sumatera Utara</t>
        </is>
      </c>
      <c r="Q138" t="inlineStr"/>
    </row>
    <row r="139">
      <c r="A139" t="inlineStr">
        <is>
          <t>RAYHAN PUTRA PERDANA</t>
        </is>
      </c>
      <c r="B139" t="inlineStr">
        <is>
          <t>Kota Bandar Lampung</t>
        </is>
      </c>
      <c r="C139" t="inlineStr">
        <is>
          <t>081379243166</t>
        </is>
      </c>
      <c r="D139" t="inlineStr">
        <is>
          <t>rayhanputraperdana.pt@yahoo.com</t>
        </is>
      </c>
      <c r="E139" t="inlineStr">
        <is>
          <t>https://lpjk.pu.go.id/search-badan-usaha-detail/djcvaTcwdlBGTkEvRXZTWVN4SHdoZz09</t>
        </is>
      </c>
      <c r="F139" t="n">
        <v>2</v>
      </c>
      <c r="G139" t="inlineStr">
        <is>
          <t>BS004, BS010</t>
        </is>
      </c>
      <c r="H139" t="inlineStr">
        <is>
          <t>30 Januari 1990</t>
        </is>
      </c>
      <c r="I139" s="2" t="n">
        <v>46312</v>
      </c>
      <c r="J139" t="inlineStr">
        <is>
          <t>Disetujui</t>
        </is>
      </c>
      <c r="K139" t="n">
        <v>60</v>
      </c>
      <c r="L139" t="inlineStr">
        <is>
          <t>17 Oktober 2026</t>
        </is>
      </c>
      <c r="M139" t="inlineStr">
        <is>
          <t>Konstruksi Bangunan Prasarana Sumber Daya Air, Konstruksi Jaringan Irigasi dan Drainase</t>
        </is>
      </c>
      <c r="N139" t="inlineStr">
        <is>
          <t>M</t>
        </is>
      </c>
      <c r="O139" t="inlineStr">
        <is>
          <t>20231006</t>
        </is>
      </c>
      <c r="P139" t="inlineStr">
        <is>
          <t>Lampung</t>
        </is>
      </c>
      <c r="Q139" t="inlineStr"/>
    </row>
    <row r="140">
      <c r="A140" t="inlineStr">
        <is>
          <t>SADA BORNAS</t>
        </is>
      </c>
      <c r="B140" t="inlineStr">
        <is>
          <t>Kab. Deli Serdang</t>
        </is>
      </c>
      <c r="C140" t="inlineStr">
        <is>
          <t>081375966435</t>
        </is>
      </c>
      <c r="D140" t="inlineStr">
        <is>
          <t>sada.bornas12@gmail.com</t>
        </is>
      </c>
      <c r="E140" t="inlineStr">
        <is>
          <t>https://lpjk.pu.go.id/search-badan-usaha-detail/TFBEYVRuTTBHRXVxbGpWcDhGdGF4UT09</t>
        </is>
      </c>
      <c r="F140" t="n">
        <v>5</v>
      </c>
      <c r="G140" t="inlineStr">
        <is>
          <t>BS004, BS006</t>
        </is>
      </c>
      <c r="H140" t="inlineStr">
        <is>
          <t>15 Januari 2024</t>
        </is>
      </c>
      <c r="I140" s="2" t="n">
        <v>46312</v>
      </c>
      <c r="J140" t="inlineStr">
        <is>
          <t>Disetujui</t>
        </is>
      </c>
      <c r="K140" t="n">
        <v>60</v>
      </c>
      <c r="L140" t="inlineStr">
        <is>
          <t>17 Oktober 2026</t>
        </is>
      </c>
      <c r="M140" t="inlineStr">
        <is>
          <t>Konstruksi Bangunan Sipil Prasarana dan Sarana Sistem Pengolahan Limbah Padat, Cair, dan Gas, Konstruksi Jaringan Irigasi dan Drainase</t>
        </is>
      </c>
      <c r="N140" t="inlineStr">
        <is>
          <t>K</t>
        </is>
      </c>
      <c r="O140" t="inlineStr">
        <is>
          <t>20231003, 20231005</t>
        </is>
      </c>
      <c r="P140" t="inlineStr">
        <is>
          <t>Sumatera Utara</t>
        </is>
      </c>
      <c r="Q140" t="inlineStr"/>
    </row>
    <row r="141">
      <c r="A141" t="inlineStr">
        <is>
          <t>SAGITA ANDAL UTAMA</t>
        </is>
      </c>
      <c r="B141" t="inlineStr">
        <is>
          <t>Kab. Cirebon</t>
        </is>
      </c>
      <c r="C141" t="inlineStr">
        <is>
          <t>081223069993</t>
        </is>
      </c>
      <c r="D141" t="inlineStr">
        <is>
          <t>sagitaandalutama@yahoo.co.id</t>
        </is>
      </c>
      <c r="E141" t="inlineStr">
        <is>
          <t>https://lpjk.pu.go.id/search-badan-usaha-detail/OTFhaUd5WUxxeS9LeVJGdktqWmhjQT09</t>
        </is>
      </c>
      <c r="F141" t="n">
        <v>2</v>
      </c>
      <c r="G141" t="inlineStr">
        <is>
          <t>BG009, BS001</t>
        </is>
      </c>
      <c r="H141" t="inlineStr">
        <is>
          <t>23 Oktober 2002</t>
        </is>
      </c>
      <c r="I141" s="2" t="n">
        <v>46312</v>
      </c>
      <c r="J141" t="inlineStr">
        <is>
          <t>Disetujui</t>
        </is>
      </c>
      <c r="K141" t="n">
        <v>60</v>
      </c>
      <c r="L141" t="inlineStr">
        <is>
          <t>17 Oktober 2026</t>
        </is>
      </c>
      <c r="M141" t="inlineStr">
        <is>
          <t>Konstruksi Bangunan Sipil Jalan, Konstruksi Gedung Lainnya</t>
        </is>
      </c>
      <c r="N141" t="inlineStr">
        <is>
          <t>K</t>
        </is>
      </c>
      <c r="O141" t="inlineStr">
        <is>
          <t>20231017</t>
        </is>
      </c>
      <c r="P141" t="inlineStr">
        <is>
          <t>Jawa Barat</t>
        </is>
      </c>
      <c r="Q141" t="inlineStr"/>
    </row>
    <row r="142">
      <c r="A142" t="inlineStr">
        <is>
          <t>SAKANEERING</t>
        </is>
      </c>
      <c r="B142" t="inlineStr">
        <is>
          <t>Kota Makassar</t>
        </is>
      </c>
      <c r="C142" t="inlineStr">
        <is>
          <t>08114604278</t>
        </is>
      </c>
      <c r="D142" t="inlineStr">
        <is>
          <t>sakaneering48@gmail.com</t>
        </is>
      </c>
      <c r="E142" t="inlineStr">
        <is>
          <t>https://lpjk.pu.go.id/search-badan-usaha-detail/TFhoYVoyTTJFYUNVWFJYR2M2bUxRUT09</t>
        </is>
      </c>
      <c r="F142" t="n">
        <v>5</v>
      </c>
      <c r="G142" t="inlineStr">
        <is>
          <t>BG002, BG005, BG006, BG008, BG009</t>
        </is>
      </c>
      <c r="H142" t="inlineStr">
        <is>
          <t>14 Juni 2019</t>
        </is>
      </c>
      <c r="I142" s="2" t="n">
        <v>46312</v>
      </c>
      <c r="J142" t="inlineStr">
        <is>
          <t>Disetujui</t>
        </is>
      </c>
      <c r="K142" t="n">
        <v>60</v>
      </c>
      <c r="L142" t="inlineStr">
        <is>
          <t>17 Oktober 2026</t>
        </is>
      </c>
      <c r="M142" t="inlineStr">
        <is>
          <t>Konstruksi Gedung Kesehatan, Konstruksi Gedung Lainnya, Konstruksi Gedung Pendidikan, Konstruksi Gedung Perkantoran, Konstruksi Gedung Tempat Hiburan dan Olahraga</t>
        </is>
      </c>
      <c r="N142" t="inlineStr">
        <is>
          <t>K</t>
        </is>
      </c>
      <c r="O142" t="inlineStr">
        <is>
          <t>20230518, 20230519, 20231012</t>
        </is>
      </c>
      <c r="P142" t="inlineStr">
        <is>
          <t>Sulawesi Selatan</t>
        </is>
      </c>
      <c r="Q142" t="inlineStr"/>
    </row>
    <row r="143">
      <c r="A143" t="inlineStr">
        <is>
          <t>SARANA BAJA PERKASA</t>
        </is>
      </c>
      <c r="B143" t="inlineStr">
        <is>
          <t>Kota Medan</t>
        </is>
      </c>
      <c r="C143" t="inlineStr">
        <is>
          <t>82362689147</t>
        </is>
      </c>
      <c r="D143" t="inlineStr">
        <is>
          <t>rina@sbpmdn.com</t>
        </is>
      </c>
      <c r="E143" t="inlineStr">
        <is>
          <t>https://lpjk.pu.go.id/search-badan-usaha-detail/Qmx0enZybFJrVVVYTFlhY3FnV0J3UT09</t>
        </is>
      </c>
      <c r="F143" t="n">
        <v>1</v>
      </c>
      <c r="G143" t="inlineStr">
        <is>
          <t>PL003</t>
        </is>
      </c>
      <c r="H143" t="inlineStr">
        <is>
          <t>31 Mei 1994</t>
        </is>
      </c>
      <c r="I143" s="2" t="n">
        <v>46312</v>
      </c>
      <c r="J143" t="inlineStr">
        <is>
          <t>Pembekuan</t>
        </is>
      </c>
      <c r="K143" t="n">
        <v>60</v>
      </c>
      <c r="L143" t="inlineStr">
        <is>
          <t>17 Oktober 2026</t>
        </is>
      </c>
      <c r="M143" t="inlineStr">
        <is>
          <t>Penyiapan Lahan Konstruksi</t>
        </is>
      </c>
      <c r="N143" t="inlineStr">
        <is>
          <t>Spesialis</t>
        </is>
      </c>
      <c r="O143" t="inlineStr">
        <is>
          <t>20231013</t>
        </is>
      </c>
      <c r="P143" t="inlineStr">
        <is>
          <t>Sumatera Utara</t>
        </is>
      </c>
      <c r="Q143" t="inlineStr"/>
    </row>
    <row r="144">
      <c r="A144" t="inlineStr">
        <is>
          <t>SARANA PERKASA</t>
        </is>
      </c>
      <c r="B144" t="inlineStr">
        <is>
          <t>Kota Palembang</t>
        </is>
      </c>
      <c r="C144" t="inlineStr">
        <is>
          <t>082179008791</t>
        </is>
      </c>
      <c r="D144" t="inlineStr">
        <is>
          <t>suharyantoo1009@gmail.com</t>
        </is>
      </c>
      <c r="E144" t="inlineStr">
        <is>
          <t>https://lpjk.pu.go.id/search-badan-usaha-detail/UU5Tb1lCcGZxUGljWGpxN1BWaks0dz09</t>
        </is>
      </c>
      <c r="F144" t="n">
        <v>1</v>
      </c>
      <c r="G144" t="inlineStr">
        <is>
          <t>BS001</t>
        </is>
      </c>
      <c r="H144" t="inlineStr">
        <is>
          <t>9 September 2005</t>
        </is>
      </c>
      <c r="I144" s="2" t="n">
        <v>46312</v>
      </c>
      <c r="J144" t="inlineStr">
        <is>
          <t>Disetujui</t>
        </is>
      </c>
      <c r="K144" t="n">
        <v>60</v>
      </c>
      <c r="L144" t="inlineStr">
        <is>
          <t>17 Oktober 2026</t>
        </is>
      </c>
      <c r="M144" t="inlineStr">
        <is>
          <t>Konstruksi Bangunan Sipil Jalan</t>
        </is>
      </c>
      <c r="N144" t="inlineStr">
        <is>
          <t>K</t>
        </is>
      </c>
      <c r="O144" t="inlineStr">
        <is>
          <t>20231013</t>
        </is>
      </c>
      <c r="P144" t="inlineStr">
        <is>
          <t>Sumatera Selatan</t>
        </is>
      </c>
      <c r="Q144" t="inlineStr"/>
    </row>
    <row r="145">
      <c r="A145" t="inlineStr">
        <is>
          <t>SATRIA PRATAMA PERKASA</t>
        </is>
      </c>
      <c r="B145" t="inlineStr">
        <is>
          <t>Kab. Musi Rawas</t>
        </is>
      </c>
      <c r="C145" t="inlineStr">
        <is>
          <t>082179479823</t>
        </is>
      </c>
      <c r="D145" t="inlineStr">
        <is>
          <t>cv.satriapratamaperkasa@yahoo.com</t>
        </is>
      </c>
      <c r="E145" t="inlineStr">
        <is>
          <t>https://lpjk.pu.go.id/search-badan-usaha-detail/S045bmJyWWVERTJlVlZPdCtNOFNEdz09</t>
        </is>
      </c>
      <c r="F145" t="n">
        <v>1</v>
      </c>
      <c r="G145" t="inlineStr">
        <is>
          <t>BG009</t>
        </is>
      </c>
      <c r="H145" t="inlineStr">
        <is>
          <t>28 Agustus 2023</t>
        </is>
      </c>
      <c r="I145" s="2" t="n">
        <v>46312</v>
      </c>
      <c r="J145" t="inlineStr">
        <is>
          <t>Disetujui</t>
        </is>
      </c>
      <c r="K145" t="n">
        <v>60</v>
      </c>
      <c r="L145" t="inlineStr">
        <is>
          <t>17 Oktober 2026</t>
        </is>
      </c>
      <c r="M145" t="inlineStr">
        <is>
          <t>Konstruksi Gedung Lainnya</t>
        </is>
      </c>
      <c r="N145" t="inlineStr">
        <is>
          <t>K</t>
        </is>
      </c>
      <c r="O145" t="inlineStr">
        <is>
          <t>20231017</t>
        </is>
      </c>
      <c r="P145" t="inlineStr">
        <is>
          <t>Sumatera Selatan</t>
        </is>
      </c>
      <c r="Q145" t="inlineStr"/>
    </row>
    <row r="146">
      <c r="A146" t="inlineStr">
        <is>
          <t>SEBELAS MEI</t>
        </is>
      </c>
      <c r="B146" t="inlineStr">
        <is>
          <t>Kab. Demak</t>
        </is>
      </c>
      <c r="C146" t="inlineStr">
        <is>
          <t>082221045326</t>
        </is>
      </c>
      <c r="D146" t="inlineStr">
        <is>
          <t>cv.sebelasmei@yahoo.com</t>
        </is>
      </c>
      <c r="E146" t="inlineStr">
        <is>
          <t>https://lpjk.pu.go.id/search-badan-usaha-detail/Vkxwc1NWQzhYTGFoZHRYM1F5cXlvZz09</t>
        </is>
      </c>
      <c r="F146" t="n">
        <v>1</v>
      </c>
      <c r="G146" t="inlineStr">
        <is>
          <t>BG009</t>
        </is>
      </c>
      <c r="H146" t="inlineStr">
        <is>
          <t>19 Agustus 2013</t>
        </is>
      </c>
      <c r="I146" s="2" t="n">
        <v>46312</v>
      </c>
      <c r="J146" t="inlineStr">
        <is>
          <t>Disetujui</t>
        </is>
      </c>
      <c r="K146" t="n">
        <v>60</v>
      </c>
      <c r="L146" t="inlineStr">
        <is>
          <t>17 Oktober 2026</t>
        </is>
      </c>
      <c r="M146" t="inlineStr">
        <is>
          <t>Konstruksi Gedung Lainnya</t>
        </is>
      </c>
      <c r="N146" t="inlineStr">
        <is>
          <t>K</t>
        </is>
      </c>
      <c r="O146" t="inlineStr">
        <is>
          <t>20231016</t>
        </is>
      </c>
      <c r="P146" t="inlineStr">
        <is>
          <t>Jawa Tengah</t>
        </is>
      </c>
      <c r="Q146" t="inlineStr"/>
    </row>
    <row r="147">
      <c r="A147" t="inlineStr">
        <is>
          <t>SEKAR JAGAD INDO RAYA</t>
        </is>
      </c>
      <c r="B147" t="inlineStr">
        <is>
          <t>Kab. Kudus</t>
        </is>
      </c>
      <c r="C147" t="inlineStr">
        <is>
          <t>081227454343</t>
        </is>
      </c>
      <c r="D147" t="inlineStr">
        <is>
          <t>sekarjagadindorayacv@gmail.com</t>
        </is>
      </c>
      <c r="E147" t="inlineStr">
        <is>
          <t>https://lpjk.pu.go.id/search-badan-usaha-detail/d1U5elliZElua0hkaDF4QTJUYUQ2dz09</t>
        </is>
      </c>
      <c r="F147" t="n">
        <v>10</v>
      </c>
      <c r="G147" t="inlineStr">
        <is>
          <t>BG001, BG002, BG005, BG006, BG009</t>
        </is>
      </c>
      <c r="H147" t="inlineStr">
        <is>
          <t>15 Februari 2023</t>
        </is>
      </c>
      <c r="I147" s="2" t="n">
        <v>46312</v>
      </c>
      <c r="J147" t="inlineStr">
        <is>
          <t>Disetujui</t>
        </is>
      </c>
      <c r="K147" t="n">
        <v>60</v>
      </c>
      <c r="L147" t="inlineStr">
        <is>
          <t>17 Oktober 2026</t>
        </is>
      </c>
      <c r="M147" t="inlineStr">
        <is>
          <t>Konstruksi Gedung Hunian, Konstruksi Gedung Kesehatan, Konstruksi Gedung Lainnya, Konstruksi Gedung Pendidikan, Konstruksi Gedung Perkantoran</t>
        </is>
      </c>
      <c r="N147" t="inlineStr">
        <is>
          <t>K</t>
        </is>
      </c>
      <c r="O147" t="inlineStr">
        <is>
          <t>20231016</t>
        </is>
      </c>
      <c r="P147" t="inlineStr">
        <is>
          <t>Jawa Tengah</t>
        </is>
      </c>
      <c r="Q147" t="inlineStr"/>
    </row>
    <row r="148">
      <c r="A148" t="inlineStr">
        <is>
          <t>SELAMAT KARYA BERSAMA</t>
        </is>
      </c>
      <c r="B148" t="inlineStr">
        <is>
          <t>Kab. Kutai Timur</t>
        </is>
      </c>
      <c r="C148" t="inlineStr">
        <is>
          <t>082148347685</t>
        </is>
      </c>
      <c r="D148" t="inlineStr">
        <is>
          <t>cv.selamatkaryabersama@gmail.com</t>
        </is>
      </c>
      <c r="E148" t="inlineStr">
        <is>
          <t>https://lpjk.pu.go.id/search-badan-usaha-detail/Y3kzem9zUXJvUkxWS1oxaUQ3MUFKUT09</t>
        </is>
      </c>
      <c r="F148" t="n">
        <v>1</v>
      </c>
      <c r="G148" t="inlineStr">
        <is>
          <t>BS001</t>
        </is>
      </c>
      <c r="H148" t="inlineStr">
        <is>
          <t>24 Juli 2023</t>
        </is>
      </c>
      <c r="I148" s="2" t="n">
        <v>46312</v>
      </c>
      <c r="J148" t="inlineStr">
        <is>
          <t>Disetujui</t>
        </is>
      </c>
      <c r="K148" t="n">
        <v>60</v>
      </c>
      <c r="L148" t="inlineStr">
        <is>
          <t>17 Oktober 2026</t>
        </is>
      </c>
      <c r="M148" t="inlineStr">
        <is>
          <t>Konstruksi Bangunan Sipil Jalan</t>
        </is>
      </c>
      <c r="N148" t="inlineStr">
        <is>
          <t>K</t>
        </is>
      </c>
      <c r="O148" t="inlineStr">
        <is>
          <t>20231016</t>
        </is>
      </c>
      <c r="P148" t="inlineStr">
        <is>
          <t>Kalimantan Timur</t>
        </is>
      </c>
      <c r="Q148" t="inlineStr"/>
    </row>
    <row r="149">
      <c r="A149" t="inlineStr">
        <is>
          <t>SENTOSA LAJU SEJAHTERA</t>
        </is>
      </c>
      <c r="B149" t="inlineStr">
        <is>
          <t>Kab. Sidoarjo</t>
        </is>
      </c>
      <c r="C149" t="inlineStr">
        <is>
          <t>0317879848</t>
        </is>
      </c>
      <c r="D149" t="inlineStr">
        <is>
          <t>sentosalajusejahterapt@gmail.com</t>
        </is>
      </c>
      <c r="E149" t="inlineStr">
        <is>
          <t>https://lpjk.pu.go.id/search-badan-usaha-detail/Y2E5Lzg5OEEvZVdYMzU5cDdmakpndz09</t>
        </is>
      </c>
      <c r="F149" t="n">
        <v>1</v>
      </c>
      <c r="G149" t="inlineStr">
        <is>
          <t>PA001</t>
        </is>
      </c>
      <c r="H149" t="inlineStr">
        <is>
          <t>24 Juli 2023</t>
        </is>
      </c>
      <c r="I149" s="2" t="n">
        <v>46312</v>
      </c>
      <c r="J149" t="inlineStr">
        <is>
          <t>Pembekuan</t>
        </is>
      </c>
      <c r="K149" t="n">
        <v>60</v>
      </c>
      <c r="L149" t="inlineStr">
        <is>
          <t>17 Oktober 2026</t>
        </is>
      </c>
      <c r="M149" t="inlineStr">
        <is>
          <t>Penyewaan Peralatan Konstruksi</t>
        </is>
      </c>
      <c r="N149" t="inlineStr">
        <is>
          <t>Spesialis</t>
        </is>
      </c>
      <c r="O149" t="inlineStr">
        <is>
          <t>20231017</t>
        </is>
      </c>
      <c r="P149" t="inlineStr">
        <is>
          <t>Jawa Timur</t>
        </is>
      </c>
      <c r="Q149" t="inlineStr"/>
    </row>
    <row r="150">
      <c r="A150" t="inlineStr">
        <is>
          <t>SINAR ABADI MANDIRI</t>
        </is>
      </c>
      <c r="B150" t="inlineStr">
        <is>
          <t>Kota Bandung</t>
        </is>
      </c>
      <c r="C150" t="inlineStr">
        <is>
          <t>022</t>
        </is>
      </c>
      <c r="D150" t="inlineStr">
        <is>
          <t>sinarabadimandiri0@gmail.com</t>
        </is>
      </c>
      <c r="E150" t="inlineStr">
        <is>
          <t>https://lpjk.pu.go.id/search-badan-usaha-detail/a3RjeUtDSTRPYTZzZlNPL3J0L2lFQT09</t>
        </is>
      </c>
      <c r="F150" t="n">
        <v>1</v>
      </c>
      <c r="G150" t="inlineStr">
        <is>
          <t>BG001</t>
        </is>
      </c>
      <c r="H150" t="inlineStr">
        <is>
          <t>28 Januari 2020</t>
        </is>
      </c>
      <c r="I150" s="2" t="n">
        <v>46312</v>
      </c>
      <c r="J150" t="inlineStr">
        <is>
          <t>Disetujui</t>
        </is>
      </c>
      <c r="K150" t="n">
        <v>60</v>
      </c>
      <c r="L150" t="inlineStr">
        <is>
          <t>17 Oktober 2026</t>
        </is>
      </c>
      <c r="M150" t="inlineStr">
        <is>
          <t>Konstruksi Gedung Hunian</t>
        </is>
      </c>
      <c r="N150" t="inlineStr">
        <is>
          <t>K</t>
        </is>
      </c>
      <c r="O150" t="inlineStr">
        <is>
          <t>20231016</t>
        </is>
      </c>
      <c r="P150" t="inlineStr">
        <is>
          <t>Jawa Barat</t>
        </is>
      </c>
      <c r="Q150" t="inlineStr"/>
    </row>
    <row r="151">
      <c r="A151" t="inlineStr">
        <is>
          <t>SINAR MENTARI</t>
        </is>
      </c>
      <c r="B151" t="inlineStr">
        <is>
          <t>Kota Bandung</t>
        </is>
      </c>
      <c r="C151" t="inlineStr">
        <is>
          <t>08122059695</t>
        </is>
      </c>
      <c r="D151" t="inlineStr">
        <is>
          <t>mentaricvsinar@gmail.com</t>
        </is>
      </c>
      <c r="E151" t="inlineStr">
        <is>
          <t>https://lpjk.pu.go.id/search-badan-usaha-detail/dE9PdzEyYlptVEFXblNhR01xakZ5UT09</t>
        </is>
      </c>
      <c r="F151" t="n">
        <v>1</v>
      </c>
      <c r="G151" t="inlineStr">
        <is>
          <t>BG006</t>
        </is>
      </c>
      <c r="H151" t="inlineStr">
        <is>
          <t>24 Januari 2023</t>
        </is>
      </c>
      <c r="I151" s="2" t="n">
        <v>46312</v>
      </c>
      <c r="J151" t="inlineStr">
        <is>
          <t>Disetujui</t>
        </is>
      </c>
      <c r="K151" t="n">
        <v>60</v>
      </c>
      <c r="L151" t="inlineStr">
        <is>
          <t>17 Oktober 2026</t>
        </is>
      </c>
      <c r="M151" t="inlineStr">
        <is>
          <t>Konstruksi Gedung Pendidikan</t>
        </is>
      </c>
      <c r="N151" t="inlineStr">
        <is>
          <t>K</t>
        </is>
      </c>
      <c r="O151" t="inlineStr">
        <is>
          <t>20231017</t>
        </is>
      </c>
      <c r="P151" t="inlineStr">
        <is>
          <t>Jawa Barat</t>
        </is>
      </c>
      <c r="Q151" t="inlineStr"/>
    </row>
    <row r="152">
      <c r="A152" t="inlineStr">
        <is>
          <t>SINDO WAHANA</t>
        </is>
      </c>
      <c r="B152" t="inlineStr">
        <is>
          <t>Kota Adm. Jakarta Barat</t>
        </is>
      </c>
      <c r="C152" t="inlineStr">
        <is>
          <t>0216926636</t>
        </is>
      </c>
      <c r="D152" t="inlineStr">
        <is>
          <t>sindowahana72@gmail.com</t>
        </is>
      </c>
      <c r="E152" t="inlineStr">
        <is>
          <t>https://lpjk.pu.go.id/search-badan-usaha-detail/WUttT3o0ZE1GQmRoUkZSdWdKQURqdz09</t>
        </is>
      </c>
      <c r="F152" t="n">
        <v>6</v>
      </c>
      <c r="G152" t="inlineStr">
        <is>
          <t>BG002, BG005, BG006, BG009, IN001, IN007</t>
        </is>
      </c>
      <c r="H152" t="inlineStr">
        <is>
          <t>3 Maret 1992</t>
        </is>
      </c>
      <c r="I152" s="2" t="n">
        <v>46312</v>
      </c>
      <c r="J152" t="inlineStr">
        <is>
          <t>Disetujui, Pembekuan, Pencabutan</t>
        </is>
      </c>
      <c r="K152" t="n">
        <v>60</v>
      </c>
      <c r="L152" t="inlineStr">
        <is>
          <t>17 Oktober 2026</t>
        </is>
      </c>
      <c r="M152" t="inlineStr">
        <is>
          <t>Instalasi Mekanikal, Instalasi Saluran Air (Plambing), Konstruksi Gedung Kesehatan, Konstruksi Gedung Lainnya, Konstruksi Gedung Pendidikan, Konstruksi Gedung Perkantoran</t>
        </is>
      </c>
      <c r="N152" t="inlineStr">
        <is>
          <t>K, M, Spesialis</t>
        </is>
      </c>
      <c r="O152" t="inlineStr">
        <is>
          <t>20231012, 20231017, 20231020, 20231022</t>
        </is>
      </c>
      <c r="P152" t="inlineStr">
        <is>
          <t>DKI Jakarta</t>
        </is>
      </c>
      <c r="Q152" t="inlineStr"/>
    </row>
    <row r="153">
      <c r="A153" t="inlineStr">
        <is>
          <t>SINERGITAS BANGUN GRAHA</t>
        </is>
      </c>
      <c r="B153" t="inlineStr">
        <is>
          <t>Kota Adm. Jakarta Utara</t>
        </is>
      </c>
      <c r="C153" t="inlineStr">
        <is>
          <t>08159365289</t>
        </is>
      </c>
      <c r="D153" t="inlineStr">
        <is>
          <t>sinergitasbangungraha@gmail.com</t>
        </is>
      </c>
      <c r="E153" t="inlineStr">
        <is>
          <t>https://lpjk.pu.go.id/search-badan-usaha-detail/OTdOdW0rbE1RRkxoRU9HcTRmR1puZz09</t>
        </is>
      </c>
      <c r="F153" t="n">
        <v>3</v>
      </c>
      <c r="G153" t="inlineStr">
        <is>
          <t>BG001, BG003, BG009</t>
        </is>
      </c>
      <c r="H153" t="inlineStr">
        <is>
          <t>24 Maret 2020</t>
        </is>
      </c>
      <c r="I153" s="2" t="n">
        <v>46312</v>
      </c>
      <c r="J153" t="inlineStr">
        <is>
          <t>Disetujui</t>
        </is>
      </c>
      <c r="K153" t="n">
        <v>60</v>
      </c>
      <c r="L153" t="inlineStr">
        <is>
          <t>17 Oktober 2026</t>
        </is>
      </c>
      <c r="M153" t="inlineStr">
        <is>
          <t>Konstruksi Gedung Hunian, Konstruksi Gedung Industri, Konstruksi Gedung Lainnya</t>
        </is>
      </c>
      <c r="N153" t="inlineStr">
        <is>
          <t>K</t>
        </is>
      </c>
      <c r="O153" t="inlineStr">
        <is>
          <t>20231010</t>
        </is>
      </c>
      <c r="P153" t="inlineStr">
        <is>
          <t>DKI Jakarta</t>
        </is>
      </c>
      <c r="Q153" t="inlineStr"/>
    </row>
    <row r="154">
      <c r="A154" t="inlineStr">
        <is>
          <t>SIWA KARYATAMA</t>
        </is>
      </c>
      <c r="B154" t="inlineStr">
        <is>
          <t>Kota Kendari</t>
        </is>
      </c>
      <c r="C154" t="inlineStr">
        <is>
          <t>085343598808</t>
        </is>
      </c>
      <c r="D154" t="inlineStr">
        <is>
          <t>siwakaryatama.cv@gmail.com</t>
        </is>
      </c>
      <c r="E154" t="inlineStr">
        <is>
          <t>https://lpjk.pu.go.id/search-badan-usaha-detail/NVVuNEhwdDZpK1ZQZElHRnR0bGx2dz09</t>
        </is>
      </c>
      <c r="F154" t="n">
        <v>5</v>
      </c>
      <c r="G154" t="inlineStr">
        <is>
          <t>BG002, BG005, BG009, BS001, BS004</t>
        </is>
      </c>
      <c r="H154" t="inlineStr">
        <is>
          <t>8 Januari 2019</t>
        </is>
      </c>
      <c r="I154" s="2" t="n">
        <v>46312</v>
      </c>
      <c r="J154" t="inlineStr">
        <is>
          <t>Disetujui</t>
        </is>
      </c>
      <c r="K154" t="n">
        <v>60</v>
      </c>
      <c r="L154" t="inlineStr">
        <is>
          <t>17 Oktober 2026</t>
        </is>
      </c>
      <c r="M154" t="inlineStr">
        <is>
          <t>Konstruksi Bangunan Sipil Jalan, Konstruksi Gedung Kesehatan, Konstruksi Gedung Lainnya, Konstruksi Gedung Perkantoran, Konstruksi Jaringan Irigasi dan Drainase</t>
        </is>
      </c>
      <c r="N154" t="inlineStr">
        <is>
          <t>K</t>
        </is>
      </c>
      <c r="O154" t="inlineStr">
        <is>
          <t>20231004, 20231011</t>
        </is>
      </c>
      <c r="P154" t="inlineStr">
        <is>
          <t>Sulawesi Tenggara</t>
        </is>
      </c>
      <c r="Q154" t="inlineStr"/>
    </row>
    <row r="155">
      <c r="A155" t="inlineStr">
        <is>
          <t>SUMBER JATI</t>
        </is>
      </c>
      <c r="B155" t="inlineStr">
        <is>
          <t>Kab. Kediri</t>
        </is>
      </c>
      <c r="C155" t="inlineStr">
        <is>
          <t>085856768882</t>
        </is>
      </c>
      <c r="D155" t="inlineStr">
        <is>
          <t>sumberjaticv.kediri@yahoo.com</t>
        </is>
      </c>
      <c r="E155" t="inlineStr">
        <is>
          <t>https://lpjk.pu.go.id/search-badan-usaha-detail/elFSREV4OUVpV2F3YWUrdXVqcjZadz09</t>
        </is>
      </c>
      <c r="F155" t="n">
        <v>1</v>
      </c>
      <c r="G155" t="inlineStr">
        <is>
          <t>BS004</t>
        </is>
      </c>
      <c r="H155" t="inlineStr">
        <is>
          <t>22 Juni 1976</t>
        </is>
      </c>
      <c r="I155" s="2" t="n">
        <v>46312</v>
      </c>
      <c r="J155" t="inlineStr">
        <is>
          <t>Disetujui</t>
        </is>
      </c>
      <c r="K155" t="n">
        <v>60</v>
      </c>
      <c r="L155" t="inlineStr">
        <is>
          <t>17 Oktober 2026</t>
        </is>
      </c>
      <c r="M155" t="inlineStr">
        <is>
          <t>Konstruksi Jaringan Irigasi dan Drainase</t>
        </is>
      </c>
      <c r="N155" t="inlineStr">
        <is>
          <t>K</t>
        </is>
      </c>
      <c r="O155" t="inlineStr">
        <is>
          <t>20231010</t>
        </is>
      </c>
      <c r="P155" t="inlineStr">
        <is>
          <t>Jawa Timur</t>
        </is>
      </c>
      <c r="Q155" t="inlineStr"/>
    </row>
    <row r="156">
      <c r="A156" t="inlineStr">
        <is>
          <t>SUNRISE PRO LANDSKAP</t>
        </is>
      </c>
      <c r="B156" t="inlineStr">
        <is>
          <t>Kab. Cirebon</t>
        </is>
      </c>
      <c r="C156" t="inlineStr">
        <is>
          <t>08562206085</t>
        </is>
      </c>
      <c r="D156" t="inlineStr">
        <is>
          <t>rekom.landskap@gmail.com</t>
        </is>
      </c>
      <c r="E156" t="inlineStr">
        <is>
          <t>https://lpjk.pu.go.id/search-badan-usaha-detail/aWxNZFlPdjhHY1FFc0NjV3ZYTVlvUT09</t>
        </is>
      </c>
      <c r="F156" t="n">
        <v>1</v>
      </c>
      <c r="G156" t="inlineStr">
        <is>
          <t>BG006</t>
        </is>
      </c>
      <c r="H156" t="inlineStr">
        <is>
          <t>30 Juli 2019</t>
        </is>
      </c>
      <c r="I156" s="2" t="n">
        <v>46312</v>
      </c>
      <c r="J156" t="inlineStr">
        <is>
          <t>Pencabutan</t>
        </is>
      </c>
      <c r="K156" t="n">
        <v>60</v>
      </c>
      <c r="L156" t="inlineStr">
        <is>
          <t>17 Oktober 2026</t>
        </is>
      </c>
      <c r="M156" t="inlineStr">
        <is>
          <t>Konstruksi Gedung Pendidikan</t>
        </is>
      </c>
      <c r="N156" t="inlineStr">
        <is>
          <t>K</t>
        </is>
      </c>
      <c r="O156" t="inlineStr">
        <is>
          <t>20230603</t>
        </is>
      </c>
      <c r="P156" t="inlineStr">
        <is>
          <t>Jawa Barat</t>
        </is>
      </c>
      <c r="Q156" t="inlineStr"/>
    </row>
    <row r="157">
      <c r="A157" t="inlineStr">
        <is>
          <t>SURYA JAYA KONSTRUKSI</t>
        </is>
      </c>
      <c r="B157" t="inlineStr">
        <is>
          <t>Kota Samarinda</t>
        </is>
      </c>
      <c r="C157" t="inlineStr">
        <is>
          <t>082250080809</t>
        </is>
      </c>
      <c r="D157" t="inlineStr">
        <is>
          <t>cvsuryajayakonstruksi2022@gmail.com</t>
        </is>
      </c>
      <c r="E157" t="inlineStr">
        <is>
          <t>https://lpjk.pu.go.id/search-badan-usaha-detail/UnpZZWJSVUUyMVdFRXVmdzFrdFA4Zz09</t>
        </is>
      </c>
      <c r="F157" t="n">
        <v>2</v>
      </c>
      <c r="G157" t="inlineStr">
        <is>
          <t>BG001, BG009</t>
        </is>
      </c>
      <c r="H157" t="inlineStr">
        <is>
          <t>15 Agustus 2013</t>
        </is>
      </c>
      <c r="I157" s="2" t="n">
        <v>46312</v>
      </c>
      <c r="J157" t="inlineStr">
        <is>
          <t>Disetujui</t>
        </is>
      </c>
      <c r="K157" t="n">
        <v>60</v>
      </c>
      <c r="L157" t="inlineStr">
        <is>
          <t>17 Oktober 2026</t>
        </is>
      </c>
      <c r="M157" t="inlineStr">
        <is>
          <t>Konstruksi Gedung Hunian, Konstruksi Gedung Lainnya</t>
        </is>
      </c>
      <c r="N157" t="inlineStr">
        <is>
          <t>K</t>
        </is>
      </c>
      <c r="O157" t="inlineStr">
        <is>
          <t>20231014</t>
        </is>
      </c>
      <c r="P157" t="inlineStr">
        <is>
          <t>Kalimantan Timur</t>
        </is>
      </c>
      <c r="Q157" t="inlineStr"/>
    </row>
    <row r="158">
      <c r="A158" t="inlineStr">
        <is>
          <t>THAN PRIMA JAYA</t>
        </is>
      </c>
      <c r="B158" t="inlineStr">
        <is>
          <t>Kab. Kutai Barat</t>
        </is>
      </c>
      <c r="C158" t="inlineStr">
        <is>
          <t>081255467762</t>
        </is>
      </c>
      <c r="D158" t="inlineStr">
        <is>
          <t>cvthanprimajaya44@gmail.com</t>
        </is>
      </c>
      <c r="E158" t="inlineStr">
        <is>
          <t>https://lpjk.pu.go.id/search-badan-usaha-detail/THROWk02U3o3RStUa1BnQ0diNUh0QT09</t>
        </is>
      </c>
      <c r="F158" t="n">
        <v>1</v>
      </c>
      <c r="G158" t="inlineStr">
        <is>
          <t>BS001</t>
        </is>
      </c>
      <c r="H158" t="inlineStr">
        <is>
          <t>19 September 2023</t>
        </is>
      </c>
      <c r="I158" s="2" t="n">
        <v>46312</v>
      </c>
      <c r="J158" t="inlineStr">
        <is>
          <t>Disetujui</t>
        </is>
      </c>
      <c r="K158" t="n">
        <v>60</v>
      </c>
      <c r="L158" t="inlineStr">
        <is>
          <t>17 Oktober 2026</t>
        </is>
      </c>
      <c r="M158" t="inlineStr">
        <is>
          <t>Konstruksi Bangunan Sipil Jalan</t>
        </is>
      </c>
      <c r="N158" t="inlineStr">
        <is>
          <t>K</t>
        </is>
      </c>
      <c r="O158" t="inlineStr">
        <is>
          <t>20231012</t>
        </is>
      </c>
      <c r="P158" t="inlineStr">
        <is>
          <t>Kalimantan Timur</t>
        </is>
      </c>
      <c r="Q158" t="inlineStr"/>
    </row>
    <row r="159">
      <c r="A159" t="inlineStr">
        <is>
          <t>THREE CAHAYA ABADI</t>
        </is>
      </c>
      <c r="B159" t="inlineStr">
        <is>
          <t>Kota Kupang</t>
        </is>
      </c>
      <c r="C159" t="inlineStr">
        <is>
          <t>081239098472</t>
        </is>
      </c>
      <c r="D159" t="inlineStr">
        <is>
          <t>cvthreecahayaabadi@gmail.com</t>
        </is>
      </c>
      <c r="E159" t="inlineStr">
        <is>
          <t>https://lpjk.pu.go.id/search-badan-usaha-detail/QWN0TGhBRnNCZ1h4aDdsSjJubnVFZz09</t>
        </is>
      </c>
      <c r="F159" t="n">
        <v>2</v>
      </c>
      <c r="G159" t="inlineStr">
        <is>
          <t>BG005, BG006</t>
        </is>
      </c>
      <c r="H159" t="inlineStr">
        <is>
          <t>18 Oktober 2022</t>
        </is>
      </c>
      <c r="I159" s="2" t="n">
        <v>46312</v>
      </c>
      <c r="J159" t="inlineStr">
        <is>
          <t>Disetujui</t>
        </is>
      </c>
      <c r="K159" t="n">
        <v>60</v>
      </c>
      <c r="L159" t="inlineStr">
        <is>
          <t>17 Oktober 2026</t>
        </is>
      </c>
      <c r="M159" t="inlineStr">
        <is>
          <t>Konstruksi Gedung Kesehatan, Konstruksi Gedung Pendidikan</t>
        </is>
      </c>
      <c r="N159" t="inlineStr">
        <is>
          <t>K</t>
        </is>
      </c>
      <c r="O159" t="inlineStr">
        <is>
          <t>20231006, 20231010</t>
        </is>
      </c>
      <c r="P159" t="inlineStr">
        <is>
          <t>Nusa Tenggara Timur</t>
        </is>
      </c>
      <c r="Q159" t="inlineStr"/>
    </row>
    <row r="160">
      <c r="A160" t="inlineStr">
        <is>
          <t>THREE HARD KEPRI</t>
        </is>
      </c>
      <c r="B160" t="inlineStr">
        <is>
          <t>Kota Tanjung Pinang</t>
        </is>
      </c>
      <c r="C160" t="inlineStr">
        <is>
          <t>081364950888</t>
        </is>
      </c>
      <c r="D160" t="inlineStr">
        <is>
          <t>bendry.hardja@gmail.com</t>
        </is>
      </c>
      <c r="E160" t="inlineStr">
        <is>
          <t>https://lpjk.pu.go.id/search-badan-usaha-detail/VldXYndTQldPNHhqWFQ5Uk5makNsZz09</t>
        </is>
      </c>
      <c r="F160" t="n">
        <v>1</v>
      </c>
      <c r="G160" t="inlineStr">
        <is>
          <t>BS001</t>
        </is>
      </c>
      <c r="H160" t="inlineStr">
        <is>
          <t>8 November 2014</t>
        </is>
      </c>
      <c r="I160" s="2" t="n">
        <v>46312</v>
      </c>
      <c r="J160" t="inlineStr">
        <is>
          <t>Disetujui</t>
        </is>
      </c>
      <c r="K160" t="n">
        <v>60</v>
      </c>
      <c r="L160" t="inlineStr">
        <is>
          <t>17 Oktober 2026</t>
        </is>
      </c>
      <c r="M160" t="inlineStr">
        <is>
          <t>Konstruksi Bangunan Sipil Jalan</t>
        </is>
      </c>
      <c r="N160" t="inlineStr">
        <is>
          <t>K</t>
        </is>
      </c>
      <c r="O160" t="inlineStr">
        <is>
          <t>20231016</t>
        </is>
      </c>
      <c r="P160" t="inlineStr">
        <is>
          <t>Kepulauan Riau</t>
        </is>
      </c>
      <c r="Q160" t="inlineStr"/>
    </row>
    <row r="161">
      <c r="A161" t="inlineStr">
        <is>
          <t>TIGA PILAR SELARAS</t>
        </is>
      </c>
      <c r="B161" t="inlineStr">
        <is>
          <t>Kota Batam</t>
        </is>
      </c>
      <c r="C161" t="inlineStr">
        <is>
          <t>081267085109</t>
        </is>
      </c>
      <c r="D161" t="inlineStr">
        <is>
          <t>cvtigapilarselaras@gmail.com</t>
        </is>
      </c>
      <c r="E161" t="inlineStr">
        <is>
          <t>https://lpjk.pu.go.id/search-badan-usaha-detail/K3lEOXFKTkN3dGRTeDBYY2d3WDNDdz09</t>
        </is>
      </c>
      <c r="F161" t="n">
        <v>4</v>
      </c>
      <c r="G161" t="inlineStr">
        <is>
          <t>BG006, BG009, BS001, BS004</t>
        </is>
      </c>
      <c r="H161" t="inlineStr">
        <is>
          <t>7 September 2023</t>
        </is>
      </c>
      <c r="I161" s="2" t="n">
        <v>46312</v>
      </c>
      <c r="J161" t="inlineStr">
        <is>
          <t>Disetujui</t>
        </is>
      </c>
      <c r="K161" t="n">
        <v>60</v>
      </c>
      <c r="L161" t="inlineStr">
        <is>
          <t>17 Oktober 2026</t>
        </is>
      </c>
      <c r="M161" t="inlineStr">
        <is>
          <t>Konstruksi Bangunan Sipil Jalan, Konstruksi Gedung Lainnya, Konstruksi Gedung Pendidikan, Konstruksi Jaringan Irigasi dan Drainase</t>
        </is>
      </c>
      <c r="N161" t="inlineStr">
        <is>
          <t>K</t>
        </is>
      </c>
      <c r="O161" t="inlineStr">
        <is>
          <t>20231012, 20231016, 20231018</t>
        </is>
      </c>
      <c r="P161" t="inlineStr">
        <is>
          <t>Kepulauan Riau</t>
        </is>
      </c>
      <c r="Q161" t="inlineStr"/>
    </row>
    <row r="162">
      <c r="A162" t="inlineStr">
        <is>
          <t>TIGA PUTRI</t>
        </is>
      </c>
      <c r="B162" t="inlineStr">
        <is>
          <t>Kab. Lebak</t>
        </is>
      </c>
      <c r="C162" t="inlineStr">
        <is>
          <t>087773339929</t>
        </is>
      </c>
      <c r="D162" t="inlineStr">
        <is>
          <t>kettysu123@gmail.com</t>
        </is>
      </c>
      <c r="E162" t="inlineStr">
        <is>
          <t>https://lpjk.pu.go.id/search-badan-usaha-detail/VmdUNnB4b2owTFcyT1BnWGdRM3VNUT09</t>
        </is>
      </c>
      <c r="F162" t="n">
        <v>1</v>
      </c>
      <c r="G162" t="inlineStr">
        <is>
          <t>BG005</t>
        </is>
      </c>
      <c r="H162" t="inlineStr">
        <is>
          <t>5 Desember 2013</t>
        </is>
      </c>
      <c r="I162" s="2" t="n">
        <v>46312</v>
      </c>
      <c r="J162" t="inlineStr">
        <is>
          <t>Disetujui</t>
        </is>
      </c>
      <c r="K162" t="n">
        <v>60</v>
      </c>
      <c r="L162" t="inlineStr">
        <is>
          <t>17 Oktober 2026</t>
        </is>
      </c>
      <c r="M162" t="inlineStr">
        <is>
          <t>Konstruksi Gedung Kesehatan</t>
        </is>
      </c>
      <c r="N162" t="inlineStr">
        <is>
          <t>K</t>
        </is>
      </c>
      <c r="O162" t="inlineStr">
        <is>
          <t>20231006</t>
        </is>
      </c>
      <c r="P162" t="inlineStr">
        <is>
          <t>Banten</t>
        </is>
      </c>
      <c r="Q162" t="inlineStr"/>
    </row>
    <row r="163">
      <c r="A163" t="inlineStr">
        <is>
          <t>TRI MANUNGGAL SAKTI</t>
        </is>
      </c>
      <c r="B163" t="inlineStr">
        <is>
          <t>Kota Denpasar</t>
        </is>
      </c>
      <c r="C163" t="inlineStr">
        <is>
          <t>0361226517</t>
        </is>
      </c>
      <c r="D163" t="inlineStr">
        <is>
          <t>trimanunggal.marketing@gmail.com</t>
        </is>
      </c>
      <c r="E163" t="inlineStr">
        <is>
          <t>https://lpjk.pu.go.id/search-badan-usaha-detail/NytkSUUrd04rSGFDL2JSUXRUK0xRQT09</t>
        </is>
      </c>
      <c r="F163" t="n">
        <v>1</v>
      </c>
      <c r="G163" t="inlineStr">
        <is>
          <t>BS010</t>
        </is>
      </c>
      <c r="H163" t="inlineStr">
        <is>
          <t>4 Februari 2002</t>
        </is>
      </c>
      <c r="I163" s="2" t="n">
        <v>46312</v>
      </c>
      <c r="J163" t="inlineStr">
        <is>
          <t>Pencabutan</t>
        </is>
      </c>
      <c r="K163" t="n">
        <v>60</v>
      </c>
      <c r="L163" t="inlineStr">
        <is>
          <t>17 Oktober 2026</t>
        </is>
      </c>
      <c r="M163" t="inlineStr">
        <is>
          <t>Konstruksi Bangunan Prasarana Sumber Daya Air</t>
        </is>
      </c>
      <c r="N163" t="inlineStr">
        <is>
          <t>M</t>
        </is>
      </c>
      <c r="O163" t="inlineStr">
        <is>
          <t>20230921</t>
        </is>
      </c>
      <c r="P163" t="inlineStr">
        <is>
          <t>Bali</t>
        </is>
      </c>
      <c r="Q163" t="inlineStr"/>
    </row>
    <row r="164">
      <c r="A164" t="inlineStr">
        <is>
          <t>TRIDAYA BAKTI NUSA</t>
        </is>
      </c>
      <c r="B164" t="inlineStr">
        <is>
          <t>Kota Adm. Jakarta Selatan</t>
        </is>
      </c>
      <c r="C164" t="inlineStr">
        <is>
          <t>081283780827</t>
        </is>
      </c>
      <c r="D164" t="inlineStr">
        <is>
          <t>pttridayabaktinusa@gmail.com</t>
        </is>
      </c>
      <c r="E164" t="inlineStr">
        <is>
          <t>https://lpjk.pu.go.id/search-badan-usaha-detail/dHdKSmxDZjU2SlFucmp2VTlNa2NIZz09</t>
        </is>
      </c>
      <c r="F164" t="n">
        <v>3</v>
      </c>
      <c r="G164" t="inlineStr">
        <is>
          <t>BG001, BG005, BG006</t>
        </is>
      </c>
      <c r="H164" t="inlineStr">
        <is>
          <t>31 Juli 2023</t>
        </is>
      </c>
      <c r="I164" s="2" t="n">
        <v>46312</v>
      </c>
      <c r="J164" t="inlineStr">
        <is>
          <t>Pencabutan</t>
        </is>
      </c>
      <c r="K164" t="n">
        <v>60</v>
      </c>
      <c r="L164" t="inlineStr">
        <is>
          <t>17 Oktober 2026</t>
        </is>
      </c>
      <c r="M164" t="inlineStr">
        <is>
          <t>Konstruksi Gedung Hunian, Konstruksi Gedung Kesehatan, Konstruksi Gedung Pendidikan</t>
        </is>
      </c>
      <c r="N164" t="inlineStr">
        <is>
          <t>K</t>
        </is>
      </c>
      <c r="O164" t="inlineStr">
        <is>
          <t>20230822, 20231015</t>
        </is>
      </c>
      <c r="P164" t="inlineStr">
        <is>
          <t>DKI Jakarta</t>
        </is>
      </c>
      <c r="Q164" t="inlineStr"/>
    </row>
    <row r="165">
      <c r="A165" t="inlineStr">
        <is>
          <t>TRIDUTA MITRAPARAMA</t>
        </is>
      </c>
      <c r="B165" t="inlineStr">
        <is>
          <t>Kota Adm. Jakarta Selatan</t>
        </is>
      </c>
      <c r="C165" t="inlineStr">
        <is>
          <t>02127871763</t>
        </is>
      </c>
      <c r="D165" t="inlineStr">
        <is>
          <t>triduta_pt@yahoo.com</t>
        </is>
      </c>
      <c r="E165" t="inlineStr">
        <is>
          <t>https://lpjk.pu.go.id/search-badan-usaha-detail/VHdKb1ZPOTQ5SUR2SWhoLzRuRWdZQT09</t>
        </is>
      </c>
      <c r="F165" t="n">
        <v>2</v>
      </c>
      <c r="G165" t="inlineStr">
        <is>
          <t>RK003, RT001</t>
        </is>
      </c>
      <c r="H165" t="inlineStr">
        <is>
          <t>29 Juni 1992</t>
        </is>
      </c>
      <c r="I165" s="2" t="n">
        <v>46312</v>
      </c>
      <c r="J165" t="inlineStr">
        <is>
          <t>Disetujui</t>
        </is>
      </c>
      <c r="K165" t="n">
        <v>60</v>
      </c>
      <c r="L165" t="inlineStr">
        <is>
          <t>17 Oktober 2026</t>
        </is>
      </c>
      <c r="M165" t="inlineStr">
        <is>
          <t>Jasa Pelayanan Studi Investasi Infrastruktur, Jasa Rekayasa Pekerjaan Teknik Sipil Transportasi</t>
        </is>
      </c>
      <c r="N165" t="inlineStr">
        <is>
          <t>K, M</t>
        </is>
      </c>
      <c r="O165" t="inlineStr">
        <is>
          <t>20231011</t>
        </is>
      </c>
      <c r="P165" t="inlineStr">
        <is>
          <t>DKI Jakarta</t>
        </is>
      </c>
      <c r="Q165" t="inlineStr"/>
    </row>
    <row r="166">
      <c r="A166" t="inlineStr">
        <is>
          <t>TRIGUNA INTERNUSA PRATAMA</t>
        </is>
      </c>
      <c r="B166" t="inlineStr">
        <is>
          <t>Kota Adm. Jakarta Pusat</t>
        </is>
      </c>
      <c r="C166" t="inlineStr">
        <is>
          <t>02123579802</t>
        </is>
      </c>
      <c r="D166" t="inlineStr">
        <is>
          <t>tip@trigunainternusa.com</t>
        </is>
      </c>
      <c r="E166" t="inlineStr">
        <is>
          <t>https://lpjk.pu.go.id/search-badan-usaha-detail/dXNTZGROWXpNMUlaOHpselhBanNJZz09</t>
        </is>
      </c>
      <c r="F166" t="n">
        <v>1</v>
      </c>
      <c r="G166" t="inlineStr">
        <is>
          <t>IN004</t>
        </is>
      </c>
      <c r="H166" t="inlineStr">
        <is>
          <t>20 Januari 2003</t>
        </is>
      </c>
      <c r="I166" s="2" t="n">
        <v>46312</v>
      </c>
      <c r="J166" t="inlineStr">
        <is>
          <t>Pembekuan</t>
        </is>
      </c>
      <c r="K166" t="n">
        <v>60</v>
      </c>
      <c r="L166" t="inlineStr">
        <is>
          <t>17 Oktober 2026</t>
        </is>
      </c>
      <c r="M166" t="inlineStr">
        <is>
          <t>Instalasi Minyak dan Gas</t>
        </is>
      </c>
      <c r="N166" t="inlineStr">
        <is>
          <t>Spesialis</t>
        </is>
      </c>
      <c r="O166" t="inlineStr">
        <is>
          <t>20231011</t>
        </is>
      </c>
      <c r="P166" t="inlineStr">
        <is>
          <t>DKI Jakarta</t>
        </is>
      </c>
      <c r="Q166" t="inlineStr"/>
    </row>
    <row r="167">
      <c r="A167" t="inlineStr">
        <is>
          <t>TRIMITRA SELARAS RAHARJA</t>
        </is>
      </c>
      <c r="B167" t="inlineStr">
        <is>
          <t>Kota Adm. Jakarta Utara</t>
        </is>
      </c>
      <c r="C167" t="inlineStr">
        <is>
          <t>02166690617</t>
        </is>
      </c>
      <c r="D167" t="inlineStr">
        <is>
          <t>trimitra_sr@yahoo.com</t>
        </is>
      </c>
      <c r="E167" t="inlineStr">
        <is>
          <t>https://lpjk.pu.go.id/search-badan-usaha-detail/Z29mSFNBdEw1ck5oTlF3MjYzSytUUT09</t>
        </is>
      </c>
      <c r="F167" t="n">
        <v>2</v>
      </c>
      <c r="G167" t="inlineStr">
        <is>
          <t>BG003</t>
        </is>
      </c>
      <c r="H167" t="inlineStr">
        <is>
          <t>10 Juli 2023</t>
        </is>
      </c>
      <c r="I167" s="2" t="n">
        <v>46312</v>
      </c>
      <c r="J167" t="inlineStr">
        <is>
          <t>Disetujui</t>
        </is>
      </c>
      <c r="K167" t="n">
        <v>60</v>
      </c>
      <c r="L167" t="inlineStr">
        <is>
          <t>17 Oktober 2026</t>
        </is>
      </c>
      <c r="M167" t="inlineStr">
        <is>
          <t>Konstruksi Gedung Industri</t>
        </is>
      </c>
      <c r="N167" t="inlineStr">
        <is>
          <t>K</t>
        </is>
      </c>
      <c r="O167" t="inlineStr">
        <is>
          <t>20230824</t>
        </is>
      </c>
      <c r="P167" t="inlineStr">
        <is>
          <t>DKI Jakarta</t>
        </is>
      </c>
      <c r="Q167" t="inlineStr"/>
    </row>
    <row r="168">
      <c r="A168" t="inlineStr">
        <is>
          <t>TRION KARYA OPTIMIS</t>
        </is>
      </c>
      <c r="B168" t="inlineStr">
        <is>
          <t>Kota Palembang</t>
        </is>
      </c>
      <c r="C168" t="inlineStr">
        <is>
          <t>08111600024</t>
        </is>
      </c>
      <c r="D168" t="inlineStr">
        <is>
          <t>trionkarya@yahoo.com</t>
        </is>
      </c>
      <c r="E168" t="inlineStr">
        <is>
          <t>https://lpjk.pu.go.id/search-badan-usaha-detail/d0o1b1JlaWZ2OVNhVGEyS0lKY3IrQT09</t>
        </is>
      </c>
      <c r="F168" t="n">
        <v>1</v>
      </c>
      <c r="G168" t="inlineStr">
        <is>
          <t>BS001</t>
        </is>
      </c>
      <c r="H168" t="inlineStr">
        <is>
          <t>2 Oktober 2019</t>
        </is>
      </c>
      <c r="I168" s="2" t="n">
        <v>46312</v>
      </c>
      <c r="J168" t="inlineStr">
        <is>
          <t>Disetujui</t>
        </is>
      </c>
      <c r="K168" t="n">
        <v>60</v>
      </c>
      <c r="L168" t="inlineStr">
        <is>
          <t>17 Oktober 2026</t>
        </is>
      </c>
      <c r="M168" t="inlineStr">
        <is>
          <t>Konstruksi Bangunan Sipil Jalan</t>
        </is>
      </c>
      <c r="N168" t="inlineStr">
        <is>
          <t>K</t>
        </is>
      </c>
      <c r="O168" t="inlineStr">
        <is>
          <t>20231018</t>
        </is>
      </c>
      <c r="P168" t="inlineStr">
        <is>
          <t>Sumatera Selatan</t>
        </is>
      </c>
      <c r="Q168" t="inlineStr"/>
    </row>
    <row r="169">
      <c r="A169" t="inlineStr">
        <is>
          <t>TRIPLE ASEJAHTERA</t>
        </is>
      </c>
      <c r="B169" t="inlineStr">
        <is>
          <t>Kab. Lamongan</t>
        </is>
      </c>
      <c r="C169" t="inlineStr">
        <is>
          <t>0895378792255</t>
        </is>
      </c>
      <c r="D169" t="inlineStr">
        <is>
          <t>hj.musjrifah@gmail.com</t>
        </is>
      </c>
      <c r="E169" t="inlineStr">
        <is>
          <t>https://lpjk.pu.go.id/search-badan-usaha-detail/TWNqS0VUYUZMaW02TWRhdFJOR3ZwQT09</t>
        </is>
      </c>
      <c r="F169" t="n">
        <v>2</v>
      </c>
      <c r="G169" t="inlineStr">
        <is>
          <t>BG005, BG006</t>
        </is>
      </c>
      <c r="H169" t="inlineStr">
        <is>
          <t>23 Juli 2018</t>
        </is>
      </c>
      <c r="I169" s="2" t="n">
        <v>46312</v>
      </c>
      <c r="J169" t="inlineStr">
        <is>
          <t>Disetujui</t>
        </is>
      </c>
      <c r="K169" t="n">
        <v>60</v>
      </c>
      <c r="L169" t="inlineStr">
        <is>
          <t>17 Oktober 2026</t>
        </is>
      </c>
      <c r="M169" t="inlineStr">
        <is>
          <t>Konstruksi Gedung Kesehatan, Konstruksi Gedung Pendidikan</t>
        </is>
      </c>
      <c r="N169" t="inlineStr">
        <is>
          <t>K</t>
        </is>
      </c>
      <c r="O169" t="inlineStr">
        <is>
          <t>20231011</t>
        </is>
      </c>
      <c r="P169" t="inlineStr">
        <is>
          <t>Jawa Timur</t>
        </is>
      </c>
      <c r="Q169" t="inlineStr"/>
    </row>
    <row r="170">
      <c r="A170" t="inlineStr">
        <is>
          <t>TUAH AGUNG ANUGRAH</t>
        </is>
      </c>
      <c r="B170" t="inlineStr">
        <is>
          <t>Kota Pekanbaru</t>
        </is>
      </c>
      <c r="C170" t="inlineStr">
        <is>
          <t>-</t>
        </is>
      </c>
      <c r="D170" t="inlineStr">
        <is>
          <t>tuahagunganugrah@gmail.com</t>
        </is>
      </c>
      <c r="E170" t="inlineStr">
        <is>
          <t>https://lpjk.pu.go.id/search-badan-usaha-detail/a1RJSUhOSkFqTDhNcjJ1bEo3RVhSZz09</t>
        </is>
      </c>
      <c r="F170" t="n">
        <v>1</v>
      </c>
      <c r="G170" t="inlineStr">
        <is>
          <t>RK002</t>
        </is>
      </c>
      <c r="H170" t="inlineStr">
        <is>
          <t>6 Februari 2001</t>
        </is>
      </c>
      <c r="I170" s="2" t="n">
        <v>46312</v>
      </c>
      <c r="J170" t="inlineStr">
        <is>
          <t>Disetujui</t>
        </is>
      </c>
      <c r="K170" t="n">
        <v>60</v>
      </c>
      <c r="L170" t="inlineStr">
        <is>
          <t>17 Oktober 2026</t>
        </is>
      </c>
      <c r="M170" t="inlineStr">
        <is>
          <t>Jasa Rekayasa Pekerjaan Teknik Sipil Sumber Daya Air</t>
        </is>
      </c>
      <c r="N170" t="inlineStr">
        <is>
          <t>B</t>
        </is>
      </c>
      <c r="O170" t="inlineStr">
        <is>
          <t>20231011</t>
        </is>
      </c>
      <c r="P170" t="inlineStr">
        <is>
          <t>Riau</t>
        </is>
      </c>
      <c r="Q170" t="inlineStr"/>
    </row>
    <row r="171">
      <c r="A171" t="inlineStr">
        <is>
          <t>TUNAS SATRIA MULTI KARYA</t>
        </is>
      </c>
      <c r="B171" t="inlineStr">
        <is>
          <t>Kab. Banyumas</t>
        </is>
      </c>
      <c r="C171" t="inlineStr">
        <is>
          <t>0281626249</t>
        </is>
      </c>
      <c r="D171" t="inlineStr">
        <is>
          <t>tunassatriamultikarya@gmail.com</t>
        </is>
      </c>
      <c r="E171" t="inlineStr">
        <is>
          <t>https://lpjk.pu.go.id/search-badan-usaha-detail/TWpYUTFwYU5tMmQwSWRGdGd6Q1BVdz09</t>
        </is>
      </c>
      <c r="F171" t="n">
        <v>1</v>
      </c>
      <c r="G171" t="inlineStr">
        <is>
          <t>RK001</t>
        </is>
      </c>
      <c r="H171" t="inlineStr">
        <is>
          <t>30 September 2013</t>
        </is>
      </c>
      <c r="I171" s="2" t="n">
        <v>46312</v>
      </c>
      <c r="J171" t="inlineStr">
        <is>
          <t>Disetujui</t>
        </is>
      </c>
      <c r="K171" t="n">
        <v>60</v>
      </c>
      <c r="L171" t="inlineStr">
        <is>
          <t>17 Oktober 2026</t>
        </is>
      </c>
      <c r="M171" t="inlineStr">
        <is>
          <t>Jasa Rekayasa Konstruksi Bangunan Gedung Hunian dan Non Hunian</t>
        </is>
      </c>
      <c r="N171" t="inlineStr">
        <is>
          <t>K</t>
        </is>
      </c>
      <c r="O171" t="inlineStr">
        <is>
          <t>20231009</t>
        </is>
      </c>
      <c r="P171" t="inlineStr">
        <is>
          <t>Jawa Tengah</t>
        </is>
      </c>
      <c r="Q171" t="inlineStr"/>
    </row>
    <row r="172">
      <c r="A172" t="inlineStr">
        <is>
          <t>VIRGO LESTARI PERMAI</t>
        </is>
      </c>
      <c r="B172" t="inlineStr">
        <is>
          <t>Kab. Paser</t>
        </is>
      </c>
      <c r="C172" t="inlineStr">
        <is>
          <t>081350389069</t>
        </is>
      </c>
      <c r="D172" t="inlineStr">
        <is>
          <t>cvvirgolestaripermai@gmail.com</t>
        </is>
      </c>
      <c r="E172" t="inlineStr">
        <is>
          <t>https://lpjk.pu.go.id/search-badan-usaha-detail/NldzTzc1ZTdMNUVSZXExK2lZM25ndz09</t>
        </is>
      </c>
      <c r="F172" t="n">
        <v>1</v>
      </c>
      <c r="G172" t="inlineStr">
        <is>
          <t>BS010</t>
        </is>
      </c>
      <c r="H172" t="inlineStr">
        <is>
          <t>23 November 2022</t>
        </is>
      </c>
      <c r="I172" s="2" t="n">
        <v>46312</v>
      </c>
      <c r="J172" t="inlineStr">
        <is>
          <t>Disetujui</t>
        </is>
      </c>
      <c r="K172" t="n">
        <v>60</v>
      </c>
      <c r="L172" t="inlineStr">
        <is>
          <t>17 Oktober 2026</t>
        </is>
      </c>
      <c r="M172" t="inlineStr">
        <is>
          <t>Konstruksi Bangunan Prasarana Sumber Daya Air</t>
        </is>
      </c>
      <c r="N172" t="inlineStr">
        <is>
          <t>K</t>
        </is>
      </c>
      <c r="O172" t="inlineStr">
        <is>
          <t>20231018</t>
        </is>
      </c>
      <c r="P172" t="inlineStr">
        <is>
          <t>Kalimantan Timur</t>
        </is>
      </c>
      <c r="Q172" t="inlineStr"/>
    </row>
    <row r="173">
      <c r="A173" t="inlineStr">
        <is>
          <t>WAHANA NUANSA INDONESIA</t>
        </is>
      </c>
      <c r="B173" t="inlineStr">
        <is>
          <t>Kab. Tangerang</t>
        </is>
      </c>
      <c r="C173" t="inlineStr">
        <is>
          <t>02155662873</t>
        </is>
      </c>
      <c r="D173" t="inlineStr">
        <is>
          <t>pt.wahananuansaindonesia17@gmail.com</t>
        </is>
      </c>
      <c r="E173" t="inlineStr">
        <is>
          <t>https://lpjk.pu.go.id/search-badan-usaha-detail/OS9RTlBnMUNreUx0alRRNURqOHUrZz09</t>
        </is>
      </c>
      <c r="F173" t="n">
        <v>1</v>
      </c>
      <c r="G173" t="inlineStr">
        <is>
          <t>BG003</t>
        </is>
      </c>
      <c r="H173" t="inlineStr">
        <is>
          <t>17 Maret 2017</t>
        </is>
      </c>
      <c r="I173" s="2" t="n">
        <v>46312</v>
      </c>
      <c r="J173" t="inlineStr">
        <is>
          <t>Pencabutan</t>
        </is>
      </c>
      <c r="K173" t="n">
        <v>60</v>
      </c>
      <c r="L173" t="inlineStr">
        <is>
          <t>17 Oktober 2026</t>
        </is>
      </c>
      <c r="M173" t="inlineStr">
        <is>
          <t>Konstruksi Gedung Industri</t>
        </is>
      </c>
      <c r="N173" t="inlineStr">
        <is>
          <t>M</t>
        </is>
      </c>
      <c r="O173" t="inlineStr">
        <is>
          <t>20230915</t>
        </is>
      </c>
      <c r="P173" t="inlineStr">
        <is>
          <t>Banten</t>
        </is>
      </c>
      <c r="Q173" t="inlineStr"/>
    </row>
    <row r="174">
      <c r="A174" t="inlineStr">
        <is>
          <t>WAHYU PUTRA</t>
        </is>
      </c>
      <c r="B174" t="inlineStr">
        <is>
          <t>Kab. Banyumas</t>
        </is>
      </c>
      <c r="C174" t="inlineStr">
        <is>
          <t>02816843205</t>
        </is>
      </c>
      <c r="D174" t="inlineStr">
        <is>
          <t>wahyu_putracv@yahoo.com</t>
        </is>
      </c>
      <c r="E174" t="inlineStr">
        <is>
          <t>https://lpjk.pu.go.id/search-badan-usaha-detail/dHRiS3c1eGlnUWkxcXpUQktxenB1UT09</t>
        </is>
      </c>
      <c r="F174" t="n">
        <v>1</v>
      </c>
      <c r="G174" t="inlineStr">
        <is>
          <t>BS004</t>
        </is>
      </c>
      <c r="H174" t="inlineStr">
        <is>
          <t>2 November 1995</t>
        </is>
      </c>
      <c r="I174" s="2" t="n">
        <v>46312</v>
      </c>
      <c r="J174" t="inlineStr">
        <is>
          <t>Disetujui</t>
        </is>
      </c>
      <c r="K174" t="n">
        <v>60</v>
      </c>
      <c r="L174" t="inlineStr">
        <is>
          <t>17 Oktober 2026</t>
        </is>
      </c>
      <c r="M174" t="inlineStr">
        <is>
          <t>Konstruksi Jaringan Irigasi dan Drainase</t>
        </is>
      </c>
      <c r="N174" t="inlineStr">
        <is>
          <t>K</t>
        </is>
      </c>
      <c r="O174" t="inlineStr">
        <is>
          <t>20231012</t>
        </is>
      </c>
      <c r="P174" t="inlineStr">
        <is>
          <t>Jawa Tengah</t>
        </is>
      </c>
      <c r="Q174" t="inlineStr"/>
    </row>
    <row r="175">
      <c r="A175" t="inlineStr">
        <is>
          <t>WAN CIPTA PROPERTI</t>
        </is>
      </c>
      <c r="B175" t="inlineStr">
        <is>
          <t>Kota Adm. Jakarta Selatan</t>
        </is>
      </c>
      <c r="C175" t="inlineStr">
        <is>
          <t>081236101286</t>
        </is>
      </c>
      <c r="D175" t="inlineStr">
        <is>
          <t>pt.wancipta@gmail.com</t>
        </is>
      </c>
      <c r="E175" t="inlineStr">
        <is>
          <t>https://lpjk.pu.go.id/search-badan-usaha-detail/TEFuQVBMdjhsSVlPaEJHTmpleHlYUT09</t>
        </is>
      </c>
      <c r="F175" t="n">
        <v>2</v>
      </c>
      <c r="G175" t="inlineStr">
        <is>
          <t>BG001, BG002</t>
        </is>
      </c>
      <c r="H175" t="inlineStr">
        <is>
          <t>24 Februari 2021</t>
        </is>
      </c>
      <c r="I175" s="2" t="n">
        <v>46312</v>
      </c>
      <c r="J175" t="inlineStr">
        <is>
          <t>Disetujui</t>
        </is>
      </c>
      <c r="K175" t="n">
        <v>60</v>
      </c>
      <c r="L175" t="inlineStr">
        <is>
          <t>17 Oktober 2026</t>
        </is>
      </c>
      <c r="M175" t="inlineStr">
        <is>
          <t>Konstruksi Gedung Hunian, Konstruksi Gedung Perkantoran</t>
        </is>
      </c>
      <c r="N175" t="inlineStr">
        <is>
          <t>K</t>
        </is>
      </c>
      <c r="O175" t="inlineStr">
        <is>
          <t>20230718</t>
        </is>
      </c>
      <c r="P175" t="inlineStr">
        <is>
          <t>DKI Jakarta</t>
        </is>
      </c>
      <c r="Q175" t="inlineStr"/>
    </row>
    <row r="176">
      <c r="A176" t="inlineStr">
        <is>
          <t>WIRATAMA PERKASA</t>
        </is>
      </c>
      <c r="B176" t="inlineStr">
        <is>
          <t>Kota Balikpapan</t>
        </is>
      </c>
      <c r="C176" t="inlineStr">
        <is>
          <t>082158633533</t>
        </is>
      </c>
      <c r="D176" t="inlineStr">
        <is>
          <t>wiratamaperkasacv@gmail.com</t>
        </is>
      </c>
      <c r="E176" t="inlineStr">
        <is>
          <t>https://lpjk.pu.go.id/search-badan-usaha-detail/eUt5aVRiZVhPN0s5VDVzNDhrREd1UT09</t>
        </is>
      </c>
      <c r="F176" t="n">
        <v>2</v>
      </c>
      <c r="G176" t="inlineStr">
        <is>
          <t>BG006</t>
        </is>
      </c>
      <c r="H176" t="inlineStr">
        <is>
          <t>10 Mei 2019</t>
        </is>
      </c>
      <c r="I176" s="2" t="n">
        <v>46312</v>
      </c>
      <c r="J176" t="inlineStr">
        <is>
          <t>Disetujui</t>
        </is>
      </c>
      <c r="K176" t="n">
        <v>60</v>
      </c>
      <c r="L176" t="inlineStr">
        <is>
          <t>17 Oktober 2026</t>
        </is>
      </c>
      <c r="M176" t="inlineStr">
        <is>
          <t>Konstruksi Gedung Pendidikan</t>
        </is>
      </c>
      <c r="N176" t="inlineStr">
        <is>
          <t>K</t>
        </is>
      </c>
      <c r="O176" t="inlineStr">
        <is>
          <t>20231018</t>
        </is>
      </c>
      <c r="P176" t="inlineStr">
        <is>
          <t>Kalimantan Timur</t>
        </is>
      </c>
      <c r="Q176" t="inlineStr"/>
    </row>
    <row r="177">
      <c r="A177" t="inlineStr">
        <is>
          <t>YUMAR MUSTIKA JAYA</t>
        </is>
      </c>
      <c r="B177" t="inlineStr">
        <is>
          <t>Kota Balikpapan</t>
        </is>
      </c>
      <c r="C177" t="inlineStr">
        <is>
          <t>085752915351</t>
        </is>
      </c>
      <c r="D177" t="inlineStr">
        <is>
          <t>yumarmustikajaya@gmail.com</t>
        </is>
      </c>
      <c r="E177" t="inlineStr">
        <is>
          <t>https://lpjk.pu.go.id/search-badan-usaha-detail/RmZ1N0tYN2N5ZGNrN1pUeTFUd2hZUT09</t>
        </is>
      </c>
      <c r="F177" t="n">
        <v>1</v>
      </c>
      <c r="G177" t="inlineStr">
        <is>
          <t>BG002</t>
        </is>
      </c>
      <c r="H177" t="inlineStr">
        <is>
          <t>7 Juni 2023</t>
        </is>
      </c>
      <c r="I177" s="2" t="n">
        <v>46312</v>
      </c>
      <c r="J177" t="inlineStr">
        <is>
          <t>Disetujui</t>
        </is>
      </c>
      <c r="K177" t="n">
        <v>60</v>
      </c>
      <c r="L177" t="inlineStr">
        <is>
          <t>17 Oktober 2026</t>
        </is>
      </c>
      <c r="M177" t="inlineStr">
        <is>
          <t>Konstruksi Gedung Perkantoran</t>
        </is>
      </c>
      <c r="N177" t="inlineStr">
        <is>
          <t>K</t>
        </is>
      </c>
      <c r="O177" t="inlineStr">
        <is>
          <t>20231018</t>
        </is>
      </c>
      <c r="P177" t="inlineStr">
        <is>
          <t>Kalimantan Timur</t>
        </is>
      </c>
      <c r="Q17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75"/>
  <sheetViews>
    <sheetView workbookViewId="0">
      <selection activeCell="A1" sqref="A1"/>
    </sheetView>
  </sheetViews>
  <sheetFormatPr baseColWidth="8" defaultRowHeight="15"/>
  <cols>
    <col width="40" customWidth="1" min="1" max="1"/>
    <col width="27" customWidth="1" min="2" max="2"/>
    <col width="16" customWidth="1" min="3" max="3"/>
    <col width="39" customWidth="1" min="4" max="4"/>
    <col width="50" customWidth="1" min="5" max="5"/>
    <col width="18" customWidth="1" min="6" max="6"/>
    <col width="49" customWidth="1" min="7" max="7"/>
    <col width="20" customWidth="1" min="8" max="8"/>
    <col width="28" customWidth="1" min="9" max="9"/>
    <col width="45" customWidth="1" min="10" max="10"/>
    <col width="11" customWidth="1" min="11" max="11"/>
    <col width="19"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ADHI RAJASA TEKNIK</t>
        </is>
      </c>
      <c r="B2" t="inlineStr">
        <is>
          <t>Kab. Bogor</t>
        </is>
      </c>
      <c r="C2" t="inlineStr">
        <is>
          <t>081219542372</t>
        </is>
      </c>
      <c r="D2" t="inlineStr">
        <is>
          <t>adhirajasa.teknik@gmail.com</t>
        </is>
      </c>
      <c r="E2" t="inlineStr">
        <is>
          <t>https://lpjk.pu.go.id/search-badan-usaha-detail/M0ZLRnlHUXFQSkN0aDc4Qnpjd1pzUT09</t>
        </is>
      </c>
      <c r="F2" t="n">
        <v>2</v>
      </c>
      <c r="G2" t="inlineStr">
        <is>
          <t>BG003, BG009</t>
        </is>
      </c>
      <c r="H2" t="inlineStr">
        <is>
          <t>24 Februari 2020</t>
        </is>
      </c>
      <c r="I2" s="2" t="n">
        <v>46282</v>
      </c>
      <c r="J2" t="inlineStr">
        <is>
          <t>Disetujui</t>
        </is>
      </c>
      <c r="K2" t="n">
        <v>30</v>
      </c>
      <c r="L2" t="inlineStr">
        <is>
          <t>17 September 2026</t>
        </is>
      </c>
      <c r="M2" t="inlineStr">
        <is>
          <t>Konstruksi Gedung Industri, Konstruksi Gedung Lainnya</t>
        </is>
      </c>
      <c r="N2" t="inlineStr">
        <is>
          <t>K</t>
        </is>
      </c>
      <c r="O2" t="inlineStr">
        <is>
          <t>20230416, 20230912</t>
        </is>
      </c>
      <c r="P2" t="inlineStr">
        <is>
          <t>Jawa Barat</t>
        </is>
      </c>
      <c r="Q2" s="3">
        <f>HYPERLINK("https://wa.me/6281219542372?text=*[Pengingat Masa Berlaku SBU ADHI RAJASA TEKNIK]*%0A%0AYth. Pimpinan ADHI RAJASA TEKNIK,%0AMohon izin menginformasikan status SBU Anda:%0A%0A📄 SBU: BG003, BG009%0A📅 Expired: 17 September 2026 (30 Hari Lagi)%0A%0AKami tim PT. ESDEA Assistance Management siap men-support proses perpanjangan segera agar administrasi proyek tidak terhambat%0A%0AApakah boleh saya bantu siapkan estimasi biaya dan waktu pengerjaannya?.", "Hubungi")</f>
        <v/>
      </c>
    </row>
    <row r="3">
      <c r="A3" t="inlineStr">
        <is>
          <t>ARSILOKA RUPA CITRA</t>
        </is>
      </c>
      <c r="B3" t="inlineStr">
        <is>
          <t>Kota Bekasi</t>
        </is>
      </c>
      <c r="C3" t="inlineStr">
        <is>
          <t>081295281344</t>
        </is>
      </c>
      <c r="D3" t="inlineStr">
        <is>
          <t>arsilokarupacitra@gmail.com</t>
        </is>
      </c>
      <c r="E3" t="inlineStr">
        <is>
          <t>https://lpjk.pu.go.id/search-badan-usaha-detail/TkVrVVBFOWloaVNrR2pjVGE3bS9jUT09</t>
        </is>
      </c>
      <c r="F3" t="n">
        <v>4</v>
      </c>
      <c r="G3" t="inlineStr">
        <is>
          <t>RK001, RK002, RK003, RK005</t>
        </is>
      </c>
      <c r="H3" t="inlineStr">
        <is>
          <t>8 November 2022</t>
        </is>
      </c>
      <c r="I3" s="2" t="n">
        <v>46282</v>
      </c>
      <c r="J3" t="inlineStr">
        <is>
          <t>Disetujui</t>
        </is>
      </c>
      <c r="K3" t="n">
        <v>30</v>
      </c>
      <c r="L3" t="inlineStr">
        <is>
          <t>17 September 2026</t>
        </is>
      </c>
      <c r="M3" t="inlineStr">
        <is>
          <t>Jasa Rekayasa Konstruksi Bangunan Gedung Hunian dan Non Hunian, Jasa Rekayasa Lainnya, Jasa Rekayasa Pekerjaan Teknik Sipil Sumber Daya Air, Jasa Rekayasa Pekerjaan Teknik Sipil Transportasi</t>
        </is>
      </c>
      <c r="N3" t="inlineStr">
        <is>
          <t>K</t>
        </is>
      </c>
      <c r="O3" t="inlineStr">
        <is>
          <t>20230227, 20230907</t>
        </is>
      </c>
      <c r="P3" t="inlineStr">
        <is>
          <t>Jawa Barat</t>
        </is>
      </c>
      <c r="Q3" s="3">
        <f>HYPERLINK("https://wa.me/6281295281344?text=*[Pengingat Masa Berlaku SBU ARSILOKA RUPA CITRA]*%0A%0AYth. Pimpinan ARSILOKA RUPA CITRA,%0AMohon izin menginformasikan status SBU Anda:%0A%0A📄 SBU: RK001, RK002, RK003, RK005%0A📅 Expired: 17 September 2026 (30 Hari Lagi)%0A%0AKami tim PT. ESDEA Assistance Management siap men-support proses perpanjangan segera agar administrasi proyek tidak terhambat%0A%0AApakah boleh saya bantu siapkan estimasi biaya dan waktu pengerjaannya?.", "Hubungi")</f>
        <v/>
      </c>
    </row>
    <row r="4">
      <c r="A4" t="inlineStr">
        <is>
          <t>ARSYA PRATAMA RAYA</t>
        </is>
      </c>
      <c r="B4" t="inlineStr">
        <is>
          <t>Kota Bekasi</t>
        </is>
      </c>
      <c r="C4" t="inlineStr">
        <is>
          <t>082112353648</t>
        </is>
      </c>
      <c r="D4" t="inlineStr">
        <is>
          <t>ptarsyapratamaraya@gmail.com</t>
        </is>
      </c>
      <c r="E4" t="inlineStr">
        <is>
          <t>https://lpjk.pu.go.id/search-badan-usaha-detail/WW83Q0xjNmswZ1JjZXJZSlJ2UmhjUT09</t>
        </is>
      </c>
      <c r="F4" t="n">
        <v>1</v>
      </c>
      <c r="G4" t="inlineStr">
        <is>
          <t>BG002</t>
        </is>
      </c>
      <c r="H4" t="inlineStr">
        <is>
          <t>31 Mei 2018</t>
        </is>
      </c>
      <c r="I4" s="2" t="n">
        <v>46282</v>
      </c>
      <c r="J4" t="inlineStr">
        <is>
          <t>Pencabutan</t>
        </is>
      </c>
      <c r="K4" t="n">
        <v>30</v>
      </c>
      <c r="L4" t="inlineStr">
        <is>
          <t>17 September 2026</t>
        </is>
      </c>
      <c r="M4" t="inlineStr">
        <is>
          <t>Konstruksi Gedung Perkantoran</t>
        </is>
      </c>
      <c r="N4" t="inlineStr">
        <is>
          <t>M</t>
        </is>
      </c>
      <c r="O4" t="inlineStr">
        <is>
          <t>20230904</t>
        </is>
      </c>
      <c r="P4" t="inlineStr">
        <is>
          <t>Jawa Barat</t>
        </is>
      </c>
      <c r="Q4" s="3">
        <f>HYPERLINK("https://wa.me/6282112353648?text=*[Pengingat Masa Berlaku SBU ARSYA PRATAMA RAYA]*%0A%0AYth. Pimpinan ARSYA PRATAMA RAYA,%0AMohon izin menginformasikan status SBU Anda:%0A%0A📄 SBU: BG002%0A📅 Expired: 17 September 2026 (30 Hari Lagi)%0A%0AKami tim PT. ESDEA Assistance Management siap men-support proses perpanjangan segera agar administrasi proyek tidak terhambat%0A%0AApakah boleh saya bantu siapkan estimasi biaya dan waktu pengerjaannya?.", "Hubungi")</f>
        <v/>
      </c>
    </row>
    <row r="5">
      <c r="A5" t="inlineStr">
        <is>
          <t>BANJAR SAGU-SAGU</t>
        </is>
      </c>
      <c r="B5" t="inlineStr">
        <is>
          <t>Kota Bekasi</t>
        </is>
      </c>
      <c r="C5" t="inlineStr">
        <is>
          <t>02182428634</t>
        </is>
      </c>
      <c r="D5" t="inlineStr">
        <is>
          <t>banjar.sagusagu@yahoo.com</t>
        </is>
      </c>
      <c r="E5" t="inlineStr">
        <is>
          <t>https://lpjk.pu.go.id/search-badan-usaha-detail/V0Z6WVIyTUhHTHhOblc1V0I5b1lJUT09</t>
        </is>
      </c>
      <c r="F5" t="n">
        <v>1</v>
      </c>
      <c r="G5" t="inlineStr">
        <is>
          <t>BG006</t>
        </is>
      </c>
      <c r="H5" t="inlineStr">
        <is>
          <t>8 Januari 2015</t>
        </is>
      </c>
      <c r="I5" s="2" t="n">
        <v>46282</v>
      </c>
      <c r="J5" t="inlineStr">
        <is>
          <t>Disetujui</t>
        </is>
      </c>
      <c r="K5" t="n">
        <v>30</v>
      </c>
      <c r="L5" t="inlineStr">
        <is>
          <t>17 September 2026</t>
        </is>
      </c>
      <c r="M5" t="inlineStr">
        <is>
          <t>Konstruksi Gedung Pendidikan</t>
        </is>
      </c>
      <c r="N5" t="inlineStr">
        <is>
          <t>K</t>
        </is>
      </c>
      <c r="O5" t="inlineStr">
        <is>
          <t>20230913</t>
        </is>
      </c>
      <c r="P5" t="inlineStr">
        <is>
          <t>Jawa Barat</t>
        </is>
      </c>
      <c r="Q5" t="inlineStr"/>
    </row>
    <row r="6">
      <c r="A6" t="inlineStr">
        <is>
          <t>CATUR PUTRA MANUNGGAL</t>
        </is>
      </c>
      <c r="B6" t="inlineStr">
        <is>
          <t>Kota Adm. Jakarta Timur</t>
        </is>
      </c>
      <c r="C6" t="inlineStr">
        <is>
          <t>02122466436</t>
        </is>
      </c>
      <c r="D6" t="inlineStr">
        <is>
          <t>cpm.jakartagardencity@gmail.com</t>
        </is>
      </c>
      <c r="E6" t="inlineStr">
        <is>
          <t>https://lpjk.pu.go.id/search-badan-usaha-detail/YlpWMnZmakNhcnRzZmZaYS9ZeUJXdz09</t>
        </is>
      </c>
      <c r="F6" t="n">
        <v>2</v>
      </c>
      <c r="G6" t="inlineStr">
        <is>
          <t>PL003, PL004</t>
        </is>
      </c>
      <c r="H6" t="inlineStr">
        <is>
          <t>9 Februari 1999</t>
        </is>
      </c>
      <c r="I6" s="2" t="n">
        <v>46282</v>
      </c>
      <c r="J6" t="inlineStr">
        <is>
          <t>Disetujui</t>
        </is>
      </c>
      <c r="K6" t="n">
        <v>30</v>
      </c>
      <c r="L6" t="inlineStr">
        <is>
          <t>17 September 2026</t>
        </is>
      </c>
      <c r="M6" t="inlineStr">
        <is>
          <t>Pekerjaan Tanah, Penyiapan Lahan Konstruksi</t>
        </is>
      </c>
      <c r="N6" t="inlineStr">
        <is>
          <t>Spesialis</t>
        </is>
      </c>
      <c r="O6" t="inlineStr">
        <is>
          <t>20230904, 20230905</t>
        </is>
      </c>
      <c r="P6" t="inlineStr">
        <is>
          <t>DKI Jakarta</t>
        </is>
      </c>
      <c r="Q6" t="inlineStr"/>
    </row>
    <row r="7">
      <c r="A7" t="inlineStr">
        <is>
          <t>FIRNIE ALATAZ MALANIHAT</t>
        </is>
      </c>
      <c r="B7" t="inlineStr">
        <is>
          <t>Kab. Bogor</t>
        </is>
      </c>
      <c r="C7" t="inlineStr">
        <is>
          <t>08119104023</t>
        </is>
      </c>
      <c r="D7" t="inlineStr">
        <is>
          <t>berkahfam@yahoo.com</t>
        </is>
      </c>
      <c r="E7" t="inlineStr">
        <is>
          <t>https://lpjk.pu.go.id/search-badan-usaha-detail/R2dUVWFIaWZJOE5oTnI1NmlWVTN5Zz09</t>
        </is>
      </c>
      <c r="F7" t="n">
        <v>3</v>
      </c>
      <c r="G7" t="inlineStr">
        <is>
          <t>BS001, BS007, BS009</t>
        </is>
      </c>
      <c r="H7" t="inlineStr">
        <is>
          <t>24 September 2021</t>
        </is>
      </c>
      <c r="I7" s="2" t="n">
        <v>46282</v>
      </c>
      <c r="J7" t="inlineStr">
        <is>
          <t>Disetujui</t>
        </is>
      </c>
      <c r="K7" t="n">
        <v>30</v>
      </c>
      <c r="L7" t="inlineStr">
        <is>
          <t>17 September 2026</t>
        </is>
      </c>
      <c r="M7" t="inlineStr">
        <is>
          <t>Konstruksi Bangunan Sipil Elektrikal, Konstruksi Bangunan Sipil Jalan, Konstruksi Sentral Telekomunikasi</t>
        </is>
      </c>
      <c r="N7" t="inlineStr">
        <is>
          <t>K</t>
        </is>
      </c>
      <c r="O7" t="inlineStr">
        <is>
          <t>20230914, 20230915</t>
        </is>
      </c>
      <c r="P7" t="inlineStr">
        <is>
          <t>Jawa Barat</t>
        </is>
      </c>
      <c r="Q7" s="3">
        <f>HYPERLINK("https://wa.me/628119104023?text=*[Pengingat Masa Berlaku SBU FIRNIE ALATAZ MALANIHAT]*%0A%0AYth. Pimpinan FIRNIE ALATAZ MALANIHAT,%0AMohon izin menginformasikan status SBU Anda:%0A%0A📄 SBU: BS001, BS007, BS009%0A📅 Expired: 17 September 2026 (30 Hari Lagi)%0A%0AKami tim PT. ESDEA Assistance Management siap men-support proses perpanjangan segera agar administrasi proyek tidak terhambat%0A%0AApakah boleh saya bantu siapkan estimasi biaya dan waktu pengerjaannya?.", "Hubungi")</f>
        <v/>
      </c>
    </row>
    <row r="8">
      <c r="A8" t="inlineStr">
        <is>
          <t>KARYA GEMILANG UTAMA</t>
        </is>
      </c>
      <c r="B8" t="inlineStr">
        <is>
          <t>Kota Bekasi</t>
        </is>
      </c>
      <c r="C8" t="inlineStr">
        <is>
          <t>818910796</t>
        </is>
      </c>
      <c r="D8" t="inlineStr">
        <is>
          <t>ptkaryagemilangutama05@gmail.com</t>
        </is>
      </c>
      <c r="E8" t="inlineStr">
        <is>
          <t>https://lpjk.pu.go.id/search-badan-usaha-detail/V2QzQ2p5THg4UHlWZE16QVQvR3VWQT09</t>
        </is>
      </c>
      <c r="F8" t="n">
        <v>1</v>
      </c>
      <c r="G8" t="inlineStr">
        <is>
          <t>BS002</t>
        </is>
      </c>
      <c r="H8" t="inlineStr">
        <is>
          <t>29 Desember 2004</t>
        </is>
      </c>
      <c r="I8" s="2" t="n">
        <v>46282</v>
      </c>
      <c r="J8" t="inlineStr">
        <is>
          <t>Disetujui</t>
        </is>
      </c>
      <c r="K8" t="n">
        <v>30</v>
      </c>
      <c r="L8" t="inlineStr">
        <is>
          <t>17 September 2026</t>
        </is>
      </c>
      <c r="M8" t="inlineStr">
        <is>
          <t>Bangunan Sipil Jembatan, Jalan Layang, Fly Over, dan Underpass</t>
        </is>
      </c>
      <c r="N8" t="inlineStr">
        <is>
          <t>K</t>
        </is>
      </c>
      <c r="O8" t="inlineStr">
        <is>
          <t>20230916</t>
        </is>
      </c>
      <c r="P8" t="inlineStr">
        <is>
          <t>Jawa Barat</t>
        </is>
      </c>
      <c r="Q8" s="3">
        <f>HYPERLINK("https://wa.me/62818910796?text=*[Pengingat Masa Berlaku SBU KARYA GEMILANG UTAMA]*%0A%0AYth. Pimpinan KARYA GEMILANG UTAMA,%0AMohon izin menginformasikan status SBU Anda:%0A%0A📄 SBU: BS002%0A📅 Expired: 17 September 2026 (30 Hari Lagi)%0A%0AKami tim PT. ESDEA Assistance Management siap men-support proses perpanjangan segera agar administrasi proyek tidak terhambat%0A%0AApakah boleh saya bantu siapkan estimasi biaya dan waktu pengerjaannya?.", "Hubungi")</f>
        <v/>
      </c>
    </row>
    <row r="9">
      <c r="A9" t="inlineStr">
        <is>
          <t>MARINEZ EL RAZAN</t>
        </is>
      </c>
      <c r="B9" t="inlineStr">
        <is>
          <t>Kota Bogor</t>
        </is>
      </c>
      <c r="C9" t="inlineStr">
        <is>
          <t>081927484380</t>
        </is>
      </c>
      <c r="D9" t="inlineStr">
        <is>
          <t>marinez.razan@gmail.com</t>
        </is>
      </c>
      <c r="E9" t="inlineStr">
        <is>
          <t>https://lpjk.pu.go.id/search-badan-usaha-detail/ejRlcW5OSUlrcUNpbEtiWEt1MmU2UT09</t>
        </is>
      </c>
      <c r="F9" t="n">
        <v>2</v>
      </c>
      <c r="G9" t="inlineStr">
        <is>
          <t>BG006, BS006</t>
        </is>
      </c>
      <c r="H9" t="inlineStr">
        <is>
          <t>22 Juni 2012</t>
        </is>
      </c>
      <c r="I9" s="2" t="n">
        <v>46282</v>
      </c>
      <c r="J9" t="inlineStr">
        <is>
          <t>Disetujui</t>
        </is>
      </c>
      <c r="K9" t="n">
        <v>30</v>
      </c>
      <c r="L9" t="inlineStr">
        <is>
          <t>17 September 2026</t>
        </is>
      </c>
      <c r="M9" t="inlineStr">
        <is>
          <t>Konstruksi Bangunan Sipil Prasarana dan Sarana Sistem Pengolahan Limbah Padat, Cair, dan Gas, Konstruksi Gedung Pendidikan</t>
        </is>
      </c>
      <c r="N9" t="inlineStr">
        <is>
          <t>K</t>
        </is>
      </c>
      <c r="O9" t="inlineStr">
        <is>
          <t>20230915</t>
        </is>
      </c>
      <c r="P9" t="inlineStr">
        <is>
          <t>Jawa Barat</t>
        </is>
      </c>
      <c r="Q9" s="3">
        <f>HYPERLINK("https://wa.me/6281927484380?text=*[Pengingat Masa Berlaku SBU MARINEZ EL RAZAN]*%0A%0AYth. Pimpinan MARINEZ EL RAZAN,%0AMohon izin menginformasikan status SBU Anda:%0A%0A📄 SBU: BG006, BS006%0A📅 Expired: 17 September 2026 (30 Hari Lagi)%0A%0AKami tim PT. ESDEA Assistance Management siap men-support proses perpanjangan segera agar administrasi proyek tidak terhambat%0A%0AApakah boleh saya bantu siapkan estimasi biaya dan waktu pengerjaannya?.", "Hubungi")</f>
        <v/>
      </c>
    </row>
    <row r="10">
      <c r="A10" t="inlineStr">
        <is>
          <t>MATARAM JAYA SEJATI</t>
        </is>
      </c>
      <c r="B10" t="inlineStr">
        <is>
          <t>Kota Adm. Jakarta Timur</t>
        </is>
      </c>
      <c r="C10" t="inlineStr">
        <is>
          <t>081284131323</t>
        </is>
      </c>
      <c r="D10" t="inlineStr">
        <is>
          <t>mataramjayasejati@gmail.com</t>
        </is>
      </c>
      <c r="E10" t="inlineStr">
        <is>
          <t>https://lpjk.pu.go.id/search-badan-usaha-detail/RFIrdUhSN0lSS0ZwQ3hvaHI1NTlRQT09</t>
        </is>
      </c>
      <c r="F10" t="n">
        <v>4</v>
      </c>
      <c r="G10" t="inlineStr">
        <is>
          <t>BG005, BG009</t>
        </is>
      </c>
      <c r="H10" t="inlineStr">
        <is>
          <t>6 Desember 2021</t>
        </is>
      </c>
      <c r="I10" s="2" t="n">
        <v>46282</v>
      </c>
      <c r="J10" t="inlineStr">
        <is>
          <t>Disetujui</t>
        </is>
      </c>
      <c r="K10" t="n">
        <v>30</v>
      </c>
      <c r="L10" t="inlineStr">
        <is>
          <t>17 September 2026</t>
        </is>
      </c>
      <c r="M10" t="inlineStr">
        <is>
          <t>Konstruksi Gedung Kesehatan, Konstruksi Gedung Lainnya</t>
        </is>
      </c>
      <c r="N10" t="inlineStr">
        <is>
          <t>K</t>
        </is>
      </c>
      <c r="O10" t="inlineStr">
        <is>
          <t>20230913, 20230914</t>
        </is>
      </c>
      <c r="P10" t="inlineStr">
        <is>
          <t>DKI Jakarta</t>
        </is>
      </c>
      <c r="Q10" s="3">
        <f>HYPERLINK("https://wa.me/6281284131323?text=*[Pengingat Masa Berlaku SBU MATARAM JAYA SEJATI]*%0A%0AYth. Pimpinan MATARAM JAYA SEJATI,%0AMohon izin menginformasikan status SBU Anda:%0A%0A📄 SBU: BG005, BG009%0A📅 Expired: 17 September 2026 (30 Hari Lagi)%0A%0AKami tim PT. ESDEA Assistance Management siap men-support proses perpanjangan segera agar administrasi proyek tidak terhambat%0A%0AApakah boleh saya bantu siapkan estimasi biaya dan waktu pengerjaannya?.", "Hubungi")</f>
        <v/>
      </c>
    </row>
    <row r="11">
      <c r="A11" t="inlineStr">
        <is>
          <t>MEGAH GELORA UTAMA</t>
        </is>
      </c>
      <c r="B11" t="inlineStr">
        <is>
          <t>Kota Bekasi</t>
        </is>
      </c>
      <c r="C11" t="inlineStr">
        <is>
          <t>081310066673</t>
        </is>
      </c>
      <c r="D11" t="inlineStr">
        <is>
          <t>megah.gelora.utama@gmail.com</t>
        </is>
      </c>
      <c r="E11" t="inlineStr">
        <is>
          <t>https://lpjk.pu.go.id/search-badan-usaha-detail/VzhSWWl4QjFkN1pMci9WTGdzcUVJZz09</t>
        </is>
      </c>
      <c r="F11" t="n">
        <v>4</v>
      </c>
      <c r="G11" t="inlineStr">
        <is>
          <t>BG002, BG006</t>
        </is>
      </c>
      <c r="H11" t="inlineStr">
        <is>
          <t>22 September 2014</t>
        </is>
      </c>
      <c r="I11" s="2" t="n">
        <v>46282</v>
      </c>
      <c r="J11" t="inlineStr">
        <is>
          <t>Disetujui, Pencabutan</t>
        </is>
      </c>
      <c r="K11" t="n">
        <v>30</v>
      </c>
      <c r="L11" t="inlineStr">
        <is>
          <t>17 September 2026</t>
        </is>
      </c>
      <c r="M11" t="inlineStr">
        <is>
          <t>Konstruksi Gedung Pendidikan, Konstruksi Gedung Perkantoran</t>
        </is>
      </c>
      <c r="N11" t="inlineStr">
        <is>
          <t>K</t>
        </is>
      </c>
      <c r="O11" t="inlineStr">
        <is>
          <t>20230916, 20230917</t>
        </is>
      </c>
      <c r="P11" t="inlineStr">
        <is>
          <t>Jawa Barat</t>
        </is>
      </c>
      <c r="Q11" s="3">
        <f>HYPERLINK("https://wa.me/6281310066673?text=*[Pengingat Masa Berlaku SBU MEGAH GELORA UTAMA]*%0A%0AYth. Pimpinan MEGAH GELORA UTAMA,%0AMohon izin menginformasikan status SBU Anda:%0A%0A📄 SBU: BG002, BG006%0A📅 Expired: 17 September 2026 (30 Hari Lagi)%0A%0AKami tim PT. ESDEA Assistance Management siap men-support proses perpanjangan segera agar administrasi proyek tidak terhambat%0A%0AApakah boleh saya bantu siapkan estimasi biaya dan waktu pengerjaannya?.", "Hubungi")</f>
        <v/>
      </c>
    </row>
    <row r="12">
      <c r="A12" t="inlineStr">
        <is>
          <t>MORA JAYA</t>
        </is>
      </c>
      <c r="B12" t="inlineStr">
        <is>
          <t>Kota Adm. Jakarta Timur</t>
        </is>
      </c>
      <c r="C12" t="inlineStr">
        <is>
          <t>02129840526</t>
        </is>
      </c>
      <c r="D12" t="inlineStr">
        <is>
          <t>morajaya456@gmail.com</t>
        </is>
      </c>
      <c r="E12" t="inlineStr">
        <is>
          <t>https://lpjk.pu.go.id/search-badan-usaha-detail/WWlqeEVoS0VrWEYvOXBUcGRJdXY4Zz09</t>
        </is>
      </c>
      <c r="F12" t="n">
        <v>2</v>
      </c>
      <c r="G12" t="inlineStr">
        <is>
          <t>BS004, BS006</t>
        </is>
      </c>
      <c r="H12" t="inlineStr">
        <is>
          <t>22 Maret 2018</t>
        </is>
      </c>
      <c r="I12" s="2" t="n">
        <v>46282</v>
      </c>
      <c r="J12" t="inlineStr">
        <is>
          <t>Pencabutan</t>
        </is>
      </c>
      <c r="K12" t="n">
        <v>30</v>
      </c>
      <c r="L12" t="inlineStr">
        <is>
          <t>17 September 2026</t>
        </is>
      </c>
      <c r="M12" t="inlineStr">
        <is>
          <t>Konstruksi Bangunan Sipil Prasarana dan Sarana Sistem Pengolahan Limbah Padat, Cair, dan Gas, Konstruksi Jaringan Irigasi dan Drainase</t>
        </is>
      </c>
      <c r="N12" t="inlineStr">
        <is>
          <t>K</t>
        </is>
      </c>
      <c r="O12" t="inlineStr">
        <is>
          <t>20230728, 20230915</t>
        </is>
      </c>
      <c r="P12" t="inlineStr">
        <is>
          <t>DKI Jakarta</t>
        </is>
      </c>
      <c r="Q12" t="inlineStr"/>
    </row>
    <row r="13">
      <c r="A13" t="inlineStr">
        <is>
          <t>PANCANAKA INDONESIA</t>
        </is>
      </c>
      <c r="B13" t="inlineStr">
        <is>
          <t>Kota Adm. Jakarta Timur</t>
        </is>
      </c>
      <c r="C13" t="inlineStr">
        <is>
          <t>08125430125</t>
        </is>
      </c>
      <c r="D13" t="inlineStr">
        <is>
          <t>pancanakaindonesia@gmail.com</t>
        </is>
      </c>
      <c r="E13" t="inlineStr">
        <is>
          <t>https://lpjk.pu.go.id/search-badan-usaha-detail/MkdpTjFHd0xmRkovWDFxRWs2c2NoZz09</t>
        </is>
      </c>
      <c r="F13" t="n">
        <v>2</v>
      </c>
      <c r="G13" t="inlineStr">
        <is>
          <t>BG001</t>
        </is>
      </c>
      <c r="H13" t="inlineStr">
        <is>
          <t>11 November 2011</t>
        </is>
      </c>
      <c r="I13" s="2" t="n">
        <v>46282</v>
      </c>
      <c r="J13" t="inlineStr">
        <is>
          <t>Pencabutan</t>
        </is>
      </c>
      <c r="K13" t="n">
        <v>30</v>
      </c>
      <c r="L13" t="inlineStr">
        <is>
          <t>17 September 2026</t>
        </is>
      </c>
      <c r="M13" t="inlineStr">
        <is>
          <t>Konstruksi Gedung Hunian</t>
        </is>
      </c>
      <c r="N13" t="inlineStr">
        <is>
          <t>K</t>
        </is>
      </c>
      <c r="O13" t="inlineStr">
        <is>
          <t>20230901</t>
        </is>
      </c>
      <c r="P13" t="inlineStr">
        <is>
          <t>DKI Jakarta</t>
        </is>
      </c>
      <c r="Q13" s="3">
        <f>HYPERLINK("https://wa.me/628125430125?text=*[Pengingat Masa Berlaku SBU PANCANAKA INDONESIA]*%0A%0AYth. Pimpinan PANCANAKA INDONESIA,%0AMohon izin menginformasikan status SBU Anda:%0A%0A📄 SBU: BG001%0A📅 Expired: 17 September 2026 (30 Hari Lagi)%0A%0AKami tim PT. ESDEA Assistance Management siap men-support proses perpanjangan segera agar administrasi proyek tidak terhambat%0A%0AApakah boleh saya bantu siapkan estimasi biaya dan waktu pengerjaannya?.", "Hubungi")</f>
        <v/>
      </c>
    </row>
    <row r="14">
      <c r="A14" t="inlineStr">
        <is>
          <t>PUTRA BAGUS KUNING</t>
        </is>
      </c>
      <c r="B14" t="inlineStr">
        <is>
          <t>Kota Depok</t>
        </is>
      </c>
      <c r="C14" t="inlineStr">
        <is>
          <t>02184592009</t>
        </is>
      </c>
      <c r="D14" t="inlineStr">
        <is>
          <t>info@putra-bk.com</t>
        </is>
      </c>
      <c r="E14" t="inlineStr">
        <is>
          <t>https://lpjk.pu.go.id/search-badan-usaha-detail/a2pjUkRlV3NNTlNoVWVEamg3bHJEQT09</t>
        </is>
      </c>
      <c r="F14" t="n">
        <v>2</v>
      </c>
      <c r="G14" t="inlineStr">
        <is>
          <t>BG001, BG002</t>
        </is>
      </c>
      <c r="H14" t="inlineStr">
        <is>
          <t>20 Mei 2016</t>
        </is>
      </c>
      <c r="I14" s="2" t="n">
        <v>46282</v>
      </c>
      <c r="J14" t="inlineStr">
        <is>
          <t>Disetujui</t>
        </is>
      </c>
      <c r="K14" t="n">
        <v>30</v>
      </c>
      <c r="L14" t="inlineStr">
        <is>
          <t>17 September 2026</t>
        </is>
      </c>
      <c r="M14" t="inlineStr">
        <is>
          <t>Konstruksi Gedung Hunian, Konstruksi Gedung Perkantoran</t>
        </is>
      </c>
      <c r="N14" t="inlineStr">
        <is>
          <t>K</t>
        </is>
      </c>
      <c r="O14" t="inlineStr">
        <is>
          <t>20230912</t>
        </is>
      </c>
      <c r="P14" t="inlineStr">
        <is>
          <t>Jawa Barat</t>
        </is>
      </c>
      <c r="Q14" t="inlineStr"/>
    </row>
    <row r="15">
      <c r="A15" t="inlineStr">
        <is>
          <t>RETINDO JAYA</t>
        </is>
      </c>
      <c r="B15" t="inlineStr">
        <is>
          <t>Kota Bekasi</t>
        </is>
      </c>
      <c r="C15" t="inlineStr">
        <is>
          <t>02184301092</t>
        </is>
      </c>
      <c r="D15" t="inlineStr">
        <is>
          <t>info_retindo@yahoo.com</t>
        </is>
      </c>
      <c r="E15" t="inlineStr">
        <is>
          <t>https://lpjk.pu.go.id/search-badan-usaha-detail/S0xaZEtxVVhQeCtRamszb1k4em1Ydz09</t>
        </is>
      </c>
      <c r="F15" t="n">
        <v>4</v>
      </c>
      <c r="G15" t="inlineStr">
        <is>
          <t>BG003, BG004, BG005, BG007</t>
        </is>
      </c>
      <c r="H15" t="inlineStr">
        <is>
          <t>12 Juli 2001</t>
        </is>
      </c>
      <c r="I15" s="2" t="n">
        <v>46282</v>
      </c>
      <c r="J15" t="inlineStr">
        <is>
          <t>Disetujui</t>
        </is>
      </c>
      <c r="K15" t="n">
        <v>30</v>
      </c>
      <c r="L15" t="inlineStr">
        <is>
          <t>17 September 2026</t>
        </is>
      </c>
      <c r="M15" t="inlineStr">
        <is>
          <t>Konstruksi Gedung Industri, Konstruksi Gedung Kesehatan, Konstruksi Gedung Penginapan, Konstruksi Gedung Perbelanjaan</t>
        </is>
      </c>
      <c r="N15" t="inlineStr">
        <is>
          <t>M</t>
        </is>
      </c>
      <c r="O15" t="inlineStr">
        <is>
          <t>20230906</t>
        </is>
      </c>
      <c r="P15" t="inlineStr">
        <is>
          <t>Jawa Barat</t>
        </is>
      </c>
      <c r="Q15" t="inlineStr"/>
    </row>
    <row r="16">
      <c r="A16" t="inlineStr">
        <is>
          <t>TAMANSARI TIGA ENAM PULUH</t>
        </is>
      </c>
      <c r="B16" t="inlineStr">
        <is>
          <t>Kab. Bogor</t>
        </is>
      </c>
      <c r="C16" t="inlineStr">
        <is>
          <t>081284889277</t>
        </is>
      </c>
      <c r="D16" t="inlineStr">
        <is>
          <t>tamansari360@gmail.com</t>
        </is>
      </c>
      <c r="E16" t="inlineStr">
        <is>
          <t>https://lpjk.pu.go.id/search-badan-usaha-detail/VGhScjdFWUhkam1kR0psdUNpSzV4dz09</t>
        </is>
      </c>
      <c r="F16" t="n">
        <v>9</v>
      </c>
      <c r="G16" t="inlineStr">
        <is>
          <t>BG008, BG009, BS005</t>
        </is>
      </c>
      <c r="H16" t="inlineStr">
        <is>
          <t>27 Januari 2017</t>
        </is>
      </c>
      <c r="I16" s="2" t="n">
        <v>46282</v>
      </c>
      <c r="J16" t="inlineStr">
        <is>
          <t>Disetujui</t>
        </is>
      </c>
      <c r="K16" t="n">
        <v>30</v>
      </c>
      <c r="L16" t="inlineStr">
        <is>
          <t>17 September 2026</t>
        </is>
      </c>
      <c r="M16" t="inlineStr">
        <is>
          <t>Konstruksi Bangunan Sipil Pengolahan Air Bersih, Konstruksi Gedung Lainnya, Konstruksi Gedung Tempat Hiburan dan Olahraga</t>
        </is>
      </c>
      <c r="N16" t="inlineStr">
        <is>
          <t>K</t>
        </is>
      </c>
      <c r="O16" t="inlineStr">
        <is>
          <t>20230918, 20230920</t>
        </is>
      </c>
      <c r="P16" t="inlineStr">
        <is>
          <t>Jawa Barat</t>
        </is>
      </c>
      <c r="Q16" s="3">
        <f>HYPERLINK("https://wa.me/6281284889277?text=*[Pengingat Masa Berlaku SBU TAMANSARI TIGA ENAM PULUH]*%0A%0AYth. Pimpinan TAMANSARI TIGA ENAM PULUH,%0AMohon izin menginformasikan status SBU Anda:%0A%0A📄 SBU: BG008, BG009, BS005%0A📅 Expired: 17 September 2026 (30 Hari Lagi)%0A%0AKami tim PT. ESDEA Assistance Management siap men-support proses perpanjangan segera agar administrasi proyek tidak terhambat%0A%0AApakah boleh saya bantu siapkan estimasi biaya dan waktu pengerjaannya?.", "Hubungi")</f>
        <v/>
      </c>
    </row>
    <row r="17">
      <c r="A17" t="inlineStr">
        <is>
          <t>ADHI BANGUN SARANA</t>
        </is>
      </c>
      <c r="B17" t="inlineStr">
        <is>
          <t>Kota Malang</t>
        </is>
      </c>
      <c r="C17" t="inlineStr">
        <is>
          <t>081232207979</t>
        </is>
      </c>
      <c r="D17" t="inlineStr">
        <is>
          <t>adhibangunsarana@gmail.com</t>
        </is>
      </c>
      <c r="E17" t="inlineStr">
        <is>
          <t>https://lpjk.pu.go.id/search-badan-usaha-detail/eG1HM1NSalQrQUxXcW5zYzcwQWVJQT09</t>
        </is>
      </c>
      <c r="F17" t="n">
        <v>1</v>
      </c>
      <c r="G17" t="inlineStr">
        <is>
          <t>BG005</t>
        </is>
      </c>
      <c r="H17" t="inlineStr">
        <is>
          <t>23 Agustus 2023</t>
        </is>
      </c>
      <c r="I17" s="2" t="n">
        <v>46282</v>
      </c>
      <c r="J17" t="inlineStr">
        <is>
          <t>Disetujui</t>
        </is>
      </c>
      <c r="K17" t="n">
        <v>30</v>
      </c>
      <c r="L17" t="inlineStr">
        <is>
          <t>17 September 2026</t>
        </is>
      </c>
      <c r="M17" t="inlineStr">
        <is>
          <t>Konstruksi Gedung Kesehatan</t>
        </is>
      </c>
      <c r="N17" t="inlineStr">
        <is>
          <t>K</t>
        </is>
      </c>
      <c r="O17" t="inlineStr">
        <is>
          <t>20230907</t>
        </is>
      </c>
      <c r="P17" t="inlineStr">
        <is>
          <t>Jawa Timur</t>
        </is>
      </c>
      <c r="Q17" t="inlineStr"/>
    </row>
    <row r="18">
      <c r="A18" t="inlineStr">
        <is>
          <t>ADHI RAJASA KARYA</t>
        </is>
      </c>
      <c r="B18" t="inlineStr">
        <is>
          <t>Kab. Muna</t>
        </is>
      </c>
      <c r="C18" t="inlineStr">
        <is>
          <t>082196750775</t>
        </is>
      </c>
      <c r="D18" t="inlineStr">
        <is>
          <t>adhirajasakarya02@gmail.com</t>
        </is>
      </c>
      <c r="E18" t="inlineStr">
        <is>
          <t>https://lpjk.pu.go.id/search-badan-usaha-detail/Z0dDQ2p4bGc5c25yWXdOMW5USm5yQT09</t>
        </is>
      </c>
      <c r="F18" t="n">
        <v>1</v>
      </c>
      <c r="G18" t="inlineStr">
        <is>
          <t>BS005</t>
        </is>
      </c>
      <c r="H18" t="inlineStr">
        <is>
          <t>15 Februari 2023</t>
        </is>
      </c>
      <c r="I18" s="2" t="n">
        <v>46282</v>
      </c>
      <c r="J18" t="inlineStr">
        <is>
          <t>Disetujui</t>
        </is>
      </c>
      <c r="K18" t="n">
        <v>30</v>
      </c>
      <c r="L18" t="inlineStr">
        <is>
          <t>17 September 2026</t>
        </is>
      </c>
      <c r="M18" t="inlineStr">
        <is>
          <t>Konstruksi Bangunan Sipil Pengolahan Air Bersih</t>
        </is>
      </c>
      <c r="N18" t="inlineStr">
        <is>
          <t>K</t>
        </is>
      </c>
      <c r="O18" t="inlineStr">
        <is>
          <t>20230915</t>
        </is>
      </c>
      <c r="P18" t="inlineStr">
        <is>
          <t>Sulawesi Tenggara</t>
        </is>
      </c>
      <c r="Q18" t="inlineStr"/>
    </row>
    <row r="19">
      <c r="A19" t="inlineStr">
        <is>
          <t>ADILOKA KHATULISTIWA</t>
        </is>
      </c>
      <c r="B19" t="inlineStr">
        <is>
          <t>Kab. Indramayu</t>
        </is>
      </c>
      <c r="C19" t="inlineStr">
        <is>
          <t>+6282115808950</t>
        </is>
      </c>
      <c r="D19" t="inlineStr">
        <is>
          <t>adiloka.cv@gmail.com</t>
        </is>
      </c>
      <c r="E19" t="inlineStr">
        <is>
          <t>https://lpjk.pu.go.id/search-badan-usaha-detail/SGFoZ1dacmpkdkxGdzRIaFVqWHUvQT09</t>
        </is>
      </c>
      <c r="F19" t="n">
        <v>2</v>
      </c>
      <c r="G19" t="inlineStr">
        <is>
          <t>BG006</t>
        </is>
      </c>
      <c r="H19" t="inlineStr">
        <is>
          <t>6 September 2023</t>
        </is>
      </c>
      <c r="I19" s="2" t="n">
        <v>46282</v>
      </c>
      <c r="J19" t="inlineStr">
        <is>
          <t>Disetujui</t>
        </is>
      </c>
      <c r="K19" t="n">
        <v>30</v>
      </c>
      <c r="L19" t="inlineStr">
        <is>
          <t>17 September 2026</t>
        </is>
      </c>
      <c r="M19" t="inlineStr">
        <is>
          <t>Konstruksi Gedung Pendidikan</t>
        </is>
      </c>
      <c r="N19" t="inlineStr">
        <is>
          <t>K</t>
        </is>
      </c>
      <c r="O19" t="inlineStr">
        <is>
          <t>20230915</t>
        </is>
      </c>
      <c r="P19" t="inlineStr">
        <is>
          <t>Jawa Barat</t>
        </is>
      </c>
      <c r="Q19" t="inlineStr"/>
    </row>
    <row r="20">
      <c r="A20" t="inlineStr">
        <is>
          <t>ADITYA PRANATA</t>
        </is>
      </c>
      <c r="B20" t="inlineStr">
        <is>
          <t>Kab. Bangka</t>
        </is>
      </c>
      <c r="C20" t="inlineStr">
        <is>
          <t>085283603236</t>
        </is>
      </c>
      <c r="D20" t="inlineStr">
        <is>
          <t>cv_aditya_pranata@yahoo.co.id</t>
        </is>
      </c>
      <c r="E20" t="inlineStr">
        <is>
          <t>https://lpjk.pu.go.id/search-badan-usaha-detail/RC9IcjJmU2dHVnYrQXBNeXRzOUJuZz09</t>
        </is>
      </c>
      <c r="F20" t="n">
        <v>4</v>
      </c>
      <c r="G20" t="inlineStr">
        <is>
          <t>BG006, BS001, BS004</t>
        </is>
      </c>
      <c r="H20" t="inlineStr">
        <is>
          <t>22 Januari 2013</t>
        </is>
      </c>
      <c r="I20" s="2" t="n">
        <v>46282</v>
      </c>
      <c r="J20" t="inlineStr">
        <is>
          <t>Disetujui</t>
        </is>
      </c>
      <c r="K20" t="n">
        <v>30</v>
      </c>
      <c r="L20" t="inlineStr">
        <is>
          <t>17 September 2026</t>
        </is>
      </c>
      <c r="M20" t="inlineStr">
        <is>
          <t>Konstruksi Bangunan Sipil Jalan, Konstruksi Gedung Pendidikan, Konstruksi Jaringan Irigasi dan Drainase</t>
        </is>
      </c>
      <c r="N20" t="inlineStr">
        <is>
          <t>K</t>
        </is>
      </c>
      <c r="O20" t="inlineStr">
        <is>
          <t>20230914</t>
        </is>
      </c>
      <c r="P20" t="inlineStr">
        <is>
          <t>Kepulauan Bangka Belitung</t>
        </is>
      </c>
      <c r="Q20" t="inlineStr"/>
    </row>
    <row r="21">
      <c r="A21" t="inlineStr">
        <is>
          <t>AGUNG ABADI</t>
        </is>
      </c>
      <c r="B21" t="inlineStr">
        <is>
          <t>Kab. Boyolali</t>
        </is>
      </c>
      <c r="C21" t="inlineStr">
        <is>
          <t>085728802913</t>
        </is>
      </c>
      <c r="D21" t="inlineStr">
        <is>
          <t>cv.agung.abadi.byl@gmail.com</t>
        </is>
      </c>
      <c r="E21" t="inlineStr">
        <is>
          <t>https://lpjk.pu.go.id/search-badan-usaha-detail/U1dobXpvMmk0dXB2RGtaWTFwcnl3Zz09</t>
        </is>
      </c>
      <c r="F21" t="n">
        <v>12</v>
      </c>
      <c r="G21" t="inlineStr">
        <is>
          <t>BG002, BG005, BG006, BG009, BS001, BS004</t>
        </is>
      </c>
      <c r="H21" t="inlineStr">
        <is>
          <t>7 Februari 1997</t>
        </is>
      </c>
      <c r="I21" s="2" t="n">
        <v>46282</v>
      </c>
      <c r="J21" t="inlineStr">
        <is>
          <t>Disetujui</t>
        </is>
      </c>
      <c r="K21" t="n">
        <v>30</v>
      </c>
      <c r="L21" t="inlineStr">
        <is>
          <t>17 September 2026</t>
        </is>
      </c>
      <c r="M21" t="inlineStr">
        <is>
          <t>Konstruksi Bangunan Sipil Jalan, Konstruksi Gedung Kesehatan, Konstruksi Gedung Lainnya, Konstruksi Gedung Pendidikan, Konstruksi Gedung Perkantoran, Konstruksi Jaringan Irigasi dan Drainase</t>
        </is>
      </c>
      <c r="N21" t="inlineStr">
        <is>
          <t>K</t>
        </is>
      </c>
      <c r="O21" t="inlineStr">
        <is>
          <t>20230914, 20230918, 20230919</t>
        </is>
      </c>
      <c r="P21" t="inlineStr">
        <is>
          <t>Jawa Tengah</t>
        </is>
      </c>
      <c r="Q21" t="inlineStr"/>
    </row>
    <row r="22">
      <c r="A22" t="inlineStr">
        <is>
          <t>AKSA INDO MANUFAKTUR</t>
        </is>
      </c>
      <c r="B22" t="inlineStr">
        <is>
          <t>Kota Palu</t>
        </is>
      </c>
      <c r="C22" t="inlineStr">
        <is>
          <t>08114534393</t>
        </is>
      </c>
      <c r="D22" t="inlineStr">
        <is>
          <t>aksaindomanufaktur@gmail.com</t>
        </is>
      </c>
      <c r="E22" t="inlineStr">
        <is>
          <t>https://lpjk.pu.go.id/search-badan-usaha-detail/L1B1WkZTR1dpTUIzVkRXSkpJL01vdz09</t>
        </is>
      </c>
      <c r="F22" t="n">
        <v>1</v>
      </c>
      <c r="G22" t="inlineStr">
        <is>
          <t>BG009</t>
        </is>
      </c>
      <c r="H22" t="inlineStr">
        <is>
          <t>9 Januari 2023</t>
        </is>
      </c>
      <c r="I22" s="2" t="n">
        <v>46282</v>
      </c>
      <c r="J22" t="inlineStr">
        <is>
          <t>Disetujui</t>
        </is>
      </c>
      <c r="K22" t="n">
        <v>30</v>
      </c>
      <c r="L22" t="inlineStr">
        <is>
          <t>17 September 2026</t>
        </is>
      </c>
      <c r="M22" t="inlineStr">
        <is>
          <t>Konstruksi Gedung Lainnya</t>
        </is>
      </c>
      <c r="N22" t="inlineStr">
        <is>
          <t>K</t>
        </is>
      </c>
      <c r="O22" t="inlineStr">
        <is>
          <t>20230914</t>
        </is>
      </c>
      <c r="P22" t="inlineStr">
        <is>
          <t>Sulawesi Tengah</t>
        </is>
      </c>
      <c r="Q22" t="inlineStr"/>
    </row>
    <row r="23">
      <c r="A23" t="inlineStr">
        <is>
          <t>ALAM HASIL MULIA</t>
        </is>
      </c>
      <c r="B23" t="inlineStr">
        <is>
          <t>Kota Adm. Jakarta Barat</t>
        </is>
      </c>
      <c r="C23" t="inlineStr">
        <is>
          <t>08111575995</t>
        </is>
      </c>
      <c r="D23" t="inlineStr">
        <is>
          <t>alamhasilmulia@gmail.com</t>
        </is>
      </c>
      <c r="E23" t="inlineStr">
        <is>
          <t>https://lpjk.pu.go.id/search-badan-usaha-detail/dzVWQXdrTXZWVnprVlp0T2JrOWNpdz09</t>
        </is>
      </c>
      <c r="F23" t="n">
        <v>1</v>
      </c>
      <c r="G23" t="inlineStr">
        <is>
          <t>BG009</t>
        </is>
      </c>
      <c r="H23" t="inlineStr">
        <is>
          <t>6 April 2023</t>
        </is>
      </c>
      <c r="I23" s="2" t="n">
        <v>46282</v>
      </c>
      <c r="J23" t="inlineStr">
        <is>
          <t>Disetujui</t>
        </is>
      </c>
      <c r="K23" t="n">
        <v>30</v>
      </c>
      <c r="L23" t="inlineStr">
        <is>
          <t>17 September 2026</t>
        </is>
      </c>
      <c r="M23" t="inlineStr">
        <is>
          <t>Konstruksi Gedung Lainnya</t>
        </is>
      </c>
      <c r="N23" t="inlineStr">
        <is>
          <t>K</t>
        </is>
      </c>
      <c r="O23" t="inlineStr">
        <is>
          <t>20230825</t>
        </is>
      </c>
      <c r="P23" t="inlineStr">
        <is>
          <t>DKI Jakarta</t>
        </is>
      </c>
      <c r="Q23" t="inlineStr"/>
    </row>
    <row r="24">
      <c r="A24" t="inlineStr">
        <is>
          <t>ALFIAN DINAMIKA ENGINEER</t>
        </is>
      </c>
      <c r="B24" t="inlineStr">
        <is>
          <t>Kota Pontianak</t>
        </is>
      </c>
      <c r="C24" t="inlineStr">
        <is>
          <t>085245010122</t>
        </is>
      </c>
      <c r="D24" t="inlineStr">
        <is>
          <t>alfian.dinamika@gmail.com</t>
        </is>
      </c>
      <c r="E24" t="inlineStr">
        <is>
          <t>https://lpjk.pu.go.id/search-badan-usaha-detail/aHR0Wm1td3NsNjBJN2pEQXNhS0JNdz09</t>
        </is>
      </c>
      <c r="F24" t="n">
        <v>6</v>
      </c>
      <c r="G24" t="inlineStr">
        <is>
          <t>BG001, BG002, BG005, BG006, BG009, BS001</t>
        </is>
      </c>
      <c r="H24" t="inlineStr">
        <is>
          <t>22 Juni 2012</t>
        </is>
      </c>
      <c r="I24" s="2" t="n">
        <v>46282</v>
      </c>
      <c r="J24" t="inlineStr">
        <is>
          <t>Disetujui</t>
        </is>
      </c>
      <c r="K24" t="n">
        <v>30</v>
      </c>
      <c r="L24" t="inlineStr">
        <is>
          <t>17 September 2026</t>
        </is>
      </c>
      <c r="M24" t="inlineStr">
        <is>
          <t>Konstruksi Bangunan Sipil Jalan, Konstruksi Gedung Hunian, Konstruksi Gedung Kesehatan, Konstruksi Gedung Lainnya, Konstruksi Gedung Pendidikan, Konstruksi Gedung Perkantoran</t>
        </is>
      </c>
      <c r="N24" t="inlineStr">
        <is>
          <t>K</t>
        </is>
      </c>
      <c r="O24" t="inlineStr">
        <is>
          <t>20230913, 20230915</t>
        </is>
      </c>
      <c r="P24" t="inlineStr">
        <is>
          <t>Kalimantan Barat</t>
        </is>
      </c>
      <c r="Q24" t="inlineStr"/>
    </row>
    <row r="25">
      <c r="A25" t="inlineStr">
        <is>
          <t>ALPHA CENTAURI INTERNATIONAL</t>
        </is>
      </c>
      <c r="B25" t="inlineStr">
        <is>
          <t>Kota Adm. Jakarta Selatan</t>
        </is>
      </c>
      <c r="C25" t="inlineStr">
        <is>
          <t>02180641967</t>
        </is>
      </c>
      <c r="D25" t="inlineStr">
        <is>
          <t>corporate@alphacentauri.id</t>
        </is>
      </c>
      <c r="E25" t="inlineStr">
        <is>
          <t>https://lpjk.pu.go.id/search-badan-usaha-detail/cWI0UkpxQ05rWDdCUnNBek1ZSGNSQT09</t>
        </is>
      </c>
      <c r="F25" t="n">
        <v>3</v>
      </c>
      <c r="G25" t="inlineStr">
        <is>
          <t>BG002, BG005, BG009</t>
        </is>
      </c>
      <c r="H25" t="inlineStr">
        <is>
          <t>25 Juni 2016</t>
        </is>
      </c>
      <c r="I25" s="2" t="n">
        <v>46282</v>
      </c>
      <c r="J25" t="inlineStr">
        <is>
          <t>Pencabutan</t>
        </is>
      </c>
      <c r="K25" t="n">
        <v>30</v>
      </c>
      <c r="L25" t="inlineStr">
        <is>
          <t>17 September 2026</t>
        </is>
      </c>
      <c r="M25" t="inlineStr">
        <is>
          <t>Konstruksi Gedung Kesehatan, Konstruksi Gedung Lainnya, Konstruksi Gedung Perkantoran</t>
        </is>
      </c>
      <c r="N25" t="inlineStr">
        <is>
          <t>K</t>
        </is>
      </c>
      <c r="O25" t="inlineStr">
        <is>
          <t>20230906, 20230914</t>
        </is>
      </c>
      <c r="P25" t="inlineStr">
        <is>
          <t>DKI Jakarta</t>
        </is>
      </c>
      <c r="Q25" t="inlineStr"/>
    </row>
    <row r="26">
      <c r="A26" t="inlineStr">
        <is>
          <t>ALPHA OMEGA TERMAL</t>
        </is>
      </c>
      <c r="B26" t="inlineStr">
        <is>
          <t>Kota Surabaya</t>
        </is>
      </c>
      <c r="C26" t="inlineStr">
        <is>
          <t>0315030287</t>
        </is>
      </c>
      <c r="D26" t="inlineStr">
        <is>
          <t>info@cv-ao.com</t>
        </is>
      </c>
      <c r="E26" t="inlineStr">
        <is>
          <t>https://lpjk.pu.go.id/search-badan-usaha-detail/Q0JmWlI3Rzh4ZkhYZXB1OVBKR0pUZz09</t>
        </is>
      </c>
      <c r="F26" t="n">
        <v>1</v>
      </c>
      <c r="G26" t="inlineStr">
        <is>
          <t>IN001</t>
        </is>
      </c>
      <c r="H26" t="inlineStr">
        <is>
          <t>11 September 2017</t>
        </is>
      </c>
      <c r="I26" s="2" t="n">
        <v>46282</v>
      </c>
      <c r="J26" t="inlineStr">
        <is>
          <t>Disetujui</t>
        </is>
      </c>
      <c r="K26" t="n">
        <v>30</v>
      </c>
      <c r="L26" t="inlineStr">
        <is>
          <t>17 September 2026</t>
        </is>
      </c>
      <c r="M26" t="inlineStr">
        <is>
          <t>Instalasi Mekanikal</t>
        </is>
      </c>
      <c r="N26" t="inlineStr">
        <is>
          <t>Spesialis</t>
        </is>
      </c>
      <c r="O26" t="inlineStr">
        <is>
          <t>20230913</t>
        </is>
      </c>
      <c r="P26" t="inlineStr">
        <is>
          <t>Jawa Timur</t>
        </is>
      </c>
      <c r="Q26" t="inlineStr"/>
    </row>
    <row r="27">
      <c r="A27" t="inlineStr">
        <is>
          <t>ANEKA RAYA KONSTRUKSI</t>
        </is>
      </c>
      <c r="B27" t="inlineStr">
        <is>
          <t>Kab. Sintang</t>
        </is>
      </c>
      <c r="C27" t="inlineStr">
        <is>
          <t>085251585682</t>
        </is>
      </c>
      <c r="D27" t="inlineStr">
        <is>
          <t>anekarayakontruktion@gmail.com</t>
        </is>
      </c>
      <c r="E27" t="inlineStr">
        <is>
          <t>https://lpjk.pu.go.id/search-badan-usaha-detail/UUt2OUc4NzQzemtEdVo3bURLK2twZz09</t>
        </is>
      </c>
      <c r="F27" t="n">
        <v>2</v>
      </c>
      <c r="G27" t="inlineStr">
        <is>
          <t>BS001</t>
        </is>
      </c>
      <c r="H27" t="inlineStr">
        <is>
          <t>6 Februari 2023</t>
        </is>
      </c>
      <c r="I27" s="2" t="n">
        <v>46282</v>
      </c>
      <c r="J27" t="inlineStr">
        <is>
          <t>Disetujui</t>
        </is>
      </c>
      <c r="K27" t="n">
        <v>30</v>
      </c>
      <c r="L27" t="inlineStr">
        <is>
          <t>17 September 2026</t>
        </is>
      </c>
      <c r="M27" t="inlineStr">
        <is>
          <t>Konstruksi Bangunan Sipil Jalan</t>
        </is>
      </c>
      <c r="N27" t="inlineStr">
        <is>
          <t>K</t>
        </is>
      </c>
      <c r="O27" t="inlineStr">
        <is>
          <t>20230910</t>
        </is>
      </c>
      <c r="P27" t="inlineStr">
        <is>
          <t>Kalimantan Barat</t>
        </is>
      </c>
      <c r="Q27" t="inlineStr"/>
    </row>
    <row r="28">
      <c r="A28" t="inlineStr">
        <is>
          <t>ANGGREK TEKNIK</t>
        </is>
      </c>
      <c r="B28" t="inlineStr">
        <is>
          <t>Kab. Lombok Tengah</t>
        </is>
      </c>
      <c r="C28" t="inlineStr">
        <is>
          <t>08175738507</t>
        </is>
      </c>
      <c r="D28" t="inlineStr">
        <is>
          <t>cvanggrekteknik@gmail.com</t>
        </is>
      </c>
      <c r="E28" t="inlineStr">
        <is>
          <t>https://lpjk.pu.go.id/search-badan-usaha-detail/RW1tQ2Z2ZU5tSHlFeVk0R0NlNUlUZz09</t>
        </is>
      </c>
      <c r="F28" t="n">
        <v>1</v>
      </c>
      <c r="G28" t="inlineStr">
        <is>
          <t>BG009</t>
        </is>
      </c>
      <c r="H28" t="inlineStr">
        <is>
          <t>24 November 2021</t>
        </is>
      </c>
      <c r="I28" s="2" t="n">
        <v>46282</v>
      </c>
      <c r="J28" t="inlineStr">
        <is>
          <t>Pencabutan</t>
        </is>
      </c>
      <c r="K28" t="n">
        <v>30</v>
      </c>
      <c r="L28" t="inlineStr">
        <is>
          <t>17 September 2026</t>
        </is>
      </c>
      <c r="M28" t="inlineStr">
        <is>
          <t>Konstruksi Gedung Lainnya</t>
        </is>
      </c>
      <c r="N28" t="inlineStr">
        <is>
          <t>K</t>
        </is>
      </c>
      <c r="O28" t="inlineStr">
        <is>
          <t>20230915</t>
        </is>
      </c>
      <c r="P28" t="inlineStr">
        <is>
          <t>Nusa Tenggara Barat</t>
        </is>
      </c>
      <c r="Q28" t="inlineStr"/>
    </row>
    <row r="29">
      <c r="A29" t="inlineStr">
        <is>
          <t>ANTIKA PURNAMA JAYA</t>
        </is>
      </c>
      <c r="B29" t="inlineStr">
        <is>
          <t>Kab. Gresik</t>
        </is>
      </c>
      <c r="C29" t="inlineStr">
        <is>
          <t>081334714500</t>
        </is>
      </c>
      <c r="D29" t="inlineStr">
        <is>
          <t>cv.antikapurnamajaya@gmail.com</t>
        </is>
      </c>
      <c r="E29" t="inlineStr">
        <is>
          <t>https://lpjk.pu.go.id/search-badan-usaha-detail/UUM1T3ZQNXduaTJlMHVESkc0aXZMdz09</t>
        </is>
      </c>
      <c r="F29" t="n">
        <v>3</v>
      </c>
      <c r="G29" t="inlineStr">
        <is>
          <t>BG002, BG006, BG009</t>
        </is>
      </c>
      <c r="H29" t="inlineStr">
        <is>
          <t>21 Februari 2023</t>
        </is>
      </c>
      <c r="I29" s="2" t="n">
        <v>46282</v>
      </c>
      <c r="J29" t="inlineStr">
        <is>
          <t>Disetujui</t>
        </is>
      </c>
      <c r="K29" t="n">
        <v>30</v>
      </c>
      <c r="L29" t="inlineStr">
        <is>
          <t>17 September 2026</t>
        </is>
      </c>
      <c r="M29" t="inlineStr">
        <is>
          <t>Konstruksi Gedung Lainnya, Konstruksi Gedung Pendidikan, Konstruksi Gedung Perkantoran</t>
        </is>
      </c>
      <c r="N29" t="inlineStr">
        <is>
          <t>K</t>
        </is>
      </c>
      <c r="O29" t="inlineStr">
        <is>
          <t>20230903</t>
        </is>
      </c>
      <c r="P29" t="inlineStr">
        <is>
          <t>Jawa Timur</t>
        </is>
      </c>
      <c r="Q29" t="inlineStr"/>
    </row>
    <row r="30">
      <c r="A30" t="inlineStr">
        <is>
          <t>ANUGERAH DUA PUTRI</t>
        </is>
      </c>
      <c r="B30" t="inlineStr">
        <is>
          <t>Kota Pekanbaru</t>
        </is>
      </c>
      <c r="C30" t="inlineStr">
        <is>
          <t>081378202755</t>
        </is>
      </c>
      <c r="D30" t="inlineStr">
        <is>
          <t>anugerahduaputri@gmail.com</t>
        </is>
      </c>
      <c r="E30" t="inlineStr">
        <is>
          <t>https://lpjk.pu.go.id/search-badan-usaha-detail/aXBuNklUWmFUNUxpVEpjK0FRV0s0UT09</t>
        </is>
      </c>
      <c r="F30" t="n">
        <v>1</v>
      </c>
      <c r="G30" t="inlineStr">
        <is>
          <t>BG001</t>
        </is>
      </c>
      <c r="H30" t="inlineStr">
        <is>
          <t>2 November 2020</t>
        </is>
      </c>
      <c r="I30" s="2" t="n">
        <v>46282</v>
      </c>
      <c r="J30" t="inlineStr">
        <is>
          <t>Disetujui</t>
        </is>
      </c>
      <c r="K30" t="n">
        <v>30</v>
      </c>
      <c r="L30" t="inlineStr">
        <is>
          <t>17 September 2026</t>
        </is>
      </c>
      <c r="M30" t="inlineStr">
        <is>
          <t>Konstruksi Gedung Hunian</t>
        </is>
      </c>
      <c r="N30" t="inlineStr">
        <is>
          <t>K</t>
        </is>
      </c>
      <c r="O30" t="inlineStr">
        <is>
          <t>20230912</t>
        </is>
      </c>
      <c r="P30" t="inlineStr">
        <is>
          <t>Riau</t>
        </is>
      </c>
      <c r="Q30" t="inlineStr"/>
    </row>
    <row r="31">
      <c r="A31" t="inlineStr">
        <is>
          <t>ANUGERAH SETIA PERDANA</t>
        </is>
      </c>
      <c r="B31" t="inlineStr">
        <is>
          <t>Kota Palembang</t>
        </is>
      </c>
      <c r="C31" t="inlineStr">
        <is>
          <t>0711519738</t>
        </is>
      </c>
      <c r="D31" t="inlineStr">
        <is>
          <t>pt.anugerahsetia@gmail.com</t>
        </is>
      </c>
      <c r="E31" t="inlineStr">
        <is>
          <t>https://lpjk.pu.go.id/search-badan-usaha-detail/VFZWcmw3YUxqVkk5cUw1RzQxNnFNdz09</t>
        </is>
      </c>
      <c r="F31" t="n">
        <v>2</v>
      </c>
      <c r="G31" t="inlineStr">
        <is>
          <t>BG001, BG009</t>
        </is>
      </c>
      <c r="H31" t="inlineStr">
        <is>
          <t>21 April 2010</t>
        </is>
      </c>
      <c r="I31" s="2" t="n">
        <v>46282</v>
      </c>
      <c r="J31" t="inlineStr">
        <is>
          <t>Disetujui</t>
        </is>
      </c>
      <c r="K31" t="n">
        <v>30</v>
      </c>
      <c r="L31" t="inlineStr">
        <is>
          <t>17 September 2026</t>
        </is>
      </c>
      <c r="M31" t="inlineStr">
        <is>
          <t>Konstruksi Gedung Hunian, Konstruksi Gedung Lainnya</t>
        </is>
      </c>
      <c r="N31" t="inlineStr">
        <is>
          <t>K</t>
        </is>
      </c>
      <c r="O31" t="inlineStr">
        <is>
          <t>20230912, 20230913</t>
        </is>
      </c>
      <c r="P31" t="inlineStr">
        <is>
          <t>Sumatera Selatan</t>
        </is>
      </c>
      <c r="Q31" t="inlineStr"/>
    </row>
    <row r="32">
      <c r="A32" t="inlineStr">
        <is>
          <t>ARIE POETRA</t>
        </is>
      </c>
      <c r="B32" t="inlineStr">
        <is>
          <t>Kota Palembang</t>
        </is>
      </c>
      <c r="C32" t="inlineStr">
        <is>
          <t>081377744435</t>
        </is>
      </c>
      <c r="D32" t="inlineStr">
        <is>
          <t>cv.ariepoetra@gmail.com</t>
        </is>
      </c>
      <c r="E32" t="inlineStr">
        <is>
          <t>https://lpjk.pu.go.id/search-badan-usaha-detail/d2Q3M2k1UEphdzRxMUd3VHlxcXBsZz09</t>
        </is>
      </c>
      <c r="F32" t="n">
        <v>1</v>
      </c>
      <c r="G32" t="inlineStr">
        <is>
          <t>BS001</t>
        </is>
      </c>
      <c r="H32" t="inlineStr">
        <is>
          <t>9 Januari 2009</t>
        </is>
      </c>
      <c r="I32" s="2" t="n">
        <v>46282</v>
      </c>
      <c r="J32" t="inlineStr">
        <is>
          <t>Disetujui</t>
        </is>
      </c>
      <c r="K32" t="n">
        <v>30</v>
      </c>
      <c r="L32" t="inlineStr">
        <is>
          <t>17 September 2026</t>
        </is>
      </c>
      <c r="M32" t="inlineStr">
        <is>
          <t>Konstruksi Bangunan Sipil Jalan</t>
        </is>
      </c>
      <c r="N32" t="inlineStr">
        <is>
          <t>K</t>
        </is>
      </c>
      <c r="O32" t="inlineStr">
        <is>
          <t>20230916</t>
        </is>
      </c>
      <c r="P32" t="inlineStr">
        <is>
          <t>Sumatera Selatan</t>
        </is>
      </c>
      <c r="Q32" t="inlineStr"/>
    </row>
    <row r="33">
      <c r="A33" t="inlineStr">
        <is>
          <t>ARKA WINATA JAYA</t>
        </is>
      </c>
      <c r="B33" t="inlineStr">
        <is>
          <t>Kota Palembang</t>
        </is>
      </c>
      <c r="C33" t="inlineStr">
        <is>
          <t>081379207770</t>
        </is>
      </c>
      <c r="D33" t="inlineStr">
        <is>
          <t>cvarkawinatajaya@gmail.com</t>
        </is>
      </c>
      <c r="E33" t="inlineStr">
        <is>
          <t>https://lpjk.pu.go.id/search-badan-usaha-detail/WUM4cU83WHorRXhZRVk2eCs2QXh4QT09</t>
        </is>
      </c>
      <c r="F33" t="n">
        <v>1</v>
      </c>
      <c r="G33" t="inlineStr">
        <is>
          <t>BS004</t>
        </is>
      </c>
      <c r="H33" t="inlineStr">
        <is>
          <t>31 Januari 2023</t>
        </is>
      </c>
      <c r="I33" s="2" t="n">
        <v>46282</v>
      </c>
      <c r="J33" t="inlineStr">
        <is>
          <t>Pencabutan</t>
        </is>
      </c>
      <c r="K33" t="n">
        <v>30</v>
      </c>
      <c r="L33" t="inlineStr">
        <is>
          <t>17 September 2026</t>
        </is>
      </c>
      <c r="M33" t="inlineStr">
        <is>
          <t>Konstruksi Jaringan Irigasi dan Drainase</t>
        </is>
      </c>
      <c r="N33" t="inlineStr">
        <is>
          <t>K</t>
        </is>
      </c>
      <c r="O33" t="inlineStr">
        <is>
          <t>20230913</t>
        </is>
      </c>
      <c r="P33" t="inlineStr">
        <is>
          <t>Sumatera Selatan</t>
        </is>
      </c>
      <c r="Q33" t="inlineStr"/>
    </row>
    <row r="34">
      <c r="A34" t="inlineStr">
        <is>
          <t>ARKANANTA KARYA KONSTRUKSI</t>
        </is>
      </c>
      <c r="B34" t="inlineStr">
        <is>
          <t>Kota Samarinda</t>
        </is>
      </c>
      <c r="C34" t="inlineStr">
        <is>
          <t>08125476643</t>
        </is>
      </c>
      <c r="D34" t="inlineStr">
        <is>
          <t>cv.arkanantakaryakonstruksi@gmail.com</t>
        </is>
      </c>
      <c r="E34" t="inlineStr">
        <is>
          <t>https://lpjk.pu.go.id/search-badan-usaha-detail/bElRMzdNcFFFbU9icVd4Wmt2ZXFpUT09</t>
        </is>
      </c>
      <c r="F34" t="n">
        <v>24</v>
      </c>
      <c r="G34" t="inlineStr">
        <is>
          <t>BG001, BG002, BG005, BG006, BS001, BS004</t>
        </is>
      </c>
      <c r="H34" t="inlineStr">
        <is>
          <t>6 Januari 2023</t>
        </is>
      </c>
      <c r="I34" s="2" t="n">
        <v>46282</v>
      </c>
      <c r="J34" t="inlineStr">
        <is>
          <t>Disetujui</t>
        </is>
      </c>
      <c r="K34" t="n">
        <v>30</v>
      </c>
      <c r="L34" t="inlineStr">
        <is>
          <t>17 September 2026</t>
        </is>
      </c>
      <c r="M34" t="inlineStr">
        <is>
          <t>Konstruksi Bangunan Sipil Jalan, Konstruksi Gedung Hunian, Konstruksi Gedung Kesehatan, Konstruksi Gedung Pendidikan, Konstruksi Gedung Perkantoran, Konstruksi Jaringan Irigasi dan Drainase</t>
        </is>
      </c>
      <c r="N34" t="inlineStr">
        <is>
          <t>K</t>
        </is>
      </c>
      <c r="O34" t="inlineStr">
        <is>
          <t>20230914, 20230916, 20230921</t>
        </is>
      </c>
      <c r="P34" t="inlineStr">
        <is>
          <t>Kalimantan Timur</t>
        </is>
      </c>
      <c r="Q34" t="inlineStr"/>
    </row>
    <row r="35">
      <c r="A35" t="inlineStr">
        <is>
          <t>ARSITA INTERKREASI</t>
        </is>
      </c>
      <c r="B35" t="inlineStr">
        <is>
          <t>Kota Adm. Jakarta Pusat</t>
        </is>
      </c>
      <c r="C35" t="inlineStr">
        <is>
          <t>0214892635</t>
        </is>
      </c>
      <c r="D35" t="inlineStr">
        <is>
          <t>arsitainter@cbn.net.id</t>
        </is>
      </c>
      <c r="E35" t="inlineStr">
        <is>
          <t>https://lpjk.pu.go.id/search-badan-usaha-detail/TFN1c0M3VVI3L1pGbjh3RWxBSkoyQT09</t>
        </is>
      </c>
      <c r="F35" t="n">
        <v>2</v>
      </c>
      <c r="G35" t="inlineStr">
        <is>
          <t>AR001, AR003</t>
        </is>
      </c>
      <c r="H35" t="inlineStr">
        <is>
          <t>23 September 1991</t>
        </is>
      </c>
      <c r="I35" s="2" t="n">
        <v>46282</v>
      </c>
      <c r="J35" t="inlineStr">
        <is>
          <t>Disetujui</t>
        </is>
      </c>
      <c r="K35" t="n">
        <v>30</v>
      </c>
      <c r="L35" t="inlineStr">
        <is>
          <t>17 September 2026</t>
        </is>
      </c>
      <c r="M35" t="inlineStr">
        <is>
          <t>Jasa Arsitektural Bangunan Gedung Hunian dan Non Hunian, Jasa Desain Interior pada Bangunan Gedung dan Bangunan Sipil</t>
        </is>
      </c>
      <c r="N35" t="inlineStr">
        <is>
          <t>K</t>
        </is>
      </c>
      <c r="O35" t="inlineStr">
        <is>
          <t>20230905</t>
        </is>
      </c>
      <c r="P35" t="inlineStr">
        <is>
          <t>DKI Jakarta</t>
        </is>
      </c>
      <c r="Q35" t="inlineStr"/>
    </row>
    <row r="36">
      <c r="A36" t="inlineStr">
        <is>
          <t>ASIA CITRA KAYUBE</t>
        </is>
      </c>
      <c r="B36" t="inlineStr">
        <is>
          <t>Kab. Sumbawa Barat</t>
        </is>
      </c>
      <c r="C36" t="inlineStr">
        <is>
          <t>081339744047</t>
        </is>
      </c>
      <c r="D36" t="inlineStr">
        <is>
          <t>amjadkayube@gmail.com</t>
        </is>
      </c>
      <c r="E36" t="inlineStr">
        <is>
          <t>https://lpjk.pu.go.id/search-badan-usaha-detail/VXFQYm1rL2pSSkRkZ1VJMi9ROUxUQT09</t>
        </is>
      </c>
      <c r="F36" t="n">
        <v>4</v>
      </c>
      <c r="G36" t="inlineStr">
        <is>
          <t>BG002, BG005, BG006, BS004</t>
        </is>
      </c>
      <c r="H36" t="inlineStr">
        <is>
          <t>21 Desember 2009</t>
        </is>
      </c>
      <c r="I36" s="2" t="n">
        <v>46282</v>
      </c>
      <c r="J36" t="inlineStr">
        <is>
          <t>Pencabutan</t>
        </is>
      </c>
      <c r="K36" t="n">
        <v>30</v>
      </c>
      <c r="L36" t="inlineStr">
        <is>
          <t>17 September 2026</t>
        </is>
      </c>
      <c r="M36" t="inlineStr">
        <is>
          <t>Konstruksi Gedung Kesehatan, Konstruksi Gedung Pendidikan, Konstruksi Gedung Perkantoran, Konstruksi Jaringan Irigasi dan Drainase</t>
        </is>
      </c>
      <c r="N36" t="inlineStr">
        <is>
          <t>K</t>
        </is>
      </c>
      <c r="O36" t="inlineStr">
        <is>
          <t>20230918, 20230919</t>
        </is>
      </c>
      <c r="P36" t="inlineStr">
        <is>
          <t>Nusa Tenggara Barat</t>
        </is>
      </c>
      <c r="Q36" t="inlineStr"/>
    </row>
    <row r="37">
      <c r="A37" t="inlineStr">
        <is>
          <t>ATMAJAYA</t>
        </is>
      </c>
      <c r="B37" t="inlineStr">
        <is>
          <t>Kab. Ponorogo</t>
        </is>
      </c>
      <c r="C37" t="inlineStr">
        <is>
          <t>0352 7526 70__</t>
        </is>
      </c>
      <c r="D37" t="inlineStr">
        <is>
          <t>purwantosumoroto@gmail.com</t>
        </is>
      </c>
      <c r="E37" t="inlineStr">
        <is>
          <t>https://lpjk.pu.go.id/search-badan-usaha-detail/T09naXVNKzQ1V0hGOCtvNjZiLzRtUT09</t>
        </is>
      </c>
      <c r="F37" t="n">
        <v>2</v>
      </c>
      <c r="G37" t="inlineStr">
        <is>
          <t>BG005</t>
        </is>
      </c>
      <c r="H37" t="inlineStr">
        <is>
          <t>15 Januari 2014</t>
        </is>
      </c>
      <c r="I37" s="2" t="n">
        <v>46282</v>
      </c>
      <c r="J37" t="inlineStr">
        <is>
          <t>Disetujui</t>
        </is>
      </c>
      <c r="K37" t="n">
        <v>30</v>
      </c>
      <c r="L37" t="inlineStr">
        <is>
          <t>17 September 2026</t>
        </is>
      </c>
      <c r="M37" t="inlineStr">
        <is>
          <t>Konstruksi Gedung Kesehatan</t>
        </is>
      </c>
      <c r="N37" t="inlineStr">
        <is>
          <t>K</t>
        </is>
      </c>
      <c r="O37" t="inlineStr">
        <is>
          <t>20230913</t>
        </is>
      </c>
      <c r="P37" t="inlineStr">
        <is>
          <t>Jawa Timur</t>
        </is>
      </c>
      <c r="Q37" t="inlineStr"/>
    </row>
    <row r="38">
      <c r="A38" t="inlineStr">
        <is>
          <t>AUFA SUKSES BAROKAH</t>
        </is>
      </c>
      <c r="B38" t="inlineStr">
        <is>
          <t>Kota Jambi</t>
        </is>
      </c>
      <c r="C38" t="inlineStr">
        <is>
          <t>081315499185</t>
        </is>
      </c>
      <c r="D38" t="inlineStr">
        <is>
          <t>cvaufasuksesbarokah@gmail.com</t>
        </is>
      </c>
      <c r="E38" t="inlineStr">
        <is>
          <t>https://lpjk.pu.go.id/search-badan-usaha-detail/bnhmOFgrVTQwOEhzcTE2SDNZekxVQT09</t>
        </is>
      </c>
      <c r="F38" t="n">
        <v>5</v>
      </c>
      <c r="G38" t="inlineStr">
        <is>
          <t>BG001, BG002, BG004, BG006, BG009</t>
        </is>
      </c>
      <c r="H38" t="inlineStr">
        <is>
          <t>1 November 2022</t>
        </is>
      </c>
      <c r="I38" s="2" t="n">
        <v>46282</v>
      </c>
      <c r="J38" t="inlineStr">
        <is>
          <t>Disetujui</t>
        </is>
      </c>
      <c r="K38" t="n">
        <v>30</v>
      </c>
      <c r="L38" t="inlineStr">
        <is>
          <t>17 September 2026</t>
        </is>
      </c>
      <c r="M38" t="inlineStr">
        <is>
          <t>Konstruksi Gedung Hunian, Konstruksi Gedung Lainnya, Konstruksi Gedung Pendidikan, Konstruksi Gedung Perbelanjaan, Konstruksi Gedung Perkantoran</t>
        </is>
      </c>
      <c r="N38" t="inlineStr">
        <is>
          <t>K</t>
        </is>
      </c>
      <c r="O38" t="inlineStr">
        <is>
          <t>20230915</t>
        </is>
      </c>
      <c r="P38" t="inlineStr">
        <is>
          <t>Jambi</t>
        </is>
      </c>
      <c r="Q38" t="inlineStr"/>
    </row>
    <row r="39">
      <c r="A39" t="inlineStr">
        <is>
          <t>AWAN TRIBUANA MAJU</t>
        </is>
      </c>
      <c r="B39" t="inlineStr">
        <is>
          <t>Kota Pontianak</t>
        </is>
      </c>
      <c r="C39" t="inlineStr">
        <is>
          <t>08125729309</t>
        </is>
      </c>
      <c r="D39" t="inlineStr">
        <is>
          <t>awan_tribuanamaju@yahoo.com</t>
        </is>
      </c>
      <c r="E39" t="inlineStr">
        <is>
          <t>https://lpjk.pu.go.id/search-badan-usaha-detail/MHAzNm9oT2R6TFNZRXZoM2ZhTkNYdz09</t>
        </is>
      </c>
      <c r="F39" t="n">
        <v>2</v>
      </c>
      <c r="G39" t="inlineStr">
        <is>
          <t>BG001, BG009</t>
        </is>
      </c>
      <c r="H39" t="inlineStr">
        <is>
          <t>13 Agustus 2007</t>
        </is>
      </c>
      <c r="I39" s="2" t="n">
        <v>46282</v>
      </c>
      <c r="J39" t="inlineStr">
        <is>
          <t>Disetujui</t>
        </is>
      </c>
      <c r="K39" t="n">
        <v>30</v>
      </c>
      <c r="L39" t="inlineStr">
        <is>
          <t>17 September 2026</t>
        </is>
      </c>
      <c r="M39" t="inlineStr">
        <is>
          <t>Konstruksi Gedung Hunian, Konstruksi Gedung Lainnya</t>
        </is>
      </c>
      <c r="N39" t="inlineStr">
        <is>
          <t>K</t>
        </is>
      </c>
      <c r="O39" t="inlineStr">
        <is>
          <t>20230914, 20230915</t>
        </is>
      </c>
      <c r="P39" t="inlineStr">
        <is>
          <t>Kalimantan Barat</t>
        </is>
      </c>
      <c r="Q39" t="inlineStr"/>
    </row>
    <row r="40">
      <c r="A40" t="inlineStr">
        <is>
          <t>AWAN WIRAKARYA</t>
        </is>
      </c>
      <c r="B40" t="inlineStr">
        <is>
          <t>Kota Samarinda</t>
        </is>
      </c>
      <c r="C40" t="inlineStr">
        <is>
          <t>081549666696</t>
        </is>
      </c>
      <c r="D40" t="inlineStr">
        <is>
          <t>cv.awan.wirakarya@gmail.com</t>
        </is>
      </c>
      <c r="E40" t="inlineStr">
        <is>
          <t>https://lpjk.pu.go.id/search-badan-usaha-detail/NjlBd2ZGNDBZUWNkODNmMUZVOXd2UT09</t>
        </is>
      </c>
      <c r="F40" t="n">
        <v>4</v>
      </c>
      <c r="G40" t="inlineStr">
        <is>
          <t>BG002, BG006, BS001, BS004</t>
        </is>
      </c>
      <c r="H40" t="inlineStr">
        <is>
          <t>13 Februari 2023</t>
        </is>
      </c>
      <c r="I40" s="2" t="n">
        <v>46282</v>
      </c>
      <c r="J40" t="inlineStr">
        <is>
          <t>Disetujui</t>
        </is>
      </c>
      <c r="K40" t="n">
        <v>30</v>
      </c>
      <c r="L40" t="inlineStr">
        <is>
          <t>17 September 2026</t>
        </is>
      </c>
      <c r="M40" t="inlineStr">
        <is>
          <t>Konstruksi Bangunan Sipil Jalan, Konstruksi Gedung Pendidikan, Konstruksi Gedung Perkantoran, Konstruksi Jaringan Irigasi dan Drainase</t>
        </is>
      </c>
      <c r="N40" t="inlineStr">
        <is>
          <t>K</t>
        </is>
      </c>
      <c r="O40" t="inlineStr">
        <is>
          <t>20230915, 20230918</t>
        </is>
      </c>
      <c r="P40" t="inlineStr">
        <is>
          <t>Kalimantan Timur</t>
        </is>
      </c>
      <c r="Q40" t="inlineStr"/>
    </row>
    <row r="41">
      <c r="A41" t="inlineStr">
        <is>
          <t>AWANG SATRIA</t>
        </is>
      </c>
      <c r="B41" t="inlineStr">
        <is>
          <t>Kab. Siak</t>
        </is>
      </c>
      <c r="C41" t="inlineStr">
        <is>
          <t>081268145378</t>
        </is>
      </c>
      <c r="D41" t="inlineStr">
        <is>
          <t>jonpangaribuan@gmail.com</t>
        </is>
      </c>
      <c r="E41" t="inlineStr">
        <is>
          <t>https://lpjk.pu.go.id/search-badan-usaha-detail/Y3ZETFZDd2VQaHBJeEF4Z1BGRnlGdz09</t>
        </is>
      </c>
      <c r="F41" t="n">
        <v>8</v>
      </c>
      <c r="G41" t="inlineStr">
        <is>
          <t>BG001, BG005, BG006, BG009</t>
        </is>
      </c>
      <c r="H41" t="inlineStr">
        <is>
          <t>14 November 2000</t>
        </is>
      </c>
      <c r="I41" s="2" t="n">
        <v>46282</v>
      </c>
      <c r="J41" t="inlineStr">
        <is>
          <t>Disetujui</t>
        </is>
      </c>
      <c r="K41" t="n">
        <v>30</v>
      </c>
      <c r="L41" t="inlineStr">
        <is>
          <t>17 September 2026</t>
        </is>
      </c>
      <c r="M41" t="inlineStr">
        <is>
          <t>Konstruksi Gedung Hunian, Konstruksi Gedung Kesehatan, Konstruksi Gedung Lainnya, Konstruksi Gedung Pendidikan</t>
        </is>
      </c>
      <c r="N41" t="inlineStr">
        <is>
          <t>K</t>
        </is>
      </c>
      <c r="O41" t="inlineStr">
        <is>
          <t>20230912</t>
        </is>
      </c>
      <c r="P41" t="inlineStr">
        <is>
          <t>Riau</t>
        </is>
      </c>
      <c r="Q41" t="inlineStr"/>
    </row>
    <row r="42">
      <c r="A42" t="inlineStr">
        <is>
          <t>AZFAR KARYA LESTARI</t>
        </is>
      </c>
      <c r="B42" t="inlineStr">
        <is>
          <t>Kota Makassar</t>
        </is>
      </c>
      <c r="C42" t="inlineStr">
        <is>
          <t>081342424679</t>
        </is>
      </c>
      <c r="D42" t="inlineStr">
        <is>
          <t>azfarkaryalestari@gmail.com</t>
        </is>
      </c>
      <c r="E42" t="inlineStr">
        <is>
          <t>https://lpjk.pu.go.id/search-badan-usaha-detail/NXI4b0hxQjY4eTIwd2tCNE9YWFVVUT09</t>
        </is>
      </c>
      <c r="F42" t="n">
        <v>1</v>
      </c>
      <c r="G42" t="inlineStr">
        <is>
          <t>BG001</t>
        </is>
      </c>
      <c r="H42" t="inlineStr">
        <is>
          <t>20 Desember 2018</t>
        </is>
      </c>
      <c r="I42" s="2" t="n">
        <v>46282</v>
      </c>
      <c r="J42" t="inlineStr">
        <is>
          <t>Disetujui</t>
        </is>
      </c>
      <c r="K42" t="n">
        <v>30</v>
      </c>
      <c r="L42" t="inlineStr">
        <is>
          <t>17 September 2026</t>
        </is>
      </c>
      <c r="M42" t="inlineStr">
        <is>
          <t>Konstruksi Gedung Hunian</t>
        </is>
      </c>
      <c r="N42" t="inlineStr">
        <is>
          <t>K</t>
        </is>
      </c>
      <c r="O42" t="inlineStr">
        <is>
          <t>20230916</t>
        </is>
      </c>
      <c r="P42" t="inlineStr">
        <is>
          <t>Sulawesi Selatan</t>
        </is>
      </c>
      <c r="Q42" t="inlineStr"/>
    </row>
    <row r="43">
      <c r="A43" t="inlineStr">
        <is>
          <t>AZIZA</t>
        </is>
      </c>
      <c r="B43" t="inlineStr">
        <is>
          <t>Kab. Kolaka Timur</t>
        </is>
      </c>
      <c r="C43" t="inlineStr">
        <is>
          <t>085222201457</t>
        </is>
      </c>
      <c r="D43" t="inlineStr">
        <is>
          <t>azizaasman@gmail.com</t>
        </is>
      </c>
      <c r="E43" t="inlineStr">
        <is>
          <t>https://lpjk.pu.go.id/search-badan-usaha-detail/bW9mWVNIRzdXeXExc05MRWcrbU5Ydz09</t>
        </is>
      </c>
      <c r="F43" t="n">
        <v>3</v>
      </c>
      <c r="G43" t="inlineStr">
        <is>
          <t>BG006</t>
        </is>
      </c>
      <c r="H43" t="inlineStr">
        <is>
          <t>20 Januari 2014</t>
        </is>
      </c>
      <c r="I43" s="2" t="n">
        <v>46282</v>
      </c>
      <c r="J43" t="inlineStr">
        <is>
          <t>Disetujui</t>
        </is>
      </c>
      <c r="K43" t="n">
        <v>30</v>
      </c>
      <c r="L43" t="inlineStr">
        <is>
          <t>17 September 2026</t>
        </is>
      </c>
      <c r="M43" t="inlineStr">
        <is>
          <t>Konstruksi Gedung Pendidikan</t>
        </is>
      </c>
      <c r="N43" t="inlineStr">
        <is>
          <t>K</t>
        </is>
      </c>
      <c r="O43" t="inlineStr">
        <is>
          <t>20230914</t>
        </is>
      </c>
      <c r="P43" t="inlineStr">
        <is>
          <t>Sulawesi Tenggara</t>
        </is>
      </c>
      <c r="Q43" t="inlineStr"/>
    </row>
    <row r="44">
      <c r="A44" t="inlineStr">
        <is>
          <t>BANGUNCIPTA MEGAH PERSADA</t>
        </is>
      </c>
      <c r="B44" t="inlineStr">
        <is>
          <t>Kota Medan</t>
        </is>
      </c>
      <c r="C44" t="inlineStr">
        <is>
          <t>082166353339</t>
        </is>
      </c>
      <c r="D44" t="inlineStr">
        <is>
          <t>bmp248660@gmail.com</t>
        </is>
      </c>
      <c r="E44" t="inlineStr">
        <is>
          <t>https://lpjk.pu.go.id/search-badan-usaha-detail/RUM2V09wU1F6K3o2MHBNZFd3LzcxZz09</t>
        </is>
      </c>
      <c r="F44" t="n">
        <v>2</v>
      </c>
      <c r="G44" t="inlineStr">
        <is>
          <t>BG001</t>
        </is>
      </c>
      <c r="H44" t="inlineStr">
        <is>
          <t>15 Agustus 2022</t>
        </is>
      </c>
      <c r="I44" s="2" t="n">
        <v>46282</v>
      </c>
      <c r="J44" t="inlineStr">
        <is>
          <t>Disetujui</t>
        </is>
      </c>
      <c r="K44" t="n">
        <v>30</v>
      </c>
      <c r="L44" t="inlineStr">
        <is>
          <t>17 September 2026</t>
        </is>
      </c>
      <c r="M44" t="inlineStr">
        <is>
          <t>Konstruksi Gedung Hunian</t>
        </is>
      </c>
      <c r="N44" t="inlineStr">
        <is>
          <t>K</t>
        </is>
      </c>
      <c r="O44" t="inlineStr">
        <is>
          <t>20230913</t>
        </is>
      </c>
      <c r="P44" t="inlineStr">
        <is>
          <t>Sumatera Utara</t>
        </is>
      </c>
      <c r="Q44" t="inlineStr"/>
    </row>
    <row r="45">
      <c r="A45" t="inlineStr">
        <is>
          <t>BELANTARA KARYA BAKTI</t>
        </is>
      </c>
      <c r="B45" t="inlineStr">
        <is>
          <t>Kota Cilegon</t>
        </is>
      </c>
      <c r="C45" t="inlineStr">
        <is>
          <t>08179190997</t>
        </is>
      </c>
      <c r="D45" t="inlineStr">
        <is>
          <t>belantarakaryabakti@gmail.com</t>
        </is>
      </c>
      <c r="E45" t="inlineStr">
        <is>
          <t>https://lpjk.pu.go.id/search-badan-usaha-detail/SS8xTTZuWGVCRzhpWUpqdlNMTWdQUT09</t>
        </is>
      </c>
      <c r="F45" t="n">
        <v>6</v>
      </c>
      <c r="G45" t="inlineStr">
        <is>
          <t>BG003, BG006, BG009</t>
        </is>
      </c>
      <c r="H45" t="inlineStr">
        <is>
          <t>21 April 2014</t>
        </is>
      </c>
      <c r="I45" s="2" t="n">
        <v>46282</v>
      </c>
      <c r="J45" t="inlineStr">
        <is>
          <t>Disetujui</t>
        </is>
      </c>
      <c r="K45" t="n">
        <v>30</v>
      </c>
      <c r="L45" t="inlineStr">
        <is>
          <t>17 September 2026</t>
        </is>
      </c>
      <c r="M45" t="inlineStr">
        <is>
          <t>Konstruksi Gedung Industri, Konstruksi Gedung Lainnya, Konstruksi Gedung Pendidikan</t>
        </is>
      </c>
      <c r="N45" t="inlineStr">
        <is>
          <t>K</t>
        </is>
      </c>
      <c r="O45" t="inlineStr">
        <is>
          <t>20230915, 20230918, 20230919</t>
        </is>
      </c>
      <c r="P45" t="inlineStr">
        <is>
          <t>Banten</t>
        </is>
      </c>
      <c r="Q45" t="inlineStr"/>
    </row>
    <row r="46">
      <c r="A46" t="inlineStr">
        <is>
          <t>BERKAH MANDIRI BATULICIN</t>
        </is>
      </c>
      <c r="B46" t="inlineStr">
        <is>
          <t>Kab. Tanah Bumbu</t>
        </is>
      </c>
      <c r="C46" t="inlineStr">
        <is>
          <t>081392534916</t>
        </is>
      </c>
      <c r="D46" t="inlineStr">
        <is>
          <t>berkahmandiribatulicin@gmail.com</t>
        </is>
      </c>
      <c r="E46" t="inlineStr">
        <is>
          <t>https://lpjk.pu.go.id/search-badan-usaha-detail/TXFmYzRCTklCR0E2eGZRL1hrSmJBQT09</t>
        </is>
      </c>
      <c r="F46" t="n">
        <v>8</v>
      </c>
      <c r="G46" t="inlineStr">
        <is>
          <t>BG001, BG006, BG009, BS001</t>
        </is>
      </c>
      <c r="H46" t="inlineStr">
        <is>
          <t>28 Januari 2022</t>
        </is>
      </c>
      <c r="I46" s="2" t="n">
        <v>46282</v>
      </c>
      <c r="J46" t="inlineStr">
        <is>
          <t>Pencabutan</t>
        </is>
      </c>
      <c r="K46" t="n">
        <v>30</v>
      </c>
      <c r="L46" t="inlineStr">
        <is>
          <t>17 September 2026</t>
        </is>
      </c>
      <c r="M46" t="inlineStr">
        <is>
          <t>Konstruksi Bangunan Sipil Jalan, Konstruksi Gedung Hunian, Konstruksi Gedung Lainnya, Konstruksi Gedung Pendidikan</t>
        </is>
      </c>
      <c r="N46" t="inlineStr">
        <is>
          <t>K</t>
        </is>
      </c>
      <c r="O46" t="inlineStr">
        <is>
          <t>20230915</t>
        </is>
      </c>
      <c r="P46" t="inlineStr">
        <is>
          <t>Kalimantan Selatan</t>
        </is>
      </c>
      <c r="Q46" t="inlineStr"/>
    </row>
    <row r="47">
      <c r="A47" t="inlineStr">
        <is>
          <t>BINA USAHA ABADI</t>
        </is>
      </c>
      <c r="B47" t="inlineStr">
        <is>
          <t>Kab. Ketapang</t>
        </is>
      </c>
      <c r="C47" t="inlineStr">
        <is>
          <t>08125731663</t>
        </is>
      </c>
      <c r="D47" t="inlineStr">
        <is>
          <t>pt.binausahaabadi@yahoo.co.id</t>
        </is>
      </c>
      <c r="E47" t="inlineStr">
        <is>
          <t>https://lpjk.pu.go.id/search-badan-usaha-detail/dVUrTk1LYUcvYzllaWl5bjRrd2pFZz09</t>
        </is>
      </c>
      <c r="F47" t="n">
        <v>1</v>
      </c>
      <c r="G47" t="inlineStr">
        <is>
          <t>BS001</t>
        </is>
      </c>
      <c r="H47" t="inlineStr">
        <is>
          <t>25 September 2008</t>
        </is>
      </c>
      <c r="I47" s="2" t="n">
        <v>46282</v>
      </c>
      <c r="J47" t="inlineStr">
        <is>
          <t>Disetujui</t>
        </is>
      </c>
      <c r="K47" t="n">
        <v>30</v>
      </c>
      <c r="L47" t="inlineStr">
        <is>
          <t>17 September 2026</t>
        </is>
      </c>
      <c r="M47" t="inlineStr">
        <is>
          <t>Konstruksi Bangunan Sipil Jalan</t>
        </is>
      </c>
      <c r="N47" t="inlineStr">
        <is>
          <t>M</t>
        </is>
      </c>
      <c r="O47" t="inlineStr">
        <is>
          <t>20230821</t>
        </is>
      </c>
      <c r="P47" t="inlineStr">
        <is>
          <t>Kalimantan Barat</t>
        </is>
      </c>
      <c r="Q47" t="inlineStr"/>
    </row>
    <row r="48">
      <c r="A48" t="inlineStr">
        <is>
          <t>BUMI KHATULISTIWA PUTERA</t>
        </is>
      </c>
      <c r="B48" t="inlineStr">
        <is>
          <t>Kota Pontianak</t>
        </is>
      </c>
      <c r="C48" t="inlineStr">
        <is>
          <t>085845209686</t>
        </is>
      </c>
      <c r="D48" t="inlineStr">
        <is>
          <t>puterakahtulistiwa@gmail.com</t>
        </is>
      </c>
      <c r="E48" t="inlineStr">
        <is>
          <t>https://lpjk.pu.go.id/search-badan-usaha-detail/R3pYUmJCZWlzeWMwOTRiakp0eTM5Zz09</t>
        </is>
      </c>
      <c r="F48" t="n">
        <v>1</v>
      </c>
      <c r="G48" t="inlineStr">
        <is>
          <t>BG003</t>
        </is>
      </c>
      <c r="H48" t="inlineStr">
        <is>
          <t>7 Maret 2007</t>
        </is>
      </c>
      <c r="I48" s="2" t="n">
        <v>46282</v>
      </c>
      <c r="J48" t="inlineStr">
        <is>
          <t>Disetujui</t>
        </is>
      </c>
      <c r="K48" t="n">
        <v>30</v>
      </c>
      <c r="L48" t="inlineStr">
        <is>
          <t>17 September 2026</t>
        </is>
      </c>
      <c r="M48" t="inlineStr">
        <is>
          <t>Konstruksi Gedung Industri</t>
        </is>
      </c>
      <c r="N48" t="inlineStr">
        <is>
          <t>K</t>
        </is>
      </c>
      <c r="O48" t="inlineStr">
        <is>
          <t>20230917</t>
        </is>
      </c>
      <c r="P48" t="inlineStr">
        <is>
          <t>Kalimantan Barat</t>
        </is>
      </c>
      <c r="Q48" t="inlineStr"/>
    </row>
    <row r="49">
      <c r="A49" t="inlineStr">
        <is>
          <t>BUMI MANDIRI BERDIKARI</t>
        </is>
      </c>
      <c r="B49" t="inlineStr">
        <is>
          <t>Kota Tangerang Selatan</t>
        </is>
      </c>
      <c r="C49" t="inlineStr">
        <is>
          <t>02174776205</t>
        </is>
      </c>
      <c r="D49" t="inlineStr">
        <is>
          <t>bmb.crd222@gmail.com</t>
        </is>
      </c>
      <c r="E49" t="inlineStr">
        <is>
          <t>https://lpjk.pu.go.id/search-badan-usaha-detail/aWNpVlJ1WnBmWmIyWHFuL09EcDg4dz09</t>
        </is>
      </c>
      <c r="F49" t="n">
        <v>2</v>
      </c>
      <c r="G49" t="inlineStr">
        <is>
          <t>BS001, BS004</t>
        </is>
      </c>
      <c r="H49" t="inlineStr">
        <is>
          <t>5 Februari 2016</t>
        </is>
      </c>
      <c r="I49" s="2" t="n">
        <v>46282</v>
      </c>
      <c r="J49" t="inlineStr">
        <is>
          <t>Disetujui</t>
        </is>
      </c>
      <c r="K49" t="n">
        <v>30</v>
      </c>
      <c r="L49" t="inlineStr">
        <is>
          <t>17 September 2026</t>
        </is>
      </c>
      <c r="M49" t="inlineStr">
        <is>
          <t>Konstruksi Bangunan Sipil Jalan, Konstruksi Jaringan Irigasi dan Drainase</t>
        </is>
      </c>
      <c r="N49" t="inlineStr">
        <is>
          <t>K</t>
        </is>
      </c>
      <c r="O49" t="inlineStr">
        <is>
          <t>20230915</t>
        </is>
      </c>
      <c r="P49" t="inlineStr">
        <is>
          <t>Banten</t>
        </is>
      </c>
      <c r="Q49" t="inlineStr"/>
    </row>
    <row r="50">
      <c r="A50" t="inlineStr">
        <is>
          <t>CAHAYA BERKAH</t>
        </is>
      </c>
      <c r="B50" t="inlineStr">
        <is>
          <t>Kab. Bandung</t>
        </is>
      </c>
      <c r="C50" t="inlineStr">
        <is>
          <t>081322212787</t>
        </is>
      </c>
      <c r="D50" t="inlineStr">
        <is>
          <t>cahayaberkah32@yahoo.com</t>
        </is>
      </c>
      <c r="E50" t="inlineStr">
        <is>
          <t>https://lpjk.pu.go.id/search-badan-usaha-detail/U1R0VzZmNFdqUElvYWZ3Mko1Y0FZQT09</t>
        </is>
      </c>
      <c r="F50" t="n">
        <v>3</v>
      </c>
      <c r="G50" t="inlineStr">
        <is>
          <t>BG002, BS001, BS004</t>
        </is>
      </c>
      <c r="H50" t="inlineStr">
        <is>
          <t>12 Agustus 2016</t>
        </is>
      </c>
      <c r="I50" s="2" t="n">
        <v>46282</v>
      </c>
      <c r="J50" t="inlineStr">
        <is>
          <t>Disetujui</t>
        </is>
      </c>
      <c r="K50" t="n">
        <v>30</v>
      </c>
      <c r="L50" t="inlineStr">
        <is>
          <t>17 September 2026</t>
        </is>
      </c>
      <c r="M50" t="inlineStr">
        <is>
          <t>Konstruksi Bangunan Sipil Jalan, Konstruksi Gedung Perkantoran, Konstruksi Jaringan Irigasi dan Drainase</t>
        </is>
      </c>
      <c r="N50" t="inlineStr">
        <is>
          <t>K</t>
        </is>
      </c>
      <c r="O50" t="inlineStr">
        <is>
          <t>20230912</t>
        </is>
      </c>
      <c r="P50" t="inlineStr">
        <is>
          <t>Jawa Barat</t>
        </is>
      </c>
      <c r="Q50" t="inlineStr"/>
    </row>
    <row r="51">
      <c r="A51" t="inlineStr">
        <is>
          <t>CID CONSULTANT</t>
        </is>
      </c>
      <c r="B51" t="inlineStr">
        <is>
          <t>Kab. Tasikmalaya</t>
        </is>
      </c>
      <c r="C51" t="inlineStr">
        <is>
          <t>081214147518</t>
        </is>
      </c>
      <c r="D51" t="inlineStr">
        <is>
          <t>cv.cidconsultant2020@gmail.com</t>
        </is>
      </c>
      <c r="E51" t="inlineStr">
        <is>
          <t>https://lpjk.pu.go.id/search-badan-usaha-detail/bVdEckV6RVJjOGlQb2J3VFM4Vit4QT09</t>
        </is>
      </c>
      <c r="F51" t="n">
        <v>1</v>
      </c>
      <c r="G51" t="inlineStr">
        <is>
          <t>RK001</t>
        </is>
      </c>
      <c r="H51" t="inlineStr">
        <is>
          <t>31 Agustus 2020</t>
        </is>
      </c>
      <c r="I51" s="2" t="n">
        <v>46282</v>
      </c>
      <c r="J51" t="inlineStr">
        <is>
          <t>Disetujui</t>
        </is>
      </c>
      <c r="K51" t="n">
        <v>30</v>
      </c>
      <c r="L51" t="inlineStr">
        <is>
          <t>17 September 2026</t>
        </is>
      </c>
      <c r="M51" t="inlineStr">
        <is>
          <t>Jasa Rekayasa Konstruksi Bangunan Gedung Hunian dan Non Hunian</t>
        </is>
      </c>
      <c r="N51" t="inlineStr">
        <is>
          <t>K</t>
        </is>
      </c>
      <c r="O51" t="inlineStr">
        <is>
          <t>20230911</t>
        </is>
      </c>
      <c r="P51" t="inlineStr">
        <is>
          <t>Jawa Barat</t>
        </is>
      </c>
      <c r="Q51" t="inlineStr"/>
    </row>
    <row r="52">
      <c r="A52" t="inlineStr">
        <is>
          <t>CIPTATAMA ABADI</t>
        </is>
      </c>
      <c r="B52" t="inlineStr">
        <is>
          <t>Kota Jambi</t>
        </is>
      </c>
      <c r="C52" t="inlineStr">
        <is>
          <t>081273909555</t>
        </is>
      </c>
      <c r="D52" t="inlineStr">
        <is>
          <t>ciptatamaabadi@gmail.com</t>
        </is>
      </c>
      <c r="E52" t="inlineStr">
        <is>
          <t>https://lpjk.pu.go.id/search-badan-usaha-detail/Wnp0dVNXcTNRTW5OZURyajFsTFAvZz09</t>
        </is>
      </c>
      <c r="F52" t="n">
        <v>2</v>
      </c>
      <c r="G52" t="inlineStr">
        <is>
          <t>BG001</t>
        </is>
      </c>
      <c r="H52" t="inlineStr">
        <is>
          <t>9 Juni 2014</t>
        </is>
      </c>
      <c r="I52" s="2" t="n">
        <v>46282</v>
      </c>
      <c r="J52" t="inlineStr">
        <is>
          <t>Pencabutan</t>
        </is>
      </c>
      <c r="K52" t="n">
        <v>30</v>
      </c>
      <c r="L52" t="inlineStr">
        <is>
          <t>17 September 2026</t>
        </is>
      </c>
      <c r="M52" t="inlineStr">
        <is>
          <t>Konstruksi Gedung Hunian</t>
        </is>
      </c>
      <c r="N52" t="inlineStr">
        <is>
          <t>K</t>
        </is>
      </c>
      <c r="O52" t="inlineStr">
        <is>
          <t>20230914</t>
        </is>
      </c>
      <c r="P52" t="inlineStr">
        <is>
          <t>Jambi</t>
        </is>
      </c>
      <c r="Q52" t="inlineStr"/>
    </row>
    <row r="53">
      <c r="A53" t="inlineStr">
        <is>
          <t>DANADYAKSA</t>
        </is>
      </c>
      <c r="B53" t="inlineStr">
        <is>
          <t>Kota Palembang</t>
        </is>
      </c>
      <c r="C53" t="inlineStr">
        <is>
          <t>081901800219</t>
        </is>
      </c>
      <c r="D53" t="inlineStr">
        <is>
          <t>cvdadyaksapalembang@gmail.com</t>
        </is>
      </c>
      <c r="E53" t="inlineStr">
        <is>
          <t>https://lpjk.pu.go.id/search-badan-usaha-detail/WVdMMkhySnNjZnFEQjJYWWlMYWZBZz09</t>
        </is>
      </c>
      <c r="F53" t="n">
        <v>3</v>
      </c>
      <c r="G53" t="inlineStr">
        <is>
          <t>BG006, BS001, BS004</t>
        </is>
      </c>
      <c r="H53" t="inlineStr">
        <is>
          <t>12 April 2017</t>
        </is>
      </c>
      <c r="I53" s="2" t="n">
        <v>46282</v>
      </c>
      <c r="J53" t="inlineStr">
        <is>
          <t>Disetujui</t>
        </is>
      </c>
      <c r="K53" t="n">
        <v>30</v>
      </c>
      <c r="L53" t="inlineStr">
        <is>
          <t>17 September 2026</t>
        </is>
      </c>
      <c r="M53" t="inlineStr">
        <is>
          <t>Konstruksi Bangunan Sipil Jalan, Konstruksi Gedung Pendidikan, Konstruksi Jaringan Irigasi dan Drainase</t>
        </is>
      </c>
      <c r="N53" t="inlineStr">
        <is>
          <t>K</t>
        </is>
      </c>
      <c r="O53" t="inlineStr">
        <is>
          <t>20230914, 20230915</t>
        </is>
      </c>
      <c r="P53" t="inlineStr">
        <is>
          <t>Sumatera Selatan</t>
        </is>
      </c>
      <c r="Q53" t="inlineStr"/>
    </row>
    <row r="54">
      <c r="A54" t="inlineStr">
        <is>
          <t>DIKA SEJAHTERA ABADI</t>
        </is>
      </c>
      <c r="B54" t="inlineStr">
        <is>
          <t>Kab. Sukabumi</t>
        </is>
      </c>
      <c r="C54" t="inlineStr">
        <is>
          <t>085722110201</t>
        </is>
      </c>
      <c r="D54" t="inlineStr">
        <is>
          <t>dikasejahtera.cv@gmail.com</t>
        </is>
      </c>
      <c r="E54" t="inlineStr">
        <is>
          <t>https://lpjk.pu.go.id/search-badan-usaha-detail/N3VJbm1Hb2xZeVpVdzQ5bDN0WEJIZz09</t>
        </is>
      </c>
      <c r="F54" t="n">
        <v>1</v>
      </c>
      <c r="G54" t="inlineStr">
        <is>
          <t>BS005</t>
        </is>
      </c>
      <c r="H54" t="inlineStr">
        <is>
          <t>31 Agustus 2021</t>
        </is>
      </c>
      <c r="I54" s="2" t="n">
        <v>46282</v>
      </c>
      <c r="J54" t="inlineStr">
        <is>
          <t>Disetujui</t>
        </is>
      </c>
      <c r="K54" t="n">
        <v>30</v>
      </c>
      <c r="L54" t="inlineStr">
        <is>
          <t>17 September 2026</t>
        </is>
      </c>
      <c r="M54" t="inlineStr">
        <is>
          <t>Konstruksi Bangunan Sipil Pengolahan Air Bersih</t>
        </is>
      </c>
      <c r="N54" t="inlineStr">
        <is>
          <t>K</t>
        </is>
      </c>
      <c r="O54" t="inlineStr">
        <is>
          <t>20230914</t>
        </is>
      </c>
      <c r="P54" t="inlineStr">
        <is>
          <t>Jawa Barat</t>
        </is>
      </c>
      <c r="Q54" t="inlineStr"/>
    </row>
    <row r="55">
      <c r="A55" t="inlineStr">
        <is>
          <t>DIVAN STG</t>
        </is>
      </c>
      <c r="B55" t="inlineStr">
        <is>
          <t>Kota Medan</t>
        </is>
      </c>
      <c r="C55" t="inlineStr">
        <is>
          <t>08126016579</t>
        </is>
      </c>
      <c r="D55" t="inlineStr">
        <is>
          <t>divanstg.cv@gmail.com</t>
        </is>
      </c>
      <c r="E55" t="inlineStr">
        <is>
          <t>https://lpjk.pu.go.id/search-badan-usaha-detail/ZitnUkhyREV1YU1rQ3FGbURvTmZCZz09</t>
        </is>
      </c>
      <c r="F55" t="n">
        <v>5</v>
      </c>
      <c r="G55" t="inlineStr">
        <is>
          <t>BG001, BG002, BG005, BG006, BG009</t>
        </is>
      </c>
      <c r="H55" t="inlineStr">
        <is>
          <t>10 Maret 2020</t>
        </is>
      </c>
      <c r="I55" s="2" t="n">
        <v>46282</v>
      </c>
      <c r="J55" t="inlineStr">
        <is>
          <t>Disetujui</t>
        </is>
      </c>
      <c r="K55" t="n">
        <v>30</v>
      </c>
      <c r="L55" t="inlineStr">
        <is>
          <t>17 September 2026</t>
        </is>
      </c>
      <c r="M55" t="inlineStr">
        <is>
          <t>Konstruksi Gedung Hunian, Konstruksi Gedung Kesehatan, Konstruksi Gedung Lainnya, Konstruksi Gedung Pendidikan, Konstruksi Gedung Perkantoran</t>
        </is>
      </c>
      <c r="N55" t="inlineStr">
        <is>
          <t>K</t>
        </is>
      </c>
      <c r="O55" t="inlineStr">
        <is>
          <t>20230908, 20230911, 20230913</t>
        </is>
      </c>
      <c r="P55" t="inlineStr">
        <is>
          <t>Sumatera Utara</t>
        </is>
      </c>
      <c r="Q55" t="inlineStr"/>
    </row>
    <row r="56">
      <c r="A56" t="inlineStr">
        <is>
          <t>DUA PUTRI NUSANTARA PROBOLINGGO</t>
        </is>
      </c>
      <c r="B56" t="inlineStr">
        <is>
          <t>Kab. Probolinggo</t>
        </is>
      </c>
      <c r="C56" t="inlineStr">
        <is>
          <t>08123460488</t>
        </is>
      </c>
      <c r="D56" t="inlineStr">
        <is>
          <t>duaputrinusantara@gmail.com</t>
        </is>
      </c>
      <c r="E56" t="inlineStr">
        <is>
          <t>https://lpjk.pu.go.id/search-badan-usaha-detail/RlZLaS9qUzFKVGVJZ2pNZXl4RVlvUT09</t>
        </is>
      </c>
      <c r="F56" t="n">
        <v>4</v>
      </c>
      <c r="G56" t="inlineStr">
        <is>
          <t>BG006, BG009, BS001, BS004</t>
        </is>
      </c>
      <c r="H56" t="inlineStr">
        <is>
          <t>27 Maret 2023</t>
        </is>
      </c>
      <c r="I56" s="2" t="n">
        <v>46282</v>
      </c>
      <c r="J56" t="inlineStr">
        <is>
          <t>Disetujui, Permohonan Perubahan Non Asesmen</t>
        </is>
      </c>
      <c r="K56" t="n">
        <v>30</v>
      </c>
      <c r="L56" t="inlineStr">
        <is>
          <t>17 September 2026</t>
        </is>
      </c>
      <c r="M56" t="inlineStr">
        <is>
          <t>Konstruksi Bangunan Sipil Jalan, Konstruksi Gedung Lainnya, Konstruksi Gedung Pendidikan, Konstruksi Jaringan Irigasi dan Drainase</t>
        </is>
      </c>
      <c r="N56" t="inlineStr">
        <is>
          <t>K</t>
        </is>
      </c>
      <c r="O56" t="inlineStr">
        <is>
          <t>20230912, 20230914</t>
        </is>
      </c>
      <c r="P56" t="inlineStr">
        <is>
          <t>Jawa Timur</t>
        </is>
      </c>
      <c r="Q56" t="inlineStr"/>
    </row>
    <row r="57">
      <c r="A57" t="inlineStr">
        <is>
          <t>DUTA JASA REKAYASA</t>
        </is>
      </c>
      <c r="B57" t="inlineStr">
        <is>
          <t>Kota Bandung</t>
        </is>
      </c>
      <c r="C57" t="inlineStr">
        <is>
          <t>08121437135</t>
        </is>
      </c>
      <c r="D57" t="inlineStr">
        <is>
          <t>duta.jasarekayasa@gmail.com</t>
        </is>
      </c>
      <c r="E57" t="inlineStr">
        <is>
          <t>https://lpjk.pu.go.id/search-badan-usaha-detail/bjVHZXB2MmZQd2JUQkJKOG9oa0JUdz09</t>
        </is>
      </c>
      <c r="F57" t="n">
        <v>2</v>
      </c>
      <c r="G57" t="inlineStr">
        <is>
          <t>RK001, RK005</t>
        </is>
      </c>
      <c r="H57" t="inlineStr">
        <is>
          <t>14 Februari 2022</t>
        </is>
      </c>
      <c r="I57" s="2" t="n">
        <v>46282</v>
      </c>
      <c r="J57" t="inlineStr">
        <is>
          <t>Disetujui</t>
        </is>
      </c>
      <c r="K57" t="n">
        <v>30</v>
      </c>
      <c r="L57" t="inlineStr">
        <is>
          <t>17 September 2026</t>
        </is>
      </c>
      <c r="M57" t="inlineStr">
        <is>
          <t>Jasa Rekayasa Konstruksi Bangunan Gedung Hunian dan Non Hunian, Jasa Rekayasa Lainnya</t>
        </is>
      </c>
      <c r="N57" t="inlineStr">
        <is>
          <t>K</t>
        </is>
      </c>
      <c r="O57" t="inlineStr">
        <is>
          <t>20230905</t>
        </is>
      </c>
      <c r="P57" t="inlineStr">
        <is>
          <t>Jawa Barat</t>
        </is>
      </c>
      <c r="Q57" t="inlineStr"/>
    </row>
    <row r="58">
      <c r="A58" t="inlineStr">
        <is>
          <t>DUTA KONSTRUKSI PRIBADI</t>
        </is>
      </c>
      <c r="B58" t="inlineStr">
        <is>
          <t>Kota Pontianak</t>
        </is>
      </c>
      <c r="C58" t="inlineStr">
        <is>
          <t>085252523778</t>
        </is>
      </c>
      <c r="D58" t="inlineStr">
        <is>
          <t>dutakontruksi888@gmail.com</t>
        </is>
      </c>
      <c r="E58" t="inlineStr">
        <is>
          <t>https://lpjk.pu.go.id/search-badan-usaha-detail/djBMM212eEQ5djZsUWRZMjJVNFkzQT09</t>
        </is>
      </c>
      <c r="F58" t="n">
        <v>1</v>
      </c>
      <c r="G58" t="inlineStr">
        <is>
          <t>BG002</t>
        </is>
      </c>
      <c r="H58" t="inlineStr">
        <is>
          <t>9 Januari 2020</t>
        </is>
      </c>
      <c r="I58" s="2" t="n">
        <v>46282</v>
      </c>
      <c r="J58" t="inlineStr">
        <is>
          <t>Disetujui</t>
        </is>
      </c>
      <c r="K58" t="n">
        <v>30</v>
      </c>
      <c r="L58" t="inlineStr">
        <is>
          <t>17 September 2026</t>
        </is>
      </c>
      <c r="M58" t="inlineStr">
        <is>
          <t>Konstruksi Gedung Perkantoran</t>
        </is>
      </c>
      <c r="N58" t="inlineStr">
        <is>
          <t>K</t>
        </is>
      </c>
      <c r="O58" t="inlineStr">
        <is>
          <t>20230914</t>
        </is>
      </c>
      <c r="P58" t="inlineStr">
        <is>
          <t>Kalimantan Barat</t>
        </is>
      </c>
      <c r="Q58" t="inlineStr"/>
    </row>
    <row r="59">
      <c r="A59" t="inlineStr">
        <is>
          <t>DUTA WAKATE</t>
        </is>
      </c>
      <c r="B59" t="inlineStr">
        <is>
          <t>Kab. Seram Bagian Timur</t>
        </is>
      </c>
      <c r="C59" t="inlineStr">
        <is>
          <t>082199603656</t>
        </is>
      </c>
      <c r="D59" t="inlineStr">
        <is>
          <t>dutawakatecv@yahoo.com</t>
        </is>
      </c>
      <c r="E59" t="inlineStr">
        <is>
          <t>https://lpjk.pu.go.id/search-badan-usaha-detail/S2xRL2dCUlFVRHZtNDJoM2lDZXM0Zz09</t>
        </is>
      </c>
      <c r="F59" t="n">
        <v>5</v>
      </c>
      <c r="G59" t="inlineStr">
        <is>
          <t>BG006, BG009, BS001, BS002, BS010</t>
        </is>
      </c>
      <c r="H59" t="inlineStr">
        <is>
          <t>2 Maret 2006</t>
        </is>
      </c>
      <c r="I59" s="2" t="n">
        <v>46282</v>
      </c>
      <c r="J59" t="inlineStr">
        <is>
          <t>Disetujui</t>
        </is>
      </c>
      <c r="K59" t="n">
        <v>30</v>
      </c>
      <c r="L59" t="inlineStr">
        <is>
          <t>17 September 2026</t>
        </is>
      </c>
      <c r="M59" t="inlineStr">
        <is>
          <t>Bangunan Sipil Jembatan, Jalan Layang, Fly Over, dan Underpass, Konstruksi Bangunan Prasarana Sumber Daya Air, Konstruksi Bangunan Sipil Jalan, Konstruksi Gedung Lainnya, Konstruksi Gedung Pendidikan</t>
        </is>
      </c>
      <c r="N59" t="inlineStr">
        <is>
          <t>K</t>
        </is>
      </c>
      <c r="O59" t="inlineStr">
        <is>
          <t>20230918, 20230920</t>
        </is>
      </c>
      <c r="P59" t="inlineStr">
        <is>
          <t>Maluku</t>
        </is>
      </c>
      <c r="Q59" t="inlineStr"/>
    </row>
    <row r="60">
      <c r="A60" t="inlineStr">
        <is>
          <t>ELANG JAYA</t>
        </is>
      </c>
      <c r="B60" t="inlineStr">
        <is>
          <t>Kab. Bangkalan</t>
        </is>
      </c>
      <c r="C60" t="inlineStr">
        <is>
          <t>082337120829</t>
        </is>
      </c>
      <c r="D60" t="inlineStr">
        <is>
          <t>cv.elangjaya2104@gmail.com</t>
        </is>
      </c>
      <c r="E60" t="inlineStr">
        <is>
          <t>https://lpjk.pu.go.id/search-badan-usaha-detail/TVE4Q245aHFRa0gzdjVraTc1dUZkdz09</t>
        </is>
      </c>
      <c r="F60" t="n">
        <v>2</v>
      </c>
      <c r="G60" t="inlineStr">
        <is>
          <t>BS004</t>
        </is>
      </c>
      <c r="H60" t="inlineStr">
        <is>
          <t>28 Februari 2014</t>
        </is>
      </c>
      <c r="I60" s="2" t="n">
        <v>46282</v>
      </c>
      <c r="J60" t="inlineStr">
        <is>
          <t>Pencabutan</t>
        </is>
      </c>
      <c r="K60" t="n">
        <v>30</v>
      </c>
      <c r="L60" t="inlineStr">
        <is>
          <t>17 September 2026</t>
        </is>
      </c>
      <c r="M60" t="inlineStr">
        <is>
          <t>Konstruksi Jaringan Irigasi dan Drainase</t>
        </is>
      </c>
      <c r="N60" t="inlineStr">
        <is>
          <t>K</t>
        </is>
      </c>
      <c r="O60" t="inlineStr">
        <is>
          <t>20230707</t>
        </is>
      </c>
      <c r="P60" t="inlineStr">
        <is>
          <t>Jawa Timur</t>
        </is>
      </c>
      <c r="Q60" t="inlineStr"/>
    </row>
    <row r="61">
      <c r="A61" t="inlineStr">
        <is>
          <t>ELKA ABADI</t>
        </is>
      </c>
      <c r="B61" t="inlineStr">
        <is>
          <t>Kab. Madiun</t>
        </is>
      </c>
      <c r="C61" t="inlineStr">
        <is>
          <t>081336883522</t>
        </is>
      </c>
      <c r="D61" t="inlineStr">
        <is>
          <t>elkaabadi22@gmail.com</t>
        </is>
      </c>
      <c r="E61" t="inlineStr">
        <is>
          <t>https://lpjk.pu.go.id/search-badan-usaha-detail/VXU4UTk5ZXJQTmpkUlZXdTBKN2NBZz09</t>
        </is>
      </c>
      <c r="F61" t="n">
        <v>5</v>
      </c>
      <c r="G61" t="inlineStr">
        <is>
          <t>BG005, BG006, BG009, BS001, BS004</t>
        </is>
      </c>
      <c r="H61" t="inlineStr">
        <is>
          <t>5 September 2023</t>
        </is>
      </c>
      <c r="I61" s="2" t="n">
        <v>46282</v>
      </c>
      <c r="J61" t="inlineStr">
        <is>
          <t>Disetujui</t>
        </is>
      </c>
      <c r="K61" t="n">
        <v>30</v>
      </c>
      <c r="L61" t="inlineStr">
        <is>
          <t>17 September 2026</t>
        </is>
      </c>
      <c r="M61" t="inlineStr">
        <is>
          <t>Konstruksi Bangunan Sipil Jalan, Konstruksi Gedung Kesehatan, Konstruksi Gedung Lainnya, Konstruksi Gedung Pendidikan, Konstruksi Jaringan Irigasi dan Drainase</t>
        </is>
      </c>
      <c r="N61" t="inlineStr">
        <is>
          <t>K</t>
        </is>
      </c>
      <c r="O61" t="inlineStr">
        <is>
          <t>20230914, 20230916</t>
        </is>
      </c>
      <c r="P61" t="inlineStr">
        <is>
          <t>Jawa Timur</t>
        </is>
      </c>
      <c r="Q61" t="inlineStr"/>
    </row>
    <row r="62">
      <c r="A62" t="inlineStr">
        <is>
          <t>ENAM SATU ENAM PROJECT</t>
        </is>
      </c>
      <c r="B62" t="inlineStr">
        <is>
          <t>Kab. Tanah Bumbu</t>
        </is>
      </c>
      <c r="C62" t="inlineStr">
        <is>
          <t>082251863867</t>
        </is>
      </c>
      <c r="D62" t="inlineStr">
        <is>
          <t>cv.616project@gmail.com</t>
        </is>
      </c>
      <c r="E62" t="inlineStr">
        <is>
          <t>https://lpjk.pu.go.id/search-badan-usaha-detail/QlNMbjhTVnpLRXhDT1pTbi82NENHdz09</t>
        </is>
      </c>
      <c r="F62" t="n">
        <v>1</v>
      </c>
      <c r="G62" t="inlineStr">
        <is>
          <t>BS001</t>
        </is>
      </c>
      <c r="H62" t="inlineStr">
        <is>
          <t>5 November 2021</t>
        </is>
      </c>
      <c r="I62" s="2" t="n">
        <v>46282</v>
      </c>
      <c r="J62" t="inlineStr">
        <is>
          <t>Disetujui</t>
        </is>
      </c>
      <c r="K62" t="n">
        <v>30</v>
      </c>
      <c r="L62" t="inlineStr">
        <is>
          <t>17 September 2026</t>
        </is>
      </c>
      <c r="M62" t="inlineStr">
        <is>
          <t>Konstruksi Bangunan Sipil Jalan</t>
        </is>
      </c>
      <c r="N62" t="inlineStr">
        <is>
          <t>K</t>
        </is>
      </c>
      <c r="O62" t="inlineStr">
        <is>
          <t>20230912</t>
        </is>
      </c>
      <c r="P62" t="inlineStr">
        <is>
          <t>Kalimantan Selatan</t>
        </is>
      </c>
      <c r="Q62" t="inlineStr"/>
    </row>
    <row r="63">
      <c r="A63" t="inlineStr">
        <is>
          <t>FAJAR PRATAMA TEKNIK</t>
        </is>
      </c>
      <c r="B63" t="inlineStr">
        <is>
          <t>Kota Bontang</t>
        </is>
      </c>
      <c r="C63" t="inlineStr">
        <is>
          <t>081350998989</t>
        </is>
      </c>
      <c r="D63" t="inlineStr">
        <is>
          <t>famatek007@gmail.com</t>
        </is>
      </c>
      <c r="E63" t="inlineStr">
        <is>
          <t>https://lpjk.pu.go.id/search-badan-usaha-detail/ZSt1MGZVa3ZmUzNFQUF1ZnlOWXJoQT09</t>
        </is>
      </c>
      <c r="F63" t="n">
        <v>4</v>
      </c>
      <c r="G63" t="inlineStr">
        <is>
          <t>BG002, BG005, BG006, BG009</t>
        </is>
      </c>
      <c r="H63" t="inlineStr">
        <is>
          <t>7 Juli 2007</t>
        </is>
      </c>
      <c r="I63" s="2" t="n">
        <v>46282</v>
      </c>
      <c r="J63" t="inlineStr">
        <is>
          <t>Disetujui</t>
        </is>
      </c>
      <c r="K63" t="n">
        <v>30</v>
      </c>
      <c r="L63" t="inlineStr">
        <is>
          <t>17 September 2026</t>
        </is>
      </c>
      <c r="M63" t="inlineStr">
        <is>
          <t>Konstruksi Gedung Kesehatan, Konstruksi Gedung Lainnya, Konstruksi Gedung Pendidikan, Konstruksi Gedung Perkantoran</t>
        </is>
      </c>
      <c r="N63" t="inlineStr">
        <is>
          <t>K</t>
        </is>
      </c>
      <c r="O63" t="inlineStr">
        <is>
          <t>20230911, 20230912</t>
        </is>
      </c>
      <c r="P63" t="inlineStr">
        <is>
          <t>Kalimantan Timur</t>
        </is>
      </c>
      <c r="Q63" t="inlineStr"/>
    </row>
    <row r="64">
      <c r="A64" t="inlineStr">
        <is>
          <t>FARIZ JASA CONTRACTORS</t>
        </is>
      </c>
      <c r="B64" t="inlineStr">
        <is>
          <t>Kab. Tanjung Jabung Barat</t>
        </is>
      </c>
      <c r="C64" t="inlineStr">
        <is>
          <t>081278227313</t>
        </is>
      </c>
      <c r="D64" t="inlineStr">
        <is>
          <t>farizjasa2009@gmail.com</t>
        </is>
      </c>
      <c r="E64" t="inlineStr">
        <is>
          <t>https://lpjk.pu.go.id/search-badan-usaha-detail/alhaeHFMSStnN2dVN0UrQnJLRTREdz09</t>
        </is>
      </c>
      <c r="F64" t="n">
        <v>1</v>
      </c>
      <c r="G64" t="inlineStr">
        <is>
          <t>BG002</t>
        </is>
      </c>
      <c r="H64" t="inlineStr">
        <is>
          <t>19 Agustus 2009</t>
        </is>
      </c>
      <c r="I64" s="2" t="n">
        <v>46282</v>
      </c>
      <c r="J64" t="inlineStr">
        <is>
          <t>Disetujui</t>
        </is>
      </c>
      <c r="K64" t="n">
        <v>30</v>
      </c>
      <c r="L64" t="inlineStr">
        <is>
          <t>17 September 2026</t>
        </is>
      </c>
      <c r="M64" t="inlineStr">
        <is>
          <t>Konstruksi Gedung Perkantoran</t>
        </is>
      </c>
      <c r="N64" t="inlineStr">
        <is>
          <t>K</t>
        </is>
      </c>
      <c r="O64" t="inlineStr">
        <is>
          <t>20230912</t>
        </is>
      </c>
      <c r="P64" t="inlineStr">
        <is>
          <t>Jambi</t>
        </is>
      </c>
      <c r="Q64" t="inlineStr"/>
    </row>
    <row r="65">
      <c r="A65" t="inlineStr">
        <is>
          <t>GALAXY EKSEKUTIF KONTRAKTOR</t>
        </is>
      </c>
      <c r="B65" t="inlineStr">
        <is>
          <t>Kab. Tanah Bumbu</t>
        </is>
      </c>
      <c r="C65" t="inlineStr">
        <is>
          <t>082346127576</t>
        </is>
      </c>
      <c r="D65" t="inlineStr">
        <is>
          <t>galaxyeksekutifkontraktor@gmail.com</t>
        </is>
      </c>
      <c r="E65" t="inlineStr">
        <is>
          <t>https://lpjk.pu.go.id/search-badan-usaha-detail/ZkZKM1l5MmZEVGNqOWlDU1dPblMyQT09</t>
        </is>
      </c>
      <c r="F65" t="n">
        <v>5</v>
      </c>
      <c r="G65" t="inlineStr">
        <is>
          <t>BG002, BG005, BG006, BG009, BS001</t>
        </is>
      </c>
      <c r="H65" t="inlineStr">
        <is>
          <t>27 Desember 2022</t>
        </is>
      </c>
      <c r="I65" s="2" t="n">
        <v>46282</v>
      </c>
      <c r="J65" t="inlineStr">
        <is>
          <t>Disetujui</t>
        </is>
      </c>
      <c r="K65" t="n">
        <v>30</v>
      </c>
      <c r="L65" t="inlineStr">
        <is>
          <t>17 September 2026</t>
        </is>
      </c>
      <c r="M65" t="inlineStr">
        <is>
          <t>Konstruksi Bangunan Sipil Jalan, Konstruksi Gedung Kesehatan, Konstruksi Gedung Lainnya, Konstruksi Gedung Pendidikan, Konstruksi Gedung Perkantoran</t>
        </is>
      </c>
      <c r="N65" t="inlineStr">
        <is>
          <t>K</t>
        </is>
      </c>
      <c r="O65" t="inlineStr">
        <is>
          <t>20230915, 20230916</t>
        </is>
      </c>
      <c r="P65" t="inlineStr">
        <is>
          <t>Kalimantan Selatan</t>
        </is>
      </c>
      <c r="Q65" t="inlineStr"/>
    </row>
    <row r="66">
      <c r="A66" t="inlineStr">
        <is>
          <t>GALIH KENCANA</t>
        </is>
      </c>
      <c r="B66" t="inlineStr">
        <is>
          <t>Kab. Bandung</t>
        </is>
      </c>
      <c r="C66" t="inlineStr">
        <is>
          <t>0226010155</t>
        </is>
      </c>
      <c r="D66" t="inlineStr">
        <is>
          <t>rianakencana89@yahoo.com</t>
        </is>
      </c>
      <c r="E66" t="inlineStr">
        <is>
          <t>https://lpjk.pu.go.id/search-badan-usaha-detail/S0l6MlNKOEpqYmQ1cnpkK1ZVSFNLZz09</t>
        </is>
      </c>
      <c r="F66" t="n">
        <v>2</v>
      </c>
      <c r="G66" t="inlineStr">
        <is>
          <t>BG004</t>
        </is>
      </c>
      <c r="H66" t="inlineStr">
        <is>
          <t>11 Februari 1986</t>
        </is>
      </c>
      <c r="I66" s="2" t="n">
        <v>46282</v>
      </c>
      <c r="J66" t="inlineStr">
        <is>
          <t>Pencabutan</t>
        </is>
      </c>
      <c r="K66" t="n">
        <v>30</v>
      </c>
      <c r="L66" t="inlineStr">
        <is>
          <t>17 September 2026</t>
        </is>
      </c>
      <c r="M66" t="inlineStr">
        <is>
          <t>Konstruksi Gedung Perbelanjaan</t>
        </is>
      </c>
      <c r="N66" t="inlineStr">
        <is>
          <t>K</t>
        </is>
      </c>
      <c r="O66" t="inlineStr">
        <is>
          <t>20230914</t>
        </is>
      </c>
      <c r="P66" t="inlineStr">
        <is>
          <t>Jawa Barat</t>
        </is>
      </c>
      <c r="Q66" t="inlineStr"/>
    </row>
    <row r="67">
      <c r="A67" t="inlineStr">
        <is>
          <t>GEO UTAMA CONSULTANT</t>
        </is>
      </c>
      <c r="B67" t="inlineStr">
        <is>
          <t>Kota Padang</t>
        </is>
      </c>
      <c r="C67" t="inlineStr">
        <is>
          <t>085274049899</t>
        </is>
      </c>
      <c r="D67" t="inlineStr">
        <is>
          <t>geoutamaconsultant@gmail.com</t>
        </is>
      </c>
      <c r="E67" t="inlineStr">
        <is>
          <t>https://lpjk.pu.go.id/search-badan-usaha-detail/YnVXVDVMcGlsWmNISkdia1plUHIwQT09</t>
        </is>
      </c>
      <c r="F67" t="n">
        <v>1</v>
      </c>
      <c r="G67" t="inlineStr">
        <is>
          <t>RK003</t>
        </is>
      </c>
      <c r="H67" t="inlineStr">
        <is>
          <t>5 Juni 2023</t>
        </is>
      </c>
      <c r="I67" s="2" t="n">
        <v>46282</v>
      </c>
      <c r="J67" t="inlineStr">
        <is>
          <t>Disetujui</t>
        </is>
      </c>
      <c r="K67" t="n">
        <v>30</v>
      </c>
      <c r="L67" t="inlineStr">
        <is>
          <t>17 September 2026</t>
        </is>
      </c>
      <c r="M67" t="inlineStr">
        <is>
          <t>Jasa Rekayasa Pekerjaan Teknik Sipil Transportasi</t>
        </is>
      </c>
      <c r="N67" t="inlineStr">
        <is>
          <t>K</t>
        </is>
      </c>
      <c r="O67" t="inlineStr">
        <is>
          <t>20230803</t>
        </is>
      </c>
      <c r="P67" t="inlineStr">
        <is>
          <t>Sumatera Barat</t>
        </is>
      </c>
      <c r="Q67" t="inlineStr"/>
    </row>
    <row r="68">
      <c r="A68" t="inlineStr">
        <is>
          <t>GEOTAMA INTI BOR</t>
        </is>
      </c>
      <c r="B68" t="inlineStr">
        <is>
          <t>Kota Pontianak</t>
        </is>
      </c>
      <c r="C68" t="inlineStr">
        <is>
          <t>081250190772</t>
        </is>
      </c>
      <c r="D68" t="inlineStr">
        <is>
          <t>inibayuadi@yahoo.com</t>
        </is>
      </c>
      <c r="E68" t="inlineStr">
        <is>
          <t>https://lpjk.pu.go.id/search-badan-usaha-detail/djFtTHdCTjlmY2k2NDRPZW9OSE44UT09</t>
        </is>
      </c>
      <c r="F68" t="n">
        <v>1</v>
      </c>
      <c r="G68" t="inlineStr">
        <is>
          <t>PL005</t>
        </is>
      </c>
      <c r="H68" t="inlineStr">
        <is>
          <t>24 Mei 2019</t>
        </is>
      </c>
      <c r="I68" s="2" t="n">
        <v>46282</v>
      </c>
      <c r="J68" t="inlineStr">
        <is>
          <t>Disetujui</t>
        </is>
      </c>
      <c r="K68" t="n">
        <v>30</v>
      </c>
      <c r="L68" t="inlineStr">
        <is>
          <t>17 September 2026</t>
        </is>
      </c>
      <c r="M68" t="inlineStr">
        <is>
          <t>Pembuatan/Pengeboran Sumur Air Tanah</t>
        </is>
      </c>
      <c r="N68" t="inlineStr">
        <is>
          <t>Spesialis</t>
        </is>
      </c>
      <c r="O68" t="inlineStr">
        <is>
          <t>20230912</t>
        </is>
      </c>
      <c r="P68" t="inlineStr">
        <is>
          <t>Kalimantan Barat</t>
        </is>
      </c>
      <c r="Q68" t="inlineStr"/>
    </row>
    <row r="69">
      <c r="A69" t="inlineStr">
        <is>
          <t>GIRI KENCANA</t>
        </is>
      </c>
      <c r="B69" t="inlineStr">
        <is>
          <t>Kab. Gunungkidul</t>
        </is>
      </c>
      <c r="C69" t="inlineStr">
        <is>
          <t>085290509231</t>
        </is>
      </c>
      <c r="D69" t="inlineStr">
        <is>
          <t>girikencanacv29@gmail.com</t>
        </is>
      </c>
      <c r="E69" t="inlineStr">
        <is>
          <t>https://lpjk.pu.go.id/search-badan-usaha-detail/UUFFRUpBMXMxMWdHQkdkeTdvdDVPQT09</t>
        </is>
      </c>
      <c r="F69" t="n">
        <v>7</v>
      </c>
      <c r="G69" t="inlineStr">
        <is>
          <t>BG002, BG005, BG006, BG008, BS001, BS004, BS005</t>
        </is>
      </c>
      <c r="H69" t="inlineStr">
        <is>
          <t>19 Maret 1984</t>
        </is>
      </c>
      <c r="I69" s="2" t="n">
        <v>46282</v>
      </c>
      <c r="J69" t="inlineStr">
        <is>
          <t>Disetujui</t>
        </is>
      </c>
      <c r="K69" t="n">
        <v>30</v>
      </c>
      <c r="L69" t="inlineStr">
        <is>
          <t>17 September 2026</t>
        </is>
      </c>
      <c r="M69" t="inlineStr">
        <is>
          <t>Konstruksi Bangunan Sipil Jalan, Konstruksi Bangunan Sipil Pengolahan Air Bersih, Konstruksi Gedung Kesehatan, Konstruksi Gedung Pendidikan, Konstruksi Gedung Perkantoran, Konstruksi Gedung Tempat Hiburan dan Olahraga, Konstruksi Jaringan Irigasi dan Drainase</t>
        </is>
      </c>
      <c r="N69" t="inlineStr">
        <is>
          <t>K</t>
        </is>
      </c>
      <c r="O69" t="inlineStr">
        <is>
          <t>20230911, 20230918, 20230919</t>
        </is>
      </c>
      <c r="P69" t="inlineStr">
        <is>
          <t>DI Yogyakarta</t>
        </is>
      </c>
      <c r="Q69" t="inlineStr"/>
    </row>
    <row r="70">
      <c r="A70" t="inlineStr">
        <is>
          <t>HADIGUNA PERKASA</t>
        </is>
      </c>
      <c r="B70" t="inlineStr">
        <is>
          <t>Kab. Tapanuli Selatan</t>
        </is>
      </c>
      <c r="C70" t="inlineStr">
        <is>
          <t>082364128882</t>
        </is>
      </c>
      <c r="D70" t="inlineStr">
        <is>
          <t>info@hadiguna.com</t>
        </is>
      </c>
      <c r="E70" t="inlineStr">
        <is>
          <t>https://lpjk.pu.go.id/search-badan-usaha-detail/cFhIUndqM1dDME9VbUVmMEJQR1Z1dz09</t>
        </is>
      </c>
      <c r="F70" t="n">
        <v>3</v>
      </c>
      <c r="G70" t="inlineStr">
        <is>
          <t>BG002, BG003, BG006</t>
        </is>
      </c>
      <c r="H70" t="inlineStr">
        <is>
          <t>11 Desember 2009</t>
        </is>
      </c>
      <c r="I70" s="2" t="n">
        <v>46282</v>
      </c>
      <c r="J70" t="inlineStr">
        <is>
          <t>Pencabutan</t>
        </is>
      </c>
      <c r="K70" t="n">
        <v>30</v>
      </c>
      <c r="L70" t="inlineStr">
        <is>
          <t>17 September 2026</t>
        </is>
      </c>
      <c r="M70" t="inlineStr">
        <is>
          <t>Konstruksi Gedung Industri, Konstruksi Gedung Pendidikan, Konstruksi Gedung Perkantoran</t>
        </is>
      </c>
      <c r="N70" t="inlineStr">
        <is>
          <t>K</t>
        </is>
      </c>
      <c r="O70" t="inlineStr">
        <is>
          <t>20230908, 20230914, 20230919</t>
        </is>
      </c>
      <c r="P70" t="inlineStr">
        <is>
          <t>Sumatera Utara</t>
        </is>
      </c>
      <c r="Q70" t="inlineStr"/>
    </row>
    <row r="71">
      <c r="A71" t="inlineStr">
        <is>
          <t>HANDAYANI</t>
        </is>
      </c>
      <c r="B71" t="inlineStr">
        <is>
          <t>Kota Banjarbaru</t>
        </is>
      </c>
      <c r="C71" t="inlineStr">
        <is>
          <t>085248814369</t>
        </is>
      </c>
      <c r="D71" t="inlineStr">
        <is>
          <t>cv.handayanibjb@yahoo.com</t>
        </is>
      </c>
      <c r="E71" t="inlineStr">
        <is>
          <t>https://lpjk.pu.go.id/search-badan-usaha-detail/aEp5K3htWEs5OEdlQXkySWVlT0dCQT09</t>
        </is>
      </c>
      <c r="F71" t="n">
        <v>4</v>
      </c>
      <c r="G71" t="inlineStr">
        <is>
          <t>BS001, BS004</t>
        </is>
      </c>
      <c r="H71" t="inlineStr">
        <is>
          <t>11 Desember 1981</t>
        </is>
      </c>
      <c r="I71" s="2" t="n">
        <v>46282</v>
      </c>
      <c r="J71" t="inlineStr">
        <is>
          <t>Disetujui</t>
        </is>
      </c>
      <c r="K71" t="n">
        <v>30</v>
      </c>
      <c r="L71" t="inlineStr">
        <is>
          <t>17 September 2026</t>
        </is>
      </c>
      <c r="M71" t="inlineStr">
        <is>
          <t>Konstruksi Bangunan Sipil Jalan, Konstruksi Jaringan Irigasi dan Drainase</t>
        </is>
      </c>
      <c r="N71" t="inlineStr">
        <is>
          <t>K</t>
        </is>
      </c>
      <c r="O71" t="inlineStr">
        <is>
          <t>20230914</t>
        </is>
      </c>
      <c r="P71" t="inlineStr">
        <is>
          <t>Kalimantan Selatan</t>
        </is>
      </c>
      <c r="Q71" t="inlineStr"/>
    </row>
    <row r="72">
      <c r="A72" t="inlineStr">
        <is>
          <t>HASNA</t>
        </is>
      </c>
      <c r="B72" t="inlineStr">
        <is>
          <t>Kab. Banyuasin</t>
        </is>
      </c>
      <c r="C72" t="inlineStr">
        <is>
          <t>082260907868</t>
        </is>
      </c>
      <c r="D72" t="inlineStr">
        <is>
          <t>hasna.cv2@gmail.com</t>
        </is>
      </c>
      <c r="E72" t="inlineStr">
        <is>
          <t>https://lpjk.pu.go.id/search-badan-usaha-detail/aXN5VnhnWGdCVmErQVpVMjdZZTY1dz09</t>
        </is>
      </c>
      <c r="F72" t="n">
        <v>4</v>
      </c>
      <c r="G72" t="inlineStr">
        <is>
          <t>BG002, BG005, BG006, BG009</t>
        </is>
      </c>
      <c r="H72" t="inlineStr">
        <is>
          <t>1 Juni 1982</t>
        </is>
      </c>
      <c r="I72" s="2" t="n">
        <v>46282</v>
      </c>
      <c r="J72" t="inlineStr">
        <is>
          <t>Disetujui</t>
        </is>
      </c>
      <c r="K72" t="n">
        <v>30</v>
      </c>
      <c r="L72" t="inlineStr">
        <is>
          <t>17 September 2026</t>
        </is>
      </c>
      <c r="M72" t="inlineStr">
        <is>
          <t>Konstruksi Gedung Kesehatan, Konstruksi Gedung Lainnya, Konstruksi Gedung Pendidikan, Konstruksi Gedung Perkantoran</t>
        </is>
      </c>
      <c r="N72" t="inlineStr">
        <is>
          <t>K</t>
        </is>
      </c>
      <c r="O72" t="inlineStr">
        <is>
          <t>20230911</t>
        </is>
      </c>
      <c r="P72" t="inlineStr">
        <is>
          <t>Sumatera Selatan</t>
        </is>
      </c>
      <c r="Q72" t="inlineStr"/>
    </row>
    <row r="73">
      <c r="A73" t="inlineStr">
        <is>
          <t>HIKMAH MULIA KONSULTAN</t>
        </is>
      </c>
      <c r="B73" t="inlineStr">
        <is>
          <t>Kota Banjarbaru</t>
        </is>
      </c>
      <c r="C73" t="inlineStr">
        <is>
          <t>085248862584</t>
        </is>
      </c>
      <c r="D73" t="inlineStr">
        <is>
          <t>hikmahmuliakonsultan@gmail.com</t>
        </is>
      </c>
      <c r="E73" t="inlineStr">
        <is>
          <t>https://lpjk.pu.go.id/search-badan-usaha-detail/aDN6SFBYc0lEVmZyT3J5YmhSdzBMZz09</t>
        </is>
      </c>
      <c r="F73" t="n">
        <v>3</v>
      </c>
      <c r="G73" t="inlineStr">
        <is>
          <t>RK001, RK002, RK003</t>
        </is>
      </c>
      <c r="H73" t="inlineStr">
        <is>
          <t>13 Januari 2016</t>
        </is>
      </c>
      <c r="I73" s="2" t="n">
        <v>46282</v>
      </c>
      <c r="J73" t="inlineStr">
        <is>
          <t>Disetujui</t>
        </is>
      </c>
      <c r="K73" t="n">
        <v>30</v>
      </c>
      <c r="L73" t="inlineStr">
        <is>
          <t>17 September 2026</t>
        </is>
      </c>
      <c r="M73" t="inlineStr">
        <is>
          <t>Jasa Rekayasa Konstruksi Bangunan Gedung Hunian dan Non Hunian, Jasa Rekayasa Pekerjaan Teknik Sipil Sumber Daya Air, Jasa Rekayasa Pekerjaan Teknik Sipil Transportasi</t>
        </is>
      </c>
      <c r="N73" t="inlineStr">
        <is>
          <t>K</t>
        </is>
      </c>
      <c r="O73" t="inlineStr">
        <is>
          <t>20221217, 20230904, 20230907</t>
        </is>
      </c>
      <c r="P73" t="inlineStr">
        <is>
          <t>Kalimantan Selatan</t>
        </is>
      </c>
      <c r="Q73" t="inlineStr"/>
    </row>
    <row r="74">
      <c r="A74" t="inlineStr">
        <is>
          <t>HILMAN PRIMA PERKASA</t>
        </is>
      </c>
      <c r="B74" t="inlineStr">
        <is>
          <t>Kota Adm. Jakarta Selatan</t>
        </is>
      </c>
      <c r="C74" t="inlineStr">
        <is>
          <t>0217356432</t>
        </is>
      </c>
      <c r="D74" t="inlineStr">
        <is>
          <t>hilmanprimaperkasa@gmail.com</t>
        </is>
      </c>
      <c r="E74" t="inlineStr">
        <is>
          <t>https://lpjk.pu.go.id/search-badan-usaha-detail/ams5SHB5VFArd1h0Sk53UG9ZVFBGdz09</t>
        </is>
      </c>
      <c r="F74" t="n">
        <v>2</v>
      </c>
      <c r="G74" t="inlineStr">
        <is>
          <t>BG009, BS003</t>
        </is>
      </c>
      <c r="H74" t="inlineStr">
        <is>
          <t>19 Mei 2010</t>
        </is>
      </c>
      <c r="I74" s="2" t="n">
        <v>46282</v>
      </c>
      <c r="J74" t="inlineStr">
        <is>
          <t>Disetujui</t>
        </is>
      </c>
      <c r="K74" t="n">
        <v>30</v>
      </c>
      <c r="L74" t="inlineStr">
        <is>
          <t>17 September 2026</t>
        </is>
      </c>
      <c r="M74" t="inlineStr">
        <is>
          <t>Konstruksi Gedung Lainnya, Konstruksi Jalan Rel</t>
        </is>
      </c>
      <c r="N74" t="inlineStr">
        <is>
          <t>K</t>
        </is>
      </c>
      <c r="O74" t="inlineStr">
        <is>
          <t>20230814, 20230912</t>
        </is>
      </c>
      <c r="P74" t="inlineStr">
        <is>
          <t>DKI Jakarta</t>
        </is>
      </c>
      <c r="Q74" t="inlineStr"/>
    </row>
    <row r="75">
      <c r="A75" t="inlineStr">
        <is>
          <t>INDO KARYA SOLUSI</t>
        </is>
      </c>
      <c r="B75" t="inlineStr">
        <is>
          <t>Kota Adm. Jakarta Selatan</t>
        </is>
      </c>
      <c r="C75" t="inlineStr">
        <is>
          <t>082114098179</t>
        </is>
      </c>
      <c r="D75" t="inlineStr">
        <is>
          <t>pt.indokaryasolusi@gmail.com</t>
        </is>
      </c>
      <c r="E75" t="inlineStr">
        <is>
          <t>https://lpjk.pu.go.id/search-badan-usaha-detail/dzhQVDNidDJ0UjZpUjd6TTlqS1g4QT09</t>
        </is>
      </c>
      <c r="F75" t="n">
        <v>1</v>
      </c>
      <c r="G75" t="inlineStr">
        <is>
          <t>BS009</t>
        </is>
      </c>
      <c r="H75" t="inlineStr">
        <is>
          <t>25 Agustus 2023</t>
        </is>
      </c>
      <c r="I75" s="2" t="n">
        <v>46282</v>
      </c>
      <c r="J75" t="inlineStr">
        <is>
          <t>Disetujui</t>
        </is>
      </c>
      <c r="K75" t="n">
        <v>30</v>
      </c>
      <c r="L75" t="inlineStr">
        <is>
          <t>17 September 2026</t>
        </is>
      </c>
      <c r="M75" t="inlineStr">
        <is>
          <t>Konstruksi Sentral Telekomunikasi</t>
        </is>
      </c>
      <c r="N75" t="inlineStr">
        <is>
          <t>K</t>
        </is>
      </c>
      <c r="O75" t="inlineStr">
        <is>
          <t>20230913</t>
        </is>
      </c>
      <c r="P75" t="inlineStr">
        <is>
          <t>DKI Jakarta</t>
        </is>
      </c>
      <c r="Q75" t="inlineStr"/>
    </row>
    <row r="76">
      <c r="A76" t="inlineStr">
        <is>
          <t>INTAN SAGA MERAH</t>
        </is>
      </c>
      <c r="B76" t="inlineStr">
        <is>
          <t>Kab. Sijunjung</t>
        </is>
      </c>
      <c r="C76" t="inlineStr">
        <is>
          <t>082123082757</t>
        </is>
      </c>
      <c r="D76" t="inlineStr">
        <is>
          <t>cvintansagamerah@gmail.com</t>
        </is>
      </c>
      <c r="E76" t="inlineStr">
        <is>
          <t>https://lpjk.pu.go.id/search-badan-usaha-detail/ZU0xd2svRkxwV0VJRGMvYWdjS2Fxdz09</t>
        </is>
      </c>
      <c r="F76" t="n">
        <v>2</v>
      </c>
      <c r="G76" t="inlineStr">
        <is>
          <t>BG006, BS001</t>
        </is>
      </c>
      <c r="H76" t="inlineStr">
        <is>
          <t>18 Februari 1997</t>
        </is>
      </c>
      <c r="I76" s="2" t="n">
        <v>46282</v>
      </c>
      <c r="J76" t="inlineStr">
        <is>
          <t>Disetujui</t>
        </is>
      </c>
      <c r="K76" t="n">
        <v>30</v>
      </c>
      <c r="L76" t="inlineStr">
        <is>
          <t>17 September 2026</t>
        </is>
      </c>
      <c r="M76" t="inlineStr">
        <is>
          <t>Konstruksi Bangunan Sipil Jalan, Konstruksi Gedung Pendidikan</t>
        </is>
      </c>
      <c r="N76" t="inlineStr">
        <is>
          <t>K</t>
        </is>
      </c>
      <c r="O76" t="inlineStr">
        <is>
          <t>20230916</t>
        </is>
      </c>
      <c r="P76" t="inlineStr">
        <is>
          <t>Sumatera Barat</t>
        </is>
      </c>
      <c r="Q76" t="inlineStr"/>
    </row>
    <row r="77">
      <c r="A77" t="inlineStr">
        <is>
          <t>JASA MITRA MANUNGGAL</t>
        </is>
      </c>
      <c r="B77" t="inlineStr">
        <is>
          <t>Kota Bandung</t>
        </is>
      </c>
      <c r="C77" t="inlineStr">
        <is>
          <t>0227536425</t>
        </is>
      </c>
      <c r="D77" t="inlineStr">
        <is>
          <t>jasamitra83@gmail.com</t>
        </is>
      </c>
      <c r="E77" t="inlineStr">
        <is>
          <t>https://lpjk.pu.go.id/search-badan-usaha-detail/STk4bVZZbDhELzhxcURJM2VaWXVSdz09</t>
        </is>
      </c>
      <c r="F77" t="n">
        <v>1</v>
      </c>
      <c r="G77" t="inlineStr">
        <is>
          <t>IT003</t>
        </is>
      </c>
      <c r="H77" t="inlineStr">
        <is>
          <t>16 Agustus 1983</t>
        </is>
      </c>
      <c r="I77" s="2" t="n">
        <v>46282</v>
      </c>
      <c r="J77" t="inlineStr">
        <is>
          <t>Disetujui</t>
        </is>
      </c>
      <c r="K77" t="n">
        <v>30</v>
      </c>
      <c r="L77" t="inlineStr">
        <is>
          <t>17 September 2026</t>
        </is>
      </c>
      <c r="M77" t="inlineStr">
        <is>
          <t>Jasa Konsultansi Ilmiah dan Teknis Permukaan Tanah dan Pembuatan Peta</t>
        </is>
      </c>
      <c r="N77" t="inlineStr">
        <is>
          <t>Spesialis</t>
        </is>
      </c>
      <c r="O77" t="inlineStr">
        <is>
          <t>20230830</t>
        </is>
      </c>
      <c r="P77" t="inlineStr">
        <is>
          <t>Jawa Barat</t>
        </is>
      </c>
      <c r="Q77" t="inlineStr"/>
    </row>
    <row r="78">
      <c r="A78" t="inlineStr">
        <is>
          <t>JATRA INDO TEKNIK</t>
        </is>
      </c>
      <c r="B78" t="inlineStr">
        <is>
          <t>Kab. Karawang</t>
        </is>
      </c>
      <c r="C78" t="inlineStr">
        <is>
          <t>081334722200</t>
        </is>
      </c>
      <c r="D78" t="inlineStr">
        <is>
          <t>jatraindoteknik@gmail.com</t>
        </is>
      </c>
      <c r="E78" t="inlineStr">
        <is>
          <t>https://lpjk.pu.go.id/search-badan-usaha-detail/TEUraHZ2d0MxV05KNG9uUDVsekNWUT09</t>
        </is>
      </c>
      <c r="F78" t="n">
        <v>2</v>
      </c>
      <c r="G78" t="inlineStr">
        <is>
          <t>BG003</t>
        </is>
      </c>
      <c r="H78" t="inlineStr">
        <is>
          <t>1 Juli 2023</t>
        </is>
      </c>
      <c r="I78" s="2" t="n">
        <v>46282</v>
      </c>
      <c r="J78" t="inlineStr">
        <is>
          <t>Disetujui</t>
        </is>
      </c>
      <c r="K78" t="n">
        <v>30</v>
      </c>
      <c r="L78" t="inlineStr">
        <is>
          <t>17 September 2026</t>
        </is>
      </c>
      <c r="M78" t="inlineStr">
        <is>
          <t>Konstruksi Gedung Industri</t>
        </is>
      </c>
      <c r="N78" t="inlineStr">
        <is>
          <t>K</t>
        </is>
      </c>
      <c r="O78" t="inlineStr">
        <is>
          <t>20230907</t>
        </is>
      </c>
      <c r="P78" t="inlineStr">
        <is>
          <t>Jawa Barat</t>
        </is>
      </c>
      <c r="Q78" t="inlineStr"/>
    </row>
    <row r="79">
      <c r="A79" t="inlineStr">
        <is>
          <t>JAWA DWIPHA</t>
        </is>
      </c>
      <c r="B79" t="inlineStr">
        <is>
          <t>Kota Magelang</t>
        </is>
      </c>
      <c r="C79" t="inlineStr">
        <is>
          <t>361133</t>
        </is>
      </c>
      <c r="D79" t="inlineStr">
        <is>
          <t>cvjawadwipha@gmail.com</t>
        </is>
      </c>
      <c r="E79" t="inlineStr">
        <is>
          <t>https://lpjk.pu.go.id/search-badan-usaha-detail/ZkgyNUJua25qdnptUVoxejlsdUlGdz09</t>
        </is>
      </c>
      <c r="F79" t="n">
        <v>2</v>
      </c>
      <c r="G79" t="inlineStr">
        <is>
          <t>BG002, BG006</t>
        </is>
      </c>
      <c r="H79" t="inlineStr">
        <is>
          <t>25 September 1991</t>
        </is>
      </c>
      <c r="I79" s="2" t="n">
        <v>46282</v>
      </c>
      <c r="J79" t="inlineStr">
        <is>
          <t>Disetujui</t>
        </is>
      </c>
      <c r="K79" t="n">
        <v>30</v>
      </c>
      <c r="L79" t="inlineStr">
        <is>
          <t>17 September 2026</t>
        </is>
      </c>
      <c r="M79" t="inlineStr">
        <is>
          <t>Konstruksi Gedung Pendidikan, Konstruksi Gedung Perkantoran</t>
        </is>
      </c>
      <c r="N79" t="inlineStr">
        <is>
          <t>K</t>
        </is>
      </c>
      <c r="O79" t="inlineStr">
        <is>
          <t>20230904, 20230915</t>
        </is>
      </c>
      <c r="P79" t="inlineStr">
        <is>
          <t>Jawa Tengah</t>
        </is>
      </c>
      <c r="Q79" t="inlineStr"/>
    </row>
    <row r="80">
      <c r="A80" t="inlineStr">
        <is>
          <t>JAYA MANTRA</t>
        </is>
      </c>
      <c r="B80" t="inlineStr">
        <is>
          <t>Kab. Jembrana</t>
        </is>
      </c>
      <c r="C80" t="inlineStr">
        <is>
          <t>036543754</t>
        </is>
      </c>
      <c r="D80" t="inlineStr">
        <is>
          <t>cvjayamantra@gmail.com</t>
        </is>
      </c>
      <c r="E80" t="inlineStr">
        <is>
          <t>https://lpjk.pu.go.id/search-badan-usaha-detail/NUY1R0xMYWRhTnJEVTVnVlh6MkI5UT09</t>
        </is>
      </c>
      <c r="F80" t="n">
        <v>1</v>
      </c>
      <c r="G80" t="inlineStr">
        <is>
          <t>BS001</t>
        </is>
      </c>
      <c r="H80" t="inlineStr">
        <is>
          <t>5 Mei 2011</t>
        </is>
      </c>
      <c r="I80" s="2" t="n">
        <v>46282</v>
      </c>
      <c r="J80" t="inlineStr">
        <is>
          <t>Disetujui</t>
        </is>
      </c>
      <c r="K80" t="n">
        <v>30</v>
      </c>
      <c r="L80" t="inlineStr">
        <is>
          <t>17 September 2026</t>
        </is>
      </c>
      <c r="M80" t="inlineStr">
        <is>
          <t>Konstruksi Bangunan Sipil Jalan</t>
        </is>
      </c>
      <c r="N80" t="inlineStr">
        <is>
          <t>K</t>
        </is>
      </c>
      <c r="O80" t="inlineStr">
        <is>
          <t>20230912</t>
        </is>
      </c>
      <c r="P80" t="inlineStr">
        <is>
          <t>Bali</t>
        </is>
      </c>
      <c r="Q80" t="inlineStr"/>
    </row>
    <row r="81">
      <c r="A81" t="inlineStr">
        <is>
          <t>JIWA ABDI MANDIRI</t>
        </is>
      </c>
      <c r="B81" t="inlineStr">
        <is>
          <t>Kota Tangerang</t>
        </is>
      </c>
      <c r="C81" t="inlineStr">
        <is>
          <t>0895375639033</t>
        </is>
      </c>
      <c r="D81" t="inlineStr">
        <is>
          <t>cv.jam.21@gmail.com</t>
        </is>
      </c>
      <c r="E81" t="inlineStr">
        <is>
          <t>https://lpjk.pu.go.id/search-badan-usaha-detail/MWxDc3VLVW1oM2pEWFpybERXdzRiZz09</t>
        </is>
      </c>
      <c r="F81" t="n">
        <v>2</v>
      </c>
      <c r="G81" t="inlineStr">
        <is>
          <t>BG005, BG009</t>
        </is>
      </c>
      <c r="H81" t="inlineStr">
        <is>
          <t>16 Agustus 2021</t>
        </is>
      </c>
      <c r="I81" s="2" t="n">
        <v>46282</v>
      </c>
      <c r="J81" t="inlineStr">
        <is>
          <t>Pencabutan</t>
        </is>
      </c>
      <c r="K81" t="n">
        <v>30</v>
      </c>
      <c r="L81" t="inlineStr">
        <is>
          <t>17 September 2026</t>
        </is>
      </c>
      <c r="M81" t="inlineStr">
        <is>
          <t>Konstruksi Gedung Kesehatan, Konstruksi Gedung Lainnya</t>
        </is>
      </c>
      <c r="N81" t="inlineStr">
        <is>
          <t>K</t>
        </is>
      </c>
      <c r="O81" t="inlineStr">
        <is>
          <t>20230822, 20230914</t>
        </is>
      </c>
      <c r="P81" t="inlineStr">
        <is>
          <t>Banten</t>
        </is>
      </c>
      <c r="Q81" t="inlineStr"/>
    </row>
    <row r="82">
      <c r="A82" t="inlineStr">
        <is>
          <t>KALAM LEVERAGE MULIA</t>
        </is>
      </c>
      <c r="B82" t="inlineStr">
        <is>
          <t>Kab. Sidoarjo</t>
        </is>
      </c>
      <c r="C82" t="inlineStr">
        <is>
          <t>0318941773</t>
        </is>
      </c>
      <c r="D82" t="inlineStr">
        <is>
          <t>informasi.klm@gmail.com</t>
        </is>
      </c>
      <c r="E82" t="inlineStr">
        <is>
          <t>https://lpjk.pu.go.id/search-badan-usaha-detail/RmZ6Vk1iY29WeUdVa1RjcUlvR0hJZz09</t>
        </is>
      </c>
      <c r="F82" t="n">
        <v>2</v>
      </c>
      <c r="G82" t="inlineStr">
        <is>
          <t>BS005, BS006</t>
        </is>
      </c>
      <c r="H82" t="inlineStr">
        <is>
          <t>25 April 2016</t>
        </is>
      </c>
      <c r="I82" s="2" t="n">
        <v>46282</v>
      </c>
      <c r="J82" t="inlineStr">
        <is>
          <t>Disetujui</t>
        </is>
      </c>
      <c r="K82" t="n">
        <v>30</v>
      </c>
      <c r="L82" t="inlineStr">
        <is>
          <t>17 September 2026</t>
        </is>
      </c>
      <c r="M82" t="inlineStr">
        <is>
          <t>Konstruksi Bangunan Sipil Pengolahan Air Bersih, Konstruksi Bangunan Sipil Prasarana dan Sarana Sistem Pengolahan Limbah Padat, Cair, dan Gas</t>
        </is>
      </c>
      <c r="N82" t="inlineStr">
        <is>
          <t>K</t>
        </is>
      </c>
      <c r="O82" t="inlineStr">
        <is>
          <t>20230613</t>
        </is>
      </c>
      <c r="P82" t="inlineStr">
        <is>
          <t>Jawa Timur</t>
        </is>
      </c>
      <c r="Q82" t="inlineStr"/>
    </row>
    <row r="83">
      <c r="A83" t="inlineStr">
        <is>
          <t>KARSA PRAWIRA</t>
        </is>
      </c>
      <c r="B83" t="inlineStr">
        <is>
          <t>Kab. Kulon Progo</t>
        </is>
      </c>
      <c r="C83" t="inlineStr">
        <is>
          <t>02745304821</t>
        </is>
      </c>
      <c r="D83" t="inlineStr">
        <is>
          <t>karsaprawira.cv@gmail.com</t>
        </is>
      </c>
      <c r="E83" t="inlineStr">
        <is>
          <t>https://lpjk.pu.go.id/search-badan-usaha-detail/c0dOWlhIVy9iclF2RWRhdFh5S3B5QT09</t>
        </is>
      </c>
      <c r="F83" t="n">
        <v>4</v>
      </c>
      <c r="G83" t="inlineStr">
        <is>
          <t>RK001, RK002, RK003</t>
        </is>
      </c>
      <c r="H83" t="inlineStr">
        <is>
          <t>17 Januari 2002</t>
        </is>
      </c>
      <c r="I83" s="2" t="n">
        <v>46282</v>
      </c>
      <c r="J83" t="inlineStr">
        <is>
          <t>Disetujui</t>
        </is>
      </c>
      <c r="K83" t="n">
        <v>30</v>
      </c>
      <c r="L83" t="inlineStr">
        <is>
          <t>17 September 2026</t>
        </is>
      </c>
      <c r="M83" t="inlineStr">
        <is>
          <t>Jasa Rekayasa Konstruksi Bangunan Gedung Hunian dan Non Hunian, Jasa Rekayasa Pekerjaan Teknik Sipil Sumber Daya Air, Jasa Rekayasa Pekerjaan Teknik Sipil Transportasi</t>
        </is>
      </c>
      <c r="N83" t="inlineStr">
        <is>
          <t>K</t>
        </is>
      </c>
      <c r="O83" t="inlineStr">
        <is>
          <t>20230907, 20230908</t>
        </is>
      </c>
      <c r="P83" t="inlineStr">
        <is>
          <t>DI Yogyakarta</t>
        </is>
      </c>
      <c r="Q83" t="inlineStr"/>
    </row>
    <row r="84">
      <c r="A84" t="inlineStr">
        <is>
          <t>KARYA AGUNG</t>
        </is>
      </c>
      <c r="B84" t="inlineStr">
        <is>
          <t>Kab. Sukoharjo</t>
        </is>
      </c>
      <c r="C84" t="inlineStr">
        <is>
          <t>0271621737</t>
        </is>
      </c>
      <c r="D84" t="inlineStr">
        <is>
          <t>karyaagung83@yahoo.com</t>
        </is>
      </c>
      <c r="E84" t="inlineStr">
        <is>
          <t>https://lpjk.pu.go.id/search-badan-usaha-detail/RUpTajR0aFRLTW0zaEsxNnVHdVdPUT09</t>
        </is>
      </c>
      <c r="F84" t="n">
        <v>1</v>
      </c>
      <c r="G84" t="inlineStr">
        <is>
          <t>BS001</t>
        </is>
      </c>
      <c r="H84" t="inlineStr">
        <is>
          <t>2 Februari 1983</t>
        </is>
      </c>
      <c r="I84" s="2" t="n">
        <v>46282</v>
      </c>
      <c r="J84" t="inlineStr">
        <is>
          <t>Disetujui</t>
        </is>
      </c>
      <c r="K84" t="n">
        <v>30</v>
      </c>
      <c r="L84" t="inlineStr">
        <is>
          <t>17 September 2026</t>
        </is>
      </c>
      <c r="M84" t="inlineStr">
        <is>
          <t>Konstruksi Bangunan Sipil Jalan</t>
        </is>
      </c>
      <c r="N84" t="inlineStr">
        <is>
          <t>K</t>
        </is>
      </c>
      <c r="O84" t="inlineStr">
        <is>
          <t>20230914</t>
        </is>
      </c>
      <c r="P84" t="inlineStr">
        <is>
          <t>Jawa Tengah</t>
        </is>
      </c>
      <c r="Q84" t="inlineStr"/>
    </row>
    <row r="85">
      <c r="A85" t="inlineStr">
        <is>
          <t>KARYA ARTHA DUTA</t>
        </is>
      </c>
      <c r="B85" t="inlineStr">
        <is>
          <t>Kab. Ogan Komering Ulu</t>
        </is>
      </c>
      <c r="C85" t="inlineStr">
        <is>
          <t>081368717775</t>
        </is>
      </c>
      <c r="D85" t="inlineStr">
        <is>
          <t>cvkaryaarthaduta@gmail.com</t>
        </is>
      </c>
      <c r="E85" t="inlineStr">
        <is>
          <t>https://lpjk.pu.go.id/search-badan-usaha-detail/WlRZZGRWVVhyK3R1elNzcXF4Rzh6UT09</t>
        </is>
      </c>
      <c r="F85" t="n">
        <v>1</v>
      </c>
      <c r="G85" t="inlineStr">
        <is>
          <t>BS004</t>
        </is>
      </c>
      <c r="H85" t="inlineStr">
        <is>
          <t>6 Februari 2023</t>
        </is>
      </c>
      <c r="I85" s="2" t="n">
        <v>46282</v>
      </c>
      <c r="J85" t="inlineStr">
        <is>
          <t>Disetujui</t>
        </is>
      </c>
      <c r="K85" t="n">
        <v>30</v>
      </c>
      <c r="L85" t="inlineStr">
        <is>
          <t>17 September 2026</t>
        </is>
      </c>
      <c r="M85" t="inlineStr">
        <is>
          <t>Konstruksi Jaringan Irigasi dan Drainase</t>
        </is>
      </c>
      <c r="N85" t="inlineStr">
        <is>
          <t>K</t>
        </is>
      </c>
      <c r="O85" t="inlineStr">
        <is>
          <t>20230831</t>
        </is>
      </c>
      <c r="P85" t="inlineStr">
        <is>
          <t>Sumatera Selatan</t>
        </is>
      </c>
      <c r="Q85" t="inlineStr"/>
    </row>
    <row r="86">
      <c r="A86" t="inlineStr">
        <is>
          <t>KARYA DHUHA</t>
        </is>
      </c>
      <c r="B86" t="inlineStr">
        <is>
          <t>Kab. Lombok Timur</t>
        </is>
      </c>
      <c r="C86" t="inlineStr">
        <is>
          <t>087863444440</t>
        </is>
      </c>
      <c r="D86" t="inlineStr">
        <is>
          <t>cvkaryadhuha6@gmail.com</t>
        </is>
      </c>
      <c r="E86" t="inlineStr">
        <is>
          <t>https://lpjk.pu.go.id/search-badan-usaha-detail/cG16NlJyaGhKcllPWmxqc1dzSk1oQT09</t>
        </is>
      </c>
      <c r="F86" t="n">
        <v>1</v>
      </c>
      <c r="G86" t="inlineStr">
        <is>
          <t>BS001</t>
        </is>
      </c>
      <c r="H86" t="inlineStr">
        <is>
          <t>2 Maret 2005</t>
        </is>
      </c>
      <c r="I86" s="2" t="n">
        <v>46282</v>
      </c>
      <c r="J86" t="inlineStr">
        <is>
          <t>Disetujui</t>
        </is>
      </c>
      <c r="K86" t="n">
        <v>30</v>
      </c>
      <c r="L86" t="inlineStr">
        <is>
          <t>17 September 2026</t>
        </is>
      </c>
      <c r="M86" t="inlineStr">
        <is>
          <t>Konstruksi Bangunan Sipil Jalan</t>
        </is>
      </c>
      <c r="N86" t="inlineStr">
        <is>
          <t>K</t>
        </is>
      </c>
      <c r="O86" t="inlineStr">
        <is>
          <t>20230914</t>
        </is>
      </c>
      <c r="P86" t="inlineStr">
        <is>
          <t>Nusa Tenggara Barat</t>
        </is>
      </c>
      <c r="Q86" t="inlineStr"/>
    </row>
    <row r="87">
      <c r="A87" t="inlineStr">
        <is>
          <t>KARYA ESHA UTAMA</t>
        </is>
      </c>
      <c r="B87" t="inlineStr">
        <is>
          <t>Kab. Trenggalek</t>
        </is>
      </c>
      <c r="C87" t="inlineStr">
        <is>
          <t>085156036395</t>
        </is>
      </c>
      <c r="D87" t="inlineStr">
        <is>
          <t>cv.karyaeshautama@gmail.com</t>
        </is>
      </c>
      <c r="E87" t="inlineStr">
        <is>
          <t>https://lpjk.pu.go.id/search-badan-usaha-detail/UjV3TTFSNzJqakdQcC9vNjRYY0p3Zz09</t>
        </is>
      </c>
      <c r="F87" t="n">
        <v>2</v>
      </c>
      <c r="G87" t="inlineStr">
        <is>
          <t>BG005, BG006</t>
        </is>
      </c>
      <c r="H87" t="inlineStr">
        <is>
          <t>13 Juli 1994</t>
        </is>
      </c>
      <c r="I87" s="2" t="n">
        <v>46282</v>
      </c>
      <c r="J87" t="inlineStr">
        <is>
          <t>Disetujui</t>
        </is>
      </c>
      <c r="K87" t="n">
        <v>30</v>
      </c>
      <c r="L87" t="inlineStr">
        <is>
          <t>17 September 2026</t>
        </is>
      </c>
      <c r="M87" t="inlineStr">
        <is>
          <t>Konstruksi Gedung Kesehatan, Konstruksi Gedung Pendidikan</t>
        </is>
      </c>
      <c r="N87" t="inlineStr">
        <is>
          <t>K</t>
        </is>
      </c>
      <c r="O87" t="inlineStr">
        <is>
          <t>20230912, 20230917</t>
        </is>
      </c>
      <c r="P87" t="inlineStr">
        <is>
          <t>Jawa Timur</t>
        </is>
      </c>
      <c r="Q87" t="inlineStr"/>
    </row>
    <row r="88">
      <c r="A88" t="inlineStr">
        <is>
          <t>KARYA GADING</t>
        </is>
      </c>
      <c r="B88" t="inlineStr">
        <is>
          <t>Kab. Hulu Sungai Utara</t>
        </is>
      </c>
      <c r="C88" t="inlineStr">
        <is>
          <t>085215401255</t>
        </is>
      </c>
      <c r="D88" t="inlineStr">
        <is>
          <t>Karyagading.Amt@Gmail.com</t>
        </is>
      </c>
      <c r="E88" t="inlineStr">
        <is>
          <t>https://lpjk.pu.go.id/search-badan-usaha-detail/eFZEc082cWJNTzk3eGdBckZML0lBZz09</t>
        </is>
      </c>
      <c r="F88" t="n">
        <v>2</v>
      </c>
      <c r="G88" t="inlineStr">
        <is>
          <t>BG005, BG009</t>
        </is>
      </c>
      <c r="H88" t="inlineStr">
        <is>
          <t>6 Januari 2022</t>
        </is>
      </c>
      <c r="I88" s="2" t="n">
        <v>46282</v>
      </c>
      <c r="J88" t="inlineStr">
        <is>
          <t>Disetujui</t>
        </is>
      </c>
      <c r="K88" t="n">
        <v>30</v>
      </c>
      <c r="L88" t="inlineStr">
        <is>
          <t>17 September 2026</t>
        </is>
      </c>
      <c r="M88" t="inlineStr">
        <is>
          <t>Konstruksi Gedung Kesehatan, Konstruksi Gedung Lainnya</t>
        </is>
      </c>
      <c r="N88" t="inlineStr">
        <is>
          <t>K</t>
        </is>
      </c>
      <c r="O88" t="inlineStr">
        <is>
          <t>20230830, 20230915</t>
        </is>
      </c>
      <c r="P88" t="inlineStr">
        <is>
          <t>Kalimantan Selatan</t>
        </is>
      </c>
      <c r="Q88" t="inlineStr"/>
    </row>
    <row r="89">
      <c r="A89" t="inlineStr">
        <is>
          <t>KARYA KONTRINDO</t>
        </is>
      </c>
      <c r="B89" t="inlineStr">
        <is>
          <t>Kab. Jember</t>
        </is>
      </c>
      <c r="C89" t="inlineStr">
        <is>
          <t>0331338833</t>
        </is>
      </c>
      <c r="D89" t="inlineStr">
        <is>
          <t>karyakontrindo@yahoo.com</t>
        </is>
      </c>
      <c r="E89" t="inlineStr">
        <is>
          <t>https://lpjk.pu.go.id/search-badan-usaha-detail/VEI4eEdsZVdQTVhsLzhiVFh0a1ZEZz09</t>
        </is>
      </c>
      <c r="F89" t="n">
        <v>2</v>
      </c>
      <c r="G89" t="inlineStr">
        <is>
          <t>BG002, BG009</t>
        </is>
      </c>
      <c r="H89" t="inlineStr">
        <is>
          <t>21 September 2012</t>
        </is>
      </c>
      <c r="I89" s="2" t="n">
        <v>46282</v>
      </c>
      <c r="J89" t="inlineStr">
        <is>
          <t>Disetujui</t>
        </is>
      </c>
      <c r="K89" t="n">
        <v>30</v>
      </c>
      <c r="L89" t="inlineStr">
        <is>
          <t>17 September 2026</t>
        </is>
      </c>
      <c r="M89" t="inlineStr">
        <is>
          <t>Konstruksi Gedung Lainnya, Konstruksi Gedung Perkantoran</t>
        </is>
      </c>
      <c r="N89" t="inlineStr">
        <is>
          <t>K</t>
        </is>
      </c>
      <c r="O89" t="inlineStr">
        <is>
          <t>20230912</t>
        </is>
      </c>
      <c r="P89" t="inlineStr">
        <is>
          <t>Jawa Timur</t>
        </is>
      </c>
      <c r="Q89" t="inlineStr"/>
    </row>
    <row r="90">
      <c r="A90" t="inlineStr">
        <is>
          <t>KARYA ONE</t>
        </is>
      </c>
      <c r="B90" t="inlineStr">
        <is>
          <t>Kab. Tangerang</t>
        </is>
      </c>
      <c r="C90" t="inlineStr">
        <is>
          <t>085782034775</t>
        </is>
      </c>
      <c r="D90" t="inlineStr">
        <is>
          <t>cv.karyaone@gmail.com</t>
        </is>
      </c>
      <c r="E90" t="inlineStr">
        <is>
          <t>https://lpjk.pu.go.id/search-badan-usaha-detail/RVFIQUJnTlV5YTYwK0gvSUNDaU1vdz09</t>
        </is>
      </c>
      <c r="F90" t="n">
        <v>1</v>
      </c>
      <c r="G90" t="inlineStr">
        <is>
          <t>RK001</t>
        </is>
      </c>
      <c r="H90" t="inlineStr">
        <is>
          <t>22 Juni 2012</t>
        </is>
      </c>
      <c r="I90" s="2" t="n">
        <v>46282</v>
      </c>
      <c r="J90" t="inlineStr">
        <is>
          <t>Disetujui</t>
        </is>
      </c>
      <c r="K90" t="n">
        <v>30</v>
      </c>
      <c r="L90" t="inlineStr">
        <is>
          <t>17 September 2026</t>
        </is>
      </c>
      <c r="M90" t="inlineStr">
        <is>
          <t>Jasa Rekayasa Konstruksi Bangunan Gedung Hunian dan Non Hunian</t>
        </is>
      </c>
      <c r="N90" t="inlineStr">
        <is>
          <t>K</t>
        </is>
      </c>
      <c r="O90" t="inlineStr">
        <is>
          <t>20230904</t>
        </is>
      </c>
      <c r="P90" t="inlineStr">
        <is>
          <t>Banten</t>
        </is>
      </c>
      <c r="Q90" t="inlineStr"/>
    </row>
    <row r="91">
      <c r="A91" t="inlineStr">
        <is>
          <t>KARYA TRISTA ASRI</t>
        </is>
      </c>
      <c r="B91" t="inlineStr">
        <is>
          <t>Kab. Bandung</t>
        </is>
      </c>
      <c r="C91" t="inlineStr">
        <is>
          <t>08122359113</t>
        </is>
      </c>
      <c r="D91" t="inlineStr">
        <is>
          <t>karya.trista@yahoo.co.id</t>
        </is>
      </c>
      <c r="E91" t="inlineStr">
        <is>
          <t>https://lpjk.pu.go.id/search-badan-usaha-detail/b2FqN2sxa0VMQnYzMWxkMG9lVVFFUT09</t>
        </is>
      </c>
      <c r="F91" t="n">
        <v>1</v>
      </c>
      <c r="G91" t="inlineStr">
        <is>
          <t>BS005</t>
        </is>
      </c>
      <c r="H91" t="inlineStr">
        <is>
          <t>15 Agustus 2003</t>
        </is>
      </c>
      <c r="I91" s="2" t="n">
        <v>46282</v>
      </c>
      <c r="J91" t="inlineStr">
        <is>
          <t>Disetujui</t>
        </is>
      </c>
      <c r="K91" t="n">
        <v>30</v>
      </c>
      <c r="L91" t="inlineStr">
        <is>
          <t>17 September 2026</t>
        </is>
      </c>
      <c r="M91" t="inlineStr">
        <is>
          <t>Konstruksi Bangunan Sipil Pengolahan Air Bersih</t>
        </is>
      </c>
      <c r="N91" t="inlineStr">
        <is>
          <t>K</t>
        </is>
      </c>
      <c r="O91" t="inlineStr">
        <is>
          <t>20230905</t>
        </is>
      </c>
      <c r="P91" t="inlineStr">
        <is>
          <t>Jawa Barat</t>
        </is>
      </c>
      <c r="Q91" t="inlineStr"/>
    </row>
    <row r="92">
      <c r="A92" t="inlineStr">
        <is>
          <t>KAYU LAUT BERKARYA</t>
        </is>
      </c>
      <c r="B92" t="inlineStr">
        <is>
          <t>Kab. Tapanuli Selatan</t>
        </is>
      </c>
      <c r="C92" t="inlineStr">
        <is>
          <t>081360992594</t>
        </is>
      </c>
      <c r="D92" t="inlineStr">
        <is>
          <t>Kayulautberkarya@gmail.com</t>
        </is>
      </c>
      <c r="E92" t="inlineStr">
        <is>
          <t>https://lpjk.pu.go.id/search-badan-usaha-detail/aDI5Y1gwNnl1ZFRFeG1WS0h6d2Ivdz09</t>
        </is>
      </c>
      <c r="F92" t="n">
        <v>4</v>
      </c>
      <c r="G92" t="inlineStr">
        <is>
          <t>BG005, BG006, BS001, BS004</t>
        </is>
      </c>
      <c r="H92" t="inlineStr">
        <is>
          <t>8 September 2023</t>
        </is>
      </c>
      <c r="I92" s="2" t="n">
        <v>46282</v>
      </c>
      <c r="J92" t="inlineStr">
        <is>
          <t>Disetujui</t>
        </is>
      </c>
      <c r="K92" t="n">
        <v>30</v>
      </c>
      <c r="L92" t="inlineStr">
        <is>
          <t>17 September 2026</t>
        </is>
      </c>
      <c r="M92" t="inlineStr">
        <is>
          <t>Konstruksi Bangunan Sipil Jalan, Konstruksi Gedung Kesehatan, Konstruksi Gedung Pendidikan, Konstruksi Jaringan Irigasi dan Drainase</t>
        </is>
      </c>
      <c r="N92" t="inlineStr">
        <is>
          <t>K</t>
        </is>
      </c>
      <c r="O92" t="inlineStr">
        <is>
          <t>20230915</t>
        </is>
      </c>
      <c r="P92" t="inlineStr">
        <is>
          <t>Sumatera Utara</t>
        </is>
      </c>
      <c r="Q92" t="inlineStr"/>
    </row>
    <row r="93">
      <c r="A93" t="inlineStr">
        <is>
          <t>KEMBAR JAYA BITUNG</t>
        </is>
      </c>
      <c r="B93" t="inlineStr">
        <is>
          <t>Kota Bitung</t>
        </is>
      </c>
      <c r="C93" t="inlineStr">
        <is>
          <t>081356618392</t>
        </is>
      </c>
      <c r="D93" t="inlineStr">
        <is>
          <t>rudiytjandra1969@gmail.com</t>
        </is>
      </c>
      <c r="E93" t="inlineStr">
        <is>
          <t>https://lpjk.pu.go.id/search-badan-usaha-detail/QjJaeHNvUTVGOFJDeUpJVWZXRlVVZz09</t>
        </is>
      </c>
      <c r="F93" t="n">
        <v>1</v>
      </c>
      <c r="G93" t="inlineStr">
        <is>
          <t>BS004</t>
        </is>
      </c>
      <c r="H93" t="inlineStr">
        <is>
          <t>24 Februari 2006</t>
        </is>
      </c>
      <c r="I93" s="2" t="n">
        <v>46282</v>
      </c>
      <c r="J93" t="inlineStr">
        <is>
          <t>Disetujui</t>
        </is>
      </c>
      <c r="K93" t="n">
        <v>30</v>
      </c>
      <c r="L93" t="inlineStr">
        <is>
          <t>17 September 2026</t>
        </is>
      </c>
      <c r="M93" t="inlineStr">
        <is>
          <t>Konstruksi Jaringan Irigasi dan Drainase</t>
        </is>
      </c>
      <c r="N93" t="inlineStr">
        <is>
          <t>K</t>
        </is>
      </c>
      <c r="O93" t="inlineStr">
        <is>
          <t>20230907</t>
        </is>
      </c>
      <c r="P93" t="inlineStr">
        <is>
          <t>Sulawesi Utara</t>
        </is>
      </c>
      <c r="Q93" t="inlineStr"/>
    </row>
    <row r="94">
      <c r="A94" t="inlineStr">
        <is>
          <t>KENCANA KARYA</t>
        </is>
      </c>
      <c r="B94" t="inlineStr">
        <is>
          <t>Kab. Kepulauan Mentawai</t>
        </is>
      </c>
      <c r="C94" t="inlineStr">
        <is>
          <t>085276200200</t>
        </is>
      </c>
      <c r="D94" t="inlineStr">
        <is>
          <t>kencanakarya2020@gmail.com</t>
        </is>
      </c>
      <c r="E94" t="inlineStr">
        <is>
          <t>https://lpjk.pu.go.id/search-badan-usaha-detail/NW5URkNLRjFtT1dhZUR6aW84Z2hEZz09</t>
        </is>
      </c>
      <c r="F94" t="n">
        <v>1</v>
      </c>
      <c r="G94" t="inlineStr">
        <is>
          <t>BS004</t>
        </is>
      </c>
      <c r="H94" t="inlineStr">
        <is>
          <t>13 Januari 2010</t>
        </is>
      </c>
      <c r="I94" s="2" t="n">
        <v>46282</v>
      </c>
      <c r="J94" t="inlineStr">
        <is>
          <t>Pencabutan</t>
        </is>
      </c>
      <c r="K94" t="n">
        <v>30</v>
      </c>
      <c r="L94" t="inlineStr">
        <is>
          <t>17 September 2026</t>
        </is>
      </c>
      <c r="M94" t="inlineStr">
        <is>
          <t>Konstruksi Jaringan Irigasi dan Drainase</t>
        </is>
      </c>
      <c r="N94" t="inlineStr">
        <is>
          <t>K</t>
        </is>
      </c>
      <c r="O94" t="inlineStr">
        <is>
          <t>20230908</t>
        </is>
      </c>
      <c r="P94" t="inlineStr">
        <is>
          <t>Sumatera Barat</t>
        </is>
      </c>
      <c r="Q94" t="inlineStr"/>
    </row>
    <row r="95">
      <c r="A95" t="inlineStr">
        <is>
          <t>KURNIA MITRA JAYA ABADI</t>
        </is>
      </c>
      <c r="B95" t="inlineStr">
        <is>
          <t>Kab. Rokan Hilir</t>
        </is>
      </c>
      <c r="C95" t="inlineStr">
        <is>
          <t>082286183211</t>
        </is>
      </c>
      <c r="D95" t="inlineStr">
        <is>
          <t>cvkurniamitrajayaabadi@gmail.com</t>
        </is>
      </c>
      <c r="E95" t="inlineStr">
        <is>
          <t>https://lpjk.pu.go.id/search-badan-usaha-detail/V24rVkt4a21vS3VKeVhwNndmQ09Zdz09</t>
        </is>
      </c>
      <c r="F95" t="n">
        <v>2</v>
      </c>
      <c r="G95" t="inlineStr">
        <is>
          <t>BG001, BG009</t>
        </is>
      </c>
      <c r="H95" t="inlineStr">
        <is>
          <t>8 Desember 2021</t>
        </is>
      </c>
      <c r="I95" s="2" t="n">
        <v>46282</v>
      </c>
      <c r="J95" t="inlineStr">
        <is>
          <t>Disetujui</t>
        </is>
      </c>
      <c r="K95" t="n">
        <v>30</v>
      </c>
      <c r="L95" t="inlineStr">
        <is>
          <t>17 September 2026</t>
        </is>
      </c>
      <c r="M95" t="inlineStr">
        <is>
          <t>Konstruksi Gedung Hunian, Konstruksi Gedung Lainnya</t>
        </is>
      </c>
      <c r="N95" t="inlineStr">
        <is>
          <t>K</t>
        </is>
      </c>
      <c r="O95" t="inlineStr">
        <is>
          <t>20230918</t>
        </is>
      </c>
      <c r="P95" t="inlineStr">
        <is>
          <t>Riau</t>
        </is>
      </c>
      <c r="Q95" t="inlineStr"/>
    </row>
    <row r="96">
      <c r="A96" t="inlineStr">
        <is>
          <t>LINTANG UTARA</t>
        </is>
      </c>
      <c r="B96" t="inlineStr">
        <is>
          <t>Kab. Indramayu</t>
        </is>
      </c>
      <c r="C96" t="inlineStr">
        <is>
          <t>087727032527</t>
        </is>
      </c>
      <c r="D96" t="inlineStr">
        <is>
          <t>lintangutara2023@gmail.com</t>
        </is>
      </c>
      <c r="E96" t="inlineStr">
        <is>
          <t>https://lpjk.pu.go.id/search-badan-usaha-detail/NExsWGplVlhCU1JEQVFUZFVSTERxQT09</t>
        </is>
      </c>
      <c r="F96" t="n">
        <v>10</v>
      </c>
      <c r="G96" t="inlineStr">
        <is>
          <t>BG006, BG009, BS001, BS002, BS004</t>
        </is>
      </c>
      <c r="H96" t="inlineStr">
        <is>
          <t>30 Juli 2020</t>
        </is>
      </c>
      <c r="I96" s="2" t="n">
        <v>46282</v>
      </c>
      <c r="J96" t="inlineStr">
        <is>
          <t>Disetujui</t>
        </is>
      </c>
      <c r="K96" t="n">
        <v>30</v>
      </c>
      <c r="L96" t="inlineStr">
        <is>
          <t>17 September 2026</t>
        </is>
      </c>
      <c r="M96" t="inlineStr">
        <is>
          <t>Bangunan Sipil Jembatan, Jalan Layang, Fly Over, dan Underpass, Konstruksi Bangunan Sipil Jalan, Konstruksi Gedung Lainnya, Konstruksi Gedung Pendidikan, Konstruksi Jaringan Irigasi dan Drainase</t>
        </is>
      </c>
      <c r="N96" t="inlineStr">
        <is>
          <t>K</t>
        </is>
      </c>
      <c r="O96" t="inlineStr">
        <is>
          <t>20230913</t>
        </is>
      </c>
      <c r="P96" t="inlineStr">
        <is>
          <t>Jawa Barat</t>
        </is>
      </c>
      <c r="Q96" t="inlineStr"/>
    </row>
    <row r="97">
      <c r="A97" t="inlineStr">
        <is>
          <t>MADYA SEJATI</t>
        </is>
      </c>
      <c r="B97" t="inlineStr">
        <is>
          <t>Kab. Ponorogo</t>
        </is>
      </c>
      <c r="C97" t="inlineStr">
        <is>
          <t>085236387073</t>
        </is>
      </c>
      <c r="D97" t="inlineStr">
        <is>
          <t>cvmadyasejati@yahoo.co.id</t>
        </is>
      </c>
      <c r="E97" t="inlineStr">
        <is>
          <t>https://lpjk.pu.go.id/search-badan-usaha-detail/eHYrVzNoQ3k3cXlsQlM2VS9KSStKQT09</t>
        </is>
      </c>
      <c r="F97" t="n">
        <v>2</v>
      </c>
      <c r="G97" t="inlineStr">
        <is>
          <t>BS001, BS004</t>
        </is>
      </c>
      <c r="H97" t="inlineStr">
        <is>
          <t>16 November 2006</t>
        </is>
      </c>
      <c r="I97" s="2" t="n">
        <v>46282</v>
      </c>
      <c r="J97" t="inlineStr">
        <is>
          <t>Disetujui</t>
        </is>
      </c>
      <c r="K97" t="n">
        <v>30</v>
      </c>
      <c r="L97" t="inlineStr">
        <is>
          <t>17 September 2026</t>
        </is>
      </c>
      <c r="M97" t="inlineStr">
        <is>
          <t>Konstruksi Bangunan Sipil Jalan, Konstruksi Jaringan Irigasi dan Drainase</t>
        </is>
      </c>
      <c r="N97" t="inlineStr">
        <is>
          <t>K</t>
        </is>
      </c>
      <c r="O97" t="inlineStr">
        <is>
          <t>20230904, 20230913</t>
        </is>
      </c>
      <c r="P97" t="inlineStr">
        <is>
          <t>Jawa Timur</t>
        </is>
      </c>
      <c r="Q97" t="inlineStr"/>
    </row>
    <row r="98">
      <c r="A98" t="inlineStr">
        <is>
          <t>MAKNA KARYA SEJAHTERA</t>
        </is>
      </c>
      <c r="B98" t="inlineStr">
        <is>
          <t>Kab. Deli Serdang</t>
        </is>
      </c>
      <c r="C98" t="inlineStr">
        <is>
          <t>081360263008</t>
        </is>
      </c>
      <c r="D98" t="inlineStr">
        <is>
          <t>pt.maknakaryasejahtera@gmail.com</t>
        </is>
      </c>
      <c r="E98" t="inlineStr">
        <is>
          <t>https://lpjk.pu.go.id/search-badan-usaha-detail/MG5qYXpBb2F3aW5xSzFlTVZaeXZnZz09</t>
        </is>
      </c>
      <c r="F98" t="n">
        <v>1</v>
      </c>
      <c r="G98" t="inlineStr">
        <is>
          <t>BS001</t>
        </is>
      </c>
      <c r="H98" t="inlineStr">
        <is>
          <t>23 Agustus 2023</t>
        </is>
      </c>
      <c r="I98" s="2" t="n">
        <v>46282</v>
      </c>
      <c r="J98" t="inlineStr">
        <is>
          <t>Disetujui</t>
        </is>
      </c>
      <c r="K98" t="n">
        <v>30</v>
      </c>
      <c r="L98" t="inlineStr">
        <is>
          <t>17 September 2026</t>
        </is>
      </c>
      <c r="M98" t="inlineStr">
        <is>
          <t>Konstruksi Bangunan Sipil Jalan</t>
        </is>
      </c>
      <c r="N98" t="inlineStr">
        <is>
          <t>K</t>
        </is>
      </c>
      <c r="O98" t="inlineStr">
        <is>
          <t>20230915</t>
        </is>
      </c>
      <c r="P98" t="inlineStr">
        <is>
          <t>Sumatera Utara</t>
        </is>
      </c>
      <c r="Q98" t="inlineStr"/>
    </row>
    <row r="99">
      <c r="A99" t="inlineStr">
        <is>
          <t>MANUNGGAL MULTIDAYA</t>
        </is>
      </c>
      <c r="B99" t="inlineStr">
        <is>
          <t>Kota Adm. Jakarta Utara</t>
        </is>
      </c>
      <c r="C99" t="inlineStr">
        <is>
          <t>0214522894</t>
        </is>
      </c>
      <c r="D99" t="inlineStr">
        <is>
          <t>manunggalmultidaya@gmail.com</t>
        </is>
      </c>
      <c r="E99" t="inlineStr">
        <is>
          <t>https://lpjk.pu.go.id/search-badan-usaha-detail/LzVOMDNVQ1pjWHZHQ0dLc0NGNFlsUT09</t>
        </is>
      </c>
      <c r="F99" t="n">
        <v>10</v>
      </c>
      <c r="G99" t="inlineStr">
        <is>
          <t>BG001, BG002, BG003, BG008, BG009</t>
        </is>
      </c>
      <c r="H99" t="inlineStr">
        <is>
          <t>7 Juli 1994</t>
        </is>
      </c>
      <c r="I99" s="2" t="n">
        <v>46282</v>
      </c>
      <c r="J99" t="inlineStr">
        <is>
          <t>Disetujui</t>
        </is>
      </c>
      <c r="K99" t="n">
        <v>30</v>
      </c>
      <c r="L99" t="inlineStr">
        <is>
          <t>17 September 2026</t>
        </is>
      </c>
      <c r="M99" t="inlineStr">
        <is>
          <t>Konstruksi Gedung Hunian, Konstruksi Gedung Industri, Konstruksi Gedung Lainnya, Konstruksi Gedung Perkantoran, Konstruksi Gedung Tempat Hiburan dan Olahraga</t>
        </is>
      </c>
      <c r="N99" t="inlineStr">
        <is>
          <t>K</t>
        </is>
      </c>
      <c r="O99" t="inlineStr">
        <is>
          <t>20230831, 20230911, 20230912</t>
        </is>
      </c>
      <c r="P99" t="inlineStr">
        <is>
          <t>DKI Jakarta</t>
        </is>
      </c>
      <c r="Q99" t="inlineStr"/>
    </row>
    <row r="100">
      <c r="A100" t="inlineStr">
        <is>
          <t>MARGANA DIRJA MAKMUR</t>
        </is>
      </c>
      <c r="B100" t="inlineStr">
        <is>
          <t>Kota Banjar</t>
        </is>
      </c>
      <c r="C100" t="inlineStr">
        <is>
          <t>081914590334</t>
        </is>
      </c>
      <c r="D100" t="inlineStr">
        <is>
          <t>cvmarganadirjamakmur@gmail.com</t>
        </is>
      </c>
      <c r="E100" t="inlineStr">
        <is>
          <t>https://lpjk.pu.go.id/search-badan-usaha-detail/TVVDcmtsUWdpOWU5cVdobXljaHhjQT09</t>
        </is>
      </c>
      <c r="F100" t="n">
        <v>6</v>
      </c>
      <c r="G100" t="inlineStr">
        <is>
          <t>BS001, BS003, BS004</t>
        </is>
      </c>
      <c r="H100" t="inlineStr">
        <is>
          <t>12 Januari 2023</t>
        </is>
      </c>
      <c r="I100" s="2" t="n">
        <v>46282</v>
      </c>
      <c r="J100" t="inlineStr">
        <is>
          <t>Disetujui</t>
        </is>
      </c>
      <c r="K100" t="n">
        <v>30</v>
      </c>
      <c r="L100" t="inlineStr">
        <is>
          <t>17 September 2026</t>
        </is>
      </c>
      <c r="M100" t="inlineStr">
        <is>
          <t>Konstruksi Bangunan Sipil Jalan, Konstruksi Jalan Rel, Konstruksi Jaringan Irigasi dan Drainase</t>
        </is>
      </c>
      <c r="N100" t="inlineStr">
        <is>
          <t>K</t>
        </is>
      </c>
      <c r="O100" t="inlineStr">
        <is>
          <t>20230908</t>
        </is>
      </c>
      <c r="P100" t="inlineStr">
        <is>
          <t>Jawa Barat</t>
        </is>
      </c>
      <c r="Q100" t="inlineStr"/>
    </row>
    <row r="101">
      <c r="A101" t="inlineStr">
        <is>
          <t>MASA BAROKAH</t>
        </is>
      </c>
      <c r="B101" t="inlineStr">
        <is>
          <t>Kab. Gresik</t>
        </is>
      </c>
      <c r="C101" t="inlineStr">
        <is>
          <t>081375354354</t>
        </is>
      </c>
      <c r="D101" t="inlineStr">
        <is>
          <t>masabarokah@gmail.com</t>
        </is>
      </c>
      <c r="E101" t="inlineStr">
        <is>
          <t>https://lpjk.pu.go.id/search-badan-usaha-detail/UmRjb2xwQTRGTmVDY1RBeUVmZkRUZz09</t>
        </is>
      </c>
      <c r="F101" t="n">
        <v>2</v>
      </c>
      <c r="G101" t="inlineStr">
        <is>
          <t>BG004, BS001</t>
        </is>
      </c>
      <c r="H101" t="inlineStr">
        <is>
          <t>28 Desember 2017</t>
        </is>
      </c>
      <c r="I101" s="2" t="n">
        <v>46282</v>
      </c>
      <c r="J101" t="inlineStr">
        <is>
          <t>Disetujui, Pencabutan</t>
        </is>
      </c>
      <c r="K101" t="n">
        <v>30</v>
      </c>
      <c r="L101" t="inlineStr">
        <is>
          <t>17 September 2026</t>
        </is>
      </c>
      <c r="M101" t="inlineStr">
        <is>
          <t>Konstruksi Bangunan Sipil Jalan, Konstruksi Gedung Perbelanjaan</t>
        </is>
      </c>
      <c r="N101" t="inlineStr">
        <is>
          <t>K</t>
        </is>
      </c>
      <c r="O101" t="inlineStr">
        <is>
          <t>20230914</t>
        </is>
      </c>
      <c r="P101" t="inlineStr">
        <is>
          <t>Jawa Timur</t>
        </is>
      </c>
      <c r="Q101" t="inlineStr"/>
    </row>
    <row r="102">
      <c r="A102" t="inlineStr">
        <is>
          <t>MEGA PARAMITHA</t>
        </is>
      </c>
      <c r="B102" t="inlineStr">
        <is>
          <t>Kab. Sanggau</t>
        </is>
      </c>
      <c r="C102" t="inlineStr">
        <is>
          <t>081258914889</t>
        </is>
      </c>
      <c r="D102" t="inlineStr">
        <is>
          <t>cvmegaparamitha@gmail.com</t>
        </is>
      </c>
      <c r="E102" t="inlineStr">
        <is>
          <t>https://lpjk.pu.go.id/search-badan-usaha-detail/SFZvZWl1TFBRemZHQXYvV1BzNW94Zz09</t>
        </is>
      </c>
      <c r="F102" t="n">
        <v>2</v>
      </c>
      <c r="G102" t="inlineStr">
        <is>
          <t>BG001, BS001</t>
        </is>
      </c>
      <c r="H102" t="inlineStr">
        <is>
          <t>17 Juli 2023</t>
        </is>
      </c>
      <c r="I102" s="2" t="n">
        <v>46282</v>
      </c>
      <c r="J102" t="inlineStr">
        <is>
          <t>Pencabutan</t>
        </is>
      </c>
      <c r="K102" t="n">
        <v>30</v>
      </c>
      <c r="L102" t="inlineStr">
        <is>
          <t>17 September 2026</t>
        </is>
      </c>
      <c r="M102" t="inlineStr">
        <is>
          <t>Konstruksi Bangunan Sipil Jalan, Konstruksi Gedung Hunian</t>
        </is>
      </c>
      <c r="N102" t="inlineStr">
        <is>
          <t>K</t>
        </is>
      </c>
      <c r="O102" t="inlineStr">
        <is>
          <t>20230915, 20230920</t>
        </is>
      </c>
      <c r="P102" t="inlineStr">
        <is>
          <t>Kalimantan Barat</t>
        </is>
      </c>
      <c r="Q102" t="inlineStr"/>
    </row>
    <row r="103">
      <c r="A103" t="inlineStr">
        <is>
          <t>MEKAR SEJAHTERA</t>
        </is>
      </c>
      <c r="B103" t="inlineStr">
        <is>
          <t>Kab. Bantul</t>
        </is>
      </c>
      <c r="C103" t="inlineStr">
        <is>
          <t>087738392620</t>
        </is>
      </c>
      <c r="D103" t="inlineStr">
        <is>
          <t>NURIKHSANHIDAYAT33@gmail.com</t>
        </is>
      </c>
      <c r="E103" t="inlineStr">
        <is>
          <t>https://lpjk.pu.go.id/search-badan-usaha-detail/MHRQWk1aTW1MbS8ySWEwNmpBRGszdz09</t>
        </is>
      </c>
      <c r="F103" t="n">
        <v>8</v>
      </c>
      <c r="G103" t="inlineStr">
        <is>
          <t>BG004, BG009, BS001, BS004</t>
        </is>
      </c>
      <c r="H103" t="inlineStr">
        <is>
          <t>16 Januari 2006</t>
        </is>
      </c>
      <c r="I103" s="2" t="n">
        <v>46282</v>
      </c>
      <c r="J103" t="inlineStr">
        <is>
          <t>Disetujui</t>
        </is>
      </c>
      <c r="K103" t="n">
        <v>30</v>
      </c>
      <c r="L103" t="inlineStr">
        <is>
          <t>17 September 2026</t>
        </is>
      </c>
      <c r="M103" t="inlineStr">
        <is>
          <t>Konstruksi Bangunan Sipil Jalan, Konstruksi Gedung Lainnya, Konstruksi Gedung Perbelanjaan, Konstruksi Jaringan Irigasi dan Drainase</t>
        </is>
      </c>
      <c r="N103" t="inlineStr">
        <is>
          <t>K</t>
        </is>
      </c>
      <c r="O103" t="inlineStr">
        <is>
          <t>20230904, 20230915</t>
        </is>
      </c>
      <c r="P103" t="inlineStr">
        <is>
          <t>DI Yogyakarta</t>
        </is>
      </c>
      <c r="Q103" t="inlineStr"/>
    </row>
    <row r="104">
      <c r="A104" t="inlineStr">
        <is>
          <t>MELATI MANDIRI</t>
        </is>
      </c>
      <c r="B104" t="inlineStr">
        <is>
          <t>Kota Pontianak</t>
        </is>
      </c>
      <c r="C104" t="inlineStr">
        <is>
          <t>089601461519</t>
        </is>
      </c>
      <c r="D104" t="inlineStr">
        <is>
          <t>melati_mandiri@ymail.com</t>
        </is>
      </c>
      <c r="E104" t="inlineStr">
        <is>
          <t>https://lpjk.pu.go.id/search-badan-usaha-detail/ZEZrVDBaZ090WFhTODFsWnRQTU1QZz09</t>
        </is>
      </c>
      <c r="F104" t="n">
        <v>3</v>
      </c>
      <c r="G104" t="inlineStr">
        <is>
          <t>BG001, BG002, BS001</t>
        </is>
      </c>
      <c r="H104" t="inlineStr">
        <is>
          <t>29 November 1993</t>
        </is>
      </c>
      <c r="I104" s="2" t="n">
        <v>46282</v>
      </c>
      <c r="J104" t="inlineStr">
        <is>
          <t>Disetujui</t>
        </is>
      </c>
      <c r="K104" t="n">
        <v>30</v>
      </c>
      <c r="L104" t="inlineStr">
        <is>
          <t>17 September 2026</t>
        </is>
      </c>
      <c r="M104" t="inlineStr">
        <is>
          <t>Konstruksi Bangunan Sipil Jalan, Konstruksi Gedung Hunian, Konstruksi Gedung Perkantoran</t>
        </is>
      </c>
      <c r="N104" t="inlineStr">
        <is>
          <t>K</t>
        </is>
      </c>
      <c r="O104" t="inlineStr">
        <is>
          <t>20230915, 20230917</t>
        </is>
      </c>
      <c r="P104" t="inlineStr">
        <is>
          <t>Kalimantan Barat</t>
        </is>
      </c>
      <c r="Q104" t="inlineStr"/>
    </row>
    <row r="105">
      <c r="A105" t="inlineStr">
        <is>
          <t>MENARA PERSADA</t>
        </is>
      </c>
      <c r="B105" t="inlineStr">
        <is>
          <t>Kab. Sidoarjo</t>
        </is>
      </c>
      <c r="C105" t="inlineStr">
        <is>
          <t>081377268768</t>
        </is>
      </c>
      <c r="D105" t="inlineStr">
        <is>
          <t>menarapersada@gmail.com</t>
        </is>
      </c>
      <c r="E105" t="inlineStr">
        <is>
          <t>https://lpjk.pu.go.id/search-badan-usaha-detail/eEVuZktpYkNnY3NKWVNxc2prSGgxUT09</t>
        </is>
      </c>
      <c r="F105" t="n">
        <v>2</v>
      </c>
      <c r="G105" t="inlineStr">
        <is>
          <t>BG009, BS001</t>
        </is>
      </c>
      <c r="H105" t="inlineStr">
        <is>
          <t>9 Agustus 2005</t>
        </is>
      </c>
      <c r="I105" s="2" t="n">
        <v>46282</v>
      </c>
      <c r="J105" t="inlineStr">
        <is>
          <t>Disetujui</t>
        </is>
      </c>
      <c r="K105" t="n">
        <v>30</v>
      </c>
      <c r="L105" t="inlineStr">
        <is>
          <t>17 September 2026</t>
        </is>
      </c>
      <c r="M105" t="inlineStr">
        <is>
          <t>Konstruksi Bangunan Sipil Jalan, Konstruksi Gedung Lainnya</t>
        </is>
      </c>
      <c r="N105" t="inlineStr">
        <is>
          <t>K</t>
        </is>
      </c>
      <c r="O105" t="inlineStr">
        <is>
          <t>20230905, 20230909</t>
        </is>
      </c>
      <c r="P105" t="inlineStr">
        <is>
          <t>Jawa Timur</t>
        </is>
      </c>
      <c r="Q105" t="inlineStr"/>
    </row>
    <row r="106">
      <c r="A106" t="inlineStr">
        <is>
          <t>MERAH PUTIH</t>
        </is>
      </c>
      <c r="B106" t="inlineStr">
        <is>
          <t>Kota Semarang</t>
        </is>
      </c>
      <c r="C106" t="inlineStr">
        <is>
          <t>02470465569</t>
        </is>
      </c>
      <c r="D106" t="inlineStr">
        <is>
          <t>riskykiki21221@yahoo.com</t>
        </is>
      </c>
      <c r="E106" t="inlineStr">
        <is>
          <t>https://lpjk.pu.go.id/search-badan-usaha-detail/U0hXdjNkdzNSYVFWVThjeitxVndLUT09</t>
        </is>
      </c>
      <c r="F106" t="n">
        <v>5</v>
      </c>
      <c r="G106" t="inlineStr">
        <is>
          <t>BG002, BG006, BG009, BS001, BS004</t>
        </is>
      </c>
      <c r="H106" t="inlineStr">
        <is>
          <t>12 Januari 2010</t>
        </is>
      </c>
      <c r="I106" s="2" t="n">
        <v>46282</v>
      </c>
      <c r="J106" t="inlineStr">
        <is>
          <t>Disetujui</t>
        </is>
      </c>
      <c r="K106" t="n">
        <v>30</v>
      </c>
      <c r="L106" t="inlineStr">
        <is>
          <t>17 September 2026</t>
        </is>
      </c>
      <c r="M106" t="inlineStr">
        <is>
          <t>Konstruksi Bangunan Sipil Jalan, Konstruksi Gedung Lainnya, Konstruksi Gedung Pendidikan, Konstruksi Gedung Perkantoran, Konstruksi Jaringan Irigasi dan Drainase</t>
        </is>
      </c>
      <c r="N106" t="inlineStr">
        <is>
          <t>K</t>
        </is>
      </c>
      <c r="O106" t="inlineStr">
        <is>
          <t>20230911, 20230912, 20230913</t>
        </is>
      </c>
      <c r="P106" t="inlineStr">
        <is>
          <t>Jawa Tengah</t>
        </is>
      </c>
      <c r="Q106" t="inlineStr"/>
    </row>
    <row r="107">
      <c r="A107" t="inlineStr">
        <is>
          <t>MITRA HOSINDO SEJAHTERA</t>
        </is>
      </c>
      <c r="B107" t="inlineStr">
        <is>
          <t>Kota Batam</t>
        </is>
      </c>
      <c r="C107" t="inlineStr">
        <is>
          <t>0811693434</t>
        </is>
      </c>
      <c r="D107" t="inlineStr">
        <is>
          <t>mitrahosindo@yahoo.co.id</t>
        </is>
      </c>
      <c r="E107" t="inlineStr">
        <is>
          <t>https://lpjk.pu.go.id/search-badan-usaha-detail/QmU1QUdreFBWdWVJQmE0cWpscUdIZz09</t>
        </is>
      </c>
      <c r="F107" t="n">
        <v>1</v>
      </c>
      <c r="G107" t="inlineStr">
        <is>
          <t>BS009</t>
        </is>
      </c>
      <c r="H107" t="inlineStr">
        <is>
          <t>22 Juli 1998</t>
        </is>
      </c>
      <c r="I107" s="2" t="n">
        <v>46282</v>
      </c>
      <c r="J107" t="inlineStr">
        <is>
          <t>Disetujui</t>
        </is>
      </c>
      <c r="K107" t="n">
        <v>30</v>
      </c>
      <c r="L107" t="inlineStr">
        <is>
          <t>17 September 2026</t>
        </is>
      </c>
      <c r="M107" t="inlineStr">
        <is>
          <t>Konstruksi Sentral Telekomunikasi</t>
        </is>
      </c>
      <c r="N107" t="inlineStr">
        <is>
          <t>K</t>
        </is>
      </c>
      <c r="O107" t="inlineStr">
        <is>
          <t>20230918</t>
        </is>
      </c>
      <c r="P107" t="inlineStr">
        <is>
          <t>Kepulauan Riau</t>
        </is>
      </c>
      <c r="Q107" t="inlineStr"/>
    </row>
    <row r="108">
      <c r="A108" t="inlineStr">
        <is>
          <t>MITRA KARYA LESTARI</t>
        </is>
      </c>
      <c r="B108" t="inlineStr">
        <is>
          <t>Kab. Belitung Timur</t>
        </is>
      </c>
      <c r="C108" t="inlineStr">
        <is>
          <t>081279975280</t>
        </is>
      </c>
      <c r="D108" t="inlineStr">
        <is>
          <t>cv.mitrakaryalestari@yahoo.com</t>
        </is>
      </c>
      <c r="E108" t="inlineStr">
        <is>
          <t>https://lpjk.pu.go.id/search-badan-usaha-detail/VVIvbDE0cEswOCtha1hySHJ6YXdiUT09</t>
        </is>
      </c>
      <c r="F108" t="n">
        <v>1</v>
      </c>
      <c r="G108" t="inlineStr">
        <is>
          <t>BS001</t>
        </is>
      </c>
      <c r="H108" t="inlineStr">
        <is>
          <t>7 Januari 2020</t>
        </is>
      </c>
      <c r="I108" s="2" t="n">
        <v>46282</v>
      </c>
      <c r="J108" t="inlineStr">
        <is>
          <t>Disetujui</t>
        </is>
      </c>
      <c r="K108" t="n">
        <v>30</v>
      </c>
      <c r="L108" t="inlineStr">
        <is>
          <t>17 September 2026</t>
        </is>
      </c>
      <c r="M108" t="inlineStr">
        <is>
          <t>Konstruksi Bangunan Sipil Jalan</t>
        </is>
      </c>
      <c r="N108" t="inlineStr">
        <is>
          <t>K</t>
        </is>
      </c>
      <c r="O108" t="inlineStr">
        <is>
          <t>20230724</t>
        </is>
      </c>
      <c r="P108" t="inlineStr">
        <is>
          <t>Kepulauan Bangka Belitung</t>
        </is>
      </c>
      <c r="Q108" t="inlineStr"/>
    </row>
    <row r="109">
      <c r="A109" t="inlineStr">
        <is>
          <t>MITRA MUTIARA</t>
        </is>
      </c>
      <c r="B109" t="inlineStr">
        <is>
          <t>Kab. Maros</t>
        </is>
      </c>
      <c r="C109" t="inlineStr">
        <is>
          <t>085345406501</t>
        </is>
      </c>
      <c r="D109" t="inlineStr">
        <is>
          <t>cv.mitra_mutiara@yahoo.com</t>
        </is>
      </c>
      <c r="E109" t="inlineStr">
        <is>
          <t>https://lpjk.pu.go.id/search-badan-usaha-detail/dkl0djNENUQrVnF0eDhta21yK1FBdz09</t>
        </is>
      </c>
      <c r="F109" t="n">
        <v>1</v>
      </c>
      <c r="G109" t="inlineStr">
        <is>
          <t>BS002</t>
        </is>
      </c>
      <c r="H109" t="inlineStr">
        <is>
          <t>4 Mei 1999</t>
        </is>
      </c>
      <c r="I109" s="2" t="n">
        <v>46282</v>
      </c>
      <c r="J109" t="inlineStr">
        <is>
          <t>Disetujui</t>
        </is>
      </c>
      <c r="K109" t="n">
        <v>30</v>
      </c>
      <c r="L109" t="inlineStr">
        <is>
          <t>17 September 2026</t>
        </is>
      </c>
      <c r="M109" t="inlineStr">
        <is>
          <t>Bangunan Sipil Jembatan, Jalan Layang, Fly Over, dan Underpass</t>
        </is>
      </c>
      <c r="N109" t="inlineStr">
        <is>
          <t>K</t>
        </is>
      </c>
      <c r="O109" t="inlineStr">
        <is>
          <t>20230731</t>
        </is>
      </c>
      <c r="P109" t="inlineStr">
        <is>
          <t>Sulawesi Selatan</t>
        </is>
      </c>
      <c r="Q109" t="inlineStr"/>
    </row>
    <row r="110">
      <c r="A110" t="inlineStr">
        <is>
          <t>MITRAKARYA TEGUHSETIA</t>
        </is>
      </c>
      <c r="B110" t="inlineStr">
        <is>
          <t>Kota Adm. Jakarta Barat</t>
        </is>
      </c>
      <c r="C110" t="inlineStr">
        <is>
          <t>08129930629</t>
        </is>
      </c>
      <c r="D110" t="inlineStr">
        <is>
          <t>teguhsetiam@gmail.com</t>
        </is>
      </c>
      <c r="E110" t="inlineStr">
        <is>
          <t>https://lpjk.pu.go.id/search-badan-usaha-detail/S0lLQitiRG83T2YranlqN2k3T1lmUT09</t>
        </is>
      </c>
      <c r="F110" t="n">
        <v>1</v>
      </c>
      <c r="G110" t="inlineStr">
        <is>
          <t>PB001</t>
        </is>
      </c>
      <c r="H110" t="inlineStr">
        <is>
          <t>10 November 1995</t>
        </is>
      </c>
      <c r="I110" s="2" t="n">
        <v>46282</v>
      </c>
      <c r="J110" t="inlineStr">
        <is>
          <t>Pencabutan</t>
        </is>
      </c>
      <c r="K110" t="n">
        <v>30</v>
      </c>
      <c r="L110" t="inlineStr">
        <is>
          <t>17 September 2026</t>
        </is>
      </c>
      <c r="M110" t="inlineStr">
        <is>
          <t>Pengerjaan Pemasangan Kaca dan Alumunium</t>
        </is>
      </c>
      <c r="N110" t="inlineStr">
        <is>
          <t>Spesialis</t>
        </is>
      </c>
      <c r="O110" t="inlineStr">
        <is>
          <t>20230914</t>
        </is>
      </c>
      <c r="P110" t="inlineStr">
        <is>
          <t>DKI Jakarta</t>
        </is>
      </c>
      <c r="Q110" t="inlineStr"/>
    </row>
    <row r="111">
      <c r="A111" t="inlineStr">
        <is>
          <t>MUBARAK</t>
        </is>
      </c>
      <c r="B111" t="inlineStr">
        <is>
          <t>Kab. Majene</t>
        </is>
      </c>
      <c r="C111" t="inlineStr">
        <is>
          <t>081355201798</t>
        </is>
      </c>
      <c r="D111" t="inlineStr">
        <is>
          <t>mubarak77cv@gmail.com</t>
        </is>
      </c>
      <c r="E111" t="inlineStr">
        <is>
          <t>https://lpjk.pu.go.id/search-badan-usaha-detail/SlQvQXprcVR2RlUrNlhvc2FRWmMyUT09</t>
        </is>
      </c>
      <c r="F111" t="n">
        <v>1</v>
      </c>
      <c r="G111" t="inlineStr">
        <is>
          <t>BG002</t>
        </is>
      </c>
      <c r="H111" t="inlineStr">
        <is>
          <t>11 April 2002</t>
        </is>
      </c>
      <c r="I111" s="2" t="n">
        <v>46282</v>
      </c>
      <c r="J111" t="inlineStr">
        <is>
          <t>Pencabutan</t>
        </is>
      </c>
      <c r="K111" t="n">
        <v>30</v>
      </c>
      <c r="L111" t="inlineStr">
        <is>
          <t>17 September 2026</t>
        </is>
      </c>
      <c r="M111" t="inlineStr">
        <is>
          <t>Konstruksi Gedung Perkantoran</t>
        </is>
      </c>
      <c r="N111" t="inlineStr">
        <is>
          <t>K</t>
        </is>
      </c>
      <c r="O111" t="inlineStr">
        <is>
          <t>20230915</t>
        </is>
      </c>
      <c r="P111" t="inlineStr">
        <is>
          <t>Sulawesi Barat</t>
        </is>
      </c>
      <c r="Q111" t="inlineStr"/>
    </row>
    <row r="112">
      <c r="A112" t="inlineStr">
        <is>
          <t>MUHAMMAD JUSUP SUMARDHY</t>
        </is>
      </c>
      <c r="B112" t="inlineStr">
        <is>
          <t>Kab. Bulungan</t>
        </is>
      </c>
      <c r="C112" t="inlineStr">
        <is>
          <t>081253577861</t>
        </is>
      </c>
      <c r="D112" t="inlineStr">
        <is>
          <t>muhammadjusup812@gmail.com</t>
        </is>
      </c>
      <c r="E112" t="inlineStr">
        <is>
          <t>https://lpjk.pu.go.id/search-badan-usaha-detail/YlZxMTllSUtRWUd1RHk5dEFHRnZ6Zz09</t>
        </is>
      </c>
      <c r="F112" t="n">
        <v>2</v>
      </c>
      <c r="G112" t="inlineStr">
        <is>
          <t>BG009, BS001</t>
        </is>
      </c>
      <c r="H112" t="inlineStr">
        <is>
          <t>21 Januari 2014</t>
        </is>
      </c>
      <c r="I112" s="2" t="n">
        <v>46282</v>
      </c>
      <c r="J112" t="inlineStr">
        <is>
          <t>Disetujui</t>
        </is>
      </c>
      <c r="K112" t="n">
        <v>30</v>
      </c>
      <c r="L112" t="inlineStr">
        <is>
          <t>17 September 2026</t>
        </is>
      </c>
      <c r="M112" t="inlineStr">
        <is>
          <t>Konstruksi Bangunan Sipil Jalan, Konstruksi Gedung Lainnya</t>
        </is>
      </c>
      <c r="N112" t="inlineStr">
        <is>
          <t>K</t>
        </is>
      </c>
      <c r="O112" t="inlineStr">
        <is>
          <t>20230912</t>
        </is>
      </c>
      <c r="P112" t="inlineStr">
        <is>
          <t>Kalimantan Utara</t>
        </is>
      </c>
      <c r="Q112" t="inlineStr"/>
    </row>
    <row r="113">
      <c r="A113" t="inlineStr">
        <is>
          <t>MUTIA PRATAMA KONSTRUKSI</t>
        </is>
      </c>
      <c r="B113" t="inlineStr">
        <is>
          <t>Kab. Indragiri Hulu</t>
        </is>
      </c>
      <c r="C113" t="inlineStr">
        <is>
          <t>085271801856</t>
        </is>
      </c>
      <c r="D113" t="inlineStr">
        <is>
          <t>mutiapratamakonstruksi@gmail.com</t>
        </is>
      </c>
      <c r="E113" t="inlineStr">
        <is>
          <t>https://lpjk.pu.go.id/search-badan-usaha-detail/VnEzZG9tWnhQQWxvVlRrWlYrbm5wZz09</t>
        </is>
      </c>
      <c r="F113" t="n">
        <v>3</v>
      </c>
      <c r="G113" t="inlineStr">
        <is>
          <t>BG009, BS001, BS004</t>
        </is>
      </c>
      <c r="H113" t="inlineStr">
        <is>
          <t>6 Juni 2023</t>
        </is>
      </c>
      <c r="I113" s="2" t="n">
        <v>46282</v>
      </c>
      <c r="J113" t="inlineStr">
        <is>
          <t>Disetujui</t>
        </is>
      </c>
      <c r="K113" t="n">
        <v>30</v>
      </c>
      <c r="L113" t="inlineStr">
        <is>
          <t>17 September 2026</t>
        </is>
      </c>
      <c r="M113" t="inlineStr">
        <is>
          <t>Konstruksi Bangunan Sipil Jalan, Konstruksi Gedung Lainnya, Konstruksi Jaringan Irigasi dan Drainase</t>
        </is>
      </c>
      <c r="N113" t="inlineStr">
        <is>
          <t>K</t>
        </is>
      </c>
      <c r="O113" t="inlineStr">
        <is>
          <t>20230613, 20230918</t>
        </is>
      </c>
      <c r="P113" t="inlineStr">
        <is>
          <t>Riau</t>
        </is>
      </c>
      <c r="Q113" t="inlineStr"/>
    </row>
    <row r="114">
      <c r="A114" t="inlineStr">
        <is>
          <t>MUTIARA ABADI</t>
        </is>
      </c>
      <c r="B114" t="inlineStr">
        <is>
          <t>Kab. Ciamis</t>
        </is>
      </c>
      <c r="C114" t="inlineStr">
        <is>
          <t>0265773807</t>
        </is>
      </c>
      <c r="D114" t="inlineStr">
        <is>
          <t>mutiara_abadi03@yahoo.co.id</t>
        </is>
      </c>
      <c r="E114" t="inlineStr">
        <is>
          <t>https://lpjk.pu.go.id/search-badan-usaha-detail/V2lEaUFuclgzd25OdmZ4REcwRVRCdz09</t>
        </is>
      </c>
      <c r="F114" t="n">
        <v>2</v>
      </c>
      <c r="G114" t="inlineStr">
        <is>
          <t>BG005</t>
        </is>
      </c>
      <c r="H114" t="inlineStr">
        <is>
          <t>20 Maret 2007</t>
        </is>
      </c>
      <c r="I114" s="2" t="n">
        <v>46282</v>
      </c>
      <c r="J114" t="inlineStr">
        <is>
          <t>Disetujui</t>
        </is>
      </c>
      <c r="K114" t="n">
        <v>30</v>
      </c>
      <c r="L114" t="inlineStr">
        <is>
          <t>17 September 2026</t>
        </is>
      </c>
      <c r="M114" t="inlineStr">
        <is>
          <t>Konstruksi Gedung Kesehatan</t>
        </is>
      </c>
      <c r="N114" t="inlineStr">
        <is>
          <t>K</t>
        </is>
      </c>
      <c r="O114" t="inlineStr">
        <is>
          <t>20230911</t>
        </is>
      </c>
      <c r="P114" t="inlineStr">
        <is>
          <t>Jawa Barat</t>
        </is>
      </c>
      <c r="Q114" t="inlineStr"/>
    </row>
    <row r="115">
      <c r="A115" t="inlineStr">
        <is>
          <t>NABILA JAYA ABADI</t>
        </is>
      </c>
      <c r="B115" t="inlineStr">
        <is>
          <t>Kab. Tanah Bumbu</t>
        </is>
      </c>
      <c r="C115" t="inlineStr">
        <is>
          <t>081253807387</t>
        </is>
      </c>
      <c r="D115" t="inlineStr">
        <is>
          <t>nabilajayaabadi123@gmail.com</t>
        </is>
      </c>
      <c r="E115" t="inlineStr">
        <is>
          <t>https://lpjk.pu.go.id/search-badan-usaha-detail/ZUU4OUlybVBQdmI2SExuMWE5b0hXdz09</t>
        </is>
      </c>
      <c r="F115" t="n">
        <v>6</v>
      </c>
      <c r="G115" t="inlineStr">
        <is>
          <t>BG002, BG006, BG009</t>
        </is>
      </c>
      <c r="H115" t="inlineStr">
        <is>
          <t>28 Juni 2014</t>
        </is>
      </c>
      <c r="I115" s="2" t="n">
        <v>46282</v>
      </c>
      <c r="J115" t="inlineStr">
        <is>
          <t>Disetujui</t>
        </is>
      </c>
      <c r="K115" t="n">
        <v>30</v>
      </c>
      <c r="L115" t="inlineStr">
        <is>
          <t>17 September 2026</t>
        </is>
      </c>
      <c r="M115" t="inlineStr">
        <is>
          <t>Konstruksi Gedung Lainnya, Konstruksi Gedung Pendidikan, Konstruksi Gedung Perkantoran</t>
        </is>
      </c>
      <c r="N115" t="inlineStr">
        <is>
          <t>K</t>
        </is>
      </c>
      <c r="O115" t="inlineStr">
        <is>
          <t>20230915, 20230919</t>
        </is>
      </c>
      <c r="P115" t="inlineStr">
        <is>
          <t>Kalimantan Selatan</t>
        </is>
      </c>
      <c r="Q115" t="inlineStr"/>
    </row>
    <row r="116">
      <c r="A116" t="inlineStr">
        <is>
          <t>NAGARI LUKINDO SEJAHTERA</t>
        </is>
      </c>
      <c r="B116" t="inlineStr">
        <is>
          <t>Kota Padang</t>
        </is>
      </c>
      <c r="C116" t="inlineStr">
        <is>
          <t>081363338800</t>
        </is>
      </c>
      <c r="D116" t="inlineStr">
        <is>
          <t>mardialselas@yahoo.com</t>
        </is>
      </c>
      <c r="E116" t="inlineStr">
        <is>
          <t>https://lpjk.pu.go.id/search-badan-usaha-detail/M1g5NXZxcGZZc216dmFCWndtUW1zdz09</t>
        </is>
      </c>
      <c r="F116" t="n">
        <v>3</v>
      </c>
      <c r="G116" t="inlineStr">
        <is>
          <t>BG005, BG006, BG009</t>
        </is>
      </c>
      <c r="H116" t="inlineStr">
        <is>
          <t>5 Mei 2011</t>
        </is>
      </c>
      <c r="I116" s="2" t="n">
        <v>46282</v>
      </c>
      <c r="J116" t="inlineStr">
        <is>
          <t>Disetujui</t>
        </is>
      </c>
      <c r="K116" t="n">
        <v>30</v>
      </c>
      <c r="L116" t="inlineStr">
        <is>
          <t>17 September 2026</t>
        </is>
      </c>
      <c r="M116" t="inlineStr">
        <is>
          <t>Konstruksi Gedung Kesehatan, Konstruksi Gedung Lainnya, Konstruksi Gedung Pendidikan</t>
        </is>
      </c>
      <c r="N116" t="inlineStr">
        <is>
          <t>K</t>
        </is>
      </c>
      <c r="O116" t="inlineStr">
        <is>
          <t>20230912</t>
        </is>
      </c>
      <c r="P116" t="inlineStr">
        <is>
          <t>Sumatera Barat</t>
        </is>
      </c>
      <c r="Q116" t="inlineStr"/>
    </row>
    <row r="117">
      <c r="A117" t="inlineStr">
        <is>
          <t>NAUFAL BERKARYA</t>
        </is>
      </c>
      <c r="B117" t="inlineStr">
        <is>
          <t>Kota Bandar Lampung</t>
        </is>
      </c>
      <c r="C117" t="inlineStr">
        <is>
          <t>082175480791</t>
        </is>
      </c>
      <c r="D117" t="inlineStr">
        <is>
          <t>naufalberkarya.cv@yahoo.com</t>
        </is>
      </c>
      <c r="E117" t="inlineStr">
        <is>
          <t>https://lpjk.pu.go.id/search-badan-usaha-detail/UXlldGpZQ0huNFU1REJDVXNyNFh3QT09</t>
        </is>
      </c>
      <c r="F117" t="n">
        <v>4</v>
      </c>
      <c r="G117" t="inlineStr">
        <is>
          <t>BG002, BG009, BS001, BS004</t>
        </is>
      </c>
      <c r="H117" t="inlineStr">
        <is>
          <t>5 Februari 2018</t>
        </is>
      </c>
      <c r="I117" s="2" t="n">
        <v>46282</v>
      </c>
      <c r="J117" t="inlineStr">
        <is>
          <t>Disetujui</t>
        </is>
      </c>
      <c r="K117" t="n">
        <v>30</v>
      </c>
      <c r="L117" t="inlineStr">
        <is>
          <t>17 September 2026</t>
        </is>
      </c>
      <c r="M117" t="inlineStr">
        <is>
          <t>Konstruksi Bangunan Sipil Jalan, Konstruksi Gedung Lainnya, Konstruksi Gedung Perkantoran, Konstruksi Jaringan Irigasi dan Drainase</t>
        </is>
      </c>
      <c r="N117" t="inlineStr">
        <is>
          <t>K</t>
        </is>
      </c>
      <c r="O117" t="inlineStr">
        <is>
          <t>20230827, 20230829, 20230911</t>
        </is>
      </c>
      <c r="P117" t="inlineStr">
        <is>
          <t>Lampung</t>
        </is>
      </c>
      <c r="Q117" t="inlineStr"/>
    </row>
    <row r="118">
      <c r="A118" t="inlineStr">
        <is>
          <t>NOBEL PRATAMA KONTRAKTOR</t>
        </is>
      </c>
      <c r="B118" t="inlineStr">
        <is>
          <t>Kab. Demak</t>
        </is>
      </c>
      <c r="C118" t="inlineStr">
        <is>
          <t>081226111134</t>
        </is>
      </c>
      <c r="D118" t="inlineStr">
        <is>
          <t>nobelpratama22@gmail.com</t>
        </is>
      </c>
      <c r="E118" t="inlineStr">
        <is>
          <t>https://lpjk.pu.go.id/search-badan-usaha-detail/UExmYmJmRTZwb0p4akRMcVQyQ3Q0UT09</t>
        </is>
      </c>
      <c r="F118" t="n">
        <v>5</v>
      </c>
      <c r="G118" t="inlineStr">
        <is>
          <t>BG002, BG006, BG009, BS001, BS004</t>
        </is>
      </c>
      <c r="H118" t="inlineStr">
        <is>
          <t>30 Juni 2009</t>
        </is>
      </c>
      <c r="I118" s="2" t="n">
        <v>46282</v>
      </c>
      <c r="J118" t="inlineStr">
        <is>
          <t>Disetujui</t>
        </is>
      </c>
      <c r="K118" t="n">
        <v>30</v>
      </c>
      <c r="L118" t="inlineStr">
        <is>
          <t>17 September 2026</t>
        </is>
      </c>
      <c r="M118" t="inlineStr">
        <is>
          <t>Konstruksi Bangunan Sipil Jalan, Konstruksi Gedung Lainnya, Konstruksi Gedung Pendidikan, Konstruksi Gedung Perkantoran, Konstruksi Jaringan Irigasi dan Drainase</t>
        </is>
      </c>
      <c r="N118" t="inlineStr">
        <is>
          <t>K</t>
        </is>
      </c>
      <c r="O118" t="inlineStr">
        <is>
          <t>20230913, 20230914</t>
        </is>
      </c>
      <c r="P118" t="inlineStr">
        <is>
          <t>Jawa Tengah</t>
        </is>
      </c>
      <c r="Q118" t="inlineStr"/>
    </row>
    <row r="119">
      <c r="A119" t="inlineStr">
        <is>
          <t>NUR TIGA UTAMA</t>
        </is>
      </c>
      <c r="B119" t="inlineStr">
        <is>
          <t>Kab. Kotawaringin Barat</t>
        </is>
      </c>
      <c r="C119" t="inlineStr">
        <is>
          <t>082140971711</t>
        </is>
      </c>
      <c r="D119" t="inlineStr">
        <is>
          <t>cvnurtigautama@gmail.com</t>
        </is>
      </c>
      <c r="E119" t="inlineStr">
        <is>
          <t>https://lpjk.pu.go.id/search-badan-usaha-detail/SGVzL1hLOS9aSzRSU1JDMmlJNUlxUT09</t>
        </is>
      </c>
      <c r="F119" t="n">
        <v>4</v>
      </c>
      <c r="G119" t="inlineStr">
        <is>
          <t>BG009, BS001, BS002, BS004</t>
        </is>
      </c>
      <c r="H119" t="inlineStr">
        <is>
          <t>12 Januari 2023</t>
        </is>
      </c>
      <c r="I119" s="2" t="n">
        <v>46282</v>
      </c>
      <c r="J119" t="inlineStr">
        <is>
          <t>Disetujui</t>
        </is>
      </c>
      <c r="K119" t="n">
        <v>30</v>
      </c>
      <c r="L119" t="inlineStr">
        <is>
          <t>17 September 2026</t>
        </is>
      </c>
      <c r="M119" t="inlineStr">
        <is>
          <t>Bangunan Sipil Jembatan, Jalan Layang, Fly Over, dan Underpass, Konstruksi Bangunan Sipil Jalan, Konstruksi Gedung Lainnya, Konstruksi Jaringan Irigasi dan Drainase</t>
        </is>
      </c>
      <c r="N119" t="inlineStr">
        <is>
          <t>K</t>
        </is>
      </c>
      <c r="O119" t="inlineStr">
        <is>
          <t>20230913</t>
        </is>
      </c>
      <c r="P119" t="inlineStr">
        <is>
          <t>Kalimantan Tengah</t>
        </is>
      </c>
      <c r="Q119" t="inlineStr"/>
    </row>
    <row r="120">
      <c r="A120" t="inlineStr">
        <is>
          <t>NURA KARYA KONSULTAN</t>
        </is>
      </c>
      <c r="B120" t="inlineStr">
        <is>
          <t>Kota Serang</t>
        </is>
      </c>
      <c r="C120" t="inlineStr">
        <is>
          <t>082127233911</t>
        </is>
      </c>
      <c r="D120" t="inlineStr">
        <is>
          <t>cv.nurakaryakonsultan@gmail.com</t>
        </is>
      </c>
      <c r="E120" t="inlineStr">
        <is>
          <t>https://lpjk.pu.go.id/search-badan-usaha-detail/SStpVk5aemorYjY3TTlTVzBTd3RJZz09</t>
        </is>
      </c>
      <c r="F120" t="n">
        <v>2</v>
      </c>
      <c r="G120" t="inlineStr">
        <is>
          <t>RK001, RK003</t>
        </is>
      </c>
      <c r="H120" t="inlineStr">
        <is>
          <t>7 Januari 2021</t>
        </is>
      </c>
      <c r="I120" s="2" t="n">
        <v>46282</v>
      </c>
      <c r="J120" t="inlineStr">
        <is>
          <t>Disetujui</t>
        </is>
      </c>
      <c r="K120" t="n">
        <v>30</v>
      </c>
      <c r="L120" t="inlineStr">
        <is>
          <t>17 September 2026</t>
        </is>
      </c>
      <c r="M120" t="inlineStr">
        <is>
          <t>Jasa Rekayasa Konstruksi Bangunan Gedung Hunian dan Non Hunian, Jasa Rekayasa Pekerjaan Teknik Sipil Transportasi</t>
        </is>
      </c>
      <c r="N120" t="inlineStr">
        <is>
          <t>K</t>
        </is>
      </c>
      <c r="O120" t="inlineStr">
        <is>
          <t>20230427, 20230904</t>
        </is>
      </c>
      <c r="P120" t="inlineStr">
        <is>
          <t>Banten</t>
        </is>
      </c>
      <c r="Q120" t="inlineStr"/>
    </row>
    <row r="121">
      <c r="A121" t="inlineStr">
        <is>
          <t>PADJADJARAN</t>
        </is>
      </c>
      <c r="B121" t="inlineStr">
        <is>
          <t>Kab. Tasikmalaya</t>
        </is>
      </c>
      <c r="C121" t="inlineStr">
        <is>
          <t>081220237536</t>
        </is>
      </c>
      <c r="D121" t="inlineStr">
        <is>
          <t>cv.padjadjarankm21@gmail.com</t>
        </is>
      </c>
      <c r="E121" t="inlineStr">
        <is>
          <t>https://lpjk.pu.go.id/search-badan-usaha-detail/eHAzVlNjVUhOaDFFZExrUmRva0Y4UT09</t>
        </is>
      </c>
      <c r="F121" t="n">
        <v>3</v>
      </c>
      <c r="G121" t="inlineStr">
        <is>
          <t>BG006, BG009, BS001</t>
        </is>
      </c>
      <c r="H121" t="inlineStr">
        <is>
          <t>9 September 1999</t>
        </is>
      </c>
      <c r="I121" s="2" t="n">
        <v>46282</v>
      </c>
      <c r="J121" t="inlineStr">
        <is>
          <t>Disetujui</t>
        </is>
      </c>
      <c r="K121" t="n">
        <v>30</v>
      </c>
      <c r="L121" t="inlineStr">
        <is>
          <t>17 September 2026</t>
        </is>
      </c>
      <c r="M121" t="inlineStr">
        <is>
          <t>Konstruksi Bangunan Sipil Jalan, Konstruksi Gedung Lainnya, Konstruksi Gedung Pendidikan</t>
        </is>
      </c>
      <c r="N121" t="inlineStr">
        <is>
          <t>K</t>
        </is>
      </c>
      <c r="O121" t="inlineStr">
        <is>
          <t>20230914, 20230917</t>
        </is>
      </c>
      <c r="P121" t="inlineStr">
        <is>
          <t>Jawa Barat</t>
        </is>
      </c>
      <c r="Q121" t="inlineStr"/>
    </row>
    <row r="122">
      <c r="A122" t="inlineStr">
        <is>
          <t>PANCA DUTA KARYA ABADI</t>
        </is>
      </c>
      <c r="B122" t="inlineStr">
        <is>
          <t>Kota Jayapura</t>
        </is>
      </c>
      <c r="C122" t="inlineStr">
        <is>
          <t>0967537776</t>
        </is>
      </c>
      <c r="D122" t="inlineStr">
        <is>
          <t>jayapura_ptpdka@yahoo.com</t>
        </is>
      </c>
      <c r="E122" t="inlineStr">
        <is>
          <t>https://lpjk.pu.go.id/search-badan-usaha-detail/d3F4TG41dGMzd0Vhbm4xQ2NJVmFBZz09</t>
        </is>
      </c>
      <c r="F122" t="n">
        <v>2</v>
      </c>
      <c r="G122" t="inlineStr">
        <is>
          <t>BG006, BS002</t>
        </is>
      </c>
      <c r="H122" t="inlineStr">
        <is>
          <t>21 Mei 1983</t>
        </is>
      </c>
      <c r="I122" s="2" t="n">
        <v>46282</v>
      </c>
      <c r="J122" t="inlineStr">
        <is>
          <t>Disetujui</t>
        </is>
      </c>
      <c r="K122" t="n">
        <v>30</v>
      </c>
      <c r="L122" t="inlineStr">
        <is>
          <t>17 September 2026</t>
        </is>
      </c>
      <c r="M122" t="inlineStr">
        <is>
          <t>Bangunan Sipil Jembatan, Jalan Layang, Fly Over, dan Underpass, Konstruksi Gedung Pendidikan</t>
        </is>
      </c>
      <c r="N122" t="inlineStr">
        <is>
          <t>K</t>
        </is>
      </c>
      <c r="O122" t="inlineStr">
        <is>
          <t>20230607</t>
        </is>
      </c>
      <c r="P122" t="inlineStr">
        <is>
          <t>Papua</t>
        </is>
      </c>
      <c r="Q122" t="inlineStr"/>
    </row>
    <row r="123">
      <c r="A123" t="inlineStr">
        <is>
          <t>PANTJA WARNA ABADI</t>
        </is>
      </c>
      <c r="B123" t="inlineStr">
        <is>
          <t>Kota Malang</t>
        </is>
      </c>
      <c r="C123" t="inlineStr">
        <is>
          <t>082189313212</t>
        </is>
      </c>
      <c r="D123" t="inlineStr">
        <is>
          <t>pantjawarnaabadi@gmail.com</t>
        </is>
      </c>
      <c r="E123" t="inlineStr">
        <is>
          <t>https://lpjk.pu.go.id/search-badan-usaha-detail/dDlJaFM4MUcwV2l6ZFNMVmNPbWVGUT09</t>
        </is>
      </c>
      <c r="F123" t="n">
        <v>2</v>
      </c>
      <c r="G123" t="inlineStr">
        <is>
          <t>BG001, BG009</t>
        </is>
      </c>
      <c r="H123" t="inlineStr">
        <is>
          <t>11 Oktober 2021</t>
        </is>
      </c>
      <c r="I123" s="2" t="n">
        <v>46282</v>
      </c>
      <c r="J123" t="inlineStr">
        <is>
          <t>Disetujui</t>
        </is>
      </c>
      <c r="K123" t="n">
        <v>30</v>
      </c>
      <c r="L123" t="inlineStr">
        <is>
          <t>17 September 2026</t>
        </is>
      </c>
      <c r="M123" t="inlineStr">
        <is>
          <t>Konstruksi Gedung Hunian, Konstruksi Gedung Lainnya</t>
        </is>
      </c>
      <c r="N123" t="inlineStr">
        <is>
          <t>K</t>
        </is>
      </c>
      <c r="O123" t="inlineStr">
        <is>
          <t>20230914</t>
        </is>
      </c>
      <c r="P123" t="inlineStr">
        <is>
          <t>Jawa Timur</t>
        </is>
      </c>
      <c r="Q123" t="inlineStr"/>
    </row>
    <row r="124">
      <c r="A124" t="inlineStr">
        <is>
          <t>PASTI MAKMUR BERSAMA</t>
        </is>
      </c>
      <c r="B124" t="inlineStr">
        <is>
          <t>Kota Batam</t>
        </is>
      </c>
      <c r="C124" t="inlineStr">
        <is>
          <t>07788096115</t>
        </is>
      </c>
      <c r="D124" t="inlineStr">
        <is>
          <t>batam_pmb@yahoo.com</t>
        </is>
      </c>
      <c r="E124" t="inlineStr">
        <is>
          <t>https://lpjk.pu.go.id/search-badan-usaha-detail/K3M3dXpha1RiSlg3cnpFVFhPRUZGQT09</t>
        </is>
      </c>
      <c r="F124" t="n">
        <v>1</v>
      </c>
      <c r="G124" t="inlineStr">
        <is>
          <t>BG005</t>
        </is>
      </c>
      <c r="H124" t="inlineStr">
        <is>
          <t>11 Juni 2013</t>
        </is>
      </c>
      <c r="I124" s="2" t="n">
        <v>46282</v>
      </c>
      <c r="J124" t="inlineStr">
        <is>
          <t>Pencabutan</t>
        </is>
      </c>
      <c r="K124" t="n">
        <v>30</v>
      </c>
      <c r="L124" t="inlineStr">
        <is>
          <t>17 September 2026</t>
        </is>
      </c>
      <c r="M124" t="inlineStr">
        <is>
          <t>Konstruksi Gedung Kesehatan</t>
        </is>
      </c>
      <c r="N124" t="inlineStr">
        <is>
          <t>K</t>
        </is>
      </c>
      <c r="O124" t="inlineStr">
        <is>
          <t>20230911</t>
        </is>
      </c>
      <c r="P124" t="inlineStr">
        <is>
          <t>Kepulauan Riau</t>
        </is>
      </c>
      <c r="Q124" t="inlineStr"/>
    </row>
    <row r="125">
      <c r="A125" t="inlineStr">
        <is>
          <t>PILAR PERMATA ABADI</t>
        </is>
      </c>
      <c r="B125" t="inlineStr">
        <is>
          <t>Kota Pontianak</t>
        </is>
      </c>
      <c r="C125" t="inlineStr">
        <is>
          <t>082157880958</t>
        </is>
      </c>
      <c r="D125" t="inlineStr">
        <is>
          <t>cv.ppa.2020@gmail.com</t>
        </is>
      </c>
      <c r="E125" t="inlineStr">
        <is>
          <t>https://lpjk.pu.go.id/search-badan-usaha-detail/cElGTHY3ODVmeVBtU0hnL2hLaFVTQT09</t>
        </is>
      </c>
      <c r="F125" t="n">
        <v>2</v>
      </c>
      <c r="G125" t="inlineStr">
        <is>
          <t>BG006, BG008</t>
        </is>
      </c>
      <c r="H125" t="inlineStr">
        <is>
          <t>7 Januari 2020</t>
        </is>
      </c>
      <c r="I125" s="2" t="n">
        <v>46282</v>
      </c>
      <c r="J125" t="inlineStr">
        <is>
          <t>Disetujui</t>
        </is>
      </c>
      <c r="K125" t="n">
        <v>30</v>
      </c>
      <c r="L125" t="inlineStr">
        <is>
          <t>17 September 2026</t>
        </is>
      </c>
      <c r="M125" t="inlineStr">
        <is>
          <t>Konstruksi Gedung Pendidikan, Konstruksi Gedung Tempat Hiburan dan Olahraga</t>
        </is>
      </c>
      <c r="N125" t="inlineStr">
        <is>
          <t>K</t>
        </is>
      </c>
      <c r="O125" t="inlineStr">
        <is>
          <t>20230909</t>
        </is>
      </c>
      <c r="P125" t="inlineStr">
        <is>
          <t>Kalimantan Barat</t>
        </is>
      </c>
      <c r="Q125" t="inlineStr"/>
    </row>
    <row r="126">
      <c r="A126" t="inlineStr">
        <is>
          <t>PURNAMA BAHAGIA</t>
        </is>
      </c>
      <c r="B126" t="inlineStr">
        <is>
          <t>Kab. Sumbawa</t>
        </is>
      </c>
      <c r="C126" t="inlineStr">
        <is>
          <t>081359709814</t>
        </is>
      </c>
      <c r="D126" t="inlineStr">
        <is>
          <t>purnamabahagia20@gmail.com</t>
        </is>
      </c>
      <c r="E126" t="inlineStr">
        <is>
          <t>https://lpjk.pu.go.id/search-badan-usaha-detail/OFN0SUxSRlMyK3A3alk5S000SS94UT09</t>
        </is>
      </c>
      <c r="F126" t="n">
        <v>4</v>
      </c>
      <c r="G126" t="inlineStr">
        <is>
          <t>BG009, BS004</t>
        </is>
      </c>
      <c r="H126" t="inlineStr">
        <is>
          <t>8 Oktober 2019</t>
        </is>
      </c>
      <c r="I126" s="2" t="n">
        <v>46282</v>
      </c>
      <c r="J126" t="inlineStr">
        <is>
          <t>Pencabutan</t>
        </is>
      </c>
      <c r="K126" t="n">
        <v>30</v>
      </c>
      <c r="L126" t="inlineStr">
        <is>
          <t>17 September 2026</t>
        </is>
      </c>
      <c r="M126" t="inlineStr">
        <is>
          <t>Konstruksi Gedung Lainnya, Konstruksi Jaringan Irigasi dan Drainase</t>
        </is>
      </c>
      <c r="N126" t="inlineStr">
        <is>
          <t>K</t>
        </is>
      </c>
      <c r="O126" t="inlineStr">
        <is>
          <t>20230904, 20230912</t>
        </is>
      </c>
      <c r="P126" t="inlineStr">
        <is>
          <t>Nusa Tenggara Barat</t>
        </is>
      </c>
      <c r="Q126" t="inlineStr"/>
    </row>
    <row r="127">
      <c r="A127" t="inlineStr">
        <is>
          <t>PURNAPAM PDAM KOTA DENPASAR</t>
        </is>
      </c>
      <c r="B127" t="inlineStr">
        <is>
          <t>Kota Denpasar</t>
        </is>
      </c>
      <c r="C127" t="inlineStr">
        <is>
          <t>03618442471</t>
        </is>
      </c>
      <c r="D127" t="inlineStr">
        <is>
          <t>koperasipurnapam@yahoo.com</t>
        </is>
      </c>
      <c r="E127" t="inlineStr">
        <is>
          <t>https://lpjk.pu.go.id/search-badan-usaha-detail/S3dtZzFmQW1JYlFndjlJRmxOZDRhUT09</t>
        </is>
      </c>
      <c r="F127" t="n">
        <v>1</v>
      </c>
      <c r="G127" t="inlineStr">
        <is>
          <t>BS005</t>
        </is>
      </c>
      <c r="H127" t="inlineStr">
        <is>
          <t>16 November 2010</t>
        </is>
      </c>
      <c r="I127" s="2" t="n">
        <v>46282</v>
      </c>
      <c r="J127" t="inlineStr">
        <is>
          <t>Disetujui</t>
        </is>
      </c>
      <c r="K127" t="n">
        <v>30</v>
      </c>
      <c r="L127" t="inlineStr">
        <is>
          <t>17 September 2026</t>
        </is>
      </c>
      <c r="M127" t="inlineStr">
        <is>
          <t>Konstruksi Bangunan Sipil Pengolahan Air Bersih</t>
        </is>
      </c>
      <c r="N127" t="inlineStr">
        <is>
          <t>K</t>
        </is>
      </c>
      <c r="O127" t="inlineStr">
        <is>
          <t>20230908</t>
        </is>
      </c>
      <c r="P127" t="inlineStr">
        <is>
          <t>Bali</t>
        </is>
      </c>
      <c r="Q127" t="inlineStr"/>
    </row>
    <row r="128">
      <c r="A128" t="inlineStr">
        <is>
          <t>PURWA KARYA</t>
        </is>
      </c>
      <c r="B128" t="inlineStr">
        <is>
          <t>Kab. Pemalang</t>
        </is>
      </c>
      <c r="C128" t="inlineStr">
        <is>
          <t>081903608909</t>
        </is>
      </c>
      <c r="D128" t="inlineStr">
        <is>
          <t>cv.purwakarya@gmail.com</t>
        </is>
      </c>
      <c r="E128" t="inlineStr">
        <is>
          <t>https://lpjk.pu.go.id/search-badan-usaha-detail/aFI2dlZYZWJmeit2RW1HSllzUzAzdz09</t>
        </is>
      </c>
      <c r="F128" t="n">
        <v>2</v>
      </c>
      <c r="G128" t="inlineStr">
        <is>
          <t>BS001, BS005</t>
        </is>
      </c>
      <c r="H128" t="inlineStr">
        <is>
          <t>2 November 1990</t>
        </is>
      </c>
      <c r="I128" s="2" t="n">
        <v>46282</v>
      </c>
      <c r="J128" t="inlineStr">
        <is>
          <t>Disetujui</t>
        </is>
      </c>
      <c r="K128" t="n">
        <v>30</v>
      </c>
      <c r="L128" t="inlineStr">
        <is>
          <t>17 September 2026</t>
        </is>
      </c>
      <c r="M128" t="inlineStr">
        <is>
          <t>Konstruksi Bangunan Sipil Jalan, Konstruksi Bangunan Sipil Pengolahan Air Bersih</t>
        </is>
      </c>
      <c r="N128" t="inlineStr">
        <is>
          <t>K</t>
        </is>
      </c>
      <c r="O128" t="inlineStr">
        <is>
          <t>20230912, 20230914</t>
        </is>
      </c>
      <c r="P128" t="inlineStr">
        <is>
          <t>Jawa Tengah</t>
        </is>
      </c>
      <c r="Q128" t="inlineStr"/>
    </row>
    <row r="129">
      <c r="A129" t="inlineStr">
        <is>
          <t>PUSAKA TEKNIK UTAMA</t>
        </is>
      </c>
      <c r="B129" t="inlineStr">
        <is>
          <t>Kota Surabaya</t>
        </is>
      </c>
      <c r="C129" t="inlineStr">
        <is>
          <t>08113050844</t>
        </is>
      </c>
      <c r="D129" t="inlineStr">
        <is>
          <t>ptpusakateknikutama@gmail.com</t>
        </is>
      </c>
      <c r="E129" t="inlineStr">
        <is>
          <t>https://lpjk.pu.go.id/search-badan-usaha-detail/cDdqUWZIL3c5ajZmL0JOQXV0RFBEQT09</t>
        </is>
      </c>
      <c r="F129" t="n">
        <v>2</v>
      </c>
      <c r="G129" t="inlineStr">
        <is>
          <t>BG009, IN001</t>
        </is>
      </c>
      <c r="H129" t="inlineStr">
        <is>
          <t>12 Mei 2022</t>
        </is>
      </c>
      <c r="I129" s="2" t="n">
        <v>46282</v>
      </c>
      <c r="J129" t="inlineStr">
        <is>
          <t>Disetujui, Pembekuan</t>
        </is>
      </c>
      <c r="K129" t="n">
        <v>30</v>
      </c>
      <c r="L129" t="inlineStr">
        <is>
          <t>17 September 2026</t>
        </is>
      </c>
      <c r="M129" t="inlineStr">
        <is>
          <t>Instalasi Mekanikal, Konstruksi Gedung Lainnya</t>
        </is>
      </c>
      <c r="N129" t="inlineStr">
        <is>
          <t>K, Spesialis</t>
        </is>
      </c>
      <c r="O129" t="inlineStr">
        <is>
          <t>20230913, 20230920</t>
        </is>
      </c>
      <c r="P129" t="inlineStr">
        <is>
          <t>Jawa Timur</t>
        </is>
      </c>
      <c r="Q129" t="inlineStr"/>
    </row>
    <row r="130">
      <c r="A130" t="inlineStr">
        <is>
          <t>PUTRA BINTANG SEMESTA</t>
        </is>
      </c>
      <c r="B130" t="inlineStr">
        <is>
          <t>Kota Pangkal Pinang</t>
        </is>
      </c>
      <c r="C130" t="inlineStr">
        <is>
          <t>082278615975</t>
        </is>
      </c>
      <c r="D130" t="inlineStr">
        <is>
          <t>putrabintangsemesta2021@gmail.com</t>
        </is>
      </c>
      <c r="E130" t="inlineStr">
        <is>
          <t>https://lpjk.pu.go.id/search-badan-usaha-detail/VjdvNy9nNUd3TGg0Y0ozK2hlQVMzdz09</t>
        </is>
      </c>
      <c r="F130" t="n">
        <v>4</v>
      </c>
      <c r="G130" t="inlineStr">
        <is>
          <t>BG002, BG005, BG006, BG009</t>
        </is>
      </c>
      <c r="H130" t="inlineStr">
        <is>
          <t>21 Februari 2023</t>
        </is>
      </c>
      <c r="I130" s="2" t="n">
        <v>46282</v>
      </c>
      <c r="J130" t="inlineStr">
        <is>
          <t>Disetujui</t>
        </is>
      </c>
      <c r="K130" t="n">
        <v>30</v>
      </c>
      <c r="L130" t="inlineStr">
        <is>
          <t>17 September 2026</t>
        </is>
      </c>
      <c r="M130" t="inlineStr">
        <is>
          <t>Konstruksi Gedung Kesehatan, Konstruksi Gedung Lainnya, Konstruksi Gedung Pendidikan, Konstruksi Gedung Perkantoran</t>
        </is>
      </c>
      <c r="N130" t="inlineStr">
        <is>
          <t>K</t>
        </is>
      </c>
      <c r="O130" t="inlineStr">
        <is>
          <t>20230824, 20230911</t>
        </is>
      </c>
      <c r="P130" t="inlineStr">
        <is>
          <t>Kepulauan Bangka Belitung</t>
        </is>
      </c>
      <c r="Q130" t="inlineStr"/>
    </row>
    <row r="131">
      <c r="A131" t="inlineStr">
        <is>
          <t>PUTRA MAHKOTA</t>
        </is>
      </c>
      <c r="B131" t="inlineStr">
        <is>
          <t>Kab. Sintang</t>
        </is>
      </c>
      <c r="C131" t="inlineStr">
        <is>
          <t>085252607434</t>
        </is>
      </c>
      <c r="D131" t="inlineStr">
        <is>
          <t>cv.putramahkota02@gmail.com</t>
        </is>
      </c>
      <c r="E131" t="inlineStr">
        <is>
          <t>https://lpjk.pu.go.id/search-badan-usaha-detail/WmxDUEQ2VGM2eFE1QStaSGRqV2lWQT09</t>
        </is>
      </c>
      <c r="F131" t="n">
        <v>1</v>
      </c>
      <c r="G131" t="inlineStr">
        <is>
          <t>BS001</t>
        </is>
      </c>
      <c r="H131" t="inlineStr">
        <is>
          <t>11 Januari 2018</t>
        </is>
      </c>
      <c r="I131" s="2" t="n">
        <v>46282</v>
      </c>
      <c r="J131" t="inlineStr">
        <is>
          <t>Disetujui</t>
        </is>
      </c>
      <c r="K131" t="n">
        <v>30</v>
      </c>
      <c r="L131" t="inlineStr">
        <is>
          <t>17 September 2026</t>
        </is>
      </c>
      <c r="M131" t="inlineStr">
        <is>
          <t>Konstruksi Bangunan Sipil Jalan</t>
        </is>
      </c>
      <c r="N131" t="inlineStr">
        <is>
          <t>K</t>
        </is>
      </c>
      <c r="O131" t="inlineStr">
        <is>
          <t>20230917</t>
        </is>
      </c>
      <c r="P131" t="inlineStr">
        <is>
          <t>Kalimantan Barat</t>
        </is>
      </c>
      <c r="Q131" t="inlineStr"/>
    </row>
    <row r="132">
      <c r="A132" t="inlineStr">
        <is>
          <t>PUTRA MANDIRI</t>
        </is>
      </c>
      <c r="B132" t="inlineStr">
        <is>
          <t>Kab. Maros</t>
        </is>
      </c>
      <c r="C132" t="inlineStr">
        <is>
          <t>081356961558</t>
        </is>
      </c>
      <c r="D132" t="inlineStr">
        <is>
          <t>andhy233@gmail.com</t>
        </is>
      </c>
      <c r="E132" t="inlineStr">
        <is>
          <t>https://lpjk.pu.go.id/search-badan-usaha-detail/OWFtZlR0c1dxZ0ZrTWhDZHhWcUlNUT09</t>
        </is>
      </c>
      <c r="F132" t="n">
        <v>5</v>
      </c>
      <c r="G132" t="inlineStr">
        <is>
          <t>BG002, BG006, BG009, BS001, BS010</t>
        </is>
      </c>
      <c r="H132" t="inlineStr">
        <is>
          <t>28 Februari 2014</t>
        </is>
      </c>
      <c r="I132" s="2" t="n">
        <v>46282</v>
      </c>
      <c r="J132" t="inlineStr">
        <is>
          <t>Disetujui</t>
        </is>
      </c>
      <c r="K132" t="n">
        <v>30</v>
      </c>
      <c r="L132" t="inlineStr">
        <is>
          <t>17 September 2026</t>
        </is>
      </c>
      <c r="M132" t="inlineStr">
        <is>
          <t>Konstruksi Bangunan Prasarana Sumber Daya Air, Konstruksi Bangunan Sipil Jalan, Konstruksi Gedung Lainnya, Konstruksi Gedung Pendidikan, Konstruksi Gedung Perkantoran</t>
        </is>
      </c>
      <c r="N132" t="inlineStr">
        <is>
          <t>K</t>
        </is>
      </c>
      <c r="O132" t="inlineStr">
        <is>
          <t>20230914, 20230915</t>
        </is>
      </c>
      <c r="P132" t="inlineStr">
        <is>
          <t>Sulawesi Selatan</t>
        </is>
      </c>
      <c r="Q132" t="inlineStr"/>
    </row>
    <row r="133">
      <c r="A133" t="inlineStr">
        <is>
          <t>PUTRA PHOENNA</t>
        </is>
      </c>
      <c r="B133" t="inlineStr">
        <is>
          <t>Kab. Aceh Timur</t>
        </is>
      </c>
      <c r="C133" t="inlineStr">
        <is>
          <t>085277608843</t>
        </is>
      </c>
      <c r="D133" t="inlineStr">
        <is>
          <t>cvputraphoenna@yahoo.com</t>
        </is>
      </c>
      <c r="E133" t="inlineStr">
        <is>
          <t>https://lpjk.pu.go.id/search-badan-usaha-detail/L2haSTlISGI0RjNuZ09ISk90RzhPZz09</t>
        </is>
      </c>
      <c r="F133" t="n">
        <v>1</v>
      </c>
      <c r="G133" t="inlineStr">
        <is>
          <t>BS001</t>
        </is>
      </c>
      <c r="H133" t="inlineStr">
        <is>
          <t>28 Juli 2020</t>
        </is>
      </c>
      <c r="I133" s="2" t="n">
        <v>46282</v>
      </c>
      <c r="J133" t="inlineStr">
        <is>
          <t>Disetujui</t>
        </is>
      </c>
      <c r="K133" t="n">
        <v>30</v>
      </c>
      <c r="L133" t="inlineStr">
        <is>
          <t>17 September 2026</t>
        </is>
      </c>
      <c r="M133" t="inlineStr">
        <is>
          <t>Konstruksi Bangunan Sipil Jalan</t>
        </is>
      </c>
      <c r="N133" t="inlineStr">
        <is>
          <t>K</t>
        </is>
      </c>
      <c r="O133" t="inlineStr">
        <is>
          <t>20220909</t>
        </is>
      </c>
      <c r="P133" t="inlineStr">
        <is>
          <t>Aceh</t>
        </is>
      </c>
      <c r="Q133" t="inlineStr"/>
    </row>
    <row r="134">
      <c r="A134" t="inlineStr">
        <is>
          <t>PUTRA RAHMAN GRESINDO</t>
        </is>
      </c>
      <c r="B134" t="inlineStr">
        <is>
          <t>Kab. Lombok Timur</t>
        </is>
      </c>
      <c r="C134" t="inlineStr">
        <is>
          <t>081779677459</t>
        </is>
      </c>
      <c r="D134" t="inlineStr">
        <is>
          <t>cvputrarahmangresindo@gmail.com</t>
        </is>
      </c>
      <c r="E134" t="inlineStr">
        <is>
          <t>https://lpjk.pu.go.id/search-badan-usaha-detail/SWx0RzhmVm9PSEtubUNqOXRXOU91Zz09</t>
        </is>
      </c>
      <c r="F134" t="n">
        <v>1</v>
      </c>
      <c r="G134" t="inlineStr">
        <is>
          <t>BS002</t>
        </is>
      </c>
      <c r="H134" t="inlineStr">
        <is>
          <t>2 April 2020</t>
        </is>
      </c>
      <c r="I134" s="2" t="n">
        <v>46282</v>
      </c>
      <c r="J134" t="inlineStr">
        <is>
          <t>Pencabutan</t>
        </is>
      </c>
      <c r="K134" t="n">
        <v>30</v>
      </c>
      <c r="L134" t="inlineStr">
        <is>
          <t>17 September 2026</t>
        </is>
      </c>
      <c r="M134" t="inlineStr">
        <is>
          <t>Bangunan Sipil Jembatan, Jalan Layang, Fly Over, dan Underpass</t>
        </is>
      </c>
      <c r="N134" t="inlineStr">
        <is>
          <t>K</t>
        </is>
      </c>
      <c r="O134" t="inlineStr">
        <is>
          <t>20230903</t>
        </is>
      </c>
      <c r="P134" t="inlineStr">
        <is>
          <t>Nusa Tenggara Barat</t>
        </is>
      </c>
      <c r="Q134" t="inlineStr"/>
    </row>
    <row r="135">
      <c r="A135" t="inlineStr">
        <is>
          <t>PUTRA SAMBUNGDUA</t>
        </is>
      </c>
      <c r="B135" t="inlineStr">
        <is>
          <t>Kota Palembang</t>
        </is>
      </c>
      <c r="C135" t="inlineStr">
        <is>
          <t>081367997336</t>
        </is>
      </c>
      <c r="D135" t="inlineStr">
        <is>
          <t>cv.putrasambungdua@gmail.com</t>
        </is>
      </c>
      <c r="E135" t="inlineStr">
        <is>
          <t>https://lpjk.pu.go.id/search-badan-usaha-detail/QzRPa2xubWQ0T3BRMzFnOWJjd1ZYZz09</t>
        </is>
      </c>
      <c r="F135" t="n">
        <v>2</v>
      </c>
      <c r="G135" t="inlineStr">
        <is>
          <t>BG003, BG009</t>
        </is>
      </c>
      <c r="H135" t="inlineStr">
        <is>
          <t>1 Juni 2020</t>
        </is>
      </c>
      <c r="I135" s="2" t="n">
        <v>46282</v>
      </c>
      <c r="J135" t="inlineStr">
        <is>
          <t>Disetujui</t>
        </is>
      </c>
      <c r="K135" t="n">
        <v>30</v>
      </c>
      <c r="L135" t="inlineStr">
        <is>
          <t>17 September 2026</t>
        </is>
      </c>
      <c r="M135" t="inlineStr">
        <is>
          <t>Konstruksi Gedung Industri, Konstruksi Gedung Lainnya</t>
        </is>
      </c>
      <c r="N135" t="inlineStr">
        <is>
          <t>K</t>
        </is>
      </c>
      <c r="O135" t="inlineStr">
        <is>
          <t>20230917</t>
        </is>
      </c>
      <c r="P135" t="inlineStr">
        <is>
          <t>Sumatera Selatan</t>
        </is>
      </c>
      <c r="Q135" t="inlineStr"/>
    </row>
    <row r="136">
      <c r="A136" t="inlineStr">
        <is>
          <t>PUTRA SILABAH JAYA</t>
        </is>
      </c>
      <c r="B136" t="inlineStr">
        <is>
          <t>Kota Batam</t>
        </is>
      </c>
      <c r="C136" t="inlineStr">
        <is>
          <t>081396670058</t>
        </is>
      </c>
      <c r="D136" t="inlineStr">
        <is>
          <t>cv.silabahjaya@gmail.com</t>
        </is>
      </c>
      <c r="E136" t="inlineStr">
        <is>
          <t>https://lpjk.pu.go.id/search-badan-usaha-detail/QURNK0N2RWEzWjNpZ1hldFAxdkdEdz09</t>
        </is>
      </c>
      <c r="F136" t="n">
        <v>1</v>
      </c>
      <c r="G136" t="inlineStr">
        <is>
          <t>BG008</t>
        </is>
      </c>
      <c r="H136" t="inlineStr">
        <is>
          <t>6 Juli 2015</t>
        </is>
      </c>
      <c r="I136" s="2" t="n">
        <v>46282</v>
      </c>
      <c r="J136" t="inlineStr">
        <is>
          <t>Disetujui</t>
        </is>
      </c>
      <c r="K136" t="n">
        <v>30</v>
      </c>
      <c r="L136" t="inlineStr">
        <is>
          <t>17 September 2026</t>
        </is>
      </c>
      <c r="M136" t="inlineStr">
        <is>
          <t>Konstruksi Gedung Tempat Hiburan dan Olahraga</t>
        </is>
      </c>
      <c r="N136" t="inlineStr">
        <is>
          <t>K</t>
        </is>
      </c>
      <c r="O136" t="inlineStr">
        <is>
          <t>20230916</t>
        </is>
      </c>
      <c r="P136" t="inlineStr">
        <is>
          <t>Kepulauan Riau</t>
        </is>
      </c>
      <c r="Q136" t="inlineStr"/>
    </row>
    <row r="137">
      <c r="A137" t="inlineStr">
        <is>
          <t>PUTRA YAWON</t>
        </is>
      </c>
      <c r="B137" t="inlineStr">
        <is>
          <t>Kota Jayapura</t>
        </is>
      </c>
      <c r="C137" t="inlineStr">
        <is>
          <t>081248579101</t>
        </is>
      </c>
      <c r="D137" t="inlineStr">
        <is>
          <t>putrayawon385@gmail.com</t>
        </is>
      </c>
      <c r="E137" t="inlineStr">
        <is>
          <t>https://lpjk.pu.go.id/search-badan-usaha-detail/Q1g3SThzK0FLTllWVCs1Mm1uMHlBZz09</t>
        </is>
      </c>
      <c r="F137" t="n">
        <v>1</v>
      </c>
      <c r="G137" t="inlineStr">
        <is>
          <t>BS001</t>
        </is>
      </c>
      <c r="H137" t="inlineStr">
        <is>
          <t>6 Januari 2017</t>
        </is>
      </c>
      <c r="I137" s="2" t="n">
        <v>46282</v>
      </c>
      <c r="J137" t="inlineStr">
        <is>
          <t>Pembekuan</t>
        </is>
      </c>
      <c r="K137" t="n">
        <v>30</v>
      </c>
      <c r="L137" t="inlineStr">
        <is>
          <t>17 September 2026</t>
        </is>
      </c>
      <c r="M137" t="inlineStr">
        <is>
          <t>Konstruksi Bangunan Sipil Jalan</t>
        </is>
      </c>
      <c r="N137" t="inlineStr">
        <is>
          <t>K</t>
        </is>
      </c>
      <c r="O137" t="inlineStr">
        <is>
          <t>20230915</t>
        </is>
      </c>
      <c r="P137" t="inlineStr">
        <is>
          <t>Papua</t>
        </is>
      </c>
      <c r="Q137" t="inlineStr"/>
    </row>
    <row r="138">
      <c r="A138" t="inlineStr">
        <is>
          <t>PUTRI MAHARANI</t>
        </is>
      </c>
      <c r="B138" t="inlineStr">
        <is>
          <t>Kab. Bandung</t>
        </is>
      </c>
      <c r="C138" t="inlineStr">
        <is>
          <t>082129534002</t>
        </is>
      </c>
      <c r="D138" t="inlineStr">
        <is>
          <t>maharani_putri8284@yahoo.com</t>
        </is>
      </c>
      <c r="E138" t="inlineStr">
        <is>
          <t>https://lpjk.pu.go.id/search-badan-usaha-detail/VEg4UEVFS2NGdUJqc2tDcmFFZUtmdz09</t>
        </is>
      </c>
      <c r="F138" t="n">
        <v>2</v>
      </c>
      <c r="G138" t="inlineStr">
        <is>
          <t>BS001, BS004</t>
        </is>
      </c>
      <c r="H138" t="inlineStr">
        <is>
          <t>27 April 2018</t>
        </is>
      </c>
      <c r="I138" s="2" t="n">
        <v>46282</v>
      </c>
      <c r="J138" t="inlineStr">
        <is>
          <t>Disetujui</t>
        </is>
      </c>
      <c r="K138" t="n">
        <v>30</v>
      </c>
      <c r="L138" t="inlineStr">
        <is>
          <t>17 September 2026</t>
        </is>
      </c>
      <c r="M138" t="inlineStr">
        <is>
          <t>Konstruksi Bangunan Sipil Jalan, Konstruksi Jaringan Irigasi dan Drainase</t>
        </is>
      </c>
      <c r="N138" t="inlineStr">
        <is>
          <t>K</t>
        </is>
      </c>
      <c r="O138" t="inlineStr">
        <is>
          <t>20230914, 20230918</t>
        </is>
      </c>
      <c r="P138" t="inlineStr">
        <is>
          <t>Jawa Barat</t>
        </is>
      </c>
      <c r="Q138" t="inlineStr"/>
    </row>
    <row r="139">
      <c r="A139" t="inlineStr">
        <is>
          <t>RAFFI JAYA PERKASA</t>
        </is>
      </c>
      <c r="B139" t="inlineStr">
        <is>
          <t>Kab. Musi Banyuasin</t>
        </is>
      </c>
      <c r="C139" t="inlineStr">
        <is>
          <t>082286966767</t>
        </is>
      </c>
      <c r="D139" t="inlineStr">
        <is>
          <t>cv.raffijayaperkasa2022@gmail.com</t>
        </is>
      </c>
      <c r="E139" t="inlineStr">
        <is>
          <t>https://lpjk.pu.go.id/search-badan-usaha-detail/WFFQUGRhM2dMa0xxcE45bEpLanVlUT09</t>
        </is>
      </c>
      <c r="F139" t="n">
        <v>6</v>
      </c>
      <c r="G139" t="inlineStr">
        <is>
          <t>BG006, BG009, BS001, BS004, BS005, BS010</t>
        </is>
      </c>
      <c r="H139" t="inlineStr">
        <is>
          <t>19 Juli 2005</t>
        </is>
      </c>
      <c r="I139" s="2" t="n">
        <v>46282</v>
      </c>
      <c r="J139" t="inlineStr">
        <is>
          <t>Disetujui</t>
        </is>
      </c>
      <c r="K139" t="n">
        <v>30</v>
      </c>
      <c r="L139" t="inlineStr">
        <is>
          <t>17 September 2026</t>
        </is>
      </c>
      <c r="M139" t="inlineStr">
        <is>
          <t>Konstruksi Bangunan Prasarana Sumber Daya Air, Konstruksi Bangunan Sipil Jalan, Konstruksi Bangunan Sipil Pengolahan Air Bersih, Konstruksi Gedung Lainnya, Konstruksi Gedung Pendidikan, Konstruksi Jaringan Irigasi dan Drainase</t>
        </is>
      </c>
      <c r="N139" t="inlineStr">
        <is>
          <t>K</t>
        </is>
      </c>
      <c r="O139" t="inlineStr">
        <is>
          <t>20230911</t>
        </is>
      </c>
      <c r="P139" t="inlineStr">
        <is>
          <t>Sumatera Selatan</t>
        </is>
      </c>
      <c r="Q139" t="inlineStr"/>
    </row>
    <row r="140">
      <c r="A140" t="inlineStr">
        <is>
          <t>RAFFI LAKSONO</t>
        </is>
      </c>
      <c r="B140" t="inlineStr">
        <is>
          <t>Kab. Nganjuk</t>
        </is>
      </c>
      <c r="C140" t="inlineStr">
        <is>
          <t>081359234569</t>
        </is>
      </c>
      <c r="D140" t="inlineStr">
        <is>
          <t>gadingklopo@gmail.com</t>
        </is>
      </c>
      <c r="E140" t="inlineStr">
        <is>
          <t>https://lpjk.pu.go.id/search-badan-usaha-detail/UXozWi9rOEFvMW8yZmFaaWM0bHlLQT09</t>
        </is>
      </c>
      <c r="F140" t="n">
        <v>6</v>
      </c>
      <c r="G140" t="inlineStr">
        <is>
          <t>BG002, BG005, BG006, BG009, BS001, BS004</t>
        </is>
      </c>
      <c r="H140" t="inlineStr">
        <is>
          <t>13 Desember 2006</t>
        </is>
      </c>
      <c r="I140" s="2" t="n">
        <v>46282</v>
      </c>
      <c r="J140" t="inlineStr">
        <is>
          <t>Disetujui</t>
        </is>
      </c>
      <c r="K140" t="n">
        <v>30</v>
      </c>
      <c r="L140" t="inlineStr">
        <is>
          <t>17 September 2026</t>
        </is>
      </c>
      <c r="M140" t="inlineStr">
        <is>
          <t>Konstruksi Bangunan Sipil Jalan, Konstruksi Gedung Kesehatan, Konstruksi Gedung Lainnya, Konstruksi Gedung Pendidikan, Konstruksi Gedung Perkantoran, Konstruksi Jaringan Irigasi dan Drainase</t>
        </is>
      </c>
      <c r="N140" t="inlineStr">
        <is>
          <t>K</t>
        </is>
      </c>
      <c r="O140" t="inlineStr">
        <is>
          <t>20230914, 20230915</t>
        </is>
      </c>
      <c r="P140" t="inlineStr">
        <is>
          <t>Jawa Timur</t>
        </is>
      </c>
      <c r="Q140" t="inlineStr"/>
    </row>
    <row r="141">
      <c r="A141" t="inlineStr">
        <is>
          <t>RAHMA AULIA MANDIRI</t>
        </is>
      </c>
      <c r="B141" t="inlineStr">
        <is>
          <t>Kab. Bandung Barat</t>
        </is>
      </c>
      <c r="C141" t="inlineStr">
        <is>
          <t>083822781148</t>
        </is>
      </c>
      <c r="D141" t="inlineStr">
        <is>
          <t>rahma.auliamandirikbb223@gmail.com</t>
        </is>
      </c>
      <c r="E141" t="inlineStr">
        <is>
          <t>https://lpjk.pu.go.id/search-badan-usaha-detail/cGFVQktFUEFOK1NKcWMyZUFxNEpVdz09</t>
        </is>
      </c>
      <c r="F141" t="n">
        <v>1</v>
      </c>
      <c r="G141" t="inlineStr">
        <is>
          <t>BS004</t>
        </is>
      </c>
      <c r="H141" t="inlineStr">
        <is>
          <t>25 Januari 2019</t>
        </is>
      </c>
      <c r="I141" s="2" t="n">
        <v>46282</v>
      </c>
      <c r="J141" t="inlineStr">
        <is>
          <t>Disetujui</t>
        </is>
      </c>
      <c r="K141" t="n">
        <v>30</v>
      </c>
      <c r="L141" t="inlineStr">
        <is>
          <t>17 September 2026</t>
        </is>
      </c>
      <c r="M141" t="inlineStr">
        <is>
          <t>Konstruksi Jaringan Irigasi dan Drainase</t>
        </is>
      </c>
      <c r="N141" t="inlineStr">
        <is>
          <t>K</t>
        </is>
      </c>
      <c r="O141" t="inlineStr">
        <is>
          <t>20230913</t>
        </is>
      </c>
      <c r="P141" t="inlineStr">
        <is>
          <t>Jawa Barat</t>
        </is>
      </c>
      <c r="Q141" t="inlineStr"/>
    </row>
    <row r="142">
      <c r="A142" t="inlineStr">
        <is>
          <t>RAMA SUKSES MANDIRI</t>
        </is>
      </c>
      <c r="B142" t="inlineStr">
        <is>
          <t>Kota Semarang</t>
        </is>
      </c>
      <c r="C142" t="inlineStr">
        <is>
          <t>0248508134</t>
        </is>
      </c>
      <c r="D142" t="inlineStr">
        <is>
          <t>ptrama.sm@gmail.com</t>
        </is>
      </c>
      <c r="E142" t="inlineStr">
        <is>
          <t>https://lpjk.pu.go.id/search-badan-usaha-detail/WE81NUVDZGxacU9yQ3RGdGRBR1F3dz09</t>
        </is>
      </c>
      <c r="F142" t="n">
        <v>2</v>
      </c>
      <c r="G142" t="inlineStr">
        <is>
          <t>PL005, PL006</t>
        </is>
      </c>
      <c r="H142" t="inlineStr">
        <is>
          <t>22 Maret 2010</t>
        </is>
      </c>
      <c r="I142" s="2" t="n">
        <v>46282</v>
      </c>
      <c r="J142" t="inlineStr">
        <is>
          <t>Disetujui</t>
        </is>
      </c>
      <c r="K142" t="n">
        <v>30</v>
      </c>
      <c r="L142" t="inlineStr">
        <is>
          <t>17 September 2026</t>
        </is>
      </c>
      <c r="M142" t="inlineStr">
        <is>
          <t>Pelaksanaan Pekerjaan Utilitas, Pembuatan/Pengeboran Sumur Air Tanah</t>
        </is>
      </c>
      <c r="N142" t="inlineStr">
        <is>
          <t>Spesialis</t>
        </is>
      </c>
      <c r="O142" t="inlineStr">
        <is>
          <t>20230904</t>
        </is>
      </c>
      <c r="P142" t="inlineStr">
        <is>
          <t>Jawa Tengah</t>
        </is>
      </c>
      <c r="Q142" t="inlineStr"/>
    </row>
    <row r="143">
      <c r="A143" t="inlineStr">
        <is>
          <t>RONA PAPUA</t>
        </is>
      </c>
      <c r="B143" t="inlineStr">
        <is>
          <t>Kota Sorong</t>
        </is>
      </c>
      <c r="C143" t="inlineStr">
        <is>
          <t>-</t>
        </is>
      </c>
      <c r="D143" t="inlineStr">
        <is>
          <t>cv.ronapapua@gmail.com</t>
        </is>
      </c>
      <c r="E143" t="inlineStr">
        <is>
          <t>https://lpjk.pu.go.id/search-badan-usaha-detail/QWZUemZFM2lVVVdDQkVhMS80cGxRdz09</t>
        </is>
      </c>
      <c r="F143" t="n">
        <v>2</v>
      </c>
      <c r="G143" t="inlineStr">
        <is>
          <t>BG004, BG009</t>
        </is>
      </c>
      <c r="H143" t="inlineStr">
        <is>
          <t>2 September 2020</t>
        </is>
      </c>
      <c r="I143" s="2" t="n">
        <v>46282</v>
      </c>
      <c r="J143" t="inlineStr">
        <is>
          <t>Disetujui</t>
        </is>
      </c>
      <c r="K143" t="n">
        <v>30</v>
      </c>
      <c r="L143" t="inlineStr">
        <is>
          <t>17 September 2026</t>
        </is>
      </c>
      <c r="M143" t="inlineStr">
        <is>
          <t>Konstruksi Gedung Lainnya, Konstruksi Gedung Perbelanjaan</t>
        </is>
      </c>
      <c r="N143" t="inlineStr">
        <is>
          <t>K</t>
        </is>
      </c>
      <c r="O143" t="inlineStr">
        <is>
          <t>20230917</t>
        </is>
      </c>
      <c r="P143" t="inlineStr">
        <is>
          <t>Papua Barat</t>
        </is>
      </c>
      <c r="Q143" t="inlineStr"/>
    </row>
    <row r="144">
      <c r="A144" t="inlineStr">
        <is>
          <t>RONAL BERKAT KALAHIEN</t>
        </is>
      </c>
      <c r="B144" t="inlineStr">
        <is>
          <t>Kab. Barito Selatan</t>
        </is>
      </c>
      <c r="C144" t="inlineStr">
        <is>
          <t>081248565285</t>
        </is>
      </c>
      <c r="D144" t="inlineStr">
        <is>
          <t>cvronalberkatkalahien@gmail.com</t>
        </is>
      </c>
      <c r="E144" t="inlineStr">
        <is>
          <t>https://lpjk.pu.go.id/search-badan-usaha-detail/SVlzVWJaQVowNWk3MGU0a3pMdGVmdz09</t>
        </is>
      </c>
      <c r="F144" t="n">
        <v>6</v>
      </c>
      <c r="G144" t="inlineStr">
        <is>
          <t>BG002, BG005, BG006, BG009, BS001, BS004</t>
        </is>
      </c>
      <c r="H144" t="inlineStr">
        <is>
          <t>13 Juli 2023</t>
        </is>
      </c>
      <c r="I144" s="2" t="n">
        <v>46282</v>
      </c>
      <c r="J144" t="inlineStr">
        <is>
          <t>Disetujui</t>
        </is>
      </c>
      <c r="K144" t="n">
        <v>30</v>
      </c>
      <c r="L144" t="inlineStr">
        <is>
          <t>17 September 2026</t>
        </is>
      </c>
      <c r="M144" t="inlineStr">
        <is>
          <t>Konstruksi Bangunan Sipil Jalan, Konstruksi Gedung Kesehatan, Konstruksi Gedung Lainnya, Konstruksi Gedung Pendidikan, Konstruksi Gedung Perkantoran, Konstruksi Jaringan Irigasi dan Drainase</t>
        </is>
      </c>
      <c r="N144" t="inlineStr">
        <is>
          <t>K</t>
        </is>
      </c>
      <c r="O144" t="inlineStr">
        <is>
          <t>20230913</t>
        </is>
      </c>
      <c r="P144" t="inlineStr">
        <is>
          <t>Kalimantan Tengah</t>
        </is>
      </c>
      <c r="Q144" t="inlineStr"/>
    </row>
    <row r="145">
      <c r="A145" t="inlineStr">
        <is>
          <t>RUDIN</t>
        </is>
      </c>
      <c r="B145" t="inlineStr">
        <is>
          <t>Kab. Yahukimo</t>
        </is>
      </c>
      <c r="C145" t="inlineStr">
        <is>
          <t>081247141553</t>
        </is>
      </c>
      <c r="D145" t="inlineStr">
        <is>
          <t>rudinyahukimo304@gmail.com</t>
        </is>
      </c>
      <c r="E145" t="inlineStr">
        <is>
          <t>https://lpjk.pu.go.id/search-badan-usaha-detail/ekV6QXlTNElKNUowVHhBMGgyQzd2dz09</t>
        </is>
      </c>
      <c r="F145" t="n">
        <v>1</v>
      </c>
      <c r="G145" t="inlineStr">
        <is>
          <t>BG009</t>
        </is>
      </c>
      <c r="H145" t="inlineStr">
        <is>
          <t>9 Juni 2009</t>
        </is>
      </c>
      <c r="I145" s="2" t="n">
        <v>46282</v>
      </c>
      <c r="J145" t="inlineStr">
        <is>
          <t>Disetujui</t>
        </is>
      </c>
      <c r="K145" t="n">
        <v>30</v>
      </c>
      <c r="L145" t="inlineStr">
        <is>
          <t>17 September 2026</t>
        </is>
      </c>
      <c r="M145" t="inlineStr">
        <is>
          <t>Konstruksi Gedung Lainnya</t>
        </is>
      </c>
      <c r="N145" t="inlineStr">
        <is>
          <t>K</t>
        </is>
      </c>
      <c r="O145" t="inlineStr">
        <is>
          <t>20230918</t>
        </is>
      </c>
      <c r="P145" t="inlineStr">
        <is>
          <t>Papua</t>
        </is>
      </c>
      <c r="Q145" t="inlineStr"/>
    </row>
    <row r="146">
      <c r="A146" t="inlineStr">
        <is>
          <t>SALSABILA</t>
        </is>
      </c>
      <c r="B146" t="inlineStr">
        <is>
          <t>Kab. Sumedang</t>
        </is>
      </c>
      <c r="C146" t="inlineStr">
        <is>
          <t>08112408008</t>
        </is>
      </c>
      <c r="D146" t="inlineStr">
        <is>
          <t>salsabilacv88@gmail.com</t>
        </is>
      </c>
      <c r="E146" t="inlineStr">
        <is>
          <t>https://lpjk.pu.go.id/search-badan-usaha-detail/aWRTUndYdCt5bTZqUTFBSjF5M0d0UT09</t>
        </is>
      </c>
      <c r="F146" t="n">
        <v>2</v>
      </c>
      <c r="G146" t="inlineStr">
        <is>
          <t>BS001, BS004</t>
        </is>
      </c>
      <c r="H146" t="inlineStr">
        <is>
          <t>22 Januari 2009</t>
        </is>
      </c>
      <c r="I146" s="2" t="n">
        <v>46282</v>
      </c>
      <c r="J146" t="inlineStr">
        <is>
          <t>Disetujui</t>
        </is>
      </c>
      <c r="K146" t="n">
        <v>30</v>
      </c>
      <c r="L146" t="inlineStr">
        <is>
          <t>17 September 2026</t>
        </is>
      </c>
      <c r="M146" t="inlineStr">
        <is>
          <t>Konstruksi Bangunan Sipil Jalan, Konstruksi Jaringan Irigasi dan Drainase</t>
        </is>
      </c>
      <c r="N146" t="inlineStr">
        <is>
          <t>K</t>
        </is>
      </c>
      <c r="O146" t="inlineStr">
        <is>
          <t>20230912</t>
        </is>
      </c>
      <c r="P146" t="inlineStr">
        <is>
          <t>Jawa Barat</t>
        </is>
      </c>
      <c r="Q146" t="inlineStr"/>
    </row>
    <row r="147">
      <c r="A147" t="inlineStr">
        <is>
          <t>SANGGA BHUMI KONSTRUKSI</t>
        </is>
      </c>
      <c r="B147" t="inlineStr">
        <is>
          <t>Kota Pontianak</t>
        </is>
      </c>
      <c r="C147" t="inlineStr">
        <is>
          <t>081258615889</t>
        </is>
      </c>
      <c r="D147" t="inlineStr">
        <is>
          <t>pt.sbk.08@gmail.com</t>
        </is>
      </c>
      <c r="E147" t="inlineStr">
        <is>
          <t>https://lpjk.pu.go.id/search-badan-usaha-detail/ZjFQWUJYenQ4ZTRxb1FSOGZsRWt5Zz09</t>
        </is>
      </c>
      <c r="F147" t="n">
        <v>4</v>
      </c>
      <c r="G147" t="inlineStr">
        <is>
          <t>RK002, RK003</t>
        </is>
      </c>
      <c r="H147" t="inlineStr">
        <is>
          <t>23 Februari 2023</t>
        </is>
      </c>
      <c r="I147" s="2" t="n">
        <v>46282</v>
      </c>
      <c r="J147" t="inlineStr">
        <is>
          <t>Disetujui</t>
        </is>
      </c>
      <c r="K147" t="n">
        <v>30</v>
      </c>
      <c r="L147" t="inlineStr">
        <is>
          <t>17 September 2026</t>
        </is>
      </c>
      <c r="M147" t="inlineStr">
        <is>
          <t>Jasa Rekayasa Pekerjaan Teknik Sipil Sumber Daya Air, Jasa Rekayasa Pekerjaan Teknik Sipil Transportasi</t>
        </is>
      </c>
      <c r="N147" t="inlineStr">
        <is>
          <t>K</t>
        </is>
      </c>
      <c r="O147" t="inlineStr">
        <is>
          <t>20230904, 20230905</t>
        </is>
      </c>
      <c r="P147" t="inlineStr">
        <is>
          <t>Kalimantan Barat</t>
        </is>
      </c>
      <c r="Q147" t="inlineStr"/>
    </row>
    <row r="148">
      <c r="A148" t="inlineStr">
        <is>
          <t>SANJAYA SAHAJA PUTRA</t>
        </is>
      </c>
      <c r="B148" t="inlineStr">
        <is>
          <t>Kab. Tegal</t>
        </is>
      </c>
      <c r="C148" t="inlineStr">
        <is>
          <t>0895411326964</t>
        </is>
      </c>
      <c r="D148" t="inlineStr">
        <is>
          <t>sanjayasahajap@gmail.com</t>
        </is>
      </c>
      <c r="E148" t="inlineStr">
        <is>
          <t>https://lpjk.pu.go.id/search-badan-usaha-detail/aGJCVlVtVlVhdXZFbktaSW8xT3dVZz09</t>
        </is>
      </c>
      <c r="F148" t="n">
        <v>4</v>
      </c>
      <c r="G148" t="inlineStr">
        <is>
          <t>BG001, BG005</t>
        </is>
      </c>
      <c r="H148" t="inlineStr">
        <is>
          <t>11 Januari 2023</t>
        </is>
      </c>
      <c r="I148" s="2" t="n">
        <v>46282</v>
      </c>
      <c r="J148" t="inlineStr">
        <is>
          <t>Pencabutan</t>
        </is>
      </c>
      <c r="K148" t="n">
        <v>30</v>
      </c>
      <c r="L148" t="inlineStr">
        <is>
          <t>17 September 2026</t>
        </is>
      </c>
      <c r="M148" t="inlineStr">
        <is>
          <t>Konstruksi Gedung Hunian, Konstruksi Gedung Kesehatan</t>
        </is>
      </c>
      <c r="N148" t="inlineStr">
        <is>
          <t>K</t>
        </is>
      </c>
      <c r="O148" t="inlineStr">
        <is>
          <t>20230917</t>
        </is>
      </c>
      <c r="P148" t="inlineStr">
        <is>
          <t>Jawa Tengah</t>
        </is>
      </c>
      <c r="Q148" t="inlineStr"/>
    </row>
    <row r="149">
      <c r="A149" t="inlineStr">
        <is>
          <t>SARANA BINA KONSTRUKSI</t>
        </is>
      </c>
      <c r="B149" t="inlineStr">
        <is>
          <t>Kab. Tabanan</t>
        </is>
      </c>
      <c r="C149" t="inlineStr">
        <is>
          <t>082144862955</t>
        </is>
      </c>
      <c r="D149" t="inlineStr">
        <is>
          <t>saranabinakonstruksi01@gmail.com</t>
        </is>
      </c>
      <c r="E149" t="inlineStr">
        <is>
          <t>https://lpjk.pu.go.id/search-badan-usaha-detail/TEFJWjVLeklpaCtBU0dZcVpTK3FxQT09</t>
        </is>
      </c>
      <c r="F149" t="n">
        <v>2</v>
      </c>
      <c r="G149" t="inlineStr">
        <is>
          <t>AR001, RK001</t>
        </is>
      </c>
      <c r="H149" t="inlineStr">
        <is>
          <t>9 Juli 2021</t>
        </is>
      </c>
      <c r="I149" s="2" t="n">
        <v>46282</v>
      </c>
      <c r="J149" t="inlineStr">
        <is>
          <t>Disetujui</t>
        </is>
      </c>
      <c r="K149" t="n">
        <v>30</v>
      </c>
      <c r="L149" t="inlineStr">
        <is>
          <t>17 September 2026</t>
        </is>
      </c>
      <c r="M149" t="inlineStr">
        <is>
          <t>Jasa Arsitektural Bangunan Gedung Hunian dan Non Hunian, Jasa Rekayasa Konstruksi Bangunan Gedung Hunian dan Non Hunian</t>
        </is>
      </c>
      <c r="N149" t="inlineStr">
        <is>
          <t>K</t>
        </is>
      </c>
      <c r="O149" t="inlineStr">
        <is>
          <t>20230914</t>
        </is>
      </c>
      <c r="P149" t="inlineStr">
        <is>
          <t>Bali</t>
        </is>
      </c>
      <c r="Q149" t="inlineStr"/>
    </row>
    <row r="150">
      <c r="A150" t="inlineStr">
        <is>
          <t>SATRIA BHAKTI</t>
        </is>
      </c>
      <c r="B150" t="inlineStr">
        <is>
          <t>Kab. Sumenep</t>
        </is>
      </c>
      <c r="C150" t="inlineStr">
        <is>
          <t>081222525401</t>
        </is>
      </c>
      <c r="D150" t="inlineStr">
        <is>
          <t>agungcahya94@gmail.com</t>
        </is>
      </c>
      <c r="E150" t="inlineStr">
        <is>
          <t>https://lpjk.pu.go.id/search-badan-usaha-detail/RGpGZE56c01SK2J4VDZTREk2MERnQT09</t>
        </is>
      </c>
      <c r="F150" t="n">
        <v>7</v>
      </c>
      <c r="G150" t="inlineStr">
        <is>
          <t>BG002, BG004, BG005, BG006, BG009, BS004</t>
        </is>
      </c>
      <c r="H150" t="inlineStr">
        <is>
          <t>13 Februari 1999</t>
        </is>
      </c>
      <c r="I150" s="2" t="n">
        <v>46282</v>
      </c>
      <c r="J150" t="inlineStr">
        <is>
          <t>Disetujui</t>
        </is>
      </c>
      <c r="K150" t="n">
        <v>30</v>
      </c>
      <c r="L150" t="inlineStr">
        <is>
          <t>17 September 2026</t>
        </is>
      </c>
      <c r="M150" t="inlineStr">
        <is>
          <t>Konstruksi Gedung Kesehatan, Konstruksi Gedung Lainnya, Konstruksi Gedung Pendidikan, Konstruksi Gedung Perbelanjaan, Konstruksi Gedung Perkantoran, Konstruksi Jaringan Irigasi dan Drainase</t>
        </is>
      </c>
      <c r="N150" t="inlineStr">
        <is>
          <t>K</t>
        </is>
      </c>
      <c r="O150" t="inlineStr">
        <is>
          <t>20230911, 20230912, 20230915</t>
        </is>
      </c>
      <c r="P150" t="inlineStr">
        <is>
          <t>Jawa Timur</t>
        </is>
      </c>
      <c r="Q150" t="inlineStr"/>
    </row>
    <row r="151">
      <c r="A151" t="inlineStr">
        <is>
          <t>SEGITIGA EMAS KONSULTAN</t>
        </is>
      </c>
      <c r="B151" t="inlineStr">
        <is>
          <t>Kota Banda Aceh</t>
        </is>
      </c>
      <c r="C151" t="inlineStr">
        <is>
          <t>085260021888</t>
        </is>
      </c>
      <c r="D151" t="inlineStr">
        <is>
          <t>segitigaemasconsultant@yahoo.co.id</t>
        </is>
      </c>
      <c r="E151" t="inlineStr">
        <is>
          <t>https://lpjk.pu.go.id/search-badan-usaha-detail/ckJ6Sm1rajVhWVAvTnYxOEZUT3pwUT09</t>
        </is>
      </c>
      <c r="F151" t="n">
        <v>1</v>
      </c>
      <c r="G151" t="inlineStr">
        <is>
          <t>RK005</t>
        </is>
      </c>
      <c r="H151" t="inlineStr">
        <is>
          <t>21 Agustus 2007</t>
        </is>
      </c>
      <c r="I151" s="2" t="n">
        <v>46282</v>
      </c>
      <c r="J151" t="inlineStr">
        <is>
          <t>Disetujui</t>
        </is>
      </c>
      <c r="K151" t="n">
        <v>30</v>
      </c>
      <c r="L151" t="inlineStr">
        <is>
          <t>17 September 2026</t>
        </is>
      </c>
      <c r="M151" t="inlineStr">
        <is>
          <t>Jasa Rekayasa Lainnya</t>
        </is>
      </c>
      <c r="N151" t="inlineStr">
        <is>
          <t>K</t>
        </is>
      </c>
      <c r="O151" t="inlineStr">
        <is>
          <t>20230901</t>
        </is>
      </c>
      <c r="P151" t="inlineStr">
        <is>
          <t>Aceh</t>
        </is>
      </c>
      <c r="Q151" t="inlineStr"/>
    </row>
    <row r="152">
      <c r="A152" t="inlineStr">
        <is>
          <t>SINAR JAYA</t>
        </is>
      </c>
      <c r="B152" t="inlineStr">
        <is>
          <t>Kota Medan</t>
        </is>
      </c>
      <c r="C152" t="inlineStr">
        <is>
          <t>085830287900</t>
        </is>
      </c>
      <c r="D152" t="inlineStr">
        <is>
          <t>cvsinarjaya@rocketmail.com</t>
        </is>
      </c>
      <c r="E152" t="inlineStr">
        <is>
          <t>https://lpjk.pu.go.id/search-badan-usaha-detail/WnpQSC81alljdE1GeC9BUWZ6RG9NZz09</t>
        </is>
      </c>
      <c r="F152" t="n">
        <v>2</v>
      </c>
      <c r="G152" t="inlineStr">
        <is>
          <t>BS002, BS006</t>
        </is>
      </c>
      <c r="H152" t="inlineStr">
        <is>
          <t>18 Oktober 2005</t>
        </is>
      </c>
      <c r="I152" s="2" t="n">
        <v>46282</v>
      </c>
      <c r="J152" t="inlineStr">
        <is>
          <t>Disetujui</t>
        </is>
      </c>
      <c r="K152" t="n">
        <v>30</v>
      </c>
      <c r="L152" t="inlineStr">
        <is>
          <t>17 September 2026</t>
        </is>
      </c>
      <c r="M152" t="inlineStr">
        <is>
          <t>Bangunan Sipil Jembatan, Jalan Layang, Fly Over, dan Underpass, Konstruksi Bangunan Sipil Prasarana dan Sarana Sistem Pengolahan Limbah Padat, Cair, dan Gas</t>
        </is>
      </c>
      <c r="N152" t="inlineStr">
        <is>
          <t>K</t>
        </is>
      </c>
      <c r="O152" t="inlineStr">
        <is>
          <t>20230916, 20230919</t>
        </is>
      </c>
      <c r="P152" t="inlineStr">
        <is>
          <t>Sumatera Utara</t>
        </is>
      </c>
      <c r="Q152" t="inlineStr"/>
    </row>
    <row r="153">
      <c r="A153" t="inlineStr">
        <is>
          <t>SINAR MENTARI</t>
        </is>
      </c>
      <c r="B153" t="inlineStr">
        <is>
          <t>Kota Bandung</t>
        </is>
      </c>
      <c r="C153" t="inlineStr">
        <is>
          <t>08122059695</t>
        </is>
      </c>
      <c r="D153" t="inlineStr">
        <is>
          <t>mentaricvsinar@gmail.com</t>
        </is>
      </c>
      <c r="E153" t="inlineStr">
        <is>
          <t>https://lpjk.pu.go.id/search-badan-usaha-detail/dE9PdzEyYlptVEFXblNhR01xakZ5UT09</t>
        </is>
      </c>
      <c r="F153" t="n">
        <v>3</v>
      </c>
      <c r="G153" t="inlineStr">
        <is>
          <t>BG009, BS001, BS005</t>
        </is>
      </c>
      <c r="H153" t="inlineStr">
        <is>
          <t>24 Januari 2023</t>
        </is>
      </c>
      <c r="I153" s="2" t="n">
        <v>46282</v>
      </c>
      <c r="J153" t="inlineStr">
        <is>
          <t>Disetujui</t>
        </is>
      </c>
      <c r="K153" t="n">
        <v>30</v>
      </c>
      <c r="L153" t="inlineStr">
        <is>
          <t>17 September 2026</t>
        </is>
      </c>
      <c r="M153" t="inlineStr">
        <is>
          <t>Konstruksi Bangunan Sipil Jalan, Konstruksi Bangunan Sipil Pengolahan Air Bersih, Konstruksi Gedung Lainnya</t>
        </is>
      </c>
      <c r="N153" t="inlineStr">
        <is>
          <t>K</t>
        </is>
      </c>
      <c r="O153" t="inlineStr">
        <is>
          <t>20230912</t>
        </is>
      </c>
      <c r="P153" t="inlineStr">
        <is>
          <t>Jawa Barat</t>
        </is>
      </c>
      <c r="Q153" t="inlineStr"/>
    </row>
    <row r="154">
      <c r="A154" t="inlineStr">
        <is>
          <t>SUBUR DAYA PERKASA</t>
        </is>
      </c>
      <c r="B154" t="inlineStr">
        <is>
          <t>Kab. Sidoarjo</t>
        </is>
      </c>
      <c r="C154" t="inlineStr">
        <is>
          <t>0318537928</t>
        </is>
      </c>
      <c r="D154" t="inlineStr">
        <is>
          <t>cv.suburdayaperkasa.info@gmail.com</t>
        </is>
      </c>
      <c r="E154" t="inlineStr">
        <is>
          <t>https://lpjk.pu.go.id/search-badan-usaha-detail/NjlVLy93eTN6UVN4eEdNbldWLy9yZz09</t>
        </is>
      </c>
      <c r="F154" t="n">
        <v>2</v>
      </c>
      <c r="G154" t="inlineStr">
        <is>
          <t>BG001</t>
        </is>
      </c>
      <c r="H154" t="inlineStr">
        <is>
          <t>3 Agustus 2009</t>
        </is>
      </c>
      <c r="I154" s="2" t="n">
        <v>46282</v>
      </c>
      <c r="J154" t="inlineStr">
        <is>
          <t>Disetujui</t>
        </is>
      </c>
      <c r="K154" t="n">
        <v>30</v>
      </c>
      <c r="L154" t="inlineStr">
        <is>
          <t>17 September 2026</t>
        </is>
      </c>
      <c r="M154" t="inlineStr">
        <is>
          <t>Konstruksi Gedung Hunian</t>
        </is>
      </c>
      <c r="N154" t="inlineStr">
        <is>
          <t>K</t>
        </is>
      </c>
      <c r="O154" t="inlineStr">
        <is>
          <t>20230911</t>
        </is>
      </c>
      <c r="P154" t="inlineStr">
        <is>
          <t>Jawa Timur</t>
        </is>
      </c>
      <c r="Q154" t="inlineStr"/>
    </row>
    <row r="155">
      <c r="A155" t="inlineStr">
        <is>
          <t>SUMBER ARTHA MAKMUR</t>
        </is>
      </c>
      <c r="B155" t="inlineStr">
        <is>
          <t>Kota Semarang</t>
        </is>
      </c>
      <c r="C155" t="inlineStr">
        <is>
          <t>082242148399</t>
        </is>
      </c>
      <c r="D155" t="inlineStr">
        <is>
          <t>sumberarthamakmur292@gmail.com</t>
        </is>
      </c>
      <c r="E155" t="inlineStr">
        <is>
          <t>https://lpjk.pu.go.id/search-badan-usaha-detail/MndrZHBPSGF1VG5QciszVk4vcS9rZz09</t>
        </is>
      </c>
      <c r="F155" t="n">
        <v>1</v>
      </c>
      <c r="G155" t="inlineStr">
        <is>
          <t>BS004</t>
        </is>
      </c>
      <c r="H155" t="inlineStr">
        <is>
          <t>22 Juni 2012</t>
        </is>
      </c>
      <c r="I155" s="2" t="n">
        <v>46282</v>
      </c>
      <c r="J155" t="inlineStr">
        <is>
          <t>Disetujui</t>
        </is>
      </c>
      <c r="K155" t="n">
        <v>30</v>
      </c>
      <c r="L155" t="inlineStr">
        <is>
          <t>17 September 2026</t>
        </is>
      </c>
      <c r="M155" t="inlineStr">
        <is>
          <t>Konstruksi Jaringan Irigasi dan Drainase</t>
        </is>
      </c>
      <c r="N155" t="inlineStr">
        <is>
          <t>K</t>
        </is>
      </c>
      <c r="O155" t="inlineStr">
        <is>
          <t>20230913</t>
        </is>
      </c>
      <c r="P155" t="inlineStr">
        <is>
          <t>Jawa Tengah</t>
        </is>
      </c>
      <c r="Q155" t="inlineStr"/>
    </row>
    <row r="156">
      <c r="A156" t="inlineStr">
        <is>
          <t>SURYA ADHI DAYA</t>
        </is>
      </c>
      <c r="B156" t="inlineStr">
        <is>
          <t>Kota Surabaya</t>
        </is>
      </c>
      <c r="C156" t="inlineStr">
        <is>
          <t>081233433466</t>
        </is>
      </c>
      <c r="D156" t="inlineStr">
        <is>
          <t>suryaadhidaya@yahoo.com</t>
        </is>
      </c>
      <c r="E156" t="inlineStr">
        <is>
          <t>https://lpjk.pu.go.id/search-badan-usaha-detail/R1h4bGoxLzh2dElxSlpzeDl0QWlkZz09</t>
        </is>
      </c>
      <c r="F156" t="n">
        <v>1</v>
      </c>
      <c r="G156" t="inlineStr">
        <is>
          <t>BG001</t>
        </is>
      </c>
      <c r="H156" t="inlineStr">
        <is>
          <t>25 Juli 2023</t>
        </is>
      </c>
      <c r="I156" s="2" t="n">
        <v>46282</v>
      </c>
      <c r="J156" t="inlineStr">
        <is>
          <t>Disetujui</t>
        </is>
      </c>
      <c r="K156" t="n">
        <v>30</v>
      </c>
      <c r="L156" t="inlineStr">
        <is>
          <t>17 September 2026</t>
        </is>
      </c>
      <c r="M156" t="inlineStr">
        <is>
          <t>Konstruksi Gedung Hunian</t>
        </is>
      </c>
      <c r="N156" t="inlineStr">
        <is>
          <t>K</t>
        </is>
      </c>
      <c r="O156" t="inlineStr">
        <is>
          <t>20230918</t>
        </is>
      </c>
      <c r="P156" t="inlineStr">
        <is>
          <t>Jawa Timur</t>
        </is>
      </c>
      <c r="Q156" t="inlineStr"/>
    </row>
    <row r="157">
      <c r="A157" t="inlineStr">
        <is>
          <t>TIGA TIGA TUJUH CONSULTANT</t>
        </is>
      </c>
      <c r="B157" t="inlineStr">
        <is>
          <t>Kota Makassar</t>
        </is>
      </c>
      <c r="C157" t="inlineStr">
        <is>
          <t>085399098839</t>
        </is>
      </c>
      <c r="D157" t="inlineStr">
        <is>
          <t>tiga3tujuh.consultant@gmail.com</t>
        </is>
      </c>
      <c r="E157" t="inlineStr">
        <is>
          <t>https://lpjk.pu.go.id/search-badan-usaha-detail/YzkzQTRUOXRGQkVZS1JnZkVLR3k1dz09</t>
        </is>
      </c>
      <c r="F157" t="n">
        <v>1</v>
      </c>
      <c r="G157" t="inlineStr">
        <is>
          <t>AR002</t>
        </is>
      </c>
      <c r="H157" t="inlineStr">
        <is>
          <t>22 Februari 2016</t>
        </is>
      </c>
      <c r="I157" s="2" t="n">
        <v>46282</v>
      </c>
      <c r="J157" t="inlineStr">
        <is>
          <t>Disetujui</t>
        </is>
      </c>
      <c r="K157" t="n">
        <v>30</v>
      </c>
      <c r="L157" t="inlineStr">
        <is>
          <t>17 September 2026</t>
        </is>
      </c>
      <c r="M157" t="inlineStr">
        <is>
          <t>Jasa Arsitektural Lainnya</t>
        </is>
      </c>
      <c r="N157" t="inlineStr">
        <is>
          <t>K</t>
        </is>
      </c>
      <c r="O157" t="inlineStr">
        <is>
          <t>20230904</t>
        </is>
      </c>
      <c r="P157" t="inlineStr">
        <is>
          <t>Sulawesi Selatan</t>
        </is>
      </c>
      <c r="Q157" t="inlineStr"/>
    </row>
    <row r="158">
      <c r="A158" t="inlineStr">
        <is>
          <t>TIGA UTAMA</t>
        </is>
      </c>
      <c r="B158" t="inlineStr">
        <is>
          <t>Kab. Indramayu</t>
        </is>
      </c>
      <c r="C158" t="inlineStr">
        <is>
          <t>087828986040</t>
        </is>
      </c>
      <c r="D158" t="inlineStr">
        <is>
          <t>tigautama194@yahoo.com</t>
        </is>
      </c>
      <c r="E158" t="inlineStr">
        <is>
          <t>https://lpjk.pu.go.id/search-badan-usaha-detail/QzkxR3VGMncxcUhQcTNGVUFIYTFUdz09</t>
        </is>
      </c>
      <c r="F158" t="n">
        <v>6</v>
      </c>
      <c r="G158" t="inlineStr">
        <is>
          <t>BG005, BG006, BG009, BS001, BS002, BS004</t>
        </is>
      </c>
      <c r="H158" t="inlineStr">
        <is>
          <t>2 Oktober 2002</t>
        </is>
      </c>
      <c r="I158" s="2" t="n">
        <v>46282</v>
      </c>
      <c r="J158" t="inlineStr">
        <is>
          <t>Disetujui</t>
        </is>
      </c>
      <c r="K158" t="n">
        <v>30</v>
      </c>
      <c r="L158" t="inlineStr">
        <is>
          <t>17 September 2026</t>
        </is>
      </c>
      <c r="M158" t="inlineStr">
        <is>
          <t>Bangunan Sipil Jembatan, Jalan Layang, Fly Over, dan Underpass, Konstruksi Bangunan Sipil Jalan, Konstruksi Gedung Kesehatan, Konstruksi Gedung Lainnya, Konstruksi Gedung Pendidikan, Konstruksi Jaringan Irigasi dan Drainase</t>
        </is>
      </c>
      <c r="N158" t="inlineStr">
        <is>
          <t>K</t>
        </is>
      </c>
      <c r="O158" t="inlineStr">
        <is>
          <t>20230915</t>
        </is>
      </c>
      <c r="P158" t="inlineStr">
        <is>
          <t>Jawa Barat</t>
        </is>
      </c>
      <c r="Q158" t="inlineStr"/>
    </row>
    <row r="159">
      <c r="A159" t="inlineStr">
        <is>
          <t>TIRTA MULIA</t>
        </is>
      </c>
      <c r="B159" t="inlineStr">
        <is>
          <t>Kab. Banggai Laut</t>
        </is>
      </c>
      <c r="C159" t="inlineStr">
        <is>
          <t>085341463994</t>
        </is>
      </c>
      <c r="D159" t="inlineStr">
        <is>
          <t>tirtamulia.cv@gmail.com</t>
        </is>
      </c>
      <c r="E159" t="inlineStr">
        <is>
          <t>https://lpjk.pu.go.id/search-badan-usaha-detail/SWo0QWY5T2xuWktDbkJzaTBIbmVsdz09</t>
        </is>
      </c>
      <c r="F159" t="n">
        <v>5</v>
      </c>
      <c r="G159" t="inlineStr">
        <is>
          <t>BG002, BG004, BG006, BG009, BS001</t>
        </is>
      </c>
      <c r="H159" t="inlineStr">
        <is>
          <t>24 Mei 2004</t>
        </is>
      </c>
      <c r="I159" s="2" t="n">
        <v>46282</v>
      </c>
      <c r="J159" t="inlineStr">
        <is>
          <t>Disetujui</t>
        </is>
      </c>
      <c r="K159" t="n">
        <v>30</v>
      </c>
      <c r="L159" t="inlineStr">
        <is>
          <t>17 September 2026</t>
        </is>
      </c>
      <c r="M159" t="inlineStr">
        <is>
          <t>Konstruksi Bangunan Sipil Jalan, Konstruksi Gedung Lainnya, Konstruksi Gedung Pendidikan, Konstruksi Gedung Perbelanjaan, Konstruksi Gedung Perkantoran</t>
        </is>
      </c>
      <c r="N159" t="inlineStr">
        <is>
          <t>K</t>
        </is>
      </c>
      <c r="O159" t="inlineStr">
        <is>
          <t>20230918, 20230919, 20230920</t>
        </is>
      </c>
      <c r="P159" t="inlineStr">
        <is>
          <t>Sulawesi Tengah</t>
        </is>
      </c>
      <c r="Q159" t="inlineStr"/>
    </row>
    <row r="160">
      <c r="A160" t="inlineStr">
        <is>
          <t>TIRTA UTAMA KONSTRUKSI</t>
        </is>
      </c>
      <c r="B160" t="inlineStr">
        <is>
          <t>Kab. Lombok Tengah</t>
        </is>
      </c>
      <c r="C160" t="inlineStr">
        <is>
          <t>081805554141</t>
        </is>
      </c>
      <c r="D160" t="inlineStr">
        <is>
          <t>tirtautamakonstruksi@gmail.com</t>
        </is>
      </c>
      <c r="E160" t="inlineStr">
        <is>
          <t>https://lpjk.pu.go.id/search-badan-usaha-detail/ZTNsNzFjUXpOcllVRzFYbGdZWURWUT09</t>
        </is>
      </c>
      <c r="F160" t="n">
        <v>1</v>
      </c>
      <c r="G160" t="inlineStr">
        <is>
          <t>BS004</t>
        </is>
      </c>
      <c r="H160" t="inlineStr">
        <is>
          <t>3 Agustus 2023</t>
        </is>
      </c>
      <c r="I160" s="2" t="n">
        <v>46282</v>
      </c>
      <c r="J160" t="inlineStr">
        <is>
          <t>Disetujui</t>
        </is>
      </c>
      <c r="K160" t="n">
        <v>30</v>
      </c>
      <c r="L160" t="inlineStr">
        <is>
          <t>17 September 2026</t>
        </is>
      </c>
      <c r="M160" t="inlineStr">
        <is>
          <t>Konstruksi Jaringan Irigasi dan Drainase</t>
        </is>
      </c>
      <c r="N160" t="inlineStr">
        <is>
          <t>K</t>
        </is>
      </c>
      <c r="O160" t="inlineStr">
        <is>
          <t>20230918</t>
        </is>
      </c>
      <c r="P160" t="inlineStr">
        <is>
          <t>Nusa Tenggara Barat</t>
        </is>
      </c>
      <c r="Q160" t="inlineStr"/>
    </row>
    <row r="161">
      <c r="A161" t="inlineStr">
        <is>
          <t>TITIAN JATI</t>
        </is>
      </c>
      <c r="B161" t="inlineStr">
        <is>
          <t>Kab. Lombok Barat</t>
        </is>
      </c>
      <c r="C161" t="inlineStr">
        <is>
          <t>081907066440</t>
        </is>
      </c>
      <c r="D161" t="inlineStr">
        <is>
          <t>titianjati.cv@gmail.com</t>
        </is>
      </c>
      <c r="E161" t="inlineStr">
        <is>
          <t>https://lpjk.pu.go.id/search-badan-usaha-detail/K3dieVJrMW53eGdKMFNmY0lZLzQ2dz09</t>
        </is>
      </c>
      <c r="F161" t="n">
        <v>2</v>
      </c>
      <c r="G161" t="inlineStr">
        <is>
          <t>BG006</t>
        </is>
      </c>
      <c r="H161" t="inlineStr">
        <is>
          <t>12 Desember 1998</t>
        </is>
      </c>
      <c r="I161" s="2" t="n">
        <v>46282</v>
      </c>
      <c r="J161" t="inlineStr">
        <is>
          <t>Disetujui</t>
        </is>
      </c>
      <c r="K161" t="n">
        <v>30</v>
      </c>
      <c r="L161" t="inlineStr">
        <is>
          <t>17 September 2026</t>
        </is>
      </c>
      <c r="M161" t="inlineStr">
        <is>
          <t>Konstruksi Gedung Pendidikan</t>
        </is>
      </c>
      <c r="N161" t="inlineStr">
        <is>
          <t>K</t>
        </is>
      </c>
      <c r="O161" t="inlineStr">
        <is>
          <t>20230913</t>
        </is>
      </c>
      <c r="P161" t="inlineStr">
        <is>
          <t>Nusa Tenggara Barat</t>
        </is>
      </c>
      <c r="Q161" t="inlineStr"/>
    </row>
    <row r="162">
      <c r="A162" t="inlineStr">
        <is>
          <t>TRI BASKARA</t>
        </is>
      </c>
      <c r="B162" t="inlineStr">
        <is>
          <t>Kab. Tuban</t>
        </is>
      </c>
      <c r="C162" t="inlineStr">
        <is>
          <t>081331115152</t>
        </is>
      </c>
      <c r="D162" t="inlineStr">
        <is>
          <t>tribaskara.tuban@yahoo.com</t>
        </is>
      </c>
      <c r="E162" t="inlineStr">
        <is>
          <t>https://lpjk.pu.go.id/search-badan-usaha-detail/YU8xTGJ4S1YrQWw3dVdMMWJCNERjUT09</t>
        </is>
      </c>
      <c r="F162" t="n">
        <v>6</v>
      </c>
      <c r="G162" t="inlineStr">
        <is>
          <t>BG002, BG005, BG006, BG009, BS001, BS004</t>
        </is>
      </c>
      <c r="H162" t="inlineStr">
        <is>
          <t>17 November 2015</t>
        </is>
      </c>
      <c r="I162" s="2" t="n">
        <v>46282</v>
      </c>
      <c r="J162" t="inlineStr">
        <is>
          <t>Disetujui</t>
        </is>
      </c>
      <c r="K162" t="n">
        <v>30</v>
      </c>
      <c r="L162" t="inlineStr">
        <is>
          <t>17 September 2026</t>
        </is>
      </c>
      <c r="M162" t="inlineStr">
        <is>
          <t>Konstruksi Bangunan Sipil Jalan, Konstruksi Gedung Kesehatan, Konstruksi Gedung Lainnya, Konstruksi Gedung Pendidikan, Konstruksi Gedung Perkantoran, Konstruksi Jaringan Irigasi dan Drainase</t>
        </is>
      </c>
      <c r="N162" t="inlineStr">
        <is>
          <t>K</t>
        </is>
      </c>
      <c r="O162" t="inlineStr">
        <is>
          <t>20230911, 20230912</t>
        </is>
      </c>
      <c r="P162" t="inlineStr">
        <is>
          <t>Jawa Timur</t>
        </is>
      </c>
      <c r="Q162" t="inlineStr"/>
    </row>
    <row r="163">
      <c r="A163" t="inlineStr">
        <is>
          <t>TRI KARYA PRIMA</t>
        </is>
      </c>
      <c r="B163" t="inlineStr">
        <is>
          <t>Kab. Sleman</t>
        </is>
      </c>
      <c r="C163" t="inlineStr">
        <is>
          <t>081215084014</t>
        </is>
      </c>
      <c r="D163" t="inlineStr">
        <is>
          <t>trikaryaprima2023@gmail.com</t>
        </is>
      </c>
      <c r="E163" t="inlineStr">
        <is>
          <t>https://lpjk.pu.go.id/search-badan-usaha-detail/bkNOaFVSQ0VrbFdXRjNqVFpTSDY2QT09</t>
        </is>
      </c>
      <c r="F163" t="n">
        <v>1</v>
      </c>
      <c r="G163" t="inlineStr">
        <is>
          <t>AR001</t>
        </is>
      </c>
      <c r="H163" t="inlineStr">
        <is>
          <t>9 Februari 2023</t>
        </is>
      </c>
      <c r="I163" s="2" t="n">
        <v>46282</v>
      </c>
      <c r="J163" t="inlineStr">
        <is>
          <t>Disetujui</t>
        </is>
      </c>
      <c r="K163" t="n">
        <v>30</v>
      </c>
      <c r="L163" t="inlineStr">
        <is>
          <t>17 September 2026</t>
        </is>
      </c>
      <c r="M163" t="inlineStr">
        <is>
          <t>Jasa Arsitektural Bangunan Gedung Hunian dan Non Hunian</t>
        </is>
      </c>
      <c r="N163" t="inlineStr">
        <is>
          <t>K</t>
        </is>
      </c>
      <c r="O163" t="inlineStr">
        <is>
          <t>20230821</t>
        </is>
      </c>
      <c r="P163" t="inlineStr">
        <is>
          <t>DI Yogyakarta</t>
        </is>
      </c>
      <c r="Q163" t="inlineStr"/>
    </row>
    <row r="164">
      <c r="A164" t="inlineStr">
        <is>
          <t>TUAH ENERGY NUSANTARA</t>
        </is>
      </c>
      <c r="B164" t="inlineStr">
        <is>
          <t>Kota Adm. Jakarta Selatan</t>
        </is>
      </c>
      <c r="C164" t="inlineStr">
        <is>
          <t>02127624174</t>
        </is>
      </c>
      <c r="D164" t="inlineStr">
        <is>
          <t>tuahenergy.nusantara@gmail.com</t>
        </is>
      </c>
      <c r="E164" t="inlineStr">
        <is>
          <t>https://lpjk.pu.go.id/search-badan-usaha-detail/QWtFRFRxZ2VPdnFNS3drc2hEV0Z3dz09</t>
        </is>
      </c>
      <c r="F164" t="n">
        <v>1</v>
      </c>
      <c r="G164" t="inlineStr">
        <is>
          <t>RT003</t>
        </is>
      </c>
      <c r="H164" t="inlineStr">
        <is>
          <t>21 Juli 2023</t>
        </is>
      </c>
      <c r="I164" s="2" t="n">
        <v>46282</v>
      </c>
      <c r="J164" t="inlineStr">
        <is>
          <t>Disetujui</t>
        </is>
      </c>
      <c r="K164" t="n">
        <v>30</v>
      </c>
      <c r="L164" t="inlineStr">
        <is>
          <t>17 September 2026</t>
        </is>
      </c>
      <c r="M164" t="inlineStr">
        <is>
          <t>Jasa Rekayasa Konstruksi Proses Industrial, Produksi, dan Fasilitas Produksi</t>
        </is>
      </c>
      <c r="N164" t="inlineStr">
        <is>
          <t>K</t>
        </is>
      </c>
      <c r="O164" t="inlineStr">
        <is>
          <t>20230821</t>
        </is>
      </c>
      <c r="P164" t="inlineStr">
        <is>
          <t>DKI Jakarta</t>
        </is>
      </c>
      <c r="Q164" t="inlineStr"/>
    </row>
    <row r="165">
      <c r="A165" t="inlineStr">
        <is>
          <t>UNGGUL BUANA</t>
        </is>
      </c>
      <c r="B165" t="inlineStr">
        <is>
          <t>Kab. Purwakarta</t>
        </is>
      </c>
      <c r="C165" t="inlineStr">
        <is>
          <t>087879716066</t>
        </is>
      </c>
      <c r="D165" t="inlineStr">
        <is>
          <t>unggulbuana@hotmail.com</t>
        </is>
      </c>
      <c r="E165" t="inlineStr">
        <is>
          <t>https://lpjk.pu.go.id/search-badan-usaha-detail/Z0R0b1RZQmhuWnpwdTV2Qzc0OU1xZz09</t>
        </is>
      </c>
      <c r="F165" t="n">
        <v>4</v>
      </c>
      <c r="G165" t="inlineStr">
        <is>
          <t>BG006, BG009, BS001, BS004</t>
        </is>
      </c>
      <c r="H165" t="inlineStr">
        <is>
          <t>12 November 2018</t>
        </is>
      </c>
      <c r="I165" s="2" t="n">
        <v>46282</v>
      </c>
      <c r="J165" t="inlineStr">
        <is>
          <t>Disetujui</t>
        </is>
      </c>
      <c r="K165" t="n">
        <v>30</v>
      </c>
      <c r="L165" t="inlineStr">
        <is>
          <t>17 September 2026</t>
        </is>
      </c>
      <c r="M165" t="inlineStr">
        <is>
          <t>Konstruksi Bangunan Sipil Jalan, Konstruksi Gedung Lainnya, Konstruksi Gedung Pendidikan, Konstruksi Jaringan Irigasi dan Drainase</t>
        </is>
      </c>
      <c r="N165" t="inlineStr">
        <is>
          <t>K</t>
        </is>
      </c>
      <c r="O165" t="inlineStr">
        <is>
          <t>20230818, 20230912</t>
        </is>
      </c>
      <c r="P165" t="inlineStr">
        <is>
          <t>Jawa Barat</t>
        </is>
      </c>
      <c r="Q165" t="inlineStr"/>
    </row>
    <row r="166">
      <c r="A166" t="inlineStr">
        <is>
          <t>USAHA MULTI GUNA</t>
        </is>
      </c>
      <c r="B166" t="inlineStr">
        <is>
          <t>Kota Semarang</t>
        </is>
      </c>
      <c r="C166" t="inlineStr">
        <is>
          <t>02476636993</t>
        </is>
      </c>
      <c r="D166" t="inlineStr">
        <is>
          <t>usahamultiguna.pt@gmail.com</t>
        </is>
      </c>
      <c r="E166" t="inlineStr">
        <is>
          <t>https://lpjk.pu.go.id/search-badan-usaha-detail/eU9wLzVYNjVlUkowOFQ2SlVDaTJPdz09</t>
        </is>
      </c>
      <c r="F166" t="n">
        <v>1</v>
      </c>
      <c r="G166" t="inlineStr">
        <is>
          <t>IN012</t>
        </is>
      </c>
      <c r="H166" t="inlineStr">
        <is>
          <t>29 Januari 2004</t>
        </is>
      </c>
      <c r="I166" s="2" t="n">
        <v>46282</v>
      </c>
      <c r="J166" t="inlineStr">
        <is>
          <t>Disetujui</t>
        </is>
      </c>
      <c r="K166" t="n">
        <v>30</v>
      </c>
      <c r="L166" t="inlineStr">
        <is>
          <t>17 September 2026</t>
        </is>
      </c>
      <c r="M166" t="inlineStr">
        <is>
          <t>Instalasi Sinyal dan Telekomunikasi Kereta Api</t>
        </is>
      </c>
      <c r="N166" t="inlineStr">
        <is>
          <t>Spesialis</t>
        </is>
      </c>
      <c r="O166" t="inlineStr">
        <is>
          <t>20230822</t>
        </is>
      </c>
      <c r="P166" t="inlineStr">
        <is>
          <t>Jawa Tengah</t>
        </is>
      </c>
      <c r="Q166" t="inlineStr"/>
    </row>
    <row r="167">
      <c r="A167" t="inlineStr">
        <is>
          <t>VISTATAMA MULTI ENGINEERING CONSULTANT</t>
        </is>
      </c>
      <c r="B167" t="inlineStr">
        <is>
          <t>Kota Tanjung Pinang</t>
        </is>
      </c>
      <c r="C167" t="inlineStr">
        <is>
          <t>081371651252</t>
        </is>
      </c>
      <c r="D167" t="inlineStr">
        <is>
          <t>vistatama_cons@yahoo.co.id</t>
        </is>
      </c>
      <c r="E167" t="inlineStr">
        <is>
          <t>https://lpjk.pu.go.id/search-badan-usaha-detail/bmw5d1RCMkRrbTlWQys4blRxdlNtQT09</t>
        </is>
      </c>
      <c r="F167" t="n">
        <v>1</v>
      </c>
      <c r="G167" t="inlineStr">
        <is>
          <t>RK003</t>
        </is>
      </c>
      <c r="H167" t="inlineStr">
        <is>
          <t>8 Maret 2008</t>
        </is>
      </c>
      <c r="I167" s="2" t="n">
        <v>46282</v>
      </c>
      <c r="J167" t="inlineStr">
        <is>
          <t>Disetujui</t>
        </is>
      </c>
      <c r="K167" t="n">
        <v>30</v>
      </c>
      <c r="L167" t="inlineStr">
        <is>
          <t>17 September 2026</t>
        </is>
      </c>
      <c r="M167" t="inlineStr">
        <is>
          <t>Jasa Rekayasa Pekerjaan Teknik Sipil Transportasi</t>
        </is>
      </c>
      <c r="N167" t="inlineStr">
        <is>
          <t>K</t>
        </is>
      </c>
      <c r="O167" t="inlineStr">
        <is>
          <t>20230909</t>
        </is>
      </c>
      <c r="P167" t="inlineStr">
        <is>
          <t>Kepulauan Riau</t>
        </is>
      </c>
      <c r="Q167" t="inlineStr"/>
    </row>
    <row r="168">
      <c r="A168" t="inlineStr">
        <is>
          <t>WAHANA KONSTRUKSI TEKNIK</t>
        </is>
      </c>
      <c r="B168" t="inlineStr">
        <is>
          <t>Kab. Serdang Bedagai</t>
        </is>
      </c>
      <c r="C168" t="inlineStr">
        <is>
          <t>081260117685</t>
        </is>
      </c>
      <c r="D168" t="inlineStr">
        <is>
          <t>ptwahanakonstruksi@yahoo.com</t>
        </is>
      </c>
      <c r="E168" t="inlineStr">
        <is>
          <t>https://lpjk.pu.go.id/search-badan-usaha-detail/amNBRmVCcHAzUzI0UjRCMFN3eTh0QT09</t>
        </is>
      </c>
      <c r="F168" t="n">
        <v>1</v>
      </c>
      <c r="G168" t="inlineStr">
        <is>
          <t>BG006</t>
        </is>
      </c>
      <c r="H168" t="inlineStr">
        <is>
          <t>26 Mei 2023</t>
        </is>
      </c>
      <c r="I168" s="2" t="n">
        <v>46282</v>
      </c>
      <c r="J168" t="inlineStr">
        <is>
          <t>Disetujui</t>
        </is>
      </c>
      <c r="K168" t="n">
        <v>30</v>
      </c>
      <c r="L168" t="inlineStr">
        <is>
          <t>17 September 2026</t>
        </is>
      </c>
      <c r="M168" t="inlineStr">
        <is>
          <t>Konstruksi Gedung Pendidikan</t>
        </is>
      </c>
      <c r="N168" t="inlineStr">
        <is>
          <t>K</t>
        </is>
      </c>
      <c r="O168" t="inlineStr">
        <is>
          <t>20230916</t>
        </is>
      </c>
      <c r="P168" t="inlineStr">
        <is>
          <t>Sumatera Utara</t>
        </is>
      </c>
      <c r="Q168" t="inlineStr"/>
    </row>
    <row r="169">
      <c r="A169" t="inlineStr">
        <is>
          <t>WAHANA SULAWESI</t>
        </is>
      </c>
      <c r="B169" t="inlineStr">
        <is>
          <t>Kota Palu</t>
        </is>
      </c>
      <c r="C169" t="inlineStr">
        <is>
          <t>085230135325</t>
        </is>
      </c>
      <c r="D169" t="inlineStr">
        <is>
          <t>wahana_sulawesi@yahoo.co.id</t>
        </is>
      </c>
      <c r="E169" t="inlineStr">
        <is>
          <t>https://lpjk.pu.go.id/search-badan-usaha-detail/akVTYklrYXRQNnZydFZRUmY3Ni9Kdz09</t>
        </is>
      </c>
      <c r="F169" t="n">
        <v>1</v>
      </c>
      <c r="G169" t="inlineStr">
        <is>
          <t>BG009</t>
        </is>
      </c>
      <c r="H169" t="inlineStr">
        <is>
          <t>25 Juni 1997</t>
        </is>
      </c>
      <c r="I169" s="2" t="n">
        <v>46282</v>
      </c>
      <c r="J169" t="inlineStr">
        <is>
          <t>Disetujui</t>
        </is>
      </c>
      <c r="K169" t="n">
        <v>30</v>
      </c>
      <c r="L169" t="inlineStr">
        <is>
          <t>17 September 2026</t>
        </is>
      </c>
      <c r="M169" t="inlineStr">
        <is>
          <t>Konstruksi Gedung Lainnya</t>
        </is>
      </c>
      <c r="N169" t="inlineStr">
        <is>
          <t>K</t>
        </is>
      </c>
      <c r="O169" t="inlineStr">
        <is>
          <t>20230914</t>
        </is>
      </c>
      <c r="P169" t="inlineStr">
        <is>
          <t>Sulawesi Tengah</t>
        </is>
      </c>
      <c r="Q169" t="inlineStr"/>
    </row>
    <row r="170">
      <c r="A170" t="inlineStr">
        <is>
          <t>WAHYU MEGAH ABADI</t>
        </is>
      </c>
      <c r="B170" t="inlineStr">
        <is>
          <t>Kab. Banyuwangi</t>
        </is>
      </c>
      <c r="C170" t="inlineStr">
        <is>
          <t>081221008117</t>
        </is>
      </c>
      <c r="D170" t="inlineStr">
        <is>
          <t>pt.wmabanyuwangi@gmail.com</t>
        </is>
      </c>
      <c r="E170" t="inlineStr">
        <is>
          <t>https://lpjk.pu.go.id/search-badan-usaha-detail/eGR5Q1VuN3lIaEJ1N096Qjg5QnlIQT09</t>
        </is>
      </c>
      <c r="F170" t="n">
        <v>1</v>
      </c>
      <c r="G170" t="inlineStr">
        <is>
          <t>BG009</t>
        </is>
      </c>
      <c r="H170" t="inlineStr">
        <is>
          <t>20 Maret 1998</t>
        </is>
      </c>
      <c r="I170" s="2" t="n">
        <v>46282</v>
      </c>
      <c r="J170" t="inlineStr">
        <is>
          <t>Disetujui</t>
        </is>
      </c>
      <c r="K170" t="n">
        <v>30</v>
      </c>
      <c r="L170" t="inlineStr">
        <is>
          <t>17 September 2026</t>
        </is>
      </c>
      <c r="M170" t="inlineStr">
        <is>
          <t>Konstruksi Gedung Lainnya</t>
        </is>
      </c>
      <c r="N170" t="inlineStr">
        <is>
          <t>K</t>
        </is>
      </c>
      <c r="O170" t="inlineStr">
        <is>
          <t>20230908</t>
        </is>
      </c>
      <c r="P170" t="inlineStr">
        <is>
          <t>Jawa Timur</t>
        </is>
      </c>
      <c r="Q170" t="inlineStr"/>
    </row>
    <row r="171">
      <c r="A171" t="inlineStr">
        <is>
          <t>WAHYU RAMADHAN</t>
        </is>
      </c>
      <c r="B171" t="inlineStr">
        <is>
          <t>Kota Batu</t>
        </is>
      </c>
      <c r="C171" t="inlineStr">
        <is>
          <t>0341468181</t>
        </is>
      </c>
      <c r="D171" t="inlineStr">
        <is>
          <t>wahyuramadhan.cv@gmail.com</t>
        </is>
      </c>
      <c r="E171" t="inlineStr">
        <is>
          <t>https://lpjk.pu.go.id/search-badan-usaha-detail/T2drMnVYOHB0NHJaZWxZdG93Nlg1QT09</t>
        </is>
      </c>
      <c r="F171" t="n">
        <v>1</v>
      </c>
      <c r="G171" t="inlineStr">
        <is>
          <t>BS002</t>
        </is>
      </c>
      <c r="H171" t="inlineStr">
        <is>
          <t>29 Agustus 2009</t>
        </is>
      </c>
      <c r="I171" s="2" t="n">
        <v>46282</v>
      </c>
      <c r="J171" t="inlineStr">
        <is>
          <t>Validasi</t>
        </is>
      </c>
      <c r="K171" t="n">
        <v>30</v>
      </c>
      <c r="L171" t="inlineStr">
        <is>
          <t>17 September 2026</t>
        </is>
      </c>
      <c r="M171" t="inlineStr">
        <is>
          <t>Bangunan Sipil Jembatan, Jalan Layang, Fly Over, dan Underpass</t>
        </is>
      </c>
      <c r="N171" t="inlineStr">
        <is>
          <t>K</t>
        </is>
      </c>
      <c r="O171" t="inlineStr">
        <is>
          <t>20230911</t>
        </is>
      </c>
      <c r="P171" t="inlineStr">
        <is>
          <t>Jawa Timur</t>
        </is>
      </c>
      <c r="Q171" t="inlineStr"/>
    </row>
    <row r="172">
      <c r="A172" t="inlineStr">
        <is>
          <t>WIRATAMA SENTOSA</t>
        </is>
      </c>
      <c r="B172" t="inlineStr">
        <is>
          <t>Kota Palembang</t>
        </is>
      </c>
      <c r="C172" t="inlineStr">
        <is>
          <t>081278570061</t>
        </is>
      </c>
      <c r="D172" t="inlineStr">
        <is>
          <t>wiratamasentosa21@gmail.com</t>
        </is>
      </c>
      <c r="E172" t="inlineStr">
        <is>
          <t>https://lpjk.pu.go.id/search-badan-usaha-detail/WmZHY2d4THFFZis5UWNYcStsNVFsdz09</t>
        </is>
      </c>
      <c r="F172" t="n">
        <v>4</v>
      </c>
      <c r="G172" t="inlineStr">
        <is>
          <t>BG003, BG009</t>
        </is>
      </c>
      <c r="H172" t="inlineStr">
        <is>
          <t>9 September 2018</t>
        </is>
      </c>
      <c r="I172" s="2" t="n">
        <v>46282</v>
      </c>
      <c r="J172" t="inlineStr">
        <is>
          <t>Disetujui</t>
        </is>
      </c>
      <c r="K172" t="n">
        <v>30</v>
      </c>
      <c r="L172" t="inlineStr">
        <is>
          <t>17 September 2026</t>
        </is>
      </c>
      <c r="M172" t="inlineStr">
        <is>
          <t>Konstruksi Gedung Industri, Konstruksi Gedung Lainnya</t>
        </is>
      </c>
      <c r="N172" t="inlineStr">
        <is>
          <t>K</t>
        </is>
      </c>
      <c r="O172" t="inlineStr">
        <is>
          <t>20230914, 20230915</t>
        </is>
      </c>
      <c r="P172" t="inlineStr">
        <is>
          <t>Sumatera Selatan</t>
        </is>
      </c>
      <c r="Q172" t="inlineStr"/>
    </row>
    <row r="173">
      <c r="A173" t="inlineStr">
        <is>
          <t>YANA MAJU BERSAMA</t>
        </is>
      </c>
      <c r="B173" t="inlineStr">
        <is>
          <t>Kab. Banyuwangi</t>
        </is>
      </c>
      <c r="C173" t="inlineStr">
        <is>
          <t>081238139788</t>
        </is>
      </c>
      <c r="D173" t="inlineStr">
        <is>
          <t>yanamajubersama@gmail.com</t>
        </is>
      </c>
      <c r="E173" t="inlineStr">
        <is>
          <t>https://lpjk.pu.go.id/search-badan-usaha-detail/Y2tFYU80Qzl4eVplekQyZGJMbytFdz09</t>
        </is>
      </c>
      <c r="F173" t="n">
        <v>1</v>
      </c>
      <c r="G173" t="inlineStr">
        <is>
          <t>BG005</t>
        </is>
      </c>
      <c r="H173" t="inlineStr">
        <is>
          <t>25 April 2016</t>
        </is>
      </c>
      <c r="I173" s="2" t="n">
        <v>46282</v>
      </c>
      <c r="J173" t="inlineStr">
        <is>
          <t>Disetujui</t>
        </is>
      </c>
      <c r="K173" t="n">
        <v>30</v>
      </c>
      <c r="L173" t="inlineStr">
        <is>
          <t>17 September 2026</t>
        </is>
      </c>
      <c r="M173" t="inlineStr">
        <is>
          <t>Konstruksi Gedung Kesehatan</t>
        </is>
      </c>
      <c r="N173" t="inlineStr">
        <is>
          <t>K</t>
        </is>
      </c>
      <c r="O173" t="inlineStr">
        <is>
          <t>20230914</t>
        </is>
      </c>
      <c r="P173" t="inlineStr">
        <is>
          <t>Jawa Timur</t>
        </is>
      </c>
      <c r="Q173" t="inlineStr"/>
    </row>
    <row r="174">
      <c r="A174" t="inlineStr">
        <is>
          <t>YOGA DESAIN ARSITEK</t>
        </is>
      </c>
      <c r="B174" t="inlineStr">
        <is>
          <t>Kota Denpasar</t>
        </is>
      </c>
      <c r="C174" t="inlineStr">
        <is>
          <t>081339397039</t>
        </is>
      </c>
      <c r="D174" t="inlineStr">
        <is>
          <t>cvyogadesignarchitect@gmail.com</t>
        </is>
      </c>
      <c r="E174" t="inlineStr">
        <is>
          <t>https://lpjk.pu.go.id/search-badan-usaha-detail/QjFNSDdTZmhFWnBuTG5nWFVOREdyZz09</t>
        </is>
      </c>
      <c r="F174" t="n">
        <v>2</v>
      </c>
      <c r="G174" t="inlineStr">
        <is>
          <t>AR001, AR002</t>
        </is>
      </c>
      <c r="H174" t="inlineStr">
        <is>
          <t>2 September 2022</t>
        </is>
      </c>
      <c r="I174" s="2" t="n">
        <v>46282</v>
      </c>
      <c r="J174" t="inlineStr">
        <is>
          <t>Disetujui</t>
        </is>
      </c>
      <c r="K174" t="n">
        <v>30</v>
      </c>
      <c r="L174" t="inlineStr">
        <is>
          <t>17 September 2026</t>
        </is>
      </c>
      <c r="M174" t="inlineStr">
        <is>
          <t>Jasa Arsitektural Bangunan Gedung Hunian dan Non Hunian, Jasa Arsitektural Lainnya</t>
        </is>
      </c>
      <c r="N174" t="inlineStr">
        <is>
          <t>K</t>
        </is>
      </c>
      <c r="O174" t="inlineStr">
        <is>
          <t>20230912</t>
        </is>
      </c>
      <c r="P174" t="inlineStr">
        <is>
          <t>Bali</t>
        </is>
      </c>
      <c r="Q174" t="inlineStr"/>
    </row>
    <row r="175">
      <c r="A175" t="inlineStr">
        <is>
          <t>ZHAFRAN PUTRA UTAMA</t>
        </is>
      </c>
      <c r="B175" t="inlineStr">
        <is>
          <t>Kab. Soppeng</t>
        </is>
      </c>
      <c r="C175" t="inlineStr">
        <is>
          <t>085241770198</t>
        </is>
      </c>
      <c r="D175" t="inlineStr">
        <is>
          <t>pt.zhafranputrautama@gmail.com</t>
        </is>
      </c>
      <c r="E175" t="inlineStr">
        <is>
          <t>https://lpjk.pu.go.id/search-badan-usaha-detail/VE1EbExQeDdwWkdoQVZWMEpXNmEyZz09</t>
        </is>
      </c>
      <c r="F175" t="n">
        <v>1</v>
      </c>
      <c r="G175" t="inlineStr">
        <is>
          <t>BS001</t>
        </is>
      </c>
      <c r="H175" t="inlineStr">
        <is>
          <t>30 September 2019</t>
        </is>
      </c>
      <c r="I175" s="2" t="n">
        <v>46282</v>
      </c>
      <c r="J175" t="inlineStr">
        <is>
          <t>Disetujui</t>
        </is>
      </c>
      <c r="K175" t="n">
        <v>30</v>
      </c>
      <c r="L175" t="inlineStr">
        <is>
          <t>17 September 2026</t>
        </is>
      </c>
      <c r="M175" t="inlineStr">
        <is>
          <t>Konstruksi Bangunan Sipil Jalan</t>
        </is>
      </c>
      <c r="N175" t="inlineStr">
        <is>
          <t>K</t>
        </is>
      </c>
      <c r="O175" t="inlineStr">
        <is>
          <t>20230907</t>
        </is>
      </c>
      <c r="P175" t="inlineStr">
        <is>
          <t>Sulawesi Selatan</t>
        </is>
      </c>
      <c r="Q1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2026-08-18T02:08:33Z</dcterms:created>
  <dcterms:modified xsi:type="dcterms:W3CDTF">2026-08-18T02:08:33Z</dcterms:modified>
</cp:coreProperties>
</file>