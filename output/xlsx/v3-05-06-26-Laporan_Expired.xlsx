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90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43"/>
  <sheetViews>
    <sheetView workbookViewId="0">
      <selection activeCell="A1" sqref="A1"/>
    </sheetView>
  </sheetViews>
  <sheetFormatPr baseColWidth="8" defaultRowHeight="15"/>
  <cols>
    <col width="39" customWidth="1" min="1" max="1"/>
    <col width="30" customWidth="1" min="2" max="2"/>
    <col width="15" customWidth="1" min="3" max="3"/>
    <col width="42" customWidth="1" min="4" max="4"/>
    <col width="50" customWidth="1" min="5" max="5"/>
    <col width="18" customWidth="1" min="6" max="6"/>
    <col width="42" customWidth="1" min="7" max="7"/>
    <col width="20" customWidth="1" min="8" max="8"/>
    <col width="28" customWidth="1" min="9" max="9"/>
    <col width="45" customWidth="1" min="10" max="10"/>
    <col width="11" customWidth="1" min="11" max="11"/>
    <col width="18" customWidth="1" min="12" max="12"/>
    <col width="50" customWidth="1" min="13" max="13"/>
    <col width="13"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ANGKASA SURYA DUTA</t>
        </is>
      </c>
      <c r="B2" t="inlineStr">
        <is>
          <t>Kab. Bogor</t>
        </is>
      </c>
      <c r="C2" t="inlineStr">
        <is>
          <t>081284823701</t>
        </is>
      </c>
      <c r="D2" t="inlineStr">
        <is>
          <t>angkasasuryaduta@gmail.com</t>
        </is>
      </c>
      <c r="E2" t="inlineStr">
        <is>
          <t>https://lpjk.pu.go.id/search-badan-usaha-detail/UlFpKzFTUW0zc214Z1VkNUROZlhRZz09</t>
        </is>
      </c>
      <c r="F2" t="n">
        <v>2</v>
      </c>
      <c r="G2" t="inlineStr">
        <is>
          <t>BS001</t>
        </is>
      </c>
      <c r="H2" t="inlineStr">
        <is>
          <t>28 November 2022</t>
        </is>
      </c>
      <c r="I2" s="2" t="n">
        <v>46268</v>
      </c>
      <c r="J2" t="inlineStr">
        <is>
          <t>Disetujui</t>
        </is>
      </c>
      <c r="K2" t="n">
        <v>90</v>
      </c>
      <c r="L2" t="inlineStr">
        <is>
          <t>3 September 2026</t>
        </is>
      </c>
      <c r="M2" t="inlineStr">
        <is>
          <t>Konstruksi Bangunan Sipil Jalan</t>
        </is>
      </c>
      <c r="N2" t="inlineStr">
        <is>
          <t>K</t>
        </is>
      </c>
      <c r="O2" t="inlineStr">
        <is>
          <t>20230902</t>
        </is>
      </c>
      <c r="P2" t="inlineStr">
        <is>
          <t>Jawa Barat</t>
        </is>
      </c>
      <c r="Q2" s="3">
        <f>HYPERLINK("https://wa.me/6281284823701?text=Selamat siang Bapak/Ibu pimpinan ANGKASA SURYA DUTA,%0A%0ASemoga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3">
      <c r="A3" t="inlineStr">
        <is>
          <t>BINSAR OLIVIA LAMDASIP ABADI</t>
        </is>
      </c>
      <c r="B3" t="inlineStr">
        <is>
          <t>Kota Bekasi</t>
        </is>
      </c>
      <c r="C3" t="inlineStr">
        <is>
          <t>082211277767</t>
        </is>
      </c>
      <c r="D3" t="inlineStr">
        <is>
          <t>binsarolivialamdasipabadi@gmail.com</t>
        </is>
      </c>
      <c r="E3" t="inlineStr">
        <is>
          <t>https://lpjk.pu.go.id/search-badan-usaha-detail/WE1XTC9JckovMW1GWUlnWEcwZ1Rwdz09</t>
        </is>
      </c>
      <c r="F3" t="n">
        <v>1</v>
      </c>
      <c r="G3" t="inlineStr">
        <is>
          <t>BS004</t>
        </is>
      </c>
      <c r="H3" t="inlineStr">
        <is>
          <t>20 Februari 2023</t>
        </is>
      </c>
      <c r="I3" s="2" t="n">
        <v>46268</v>
      </c>
      <c r="J3" t="inlineStr">
        <is>
          <t>Disetujui</t>
        </is>
      </c>
      <c r="K3" t="n">
        <v>90</v>
      </c>
      <c r="L3" t="inlineStr">
        <is>
          <t>3 September 2026</t>
        </is>
      </c>
      <c r="M3" t="inlineStr">
        <is>
          <t>Konstruksi Jaringan Irigasi dan Drainase</t>
        </is>
      </c>
      <c r="N3" t="inlineStr">
        <is>
          <t>K</t>
        </is>
      </c>
      <c r="O3" t="inlineStr">
        <is>
          <t>20230829</t>
        </is>
      </c>
      <c r="P3" t="inlineStr">
        <is>
          <t>Jawa Barat</t>
        </is>
      </c>
      <c r="Q3" s="3">
        <f>HYPERLINK("https://wa.me/6282211277767?text=Selamat siang Bapak/Ibu pimpinan BINSAR OLIVIA LAMDASIP ABADI,%0A%0ASemoga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4">
      <c r="A4" t="inlineStr">
        <is>
          <t>GRIYA KREASINDO SEJAHTERA</t>
        </is>
      </c>
      <c r="B4" t="inlineStr">
        <is>
          <t>Kota Bekasi</t>
        </is>
      </c>
      <c r="C4" t="inlineStr">
        <is>
          <t>081808298898</t>
        </is>
      </c>
      <c r="D4" t="inlineStr">
        <is>
          <t>ptgriyakreasindosejahtera@gmail.com</t>
        </is>
      </c>
      <c r="E4" t="inlineStr">
        <is>
          <t>https://lpjk.pu.go.id/search-badan-usaha-detail/elRoMk0vWWMwWml6V2cwakVSRU1Ydz09</t>
        </is>
      </c>
      <c r="F4" t="n">
        <v>1</v>
      </c>
      <c r="G4" t="inlineStr">
        <is>
          <t>BG002</t>
        </is>
      </c>
      <c r="H4" t="inlineStr">
        <is>
          <t>2 November 2015</t>
        </is>
      </c>
      <c r="I4" s="2" t="n">
        <v>46268</v>
      </c>
      <c r="J4" t="inlineStr">
        <is>
          <t>Disetujui</t>
        </is>
      </c>
      <c r="K4" t="n">
        <v>90</v>
      </c>
      <c r="L4" t="inlineStr">
        <is>
          <t>3 September 2026</t>
        </is>
      </c>
      <c r="M4" t="inlineStr">
        <is>
          <t>Konstruksi Gedung Perkantoran</t>
        </is>
      </c>
      <c r="N4" t="inlineStr">
        <is>
          <t>K</t>
        </is>
      </c>
      <c r="O4" t="inlineStr">
        <is>
          <t>20230901</t>
        </is>
      </c>
      <c r="P4" t="inlineStr">
        <is>
          <t>Jawa Barat</t>
        </is>
      </c>
      <c r="Q4" s="3">
        <f>HYPERLINK("https://wa.me/6281808298898?text=Selamat siang Bapak/Ibu pimpinan GRIYA KREASINDO SEJAHTERA,%0A%0ASemoga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5">
      <c r="A5" t="inlineStr">
        <is>
          <t>JAKARTASPEED TEKNIK UTAMA</t>
        </is>
      </c>
      <c r="B5" t="inlineStr">
        <is>
          <t>Kab. Bekasi</t>
        </is>
      </c>
      <c r="C5" t="inlineStr">
        <is>
          <t>02129566163</t>
        </is>
      </c>
      <c r="D5" t="inlineStr">
        <is>
          <t>financejstu@gmail.com</t>
        </is>
      </c>
      <c r="E5" t="inlineStr">
        <is>
          <t>https://lpjk.pu.go.id/search-badan-usaha-detail/c0w4YTVjb0lTR3ZINUVGVURNT1lSQT09</t>
        </is>
      </c>
      <c r="F5" t="n">
        <v>3</v>
      </c>
      <c r="G5" t="inlineStr">
        <is>
          <t>BS002</t>
        </is>
      </c>
      <c r="H5" t="inlineStr">
        <is>
          <t>4 Juli 2022</t>
        </is>
      </c>
      <c r="I5" s="2" t="n">
        <v>46268</v>
      </c>
      <c r="J5" t="inlineStr">
        <is>
          <t>Disetujui</t>
        </is>
      </c>
      <c r="K5" t="n">
        <v>90</v>
      </c>
      <c r="L5" t="inlineStr">
        <is>
          <t>3 September 2026</t>
        </is>
      </c>
      <c r="M5" t="inlineStr">
        <is>
          <t>Bangunan Sipil Jembatan, Jalan Layang, Fly Over, dan Underpass</t>
        </is>
      </c>
      <c r="N5" t="inlineStr">
        <is>
          <t>K</t>
        </is>
      </c>
      <c r="O5" t="inlineStr">
        <is>
          <t>20230830</t>
        </is>
      </c>
      <c r="P5" t="inlineStr">
        <is>
          <t>Jawa Barat</t>
        </is>
      </c>
      <c r="Q5" t="inlineStr"/>
    </row>
    <row r="6">
      <c r="A6" t="inlineStr">
        <is>
          <t>PUTRA MENARA PRATAMA</t>
        </is>
      </c>
      <c r="B6" t="inlineStr">
        <is>
          <t>Kab. Bogor</t>
        </is>
      </c>
      <c r="C6" t="inlineStr">
        <is>
          <t>08174923168</t>
        </is>
      </c>
      <c r="D6" t="inlineStr">
        <is>
          <t>putramenarapratama@gmail.com</t>
        </is>
      </c>
      <c r="E6" t="inlineStr">
        <is>
          <t>https://lpjk.pu.go.id/search-badan-usaha-detail/Z1kvVTcwTVZZRE1LQzZDNVJYUVVOQT09</t>
        </is>
      </c>
      <c r="F6" t="n">
        <v>1</v>
      </c>
      <c r="G6" t="inlineStr">
        <is>
          <t>BG001</t>
        </is>
      </c>
      <c r="H6" t="inlineStr">
        <is>
          <t>13 Februari 2017</t>
        </is>
      </c>
      <c r="I6" s="2" t="n">
        <v>46268</v>
      </c>
      <c r="J6" t="inlineStr">
        <is>
          <t>Disetujui</t>
        </is>
      </c>
      <c r="K6" t="n">
        <v>90</v>
      </c>
      <c r="L6" t="inlineStr">
        <is>
          <t>3 September 2026</t>
        </is>
      </c>
      <c r="M6" t="inlineStr">
        <is>
          <t>Konstruksi Gedung Hunian</t>
        </is>
      </c>
      <c r="N6" t="inlineStr">
        <is>
          <t>K</t>
        </is>
      </c>
      <c r="O6" t="inlineStr">
        <is>
          <t>20230904</t>
        </is>
      </c>
      <c r="P6" t="inlineStr">
        <is>
          <t>Jawa Barat</t>
        </is>
      </c>
      <c r="Q6" s="3">
        <f>HYPERLINK("https://wa.me/628174923168?text=Selamat siang Bapak/Ibu pimpinan PUTRA MENARA PRATAMA,%0A%0ASemoga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7">
      <c r="A7" t="inlineStr">
        <is>
          <t>SINAR MAS ALAM RAYA</t>
        </is>
      </c>
      <c r="B7" t="inlineStr">
        <is>
          <t>Kab. Bekasi</t>
        </is>
      </c>
      <c r="C7" t="inlineStr">
        <is>
          <t>085600000442</t>
        </is>
      </c>
      <c r="D7" t="inlineStr">
        <is>
          <t>smar@tabasagroup.com</t>
        </is>
      </c>
      <c r="E7" t="inlineStr">
        <is>
          <t>https://lpjk.pu.go.id/search-badan-usaha-detail/b29FaUVKOEdmeWI2b1ZNMWRtMHdKdz09</t>
        </is>
      </c>
      <c r="F7" t="n">
        <v>4</v>
      </c>
      <c r="G7" t="inlineStr">
        <is>
          <t>BG003</t>
        </is>
      </c>
      <c r="H7" t="inlineStr">
        <is>
          <t>14 Juli 2023</t>
        </is>
      </c>
      <c r="I7" s="2" t="n">
        <v>46268</v>
      </c>
      <c r="J7" t="inlineStr">
        <is>
          <t>Pencabutan</t>
        </is>
      </c>
      <c r="K7" t="n">
        <v>90</v>
      </c>
      <c r="L7" t="inlineStr">
        <is>
          <t>3 September 2026</t>
        </is>
      </c>
      <c r="M7" t="inlineStr">
        <is>
          <t>Konstruksi Gedung Industri</t>
        </is>
      </c>
      <c r="N7" t="inlineStr">
        <is>
          <t>K</t>
        </is>
      </c>
      <c r="O7" t="inlineStr">
        <is>
          <t>20230830</t>
        </is>
      </c>
      <c r="P7" t="inlineStr">
        <is>
          <t>Jawa Barat</t>
        </is>
      </c>
      <c r="Q7" s="3">
        <f>HYPERLINK("https://wa.me/6285600000442?text=Selamat siang Bapak/Ibu pimpinan SINAR MAS ALAM RAYA,%0A%0ASemoga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8">
      <c r="A8" t="inlineStr">
        <is>
          <t>SUMBER DAYA MITRAINTI</t>
        </is>
      </c>
      <c r="B8" t="inlineStr">
        <is>
          <t>Kota Bekasi</t>
        </is>
      </c>
      <c r="C8" t="inlineStr">
        <is>
          <t>08128897581</t>
        </is>
      </c>
      <c r="D8" t="inlineStr">
        <is>
          <t>ekowirabayuirawan@gmail.com</t>
        </is>
      </c>
      <c r="E8" t="inlineStr">
        <is>
          <t>https://lpjk.pu.go.id/search-badan-usaha-detail/L3M3QnZuRWtqK0V1TGpJSjJqdVhqZz09</t>
        </is>
      </c>
      <c r="F8" t="n">
        <v>1</v>
      </c>
      <c r="G8" t="inlineStr">
        <is>
          <t>BG005</t>
        </is>
      </c>
      <c r="H8" t="inlineStr">
        <is>
          <t>6 September 2018</t>
        </is>
      </c>
      <c r="I8" s="2" t="n">
        <v>46268</v>
      </c>
      <c r="J8" t="inlineStr">
        <is>
          <t>Disetujui</t>
        </is>
      </c>
      <c r="K8" t="n">
        <v>90</v>
      </c>
      <c r="L8" t="inlineStr">
        <is>
          <t>3 September 2026</t>
        </is>
      </c>
      <c r="M8" t="inlineStr">
        <is>
          <t>Konstruksi Gedung Kesehatan</t>
        </is>
      </c>
      <c r="N8" t="inlineStr">
        <is>
          <t>K</t>
        </is>
      </c>
      <c r="O8" t="inlineStr">
        <is>
          <t>20230902</t>
        </is>
      </c>
      <c r="P8" t="inlineStr">
        <is>
          <t>Jawa Barat</t>
        </is>
      </c>
      <c r="Q8" s="3">
        <f>HYPERLINK("https://wa.me/628128897581?text=Selamat siang Bapak/Ibu pimpinan SUMBER DAYA MITRAINTI,%0A%0ASemoga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9">
      <c r="A9" t="inlineStr">
        <is>
          <t>TELAGA INSAN MULIA</t>
        </is>
      </c>
      <c r="B9" t="inlineStr">
        <is>
          <t>Kota Adm. Jakarta Timur</t>
        </is>
      </c>
      <c r="C9" t="inlineStr">
        <is>
          <t>081295083550</t>
        </is>
      </c>
      <c r="D9" t="inlineStr">
        <is>
          <t>telagainsanmulia@gmail.com</t>
        </is>
      </c>
      <c r="E9" t="inlineStr">
        <is>
          <t>https://lpjk.pu.go.id/search-badan-usaha-detail/VVRPNmV5M01XZUUydzFQNnp4Rzg3Zz09</t>
        </is>
      </c>
      <c r="F9" t="n">
        <v>1</v>
      </c>
      <c r="G9" t="inlineStr">
        <is>
          <t>BG002</t>
        </is>
      </c>
      <c r="H9" t="inlineStr">
        <is>
          <t>4 Mei 2023</t>
        </is>
      </c>
      <c r="I9" s="2" t="n">
        <v>46268</v>
      </c>
      <c r="J9" t="inlineStr">
        <is>
          <t>Disetujui</t>
        </is>
      </c>
      <c r="K9" t="n">
        <v>90</v>
      </c>
      <c r="L9" t="inlineStr">
        <is>
          <t>3 September 2026</t>
        </is>
      </c>
      <c r="M9" t="inlineStr">
        <is>
          <t>Konstruksi Gedung Perkantoran</t>
        </is>
      </c>
      <c r="N9" t="inlineStr">
        <is>
          <t>K</t>
        </is>
      </c>
      <c r="O9" t="inlineStr">
        <is>
          <t>20230904</t>
        </is>
      </c>
      <c r="P9" t="inlineStr">
        <is>
          <t>DKI Jakarta</t>
        </is>
      </c>
      <c r="Q9" s="3">
        <f>HYPERLINK("https://wa.me/6281295083550?text=Selamat siang Bapak/Ibu pimpinan TELAGA INSAN MULIA,%0A%0ASemoga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0">
      <c r="A10" t="inlineStr">
        <is>
          <t>ABHIMATA CITRA ABADI</t>
        </is>
      </c>
      <c r="B10" t="inlineStr">
        <is>
          <t>Kota Adm. Jakarta Pusat</t>
        </is>
      </c>
      <c r="C10" t="inlineStr">
        <is>
          <t>02157930304</t>
        </is>
      </c>
      <c r="D10" t="inlineStr">
        <is>
          <t>christina.loho@abhimata.co.id</t>
        </is>
      </c>
      <c r="E10" t="inlineStr">
        <is>
          <t>https://lpjk.pu.go.id/search-badan-usaha-detail/bUhtb0doWG9xVTVpWFZtUGdpancxUT09</t>
        </is>
      </c>
      <c r="F10" t="n">
        <v>1</v>
      </c>
      <c r="G10" t="inlineStr">
        <is>
          <t>BS009</t>
        </is>
      </c>
      <c r="H10" t="inlineStr">
        <is>
          <t>19 Desember 1989</t>
        </is>
      </c>
      <c r="I10" s="2" t="n">
        <v>46268</v>
      </c>
      <c r="J10" t="inlineStr">
        <is>
          <t>Disetujui</t>
        </is>
      </c>
      <c r="K10" t="n">
        <v>90</v>
      </c>
      <c r="L10" t="inlineStr">
        <is>
          <t>3 September 2026</t>
        </is>
      </c>
      <c r="M10" t="inlineStr">
        <is>
          <t>Konstruksi Sentral Telekomunikasi</t>
        </is>
      </c>
      <c r="N10" t="inlineStr">
        <is>
          <t>B</t>
        </is>
      </c>
      <c r="O10" t="inlineStr">
        <is>
          <t>20230814</t>
        </is>
      </c>
      <c r="P10" t="inlineStr">
        <is>
          <t>DKI Jakarta</t>
        </is>
      </c>
      <c r="Q10" t="inlineStr"/>
    </row>
    <row r="11">
      <c r="A11" t="inlineStr">
        <is>
          <t>AGRA JAYA KONSTRUKSI</t>
        </is>
      </c>
      <c r="B11" t="inlineStr">
        <is>
          <t>Kab. Kapuas Hulu</t>
        </is>
      </c>
      <c r="C11" t="inlineStr">
        <is>
          <t>081345593350</t>
        </is>
      </c>
      <c r="D11" t="inlineStr">
        <is>
          <t>cv.agrajayakonstruksi@gmail.com</t>
        </is>
      </c>
      <c r="E11" t="inlineStr">
        <is>
          <t>https://lpjk.pu.go.id/search-badan-usaha-detail/MEtIR0dzSncvajlEdEpZdEphSzlLUT09</t>
        </is>
      </c>
      <c r="F11" t="n">
        <v>1</v>
      </c>
      <c r="G11" t="inlineStr">
        <is>
          <t>BS001</t>
        </is>
      </c>
      <c r="H11" t="inlineStr">
        <is>
          <t>9 Januari 2016</t>
        </is>
      </c>
      <c r="I11" s="2" t="n">
        <v>46268</v>
      </c>
      <c r="J11" t="inlineStr">
        <is>
          <t>Disetujui</t>
        </is>
      </c>
      <c r="K11" t="n">
        <v>90</v>
      </c>
      <c r="L11" t="inlineStr">
        <is>
          <t>3 September 2026</t>
        </is>
      </c>
      <c r="M11" t="inlineStr">
        <is>
          <t>Konstruksi Bangunan Sipil Jalan</t>
        </is>
      </c>
      <c r="N11" t="inlineStr">
        <is>
          <t>K</t>
        </is>
      </c>
      <c r="O11" t="inlineStr">
        <is>
          <t>20230829</t>
        </is>
      </c>
      <c r="P11" t="inlineStr">
        <is>
          <t>Kalimantan Barat</t>
        </is>
      </c>
      <c r="Q11" t="inlineStr"/>
    </row>
    <row r="12">
      <c r="A12" t="inlineStr">
        <is>
          <t>AKITA GEMILANG</t>
        </is>
      </c>
      <c r="B12" t="inlineStr">
        <is>
          <t>Kab. Bantul</t>
        </is>
      </c>
      <c r="C12" t="inlineStr">
        <is>
          <t>081326214489</t>
        </is>
      </c>
      <c r="D12" t="inlineStr">
        <is>
          <t>akita.gemilang123@gmail.com</t>
        </is>
      </c>
      <c r="E12" t="inlineStr">
        <is>
          <t>https://lpjk.pu.go.id/search-badan-usaha-detail/SFY1TCs5b3VROUIvdkFWbnVlK2JIQT09</t>
        </is>
      </c>
      <c r="F12" t="n">
        <v>1</v>
      </c>
      <c r="G12" t="inlineStr">
        <is>
          <t>BS001</t>
        </is>
      </c>
      <c r="H12" t="inlineStr">
        <is>
          <t>22 Juni 2012</t>
        </is>
      </c>
      <c r="I12" s="2" t="n">
        <v>46268</v>
      </c>
      <c r="J12" t="inlineStr">
        <is>
          <t>Disetujui</t>
        </is>
      </c>
      <c r="K12" t="n">
        <v>90</v>
      </c>
      <c r="L12" t="inlineStr">
        <is>
          <t>3 September 2026</t>
        </is>
      </c>
      <c r="M12" t="inlineStr">
        <is>
          <t>Konstruksi Bangunan Sipil Jalan</t>
        </is>
      </c>
      <c r="N12" t="inlineStr">
        <is>
          <t>K</t>
        </is>
      </c>
      <c r="O12" t="inlineStr">
        <is>
          <t>20230902</t>
        </is>
      </c>
      <c r="P12" t="inlineStr">
        <is>
          <t>DI Yogyakarta</t>
        </is>
      </c>
      <c r="Q12" t="inlineStr"/>
    </row>
    <row r="13">
      <c r="A13" t="inlineStr">
        <is>
          <t>ALFARIZZI</t>
        </is>
      </c>
      <c r="B13" t="inlineStr">
        <is>
          <t>Kota Banda Aceh</t>
        </is>
      </c>
      <c r="C13" t="inlineStr">
        <is>
          <t>081269188223</t>
        </is>
      </c>
      <c r="D13" t="inlineStr">
        <is>
          <t>cv.alfarizzi@gmail.com</t>
        </is>
      </c>
      <c r="E13" t="inlineStr">
        <is>
          <t>https://lpjk.pu.go.id/search-badan-usaha-detail/bWpFVzRYbXBxUTBhd3U1TS9XclVPQT09</t>
        </is>
      </c>
      <c r="F13" t="n">
        <v>4</v>
      </c>
      <c r="G13" t="inlineStr">
        <is>
          <t>BG008, BG009</t>
        </is>
      </c>
      <c r="H13" t="inlineStr">
        <is>
          <t>22 Juni 2012</t>
        </is>
      </c>
      <c r="I13" s="2" t="n">
        <v>46268</v>
      </c>
      <c r="J13" t="inlineStr">
        <is>
          <t>Disetujui</t>
        </is>
      </c>
      <c r="K13" t="n">
        <v>90</v>
      </c>
      <c r="L13" t="inlineStr">
        <is>
          <t>3 September 2026</t>
        </is>
      </c>
      <c r="M13" t="inlineStr">
        <is>
          <t>Konstruksi Gedung Lainnya, Konstruksi Gedung Tempat Hiburan dan Olahraga</t>
        </is>
      </c>
      <c r="N13" t="inlineStr">
        <is>
          <t>K</t>
        </is>
      </c>
      <c r="O13" t="inlineStr">
        <is>
          <t>20230901</t>
        </is>
      </c>
      <c r="P13" t="inlineStr">
        <is>
          <t>Aceh</t>
        </is>
      </c>
      <c r="Q13" t="inlineStr"/>
    </row>
    <row r="14">
      <c r="A14" t="inlineStr">
        <is>
          <t>ALINA MANDIRI</t>
        </is>
      </c>
      <c r="B14" t="inlineStr">
        <is>
          <t>Kab. Sanggau</t>
        </is>
      </c>
      <c r="C14" t="inlineStr">
        <is>
          <t>0</t>
        </is>
      </c>
      <c r="D14" t="inlineStr">
        <is>
          <t>alinamandiri88@gmail.com</t>
        </is>
      </c>
      <c r="E14" t="inlineStr">
        <is>
          <t>https://lpjk.pu.go.id/search-badan-usaha-detail/bVN3U3lFWlFDaUp3bW5RQkxTaXp2dz09</t>
        </is>
      </c>
      <c r="F14" t="n">
        <v>2</v>
      </c>
      <c r="G14" t="inlineStr">
        <is>
          <t>BG006, BG009</t>
        </is>
      </c>
      <c r="H14" t="inlineStr">
        <is>
          <t>10 Mei 2017</t>
        </is>
      </c>
      <c r="I14" s="2" t="n">
        <v>46268</v>
      </c>
      <c r="J14" t="inlineStr">
        <is>
          <t>Disetujui</t>
        </is>
      </c>
      <c r="K14" t="n">
        <v>90</v>
      </c>
      <c r="L14" t="inlineStr">
        <is>
          <t>3 September 2026</t>
        </is>
      </c>
      <c r="M14" t="inlineStr">
        <is>
          <t>Konstruksi Gedung Lainnya, Konstruksi Gedung Pendidikan</t>
        </is>
      </c>
      <c r="N14" t="inlineStr">
        <is>
          <t>K</t>
        </is>
      </c>
      <c r="O14" t="inlineStr">
        <is>
          <t>20230830</t>
        </is>
      </c>
      <c r="P14" t="inlineStr">
        <is>
          <t>Kalimantan Barat</t>
        </is>
      </c>
      <c r="Q14" t="inlineStr"/>
    </row>
    <row r="15">
      <c r="A15" t="inlineStr">
        <is>
          <t>ANEKA BANGUN SARANA</t>
        </is>
      </c>
      <c r="B15" t="inlineStr">
        <is>
          <t>Kab. Kebumen</t>
        </is>
      </c>
      <c r="C15" t="inlineStr">
        <is>
          <t>0287471667</t>
        </is>
      </c>
      <c r="D15" t="inlineStr">
        <is>
          <t>aneka_bangun_sarana@yahoo.co.id</t>
        </is>
      </c>
      <c r="E15" t="inlineStr">
        <is>
          <t>https://lpjk.pu.go.id/search-badan-usaha-detail/ZU5udFEveE03Q2gya1VGaC9TTGZJdz09</t>
        </is>
      </c>
      <c r="F15" t="n">
        <v>4</v>
      </c>
      <c r="G15" t="inlineStr">
        <is>
          <t>BG005, BS001</t>
        </is>
      </c>
      <c r="H15" t="inlineStr">
        <is>
          <t>22 Desember 2003</t>
        </is>
      </c>
      <c r="I15" s="2" t="n">
        <v>46268</v>
      </c>
      <c r="J15" t="inlineStr">
        <is>
          <t>Disetujui</t>
        </is>
      </c>
      <c r="K15" t="n">
        <v>90</v>
      </c>
      <c r="L15" t="inlineStr">
        <is>
          <t>3 September 2026</t>
        </is>
      </c>
      <c r="M15" t="inlineStr">
        <is>
          <t>Konstruksi Bangunan Sipil Jalan, Konstruksi Gedung Kesehatan</t>
        </is>
      </c>
      <c r="N15" t="inlineStr">
        <is>
          <t>M</t>
        </is>
      </c>
      <c r="O15" t="inlineStr">
        <is>
          <t>20230728</t>
        </is>
      </c>
      <c r="P15" t="inlineStr">
        <is>
          <t>Jawa Tengah</t>
        </is>
      </c>
      <c r="Q15" t="inlineStr"/>
    </row>
    <row r="16">
      <c r="A16" t="inlineStr">
        <is>
          <t>ANNA DOHAWU PAPUA</t>
        </is>
      </c>
      <c r="B16" t="inlineStr">
        <is>
          <t>Kota Jayapura</t>
        </is>
      </c>
      <c r="C16" t="inlineStr">
        <is>
          <t>082238956999</t>
        </is>
      </c>
      <c r="D16" t="inlineStr">
        <is>
          <t>anadop.jyp@gmail.com</t>
        </is>
      </c>
      <c r="E16" t="inlineStr">
        <is>
          <t>https://lpjk.pu.go.id/search-badan-usaha-detail/UVMwTU9qWFgwcWZtN2prM3crTWtGZz09</t>
        </is>
      </c>
      <c r="F16" t="n">
        <v>1</v>
      </c>
      <c r="G16" t="inlineStr">
        <is>
          <t>BS001</t>
        </is>
      </c>
      <c r="H16" t="inlineStr">
        <is>
          <t>8 Desember 2014</t>
        </is>
      </c>
      <c r="I16" s="2" t="n">
        <v>46268</v>
      </c>
      <c r="J16" t="inlineStr">
        <is>
          <t>Disetujui</t>
        </is>
      </c>
      <c r="K16" t="n">
        <v>90</v>
      </c>
      <c r="L16" t="inlineStr">
        <is>
          <t>3 September 2026</t>
        </is>
      </c>
      <c r="M16" t="inlineStr">
        <is>
          <t>Konstruksi Bangunan Sipil Jalan</t>
        </is>
      </c>
      <c r="N16" t="inlineStr">
        <is>
          <t>K</t>
        </is>
      </c>
      <c r="O16" t="inlineStr">
        <is>
          <t>20230829</t>
        </is>
      </c>
      <c r="P16" t="inlineStr">
        <is>
          <t>Papua</t>
        </is>
      </c>
      <c r="Q16" t="inlineStr"/>
    </row>
    <row r="17">
      <c r="A17" t="inlineStr">
        <is>
          <t>ANTARES CHIATA KONSTRUKSI</t>
        </is>
      </c>
      <c r="B17" t="inlineStr">
        <is>
          <t>Kab. Kutai Kartanegara</t>
        </is>
      </c>
      <c r="C17" t="inlineStr">
        <is>
          <t>082129009102</t>
        </is>
      </c>
      <c r="D17" t="inlineStr">
        <is>
          <t>antareschiatakonstruksi@gmail.com</t>
        </is>
      </c>
      <c r="E17" t="inlineStr">
        <is>
          <t>https://lpjk.pu.go.id/search-badan-usaha-detail/N1BlVG42Ykw5MDloTjROeUdqT1htdz09</t>
        </is>
      </c>
      <c r="F17" t="n">
        <v>1</v>
      </c>
      <c r="G17" t="inlineStr">
        <is>
          <t>BS001</t>
        </is>
      </c>
      <c r="H17" t="inlineStr">
        <is>
          <t>24 Agustus 2023</t>
        </is>
      </c>
      <c r="I17" s="2" t="n">
        <v>46268</v>
      </c>
      <c r="J17" t="inlineStr">
        <is>
          <t>Disetujui</t>
        </is>
      </c>
      <c r="K17" t="n">
        <v>90</v>
      </c>
      <c r="L17" t="inlineStr">
        <is>
          <t>3 September 2026</t>
        </is>
      </c>
      <c r="M17" t="inlineStr">
        <is>
          <t>Konstruksi Bangunan Sipil Jalan</t>
        </is>
      </c>
      <c r="N17" t="inlineStr">
        <is>
          <t>K</t>
        </is>
      </c>
      <c r="O17" t="inlineStr">
        <is>
          <t>20230902</t>
        </is>
      </c>
      <c r="P17" t="inlineStr">
        <is>
          <t>Kalimantan Timur</t>
        </is>
      </c>
      <c r="Q17" t="inlineStr"/>
    </row>
    <row r="18">
      <c r="A18" t="inlineStr">
        <is>
          <t>ANUGERAH ABADI</t>
        </is>
      </c>
      <c r="B18" t="inlineStr">
        <is>
          <t>Kab. Mamuju</t>
        </is>
      </c>
      <c r="C18" t="inlineStr">
        <is>
          <t>082290899992</t>
        </is>
      </c>
      <c r="D18" t="inlineStr">
        <is>
          <t>cvanugrahabadi009@gmail.com</t>
        </is>
      </c>
      <c r="E18" t="inlineStr">
        <is>
          <t>https://lpjk.pu.go.id/search-badan-usaha-detail/cXFSdGF0ZWd5bUx4QmxpNWJ6TStHZz09</t>
        </is>
      </c>
      <c r="F18" t="n">
        <v>2</v>
      </c>
      <c r="G18" t="inlineStr">
        <is>
          <t>BG006, BG009</t>
        </is>
      </c>
      <c r="H18" t="inlineStr">
        <is>
          <t>8 Maret 2013</t>
        </is>
      </c>
      <c r="I18" s="2" t="n">
        <v>46268</v>
      </c>
      <c r="J18" t="inlineStr">
        <is>
          <t>Pencabutan</t>
        </is>
      </c>
      <c r="K18" t="n">
        <v>90</v>
      </c>
      <c r="L18" t="inlineStr">
        <is>
          <t>3 September 2026</t>
        </is>
      </c>
      <c r="M18" t="inlineStr">
        <is>
          <t>Konstruksi Gedung Lainnya, Konstruksi Gedung Pendidikan</t>
        </is>
      </c>
      <c r="N18" t="inlineStr">
        <is>
          <t>K</t>
        </is>
      </c>
      <c r="O18" t="inlineStr">
        <is>
          <t>20230902</t>
        </is>
      </c>
      <c r="P18" t="inlineStr">
        <is>
          <t>Sulawesi Barat</t>
        </is>
      </c>
      <c r="Q18" t="inlineStr"/>
    </row>
    <row r="19">
      <c r="A19" t="inlineStr">
        <is>
          <t>ANUGERAH PAPUA CONSULTAN</t>
        </is>
      </c>
      <c r="B19" t="inlineStr">
        <is>
          <t>Kab. Teluk Wondama</t>
        </is>
      </c>
      <c r="C19" t="inlineStr">
        <is>
          <t>081248760934</t>
        </is>
      </c>
      <c r="D19" t="inlineStr">
        <is>
          <t>anugerahpapua02@gmail.com</t>
        </is>
      </c>
      <c r="E19" t="inlineStr">
        <is>
          <t>https://lpjk.pu.go.id/search-badan-usaha-detail/WXVJR0xkczBuQlpSRmt0aGhNWjMzUT09</t>
        </is>
      </c>
      <c r="F19" t="n">
        <v>1</v>
      </c>
      <c r="G19" t="inlineStr">
        <is>
          <t>RK005</t>
        </is>
      </c>
      <c r="H19" t="inlineStr">
        <is>
          <t>3 Februari 2020</t>
        </is>
      </c>
      <c r="I19" s="2" t="n">
        <v>46268</v>
      </c>
      <c r="J19" t="inlineStr">
        <is>
          <t>Pencabutan</t>
        </is>
      </c>
      <c r="K19" t="n">
        <v>90</v>
      </c>
      <c r="L19" t="inlineStr">
        <is>
          <t>3 September 2026</t>
        </is>
      </c>
      <c r="M19" t="inlineStr">
        <is>
          <t>Jasa Rekayasa Lainnya</t>
        </is>
      </c>
      <c r="N19" t="inlineStr">
        <is>
          <t>K</t>
        </is>
      </c>
      <c r="O19" t="inlineStr">
        <is>
          <t>20230813</t>
        </is>
      </c>
      <c r="P19" t="inlineStr">
        <is>
          <t>Papua Barat</t>
        </is>
      </c>
      <c r="Q19" t="inlineStr"/>
    </row>
    <row r="20">
      <c r="A20" t="inlineStr">
        <is>
          <t>AZOYA CULASEMESTA PERKASA</t>
        </is>
      </c>
      <c r="B20" t="inlineStr">
        <is>
          <t>Kab. Cirebon</t>
        </is>
      </c>
      <c r="C20" t="inlineStr">
        <is>
          <t>02318401465</t>
        </is>
      </c>
      <c r="D20" t="inlineStr">
        <is>
          <t>pt.azoya@yahoo.co.id</t>
        </is>
      </c>
      <c r="E20" t="inlineStr">
        <is>
          <t>https://lpjk.pu.go.id/search-badan-usaha-detail/bkQzOSs5YmtNOXJzcnhhUUQvSEY1dz09</t>
        </is>
      </c>
      <c r="F20" t="n">
        <v>3</v>
      </c>
      <c r="G20" t="inlineStr">
        <is>
          <t>BG001, BG002, BG009</t>
        </is>
      </c>
      <c r="H20" t="inlineStr">
        <is>
          <t>25 November 2013</t>
        </is>
      </c>
      <c r="I20" s="2" t="n">
        <v>46268</v>
      </c>
      <c r="J20" t="inlineStr">
        <is>
          <t>Pembekuan, Permohonan Perubahan Non Asesmen</t>
        </is>
      </c>
      <c r="K20" t="n">
        <v>90</v>
      </c>
      <c r="L20" t="inlineStr">
        <is>
          <t>3 September 2026</t>
        </is>
      </c>
      <c r="M20" t="inlineStr">
        <is>
          <t>Konstruksi Gedung Hunian, Konstruksi Gedung Lainnya, Konstruksi Gedung Perkantoran</t>
        </is>
      </c>
      <c r="N20" t="inlineStr">
        <is>
          <t>M</t>
        </is>
      </c>
      <c r="O20" t="inlineStr">
        <is>
          <t>20230725</t>
        </is>
      </c>
      <c r="P20" t="inlineStr">
        <is>
          <t>Jawa Barat</t>
        </is>
      </c>
      <c r="Q20" t="inlineStr"/>
    </row>
    <row r="21">
      <c r="A21" t="inlineStr">
        <is>
          <t>AZURA PERKASA</t>
        </is>
      </c>
      <c r="B21" t="inlineStr">
        <is>
          <t>Kota Pontianak</t>
        </is>
      </c>
      <c r="C21" t="inlineStr">
        <is>
          <t>082155545603</t>
        </is>
      </c>
      <c r="D21" t="inlineStr">
        <is>
          <t>azuraperkasa@gmail.com</t>
        </is>
      </c>
      <c r="E21" t="inlineStr">
        <is>
          <t>https://lpjk.pu.go.id/search-badan-usaha-detail/WXdGcTFPNE9yWHl4Z1ZFbkw5RlpCdz09</t>
        </is>
      </c>
      <c r="F21" t="n">
        <v>1</v>
      </c>
      <c r="G21" t="inlineStr">
        <is>
          <t>BS004</t>
        </is>
      </c>
      <c r="H21" t="inlineStr">
        <is>
          <t>3 Mei 2017</t>
        </is>
      </c>
      <c r="I21" s="2" t="n">
        <v>46268</v>
      </c>
      <c r="J21" t="inlineStr">
        <is>
          <t>Disetujui</t>
        </is>
      </c>
      <c r="K21" t="n">
        <v>90</v>
      </c>
      <c r="L21" t="inlineStr">
        <is>
          <t>3 September 2026</t>
        </is>
      </c>
      <c r="M21" t="inlineStr">
        <is>
          <t>Konstruksi Jaringan Irigasi dan Drainase</t>
        </is>
      </c>
      <c r="N21" t="inlineStr">
        <is>
          <t>K</t>
        </is>
      </c>
      <c r="O21" t="inlineStr">
        <is>
          <t>20230904</t>
        </is>
      </c>
      <c r="P21" t="inlineStr">
        <is>
          <t>Kalimantan Barat</t>
        </is>
      </c>
      <c r="Q21" t="inlineStr"/>
    </row>
    <row r="22">
      <c r="A22" t="inlineStr">
        <is>
          <t>BAGOLO RAYA UTAMA</t>
        </is>
      </c>
      <c r="B22" t="inlineStr">
        <is>
          <t>Kab. Pangandaran</t>
        </is>
      </c>
      <c r="C22" t="inlineStr">
        <is>
          <t>08122434712</t>
        </is>
      </c>
      <c r="D22" t="inlineStr">
        <is>
          <t>cv.bagolorayautama77@gmail.com</t>
        </is>
      </c>
      <c r="E22" t="inlineStr">
        <is>
          <t>https://lpjk.pu.go.id/search-badan-usaha-detail/QmR2UjMweS9HSndLd0orbzVOL2FZQT09</t>
        </is>
      </c>
      <c r="F22" t="n">
        <v>1</v>
      </c>
      <c r="G22" t="inlineStr">
        <is>
          <t>BS002</t>
        </is>
      </c>
      <c r="H22" t="inlineStr">
        <is>
          <t>1 November 2010</t>
        </is>
      </c>
      <c r="I22" s="2" t="n">
        <v>46268</v>
      </c>
      <c r="J22" t="inlineStr">
        <is>
          <t>Disetujui</t>
        </is>
      </c>
      <c r="K22" t="n">
        <v>90</v>
      </c>
      <c r="L22" t="inlineStr">
        <is>
          <t>3 September 2026</t>
        </is>
      </c>
      <c r="M22" t="inlineStr">
        <is>
          <t>Bangunan Sipil Jembatan, Jalan Layang, Fly Over, dan Underpass</t>
        </is>
      </c>
      <c r="N22" t="inlineStr">
        <is>
          <t>K</t>
        </is>
      </c>
      <c r="O22" t="inlineStr">
        <is>
          <t>20230830</t>
        </is>
      </c>
      <c r="P22" t="inlineStr">
        <is>
          <t>Jawa Barat</t>
        </is>
      </c>
      <c r="Q22" t="inlineStr"/>
    </row>
    <row r="23">
      <c r="A23" t="inlineStr">
        <is>
          <t>BERKAT CAHAYA GRIME</t>
        </is>
      </c>
      <c r="B23" t="inlineStr">
        <is>
          <t>Kota Jayapura</t>
        </is>
      </c>
      <c r="C23" t="inlineStr">
        <is>
          <t>085244094848</t>
        </is>
      </c>
      <c r="D23" t="inlineStr">
        <is>
          <t>cvcahayaberkatgrime99@gmail.com</t>
        </is>
      </c>
      <c r="E23" t="inlineStr">
        <is>
          <t>https://lpjk.pu.go.id/search-badan-usaha-detail/VjJmSmgzb25jNnoyNGFjaFlZUW9Edz09</t>
        </is>
      </c>
      <c r="F23" t="n">
        <v>2</v>
      </c>
      <c r="G23" t="inlineStr">
        <is>
          <t>BG001</t>
        </is>
      </c>
      <c r="H23" t="inlineStr">
        <is>
          <t>25 Oktober 2018</t>
        </is>
      </c>
      <c r="I23" s="2" t="n">
        <v>46268</v>
      </c>
      <c r="J23" t="inlineStr">
        <is>
          <t>Disetujui</t>
        </is>
      </c>
      <c r="K23" t="n">
        <v>90</v>
      </c>
      <c r="L23" t="inlineStr">
        <is>
          <t>3 September 2026</t>
        </is>
      </c>
      <c r="M23" t="inlineStr">
        <is>
          <t>Konstruksi Gedung Hunian</t>
        </is>
      </c>
      <c r="N23" t="inlineStr">
        <is>
          <t>K</t>
        </is>
      </c>
      <c r="O23" t="inlineStr">
        <is>
          <t>20230904</t>
        </is>
      </c>
      <c r="P23" t="inlineStr">
        <is>
          <t>Papua</t>
        </is>
      </c>
      <c r="Q23" t="inlineStr"/>
    </row>
    <row r="24">
      <c r="A24" t="inlineStr">
        <is>
          <t>BINTANG TERANG JAYA</t>
        </is>
      </c>
      <c r="B24" t="inlineStr">
        <is>
          <t>Kab. Bulungan</t>
        </is>
      </c>
      <c r="C24" t="inlineStr">
        <is>
          <t>082251720884</t>
        </is>
      </c>
      <c r="D24" t="inlineStr">
        <is>
          <t>acay.sn@gmail.com</t>
        </is>
      </c>
      <c r="E24" t="inlineStr">
        <is>
          <t>https://lpjk.pu.go.id/search-badan-usaha-detail/VW4zdUVpQktzSTVuSmRqeFNVUUl5UT09</t>
        </is>
      </c>
      <c r="F24" t="n">
        <v>2</v>
      </c>
      <c r="G24" t="inlineStr">
        <is>
          <t>BG002</t>
        </is>
      </c>
      <c r="H24" t="inlineStr">
        <is>
          <t>27 Juni 2016</t>
        </is>
      </c>
      <c r="I24" s="2" t="n">
        <v>46268</v>
      </c>
      <c r="J24" t="inlineStr">
        <is>
          <t>Disetujui</t>
        </is>
      </c>
      <c r="K24" t="n">
        <v>90</v>
      </c>
      <c r="L24" t="inlineStr">
        <is>
          <t>3 September 2026</t>
        </is>
      </c>
      <c r="M24" t="inlineStr">
        <is>
          <t>Konstruksi Gedung Perkantoran</t>
        </is>
      </c>
      <c r="N24" t="inlineStr">
        <is>
          <t>K</t>
        </is>
      </c>
      <c r="O24" t="inlineStr">
        <is>
          <t>20230902</t>
        </is>
      </c>
      <c r="P24" t="inlineStr">
        <is>
          <t>Kalimantan Utara</t>
        </is>
      </c>
      <c r="Q24" t="inlineStr"/>
    </row>
    <row r="25">
      <c r="A25" t="inlineStr">
        <is>
          <t>BUNGA CANTIKA PERSADA</t>
        </is>
      </c>
      <c r="B25" t="inlineStr">
        <is>
          <t>Kota Mataram</t>
        </is>
      </c>
      <c r="C25" t="inlineStr">
        <is>
          <t>081703532900</t>
        </is>
      </c>
      <c r="D25" t="inlineStr">
        <is>
          <t>cantikab781@gmail.com</t>
        </is>
      </c>
      <c r="E25" t="inlineStr">
        <is>
          <t>https://lpjk.pu.go.id/search-badan-usaha-detail/U1BiWWJHMjdrYUpsYlB1Q2VrMTBVSjRNT0E0aElpT3VYOFZBYStmNFl0TT0</t>
        </is>
      </c>
      <c r="F25" t="n">
        <v>1</v>
      </c>
      <c r="G25" t="inlineStr">
        <is>
          <t>BS004</t>
        </is>
      </c>
      <c r="H25" t="inlineStr">
        <is>
          <t>23 Januari 2020</t>
        </is>
      </c>
      <c r="I25" s="2" t="n">
        <v>46268</v>
      </c>
      <c r="J25" t="inlineStr">
        <is>
          <t>Disetujui</t>
        </is>
      </c>
      <c r="K25" t="n">
        <v>90</v>
      </c>
      <c r="L25" t="inlineStr">
        <is>
          <t>3 September 2026</t>
        </is>
      </c>
      <c r="M25" t="inlineStr">
        <is>
          <t>Konstruksi Jaringan Irigasi dan Drainase</t>
        </is>
      </c>
      <c r="N25" t="inlineStr">
        <is>
          <t>K</t>
        </is>
      </c>
      <c r="O25" t="inlineStr">
        <is>
          <t>20230901</t>
        </is>
      </c>
      <c r="P25" t="inlineStr">
        <is>
          <t>Nusa Tenggara Barat</t>
        </is>
      </c>
      <c r="Q25" t="inlineStr"/>
    </row>
    <row r="26">
      <c r="A26" t="inlineStr">
        <is>
          <t>CAHAYA KELUARGA</t>
        </is>
      </c>
      <c r="B26" t="inlineStr">
        <is>
          <t>Kab. Musi Banyuasin</t>
        </is>
      </c>
      <c r="C26" t="inlineStr">
        <is>
          <t>085213455459</t>
        </is>
      </c>
      <c r="D26" t="inlineStr">
        <is>
          <t>cvcahayakeluarga7@gmail.com</t>
        </is>
      </c>
      <c r="E26" t="inlineStr">
        <is>
          <t>https://lpjk.pu.go.id/search-badan-usaha-detail/cHVURXRIbmRqZ3Z3WjFSTko1QVpPZz09</t>
        </is>
      </c>
      <c r="F26" t="n">
        <v>1</v>
      </c>
      <c r="G26" t="inlineStr">
        <is>
          <t>BS001</t>
        </is>
      </c>
      <c r="H26" t="inlineStr">
        <is>
          <t>18 November 2014</t>
        </is>
      </c>
      <c r="I26" s="2" t="n">
        <v>46268</v>
      </c>
      <c r="J26" t="inlineStr">
        <is>
          <t>Disetujui</t>
        </is>
      </c>
      <c r="K26" t="n">
        <v>90</v>
      </c>
      <c r="L26" t="inlineStr">
        <is>
          <t>3 September 2026</t>
        </is>
      </c>
      <c r="M26" t="inlineStr">
        <is>
          <t>Konstruksi Bangunan Sipil Jalan</t>
        </is>
      </c>
      <c r="N26" t="inlineStr">
        <is>
          <t>K</t>
        </is>
      </c>
      <c r="O26" t="inlineStr">
        <is>
          <t>20230903</t>
        </is>
      </c>
      <c r="P26" t="inlineStr">
        <is>
          <t>Sumatera Selatan</t>
        </is>
      </c>
      <c r="Q26" t="inlineStr"/>
    </row>
    <row r="27">
      <c r="A27" t="inlineStr">
        <is>
          <t>CAHAYA MECCA</t>
        </is>
      </c>
      <c r="B27" t="inlineStr">
        <is>
          <t>Kab. Nduga</t>
        </is>
      </c>
      <c r="C27" t="inlineStr">
        <is>
          <t>6282290848080</t>
        </is>
      </c>
      <c r="D27" t="inlineStr">
        <is>
          <t>cahayalangit782@gmail.com</t>
        </is>
      </c>
      <c r="E27" t="inlineStr">
        <is>
          <t>https://lpjk.pu.go.id/search-badan-usaha-detail/czI0bS81OW9aMkJ3YWVqbGhsd2Zpdz09</t>
        </is>
      </c>
      <c r="F27" t="n">
        <v>1</v>
      </c>
      <c r="G27" t="inlineStr">
        <is>
          <t>BG005</t>
        </is>
      </c>
      <c r="H27" t="inlineStr">
        <is>
          <t>22 April 2020</t>
        </is>
      </c>
      <c r="I27" s="2" t="n">
        <v>46268</v>
      </c>
      <c r="J27" t="inlineStr">
        <is>
          <t>Disetujui</t>
        </is>
      </c>
      <c r="K27" t="n">
        <v>90</v>
      </c>
      <c r="L27" t="inlineStr">
        <is>
          <t>3 September 2026</t>
        </is>
      </c>
      <c r="M27" t="inlineStr">
        <is>
          <t>Konstruksi Gedung Kesehatan</t>
        </is>
      </c>
      <c r="N27" t="inlineStr">
        <is>
          <t>K</t>
        </is>
      </c>
      <c r="O27" t="inlineStr">
        <is>
          <t>20230901</t>
        </is>
      </c>
      <c r="P27" t="inlineStr">
        <is>
          <t>Papua</t>
        </is>
      </c>
      <c r="Q27" t="inlineStr"/>
    </row>
    <row r="28">
      <c r="A28" t="inlineStr">
        <is>
          <t>CALLISTA</t>
        </is>
      </c>
      <c r="B28" t="inlineStr">
        <is>
          <t>Kab. Sumenep</t>
        </is>
      </c>
      <c r="C28" t="inlineStr">
        <is>
          <t>087859272737</t>
        </is>
      </c>
      <c r="D28" t="inlineStr">
        <is>
          <t>callista.sumenep@gmail.com</t>
        </is>
      </c>
      <c r="E28" t="inlineStr">
        <is>
          <t>https://lpjk.pu.go.id/search-badan-usaha-detail/ZGQ4UnNxZkU4MkVMYVJjOFN6T0FsZz09</t>
        </is>
      </c>
      <c r="F28" t="n">
        <v>1</v>
      </c>
      <c r="G28" t="inlineStr">
        <is>
          <t>BG009</t>
        </is>
      </c>
      <c r="H28" t="inlineStr">
        <is>
          <t>26 Januari 2016</t>
        </is>
      </c>
      <c r="I28" s="2" t="n">
        <v>46268</v>
      </c>
      <c r="J28" t="inlineStr">
        <is>
          <t>Disetujui</t>
        </is>
      </c>
      <c r="K28" t="n">
        <v>90</v>
      </c>
      <c r="L28" t="inlineStr">
        <is>
          <t>3 September 2026</t>
        </is>
      </c>
      <c r="M28" t="inlineStr">
        <is>
          <t>Konstruksi Gedung Lainnya</t>
        </is>
      </c>
      <c r="N28" t="inlineStr">
        <is>
          <t>K</t>
        </is>
      </c>
      <c r="O28" t="inlineStr">
        <is>
          <t>20230901</t>
        </is>
      </c>
      <c r="P28" t="inlineStr">
        <is>
          <t>Jawa Timur</t>
        </is>
      </c>
      <c r="Q28" t="inlineStr"/>
    </row>
    <row r="29">
      <c r="A29" t="inlineStr">
        <is>
          <t>CATUR MEGATAMA</t>
        </is>
      </c>
      <c r="B29" t="inlineStr">
        <is>
          <t>Kab. Jember</t>
        </is>
      </c>
      <c r="C29" t="inlineStr">
        <is>
          <t>085101769329</t>
        </is>
      </c>
      <c r="D29" t="inlineStr">
        <is>
          <t>caturmegatamacv@gmail.com</t>
        </is>
      </c>
      <c r="E29" t="inlineStr">
        <is>
          <t>https://lpjk.pu.go.id/search-badan-usaha-detail/c09EdUFET3VQR2krWXFRMmpvS2tNUT09</t>
        </is>
      </c>
      <c r="F29" t="n">
        <v>3</v>
      </c>
      <c r="G29" t="inlineStr">
        <is>
          <t>BG006, BS001, BS004</t>
        </is>
      </c>
      <c r="H29" t="inlineStr">
        <is>
          <t>26 Agustus 2005</t>
        </is>
      </c>
      <c r="I29" s="2" t="n">
        <v>46268</v>
      </c>
      <c r="J29" t="inlineStr">
        <is>
          <t>Disetujui</t>
        </is>
      </c>
      <c r="K29" t="n">
        <v>90</v>
      </c>
      <c r="L29" t="inlineStr">
        <is>
          <t>3 September 2026</t>
        </is>
      </c>
      <c r="M29" t="inlineStr">
        <is>
          <t>Konstruksi Bangunan Sipil Jalan, Konstruksi Gedung Pendidikan, Konstruksi Jaringan Irigasi dan Drainase</t>
        </is>
      </c>
      <c r="N29" t="inlineStr">
        <is>
          <t>K</t>
        </is>
      </c>
      <c r="O29" t="inlineStr">
        <is>
          <t>20230829, 20230901</t>
        </is>
      </c>
      <c r="P29" t="inlineStr">
        <is>
          <t>Jawa Timur</t>
        </is>
      </c>
      <c r="Q29" t="inlineStr"/>
    </row>
    <row r="30">
      <c r="A30" t="inlineStr">
        <is>
          <t>CIPTA DIMENSI</t>
        </is>
      </c>
      <c r="B30" t="inlineStr">
        <is>
          <t>Kab. Jepara</t>
        </is>
      </c>
      <c r="C30" t="inlineStr">
        <is>
          <t>08127791497</t>
        </is>
      </c>
      <c r="D30" t="inlineStr">
        <is>
          <t>ciptadimensi.arct@gmail.com</t>
        </is>
      </c>
      <c r="E30" t="inlineStr">
        <is>
          <t>https://lpjk.pu.go.id/search-badan-usaha-detail/WXBBOG1IQ3NIVkx2eEI4OHBJdCtTQT09</t>
        </is>
      </c>
      <c r="F30" t="n">
        <v>2</v>
      </c>
      <c r="G30" t="inlineStr">
        <is>
          <t>RK002</t>
        </is>
      </c>
      <c r="H30" t="inlineStr">
        <is>
          <t>7 Mei 2014</t>
        </is>
      </c>
      <c r="I30" s="2" t="n">
        <v>46268</v>
      </c>
      <c r="J30" t="inlineStr">
        <is>
          <t>Disetujui</t>
        </is>
      </c>
      <c r="K30" t="n">
        <v>90</v>
      </c>
      <c r="L30" t="inlineStr">
        <is>
          <t>3 September 2026</t>
        </is>
      </c>
      <c r="M30" t="inlineStr">
        <is>
          <t>Jasa Rekayasa Pekerjaan Teknik Sipil Sumber Daya Air</t>
        </is>
      </c>
      <c r="N30" t="inlineStr">
        <is>
          <t>K</t>
        </is>
      </c>
      <c r="O30" t="inlineStr">
        <is>
          <t>20230824</t>
        </is>
      </c>
      <c r="P30" t="inlineStr">
        <is>
          <t>Jawa Tengah</t>
        </is>
      </c>
      <c r="Q30" t="inlineStr"/>
    </row>
    <row r="31">
      <c r="A31" t="inlineStr">
        <is>
          <t>CIPTA INTERNUSA KONSTRUKSI</t>
        </is>
      </c>
      <c r="B31" t="inlineStr">
        <is>
          <t>Kab. Kutai Kartanegara</t>
        </is>
      </c>
      <c r="C31" t="inlineStr">
        <is>
          <t>0818997476</t>
        </is>
      </c>
      <c r="D31" t="inlineStr">
        <is>
          <t>ciko.ik99@gmail.com</t>
        </is>
      </c>
      <c r="E31" t="inlineStr">
        <is>
          <t>https://lpjk.pu.go.id/search-badan-usaha-detail/aFdJak5BRFBicmFTLzMvSjFNRm53QT09</t>
        </is>
      </c>
      <c r="F31" t="n">
        <v>1</v>
      </c>
      <c r="G31" t="inlineStr">
        <is>
          <t>BS001</t>
        </is>
      </c>
      <c r="H31" t="inlineStr">
        <is>
          <t>28 Januari 2014</t>
        </is>
      </c>
      <c r="I31" s="2" t="n">
        <v>46268</v>
      </c>
      <c r="J31" t="inlineStr">
        <is>
          <t>Disetujui</t>
        </is>
      </c>
      <c r="K31" t="n">
        <v>90</v>
      </c>
      <c r="L31" t="inlineStr">
        <is>
          <t>3 September 2026</t>
        </is>
      </c>
      <c r="M31" t="inlineStr">
        <is>
          <t>Konstruksi Bangunan Sipil Jalan</t>
        </is>
      </c>
      <c r="N31" t="inlineStr">
        <is>
          <t>K</t>
        </is>
      </c>
      <c r="O31" t="inlineStr">
        <is>
          <t>20230831</t>
        </is>
      </c>
      <c r="P31" t="inlineStr">
        <is>
          <t>Kalimantan Timur</t>
        </is>
      </c>
      <c r="Q31" t="inlineStr"/>
    </row>
    <row r="32">
      <c r="A32" t="inlineStr">
        <is>
          <t>CIPTA JASA ABADI</t>
        </is>
      </c>
      <c r="B32" t="inlineStr">
        <is>
          <t>Kota Pekanbaru</t>
        </is>
      </c>
      <c r="C32" t="inlineStr">
        <is>
          <t>082171678972</t>
        </is>
      </c>
      <c r="D32" t="inlineStr">
        <is>
          <t>ciptajasaabadi@outlook.com</t>
        </is>
      </c>
      <c r="E32" t="inlineStr">
        <is>
          <t>https://lpjk.pu.go.id/search-badan-usaha-detail/b2ZYS3hibHcwR1JwaUpiUTJIZUp6UT09</t>
        </is>
      </c>
      <c r="F32" t="n">
        <v>2</v>
      </c>
      <c r="G32" t="inlineStr">
        <is>
          <t>PL003</t>
        </is>
      </c>
      <c r="H32" t="inlineStr">
        <is>
          <t>10 April 2017</t>
        </is>
      </c>
      <c r="I32" s="2" t="n">
        <v>46268</v>
      </c>
      <c r="J32" t="inlineStr">
        <is>
          <t>Pembekuan</t>
        </is>
      </c>
      <c r="K32" t="n">
        <v>90</v>
      </c>
      <c r="L32" t="inlineStr">
        <is>
          <t>3 September 2026</t>
        </is>
      </c>
      <c r="M32" t="inlineStr">
        <is>
          <t>Penyiapan Lahan Konstruksi</t>
        </is>
      </c>
      <c r="N32" t="inlineStr">
        <is>
          <t>Spesialis</t>
        </is>
      </c>
      <c r="O32" t="inlineStr">
        <is>
          <t>20230901</t>
        </is>
      </c>
      <c r="P32" t="inlineStr">
        <is>
          <t>Riau</t>
        </is>
      </c>
      <c r="Q32" t="inlineStr"/>
    </row>
    <row r="33">
      <c r="A33" t="inlineStr">
        <is>
          <t>CIPTA POLA PERKASA</t>
        </is>
      </c>
      <c r="B33" t="inlineStr">
        <is>
          <t>Kab. Kulon Progo</t>
        </is>
      </c>
      <c r="C33" t="inlineStr">
        <is>
          <t>02742890685</t>
        </is>
      </c>
      <c r="D33" t="inlineStr">
        <is>
          <t>ciptapolaperkasa@gmail.com</t>
        </is>
      </c>
      <c r="E33" t="inlineStr">
        <is>
          <t>https://lpjk.pu.go.id/search-badan-usaha-detail/b0dUMjFqWHJ1RmxLamVTRjkvajlYUT09</t>
        </is>
      </c>
      <c r="F33" t="n">
        <v>3</v>
      </c>
      <c r="G33" t="inlineStr">
        <is>
          <t>RK001, RK002, RK003</t>
        </is>
      </c>
      <c r="H33" t="inlineStr">
        <is>
          <t>20 Februari 2020</t>
        </is>
      </c>
      <c r="I33" s="2" t="n">
        <v>46268</v>
      </c>
      <c r="J33" t="inlineStr">
        <is>
          <t>Disetujui</t>
        </is>
      </c>
      <c r="K33" t="n">
        <v>90</v>
      </c>
      <c r="L33" t="inlineStr">
        <is>
          <t>3 September 2026</t>
        </is>
      </c>
      <c r="M33" t="inlineStr">
        <is>
          <t>Jasa Rekayasa Konstruksi Bangunan Gedung Hunian dan Non Hunian, Jasa Rekayasa Pekerjaan Teknik Sipil Sumber Daya Air, Jasa Rekayasa Pekerjaan Teknik Sipil Transportasi</t>
        </is>
      </c>
      <c r="N33" t="inlineStr">
        <is>
          <t>K</t>
        </is>
      </c>
      <c r="O33" t="inlineStr">
        <is>
          <t>20230803</t>
        </is>
      </c>
      <c r="P33" t="inlineStr">
        <is>
          <t>DI Yogyakarta</t>
        </is>
      </c>
      <c r="Q33" t="inlineStr"/>
    </row>
    <row r="34">
      <c r="A34" t="inlineStr">
        <is>
          <t>DAKSA KONSTRUKSI</t>
        </is>
      </c>
      <c r="B34" t="inlineStr">
        <is>
          <t>Kab. Jembrana</t>
        </is>
      </c>
      <c r="C34" t="inlineStr">
        <is>
          <t>081338611745</t>
        </is>
      </c>
      <c r="D34" t="inlineStr">
        <is>
          <t>kdiksa77@gmail.com</t>
        </is>
      </c>
      <c r="E34" t="inlineStr">
        <is>
          <t>https://lpjk.pu.go.id/search-badan-usaha-detail/Qk9JNlRIUHRWUzE1bTRMZ0FWM3dWUT09</t>
        </is>
      </c>
      <c r="F34" t="n">
        <v>1</v>
      </c>
      <c r="G34" t="inlineStr">
        <is>
          <t>BG006</t>
        </is>
      </c>
      <c r="H34" t="inlineStr">
        <is>
          <t>30 April 2018</t>
        </is>
      </c>
      <c r="I34" s="2" t="n">
        <v>46268</v>
      </c>
      <c r="J34" t="inlineStr">
        <is>
          <t>Disetujui</t>
        </is>
      </c>
      <c r="K34" t="n">
        <v>90</v>
      </c>
      <c r="L34" t="inlineStr">
        <is>
          <t>3 September 2026</t>
        </is>
      </c>
      <c r="M34" t="inlineStr">
        <is>
          <t>Konstruksi Gedung Pendidikan</t>
        </is>
      </c>
      <c r="N34" t="inlineStr">
        <is>
          <t>K</t>
        </is>
      </c>
      <c r="O34" t="inlineStr">
        <is>
          <t>20230902</t>
        </is>
      </c>
      <c r="P34" t="inlineStr">
        <is>
          <t>Bali</t>
        </is>
      </c>
      <c r="Q34" t="inlineStr"/>
    </row>
    <row r="35">
      <c r="A35" t="inlineStr">
        <is>
          <t>DANA SULARSA CIPTA</t>
        </is>
      </c>
      <c r="B35" t="inlineStr">
        <is>
          <t>Kota Denpasar</t>
        </is>
      </c>
      <c r="C35" t="inlineStr">
        <is>
          <t>-</t>
        </is>
      </c>
      <c r="D35" t="inlineStr">
        <is>
          <t>pt_danasularsa@yahoo.com</t>
        </is>
      </c>
      <c r="E35" t="inlineStr">
        <is>
          <t>https://lpjk.pu.go.id/search-badan-usaha-detail/VVRDMFRlT1FDdWYxbldqR3R4eHRZZz09</t>
        </is>
      </c>
      <c r="F35" t="n">
        <v>2</v>
      </c>
      <c r="G35" t="inlineStr">
        <is>
          <t>RK001, RK003</t>
        </is>
      </c>
      <c r="H35" t="inlineStr">
        <is>
          <t>23 September 1993</t>
        </is>
      </c>
      <c r="I35" s="2" t="n">
        <v>46268</v>
      </c>
      <c r="J35" t="inlineStr">
        <is>
          <t>Disetujui</t>
        </is>
      </c>
      <c r="K35" t="n">
        <v>90</v>
      </c>
      <c r="L35" t="inlineStr">
        <is>
          <t>3 September 2026</t>
        </is>
      </c>
      <c r="M35" t="inlineStr">
        <is>
          <t>Jasa Rekayasa Konstruksi Bangunan Gedung Hunian dan Non Hunian, Jasa Rekayasa Pekerjaan Teknik Sipil Transportasi</t>
        </is>
      </c>
      <c r="N35" t="inlineStr">
        <is>
          <t>K</t>
        </is>
      </c>
      <c r="O35" t="inlineStr">
        <is>
          <t>20230824, 20230825</t>
        </is>
      </c>
      <c r="P35" t="inlineStr">
        <is>
          <t>Bali</t>
        </is>
      </c>
      <c r="Q35" t="inlineStr"/>
    </row>
    <row r="36">
      <c r="A36" t="inlineStr">
        <is>
          <t>DANISWARA</t>
        </is>
      </c>
      <c r="B36" t="inlineStr">
        <is>
          <t>Kab. Ponorogo</t>
        </is>
      </c>
      <c r="C36" t="inlineStr">
        <is>
          <t>N/A</t>
        </is>
      </c>
      <c r="D36" t="inlineStr">
        <is>
          <t>N/A</t>
        </is>
      </c>
      <c r="E36" t="inlineStr">
        <is>
          <t>https://lpjk.pu.go.id/search-badan-usaha-detail/VWt6ZUQyeTRwWGF6K2tqUEE1SVRrQT09</t>
        </is>
      </c>
      <c r="F36" t="n">
        <v>1</v>
      </c>
      <c r="G36" t="inlineStr">
        <is>
          <t>BG009</t>
        </is>
      </c>
      <c r="H36" t="inlineStr"/>
      <c r="I36" s="2" t="n">
        <v>46268</v>
      </c>
      <c r="J36" t="inlineStr">
        <is>
          <t>Disetujui</t>
        </is>
      </c>
      <c r="K36" t="n">
        <v>90</v>
      </c>
      <c r="L36" t="inlineStr">
        <is>
          <t>3 September 2026</t>
        </is>
      </c>
      <c r="M36" t="inlineStr">
        <is>
          <t>Konstruksi Gedung Lainnya</t>
        </is>
      </c>
      <c r="N36" t="inlineStr">
        <is>
          <t>K</t>
        </is>
      </c>
      <c r="O36" t="inlineStr">
        <is>
          <t>20230830</t>
        </is>
      </c>
      <c r="P36" t="inlineStr">
        <is>
          <t>Jawa Timur</t>
        </is>
      </c>
      <c r="Q36" t="inlineStr"/>
    </row>
    <row r="37">
      <c r="A37" t="inlineStr">
        <is>
          <t>DAUN BIRU</t>
        </is>
      </c>
      <c r="B37" t="inlineStr">
        <is>
          <t>Kab. Tulungagung</t>
        </is>
      </c>
      <c r="C37" t="inlineStr">
        <is>
          <t>082336929134</t>
        </is>
      </c>
      <c r="D37" t="inlineStr">
        <is>
          <t>daunbiru_ta@yahoo.co.id</t>
        </is>
      </c>
      <c r="E37" t="inlineStr">
        <is>
          <t>https://lpjk.pu.go.id/search-badan-usaha-detail/MWpCNG5JNU53bkkxdHY0b0xTaUl4QT09</t>
        </is>
      </c>
      <c r="F37" t="n">
        <v>4</v>
      </c>
      <c r="G37" t="inlineStr">
        <is>
          <t>BS001, BS002, BS004, BS005</t>
        </is>
      </c>
      <c r="H37" t="inlineStr">
        <is>
          <t>10 April 2012</t>
        </is>
      </c>
      <c r="I37" s="2" t="n">
        <v>46268</v>
      </c>
      <c r="J37" t="inlineStr">
        <is>
          <t>Disetujui</t>
        </is>
      </c>
      <c r="K37" t="n">
        <v>90</v>
      </c>
      <c r="L37" t="inlineStr">
        <is>
          <t>3 September 2026</t>
        </is>
      </c>
      <c r="M37" t="inlineStr">
        <is>
          <t>Bangunan Sipil Jembatan, Jalan Layang, Fly Over, dan Underpass, Konstruksi Bangunan Sipil Jalan, Konstruksi Bangunan Sipil Pengolahan Air Bersih, Konstruksi Jaringan Irigasi dan Drainase</t>
        </is>
      </c>
      <c r="N37" t="inlineStr">
        <is>
          <t>K</t>
        </is>
      </c>
      <c r="O37" t="inlineStr">
        <is>
          <t>20230902</t>
        </is>
      </c>
      <c r="P37" t="inlineStr">
        <is>
          <t>Jawa Timur</t>
        </is>
      </c>
      <c r="Q37" t="inlineStr"/>
    </row>
    <row r="38">
      <c r="A38" t="inlineStr">
        <is>
          <t>DELAPAN SATU KONSTRUKSI</t>
        </is>
      </c>
      <c r="B38" t="inlineStr">
        <is>
          <t>Kota Metro</t>
        </is>
      </c>
      <c r="C38" t="inlineStr">
        <is>
          <t>08117202266</t>
        </is>
      </c>
      <c r="D38" t="inlineStr">
        <is>
          <t>delapansatukonstruksi@gmail.com</t>
        </is>
      </c>
      <c r="E38" t="inlineStr">
        <is>
          <t>https://lpjk.pu.go.id/search-badan-usaha-detail/b1BzL0xhWWxwclo2NWFKNmNMamhJQT09</t>
        </is>
      </c>
      <c r="F38" t="n">
        <v>4</v>
      </c>
      <c r="G38" t="inlineStr">
        <is>
          <t>BG005, BG009</t>
        </is>
      </c>
      <c r="H38" t="inlineStr">
        <is>
          <t>18 November 2022</t>
        </is>
      </c>
      <c r="I38" s="2" t="n">
        <v>46268</v>
      </c>
      <c r="J38" t="inlineStr">
        <is>
          <t>Pencabutan</t>
        </is>
      </c>
      <c r="K38" t="n">
        <v>90</v>
      </c>
      <c r="L38" t="inlineStr">
        <is>
          <t>3 September 2026</t>
        </is>
      </c>
      <c r="M38" t="inlineStr">
        <is>
          <t>Konstruksi Gedung Kesehatan, Konstruksi Gedung Lainnya</t>
        </is>
      </c>
      <c r="N38" t="inlineStr">
        <is>
          <t>K</t>
        </is>
      </c>
      <c r="O38" t="inlineStr">
        <is>
          <t>20230731, 20230802</t>
        </is>
      </c>
      <c r="P38" t="inlineStr">
        <is>
          <t>Lampung</t>
        </is>
      </c>
      <c r="Q38" t="inlineStr"/>
    </row>
    <row r="39">
      <c r="A39" t="inlineStr">
        <is>
          <t>DIKA MANDIRI</t>
        </is>
      </c>
      <c r="B39" t="inlineStr">
        <is>
          <t>Kab. Tuban</t>
        </is>
      </c>
      <c r="C39" t="inlineStr">
        <is>
          <t>081331502300</t>
        </is>
      </c>
      <c r="D39" t="inlineStr">
        <is>
          <t>cvdikamandiri@gmail.com</t>
        </is>
      </c>
      <c r="E39" t="inlineStr">
        <is>
          <t>https://lpjk.pu.go.id/search-badan-usaha-detail/bkRYWGJFY2VyL1J3Y0V2UGEySmdGQT09</t>
        </is>
      </c>
      <c r="F39" t="n">
        <v>1</v>
      </c>
      <c r="G39" t="inlineStr">
        <is>
          <t>BS005</t>
        </is>
      </c>
      <c r="H39" t="inlineStr">
        <is>
          <t>30 Juli 2001</t>
        </is>
      </c>
      <c r="I39" s="2" t="n">
        <v>46268</v>
      </c>
      <c r="J39" t="inlineStr">
        <is>
          <t>Disetujui</t>
        </is>
      </c>
      <c r="K39" t="n">
        <v>90</v>
      </c>
      <c r="L39" t="inlineStr">
        <is>
          <t>3 September 2026</t>
        </is>
      </c>
      <c r="M39" t="inlineStr">
        <is>
          <t>Konstruksi Bangunan Sipil Pengolahan Air Bersih</t>
        </is>
      </c>
      <c r="N39" t="inlineStr">
        <is>
          <t>K</t>
        </is>
      </c>
      <c r="O39" t="inlineStr">
        <is>
          <t>20230901</t>
        </is>
      </c>
      <c r="P39" t="inlineStr">
        <is>
          <t>Jawa Timur</t>
        </is>
      </c>
      <c r="Q39" t="inlineStr"/>
    </row>
    <row r="40">
      <c r="A40" t="inlineStr">
        <is>
          <t>DUA PUTRI</t>
        </is>
      </c>
      <c r="B40" t="inlineStr">
        <is>
          <t>Kab. Lahat</t>
        </is>
      </c>
      <c r="C40" t="inlineStr">
        <is>
          <t>082176609948</t>
        </is>
      </c>
      <c r="D40" t="inlineStr">
        <is>
          <t>gunawan2311721@gmail.com</t>
        </is>
      </c>
      <c r="E40" t="inlineStr">
        <is>
          <t>https://lpjk.pu.go.id/search-badan-usaha-detail/SlRmVW9JcjBqNkVqVjJZNm5RTnBDUT09</t>
        </is>
      </c>
      <c r="F40" t="n">
        <v>1</v>
      </c>
      <c r="G40" t="inlineStr">
        <is>
          <t>BG009</t>
        </is>
      </c>
      <c r="H40" t="inlineStr">
        <is>
          <t>30 November 1994</t>
        </is>
      </c>
      <c r="I40" s="2" t="n">
        <v>46268</v>
      </c>
      <c r="J40" t="inlineStr">
        <is>
          <t>Disetujui</t>
        </is>
      </c>
      <c r="K40" t="n">
        <v>90</v>
      </c>
      <c r="L40" t="inlineStr">
        <is>
          <t>3 September 2026</t>
        </is>
      </c>
      <c r="M40" t="inlineStr">
        <is>
          <t>Konstruksi Gedung Lainnya</t>
        </is>
      </c>
      <c r="N40" t="inlineStr">
        <is>
          <t>K</t>
        </is>
      </c>
      <c r="O40" t="inlineStr">
        <is>
          <t>20230829</t>
        </is>
      </c>
      <c r="P40" t="inlineStr">
        <is>
          <t>Sumatera Selatan</t>
        </is>
      </c>
      <c r="Q40" t="inlineStr"/>
    </row>
    <row r="41">
      <c r="A41" t="inlineStr">
        <is>
          <t>DUTA GRAHA INTERPLAN</t>
        </is>
      </c>
      <c r="B41" t="inlineStr">
        <is>
          <t>Kota Padang</t>
        </is>
      </c>
      <c r="C41" t="inlineStr">
        <is>
          <t>081363422013</t>
        </is>
      </c>
      <c r="D41" t="inlineStr">
        <is>
          <t>dg.interplan@gmail.com</t>
        </is>
      </c>
      <c r="E41" t="inlineStr">
        <is>
          <t>https://lpjk.pu.go.id/search-badan-usaha-detail/MysxVHR0SWk2NGlrcmJmNmJ0RTl5Zz09</t>
        </is>
      </c>
      <c r="F41" t="n">
        <v>2</v>
      </c>
      <c r="G41" t="inlineStr">
        <is>
          <t>RK001, RK002</t>
        </is>
      </c>
      <c r="H41" t="inlineStr">
        <is>
          <t>2 Juli 2012</t>
        </is>
      </c>
      <c r="I41" s="2" t="n">
        <v>46268</v>
      </c>
      <c r="J41" t="inlineStr">
        <is>
          <t>Disetujui</t>
        </is>
      </c>
      <c r="K41" t="n">
        <v>90</v>
      </c>
      <c r="L41" t="inlineStr">
        <is>
          <t>3 September 2026</t>
        </is>
      </c>
      <c r="M41" t="inlineStr">
        <is>
          <t>Jasa Rekayasa Konstruksi Bangunan Gedung Hunian dan Non Hunian, Jasa Rekayasa Pekerjaan Teknik Sipil Sumber Daya Air</t>
        </is>
      </c>
      <c r="N41" t="inlineStr">
        <is>
          <t>K</t>
        </is>
      </c>
      <c r="O41" t="inlineStr">
        <is>
          <t>20230825, 20230828</t>
        </is>
      </c>
      <c r="P41" t="inlineStr">
        <is>
          <t>Sumatera Barat</t>
        </is>
      </c>
      <c r="Q41" t="inlineStr"/>
    </row>
    <row r="42">
      <c r="A42" t="inlineStr">
        <is>
          <t>DUTA KALTIM PERSADA</t>
        </is>
      </c>
      <c r="B42" t="inlineStr">
        <is>
          <t>Kab. Penajam Paser Utara</t>
        </is>
      </c>
      <c r="C42" t="inlineStr">
        <is>
          <t>081253091517</t>
        </is>
      </c>
      <c r="D42" t="inlineStr">
        <is>
          <t>sahabuddin2707@gmail.com</t>
        </is>
      </c>
      <c r="E42" t="inlineStr">
        <is>
          <t>https://lpjk.pu.go.id/search-badan-usaha-detail/MmNlNWw0MUxNVWhhYmpQVU0vK1lMdz09</t>
        </is>
      </c>
      <c r="F42" t="n">
        <v>2</v>
      </c>
      <c r="G42" t="inlineStr">
        <is>
          <t>BS001, BS004</t>
        </is>
      </c>
      <c r="H42" t="inlineStr">
        <is>
          <t>5 Oktober 2020</t>
        </is>
      </c>
      <c r="I42" s="2" t="n">
        <v>46268</v>
      </c>
      <c r="J42" t="inlineStr">
        <is>
          <t>Disetujui</t>
        </is>
      </c>
      <c r="K42" t="n">
        <v>90</v>
      </c>
      <c r="L42" t="inlineStr">
        <is>
          <t>3 September 2026</t>
        </is>
      </c>
      <c r="M42" t="inlineStr">
        <is>
          <t>Konstruksi Bangunan Sipil Jalan, Konstruksi Jaringan Irigasi dan Drainase</t>
        </is>
      </c>
      <c r="N42" t="inlineStr">
        <is>
          <t>K</t>
        </is>
      </c>
      <c r="O42" t="inlineStr">
        <is>
          <t>20230729, 20230826</t>
        </is>
      </c>
      <c r="P42" t="inlineStr">
        <is>
          <t>Kalimantan Timur</t>
        </is>
      </c>
      <c r="Q42" t="inlineStr"/>
    </row>
    <row r="43">
      <c r="A43" t="inlineStr">
        <is>
          <t>DWIJAYA KONSTRUKSI</t>
        </is>
      </c>
      <c r="B43" t="inlineStr">
        <is>
          <t>Kab. Bangli</t>
        </is>
      </c>
      <c r="C43" t="inlineStr">
        <is>
          <t>0881037030025</t>
        </is>
      </c>
      <c r="D43" t="inlineStr">
        <is>
          <t>DWIJAYAKONSTRUKSI23@GMAIL.COM</t>
        </is>
      </c>
      <c r="E43" t="inlineStr">
        <is>
          <t>https://lpjk.pu.go.id/search-badan-usaha-detail/WU5veDZnT0dPWnY3Yzg5aWZ3Sm0wQT09</t>
        </is>
      </c>
      <c r="F43" t="n">
        <v>1</v>
      </c>
      <c r="G43" t="inlineStr">
        <is>
          <t>BS001</t>
        </is>
      </c>
      <c r="H43" t="inlineStr">
        <is>
          <t>31 Mei 2023</t>
        </is>
      </c>
      <c r="I43" s="2" t="n">
        <v>46268</v>
      </c>
      <c r="J43" t="inlineStr">
        <is>
          <t>Disetujui</t>
        </is>
      </c>
      <c r="K43" t="n">
        <v>90</v>
      </c>
      <c r="L43" t="inlineStr">
        <is>
          <t>3 September 2026</t>
        </is>
      </c>
      <c r="M43" t="inlineStr">
        <is>
          <t>Konstruksi Bangunan Sipil Jalan</t>
        </is>
      </c>
      <c r="N43" t="inlineStr">
        <is>
          <t>K</t>
        </is>
      </c>
      <c r="O43" t="inlineStr">
        <is>
          <t>20230901</t>
        </is>
      </c>
      <c r="P43" t="inlineStr">
        <is>
          <t>Bali</t>
        </is>
      </c>
      <c r="Q43" t="inlineStr"/>
    </row>
    <row r="44">
      <c r="A44" t="inlineStr">
        <is>
          <t>EKA WIJAYA</t>
        </is>
      </c>
      <c r="B44" t="inlineStr">
        <is>
          <t>Kota Metro</t>
        </is>
      </c>
      <c r="C44" t="inlineStr">
        <is>
          <t>-</t>
        </is>
      </c>
      <c r="D44" t="inlineStr">
        <is>
          <t>cv.ekawijaya15a@gmail.com</t>
        </is>
      </c>
      <c r="E44" t="inlineStr">
        <is>
          <t>https://lpjk.pu.go.id/search-badan-usaha-detail/Tmt0QzNaUElXL3RzWDJMTEx3Z25Wdz09</t>
        </is>
      </c>
      <c r="F44" t="n">
        <v>1</v>
      </c>
      <c r="G44" t="inlineStr">
        <is>
          <t>BG005</t>
        </is>
      </c>
      <c r="H44" t="inlineStr">
        <is>
          <t>14 September 1999</t>
        </is>
      </c>
      <c r="I44" s="2" t="n">
        <v>46268</v>
      </c>
      <c r="J44" t="inlineStr">
        <is>
          <t>Disetujui</t>
        </is>
      </c>
      <c r="K44" t="n">
        <v>90</v>
      </c>
      <c r="L44" t="inlineStr">
        <is>
          <t>3 September 2026</t>
        </is>
      </c>
      <c r="M44" t="inlineStr">
        <is>
          <t>Konstruksi Gedung Kesehatan</t>
        </is>
      </c>
      <c r="N44" t="inlineStr">
        <is>
          <t>K</t>
        </is>
      </c>
      <c r="O44" t="inlineStr">
        <is>
          <t>20230824</t>
        </is>
      </c>
      <c r="P44" t="inlineStr">
        <is>
          <t>Lampung</t>
        </is>
      </c>
      <c r="Q44" t="inlineStr"/>
    </row>
    <row r="45">
      <c r="A45" t="inlineStr">
        <is>
          <t>FADILAH RAJA SAKTI</t>
        </is>
      </c>
      <c r="B45" t="inlineStr">
        <is>
          <t>Kota Tangerang Selatan</t>
        </is>
      </c>
      <c r="C45" t="inlineStr">
        <is>
          <t>089682512384</t>
        </is>
      </c>
      <c r="D45" t="inlineStr">
        <is>
          <t>cvfadilahrajasakti@gmail.com</t>
        </is>
      </c>
      <c r="E45" t="inlineStr">
        <is>
          <t>https://lpjk.pu.go.id/search-badan-usaha-detail/TFdTeGgyUVdCckp4OG1wUnlmeGYxdz09</t>
        </is>
      </c>
      <c r="F45" t="n">
        <v>2</v>
      </c>
      <c r="G45" t="inlineStr">
        <is>
          <t>BS001, BS004</t>
        </is>
      </c>
      <c r="H45" t="inlineStr">
        <is>
          <t>23 Juni 2023</t>
        </is>
      </c>
      <c r="I45" s="2" t="n">
        <v>46268</v>
      </c>
      <c r="J45" t="inlineStr">
        <is>
          <t>Disetujui</t>
        </is>
      </c>
      <c r="K45" t="n">
        <v>90</v>
      </c>
      <c r="L45" t="inlineStr">
        <is>
          <t>3 September 2026</t>
        </is>
      </c>
      <c r="M45" t="inlineStr">
        <is>
          <t>Konstruksi Bangunan Sipil Jalan, Konstruksi Jaringan Irigasi dan Drainase</t>
        </is>
      </c>
      <c r="N45" t="inlineStr">
        <is>
          <t>K</t>
        </is>
      </c>
      <c r="O45" t="inlineStr">
        <is>
          <t>20230901</t>
        </is>
      </c>
      <c r="P45" t="inlineStr">
        <is>
          <t>Banten</t>
        </is>
      </c>
      <c r="Q45" t="inlineStr"/>
    </row>
    <row r="46">
      <c r="A46" t="inlineStr">
        <is>
          <t>FAJAR CHRISNA</t>
        </is>
      </c>
      <c r="B46" t="inlineStr">
        <is>
          <t>Kab. Tuban</t>
        </is>
      </c>
      <c r="C46" t="inlineStr">
        <is>
          <t>081335428546</t>
        </is>
      </c>
      <c r="D46" t="inlineStr">
        <is>
          <t>sandyariyanto@yahoo.co.id</t>
        </is>
      </c>
      <c r="E46" t="inlineStr">
        <is>
          <t>https://lpjk.pu.go.id/search-badan-usaha-detail/dkRsc0VES2VuWTUxbUJyWHV3a04yZz09</t>
        </is>
      </c>
      <c r="F46" t="n">
        <v>1</v>
      </c>
      <c r="G46" t="inlineStr">
        <is>
          <t>BS001</t>
        </is>
      </c>
      <c r="H46" t="inlineStr">
        <is>
          <t>19 Januari 2001</t>
        </is>
      </c>
      <c r="I46" s="2" t="n">
        <v>46268</v>
      </c>
      <c r="J46" t="inlineStr">
        <is>
          <t>Pencabutan</t>
        </is>
      </c>
      <c r="K46" t="n">
        <v>90</v>
      </c>
      <c r="L46" t="inlineStr">
        <is>
          <t>3 September 2026</t>
        </is>
      </c>
      <c r="M46" t="inlineStr">
        <is>
          <t>Konstruksi Bangunan Sipil Jalan</t>
        </is>
      </c>
      <c r="N46" t="inlineStr">
        <is>
          <t>K</t>
        </is>
      </c>
      <c r="O46" t="inlineStr">
        <is>
          <t>20230706</t>
        </is>
      </c>
      <c r="P46" t="inlineStr">
        <is>
          <t>Jawa Timur</t>
        </is>
      </c>
      <c r="Q46" t="inlineStr"/>
    </row>
    <row r="47">
      <c r="A47" t="inlineStr">
        <is>
          <t>GANIMAH SAKTI</t>
        </is>
      </c>
      <c r="B47" t="inlineStr">
        <is>
          <t>Kota Padang Sidempuan</t>
        </is>
      </c>
      <c r="C47" t="inlineStr">
        <is>
          <t>081377320500</t>
        </is>
      </c>
      <c r="D47" t="inlineStr">
        <is>
          <t>ganimahsakticv@ymail.com</t>
        </is>
      </c>
      <c r="E47" t="inlineStr">
        <is>
          <t>https://lpjk.pu.go.id/search-badan-usaha-detail/ZE5vS1U3TDE0eExtaGRZdTBtQjJCUT09</t>
        </is>
      </c>
      <c r="F47" t="n">
        <v>1</v>
      </c>
      <c r="G47" t="inlineStr">
        <is>
          <t>BG005</t>
        </is>
      </c>
      <c r="H47" t="inlineStr">
        <is>
          <t>15 Oktober 1994</t>
        </is>
      </c>
      <c r="I47" s="2" t="n">
        <v>46268</v>
      </c>
      <c r="J47" t="inlineStr">
        <is>
          <t>Disetujui</t>
        </is>
      </c>
      <c r="K47" t="n">
        <v>90</v>
      </c>
      <c r="L47" t="inlineStr">
        <is>
          <t>3 September 2026</t>
        </is>
      </c>
      <c r="M47" t="inlineStr">
        <is>
          <t>Konstruksi Gedung Kesehatan</t>
        </is>
      </c>
      <c r="N47" t="inlineStr">
        <is>
          <t>K</t>
        </is>
      </c>
      <c r="O47" t="inlineStr">
        <is>
          <t>20230904</t>
        </is>
      </c>
      <c r="P47" t="inlineStr">
        <is>
          <t>Sumatera Utara</t>
        </is>
      </c>
      <c r="Q47" t="inlineStr"/>
    </row>
    <row r="48">
      <c r="A48" t="inlineStr">
        <is>
          <t>GELADAK WESI</t>
        </is>
      </c>
      <c r="B48" t="inlineStr">
        <is>
          <t>Kota Surabaya</t>
        </is>
      </c>
      <c r="C48" t="inlineStr">
        <is>
          <t>082140440108</t>
        </is>
      </c>
      <c r="D48" t="inlineStr">
        <is>
          <t>iffahelenisah@yahoo.com</t>
        </is>
      </c>
      <c r="E48" t="inlineStr">
        <is>
          <t>https://lpjk.pu.go.id/search-badan-usaha-detail/cVJWbEx2VUxIQTdzWnhWN0JHQk9rZz09</t>
        </is>
      </c>
      <c r="F48" t="n">
        <v>4</v>
      </c>
      <c r="G48" t="inlineStr">
        <is>
          <t>BG006, BG009, BS001, BS004</t>
        </is>
      </c>
      <c r="H48" t="inlineStr">
        <is>
          <t>18 Agustus 2019</t>
        </is>
      </c>
      <c r="I48" s="2" t="n">
        <v>46268</v>
      </c>
      <c r="J48" t="inlineStr">
        <is>
          <t>Disetujui</t>
        </is>
      </c>
      <c r="K48" t="n">
        <v>90</v>
      </c>
      <c r="L48" t="inlineStr">
        <is>
          <t>3 September 2026</t>
        </is>
      </c>
      <c r="M48" t="inlineStr">
        <is>
          <t>Konstruksi Bangunan Sipil Jalan, Konstruksi Gedung Lainnya, Konstruksi Gedung Pendidikan, Konstruksi Jaringan Irigasi dan Drainase</t>
        </is>
      </c>
      <c r="N48" t="inlineStr">
        <is>
          <t>K</t>
        </is>
      </c>
      <c r="O48" t="inlineStr">
        <is>
          <t>20230902</t>
        </is>
      </c>
      <c r="P48" t="inlineStr">
        <is>
          <t>Jawa Timur</t>
        </is>
      </c>
      <c r="Q48" t="inlineStr"/>
    </row>
    <row r="49">
      <c r="A49" t="inlineStr">
        <is>
          <t>GOK PASU JAYA</t>
        </is>
      </c>
      <c r="B49" t="inlineStr">
        <is>
          <t>Kota Medan</t>
        </is>
      </c>
      <c r="C49" t="inlineStr">
        <is>
          <t>08116851588</t>
        </is>
      </c>
      <c r="D49" t="inlineStr">
        <is>
          <t>gokpasujaya@gmail.com</t>
        </is>
      </c>
      <c r="E49" t="inlineStr">
        <is>
          <t>https://lpjk.pu.go.id/search-badan-usaha-detail/dGdkQk5GR0p1SGZibUFRM2tJeWdydz09</t>
        </is>
      </c>
      <c r="F49" t="n">
        <v>1</v>
      </c>
      <c r="G49" t="inlineStr">
        <is>
          <t>RK001</t>
        </is>
      </c>
      <c r="H49" t="inlineStr">
        <is>
          <t>18 Maret 2022</t>
        </is>
      </c>
      <c r="I49" s="2" t="n">
        <v>46268</v>
      </c>
      <c r="J49" t="inlineStr">
        <is>
          <t>Disetujui</t>
        </is>
      </c>
      <c r="K49" t="n">
        <v>90</v>
      </c>
      <c r="L49" t="inlineStr">
        <is>
          <t>3 September 2026</t>
        </is>
      </c>
      <c r="M49" t="inlineStr">
        <is>
          <t>Jasa Rekayasa Konstruksi Bangunan Gedung Hunian dan Non Hunian</t>
        </is>
      </c>
      <c r="N49" t="inlineStr">
        <is>
          <t>K</t>
        </is>
      </c>
      <c r="O49" t="inlineStr">
        <is>
          <t>20230818</t>
        </is>
      </c>
      <c r="P49" t="inlineStr">
        <is>
          <t>Sumatera Utara</t>
        </is>
      </c>
      <c r="Q49" t="inlineStr"/>
    </row>
    <row r="50">
      <c r="A50" t="inlineStr">
        <is>
          <t>GRAHA NUSANTARA GROUP</t>
        </is>
      </c>
      <c r="B50" t="inlineStr">
        <is>
          <t>Kab. Toli Toli</t>
        </is>
      </c>
      <c r="C50" t="inlineStr">
        <is>
          <t>081340309499</t>
        </is>
      </c>
      <c r="D50" t="inlineStr">
        <is>
          <t>graha_nusantara@yahoo.com</t>
        </is>
      </c>
      <c r="E50" t="inlineStr">
        <is>
          <t>https://lpjk.pu.go.id/search-badan-usaha-detail/dytMaXdKblZBNnFIdzJTVnI1a0V1QT09</t>
        </is>
      </c>
      <c r="F50" t="n">
        <v>1</v>
      </c>
      <c r="G50" t="inlineStr">
        <is>
          <t>BG006</t>
        </is>
      </c>
      <c r="H50" t="inlineStr">
        <is>
          <t>19 Januari 2015</t>
        </is>
      </c>
      <c r="I50" s="2" t="n">
        <v>46268</v>
      </c>
      <c r="J50" t="inlineStr">
        <is>
          <t>Disetujui</t>
        </is>
      </c>
      <c r="K50" t="n">
        <v>90</v>
      </c>
      <c r="L50" t="inlineStr">
        <is>
          <t>3 September 2026</t>
        </is>
      </c>
      <c r="M50" t="inlineStr">
        <is>
          <t>Konstruksi Gedung Pendidikan</t>
        </is>
      </c>
      <c r="N50" t="inlineStr">
        <is>
          <t>K</t>
        </is>
      </c>
      <c r="O50" t="inlineStr">
        <is>
          <t>20230904</t>
        </is>
      </c>
      <c r="P50" t="inlineStr">
        <is>
          <t>Sulawesi Tengah</t>
        </is>
      </c>
      <c r="Q50" t="inlineStr"/>
    </row>
    <row r="51">
      <c r="A51" t="inlineStr">
        <is>
          <t>GREEN INDO KARYA</t>
        </is>
      </c>
      <c r="B51" t="inlineStr">
        <is>
          <t>Kota Pangkal Pinang</t>
        </is>
      </c>
      <c r="C51" t="inlineStr">
        <is>
          <t>082331821786</t>
        </is>
      </c>
      <c r="D51" t="inlineStr">
        <is>
          <t>greenindokarya@gmail.com</t>
        </is>
      </c>
      <c r="E51" t="inlineStr">
        <is>
          <t>https://lpjk.pu.go.id/search-badan-usaha-detail/YnErS1NzY29VVnhSTDZJNmZxZGVNZz09</t>
        </is>
      </c>
      <c r="F51" t="n">
        <v>10</v>
      </c>
      <c r="G51" t="inlineStr">
        <is>
          <t>AL002, AR001, AR002, RK005</t>
        </is>
      </c>
      <c r="H51" t="inlineStr">
        <is>
          <t>16 Juni 2021</t>
        </is>
      </c>
      <c r="I51" s="2" t="n">
        <v>46268</v>
      </c>
      <c r="J51" t="inlineStr">
        <is>
          <t>Disetujui</t>
        </is>
      </c>
      <c r="K51" t="n">
        <v>90</v>
      </c>
      <c r="L51" t="inlineStr">
        <is>
          <t>3 September 2026</t>
        </is>
      </c>
      <c r="M51" t="inlineStr">
        <is>
          <t>Jasa Arsitektural Bangunan Gedung Hunian dan Non Hunian, Jasa Arsitektural Lainnya, Jasa Pengembangan Wilayah, Jasa Rekayasa Lainnya</t>
        </is>
      </c>
      <c r="N51" t="inlineStr">
        <is>
          <t>K</t>
        </is>
      </c>
      <c r="O51" t="inlineStr">
        <is>
          <t>20230825, 20230828</t>
        </is>
      </c>
      <c r="P51" t="inlineStr">
        <is>
          <t>Kepulauan Bangka Belitung</t>
        </is>
      </c>
      <c r="Q51" t="inlineStr"/>
    </row>
    <row r="52">
      <c r="A52" t="inlineStr">
        <is>
          <t>HARTA RAYA</t>
        </is>
      </c>
      <c r="B52" t="inlineStr">
        <is>
          <t>Kab. Bandung</t>
        </is>
      </c>
      <c r="C52" t="inlineStr">
        <is>
          <t>081312040415</t>
        </is>
      </c>
      <c r="D52" t="inlineStr">
        <is>
          <t>hartarayacv@gmail.com</t>
        </is>
      </c>
      <c r="E52" t="inlineStr">
        <is>
          <t>https://lpjk.pu.go.id/search-badan-usaha-detail/aUwxOE5IcTZxQTh4R3BFWjg3cS9EUT09</t>
        </is>
      </c>
      <c r="F52" t="n">
        <v>1</v>
      </c>
      <c r="G52" t="inlineStr">
        <is>
          <t>BG001</t>
        </is>
      </c>
      <c r="H52" t="inlineStr">
        <is>
          <t>18 Januari 2018</t>
        </is>
      </c>
      <c r="I52" s="2" t="n">
        <v>46268</v>
      </c>
      <c r="J52" t="inlineStr">
        <is>
          <t>Disetujui</t>
        </is>
      </c>
      <c r="K52" t="n">
        <v>90</v>
      </c>
      <c r="L52" t="inlineStr">
        <is>
          <t>3 September 2026</t>
        </is>
      </c>
      <c r="M52" t="inlineStr">
        <is>
          <t>Konstruksi Gedung Hunian</t>
        </is>
      </c>
      <c r="N52" t="inlineStr">
        <is>
          <t>K</t>
        </is>
      </c>
      <c r="O52" t="inlineStr">
        <is>
          <t>20230901</t>
        </is>
      </c>
      <c r="P52" t="inlineStr">
        <is>
          <t>Jawa Barat</t>
        </is>
      </c>
      <c r="Q52" t="inlineStr"/>
    </row>
    <row r="53">
      <c r="A53" t="inlineStr">
        <is>
          <t>HERA MANDIRI</t>
        </is>
      </c>
      <c r="B53" t="inlineStr">
        <is>
          <t>Kab. Pacitan</t>
        </is>
      </c>
      <c r="C53" t="inlineStr">
        <is>
          <t>085335459887</t>
        </is>
      </c>
      <c r="D53" t="inlineStr">
        <is>
          <t>heramandiricv68@gmail.com</t>
        </is>
      </c>
      <c r="E53" t="inlineStr">
        <is>
          <t>https://lpjk.pu.go.id/search-badan-usaha-detail/TVZMTmovcDg3S2xBaCs1bFowZDdtUT09</t>
        </is>
      </c>
      <c r="F53" t="n">
        <v>2</v>
      </c>
      <c r="G53" t="inlineStr">
        <is>
          <t>RK001</t>
        </is>
      </c>
      <c r="H53" t="inlineStr">
        <is>
          <t>28 September 2011</t>
        </is>
      </c>
      <c r="I53" s="2" t="n">
        <v>46268</v>
      </c>
      <c r="J53" t="inlineStr">
        <is>
          <t>Disetujui</t>
        </is>
      </c>
      <c r="K53" t="n">
        <v>90</v>
      </c>
      <c r="L53" t="inlineStr">
        <is>
          <t>3 September 2026</t>
        </is>
      </c>
      <c r="M53" t="inlineStr">
        <is>
          <t>Jasa Rekayasa Konstruksi Bangunan Gedung Hunian dan Non Hunian</t>
        </is>
      </c>
      <c r="N53" t="inlineStr">
        <is>
          <t>K</t>
        </is>
      </c>
      <c r="O53" t="inlineStr">
        <is>
          <t>20230825</t>
        </is>
      </c>
      <c r="P53" t="inlineStr">
        <is>
          <t>Jawa Timur</t>
        </is>
      </c>
      <c r="Q53" t="inlineStr"/>
    </row>
    <row r="54">
      <c r="A54" t="inlineStr">
        <is>
          <t>HIJRAH MAKMUR ABADI</t>
        </is>
      </c>
      <c r="B54" t="inlineStr">
        <is>
          <t>Kota Palembang</t>
        </is>
      </c>
      <c r="C54" t="inlineStr">
        <is>
          <t>082278051162</t>
        </is>
      </c>
      <c r="D54" t="inlineStr">
        <is>
          <t>cvhijrahmakmur@yahoo.com</t>
        </is>
      </c>
      <c r="E54" t="inlineStr">
        <is>
          <t>https://lpjk.pu.go.id/search-badan-usaha-detail/c1pQcE9CNXd3Uisxb0lEREtBanN3Zz09</t>
        </is>
      </c>
      <c r="F54" t="n">
        <v>2</v>
      </c>
      <c r="G54" t="inlineStr">
        <is>
          <t>BS001</t>
        </is>
      </c>
      <c r="H54" t="inlineStr">
        <is>
          <t>5 April 2022</t>
        </is>
      </c>
      <c r="I54" s="2" t="n">
        <v>46268</v>
      </c>
      <c r="J54" t="inlineStr">
        <is>
          <t>Disetujui</t>
        </is>
      </c>
      <c r="K54" t="n">
        <v>90</v>
      </c>
      <c r="L54" t="inlineStr">
        <is>
          <t>3 September 2026</t>
        </is>
      </c>
      <c r="M54" t="inlineStr">
        <is>
          <t>Konstruksi Bangunan Sipil Jalan</t>
        </is>
      </c>
      <c r="N54" t="inlineStr">
        <is>
          <t>K</t>
        </is>
      </c>
      <c r="O54" t="inlineStr">
        <is>
          <t>20230902</t>
        </is>
      </c>
      <c r="P54" t="inlineStr">
        <is>
          <t>Sumatera Selatan</t>
        </is>
      </c>
      <c r="Q54" t="inlineStr"/>
    </row>
    <row r="55">
      <c r="A55" t="inlineStr">
        <is>
          <t>HIZBA KARYA PERSADA</t>
        </is>
      </c>
      <c r="B55" t="inlineStr">
        <is>
          <t>Kab. Tasikmalaya</t>
        </is>
      </c>
      <c r="C55" t="inlineStr">
        <is>
          <t>085223189992</t>
        </is>
      </c>
      <c r="D55" t="inlineStr">
        <is>
          <t>hizbakaryapersada@gmail.com</t>
        </is>
      </c>
      <c r="E55" t="inlineStr">
        <is>
          <t>https://lpjk.pu.go.id/search-badan-usaha-detail/cUZKMVBGb0NTN1ZSdjhjOEFXNzFxZz09</t>
        </is>
      </c>
      <c r="F55" t="n">
        <v>2</v>
      </c>
      <c r="G55" t="inlineStr">
        <is>
          <t>BG005, BG006</t>
        </is>
      </c>
      <c r="H55" t="inlineStr">
        <is>
          <t>27 Juni 2019</t>
        </is>
      </c>
      <c r="I55" s="2" t="n">
        <v>46268</v>
      </c>
      <c r="J55" t="inlineStr">
        <is>
          <t>Disetujui, Pencabutan</t>
        </is>
      </c>
      <c r="K55" t="n">
        <v>90</v>
      </c>
      <c r="L55" t="inlineStr">
        <is>
          <t>3 September 2026</t>
        </is>
      </c>
      <c r="M55" t="inlineStr">
        <is>
          <t>Konstruksi Gedung Kesehatan, Konstruksi Gedung Pendidikan</t>
        </is>
      </c>
      <c r="N55" t="inlineStr">
        <is>
          <t>K</t>
        </is>
      </c>
      <c r="O55" t="inlineStr">
        <is>
          <t>20230903, 20230904</t>
        </is>
      </c>
      <c r="P55" t="inlineStr">
        <is>
          <t>Jawa Barat</t>
        </is>
      </c>
      <c r="Q55" t="inlineStr"/>
    </row>
    <row r="56">
      <c r="A56" t="inlineStr">
        <is>
          <t>IDE KONSTRUKSI</t>
        </is>
      </c>
      <c r="B56" t="inlineStr">
        <is>
          <t>Kab. Malang</t>
        </is>
      </c>
      <c r="C56" t="inlineStr">
        <is>
          <t>087847077264</t>
        </is>
      </c>
      <c r="D56" t="inlineStr">
        <is>
          <t>cv.idekonstruksi23@gmail.com</t>
        </is>
      </c>
      <c r="E56" t="inlineStr">
        <is>
          <t>https://lpjk.pu.go.id/search-badan-usaha-detail/Yk1hbUE0WkYrRkVxZ1g2cWlCdWdzUT09</t>
        </is>
      </c>
      <c r="F56" t="n">
        <v>3</v>
      </c>
      <c r="G56" t="inlineStr">
        <is>
          <t>BG009, BS002, BS005</t>
        </is>
      </c>
      <c r="H56" t="inlineStr">
        <is>
          <t>16 Agustus 2023</t>
        </is>
      </c>
      <c r="I56" s="2" t="n">
        <v>46268</v>
      </c>
      <c r="J56" t="inlineStr">
        <is>
          <t>Disetujui</t>
        </is>
      </c>
      <c r="K56" t="n">
        <v>90</v>
      </c>
      <c r="L56" t="inlineStr">
        <is>
          <t>3 September 2026</t>
        </is>
      </c>
      <c r="M56" t="inlineStr">
        <is>
          <t>Bangunan Sipil Jembatan, Jalan Layang, Fly Over, dan Underpass, Konstruksi Bangunan Sipil Pengolahan Air Bersih, Konstruksi Gedung Lainnya</t>
        </is>
      </c>
      <c r="N56" t="inlineStr">
        <is>
          <t>K</t>
        </is>
      </c>
      <c r="O56" t="inlineStr">
        <is>
          <t>20230902, 20230904</t>
        </is>
      </c>
      <c r="P56" t="inlineStr">
        <is>
          <t>Jawa Timur</t>
        </is>
      </c>
      <c r="Q56" t="inlineStr"/>
    </row>
    <row r="57">
      <c r="A57" t="inlineStr">
        <is>
          <t>IMAM PALLIRA</t>
        </is>
      </c>
      <c r="B57" t="inlineStr">
        <is>
          <t>Kab. Mamuju</t>
        </is>
      </c>
      <c r="C57" t="inlineStr">
        <is>
          <t>085225648333</t>
        </is>
      </c>
      <c r="D57" t="inlineStr">
        <is>
          <t>cvimampallira@gmail.com</t>
        </is>
      </c>
      <c r="E57" t="inlineStr">
        <is>
          <t>https://lpjk.pu.go.id/search-badan-usaha-detail/RDBxK293SEtZZnFjT0lzRktHUzgwQT09</t>
        </is>
      </c>
      <c r="F57" t="n">
        <v>4</v>
      </c>
      <c r="G57" t="inlineStr">
        <is>
          <t>BG001, BG005, BG008, BG009</t>
        </is>
      </c>
      <c r="H57" t="inlineStr">
        <is>
          <t>20 Desember 2012</t>
        </is>
      </c>
      <c r="I57" s="2" t="n">
        <v>46268</v>
      </c>
      <c r="J57" t="inlineStr">
        <is>
          <t>Disetujui</t>
        </is>
      </c>
      <c r="K57" t="n">
        <v>90</v>
      </c>
      <c r="L57" t="inlineStr">
        <is>
          <t>3 September 2026</t>
        </is>
      </c>
      <c r="M57" t="inlineStr">
        <is>
          <t>Konstruksi Gedung Hunian, Konstruksi Gedung Kesehatan, Konstruksi Gedung Lainnya, Konstruksi Gedung Tempat Hiburan dan Olahraga</t>
        </is>
      </c>
      <c r="N57" t="inlineStr">
        <is>
          <t>K</t>
        </is>
      </c>
      <c r="O57" t="inlineStr">
        <is>
          <t>20230814, 20230903</t>
        </is>
      </c>
      <c r="P57" t="inlineStr">
        <is>
          <t>Sulawesi Barat</t>
        </is>
      </c>
      <c r="Q57" t="inlineStr"/>
    </row>
    <row r="58">
      <c r="A58" t="inlineStr">
        <is>
          <t>INDAH INSANI</t>
        </is>
      </c>
      <c r="B58" t="inlineStr">
        <is>
          <t>Kab. Padang Lawas</t>
        </is>
      </c>
      <c r="C58" t="inlineStr">
        <is>
          <t>082369093344</t>
        </is>
      </c>
      <c r="D58" t="inlineStr">
        <is>
          <t>cvindahinsani23@gmail.com</t>
        </is>
      </c>
      <c r="E58" t="inlineStr">
        <is>
          <t>https://lpjk.pu.go.id/search-badan-usaha-detail/SWwydW1JVTNCZTYvbWxXYXFoL3J0UT09</t>
        </is>
      </c>
      <c r="F58" t="n">
        <v>3</v>
      </c>
      <c r="G58" t="inlineStr">
        <is>
          <t>BG006, BS002, BS005</t>
        </is>
      </c>
      <c r="H58" t="inlineStr">
        <is>
          <t>14 Februari 2019</t>
        </is>
      </c>
      <c r="I58" s="2" t="n">
        <v>46268</v>
      </c>
      <c r="J58" t="inlineStr">
        <is>
          <t>Disetujui</t>
        </is>
      </c>
      <c r="K58" t="n">
        <v>90</v>
      </c>
      <c r="L58" t="inlineStr">
        <is>
          <t>3 September 2026</t>
        </is>
      </c>
      <c r="M58" t="inlineStr">
        <is>
          <t>Bangunan Sipil Jembatan, Jalan Layang, Fly Over, dan Underpass, Konstruksi Bangunan Sipil Pengolahan Air Bersih, Konstruksi Gedung Pendidikan</t>
        </is>
      </c>
      <c r="N58" t="inlineStr">
        <is>
          <t>K</t>
        </is>
      </c>
      <c r="O58" t="inlineStr">
        <is>
          <t>20230831, 20230904</t>
        </is>
      </c>
      <c r="P58" t="inlineStr">
        <is>
          <t>Sumatera Utara</t>
        </is>
      </c>
      <c r="Q58" t="inlineStr"/>
    </row>
    <row r="59">
      <c r="A59" t="inlineStr">
        <is>
          <t>INOVASI KONSULINDO RAYA</t>
        </is>
      </c>
      <c r="B59" t="inlineStr">
        <is>
          <t>Kab. Luwu Utara</t>
        </is>
      </c>
      <c r="C59" t="inlineStr">
        <is>
          <t>08114129797</t>
        </is>
      </c>
      <c r="D59" t="inlineStr">
        <is>
          <t>inovasikonsulindoraya.pt@gmail.com</t>
        </is>
      </c>
      <c r="E59" t="inlineStr">
        <is>
          <t>https://lpjk.pu.go.id/search-badan-usaha-detail/SkRMWENjbG1aZTBPOVpwdHQ2dXJMUT09</t>
        </is>
      </c>
      <c r="F59" t="n">
        <v>4</v>
      </c>
      <c r="G59" t="inlineStr">
        <is>
          <t>RK001, RK002, RK003, RK005</t>
        </is>
      </c>
      <c r="H59" t="inlineStr">
        <is>
          <t>12 September 2007</t>
        </is>
      </c>
      <c r="I59" s="2" t="n">
        <v>46268</v>
      </c>
      <c r="J59" t="inlineStr">
        <is>
          <t>Disetujui</t>
        </is>
      </c>
      <c r="K59" t="n">
        <v>90</v>
      </c>
      <c r="L59" t="inlineStr">
        <is>
          <t>3 September 2026</t>
        </is>
      </c>
      <c r="M59" t="inlineStr">
        <is>
          <t>Jasa Rekayasa Konstruksi Bangunan Gedung Hunian dan Non Hunian, Jasa Rekayasa Lainnya, Jasa Rekayasa Pekerjaan Teknik Sipil Sumber Daya Air, Jasa Rekayasa Pekerjaan Teknik Sipil Transportasi</t>
        </is>
      </c>
      <c r="N59" t="inlineStr">
        <is>
          <t>K</t>
        </is>
      </c>
      <c r="O59" t="inlineStr">
        <is>
          <t>20230815, 20230817</t>
        </is>
      </c>
      <c r="P59" t="inlineStr">
        <is>
          <t>Sulawesi Selatan</t>
        </is>
      </c>
      <c r="Q59" t="inlineStr"/>
    </row>
    <row r="60">
      <c r="A60" t="inlineStr">
        <is>
          <t>INSAN SINAR MANDIRI SITUBONDO</t>
        </is>
      </c>
      <c r="B60" t="inlineStr">
        <is>
          <t>Kab. Situbondo</t>
        </is>
      </c>
      <c r="C60" t="inlineStr">
        <is>
          <t>083892342682</t>
        </is>
      </c>
      <c r="D60" t="inlineStr">
        <is>
          <t>insansinarmandiri@gmail.com</t>
        </is>
      </c>
      <c r="E60" t="inlineStr">
        <is>
          <t>https://lpjk.pu.go.id/search-badan-usaha-detail/dVJJUmNFRVlhMWVWZWhWU0lESUNwZz09</t>
        </is>
      </c>
      <c r="F60" t="n">
        <v>1</v>
      </c>
      <c r="G60" t="inlineStr">
        <is>
          <t>BS010</t>
        </is>
      </c>
      <c r="H60" t="inlineStr">
        <is>
          <t>13 Desember 2022</t>
        </is>
      </c>
      <c r="I60" s="2" t="n">
        <v>46268</v>
      </c>
      <c r="J60" t="inlineStr">
        <is>
          <t>Disetujui</t>
        </is>
      </c>
      <c r="K60" t="n">
        <v>90</v>
      </c>
      <c r="L60" t="inlineStr">
        <is>
          <t>3 September 2026</t>
        </is>
      </c>
      <c r="M60" t="inlineStr">
        <is>
          <t>Konstruksi Bangunan Prasarana Sumber Daya Air</t>
        </is>
      </c>
      <c r="N60" t="inlineStr">
        <is>
          <t>K</t>
        </is>
      </c>
      <c r="O60" t="inlineStr">
        <is>
          <t>20230903</t>
        </is>
      </c>
      <c r="P60" t="inlineStr">
        <is>
          <t>Jawa Timur</t>
        </is>
      </c>
      <c r="Q60" t="inlineStr"/>
    </row>
    <row r="61">
      <c r="A61" t="inlineStr">
        <is>
          <t>JAYA TAKKALASI</t>
        </is>
      </c>
      <c r="B61" t="inlineStr">
        <is>
          <t>Kab. Kutai Timur</t>
        </is>
      </c>
      <c r="C61" t="inlineStr">
        <is>
          <t>081350537999</t>
        </is>
      </c>
      <c r="D61" t="inlineStr">
        <is>
          <t>jayatakkalasi.cv@gmail.com</t>
        </is>
      </c>
      <c r="E61" t="inlineStr">
        <is>
          <t>https://lpjk.pu.go.id/search-badan-usaha-detail/SkxiZXZremdFRU44aUJmZGdHNkowUT09</t>
        </is>
      </c>
      <c r="F61" t="n">
        <v>3</v>
      </c>
      <c r="G61" t="inlineStr">
        <is>
          <t>BG006, BG009, BS004</t>
        </is>
      </c>
      <c r="H61" t="inlineStr">
        <is>
          <t>4 Juni 2020</t>
        </is>
      </c>
      <c r="I61" s="2" t="n">
        <v>46268</v>
      </c>
      <c r="J61" t="inlineStr">
        <is>
          <t>Disetujui</t>
        </is>
      </c>
      <c r="K61" t="n">
        <v>90</v>
      </c>
      <c r="L61" t="inlineStr">
        <is>
          <t>3 September 2026</t>
        </is>
      </c>
      <c r="M61" t="inlineStr">
        <is>
          <t>Konstruksi Gedung Lainnya, Konstruksi Gedung Pendidikan, Konstruksi Jaringan Irigasi dan Drainase</t>
        </is>
      </c>
      <c r="N61" t="inlineStr">
        <is>
          <t>K</t>
        </is>
      </c>
      <c r="O61" t="inlineStr">
        <is>
          <t>20230829, 20230904</t>
        </is>
      </c>
      <c r="P61" t="inlineStr">
        <is>
          <t>Kalimantan Timur</t>
        </is>
      </c>
      <c r="Q61" t="inlineStr"/>
    </row>
    <row r="62">
      <c r="A62" t="inlineStr">
        <is>
          <t>JETEC INDONESIA</t>
        </is>
      </c>
      <c r="B62" t="inlineStr">
        <is>
          <t>Kota Adm. Jakarta Selatan</t>
        </is>
      </c>
      <c r="C62" t="inlineStr">
        <is>
          <t>0811984023</t>
        </is>
      </c>
      <c r="D62" t="inlineStr">
        <is>
          <t>actemiumsystem.id@actemium.com</t>
        </is>
      </c>
      <c r="E62" t="inlineStr">
        <is>
          <t>https://lpjk.pu.go.id/search-badan-usaha-detail/a3FGM3ZyQUZlRG1IVkRLcDFvcEl6dz09</t>
        </is>
      </c>
      <c r="F62" t="n">
        <v>1</v>
      </c>
      <c r="G62" t="inlineStr">
        <is>
          <t>RK004</t>
        </is>
      </c>
      <c r="H62" t="inlineStr">
        <is>
          <t>3 Juni 2005</t>
        </is>
      </c>
      <c r="I62" s="2" t="n">
        <v>46268</v>
      </c>
      <c r="J62" t="inlineStr">
        <is>
          <t>Disetujui</t>
        </is>
      </c>
      <c r="K62" t="n">
        <v>90</v>
      </c>
      <c r="L62" t="inlineStr">
        <is>
          <t>3 September 2026</t>
        </is>
      </c>
      <c r="M62" t="inlineStr">
        <is>
          <t>Jasa Rekayasa Pekerjaan Mekanikal Dalam Bangunan</t>
        </is>
      </c>
      <c r="N62" t="inlineStr">
        <is>
          <t>B</t>
        </is>
      </c>
      <c r="O62" t="inlineStr">
        <is>
          <t>20230807</t>
        </is>
      </c>
      <c r="P62" t="inlineStr">
        <is>
          <t>DKI Jakarta</t>
        </is>
      </c>
      <c r="Q62" t="inlineStr"/>
    </row>
    <row r="63">
      <c r="A63" t="inlineStr">
        <is>
          <t>KARTIKA CAHAYA GEMILANG</t>
        </is>
      </c>
      <c r="B63" t="inlineStr">
        <is>
          <t>Kab. Lamongan</t>
        </is>
      </c>
      <c r="C63" t="inlineStr">
        <is>
          <t>085854896589</t>
        </is>
      </c>
      <c r="D63" t="inlineStr">
        <is>
          <t>kartikacahayagemilang03@gmail.com</t>
        </is>
      </c>
      <c r="E63" t="inlineStr">
        <is>
          <t>https://lpjk.pu.go.id/search-badan-usaha-detail/bGYvRFAvakF1OFFjZWJ6cWs5VjZ1UT09</t>
        </is>
      </c>
      <c r="F63" t="n">
        <v>1</v>
      </c>
      <c r="G63" t="inlineStr">
        <is>
          <t>BS001</t>
        </is>
      </c>
      <c r="H63" t="inlineStr">
        <is>
          <t>27 Desember 2013</t>
        </is>
      </c>
      <c r="I63" s="2" t="n">
        <v>46268</v>
      </c>
      <c r="J63" t="inlineStr">
        <is>
          <t>Disetujui</t>
        </is>
      </c>
      <c r="K63" t="n">
        <v>90</v>
      </c>
      <c r="L63" t="inlineStr">
        <is>
          <t>3 September 2026</t>
        </is>
      </c>
      <c r="M63" t="inlineStr">
        <is>
          <t>Konstruksi Bangunan Sipil Jalan</t>
        </is>
      </c>
      <c r="N63" t="inlineStr">
        <is>
          <t>K</t>
        </is>
      </c>
      <c r="O63" t="inlineStr">
        <is>
          <t>20230829</t>
        </is>
      </c>
      <c r="P63" t="inlineStr">
        <is>
          <t>Jawa Timur</t>
        </is>
      </c>
      <c r="Q63" t="inlineStr"/>
    </row>
    <row r="64">
      <c r="A64" t="inlineStr">
        <is>
          <t>KARUNIA PRIMA SEJAHTERARAYA</t>
        </is>
      </c>
      <c r="B64" t="inlineStr">
        <is>
          <t>Kota Surabaya</t>
        </is>
      </c>
      <c r="C64" t="inlineStr">
        <is>
          <t>08113548938</t>
        </is>
      </c>
      <c r="D64" t="inlineStr">
        <is>
          <t>prima.sejahteraraya@gmail.com</t>
        </is>
      </c>
      <c r="E64" t="inlineStr">
        <is>
          <t>https://lpjk.pu.go.id/search-badan-usaha-detail/RkZubWMzYngrbFdsT21RUDdjSU43UT09</t>
        </is>
      </c>
      <c r="F64" t="n">
        <v>4</v>
      </c>
      <c r="G64" t="inlineStr">
        <is>
          <t>BG001, BG002, BG003, BG004</t>
        </is>
      </c>
      <c r="H64" t="inlineStr">
        <is>
          <t>5 Juni 2023</t>
        </is>
      </c>
      <c r="I64" s="2" t="n">
        <v>46268</v>
      </c>
      <c r="J64" t="inlineStr">
        <is>
          <t>Disetujui</t>
        </is>
      </c>
      <c r="K64" t="n">
        <v>90</v>
      </c>
      <c r="L64" t="inlineStr">
        <is>
          <t>3 September 2026</t>
        </is>
      </c>
      <c r="M64" t="inlineStr">
        <is>
          <t>Konstruksi Gedung Hunian, Konstruksi Gedung Industri, Konstruksi Gedung Perbelanjaan, Konstruksi Gedung Perkantoran</t>
        </is>
      </c>
      <c r="N64" t="inlineStr">
        <is>
          <t>K</t>
        </is>
      </c>
      <c r="O64" t="inlineStr">
        <is>
          <t>20230830</t>
        </is>
      </c>
      <c r="P64" t="inlineStr">
        <is>
          <t>Jawa Timur</t>
        </is>
      </c>
      <c r="Q64" t="inlineStr"/>
    </row>
    <row r="65">
      <c r="A65" t="inlineStr">
        <is>
          <t>KARYA NATAMA</t>
        </is>
      </c>
      <c r="B65" t="inlineStr">
        <is>
          <t>Kota Medan</t>
        </is>
      </c>
      <c r="C65" t="inlineStr">
        <is>
          <t>082279856026</t>
        </is>
      </c>
      <c r="D65" t="inlineStr">
        <is>
          <t>ckaryanatama@gmail.com</t>
        </is>
      </c>
      <c r="E65" t="inlineStr">
        <is>
          <t>https://lpjk.pu.go.id/search-badan-usaha-detail/UUp3TFVQRzRyV3Y1WlJQb29hV2p6QT09</t>
        </is>
      </c>
      <c r="F65" t="n">
        <v>1</v>
      </c>
      <c r="G65" t="inlineStr">
        <is>
          <t>BG009</t>
        </is>
      </c>
      <c r="H65" t="inlineStr">
        <is>
          <t>17 September 2019</t>
        </is>
      </c>
      <c r="I65" s="2" t="n">
        <v>46268</v>
      </c>
      <c r="J65" t="inlineStr">
        <is>
          <t>Disetujui</t>
        </is>
      </c>
      <c r="K65" t="n">
        <v>90</v>
      </c>
      <c r="L65" t="inlineStr">
        <is>
          <t>3 September 2026</t>
        </is>
      </c>
      <c r="M65" t="inlineStr">
        <is>
          <t>Konstruksi Gedung Lainnya</t>
        </is>
      </c>
      <c r="N65" t="inlineStr">
        <is>
          <t>K</t>
        </is>
      </c>
      <c r="O65" t="inlineStr">
        <is>
          <t>20230901</t>
        </is>
      </c>
      <c r="P65" t="inlineStr">
        <is>
          <t>Sumatera Utara</t>
        </is>
      </c>
      <c r="Q65" t="inlineStr"/>
    </row>
    <row r="66">
      <c r="A66" t="inlineStr">
        <is>
          <t>KARYA SEJAHTERA MAKMUR MANDIRI</t>
        </is>
      </c>
      <c r="B66" t="inlineStr">
        <is>
          <t>Kab. Bengkalis</t>
        </is>
      </c>
      <c r="C66" t="inlineStr">
        <is>
          <t>08127507886</t>
        </is>
      </c>
      <c r="D66" t="inlineStr">
        <is>
          <t>karya.sejahtera.makmur.mandiri@gmail.com</t>
        </is>
      </c>
      <c r="E66" t="inlineStr">
        <is>
          <t>https://lpjk.pu.go.id/search-badan-usaha-detail/R3JHQ3ZMRVFOMnVleWZtNHl6dndMUT09</t>
        </is>
      </c>
      <c r="F66" t="n">
        <v>1</v>
      </c>
      <c r="G66" t="inlineStr">
        <is>
          <t>BS002</t>
        </is>
      </c>
      <c r="H66" t="inlineStr">
        <is>
          <t>16 Oktober 2013</t>
        </is>
      </c>
      <c r="I66" s="2" t="n">
        <v>46268</v>
      </c>
      <c r="J66" t="inlineStr">
        <is>
          <t>Disetujui</t>
        </is>
      </c>
      <c r="K66" t="n">
        <v>90</v>
      </c>
      <c r="L66" t="inlineStr">
        <is>
          <t>3 September 2026</t>
        </is>
      </c>
      <c r="M66" t="inlineStr">
        <is>
          <t>Bangunan Sipil Jembatan, Jalan Layang, Fly Over, dan Underpass</t>
        </is>
      </c>
      <c r="N66" t="inlineStr">
        <is>
          <t>K</t>
        </is>
      </c>
      <c r="O66" t="inlineStr">
        <is>
          <t>20230902</t>
        </is>
      </c>
      <c r="P66" t="inlineStr">
        <is>
          <t>Riau</t>
        </is>
      </c>
      <c r="Q66" t="inlineStr"/>
    </row>
    <row r="67">
      <c r="A67" t="inlineStr">
        <is>
          <t>KARYA SEPAKAT CONSULTANT</t>
        </is>
      </c>
      <c r="B67" t="inlineStr">
        <is>
          <t>Kota Makassar</t>
        </is>
      </c>
      <c r="C67" t="inlineStr">
        <is>
          <t>081243333811</t>
        </is>
      </c>
      <c r="D67" t="inlineStr">
        <is>
          <t>karyasepakat80@gmail.com</t>
        </is>
      </c>
      <c r="E67" t="inlineStr">
        <is>
          <t>https://lpjk.pu.go.id/search-badan-usaha-detail/c0hsUmdvL0dYRVV5ektPYWMyMmlidz09</t>
        </is>
      </c>
      <c r="F67" t="n">
        <v>1</v>
      </c>
      <c r="G67" t="inlineStr">
        <is>
          <t>AR001</t>
        </is>
      </c>
      <c r="H67" t="inlineStr">
        <is>
          <t>30 April 2015</t>
        </is>
      </c>
      <c r="I67" s="2" t="n">
        <v>46268</v>
      </c>
      <c r="J67" t="inlineStr">
        <is>
          <t>Disetujui</t>
        </is>
      </c>
      <c r="K67" t="n">
        <v>90</v>
      </c>
      <c r="L67" t="inlineStr">
        <is>
          <t>3 September 2026</t>
        </is>
      </c>
      <c r="M67" t="inlineStr">
        <is>
          <t>Jasa Arsitektural Bangunan Gedung Hunian dan Non Hunian</t>
        </is>
      </c>
      <c r="N67" t="inlineStr">
        <is>
          <t>K</t>
        </is>
      </c>
      <c r="O67" t="inlineStr">
        <is>
          <t>20230321</t>
        </is>
      </c>
      <c r="P67" t="inlineStr">
        <is>
          <t>Sulawesi Selatan</t>
        </is>
      </c>
      <c r="Q67" t="inlineStr"/>
    </row>
    <row r="68">
      <c r="A68" t="inlineStr">
        <is>
          <t>KHATULISTIWA HIJAU SEJATI</t>
        </is>
      </c>
      <c r="B68" t="inlineStr">
        <is>
          <t>Kota Pekanbaru</t>
        </is>
      </c>
      <c r="C68" t="inlineStr">
        <is>
          <t>08127673307</t>
        </is>
      </c>
      <c r="D68" t="inlineStr">
        <is>
          <t>khatulistiwa.ptkhs@gmail.com</t>
        </is>
      </c>
      <c r="E68" t="inlineStr">
        <is>
          <t>https://lpjk.pu.go.id/search-badan-usaha-detail/SWxqMEdFQURrMDkzQmxlMytvMFBKdz09</t>
        </is>
      </c>
      <c r="F68" t="n">
        <v>4</v>
      </c>
      <c r="G68" t="inlineStr">
        <is>
          <t>BG001, BG002, BG009, BS001</t>
        </is>
      </c>
      <c r="H68" t="inlineStr">
        <is>
          <t>28 Februari 2020</t>
        </is>
      </c>
      <c r="I68" s="2" t="n">
        <v>46268</v>
      </c>
      <c r="J68" t="inlineStr">
        <is>
          <t>Disetujui</t>
        </is>
      </c>
      <c r="K68" t="n">
        <v>90</v>
      </c>
      <c r="L68" t="inlineStr">
        <is>
          <t>3 September 2026</t>
        </is>
      </c>
      <c r="M68" t="inlineStr">
        <is>
          <t>Konstruksi Bangunan Sipil Jalan, Konstruksi Gedung Hunian, Konstruksi Gedung Lainnya, Konstruksi Gedung Perkantoran</t>
        </is>
      </c>
      <c r="N68" t="inlineStr">
        <is>
          <t>K</t>
        </is>
      </c>
      <c r="O68" t="inlineStr">
        <is>
          <t>20230831, 20230902</t>
        </is>
      </c>
      <c r="P68" t="inlineStr">
        <is>
          <t>Riau</t>
        </is>
      </c>
      <c r="Q68" t="inlineStr"/>
    </row>
    <row r="69">
      <c r="A69" t="inlineStr">
        <is>
          <t>KHOMSA UTAMA</t>
        </is>
      </c>
      <c r="B69" t="inlineStr">
        <is>
          <t>Kab. Gresik</t>
        </is>
      </c>
      <c r="C69" t="inlineStr">
        <is>
          <t>081216415280</t>
        </is>
      </c>
      <c r="D69" t="inlineStr">
        <is>
          <t>cv.khomsautama15@gmail.com</t>
        </is>
      </c>
      <c r="E69" t="inlineStr">
        <is>
          <t>https://lpjk.pu.go.id/search-badan-usaha-detail/T2dWcXFDOHVKTmFHVWduRCtVTDlhdz09</t>
        </is>
      </c>
      <c r="F69" t="n">
        <v>3</v>
      </c>
      <c r="G69" t="inlineStr">
        <is>
          <t>BS001, BS004, BS005</t>
        </is>
      </c>
      <c r="H69" t="inlineStr">
        <is>
          <t>24 Mei 2022</t>
        </is>
      </c>
      <c r="I69" s="2" t="n">
        <v>46268</v>
      </c>
      <c r="J69" t="inlineStr">
        <is>
          <t>Disetujui</t>
        </is>
      </c>
      <c r="K69" t="n">
        <v>90</v>
      </c>
      <c r="L69" t="inlineStr">
        <is>
          <t>3 September 2026</t>
        </is>
      </c>
      <c r="M69" t="inlineStr">
        <is>
          <t>Konstruksi Bangunan Sipil Jalan, Konstruksi Bangunan Sipil Pengolahan Air Bersih, Konstruksi Jaringan Irigasi dan Drainase</t>
        </is>
      </c>
      <c r="N69" t="inlineStr">
        <is>
          <t>K</t>
        </is>
      </c>
      <c r="O69" t="inlineStr">
        <is>
          <t>20230829</t>
        </is>
      </c>
      <c r="P69" t="inlineStr">
        <is>
          <t>Jawa Timur</t>
        </is>
      </c>
      <c r="Q69" t="inlineStr"/>
    </row>
    <row r="70">
      <c r="A70" t="inlineStr">
        <is>
          <t>KURNIA AKBAR</t>
        </is>
      </c>
      <c r="B70" t="inlineStr">
        <is>
          <t>Kab. Bangka Barat</t>
        </is>
      </c>
      <c r="C70" t="inlineStr">
        <is>
          <t>081994128908</t>
        </is>
      </c>
      <c r="D70" t="inlineStr">
        <is>
          <t>kurniaakbar1717@gmail.com</t>
        </is>
      </c>
      <c r="E70" t="inlineStr">
        <is>
          <t>https://lpjk.pu.go.id/search-badan-usaha-detail/c1NJMlVGSEFvVk55bjVRSGFkL1prdz09</t>
        </is>
      </c>
      <c r="F70" t="n">
        <v>5</v>
      </c>
      <c r="G70" t="inlineStr">
        <is>
          <t>BG002, BG006, BG008, BG009, BS012</t>
        </is>
      </c>
      <c r="H70" t="inlineStr">
        <is>
          <t>22 Oktober 2002</t>
        </is>
      </c>
      <c r="I70" s="2" t="n">
        <v>46268</v>
      </c>
      <c r="J70" t="inlineStr">
        <is>
          <t>Disetujui</t>
        </is>
      </c>
      <c r="K70" t="n">
        <v>90</v>
      </c>
      <c r="L70" t="inlineStr">
        <is>
          <t>3 September 2026</t>
        </is>
      </c>
      <c r="M70" t="inlineStr">
        <is>
          <t>Konstruksi Bangunan Pelabuhan Perikanan, Konstruksi Gedung Lainnya, Konstruksi Gedung Pendidikan, Konstruksi Gedung Perkantoran, Konstruksi Gedung Tempat Hiburan dan Olahraga</t>
        </is>
      </c>
      <c r="N70" t="inlineStr">
        <is>
          <t>K</t>
        </is>
      </c>
      <c r="O70" t="inlineStr">
        <is>
          <t>20230811, 20230814</t>
        </is>
      </c>
      <c r="P70" t="inlineStr">
        <is>
          <t>Kepulauan Bangka Belitung</t>
        </is>
      </c>
      <c r="Q70" t="inlineStr"/>
    </row>
    <row r="71">
      <c r="A71" t="inlineStr">
        <is>
          <t>LENTERA</t>
        </is>
      </c>
      <c r="B71" t="inlineStr">
        <is>
          <t>Kab. Serdang Bedagai</t>
        </is>
      </c>
      <c r="C71" t="inlineStr">
        <is>
          <t>085361240751</t>
        </is>
      </c>
      <c r="D71" t="inlineStr">
        <is>
          <t>cvlentera69@gmail.com</t>
        </is>
      </c>
      <c r="E71" t="inlineStr">
        <is>
          <t>https://lpjk.pu.go.id/search-badan-usaha-detail/Q0ZWOHJ2NVVrZFAvRGZkSlBTQnJHdz09</t>
        </is>
      </c>
      <c r="F71" t="n">
        <v>1</v>
      </c>
      <c r="G71" t="inlineStr">
        <is>
          <t>BS004</t>
        </is>
      </c>
      <c r="H71" t="inlineStr">
        <is>
          <t>10 Januari 2017</t>
        </is>
      </c>
      <c r="I71" s="2" t="n">
        <v>46268</v>
      </c>
      <c r="J71" t="inlineStr">
        <is>
          <t>Pencabutan</t>
        </is>
      </c>
      <c r="K71" t="n">
        <v>90</v>
      </c>
      <c r="L71" t="inlineStr">
        <is>
          <t>3 September 2026</t>
        </is>
      </c>
      <c r="M71" t="inlineStr">
        <is>
          <t>Konstruksi Jaringan Irigasi dan Drainase</t>
        </is>
      </c>
      <c r="N71" t="inlineStr">
        <is>
          <t>K</t>
        </is>
      </c>
      <c r="O71" t="inlineStr">
        <is>
          <t>20230902</t>
        </is>
      </c>
      <c r="P71" t="inlineStr">
        <is>
          <t>Sumatera Utara</t>
        </is>
      </c>
      <c r="Q71" t="inlineStr"/>
    </row>
    <row r="72">
      <c r="A72" t="inlineStr">
        <is>
          <t>LEON PRATAMA</t>
        </is>
      </c>
      <c r="B72" t="inlineStr">
        <is>
          <t>Kota Ternate</t>
        </is>
      </c>
      <c r="C72" t="inlineStr">
        <is>
          <t>081340606413</t>
        </is>
      </c>
      <c r="D72" t="inlineStr">
        <is>
          <t>cvleonpratama@gmail.com</t>
        </is>
      </c>
      <c r="E72" t="inlineStr">
        <is>
          <t>https://lpjk.pu.go.id/search-badan-usaha-detail/aGZpT01aQjR1ZndnTnZzZ2VmcTBzdz09</t>
        </is>
      </c>
      <c r="F72" t="n">
        <v>1</v>
      </c>
      <c r="G72" t="inlineStr">
        <is>
          <t>BG002</t>
        </is>
      </c>
      <c r="H72" t="inlineStr">
        <is>
          <t>17 April 2023</t>
        </is>
      </c>
      <c r="I72" s="2" t="n">
        <v>46268</v>
      </c>
      <c r="J72" t="inlineStr">
        <is>
          <t>Disetujui</t>
        </is>
      </c>
      <c r="K72" t="n">
        <v>90</v>
      </c>
      <c r="L72" t="inlineStr">
        <is>
          <t>3 September 2026</t>
        </is>
      </c>
      <c r="M72" t="inlineStr">
        <is>
          <t>Konstruksi Gedung Perkantoran</t>
        </is>
      </c>
      <c r="N72" t="inlineStr">
        <is>
          <t>K</t>
        </is>
      </c>
      <c r="O72" t="inlineStr">
        <is>
          <t>20230830</t>
        </is>
      </c>
      <c r="P72" t="inlineStr">
        <is>
          <t>Maluku Utara</t>
        </is>
      </c>
      <c r="Q72" t="inlineStr"/>
    </row>
    <row r="73">
      <c r="A73" t="inlineStr">
        <is>
          <t>LINATHA TECH</t>
        </is>
      </c>
      <c r="B73" t="inlineStr">
        <is>
          <t>Kota Manado</t>
        </is>
      </c>
      <c r="C73" t="inlineStr">
        <is>
          <t>081354308505</t>
        </is>
      </c>
      <c r="D73" t="inlineStr">
        <is>
          <t>linathatech@gmail.com</t>
        </is>
      </c>
      <c r="E73" t="inlineStr">
        <is>
          <t>https://lpjk.pu.go.id/search-badan-usaha-detail/c3BlQjNUbG9kWE45a0lMUFNoYXdTQT09</t>
        </is>
      </c>
      <c r="F73" t="n">
        <v>1</v>
      </c>
      <c r="G73" t="inlineStr">
        <is>
          <t>BG001</t>
        </is>
      </c>
      <c r="H73" t="inlineStr">
        <is>
          <t>4 Mei 2023</t>
        </is>
      </c>
      <c r="I73" s="2" t="n">
        <v>46268</v>
      </c>
      <c r="J73" t="inlineStr">
        <is>
          <t>Disetujui</t>
        </is>
      </c>
      <c r="K73" t="n">
        <v>90</v>
      </c>
      <c r="L73" t="inlineStr">
        <is>
          <t>3 September 2026</t>
        </is>
      </c>
      <c r="M73" t="inlineStr">
        <is>
          <t>Konstruksi Gedung Hunian</t>
        </is>
      </c>
      <c r="N73" t="inlineStr">
        <is>
          <t>K</t>
        </is>
      </c>
      <c r="O73" t="inlineStr">
        <is>
          <t>20230904</t>
        </is>
      </c>
      <c r="P73" t="inlineStr">
        <is>
          <t>Sulawesi Utara</t>
        </is>
      </c>
      <c r="Q73" t="inlineStr"/>
    </row>
    <row r="74">
      <c r="A74" t="inlineStr">
        <is>
          <t>LUMINTU INTI PERSADA</t>
        </is>
      </c>
      <c r="B74" t="inlineStr">
        <is>
          <t>Kab. Kutai Timur</t>
        </is>
      </c>
      <c r="C74" t="inlineStr">
        <is>
          <t>082217310151</t>
        </is>
      </c>
      <c r="D74" t="inlineStr">
        <is>
          <t>cv.lumintuintipersada@gmail.com</t>
        </is>
      </c>
      <c r="E74" t="inlineStr">
        <is>
          <t>https://lpjk.pu.go.id/search-badan-usaha-detail/TG5Ec3Q2NHJDa1VKWGNvTFNqOUk3UT09</t>
        </is>
      </c>
      <c r="F74" t="n">
        <v>1</v>
      </c>
      <c r="G74" t="inlineStr">
        <is>
          <t>BG008</t>
        </is>
      </c>
      <c r="H74" t="inlineStr">
        <is>
          <t>29 Juli 2022</t>
        </is>
      </c>
      <c r="I74" s="2" t="n">
        <v>46268</v>
      </c>
      <c r="J74" t="inlineStr">
        <is>
          <t>Pencabutan</t>
        </is>
      </c>
      <c r="K74" t="n">
        <v>90</v>
      </c>
      <c r="L74" t="inlineStr">
        <is>
          <t>3 September 2026</t>
        </is>
      </c>
      <c r="M74" t="inlineStr">
        <is>
          <t>Konstruksi Gedung Tempat Hiburan dan Olahraga</t>
        </is>
      </c>
      <c r="N74" t="inlineStr">
        <is>
          <t>K</t>
        </is>
      </c>
      <c r="O74" t="inlineStr">
        <is>
          <t>20230831</t>
        </is>
      </c>
      <c r="P74" t="inlineStr">
        <is>
          <t>Kalimantan Timur</t>
        </is>
      </c>
      <c r="Q74" t="inlineStr"/>
    </row>
    <row r="75">
      <c r="A75" t="inlineStr">
        <is>
          <t>MAHARI GROUP</t>
        </is>
      </c>
      <c r="B75" t="inlineStr">
        <is>
          <t>Kota Padang Sidempuan</t>
        </is>
      </c>
      <c r="C75" t="inlineStr">
        <is>
          <t>082276990785</t>
        </is>
      </c>
      <c r="D75" t="inlineStr">
        <is>
          <t>cvmaharigroup@gmail.com</t>
        </is>
      </c>
      <c r="E75" t="inlineStr">
        <is>
          <t>https://lpjk.pu.go.id/search-badan-usaha-detail/NjlUaGdxREJua0cvdzNtUGRwYXh2QT09</t>
        </is>
      </c>
      <c r="F75" t="n">
        <v>2</v>
      </c>
      <c r="G75" t="inlineStr">
        <is>
          <t>BS004</t>
        </is>
      </c>
      <c r="H75" t="inlineStr">
        <is>
          <t>11 Agustus 2023</t>
        </is>
      </c>
      <c r="I75" s="2" t="n">
        <v>46268</v>
      </c>
      <c r="J75" t="inlineStr">
        <is>
          <t>Disetujui</t>
        </is>
      </c>
      <c r="K75" t="n">
        <v>90</v>
      </c>
      <c r="L75" t="inlineStr">
        <is>
          <t>3 September 2026</t>
        </is>
      </c>
      <c r="M75" t="inlineStr">
        <is>
          <t>Konstruksi Jaringan Irigasi dan Drainase</t>
        </is>
      </c>
      <c r="N75" t="inlineStr">
        <is>
          <t>K</t>
        </is>
      </c>
      <c r="O75" t="inlineStr">
        <is>
          <t>20230831</t>
        </is>
      </c>
      <c r="P75" t="inlineStr">
        <is>
          <t>Sumatera Utara</t>
        </is>
      </c>
      <c r="Q75" t="inlineStr"/>
    </row>
    <row r="76">
      <c r="A76" t="inlineStr">
        <is>
          <t>MANDIRI KARYA SAKTI</t>
        </is>
      </c>
      <c r="B76" t="inlineStr">
        <is>
          <t>Kab. Ponorogo</t>
        </is>
      </c>
      <c r="C76" t="inlineStr">
        <is>
          <t>082301196343</t>
        </is>
      </c>
      <c r="D76" t="inlineStr">
        <is>
          <t>mandir1.kary4.sakt1@gmail.com</t>
        </is>
      </c>
      <c r="E76" t="inlineStr">
        <is>
          <t>https://lpjk.pu.go.id/search-badan-usaha-detail/ZDNVM2YyQU44aENjamRXZ2xpQ0g3QT09</t>
        </is>
      </c>
      <c r="F76" t="n">
        <v>1</v>
      </c>
      <c r="G76" t="inlineStr">
        <is>
          <t>BS001</t>
        </is>
      </c>
      <c r="H76" t="inlineStr">
        <is>
          <t>26 Juni 2020</t>
        </is>
      </c>
      <c r="I76" s="2" t="n">
        <v>46268</v>
      </c>
      <c r="J76" t="inlineStr">
        <is>
          <t>Disetujui</t>
        </is>
      </c>
      <c r="K76" t="n">
        <v>90</v>
      </c>
      <c r="L76" t="inlineStr">
        <is>
          <t>3 September 2026</t>
        </is>
      </c>
      <c r="M76" t="inlineStr">
        <is>
          <t>Konstruksi Bangunan Sipil Jalan</t>
        </is>
      </c>
      <c r="N76" t="inlineStr">
        <is>
          <t>K</t>
        </is>
      </c>
      <c r="O76" t="inlineStr">
        <is>
          <t>20230829</t>
        </is>
      </c>
      <c r="P76" t="inlineStr">
        <is>
          <t>Jawa Timur</t>
        </is>
      </c>
      <c r="Q76" t="inlineStr"/>
    </row>
    <row r="77">
      <c r="A77" t="inlineStr">
        <is>
          <t>MEDIA WORLD CITRA</t>
        </is>
      </c>
      <c r="B77" t="inlineStr">
        <is>
          <t>Kota Balikpapan</t>
        </is>
      </c>
      <c r="C77" t="inlineStr">
        <is>
          <t>082154961673</t>
        </is>
      </c>
      <c r="D77" t="inlineStr">
        <is>
          <t>mediaworldcitra@gmail.com</t>
        </is>
      </c>
      <c r="E77" t="inlineStr">
        <is>
          <t>https://lpjk.pu.go.id/search-badan-usaha-detail/L2lpMG5qNjhvZklGcitaeHJOZlZWZz09</t>
        </is>
      </c>
      <c r="F77" t="n">
        <v>4</v>
      </c>
      <c r="G77" t="inlineStr">
        <is>
          <t>BG002, BG005, BG006, BG008</t>
        </is>
      </c>
      <c r="H77" t="inlineStr">
        <is>
          <t>22 Juni 2020</t>
        </is>
      </c>
      <c r="I77" s="2" t="n">
        <v>46268</v>
      </c>
      <c r="J77" t="inlineStr">
        <is>
          <t>Disetujui</t>
        </is>
      </c>
      <c r="K77" t="n">
        <v>90</v>
      </c>
      <c r="L77" t="inlineStr">
        <is>
          <t>3 September 2026</t>
        </is>
      </c>
      <c r="M77" t="inlineStr">
        <is>
          <t>Konstruksi Gedung Kesehatan, Konstruksi Gedung Pendidikan, Konstruksi Gedung Perkantoran, Konstruksi Gedung Tempat Hiburan dan Olahraga</t>
        </is>
      </c>
      <c r="N77" t="inlineStr">
        <is>
          <t>K</t>
        </is>
      </c>
      <c r="O77" t="inlineStr">
        <is>
          <t>20230904</t>
        </is>
      </c>
      <c r="P77" t="inlineStr">
        <is>
          <t>Kalimantan Timur</t>
        </is>
      </c>
      <c r="Q77" t="inlineStr"/>
    </row>
    <row r="78">
      <c r="A78" t="inlineStr">
        <is>
          <t>MEGA CAKRA PERSADA</t>
        </is>
      </c>
      <c r="B78" t="inlineStr">
        <is>
          <t>Kota Bandar Lampung</t>
        </is>
      </c>
      <c r="C78" t="inlineStr">
        <is>
          <t>082181180114</t>
        </is>
      </c>
      <c r="D78" t="inlineStr">
        <is>
          <t>cvmegacakrapersada@gmail.com</t>
        </is>
      </c>
      <c r="E78" t="inlineStr">
        <is>
          <t>https://lpjk.pu.go.id/search-badan-usaha-detail/Y1JMakJSajlUb3FHOXF5S2ZCTzZ4UT09</t>
        </is>
      </c>
      <c r="F78" t="n">
        <v>1</v>
      </c>
      <c r="G78" t="inlineStr">
        <is>
          <t>RK001</t>
        </is>
      </c>
      <c r="H78" t="inlineStr">
        <is>
          <t>11 Mei 2022</t>
        </is>
      </c>
      <c r="I78" s="2" t="n">
        <v>46268</v>
      </c>
      <c r="J78" t="inlineStr">
        <is>
          <t>Pencabutan</t>
        </is>
      </c>
      <c r="K78" t="n">
        <v>90</v>
      </c>
      <c r="L78" t="inlineStr">
        <is>
          <t>3 September 2026</t>
        </is>
      </c>
      <c r="M78" t="inlineStr">
        <is>
          <t>Jasa Rekayasa Konstruksi Bangunan Gedung Hunian dan Non Hunian</t>
        </is>
      </c>
      <c r="N78" t="inlineStr">
        <is>
          <t>K</t>
        </is>
      </c>
      <c r="O78" t="inlineStr">
        <is>
          <t>20230823</t>
        </is>
      </c>
      <c r="P78" t="inlineStr">
        <is>
          <t>Lampung</t>
        </is>
      </c>
      <c r="Q78" t="inlineStr"/>
    </row>
    <row r="79">
      <c r="A79" t="inlineStr">
        <is>
          <t>MENARA AGUNG SINTESA</t>
        </is>
      </c>
      <c r="B79" t="inlineStr">
        <is>
          <t>Kota Pekanbaru</t>
        </is>
      </c>
      <c r="C79" t="inlineStr">
        <is>
          <t>082284488007</t>
        </is>
      </c>
      <c r="D79" t="inlineStr">
        <is>
          <t>sintesa.pekanbaru@gmail.com</t>
        </is>
      </c>
      <c r="E79" t="inlineStr">
        <is>
          <t>https://lpjk.pu.go.id/search-badan-usaha-detail/VVhPZWNUeDlOSk1FVjN4MTI0NmJlQT09</t>
        </is>
      </c>
      <c r="F79" t="n">
        <v>2</v>
      </c>
      <c r="G79" t="inlineStr">
        <is>
          <t>BG003, BS001</t>
        </is>
      </c>
      <c r="H79" t="inlineStr">
        <is>
          <t>30 April 2021</t>
        </is>
      </c>
      <c r="I79" s="2" t="n">
        <v>46268</v>
      </c>
      <c r="J79" t="inlineStr">
        <is>
          <t>Disetujui</t>
        </is>
      </c>
      <c r="K79" t="n">
        <v>90</v>
      </c>
      <c r="L79" t="inlineStr">
        <is>
          <t>3 September 2026</t>
        </is>
      </c>
      <c r="M79" t="inlineStr">
        <is>
          <t>Konstruksi Bangunan Sipil Jalan, Konstruksi Gedung Industri</t>
        </is>
      </c>
      <c r="N79" t="inlineStr">
        <is>
          <t>K</t>
        </is>
      </c>
      <c r="O79" t="inlineStr">
        <is>
          <t>20230831</t>
        </is>
      </c>
      <c r="P79" t="inlineStr">
        <is>
          <t>Riau</t>
        </is>
      </c>
      <c r="Q79" t="inlineStr"/>
    </row>
    <row r="80">
      <c r="A80" t="inlineStr">
        <is>
          <t>MENARA PERSADA</t>
        </is>
      </c>
      <c r="B80" t="inlineStr">
        <is>
          <t>Kab. Sidoarjo</t>
        </is>
      </c>
      <c r="C80" t="inlineStr">
        <is>
          <t>081377268768</t>
        </is>
      </c>
      <c r="D80" t="inlineStr">
        <is>
          <t>menarapersada@gmail.com</t>
        </is>
      </c>
      <c r="E80" t="inlineStr">
        <is>
          <t>https://lpjk.pu.go.id/search-badan-usaha-detail/eEVuZktpYkNnY3NKWVNxc2prSGgxUT09</t>
        </is>
      </c>
      <c r="F80" t="n">
        <v>1</v>
      </c>
      <c r="G80" t="inlineStr">
        <is>
          <t>BS004</t>
        </is>
      </c>
      <c r="H80" t="inlineStr">
        <is>
          <t>9 Agustus 2005</t>
        </is>
      </c>
      <c r="I80" s="2" t="n">
        <v>46268</v>
      </c>
      <c r="J80" t="inlineStr">
        <is>
          <t>Disetujui</t>
        </is>
      </c>
      <c r="K80" t="n">
        <v>90</v>
      </c>
      <c r="L80" t="inlineStr">
        <is>
          <t>3 September 2026</t>
        </is>
      </c>
      <c r="M80" t="inlineStr">
        <is>
          <t>Konstruksi Jaringan Irigasi dan Drainase</t>
        </is>
      </c>
      <c r="N80" t="inlineStr">
        <is>
          <t>K</t>
        </is>
      </c>
      <c r="O80" t="inlineStr">
        <is>
          <t>20230830</t>
        </is>
      </c>
      <c r="P80" t="inlineStr">
        <is>
          <t>Jawa Timur</t>
        </is>
      </c>
      <c r="Q80" t="inlineStr"/>
    </row>
    <row r="81">
      <c r="A81" t="inlineStr">
        <is>
          <t>MITRA UTAMA BERDIKARI</t>
        </is>
      </c>
      <c r="B81" t="inlineStr">
        <is>
          <t>Kota Palembang</t>
        </is>
      </c>
      <c r="C81" t="inlineStr">
        <is>
          <t>081379791557</t>
        </is>
      </c>
      <c r="D81" t="inlineStr">
        <is>
          <t>MU.BERDIKARI@GMAIL.COM</t>
        </is>
      </c>
      <c r="E81" t="inlineStr">
        <is>
          <t>https://lpjk.pu.go.id/search-badan-usaha-detail/NGtGS2I4MUNVMGQ4eDVmU2JhODdOUT09</t>
        </is>
      </c>
      <c r="F81" t="n">
        <v>4</v>
      </c>
      <c r="G81" t="inlineStr">
        <is>
          <t>BG009, BS002, BS004, BS010</t>
        </is>
      </c>
      <c r="H81" t="inlineStr">
        <is>
          <t>26 Desember 2008</t>
        </is>
      </c>
      <c r="I81" s="2" t="n">
        <v>46268</v>
      </c>
      <c r="J81" t="inlineStr">
        <is>
          <t>Disetujui</t>
        </is>
      </c>
      <c r="K81" t="n">
        <v>90</v>
      </c>
      <c r="L81" t="inlineStr">
        <is>
          <t>3 September 2026</t>
        </is>
      </c>
      <c r="M81" t="inlineStr">
        <is>
          <t>Bangunan Sipil Jembatan, Jalan Layang, Fly Over, dan Underpass, Konstruksi Bangunan Prasarana Sumber Daya Air, Konstruksi Gedung Lainnya, Konstruksi Jaringan Irigasi dan Drainase</t>
        </is>
      </c>
      <c r="N81" t="inlineStr">
        <is>
          <t>K</t>
        </is>
      </c>
      <c r="O81" t="inlineStr">
        <is>
          <t>20230903</t>
        </is>
      </c>
      <c r="P81" t="inlineStr">
        <is>
          <t>Sumatera Selatan</t>
        </is>
      </c>
      <c r="Q81" t="inlineStr"/>
    </row>
    <row r="82">
      <c r="A82" t="inlineStr">
        <is>
          <t>MULTI KENCANA NIAGATAMA</t>
        </is>
      </c>
      <c r="B82" t="inlineStr">
        <is>
          <t>Kab. Serang</t>
        </is>
      </c>
      <c r="C82" t="inlineStr">
        <is>
          <t>087887667279</t>
        </is>
      </c>
      <c r="D82" t="inlineStr">
        <is>
          <t>import@multi-kabel.com</t>
        </is>
      </c>
      <c r="E82" t="inlineStr">
        <is>
          <t>https://lpjk.pu.go.id/search-badan-usaha-detail/T1dXZ2U5eFM3ZWkvUk9BcitwRUJ2dz09</t>
        </is>
      </c>
      <c r="F82" t="n">
        <v>1</v>
      </c>
      <c r="G82" t="inlineStr">
        <is>
          <t>BS007</t>
        </is>
      </c>
      <c r="H82" t="inlineStr">
        <is>
          <t>23 November 2021</t>
        </is>
      </c>
      <c r="I82" s="2" t="n">
        <v>46268</v>
      </c>
      <c r="J82" t="inlineStr">
        <is>
          <t>Disetujui</t>
        </is>
      </c>
      <c r="K82" t="n">
        <v>90</v>
      </c>
      <c r="L82" t="inlineStr">
        <is>
          <t>3 September 2026</t>
        </is>
      </c>
      <c r="M82" t="inlineStr">
        <is>
          <t>Konstruksi Bangunan Sipil Elektrikal</t>
        </is>
      </c>
      <c r="N82" t="inlineStr">
        <is>
          <t>K</t>
        </is>
      </c>
      <c r="O82" t="inlineStr">
        <is>
          <t>20230901</t>
        </is>
      </c>
      <c r="P82" t="inlineStr">
        <is>
          <t>Banten</t>
        </is>
      </c>
      <c r="Q82" t="inlineStr"/>
    </row>
    <row r="83">
      <c r="A83" t="inlineStr">
        <is>
          <t>MULTI PAINTING INDONESIA</t>
        </is>
      </c>
      <c r="B83" t="inlineStr">
        <is>
          <t>Kota Medan</t>
        </is>
      </c>
      <c r="C83" t="inlineStr">
        <is>
          <t>082277228833</t>
        </is>
      </c>
      <c r="D83" t="inlineStr">
        <is>
          <t>skrdsarmi@gmail.com</t>
        </is>
      </c>
      <c r="E83" t="inlineStr">
        <is>
          <t>https://lpjk.pu.go.id/search-badan-usaha-detail/am5QVmxOdjZMcXp2REpzbVp5WHhIQT09</t>
        </is>
      </c>
      <c r="F83" t="n">
        <v>1</v>
      </c>
      <c r="G83" t="inlineStr">
        <is>
          <t>BG009</t>
        </is>
      </c>
      <c r="H83" t="inlineStr">
        <is>
          <t>8 November 2002</t>
        </is>
      </c>
      <c r="I83" s="2" t="n">
        <v>46268</v>
      </c>
      <c r="J83" t="inlineStr">
        <is>
          <t>Disetujui</t>
        </is>
      </c>
      <c r="K83" t="n">
        <v>90</v>
      </c>
      <c r="L83" t="inlineStr">
        <is>
          <t>3 September 2026</t>
        </is>
      </c>
      <c r="M83" t="inlineStr">
        <is>
          <t>Konstruksi Gedung Lainnya</t>
        </is>
      </c>
      <c r="N83" t="inlineStr">
        <is>
          <t>K</t>
        </is>
      </c>
      <c r="O83" t="inlineStr">
        <is>
          <t>20230814</t>
        </is>
      </c>
      <c r="P83" t="inlineStr">
        <is>
          <t>Sumatera Utara</t>
        </is>
      </c>
      <c r="Q83" t="inlineStr"/>
    </row>
    <row r="84">
      <c r="A84" t="inlineStr">
        <is>
          <t>MUSTIKA BUKIT JAJAR</t>
        </is>
      </c>
      <c r="B84" t="inlineStr">
        <is>
          <t>Kab. Trenggalek</t>
        </is>
      </c>
      <c r="C84" t="inlineStr">
        <is>
          <t>082310127870</t>
        </is>
      </c>
      <c r="D84" t="inlineStr">
        <is>
          <t>mustikajajar23@gmail.com</t>
        </is>
      </c>
      <c r="E84" t="inlineStr">
        <is>
          <t>https://lpjk.pu.go.id/search-badan-usaha-detail/S2xYNjllQ29mR3IzblVLN3h3V0Vnd001UUVDbFd2d3JjZkV5YmVFRU9Hdz0</t>
        </is>
      </c>
      <c r="F84" t="n">
        <v>1</v>
      </c>
      <c r="G84" t="inlineStr">
        <is>
          <t>BS002</t>
        </is>
      </c>
      <c r="H84" t="inlineStr">
        <is>
          <t>30 Oktober 2025</t>
        </is>
      </c>
      <c r="I84" s="2" t="n">
        <v>46268</v>
      </c>
      <c r="J84" t="inlineStr">
        <is>
          <t>Disetujui</t>
        </is>
      </c>
      <c r="K84" t="n">
        <v>90</v>
      </c>
      <c r="L84" t="inlineStr">
        <is>
          <t>3 September 2026</t>
        </is>
      </c>
      <c r="M84" t="inlineStr">
        <is>
          <t>Bangunan Sipil Jembatan, Jalan Layang, Fly Over, dan Underpass</t>
        </is>
      </c>
      <c r="N84" t="inlineStr">
        <is>
          <t>K</t>
        </is>
      </c>
      <c r="O84" t="inlineStr">
        <is>
          <t>20230214</t>
        </is>
      </c>
      <c r="P84" t="inlineStr">
        <is>
          <t>Jawa Timur</t>
        </is>
      </c>
      <c r="Q84" t="inlineStr"/>
    </row>
    <row r="85">
      <c r="A85" t="inlineStr">
        <is>
          <t>NAWASENA ADI PERSADA</t>
        </is>
      </c>
      <c r="B85" t="inlineStr">
        <is>
          <t>Kota Jambi</t>
        </is>
      </c>
      <c r="C85" t="inlineStr">
        <is>
          <t>081332697881</t>
        </is>
      </c>
      <c r="D85" t="inlineStr">
        <is>
          <t>cvnawasenaadipersada@gmail.com</t>
        </is>
      </c>
      <c r="E85" t="inlineStr">
        <is>
          <t>https://lpjk.pu.go.id/search-badan-usaha-detail/NExDWkFZWm9tMkthQnlTZW5oVEVqdz09</t>
        </is>
      </c>
      <c r="F85" t="n">
        <v>2</v>
      </c>
      <c r="G85" t="inlineStr">
        <is>
          <t>BG004</t>
        </is>
      </c>
      <c r="H85" t="inlineStr">
        <is>
          <t>21 November 2022</t>
        </is>
      </c>
      <c r="I85" s="2" t="n">
        <v>46268</v>
      </c>
      <c r="J85" t="inlineStr">
        <is>
          <t>Pencabutan</t>
        </is>
      </c>
      <c r="K85" t="n">
        <v>90</v>
      </c>
      <c r="L85" t="inlineStr">
        <is>
          <t>3 September 2026</t>
        </is>
      </c>
      <c r="M85" t="inlineStr">
        <is>
          <t>Konstruksi Gedung Perbelanjaan</t>
        </is>
      </c>
      <c r="N85" t="inlineStr">
        <is>
          <t>K</t>
        </is>
      </c>
      <c r="O85" t="inlineStr">
        <is>
          <t>20230901</t>
        </is>
      </c>
      <c r="P85" t="inlineStr">
        <is>
          <t>Jambi</t>
        </is>
      </c>
      <c r="Q85" t="inlineStr"/>
    </row>
    <row r="86">
      <c r="A86" t="inlineStr">
        <is>
          <t>NAYAKA BANGUN SINERGI</t>
        </is>
      </c>
      <c r="B86" t="inlineStr">
        <is>
          <t>Kab. Klaten</t>
        </is>
      </c>
      <c r="C86" t="inlineStr">
        <is>
          <t>081281926791</t>
        </is>
      </c>
      <c r="D86" t="inlineStr">
        <is>
          <t>nayakabangunsinergi@gmail.com</t>
        </is>
      </c>
      <c r="E86" t="inlineStr">
        <is>
          <t>https://lpjk.pu.go.id/search-badan-usaha-detail/L0J0eDJJWEZHbHl6T2UraXhaKzEyQT09</t>
        </is>
      </c>
      <c r="F86" t="n">
        <v>3</v>
      </c>
      <c r="G86" t="inlineStr">
        <is>
          <t>BG004, BG006, BG008</t>
        </is>
      </c>
      <c r="H86" t="inlineStr">
        <is>
          <t>30 Mei 2022</t>
        </is>
      </c>
      <c r="I86" s="2" t="n">
        <v>46268</v>
      </c>
      <c r="J86" t="inlineStr">
        <is>
          <t>Disetujui</t>
        </is>
      </c>
      <c r="K86" t="n">
        <v>90</v>
      </c>
      <c r="L86" t="inlineStr">
        <is>
          <t>3 September 2026</t>
        </is>
      </c>
      <c r="M86" t="inlineStr">
        <is>
          <t>Konstruksi Gedung Pendidikan, Konstruksi Gedung Perbelanjaan, Konstruksi Gedung Tempat Hiburan dan Olahraga</t>
        </is>
      </c>
      <c r="N86" t="inlineStr">
        <is>
          <t>K</t>
        </is>
      </c>
      <c r="O86" t="inlineStr">
        <is>
          <t>20230831</t>
        </is>
      </c>
      <c r="P86" t="inlineStr">
        <is>
          <t>Jawa Tengah</t>
        </is>
      </c>
      <c r="Q86" t="inlineStr"/>
    </row>
    <row r="87">
      <c r="A87" t="inlineStr">
        <is>
          <t>OMEGA</t>
        </is>
      </c>
      <c r="B87" t="inlineStr">
        <is>
          <t>Kab. Jayawijaya</t>
        </is>
      </c>
      <c r="C87" t="inlineStr">
        <is>
          <t>08124029977</t>
        </is>
      </c>
      <c r="D87" t="inlineStr">
        <is>
          <t>cv.omega85@gmail.com</t>
        </is>
      </c>
      <c r="E87" t="inlineStr">
        <is>
          <t>https://lpjk.pu.go.id/search-badan-usaha-detail/ZUM5a0lvd2YxbWd0ZFIxRzRFNHVUZz09</t>
        </is>
      </c>
      <c r="F87" t="n">
        <v>2</v>
      </c>
      <c r="G87" t="inlineStr">
        <is>
          <t>BS005</t>
        </is>
      </c>
      <c r="H87" t="inlineStr">
        <is>
          <t>12 Februari 2001</t>
        </is>
      </c>
      <c r="I87" s="2" t="n">
        <v>46268</v>
      </c>
      <c r="J87" t="inlineStr">
        <is>
          <t>Disetujui</t>
        </is>
      </c>
      <c r="K87" t="n">
        <v>90</v>
      </c>
      <c r="L87" t="inlineStr">
        <is>
          <t>3 September 2026</t>
        </is>
      </c>
      <c r="M87" t="inlineStr">
        <is>
          <t>Konstruksi Bangunan Sipil Pengolahan Air Bersih</t>
        </is>
      </c>
      <c r="N87" t="inlineStr">
        <is>
          <t>K</t>
        </is>
      </c>
      <c r="O87" t="inlineStr">
        <is>
          <t>20230904</t>
        </is>
      </c>
      <c r="P87" t="inlineStr">
        <is>
          <t>Papua</t>
        </is>
      </c>
      <c r="Q87" t="inlineStr"/>
    </row>
    <row r="88">
      <c r="A88" t="inlineStr">
        <is>
          <t>PADAT KARYA PERKASA</t>
        </is>
      </c>
      <c r="B88" t="inlineStr">
        <is>
          <t>Kab. Bolaang Mongondow Utara</t>
        </is>
      </c>
      <c r="C88" t="inlineStr">
        <is>
          <t>085332089862</t>
        </is>
      </c>
      <c r="D88" t="inlineStr">
        <is>
          <t>padatkaryaperkasa82@gmail.com</t>
        </is>
      </c>
      <c r="E88" t="inlineStr">
        <is>
          <t>https://lpjk.pu.go.id/search-badan-usaha-detail/OEJJZTFobW9EWVljWHVsU0Nndy83dz09</t>
        </is>
      </c>
      <c r="F88" t="n">
        <v>1</v>
      </c>
      <c r="G88" t="inlineStr">
        <is>
          <t>BG006</t>
        </is>
      </c>
      <c r="H88" t="inlineStr">
        <is>
          <t>25 Mei 2022</t>
        </is>
      </c>
      <c r="I88" s="2" t="n">
        <v>46268</v>
      </c>
      <c r="J88" t="inlineStr">
        <is>
          <t>Disetujui</t>
        </is>
      </c>
      <c r="K88" t="n">
        <v>90</v>
      </c>
      <c r="L88" t="inlineStr">
        <is>
          <t>3 September 2026</t>
        </is>
      </c>
      <c r="M88" t="inlineStr">
        <is>
          <t>Konstruksi Gedung Pendidikan</t>
        </is>
      </c>
      <c r="N88" t="inlineStr">
        <is>
          <t>K</t>
        </is>
      </c>
      <c r="O88" t="inlineStr">
        <is>
          <t>20230831</t>
        </is>
      </c>
      <c r="P88" t="inlineStr">
        <is>
          <t>Sulawesi Utara</t>
        </is>
      </c>
      <c r="Q88" t="inlineStr"/>
    </row>
    <row r="89">
      <c r="A89" t="inlineStr">
        <is>
          <t>PADATI BOLON</t>
        </is>
      </c>
      <c r="B89" t="inlineStr">
        <is>
          <t>Kab. Dairi</t>
        </is>
      </c>
      <c r="C89" t="inlineStr">
        <is>
          <t>081263945665</t>
        </is>
      </c>
      <c r="D89" t="inlineStr">
        <is>
          <t>andreassimbolon820@yahoo.com</t>
        </is>
      </c>
      <c r="E89" t="inlineStr">
        <is>
          <t>https://lpjk.pu.go.id/search-badan-usaha-detail/NHFLbUZuNVNqa3RkU0lJY0hTOU5WQT09</t>
        </is>
      </c>
      <c r="F89" t="n">
        <v>1</v>
      </c>
      <c r="G89" t="inlineStr">
        <is>
          <t>BG006</t>
        </is>
      </c>
      <c r="H89" t="inlineStr">
        <is>
          <t>19 April 2022</t>
        </is>
      </c>
      <c r="I89" s="2" t="n">
        <v>46268</v>
      </c>
      <c r="J89" t="inlineStr">
        <is>
          <t>Disetujui</t>
        </is>
      </c>
      <c r="K89" t="n">
        <v>90</v>
      </c>
      <c r="L89" t="inlineStr">
        <is>
          <t>3 September 2026</t>
        </is>
      </c>
      <c r="M89" t="inlineStr">
        <is>
          <t>Konstruksi Gedung Pendidikan</t>
        </is>
      </c>
      <c r="N89" t="inlineStr">
        <is>
          <t>K</t>
        </is>
      </c>
      <c r="O89" t="inlineStr">
        <is>
          <t>20230901</t>
        </is>
      </c>
      <c r="P89" t="inlineStr">
        <is>
          <t>Sumatera Utara</t>
        </is>
      </c>
      <c r="Q89" t="inlineStr"/>
    </row>
    <row r="90">
      <c r="A90" t="inlineStr">
        <is>
          <t>PANCA SURYA</t>
        </is>
      </c>
      <c r="B90" t="inlineStr">
        <is>
          <t>Kota Yogyakarta</t>
        </is>
      </c>
      <c r="C90" t="inlineStr">
        <is>
          <t>081352728055</t>
        </is>
      </c>
      <c r="D90" t="inlineStr">
        <is>
          <t>pancasurya.cv@gmail.com</t>
        </is>
      </c>
      <c r="E90" t="inlineStr">
        <is>
          <t>https://lpjk.pu.go.id/search-badan-usaha-detail/RW5QbHgzSnlaSlZIN3hHeWtaUGFydz09</t>
        </is>
      </c>
      <c r="F90" t="n">
        <v>1</v>
      </c>
      <c r="G90" t="inlineStr">
        <is>
          <t>BG009</t>
        </is>
      </c>
      <c r="H90" t="inlineStr">
        <is>
          <t>21 Agustus 2000</t>
        </is>
      </c>
      <c r="I90" s="2" t="n">
        <v>46268</v>
      </c>
      <c r="J90" t="inlineStr">
        <is>
          <t>Disetujui</t>
        </is>
      </c>
      <c r="K90" t="n">
        <v>90</v>
      </c>
      <c r="L90" t="inlineStr">
        <is>
          <t>3 September 2026</t>
        </is>
      </c>
      <c r="M90" t="inlineStr">
        <is>
          <t>Konstruksi Gedung Lainnya</t>
        </is>
      </c>
      <c r="N90" t="inlineStr">
        <is>
          <t>K</t>
        </is>
      </c>
      <c r="O90" t="inlineStr">
        <is>
          <t>20230824</t>
        </is>
      </c>
      <c r="P90" t="inlineStr">
        <is>
          <t>DI Yogyakarta</t>
        </is>
      </c>
      <c r="Q90" t="inlineStr"/>
    </row>
    <row r="91">
      <c r="A91" t="inlineStr">
        <is>
          <t>PANEN AGRO PRATAMA</t>
        </is>
      </c>
      <c r="B91" t="inlineStr">
        <is>
          <t>Kab. Solok Selatan</t>
        </is>
      </c>
      <c r="C91" t="inlineStr">
        <is>
          <t>08128664143</t>
        </is>
      </c>
      <c r="D91" t="inlineStr">
        <is>
          <t>panenagropratama@gmail.com</t>
        </is>
      </c>
      <c r="E91" t="inlineStr">
        <is>
          <t>https://lpjk.pu.go.id/search-badan-usaha-detail/YWtFMWRDUEZ0MjF6UGZFT1RWVnpQdz09</t>
        </is>
      </c>
      <c r="F91" t="n">
        <v>1</v>
      </c>
      <c r="G91" t="inlineStr">
        <is>
          <t>BS001</t>
        </is>
      </c>
      <c r="H91" t="inlineStr">
        <is>
          <t>14 Maret 2018</t>
        </is>
      </c>
      <c r="I91" s="2" t="n">
        <v>46268</v>
      </c>
      <c r="J91" t="inlineStr">
        <is>
          <t>Disetujui</t>
        </is>
      </c>
      <c r="K91" t="n">
        <v>90</v>
      </c>
      <c r="L91" t="inlineStr">
        <is>
          <t>3 September 2026</t>
        </is>
      </c>
      <c r="M91" t="inlineStr">
        <is>
          <t>Konstruksi Bangunan Sipil Jalan</t>
        </is>
      </c>
      <c r="N91" t="inlineStr">
        <is>
          <t>K</t>
        </is>
      </c>
      <c r="O91" t="inlineStr">
        <is>
          <t>20230904</t>
        </is>
      </c>
      <c r="P91" t="inlineStr">
        <is>
          <t>Sumatera Barat</t>
        </is>
      </c>
      <c r="Q91" t="inlineStr"/>
    </row>
    <row r="92">
      <c r="A92" t="inlineStr">
        <is>
          <t>PARAMA DHARMA</t>
        </is>
      </c>
      <c r="B92" t="inlineStr">
        <is>
          <t>Kota Adm. Jakarta Selatan</t>
        </is>
      </c>
      <c r="C92" t="inlineStr">
        <is>
          <t>0217253008</t>
        </is>
      </c>
      <c r="D92" t="inlineStr">
        <is>
          <t>construction@paramadharma.co.id</t>
        </is>
      </c>
      <c r="E92" t="inlineStr">
        <is>
          <t>https://lpjk.pu.go.id/search-badan-usaha-detail/MEFuU0I3U0kxQi83UFJqQXFac0xFQT09</t>
        </is>
      </c>
      <c r="F92" t="n">
        <v>1</v>
      </c>
      <c r="G92" t="inlineStr">
        <is>
          <t>BG006</t>
        </is>
      </c>
      <c r="H92" t="inlineStr">
        <is>
          <t>8 November 1982</t>
        </is>
      </c>
      <c r="I92" s="2" t="n">
        <v>46268</v>
      </c>
      <c r="J92" t="inlineStr">
        <is>
          <t>Disetujui</t>
        </is>
      </c>
      <c r="K92" t="n">
        <v>90</v>
      </c>
      <c r="L92" t="inlineStr">
        <is>
          <t>3 September 2026</t>
        </is>
      </c>
      <c r="M92" t="inlineStr">
        <is>
          <t>Konstruksi Gedung Pendidikan</t>
        </is>
      </c>
      <c r="N92" t="inlineStr">
        <is>
          <t>M</t>
        </is>
      </c>
      <c r="O92" t="inlineStr">
        <is>
          <t>20230829</t>
        </is>
      </c>
      <c r="P92" t="inlineStr">
        <is>
          <t>DKI Jakarta</t>
        </is>
      </c>
      <c r="Q92" t="inlineStr"/>
    </row>
    <row r="93">
      <c r="A93" t="inlineStr">
        <is>
          <t>PEMBANGUNAN BUMI CENDRAWASIH</t>
        </is>
      </c>
      <c r="B93" t="inlineStr">
        <is>
          <t>Kota Jayapura</t>
        </is>
      </c>
      <c r="C93" t="inlineStr">
        <is>
          <t>08124801690</t>
        </is>
      </c>
      <c r="D93" t="inlineStr">
        <is>
          <t>ptpembangunanbumicendrawasih@gmail.com</t>
        </is>
      </c>
      <c r="E93" t="inlineStr">
        <is>
          <t>https://lpjk.pu.go.id/search-badan-usaha-detail/dnR3STdqVTNNNnJFTW1Hd1ltMzhOUT09</t>
        </is>
      </c>
      <c r="F93" t="n">
        <v>1</v>
      </c>
      <c r="G93" t="inlineStr">
        <is>
          <t>BG001</t>
        </is>
      </c>
      <c r="H93" t="inlineStr">
        <is>
          <t>15 Mei 1996</t>
        </is>
      </c>
      <c r="I93" s="2" t="n">
        <v>46268</v>
      </c>
      <c r="J93" t="inlineStr">
        <is>
          <t>Pencabutan</t>
        </is>
      </c>
      <c r="K93" t="n">
        <v>90</v>
      </c>
      <c r="L93" t="inlineStr">
        <is>
          <t>3 September 2026</t>
        </is>
      </c>
      <c r="M93" t="inlineStr">
        <is>
          <t>Konstruksi Gedung Hunian</t>
        </is>
      </c>
      <c r="N93" t="inlineStr">
        <is>
          <t>M</t>
        </is>
      </c>
      <c r="O93" t="inlineStr">
        <is>
          <t>20230821</t>
        </is>
      </c>
      <c r="P93" t="inlineStr">
        <is>
          <t>Papua</t>
        </is>
      </c>
      <c r="Q93" t="inlineStr"/>
    </row>
    <row r="94">
      <c r="A94" t="inlineStr">
        <is>
          <t>PERKASA SUKSES JAYA TEKNINDO</t>
        </is>
      </c>
      <c r="B94" t="inlineStr">
        <is>
          <t>Kota Tangerang Selatan</t>
        </is>
      </c>
      <c r="C94" t="inlineStr">
        <is>
          <t>02129313480</t>
        </is>
      </c>
      <c r="D94" t="inlineStr">
        <is>
          <t>pt.perkasasuksesjayateknindo@gmail.com</t>
        </is>
      </c>
      <c r="E94" t="inlineStr">
        <is>
          <t>https://lpjk.pu.go.id/search-badan-usaha-detail/MkVpWGZCMzZuQ1Y0R2h6V3FRblZEZz09</t>
        </is>
      </c>
      <c r="F94" t="n">
        <v>1</v>
      </c>
      <c r="G94" t="inlineStr">
        <is>
          <t>IN001</t>
        </is>
      </c>
      <c r="H94" t="inlineStr">
        <is>
          <t>24 September 2018</t>
        </is>
      </c>
      <c r="I94" s="2" t="n">
        <v>46268</v>
      </c>
      <c r="J94" t="inlineStr">
        <is>
          <t>Pembekuan</t>
        </is>
      </c>
      <c r="K94" t="n">
        <v>90</v>
      </c>
      <c r="L94" t="inlineStr">
        <is>
          <t>3 September 2026</t>
        </is>
      </c>
      <c r="M94" t="inlineStr">
        <is>
          <t>Instalasi Mekanikal</t>
        </is>
      </c>
      <c r="N94" t="inlineStr">
        <is>
          <t>Spesialis</t>
        </is>
      </c>
      <c r="O94" t="inlineStr">
        <is>
          <t>20230809</t>
        </is>
      </c>
      <c r="P94" t="inlineStr">
        <is>
          <t>Banten</t>
        </is>
      </c>
      <c r="Q94" t="inlineStr"/>
    </row>
    <row r="95">
      <c r="A95" t="inlineStr">
        <is>
          <t>PERMATA JAYA KARYA</t>
        </is>
      </c>
      <c r="B95" t="inlineStr">
        <is>
          <t>Kab. Malinau</t>
        </is>
      </c>
      <c r="C95" t="inlineStr">
        <is>
          <t>085250211107</t>
        </is>
      </c>
      <c r="D95" t="inlineStr">
        <is>
          <t>permatajayakarya@gmail.com</t>
        </is>
      </c>
      <c r="E95" t="inlineStr">
        <is>
          <t>https://lpjk.pu.go.id/search-badan-usaha-detail/azAzMjdOTTB1dW13YnlJeFpiMW8wUT09</t>
        </is>
      </c>
      <c r="F95" t="n">
        <v>1</v>
      </c>
      <c r="G95" t="inlineStr">
        <is>
          <t>BS001</t>
        </is>
      </c>
      <c r="H95" t="inlineStr">
        <is>
          <t>31 Januari 2023</t>
        </is>
      </c>
      <c r="I95" s="2" t="n">
        <v>46268</v>
      </c>
      <c r="J95" t="inlineStr">
        <is>
          <t>Disetujui</t>
        </is>
      </c>
      <c r="K95" t="n">
        <v>90</v>
      </c>
      <c r="L95" t="inlineStr">
        <is>
          <t>3 September 2026</t>
        </is>
      </c>
      <c r="M95" t="inlineStr">
        <is>
          <t>Konstruksi Bangunan Sipil Jalan</t>
        </is>
      </c>
      <c r="N95" t="inlineStr">
        <is>
          <t>K</t>
        </is>
      </c>
      <c r="O95" t="inlineStr">
        <is>
          <t>20230902</t>
        </is>
      </c>
      <c r="P95" t="inlineStr">
        <is>
          <t>Kalimantan Utara</t>
        </is>
      </c>
      <c r="Q95" t="inlineStr"/>
    </row>
    <row r="96">
      <c r="A96" t="inlineStr">
        <is>
          <t>PILAR MANDIRI</t>
        </is>
      </c>
      <c r="B96" t="inlineStr">
        <is>
          <t>Kab. Jember</t>
        </is>
      </c>
      <c r="C96" t="inlineStr">
        <is>
          <t>081231708313</t>
        </is>
      </c>
      <c r="D96" t="inlineStr">
        <is>
          <t>dodik3f@gmail.com</t>
        </is>
      </c>
      <c r="E96" t="inlineStr">
        <is>
          <t>https://lpjk.pu.go.id/search-badan-usaha-detail/TEpCUWhMa0MzbThRaFd6NWZQMHI5QT09</t>
        </is>
      </c>
      <c r="F96" t="n">
        <v>1</v>
      </c>
      <c r="G96" t="inlineStr">
        <is>
          <t>BG002</t>
        </is>
      </c>
      <c r="H96" t="inlineStr">
        <is>
          <t>4 April 2016</t>
        </is>
      </c>
      <c r="I96" s="2" t="n">
        <v>46268</v>
      </c>
      <c r="J96" t="inlineStr">
        <is>
          <t>Disetujui</t>
        </is>
      </c>
      <c r="K96" t="n">
        <v>90</v>
      </c>
      <c r="L96" t="inlineStr">
        <is>
          <t>3 September 2026</t>
        </is>
      </c>
      <c r="M96" t="inlineStr">
        <is>
          <t>Konstruksi Gedung Perkantoran</t>
        </is>
      </c>
      <c r="N96" t="inlineStr">
        <is>
          <t>K</t>
        </is>
      </c>
      <c r="O96" t="inlineStr">
        <is>
          <t>20230810</t>
        </is>
      </c>
      <c r="P96" t="inlineStr">
        <is>
          <t>Jawa Timur</t>
        </is>
      </c>
      <c r="Q96" t="inlineStr"/>
    </row>
    <row r="97">
      <c r="A97" t="inlineStr">
        <is>
          <t>POS PROPERTI INDONESIA</t>
        </is>
      </c>
      <c r="B97" t="inlineStr">
        <is>
          <t>Kota Bandung</t>
        </is>
      </c>
      <c r="C97" t="inlineStr">
        <is>
          <t>081229875285</t>
        </is>
      </c>
      <c r="D97" t="inlineStr">
        <is>
          <t>dianfermana@posproperti.co.id</t>
        </is>
      </c>
      <c r="E97" t="inlineStr">
        <is>
          <t>https://lpjk.pu.go.id/search-badan-usaha-detail/MWJySDNWUTBDc2w0ajk0S3l5TGZyZz09</t>
        </is>
      </c>
      <c r="F97" t="n">
        <v>1</v>
      </c>
      <c r="G97" t="inlineStr">
        <is>
          <t>BS001</t>
        </is>
      </c>
      <c r="H97" t="inlineStr">
        <is>
          <t>31 Desember 2013</t>
        </is>
      </c>
      <c r="I97" s="2" t="n">
        <v>46268</v>
      </c>
      <c r="J97" t="inlineStr">
        <is>
          <t>Disetujui</t>
        </is>
      </c>
      <c r="K97" t="n">
        <v>90</v>
      </c>
      <c r="L97" t="inlineStr">
        <is>
          <t>3 September 2026</t>
        </is>
      </c>
      <c r="M97" t="inlineStr">
        <is>
          <t>Konstruksi Bangunan Sipil Jalan</t>
        </is>
      </c>
      <c r="N97" t="inlineStr">
        <is>
          <t>K</t>
        </is>
      </c>
      <c r="O97" t="inlineStr">
        <is>
          <t>20230829</t>
        </is>
      </c>
      <c r="P97" t="inlineStr">
        <is>
          <t>Jawa Barat</t>
        </is>
      </c>
      <c r="Q97" t="inlineStr"/>
    </row>
    <row r="98">
      <c r="A98" t="inlineStr">
        <is>
          <t>PRATIWI CITRA MEDIKA</t>
        </is>
      </c>
      <c r="B98" t="inlineStr">
        <is>
          <t>Kota Samarinda</t>
        </is>
      </c>
      <c r="C98" t="inlineStr">
        <is>
          <t>081253790030</t>
        </is>
      </c>
      <c r="D98" t="inlineStr">
        <is>
          <t>cvpratiwicitramedika@gmail.com</t>
        </is>
      </c>
      <c r="E98" t="inlineStr">
        <is>
          <t>https://lpjk.pu.go.id/search-badan-usaha-detail/dGhaOGNOSEIybVB0Z3N3WFpWM1p3ZmZYTGt2NzArVkFONWVpTlhIS3Uxaz0</t>
        </is>
      </c>
      <c r="F98" t="n">
        <v>1</v>
      </c>
      <c r="G98" t="inlineStr">
        <is>
          <t>BS001</t>
        </is>
      </c>
      <c r="H98" t="inlineStr">
        <is>
          <t>27 Juni 2023</t>
        </is>
      </c>
      <c r="I98" s="2" t="n">
        <v>46268</v>
      </c>
      <c r="J98" t="inlineStr">
        <is>
          <t>Disetujui</t>
        </is>
      </c>
      <c r="K98" t="n">
        <v>90</v>
      </c>
      <c r="L98" t="inlineStr">
        <is>
          <t>3 September 2026</t>
        </is>
      </c>
      <c r="M98" t="inlineStr">
        <is>
          <t>Konstruksi Bangunan Sipil Jalan</t>
        </is>
      </c>
      <c r="N98" t="inlineStr">
        <is>
          <t>K</t>
        </is>
      </c>
      <c r="O98" t="inlineStr">
        <is>
          <t>20230904</t>
        </is>
      </c>
      <c r="P98" t="inlineStr">
        <is>
          <t>Kalimantan Timur</t>
        </is>
      </c>
      <c r="Q98" t="inlineStr"/>
    </row>
    <row r="99">
      <c r="A99" t="inlineStr">
        <is>
          <t>PRIMA DINAMIKA ENGINEERING CONSULTANT</t>
        </is>
      </c>
      <c r="B99" t="inlineStr">
        <is>
          <t>Kota Mataram</t>
        </is>
      </c>
      <c r="C99" t="inlineStr">
        <is>
          <t>081907078658</t>
        </is>
      </c>
      <c r="D99" t="inlineStr">
        <is>
          <t>prima_dinamika17@yahoo.co.id</t>
        </is>
      </c>
      <c r="E99" t="inlineStr">
        <is>
          <t>https://lpjk.pu.go.id/search-badan-usaha-detail/ZnRlc1RIeFlvaU02bjFMNWN0QWl1Zz09</t>
        </is>
      </c>
      <c r="F99" t="n">
        <v>5</v>
      </c>
      <c r="G99" t="inlineStr">
        <is>
          <t>AR001, AR002, RK001, RK003, RK004</t>
        </is>
      </c>
      <c r="H99" t="inlineStr">
        <is>
          <t>17 Januari 2012</t>
        </is>
      </c>
      <c r="I99" s="2" t="n">
        <v>46268</v>
      </c>
      <c r="J99" t="inlineStr">
        <is>
          <t>Disetujui</t>
        </is>
      </c>
      <c r="K99" t="n">
        <v>90</v>
      </c>
      <c r="L99" t="inlineStr">
        <is>
          <t>3 September 2026</t>
        </is>
      </c>
      <c r="M99" t="inlineStr">
        <is>
          <t>Jasa Arsitektural Bangunan Gedung Hunian dan Non Hunian, Jasa Arsitektural Lainnya, Jasa Rekayasa Konstruksi Bangunan Gedung Hunian dan Non Hunian, Jasa Rekayasa Pekerjaan Mekanikal Dalam Bangunan, Jasa Rekayasa Pekerjaan Teknik Sipil Transportasi</t>
        </is>
      </c>
      <c r="N99" t="inlineStr">
        <is>
          <t>K</t>
        </is>
      </c>
      <c r="O99" t="inlineStr">
        <is>
          <t>20230810, 20230814</t>
        </is>
      </c>
      <c r="P99" t="inlineStr">
        <is>
          <t>Nusa Tenggara Barat</t>
        </is>
      </c>
      <c r="Q99" t="inlineStr"/>
    </row>
    <row r="100">
      <c r="A100" t="inlineStr">
        <is>
          <t>PUJI AGUNG</t>
        </is>
      </c>
      <c r="B100" t="inlineStr">
        <is>
          <t>Kab. Bojonegoro</t>
        </is>
      </c>
      <c r="C100" t="inlineStr">
        <is>
          <t>085232132882</t>
        </is>
      </c>
      <c r="D100" t="inlineStr">
        <is>
          <t>cvpujiagung11@gmail.com</t>
        </is>
      </c>
      <c r="E100" t="inlineStr">
        <is>
          <t>https://lpjk.pu.go.id/search-badan-usaha-detail/VDM3OTIyOEVUdHp3QlpEMzU5NzB2dz09</t>
        </is>
      </c>
      <c r="F100" t="n">
        <v>2</v>
      </c>
      <c r="G100" t="inlineStr">
        <is>
          <t>BS004, BS010</t>
        </is>
      </c>
      <c r="H100" t="inlineStr">
        <is>
          <t>20 Juni 2016</t>
        </is>
      </c>
      <c r="I100" s="2" t="n">
        <v>46268</v>
      </c>
      <c r="J100" t="inlineStr">
        <is>
          <t>Disetujui</t>
        </is>
      </c>
      <c r="K100" t="n">
        <v>90</v>
      </c>
      <c r="L100" t="inlineStr">
        <is>
          <t>3 September 2026</t>
        </is>
      </c>
      <c r="M100" t="inlineStr">
        <is>
          <t>Konstruksi Bangunan Prasarana Sumber Daya Air, Konstruksi Jaringan Irigasi dan Drainase</t>
        </is>
      </c>
      <c r="N100" t="inlineStr">
        <is>
          <t>K</t>
        </is>
      </c>
      <c r="O100" t="inlineStr">
        <is>
          <t>20230901</t>
        </is>
      </c>
      <c r="P100" t="inlineStr">
        <is>
          <t>Jawa Timur</t>
        </is>
      </c>
      <c r="Q100" t="inlineStr"/>
    </row>
    <row r="101">
      <c r="A101" t="inlineStr">
        <is>
          <t>PURI GLOBAL SUKSES</t>
        </is>
      </c>
      <c r="B101" t="inlineStr">
        <is>
          <t>Kota Batam</t>
        </is>
      </c>
      <c r="C101" t="inlineStr">
        <is>
          <t>07787890079</t>
        </is>
      </c>
      <c r="D101" t="inlineStr">
        <is>
          <t>puriglobalsukses@gmail.com</t>
        </is>
      </c>
      <c r="E101" t="inlineStr">
        <is>
          <t>https://lpjk.pu.go.id/search-badan-usaha-detail/WlRlU1FvVHk0US9vRUZCUzdDOHAyUT09</t>
        </is>
      </c>
      <c r="F101" t="n">
        <v>3</v>
      </c>
      <c r="G101" t="inlineStr">
        <is>
          <t>BG001, BG002, BG004</t>
        </is>
      </c>
      <c r="H101" t="inlineStr">
        <is>
          <t>20 Januari 2016</t>
        </is>
      </c>
      <c r="I101" s="2" t="n">
        <v>46268</v>
      </c>
      <c r="J101" t="inlineStr">
        <is>
          <t>Disetujui</t>
        </is>
      </c>
      <c r="K101" t="n">
        <v>90</v>
      </c>
      <c r="L101" t="inlineStr">
        <is>
          <t>3 September 2026</t>
        </is>
      </c>
      <c r="M101" t="inlineStr">
        <is>
          <t>Konstruksi Gedung Hunian, Konstruksi Gedung Perbelanjaan, Konstruksi Gedung Perkantoran</t>
        </is>
      </c>
      <c r="N101" t="inlineStr">
        <is>
          <t>K</t>
        </is>
      </c>
      <c r="O101" t="inlineStr">
        <is>
          <t>20230901</t>
        </is>
      </c>
      <c r="P101" t="inlineStr">
        <is>
          <t>Kepulauan Riau</t>
        </is>
      </c>
      <c r="Q101" t="inlineStr"/>
    </row>
    <row r="102">
      <c r="A102" t="inlineStr">
        <is>
          <t>PUTRA PILIANG</t>
        </is>
      </c>
      <c r="B102" t="inlineStr">
        <is>
          <t>Kota Payakumbuh</t>
        </is>
      </c>
      <c r="C102" t="inlineStr">
        <is>
          <t>082385345220</t>
        </is>
      </c>
      <c r="D102" t="inlineStr">
        <is>
          <t>cvputrapiliang@gmail.com</t>
        </is>
      </c>
      <c r="E102" t="inlineStr">
        <is>
          <t>https://lpjk.pu.go.id/search-badan-usaha-detail/Y0xYMGx2WW9kTTJVRjJTeFBKNXdldz09</t>
        </is>
      </c>
      <c r="F102" t="n">
        <v>1</v>
      </c>
      <c r="G102" t="inlineStr">
        <is>
          <t>BG005</t>
        </is>
      </c>
      <c r="H102" t="inlineStr">
        <is>
          <t>3 Desember 2015</t>
        </is>
      </c>
      <c r="I102" s="2" t="n">
        <v>46268</v>
      </c>
      <c r="J102" t="inlineStr">
        <is>
          <t>Disetujui</t>
        </is>
      </c>
      <c r="K102" t="n">
        <v>90</v>
      </c>
      <c r="L102" t="inlineStr">
        <is>
          <t>3 September 2026</t>
        </is>
      </c>
      <c r="M102" t="inlineStr">
        <is>
          <t>Konstruksi Gedung Kesehatan</t>
        </is>
      </c>
      <c r="N102" t="inlineStr">
        <is>
          <t>K</t>
        </is>
      </c>
      <c r="O102" t="inlineStr">
        <is>
          <t>20230901</t>
        </is>
      </c>
      <c r="P102" t="inlineStr">
        <is>
          <t>Sumatera Barat</t>
        </is>
      </c>
      <c r="Q102" t="inlineStr"/>
    </row>
    <row r="103">
      <c r="A103" t="inlineStr">
        <is>
          <t>PUTRA SIMPANG LIMA</t>
        </is>
      </c>
      <c r="B103" t="inlineStr">
        <is>
          <t>Kab. Garut</t>
        </is>
      </c>
      <c r="C103" t="inlineStr">
        <is>
          <t>08983068657</t>
        </is>
      </c>
      <c r="D103" t="inlineStr">
        <is>
          <t>cvputrasimpanglima4@gmail.com</t>
        </is>
      </c>
      <c r="E103" t="inlineStr">
        <is>
          <t>https://lpjk.pu.go.id/search-badan-usaha-detail/L1lOblcwbkJFWnRZUWxlZVRUOGwxZz09</t>
        </is>
      </c>
      <c r="F103" t="n">
        <v>1</v>
      </c>
      <c r="G103" t="inlineStr">
        <is>
          <t>BS004</t>
        </is>
      </c>
      <c r="H103" t="inlineStr">
        <is>
          <t>4 Maret 2020</t>
        </is>
      </c>
      <c r="I103" s="2" t="n">
        <v>46268</v>
      </c>
      <c r="J103" t="inlineStr">
        <is>
          <t>Disetujui</t>
        </is>
      </c>
      <c r="K103" t="n">
        <v>90</v>
      </c>
      <c r="L103" t="inlineStr">
        <is>
          <t>3 September 2026</t>
        </is>
      </c>
      <c r="M103" t="inlineStr">
        <is>
          <t>Konstruksi Jaringan Irigasi dan Drainase</t>
        </is>
      </c>
      <c r="N103" t="inlineStr">
        <is>
          <t>K</t>
        </is>
      </c>
      <c r="O103" t="inlineStr">
        <is>
          <t>20230831</t>
        </is>
      </c>
      <c r="P103" t="inlineStr">
        <is>
          <t>Jawa Barat</t>
        </is>
      </c>
      <c r="Q103" t="inlineStr"/>
    </row>
    <row r="104">
      <c r="A104" t="inlineStr">
        <is>
          <t>QUANTUM ENERGI KHATULISTIWA</t>
        </is>
      </c>
      <c r="B104" t="inlineStr">
        <is>
          <t>Kota Bontang</t>
        </is>
      </c>
      <c r="C104" t="inlineStr">
        <is>
          <t>081345785758</t>
        </is>
      </c>
      <c r="D104" t="inlineStr">
        <is>
          <t>khatulistiwaquantumenergi@gmail.com</t>
        </is>
      </c>
      <c r="E104" t="inlineStr">
        <is>
          <t>https://lpjk.pu.go.id/search-badan-usaha-detail/N1RGL1U1RkRpbzU3c0kyS25zMDZLQT09</t>
        </is>
      </c>
      <c r="F104" t="n">
        <v>1</v>
      </c>
      <c r="G104" t="inlineStr">
        <is>
          <t>BG003</t>
        </is>
      </c>
      <c r="H104" t="inlineStr">
        <is>
          <t>18 Mei 2017</t>
        </is>
      </c>
      <c r="I104" s="2" t="n">
        <v>46268</v>
      </c>
      <c r="J104" t="inlineStr">
        <is>
          <t>Disetujui</t>
        </is>
      </c>
      <c r="K104" t="n">
        <v>90</v>
      </c>
      <c r="L104" t="inlineStr">
        <is>
          <t>3 September 2026</t>
        </is>
      </c>
      <c r="M104" t="inlineStr">
        <is>
          <t>Konstruksi Gedung Industri</t>
        </is>
      </c>
      <c r="N104" t="inlineStr">
        <is>
          <t>K</t>
        </is>
      </c>
      <c r="O104" t="inlineStr">
        <is>
          <t>20230901</t>
        </is>
      </c>
      <c r="P104" t="inlineStr">
        <is>
          <t>Kalimantan Timur</t>
        </is>
      </c>
      <c r="Q104" t="inlineStr"/>
    </row>
    <row r="105">
      <c r="A105" t="inlineStr">
        <is>
          <t>RADEN GALUH</t>
        </is>
      </c>
      <c r="B105" t="inlineStr">
        <is>
          <t>Kota Bandar Lampung</t>
        </is>
      </c>
      <c r="C105" t="inlineStr">
        <is>
          <t>-</t>
        </is>
      </c>
      <c r="D105" t="inlineStr">
        <is>
          <t>-</t>
        </is>
      </c>
      <c r="E105" t="inlineStr">
        <is>
          <t>https://lpjk.pu.go.id/search-badan-usaha-detail/MXBJSG1VemNzQndCRTFsWVJyQklodz09</t>
        </is>
      </c>
      <c r="F105" t="n">
        <v>1</v>
      </c>
      <c r="G105" t="inlineStr">
        <is>
          <t>BG002</t>
        </is>
      </c>
      <c r="H105" t="inlineStr">
        <is>
          <t>27 Desember 2013</t>
        </is>
      </c>
      <c r="I105" s="2" t="n">
        <v>46268</v>
      </c>
      <c r="J105" t="inlineStr">
        <is>
          <t>Disetujui</t>
        </is>
      </c>
      <c r="K105" t="n">
        <v>90</v>
      </c>
      <c r="L105" t="inlineStr">
        <is>
          <t>3 September 2026</t>
        </is>
      </c>
      <c r="M105" t="inlineStr">
        <is>
          <t>Konstruksi Gedung Perkantoran</t>
        </is>
      </c>
      <c r="N105" t="inlineStr">
        <is>
          <t>K</t>
        </is>
      </c>
      <c r="O105" t="inlineStr">
        <is>
          <t>20230903</t>
        </is>
      </c>
      <c r="P105" t="inlineStr">
        <is>
          <t>Lampung</t>
        </is>
      </c>
      <c r="Q105" t="inlineStr"/>
    </row>
    <row r="106">
      <c r="A106" t="inlineStr">
        <is>
          <t>RAHMA AULIA MANDIRI</t>
        </is>
      </c>
      <c r="B106" t="inlineStr">
        <is>
          <t>Kab. Bandung Barat</t>
        </is>
      </c>
      <c r="C106" t="inlineStr">
        <is>
          <t>083822781148</t>
        </is>
      </c>
      <c r="D106" t="inlineStr">
        <is>
          <t>rahma.auliamandirikbb223@gmail.com</t>
        </is>
      </c>
      <c r="E106" t="inlineStr">
        <is>
          <t>https://lpjk.pu.go.id/search-badan-usaha-detail/cGFVQktFUEFOK1NKcWMyZUFxNEpVdz09</t>
        </is>
      </c>
      <c r="F106" t="n">
        <v>2</v>
      </c>
      <c r="G106" t="inlineStr">
        <is>
          <t>BG006, BG009</t>
        </is>
      </c>
      <c r="H106" t="inlineStr">
        <is>
          <t>25 Januari 2019</t>
        </is>
      </c>
      <c r="I106" s="2" t="n">
        <v>46268</v>
      </c>
      <c r="J106" t="inlineStr">
        <is>
          <t>Disetujui</t>
        </is>
      </c>
      <c r="K106" t="n">
        <v>90</v>
      </c>
      <c r="L106" t="inlineStr">
        <is>
          <t>3 September 2026</t>
        </is>
      </c>
      <c r="M106" t="inlineStr">
        <is>
          <t>Konstruksi Gedung Lainnya, Konstruksi Gedung Pendidikan</t>
        </is>
      </c>
      <c r="N106" t="inlineStr">
        <is>
          <t>K</t>
        </is>
      </c>
      <c r="O106" t="inlineStr">
        <is>
          <t>20230830</t>
        </is>
      </c>
      <c r="P106" t="inlineStr">
        <is>
          <t>Jawa Barat</t>
        </is>
      </c>
      <c r="Q106" t="inlineStr"/>
    </row>
    <row r="107">
      <c r="A107" t="inlineStr">
        <is>
          <t>RAJA AKBAR</t>
        </is>
      </c>
      <c r="B107" t="inlineStr">
        <is>
          <t>Kota Padang Sidempuan</t>
        </is>
      </c>
      <c r="C107" t="inlineStr">
        <is>
          <t>082276721177</t>
        </is>
      </c>
      <c r="D107" t="inlineStr">
        <is>
          <t>cv_rajaakbar@yahoo.com</t>
        </is>
      </c>
      <c r="E107" t="inlineStr">
        <is>
          <t>https://lpjk.pu.go.id/search-badan-usaha-detail/RGZPTWVuTHRaWXBhaUdVbE8wYklNQT09</t>
        </is>
      </c>
      <c r="F107" t="n">
        <v>4</v>
      </c>
      <c r="G107" t="inlineStr">
        <is>
          <t>BG006, BG009, BS001, BS004</t>
        </is>
      </c>
      <c r="H107" t="inlineStr">
        <is>
          <t>20 Januari 2016</t>
        </is>
      </c>
      <c r="I107" s="2" t="n">
        <v>46268</v>
      </c>
      <c r="J107" t="inlineStr">
        <is>
          <t>Disetujui</t>
        </is>
      </c>
      <c r="K107" t="n">
        <v>90</v>
      </c>
      <c r="L107" t="inlineStr">
        <is>
          <t>3 September 2026</t>
        </is>
      </c>
      <c r="M107" t="inlineStr">
        <is>
          <t>Konstruksi Bangunan Sipil Jalan, Konstruksi Gedung Lainnya, Konstruksi Gedung Pendidikan, Konstruksi Jaringan Irigasi dan Drainase</t>
        </is>
      </c>
      <c r="N107" t="inlineStr">
        <is>
          <t>K</t>
        </is>
      </c>
      <c r="O107" t="inlineStr">
        <is>
          <t>20230812, 20230813</t>
        </is>
      </c>
      <c r="P107" t="inlineStr">
        <is>
          <t>Sumatera Utara</t>
        </is>
      </c>
      <c r="Q107" t="inlineStr"/>
    </row>
    <row r="108">
      <c r="A108" t="inlineStr">
        <is>
          <t>RAJAWALI DHARMA</t>
        </is>
      </c>
      <c r="B108" t="inlineStr">
        <is>
          <t>Kota Medan</t>
        </is>
      </c>
      <c r="C108" t="inlineStr">
        <is>
          <t>085276989198</t>
        </is>
      </c>
      <c r="D108" t="inlineStr">
        <is>
          <t>cv.rajawalidharma2023@gmail.com</t>
        </is>
      </c>
      <c r="E108" t="inlineStr">
        <is>
          <t>https://lpjk.pu.go.id/search-badan-usaha-detail/ejN0UHFPVFMvWm5JUUxSS3UxeFFSZz09</t>
        </is>
      </c>
      <c r="F108" t="n">
        <v>4</v>
      </c>
      <c r="G108" t="inlineStr">
        <is>
          <t>BS004, BS006</t>
        </is>
      </c>
      <c r="H108" t="inlineStr">
        <is>
          <t>13 Februari 2018</t>
        </is>
      </c>
      <c r="I108" s="2" t="n">
        <v>46268</v>
      </c>
      <c r="J108" t="inlineStr">
        <is>
          <t>Disetujui</t>
        </is>
      </c>
      <c r="K108" t="n">
        <v>90</v>
      </c>
      <c r="L108" t="inlineStr">
        <is>
          <t>3 September 2026</t>
        </is>
      </c>
      <c r="M108" t="inlineStr">
        <is>
          <t>Konstruksi Bangunan Sipil Prasarana dan Sarana Sistem Pengolahan Limbah Padat, Cair, dan Gas, Konstruksi Jaringan Irigasi dan Drainase</t>
        </is>
      </c>
      <c r="N108" t="inlineStr">
        <is>
          <t>K</t>
        </is>
      </c>
      <c r="O108" t="inlineStr">
        <is>
          <t>20230904</t>
        </is>
      </c>
      <c r="P108" t="inlineStr">
        <is>
          <t>Sumatera Utara</t>
        </is>
      </c>
      <c r="Q108" t="inlineStr"/>
    </row>
    <row r="109">
      <c r="A109" t="inlineStr">
        <is>
          <t>RANGGA JAYA</t>
        </is>
      </c>
      <c r="B109" t="inlineStr">
        <is>
          <t>Kab. Tolikara</t>
        </is>
      </c>
      <c r="C109" t="inlineStr">
        <is>
          <t>082198681655</t>
        </is>
      </c>
      <c r="D109" t="inlineStr">
        <is>
          <t>cvranggaj@gmail.com</t>
        </is>
      </c>
      <c r="E109" t="inlineStr">
        <is>
          <t>https://lpjk.pu.go.id/search-badan-usaha-detail/UkJYVVcvZVhYbCs1Mnd0cVlzUEVJdz09</t>
        </is>
      </c>
      <c r="F109" t="n">
        <v>5</v>
      </c>
      <c r="G109" t="inlineStr">
        <is>
          <t>BG001, BG002, BG005, BG006, BG008</t>
        </is>
      </c>
      <c r="H109" t="inlineStr">
        <is>
          <t>9 November 2011</t>
        </is>
      </c>
      <c r="I109" s="2" t="n">
        <v>46268</v>
      </c>
      <c r="J109" t="inlineStr">
        <is>
          <t>Disetujui</t>
        </is>
      </c>
      <c r="K109" t="n">
        <v>90</v>
      </c>
      <c r="L109" t="inlineStr">
        <is>
          <t>3 September 2026</t>
        </is>
      </c>
      <c r="M109" t="inlineStr">
        <is>
          <t>Konstruksi Gedung Hunian, Konstruksi Gedung Kesehatan, Konstruksi Gedung Pendidikan, Konstruksi Gedung Perkantoran, Konstruksi Gedung Tempat Hiburan dan Olahraga</t>
        </is>
      </c>
      <c r="N109" t="inlineStr">
        <is>
          <t>K</t>
        </is>
      </c>
      <c r="O109" t="inlineStr">
        <is>
          <t>20230830, 20230831</t>
        </is>
      </c>
      <c r="P109" t="inlineStr">
        <is>
          <t>Papua</t>
        </is>
      </c>
      <c r="Q109" t="inlineStr"/>
    </row>
    <row r="110">
      <c r="A110" t="inlineStr">
        <is>
          <t>RAYYAN</t>
        </is>
      </c>
      <c r="B110" t="inlineStr">
        <is>
          <t>Kab. Bima</t>
        </is>
      </c>
      <c r="C110" t="inlineStr">
        <is>
          <t>082339621999</t>
        </is>
      </c>
      <c r="D110" t="inlineStr">
        <is>
          <t>mantikarino@gmail.com</t>
        </is>
      </c>
      <c r="E110" t="inlineStr">
        <is>
          <t>https://lpjk.pu.go.id/search-badan-usaha-detail/bmNnODRHbWZCdFBMRzBCb2QzYVppZz09</t>
        </is>
      </c>
      <c r="F110" t="n">
        <v>2</v>
      </c>
      <c r="G110" t="inlineStr">
        <is>
          <t>BS001</t>
        </is>
      </c>
      <c r="H110" t="inlineStr">
        <is>
          <t>29 September 2018</t>
        </is>
      </c>
      <c r="I110" s="2" t="n">
        <v>46268</v>
      </c>
      <c r="J110" t="inlineStr">
        <is>
          <t>Pencabutan</t>
        </is>
      </c>
      <c r="K110" t="n">
        <v>90</v>
      </c>
      <c r="L110" t="inlineStr">
        <is>
          <t>3 September 2026</t>
        </is>
      </c>
      <c r="M110" t="inlineStr">
        <is>
          <t>Konstruksi Bangunan Sipil Jalan</t>
        </is>
      </c>
      <c r="N110" t="inlineStr">
        <is>
          <t>K</t>
        </is>
      </c>
      <c r="O110" t="inlineStr">
        <is>
          <t>20230831</t>
        </is>
      </c>
      <c r="P110" t="inlineStr">
        <is>
          <t>Nusa Tenggara Barat</t>
        </is>
      </c>
      <c r="Q110" t="inlineStr"/>
    </row>
    <row r="111">
      <c r="A111" t="inlineStr">
        <is>
          <t>REYHAN PUTRA MANDIRI</t>
        </is>
      </c>
      <c r="B111" t="inlineStr">
        <is>
          <t>Kab. Indramayu</t>
        </is>
      </c>
      <c r="C111" t="inlineStr">
        <is>
          <t>087835125006</t>
        </is>
      </c>
      <c r="D111" t="inlineStr">
        <is>
          <t>cvrpm1404@gmail.com</t>
        </is>
      </c>
      <c r="E111" t="inlineStr">
        <is>
          <t>https://lpjk.pu.go.id/search-badan-usaha-detail/WW5UMGZhZ0RCWCtSV1RkYVQ4dnJpQT09</t>
        </is>
      </c>
      <c r="F111" t="n">
        <v>1</v>
      </c>
      <c r="G111" t="inlineStr">
        <is>
          <t>BS002</t>
        </is>
      </c>
      <c r="H111" t="inlineStr">
        <is>
          <t>3 Juli 2020</t>
        </is>
      </c>
      <c r="I111" s="2" t="n">
        <v>46268</v>
      </c>
      <c r="J111" t="inlineStr">
        <is>
          <t>Pencabutan</t>
        </is>
      </c>
      <c r="K111" t="n">
        <v>90</v>
      </c>
      <c r="L111" t="inlineStr">
        <is>
          <t>3 September 2026</t>
        </is>
      </c>
      <c r="M111" t="inlineStr">
        <is>
          <t>Bangunan Sipil Jembatan, Jalan Layang, Fly Over, dan Underpass</t>
        </is>
      </c>
      <c r="N111" t="inlineStr">
        <is>
          <t>K</t>
        </is>
      </c>
      <c r="O111" t="inlineStr">
        <is>
          <t>20230322</t>
        </is>
      </c>
      <c r="P111" t="inlineStr">
        <is>
          <t>Jawa Barat</t>
        </is>
      </c>
      <c r="Q111" t="inlineStr"/>
    </row>
    <row r="112">
      <c r="A112" t="inlineStr">
        <is>
          <t>RIHAM</t>
        </is>
      </c>
      <c r="B112" t="inlineStr">
        <is>
          <t>Kab. Probolinggo</t>
        </is>
      </c>
      <c r="C112" t="inlineStr">
        <is>
          <t>082142719411</t>
        </is>
      </c>
      <c r="D112" t="inlineStr">
        <is>
          <t>cvriham@gmail.com</t>
        </is>
      </c>
      <c r="E112" t="inlineStr">
        <is>
          <t>https://lpjk.pu.go.id/search-badan-usaha-detail/Y2JYNTA5aUZKek91NU5sYlhBb3lXQT09</t>
        </is>
      </c>
      <c r="F112" t="n">
        <v>1</v>
      </c>
      <c r="G112" t="inlineStr">
        <is>
          <t>BS005</t>
        </is>
      </c>
      <c r="H112" t="inlineStr">
        <is>
          <t>1 Desember 2022</t>
        </is>
      </c>
      <c r="I112" s="2" t="n">
        <v>46268</v>
      </c>
      <c r="J112" t="inlineStr">
        <is>
          <t>Disetujui</t>
        </is>
      </c>
      <c r="K112" t="n">
        <v>90</v>
      </c>
      <c r="L112" t="inlineStr">
        <is>
          <t>3 September 2026</t>
        </is>
      </c>
      <c r="M112" t="inlineStr">
        <is>
          <t>Konstruksi Bangunan Sipil Pengolahan Air Bersih</t>
        </is>
      </c>
      <c r="N112" t="inlineStr">
        <is>
          <t>K</t>
        </is>
      </c>
      <c r="O112" t="inlineStr">
        <is>
          <t>20230731</t>
        </is>
      </c>
      <c r="P112" t="inlineStr">
        <is>
          <t>Jawa Timur</t>
        </is>
      </c>
      <c r="Q112" t="inlineStr"/>
    </row>
    <row r="113">
      <c r="A113" t="inlineStr">
        <is>
          <t>RISKA FARADILA</t>
        </is>
      </c>
      <c r="B113" t="inlineStr">
        <is>
          <t>Kab. Sekadau</t>
        </is>
      </c>
      <c r="C113" t="inlineStr">
        <is>
          <t>081352309377</t>
        </is>
      </c>
      <c r="D113" t="inlineStr">
        <is>
          <t>riskafaradila715@gmail.com</t>
        </is>
      </c>
      <c r="E113" t="inlineStr">
        <is>
          <t>https://lpjk.pu.go.id/search-badan-usaha-detail/STNabWFZOWtXYkRMS1Q4Z0gzSURDQT09</t>
        </is>
      </c>
      <c r="F113" t="n">
        <v>1</v>
      </c>
      <c r="G113" t="inlineStr">
        <is>
          <t>BG006</t>
        </is>
      </c>
      <c r="H113" t="inlineStr">
        <is>
          <t>9 September 1999</t>
        </is>
      </c>
      <c r="I113" s="2" t="n">
        <v>46268</v>
      </c>
      <c r="J113" t="inlineStr">
        <is>
          <t>Disetujui</t>
        </is>
      </c>
      <c r="K113" t="n">
        <v>90</v>
      </c>
      <c r="L113" t="inlineStr">
        <is>
          <t>3 September 2026</t>
        </is>
      </c>
      <c r="M113" t="inlineStr">
        <is>
          <t>Konstruksi Gedung Pendidikan</t>
        </is>
      </c>
      <c r="N113" t="inlineStr">
        <is>
          <t>K</t>
        </is>
      </c>
      <c r="O113" t="inlineStr">
        <is>
          <t>20230903</t>
        </is>
      </c>
      <c r="P113" t="inlineStr">
        <is>
          <t>Kalimantan Barat</t>
        </is>
      </c>
      <c r="Q113" t="inlineStr"/>
    </row>
    <row r="114">
      <c r="A114" t="inlineStr">
        <is>
          <t>SABILA WARDHANA</t>
        </is>
      </c>
      <c r="B114" t="inlineStr">
        <is>
          <t>Kota Semarang</t>
        </is>
      </c>
      <c r="C114" t="inlineStr">
        <is>
          <t>081329668668</t>
        </is>
      </c>
      <c r="D114" t="inlineStr">
        <is>
          <t>sabila_wardhana@yahoo.com</t>
        </is>
      </c>
      <c r="E114" t="inlineStr">
        <is>
          <t>https://lpjk.pu.go.id/search-badan-usaha-detail/OWFoUXZ1K0tDbisxVmJraFdsQ1hhdz09</t>
        </is>
      </c>
      <c r="F114" t="n">
        <v>1</v>
      </c>
      <c r="G114" t="inlineStr">
        <is>
          <t>BS001</t>
        </is>
      </c>
      <c r="H114" t="inlineStr">
        <is>
          <t>19 September 2005</t>
        </is>
      </c>
      <c r="I114" s="2" t="n">
        <v>46268</v>
      </c>
      <c r="J114" t="inlineStr">
        <is>
          <t>Pencabutan</t>
        </is>
      </c>
      <c r="K114" t="n">
        <v>90</v>
      </c>
      <c r="L114" t="inlineStr">
        <is>
          <t>3 September 2026</t>
        </is>
      </c>
      <c r="M114" t="inlineStr">
        <is>
          <t>Konstruksi Bangunan Sipil Jalan</t>
        </is>
      </c>
      <c r="N114" t="inlineStr">
        <is>
          <t>K</t>
        </is>
      </c>
      <c r="O114" t="inlineStr">
        <is>
          <t>20230825</t>
        </is>
      </c>
      <c r="P114" t="inlineStr">
        <is>
          <t>Jawa Tengah</t>
        </is>
      </c>
      <c r="Q114" t="inlineStr"/>
    </row>
    <row r="115">
      <c r="A115" t="inlineStr">
        <is>
          <t>SAFARI INDAH</t>
        </is>
      </c>
      <c r="B115" t="inlineStr">
        <is>
          <t>Kota Tangerang</t>
        </is>
      </c>
      <c r="C115" t="inlineStr">
        <is>
          <t>085945999778</t>
        </is>
      </c>
      <c r="D115" t="inlineStr">
        <is>
          <t>cv.safariindah@yahoo.co.ic</t>
        </is>
      </c>
      <c r="E115" t="inlineStr">
        <is>
          <t>https://lpjk.pu.go.id/search-badan-usaha-detail/Z2V1MXZ0eWVzaUhUYmFXa3NjZHhCUT09</t>
        </is>
      </c>
      <c r="F115" t="n">
        <v>2</v>
      </c>
      <c r="G115" t="inlineStr">
        <is>
          <t>BG009, BS001</t>
        </is>
      </c>
      <c r="H115" t="inlineStr">
        <is>
          <t>21 November 1988</t>
        </is>
      </c>
      <c r="I115" s="2" t="n">
        <v>46268</v>
      </c>
      <c r="J115" t="inlineStr">
        <is>
          <t>Disetujui</t>
        </is>
      </c>
      <c r="K115" t="n">
        <v>90</v>
      </c>
      <c r="L115" t="inlineStr">
        <is>
          <t>3 September 2026</t>
        </is>
      </c>
      <c r="M115" t="inlineStr">
        <is>
          <t>Konstruksi Bangunan Sipil Jalan, Konstruksi Gedung Lainnya</t>
        </is>
      </c>
      <c r="N115" t="inlineStr">
        <is>
          <t>K</t>
        </is>
      </c>
      <c r="O115" t="inlineStr">
        <is>
          <t>20230903</t>
        </is>
      </c>
      <c r="P115" t="inlineStr">
        <is>
          <t>Banten</t>
        </is>
      </c>
      <c r="Q115" t="inlineStr"/>
    </row>
    <row r="116">
      <c r="A116" t="inlineStr">
        <is>
          <t>SARANA CIPTA KARSA</t>
        </is>
      </c>
      <c r="B116" t="inlineStr">
        <is>
          <t>Kota Bontang</t>
        </is>
      </c>
      <c r="C116" t="inlineStr">
        <is>
          <t>08125497294</t>
        </is>
      </c>
      <c r="D116" t="inlineStr">
        <is>
          <t>saranaciptakarsa@gmail.com</t>
        </is>
      </c>
      <c r="E116" t="inlineStr">
        <is>
          <t>https://lpjk.pu.go.id/search-badan-usaha-detail/M3p3QXRyNlBsQWhFaGR1YlpNUnMzdz09</t>
        </is>
      </c>
      <c r="F116" t="n">
        <v>1</v>
      </c>
      <c r="G116" t="inlineStr">
        <is>
          <t>AR001</t>
        </is>
      </c>
      <c r="H116" t="inlineStr">
        <is>
          <t>19 Desember 2007</t>
        </is>
      </c>
      <c r="I116" s="2" t="n">
        <v>46268</v>
      </c>
      <c r="J116" t="inlineStr">
        <is>
          <t>Disetujui</t>
        </is>
      </c>
      <c r="K116" t="n">
        <v>90</v>
      </c>
      <c r="L116" t="inlineStr">
        <is>
          <t>3 September 2026</t>
        </is>
      </c>
      <c r="M116" t="inlineStr">
        <is>
          <t>Jasa Arsitektural Bangunan Gedung Hunian dan Non Hunian</t>
        </is>
      </c>
      <c r="N116" t="inlineStr">
        <is>
          <t>K</t>
        </is>
      </c>
      <c r="O116" t="inlineStr">
        <is>
          <t>20230825</t>
        </is>
      </c>
      <c r="P116" t="inlineStr">
        <is>
          <t>Kalimantan Timur</t>
        </is>
      </c>
      <c r="Q116" t="inlineStr"/>
    </row>
    <row r="117">
      <c r="A117" t="inlineStr">
        <is>
          <t>SARANA MULIA</t>
        </is>
      </c>
      <c r="B117" t="inlineStr">
        <is>
          <t>Kota Banjarbaru</t>
        </is>
      </c>
      <c r="C117" t="inlineStr">
        <is>
          <t>085248206246</t>
        </is>
      </c>
      <c r="D117" t="inlineStr">
        <is>
          <t>cv.sarana.mulia.2020@gmail.com</t>
        </is>
      </c>
      <c r="E117" t="inlineStr">
        <is>
          <t>https://lpjk.pu.go.id/search-badan-usaha-detail/Z3hNRjVBOWlqSTJhbElOOGM4L1l6QT09</t>
        </is>
      </c>
      <c r="F117" t="n">
        <v>2</v>
      </c>
      <c r="G117" t="inlineStr">
        <is>
          <t>BG006, BS002</t>
        </is>
      </c>
      <c r="H117" t="inlineStr">
        <is>
          <t>10 Februari 2020</t>
        </is>
      </c>
      <c r="I117" s="2" t="n">
        <v>46268</v>
      </c>
      <c r="J117" t="inlineStr">
        <is>
          <t>Disetujui</t>
        </is>
      </c>
      <c r="K117" t="n">
        <v>90</v>
      </c>
      <c r="L117" t="inlineStr">
        <is>
          <t>3 September 2026</t>
        </is>
      </c>
      <c r="M117" t="inlineStr">
        <is>
          <t>Bangunan Sipil Jembatan, Jalan Layang, Fly Over, dan Underpass, Konstruksi Gedung Pendidikan</t>
        </is>
      </c>
      <c r="N117" t="inlineStr">
        <is>
          <t>K</t>
        </is>
      </c>
      <c r="O117" t="inlineStr">
        <is>
          <t>20230901, 20230902</t>
        </is>
      </c>
      <c r="P117" t="inlineStr">
        <is>
          <t>Kalimantan Selatan</t>
        </is>
      </c>
      <c r="Q117" t="inlineStr"/>
    </row>
    <row r="118">
      <c r="A118" t="inlineStr">
        <is>
          <t>SARI RAYA</t>
        </is>
      </c>
      <c r="B118" t="inlineStr">
        <is>
          <t>Kab. Jember</t>
        </is>
      </c>
      <c r="C118" t="inlineStr">
        <is>
          <t>082245060123</t>
        </is>
      </c>
      <c r="D118" t="inlineStr">
        <is>
          <t>sari_raya10@yahoo.co.id</t>
        </is>
      </c>
      <c r="E118" t="inlineStr">
        <is>
          <t>https://lpjk.pu.go.id/search-badan-usaha-detail/K09BeVdxZTRFU2xnZWR6dlhNTmU2QT09</t>
        </is>
      </c>
      <c r="F118" t="n">
        <v>1</v>
      </c>
      <c r="G118" t="inlineStr">
        <is>
          <t>BG001</t>
        </is>
      </c>
      <c r="H118" t="inlineStr">
        <is>
          <t>20 Juli 1989</t>
        </is>
      </c>
      <c r="I118" s="2" t="n">
        <v>46268</v>
      </c>
      <c r="J118" t="inlineStr">
        <is>
          <t>Disetujui</t>
        </is>
      </c>
      <c r="K118" t="n">
        <v>90</v>
      </c>
      <c r="L118" t="inlineStr">
        <is>
          <t>3 September 2026</t>
        </is>
      </c>
      <c r="M118" t="inlineStr">
        <is>
          <t>Konstruksi Gedung Hunian</t>
        </is>
      </c>
      <c r="N118" t="inlineStr">
        <is>
          <t>K</t>
        </is>
      </c>
      <c r="O118" t="inlineStr">
        <is>
          <t>20230830</t>
        </is>
      </c>
      <c r="P118" t="inlineStr">
        <is>
          <t>Jawa Timur</t>
        </is>
      </c>
      <c r="Q118" t="inlineStr"/>
    </row>
    <row r="119">
      <c r="A119" t="inlineStr">
        <is>
          <t>SEJAHTERA JAYA ABADI</t>
        </is>
      </c>
      <c r="B119" t="inlineStr">
        <is>
          <t>Kota Palembang</t>
        </is>
      </c>
      <c r="C119" t="inlineStr">
        <is>
          <t>0711510760</t>
        </is>
      </c>
      <c r="D119" t="inlineStr">
        <is>
          <t>chandra.sejahtera07@gmail.com</t>
        </is>
      </c>
      <c r="E119" t="inlineStr">
        <is>
          <t>https://lpjk.pu.go.id/search-badan-usaha-detail/bEY2TjZLTzE2dFJGN0xFZThEaVlJdz09</t>
        </is>
      </c>
      <c r="F119" t="n">
        <v>3</v>
      </c>
      <c r="G119" t="inlineStr">
        <is>
          <t>BG001, BS001</t>
        </is>
      </c>
      <c r="H119" t="inlineStr">
        <is>
          <t>8 Maret 2004</t>
        </is>
      </c>
      <c r="I119" s="2" t="n">
        <v>46268</v>
      </c>
      <c r="J119" t="inlineStr">
        <is>
          <t>Disetujui</t>
        </is>
      </c>
      <c r="K119" t="n">
        <v>90</v>
      </c>
      <c r="L119" t="inlineStr">
        <is>
          <t>3 September 2026</t>
        </is>
      </c>
      <c r="M119" t="inlineStr">
        <is>
          <t>Konstruksi Bangunan Sipil Jalan, Konstruksi Gedung Hunian</t>
        </is>
      </c>
      <c r="N119" t="inlineStr">
        <is>
          <t>M</t>
        </is>
      </c>
      <c r="O119" t="inlineStr">
        <is>
          <t>20230828</t>
        </is>
      </c>
      <c r="P119" t="inlineStr">
        <is>
          <t>Sumatera Selatan</t>
        </is>
      </c>
      <c r="Q119" t="inlineStr"/>
    </row>
    <row r="120">
      <c r="A120" t="inlineStr">
        <is>
          <t>SEKAWAN CIPTA MULIA</t>
        </is>
      </c>
      <c r="B120" t="inlineStr">
        <is>
          <t>Kota Semarang</t>
        </is>
      </c>
      <c r="C120" t="inlineStr">
        <is>
          <t>0247625468</t>
        </is>
      </c>
      <c r="D120" t="inlineStr">
        <is>
          <t>muliasekawancipta@gmail.com</t>
        </is>
      </c>
      <c r="E120" t="inlineStr">
        <is>
          <t>https://lpjk.pu.go.id/search-badan-usaha-detail/RXJWMDZ5dnJLRm9welBsUmFQVkhmdz09</t>
        </is>
      </c>
      <c r="F120" t="n">
        <v>2</v>
      </c>
      <c r="G120" t="inlineStr">
        <is>
          <t>BG004</t>
        </is>
      </c>
      <c r="H120" t="inlineStr">
        <is>
          <t>27 Juni 2019</t>
        </is>
      </c>
      <c r="I120" s="2" t="n">
        <v>46268</v>
      </c>
      <c r="J120" t="inlineStr">
        <is>
          <t>Disetujui</t>
        </is>
      </c>
      <c r="K120" t="n">
        <v>90</v>
      </c>
      <c r="L120" t="inlineStr">
        <is>
          <t>3 September 2026</t>
        </is>
      </c>
      <c r="M120" t="inlineStr">
        <is>
          <t>Konstruksi Gedung Perbelanjaan</t>
        </is>
      </c>
      <c r="N120" t="inlineStr">
        <is>
          <t>K</t>
        </is>
      </c>
      <c r="O120" t="inlineStr">
        <is>
          <t>20230904</t>
        </is>
      </c>
      <c r="P120" t="inlineStr">
        <is>
          <t>Jawa Tengah</t>
        </is>
      </c>
      <c r="Q120" t="inlineStr"/>
    </row>
    <row r="121">
      <c r="A121" t="inlineStr">
        <is>
          <t>SENDANG DAKARA NUSANTARA</t>
        </is>
      </c>
      <c r="B121" t="inlineStr">
        <is>
          <t>Kab. Badung</t>
        </is>
      </c>
      <c r="C121" t="inlineStr">
        <is>
          <t>081999964805</t>
        </is>
      </c>
      <c r="D121" t="inlineStr">
        <is>
          <t>ptsendangdaksaranusantara@gmail.com</t>
        </is>
      </c>
      <c r="E121" t="inlineStr">
        <is>
          <t>https://lpjk.pu.go.id/search-badan-usaha-detail/ZHQ5SVR2cjFJTllxS3IwM1JGREd3dz09</t>
        </is>
      </c>
      <c r="F121" t="n">
        <v>1</v>
      </c>
      <c r="G121" t="inlineStr">
        <is>
          <t>BG007</t>
        </is>
      </c>
      <c r="H121" t="inlineStr">
        <is>
          <t>11 Oktober 2022</t>
        </is>
      </c>
      <c r="I121" s="2" t="n">
        <v>46268</v>
      </c>
      <c r="J121" t="inlineStr">
        <is>
          <t>Disetujui</t>
        </is>
      </c>
      <c r="K121" t="n">
        <v>90</v>
      </c>
      <c r="L121" t="inlineStr">
        <is>
          <t>3 September 2026</t>
        </is>
      </c>
      <c r="M121" t="inlineStr">
        <is>
          <t>Konstruksi Gedung Penginapan</t>
        </is>
      </c>
      <c r="N121" t="inlineStr">
        <is>
          <t>K</t>
        </is>
      </c>
      <c r="O121" t="inlineStr">
        <is>
          <t>20230823</t>
        </is>
      </c>
      <c r="P121" t="inlineStr">
        <is>
          <t>Bali</t>
        </is>
      </c>
      <c r="Q121" t="inlineStr"/>
    </row>
    <row r="122">
      <c r="A122" t="inlineStr">
        <is>
          <t>SHAKA PRIMA UTAMA</t>
        </is>
      </c>
      <c r="B122" t="inlineStr">
        <is>
          <t>Kota Pangkal Pinang</t>
        </is>
      </c>
      <c r="C122" t="inlineStr">
        <is>
          <t>081271910220</t>
        </is>
      </c>
      <c r="D122" t="inlineStr">
        <is>
          <t>cvshakaprimautama@gmail.com</t>
        </is>
      </c>
      <c r="E122" t="inlineStr">
        <is>
          <t>https://lpjk.pu.go.id/search-badan-usaha-detail/aGJDeHJqazBtZ3dqUnlYZ0o4a0VHZz09</t>
        </is>
      </c>
      <c r="F122" t="n">
        <v>1</v>
      </c>
      <c r="G122" t="inlineStr">
        <is>
          <t>BG009</t>
        </is>
      </c>
      <c r="H122" t="inlineStr">
        <is>
          <t>31 Juli 2023</t>
        </is>
      </c>
      <c r="I122" s="2" t="n">
        <v>46268</v>
      </c>
      <c r="J122" t="inlineStr">
        <is>
          <t>Disetujui</t>
        </is>
      </c>
      <c r="K122" t="n">
        <v>90</v>
      </c>
      <c r="L122" t="inlineStr">
        <is>
          <t>3 September 2026</t>
        </is>
      </c>
      <c r="M122" t="inlineStr">
        <is>
          <t>Konstruksi Gedung Lainnya</t>
        </is>
      </c>
      <c r="N122" t="inlineStr">
        <is>
          <t>K</t>
        </is>
      </c>
      <c r="O122" t="inlineStr">
        <is>
          <t>20230811</t>
        </is>
      </c>
      <c r="P122" t="inlineStr">
        <is>
          <t>Kepulauan Bangka Belitung</t>
        </is>
      </c>
      <c r="Q122" t="inlineStr"/>
    </row>
    <row r="123">
      <c r="A123" t="inlineStr">
        <is>
          <t>SINAR AGUNG MANDIRI</t>
        </is>
      </c>
      <c r="B123" t="inlineStr">
        <is>
          <t>Kota Adm. Jakarta Selatan</t>
        </is>
      </c>
      <c r="C123" t="inlineStr">
        <is>
          <t>08129993402</t>
        </is>
      </c>
      <c r="D123" t="inlineStr">
        <is>
          <t>sinaragung.mandiri17@gmail.com</t>
        </is>
      </c>
      <c r="E123" t="inlineStr">
        <is>
          <t>https://lpjk.pu.go.id/search-badan-usaha-detail/NXE5c2dRNkFHUjdFRXZ1VTB4NVB2QT09</t>
        </is>
      </c>
      <c r="F123" t="n">
        <v>1</v>
      </c>
      <c r="G123" t="inlineStr">
        <is>
          <t>BG001</t>
        </is>
      </c>
      <c r="H123" t="inlineStr">
        <is>
          <t>7 Januari 2002</t>
        </is>
      </c>
      <c r="I123" s="2" t="n">
        <v>46268</v>
      </c>
      <c r="J123" t="inlineStr">
        <is>
          <t>Disetujui</t>
        </is>
      </c>
      <c r="K123" t="n">
        <v>90</v>
      </c>
      <c r="L123" t="inlineStr">
        <is>
          <t>3 September 2026</t>
        </is>
      </c>
      <c r="M123" t="inlineStr">
        <is>
          <t>Konstruksi Gedung Hunian</t>
        </is>
      </c>
      <c r="N123" t="inlineStr">
        <is>
          <t>K</t>
        </is>
      </c>
      <c r="O123" t="inlineStr">
        <is>
          <t>20230824</t>
        </is>
      </c>
      <c r="P123" t="inlineStr">
        <is>
          <t>DKI Jakarta</t>
        </is>
      </c>
      <c r="Q123" t="inlineStr"/>
    </row>
    <row r="124">
      <c r="A124" t="inlineStr">
        <is>
          <t>SINAR INTAN</t>
        </is>
      </c>
      <c r="B124" t="inlineStr">
        <is>
          <t>Kab. Lombok Tengah</t>
        </is>
      </c>
      <c r="C124" t="inlineStr">
        <is>
          <t>087863996150</t>
        </is>
      </c>
      <c r="D124" t="inlineStr">
        <is>
          <t>sinarintan49@gmail.com</t>
        </is>
      </c>
      <c r="E124" t="inlineStr">
        <is>
          <t>https://lpjk.pu.go.id/search-badan-usaha-detail/eFBMais3OG5UeWxZek96QjA5Um5VZz09</t>
        </is>
      </c>
      <c r="F124" t="n">
        <v>1</v>
      </c>
      <c r="G124" t="inlineStr">
        <is>
          <t>BG006</t>
        </is>
      </c>
      <c r="H124" t="inlineStr">
        <is>
          <t>14 Februari 2013</t>
        </is>
      </c>
      <c r="I124" s="2" t="n">
        <v>46268</v>
      </c>
      <c r="J124" t="inlineStr">
        <is>
          <t>Pencabutan</t>
        </is>
      </c>
      <c r="K124" t="n">
        <v>90</v>
      </c>
      <c r="L124" t="inlineStr">
        <is>
          <t>3 September 2026</t>
        </is>
      </c>
      <c r="M124" t="inlineStr">
        <is>
          <t>Konstruksi Gedung Pendidikan</t>
        </is>
      </c>
      <c r="N124" t="inlineStr">
        <is>
          <t>K</t>
        </is>
      </c>
      <c r="O124" t="inlineStr">
        <is>
          <t>20230901</t>
        </is>
      </c>
      <c r="P124" t="inlineStr">
        <is>
          <t>Nusa Tenggara Barat</t>
        </is>
      </c>
      <c r="Q124" t="inlineStr"/>
    </row>
    <row r="125">
      <c r="A125" t="inlineStr">
        <is>
          <t>SINAR MATAHARI</t>
        </is>
      </c>
      <c r="B125" t="inlineStr">
        <is>
          <t>Kab. Bandung</t>
        </is>
      </c>
      <c r="C125" t="inlineStr">
        <is>
          <t>0225942493</t>
        </is>
      </c>
      <c r="D125" t="inlineStr">
        <is>
          <t>sinarmataharipanas@yahoo.com</t>
        </is>
      </c>
      <c r="E125" t="inlineStr">
        <is>
          <t>https://lpjk.pu.go.id/search-badan-usaha-detail/MzdBZnplZFdLYVIyTjJTZ1l6VkE2dz09</t>
        </is>
      </c>
      <c r="F125" t="n">
        <v>1</v>
      </c>
      <c r="G125" t="inlineStr">
        <is>
          <t>BG006</t>
        </is>
      </c>
      <c r="H125" t="inlineStr">
        <is>
          <t>7 Januari 2011</t>
        </is>
      </c>
      <c r="I125" s="2" t="n">
        <v>46268</v>
      </c>
      <c r="J125" t="inlineStr">
        <is>
          <t>Disetujui</t>
        </is>
      </c>
      <c r="K125" t="n">
        <v>90</v>
      </c>
      <c r="L125" t="inlineStr">
        <is>
          <t>3 September 2026</t>
        </is>
      </c>
      <c r="M125" t="inlineStr">
        <is>
          <t>Konstruksi Gedung Pendidikan</t>
        </is>
      </c>
      <c r="N125" t="inlineStr">
        <is>
          <t>K</t>
        </is>
      </c>
      <c r="O125" t="inlineStr">
        <is>
          <t>20230901</t>
        </is>
      </c>
      <c r="P125" t="inlineStr">
        <is>
          <t>Jawa Barat</t>
        </is>
      </c>
      <c r="Q125" t="inlineStr"/>
    </row>
    <row r="126">
      <c r="A126" t="inlineStr">
        <is>
          <t>SINAR TEKNIK</t>
        </is>
      </c>
      <c r="B126" t="inlineStr">
        <is>
          <t>Kab. Kapuas Hulu</t>
        </is>
      </c>
      <c r="C126" t="inlineStr">
        <is>
          <t>082255811518</t>
        </is>
      </c>
      <c r="D126" t="inlineStr">
        <is>
          <t>sinarteknik.pts@gmail.com</t>
        </is>
      </c>
      <c r="E126" t="inlineStr">
        <is>
          <t>https://lpjk.pu.go.id/search-badan-usaha-detail/Q295enNyNzdFNVY1blMvd2FJc29WZz09</t>
        </is>
      </c>
      <c r="F126" t="n">
        <v>1</v>
      </c>
      <c r="G126" t="inlineStr">
        <is>
          <t>BG005</t>
        </is>
      </c>
      <c r="H126" t="inlineStr">
        <is>
          <t>23 April 2008</t>
        </is>
      </c>
      <c r="I126" s="2" t="n">
        <v>46268</v>
      </c>
      <c r="J126" t="inlineStr">
        <is>
          <t>Disetujui</t>
        </is>
      </c>
      <c r="K126" t="n">
        <v>90</v>
      </c>
      <c r="L126" t="inlineStr">
        <is>
          <t>3 September 2026</t>
        </is>
      </c>
      <c r="M126" t="inlineStr">
        <is>
          <t>Konstruksi Gedung Kesehatan</t>
        </is>
      </c>
      <c r="N126" t="inlineStr">
        <is>
          <t>K</t>
        </is>
      </c>
      <c r="O126" t="inlineStr">
        <is>
          <t>20230830</t>
        </is>
      </c>
      <c r="P126" t="inlineStr">
        <is>
          <t>Kalimantan Barat</t>
        </is>
      </c>
      <c r="Q126" t="inlineStr"/>
    </row>
    <row r="127">
      <c r="A127" t="inlineStr">
        <is>
          <t>SINERGI LIMA EMPAT</t>
        </is>
      </c>
      <c r="B127" t="inlineStr">
        <is>
          <t>Kota Surabaya</t>
        </is>
      </c>
      <c r="C127" t="inlineStr">
        <is>
          <t>081216835619</t>
        </is>
      </c>
      <c r="D127" t="inlineStr">
        <is>
          <t>cvsinergilimaempat@gmail.com</t>
        </is>
      </c>
      <c r="E127" t="inlineStr">
        <is>
          <t>https://lpjk.pu.go.id/search-badan-usaha-detail/RGV1Z0pTa1J3WWlzWDhEeHU3RUMwUHJIZldESzQvRW5jeWh5WnpPQ2pXOD0</t>
        </is>
      </c>
      <c r="F127" t="n">
        <v>2</v>
      </c>
      <c r="G127" t="inlineStr">
        <is>
          <t>BG002, BG009</t>
        </is>
      </c>
      <c r="H127" t="inlineStr">
        <is>
          <t>5 Juli 2023</t>
        </is>
      </c>
      <c r="I127" s="2" t="n">
        <v>46268</v>
      </c>
      <c r="J127" t="inlineStr">
        <is>
          <t>Disetujui</t>
        </is>
      </c>
      <c r="K127" t="n">
        <v>90</v>
      </c>
      <c r="L127" t="inlineStr">
        <is>
          <t>3 September 2026</t>
        </is>
      </c>
      <c r="M127" t="inlineStr">
        <is>
          <t>Konstruksi Gedung Lainnya, Konstruksi Gedung Perkantoran</t>
        </is>
      </c>
      <c r="N127" t="inlineStr">
        <is>
          <t>K</t>
        </is>
      </c>
      <c r="O127" t="inlineStr">
        <is>
          <t>20230831</t>
        </is>
      </c>
      <c r="P127" t="inlineStr">
        <is>
          <t>Jawa Timur</t>
        </is>
      </c>
      <c r="Q127" t="inlineStr"/>
    </row>
    <row r="128">
      <c r="A128" t="inlineStr">
        <is>
          <t>STARINDO ACETECH PERKASA</t>
        </is>
      </c>
      <c r="B128" t="inlineStr">
        <is>
          <t>Kota Batam</t>
        </is>
      </c>
      <c r="C128" t="inlineStr">
        <is>
          <t>0778466493</t>
        </is>
      </c>
      <c r="D128" t="inlineStr">
        <is>
          <t>hr.starindoacetech@gmail.com</t>
        </is>
      </c>
      <c r="E128" t="inlineStr">
        <is>
          <t>https://lpjk.pu.go.id/search-badan-usaha-detail/K0V2S3ZNNDVFdk5HTThsUGJqaGd3QT09</t>
        </is>
      </c>
      <c r="F128" t="n">
        <v>1</v>
      </c>
      <c r="G128" t="inlineStr">
        <is>
          <t>BG003</t>
        </is>
      </c>
      <c r="H128" t="inlineStr">
        <is>
          <t>4 Juni 2003</t>
        </is>
      </c>
      <c r="I128" s="2" t="n">
        <v>46268</v>
      </c>
      <c r="J128" t="inlineStr">
        <is>
          <t>Disetujui</t>
        </is>
      </c>
      <c r="K128" t="n">
        <v>90</v>
      </c>
      <c r="L128" t="inlineStr">
        <is>
          <t>3 September 2026</t>
        </is>
      </c>
      <c r="M128" t="inlineStr">
        <is>
          <t>Konstruksi Gedung Industri</t>
        </is>
      </c>
      <c r="N128" t="inlineStr">
        <is>
          <t>M</t>
        </is>
      </c>
      <c r="O128" t="inlineStr">
        <is>
          <t>20230728</t>
        </is>
      </c>
      <c r="P128" t="inlineStr">
        <is>
          <t>Kepulauan Riau</t>
        </is>
      </c>
      <c r="Q128" t="inlineStr"/>
    </row>
    <row r="129">
      <c r="A129" t="inlineStr">
        <is>
          <t>SURYA FAJRI HIDAYAH</t>
        </is>
      </c>
      <c r="B129" t="inlineStr">
        <is>
          <t>Kota Pekanbaru</t>
        </is>
      </c>
      <c r="C129" t="inlineStr">
        <is>
          <t>08117519309</t>
        </is>
      </c>
      <c r="D129" t="inlineStr">
        <is>
          <t>Suryafajrihidayah@yahoo.com</t>
        </is>
      </c>
      <c r="E129" t="inlineStr">
        <is>
          <t>https://lpjk.pu.go.id/search-badan-usaha-detail/VHM0Z1RoUGpUNnFTd2xQNjU0N0F3QT09</t>
        </is>
      </c>
      <c r="F129" t="n">
        <v>1</v>
      </c>
      <c r="G129" t="inlineStr">
        <is>
          <t>BG001</t>
        </is>
      </c>
      <c r="H129" t="inlineStr">
        <is>
          <t>12 Agustus 2015</t>
        </is>
      </c>
      <c r="I129" s="2" t="n">
        <v>46268</v>
      </c>
      <c r="J129" t="inlineStr">
        <is>
          <t>Disetujui</t>
        </is>
      </c>
      <c r="K129" t="n">
        <v>90</v>
      </c>
      <c r="L129" t="inlineStr">
        <is>
          <t>3 September 2026</t>
        </is>
      </c>
      <c r="M129" t="inlineStr">
        <is>
          <t>Konstruksi Gedung Hunian</t>
        </is>
      </c>
      <c r="N129" t="inlineStr">
        <is>
          <t>K</t>
        </is>
      </c>
      <c r="O129" t="inlineStr">
        <is>
          <t>20230802</t>
        </is>
      </c>
      <c r="P129" t="inlineStr">
        <is>
          <t>Riau</t>
        </is>
      </c>
      <c r="Q129" t="inlineStr"/>
    </row>
    <row r="130">
      <c r="A130" t="inlineStr">
        <is>
          <t>SURYA SARI PUTRA</t>
        </is>
      </c>
      <c r="B130" t="inlineStr">
        <is>
          <t>Kab. Pandeglang</t>
        </is>
      </c>
      <c r="C130" t="inlineStr">
        <is>
          <t>081911123411</t>
        </is>
      </c>
      <c r="D130" t="inlineStr">
        <is>
          <t>lsbubanten@gmail.com</t>
        </is>
      </c>
      <c r="E130" t="inlineStr">
        <is>
          <t>https://lpjk.pu.go.id/search-badan-usaha-detail/MFBGRHV1b0JpVDg5azEwcXphSTFzQT09</t>
        </is>
      </c>
      <c r="F130" t="n">
        <v>1</v>
      </c>
      <c r="G130" t="inlineStr">
        <is>
          <t>BS004</t>
        </is>
      </c>
      <c r="H130" t="inlineStr">
        <is>
          <t>27 Januari 2016</t>
        </is>
      </c>
      <c r="I130" s="2" t="n">
        <v>46268</v>
      </c>
      <c r="J130" t="inlineStr">
        <is>
          <t>Pencabutan</t>
        </is>
      </c>
      <c r="K130" t="n">
        <v>90</v>
      </c>
      <c r="L130" t="inlineStr">
        <is>
          <t>3 September 2026</t>
        </is>
      </c>
      <c r="M130" t="inlineStr">
        <is>
          <t>Konstruksi Jaringan Irigasi dan Drainase</t>
        </is>
      </c>
      <c r="N130" t="inlineStr">
        <is>
          <t>K</t>
        </is>
      </c>
      <c r="O130" t="inlineStr">
        <is>
          <t>20230801</t>
        </is>
      </c>
      <c r="P130" t="inlineStr">
        <is>
          <t>Banten</t>
        </is>
      </c>
      <c r="Q130" t="inlineStr"/>
    </row>
    <row r="131">
      <c r="A131" t="inlineStr">
        <is>
          <t>THREE DIMENSI CONSULTANT</t>
        </is>
      </c>
      <c r="B131" t="inlineStr">
        <is>
          <t>Kab. Kolaka Utara</t>
        </is>
      </c>
      <c r="C131" t="inlineStr">
        <is>
          <t>082238880063</t>
        </is>
      </c>
      <c r="D131" t="inlineStr">
        <is>
          <t>tigadimensi170382@gmail.com</t>
        </is>
      </c>
      <c r="E131" t="inlineStr">
        <is>
          <t>https://lpjk.pu.go.id/search-badan-usaha-detail/UEd3cU91Uk1sUXdrdU4wVU9LZk52dz09</t>
        </is>
      </c>
      <c r="F131" t="n">
        <v>1</v>
      </c>
      <c r="G131" t="inlineStr">
        <is>
          <t>RK002</t>
        </is>
      </c>
      <c r="H131" t="inlineStr">
        <is>
          <t>22 Februari 2021</t>
        </is>
      </c>
      <c r="I131" s="2" t="n">
        <v>46268</v>
      </c>
      <c r="J131" t="inlineStr">
        <is>
          <t>Disetujui</t>
        </is>
      </c>
      <c r="K131" t="n">
        <v>90</v>
      </c>
      <c r="L131" t="inlineStr">
        <is>
          <t>3 September 2026</t>
        </is>
      </c>
      <c r="M131" t="inlineStr">
        <is>
          <t>Jasa Rekayasa Pekerjaan Teknik Sipil Sumber Daya Air</t>
        </is>
      </c>
      <c r="N131" t="inlineStr">
        <is>
          <t>K</t>
        </is>
      </c>
      <c r="O131" t="inlineStr">
        <is>
          <t>20230829</t>
        </is>
      </c>
      <c r="P131" t="inlineStr">
        <is>
          <t>Sulawesi Tenggara</t>
        </is>
      </c>
      <c r="Q131" t="inlineStr"/>
    </row>
    <row r="132">
      <c r="A132" t="inlineStr">
        <is>
          <t>TIARA AGUNG</t>
        </is>
      </c>
      <c r="B132" t="inlineStr">
        <is>
          <t>Kab. Sumbawa</t>
        </is>
      </c>
      <c r="C132" t="inlineStr">
        <is>
          <t>085293778854</t>
        </is>
      </c>
      <c r="D132" t="inlineStr">
        <is>
          <t>tiaraagungcv@gmail.com</t>
        </is>
      </c>
      <c r="E132" t="inlineStr">
        <is>
          <t>https://lpjk.pu.go.id/search-badan-usaha-detail/Q012bExyZHB1SC9yYU9hWkV5dStWZz09</t>
        </is>
      </c>
      <c r="F132" t="n">
        <v>1</v>
      </c>
      <c r="G132" t="inlineStr">
        <is>
          <t>BG006</t>
        </is>
      </c>
      <c r="H132" t="inlineStr">
        <is>
          <t>13 November 2001</t>
        </is>
      </c>
      <c r="I132" s="2" t="n">
        <v>46268</v>
      </c>
      <c r="J132" t="inlineStr">
        <is>
          <t>Disetujui</t>
        </is>
      </c>
      <c r="K132" t="n">
        <v>90</v>
      </c>
      <c r="L132" t="inlineStr">
        <is>
          <t>3 September 2026</t>
        </is>
      </c>
      <c r="M132" t="inlineStr">
        <is>
          <t>Konstruksi Gedung Pendidikan</t>
        </is>
      </c>
      <c r="N132" t="inlineStr">
        <is>
          <t>K</t>
        </is>
      </c>
      <c r="O132" t="inlineStr">
        <is>
          <t>20230830</t>
        </is>
      </c>
      <c r="P132" t="inlineStr">
        <is>
          <t>Nusa Tenggara Barat</t>
        </is>
      </c>
      <c r="Q132" t="inlineStr"/>
    </row>
    <row r="133">
      <c r="A133" t="inlineStr">
        <is>
          <t>TIGA CAHAYA</t>
        </is>
      </c>
      <c r="B133" t="inlineStr">
        <is>
          <t>Kota Semarang</t>
        </is>
      </c>
      <c r="C133" t="inlineStr">
        <is>
          <t>081226446352</t>
        </is>
      </c>
      <c r="D133" t="inlineStr">
        <is>
          <t>tigacahaya03@gmail.com</t>
        </is>
      </c>
      <c r="E133" t="inlineStr">
        <is>
          <t>https://lpjk.pu.go.id/search-badan-usaha-detail/NHhBY1lFTG95aVNlVU54SDJ1Z05RZz09</t>
        </is>
      </c>
      <c r="F133" t="n">
        <v>2</v>
      </c>
      <c r="G133" t="inlineStr">
        <is>
          <t>BG006, BS001</t>
        </is>
      </c>
      <c r="H133" t="inlineStr">
        <is>
          <t>28 Januari 2015</t>
        </is>
      </c>
      <c r="I133" s="2" t="n">
        <v>46268</v>
      </c>
      <c r="J133" t="inlineStr">
        <is>
          <t>Disetujui</t>
        </is>
      </c>
      <c r="K133" t="n">
        <v>90</v>
      </c>
      <c r="L133" t="inlineStr">
        <is>
          <t>3 September 2026</t>
        </is>
      </c>
      <c r="M133" t="inlineStr">
        <is>
          <t>Konstruksi Bangunan Sipil Jalan, Konstruksi Gedung Pendidikan</t>
        </is>
      </c>
      <c r="N133" t="inlineStr">
        <is>
          <t>K</t>
        </is>
      </c>
      <c r="O133" t="inlineStr">
        <is>
          <t>20230825, 20230830</t>
        </is>
      </c>
      <c r="P133" t="inlineStr">
        <is>
          <t>Jawa Tengah</t>
        </is>
      </c>
      <c r="Q133" t="inlineStr"/>
    </row>
    <row r="134">
      <c r="A134" t="inlineStr">
        <is>
          <t>TRANS INDO NUSA</t>
        </is>
      </c>
      <c r="B134" t="inlineStr">
        <is>
          <t>Kab. Sumenep</t>
        </is>
      </c>
      <c r="C134" t="inlineStr">
        <is>
          <t>082148383883</t>
        </is>
      </c>
      <c r="D134" t="inlineStr">
        <is>
          <t>putraandikaprasetya@gmail.com</t>
        </is>
      </c>
      <c r="E134" t="inlineStr">
        <is>
          <t>https://lpjk.pu.go.id/search-badan-usaha-detail/N1FqcXJ1WkswbVh4Y2NSNXVMY0JrQT09</t>
        </is>
      </c>
      <c r="F134" t="n">
        <v>2</v>
      </c>
      <c r="G134" t="inlineStr">
        <is>
          <t>BG002</t>
        </is>
      </c>
      <c r="H134" t="inlineStr">
        <is>
          <t>28 Juli 2023</t>
        </is>
      </c>
      <c r="I134" s="2" t="n">
        <v>46268</v>
      </c>
      <c r="J134" t="inlineStr">
        <is>
          <t>Disetujui</t>
        </is>
      </c>
      <c r="K134" t="n">
        <v>90</v>
      </c>
      <c r="L134" t="inlineStr">
        <is>
          <t>3 September 2026</t>
        </is>
      </c>
      <c r="M134" t="inlineStr">
        <is>
          <t>Konstruksi Gedung Perkantoran</t>
        </is>
      </c>
      <c r="N134" t="inlineStr">
        <is>
          <t>K</t>
        </is>
      </c>
      <c r="O134" t="inlineStr">
        <is>
          <t>20230901</t>
        </is>
      </c>
      <c r="P134" t="inlineStr">
        <is>
          <t>Jawa Timur</t>
        </is>
      </c>
      <c r="Q134" t="inlineStr"/>
    </row>
    <row r="135">
      <c r="A135" t="inlineStr">
        <is>
          <t>TRI TECH DESIGN</t>
        </is>
      </c>
      <c r="B135" t="inlineStr">
        <is>
          <t>Kab. Pandeglang</t>
        </is>
      </c>
      <c r="C135" t="inlineStr">
        <is>
          <t>081905001818</t>
        </is>
      </c>
      <c r="D135" t="inlineStr">
        <is>
          <t>tritechdesign99@gmail.com</t>
        </is>
      </c>
      <c r="E135" t="inlineStr">
        <is>
          <t>https://lpjk.pu.go.id/search-badan-usaha-detail/cjJXQkxsYjNmZHh1SEFRQ3dlbjVNQT09</t>
        </is>
      </c>
      <c r="F135" t="n">
        <v>1</v>
      </c>
      <c r="G135" t="inlineStr">
        <is>
          <t>RK001</t>
        </is>
      </c>
      <c r="H135" t="inlineStr">
        <is>
          <t>22 Januari 2021</t>
        </is>
      </c>
      <c r="I135" s="2" t="n">
        <v>46268</v>
      </c>
      <c r="J135" t="inlineStr">
        <is>
          <t>Disetujui</t>
        </is>
      </c>
      <c r="K135" t="n">
        <v>90</v>
      </c>
      <c r="L135" t="inlineStr">
        <is>
          <t>3 September 2026</t>
        </is>
      </c>
      <c r="M135" t="inlineStr">
        <is>
          <t>Jasa Rekayasa Konstruksi Bangunan Gedung Hunian dan Non Hunian</t>
        </is>
      </c>
      <c r="N135" t="inlineStr">
        <is>
          <t>K</t>
        </is>
      </c>
      <c r="O135" t="inlineStr">
        <is>
          <t>20230818</t>
        </is>
      </c>
      <c r="P135" t="inlineStr">
        <is>
          <t>Banten</t>
        </is>
      </c>
      <c r="Q135" t="inlineStr"/>
    </row>
    <row r="136">
      <c r="A136" t="inlineStr">
        <is>
          <t>TUAH TAMAGON</t>
        </is>
      </c>
      <c r="B136" t="inlineStr">
        <is>
          <t>Kab. Bengkayang</t>
        </is>
      </c>
      <c r="C136" t="inlineStr">
        <is>
          <t>081290263249</t>
        </is>
      </c>
      <c r="D136" t="inlineStr">
        <is>
          <t>tuahtamagon.cv@gmail.com</t>
        </is>
      </c>
      <c r="E136" t="inlineStr">
        <is>
          <t>https://lpjk.pu.go.id/search-badan-usaha-detail/RjMwK2pRczNBTHBBU3RkRitKNUh3QT09</t>
        </is>
      </c>
      <c r="F136" t="n">
        <v>3</v>
      </c>
      <c r="G136" t="inlineStr">
        <is>
          <t>BS001, BS002, BS004</t>
        </is>
      </c>
      <c r="H136" t="inlineStr">
        <is>
          <t>31 Agustus 2015</t>
        </is>
      </c>
      <c r="I136" s="2" t="n">
        <v>46268</v>
      </c>
      <c r="J136" t="inlineStr">
        <is>
          <t>Disetujui</t>
        </is>
      </c>
      <c r="K136" t="n">
        <v>90</v>
      </c>
      <c r="L136" t="inlineStr">
        <is>
          <t>3 September 2026</t>
        </is>
      </c>
      <c r="M136" t="inlineStr">
        <is>
          <t>Bangunan Sipil Jembatan, Jalan Layang, Fly Over, dan Underpass, Konstruksi Bangunan Sipil Jalan, Konstruksi Jaringan Irigasi dan Drainase</t>
        </is>
      </c>
      <c r="N136" t="inlineStr">
        <is>
          <t>K</t>
        </is>
      </c>
      <c r="O136" t="inlineStr">
        <is>
          <t>20230903</t>
        </is>
      </c>
      <c r="P136" t="inlineStr">
        <is>
          <t>Kalimantan Barat</t>
        </is>
      </c>
      <c r="Q136" t="inlineStr"/>
    </row>
    <row r="137">
      <c r="A137" t="inlineStr">
        <is>
          <t>TUNAS INTI ABADI</t>
        </is>
      </c>
      <c r="B137" t="inlineStr">
        <is>
          <t>Kab. Tanah Datar</t>
        </is>
      </c>
      <c r="C137" t="inlineStr">
        <is>
          <t>081276194938</t>
        </is>
      </c>
      <c r="D137" t="inlineStr">
        <is>
          <t>tunasintiabadi.cv@gmail.com</t>
        </is>
      </c>
      <c r="E137" t="inlineStr">
        <is>
          <t>https://lpjk.pu.go.id/search-badan-usaha-detail/UUZpcUdPdUhPQ0dDbXE3YkRMKys5Zz09</t>
        </is>
      </c>
      <c r="F137" t="n">
        <v>2</v>
      </c>
      <c r="G137" t="inlineStr">
        <is>
          <t>BS001, BS004</t>
        </is>
      </c>
      <c r="H137" t="inlineStr">
        <is>
          <t>20 Januari 2015</t>
        </is>
      </c>
      <c r="I137" s="2" t="n">
        <v>46268</v>
      </c>
      <c r="J137" t="inlineStr">
        <is>
          <t>Disetujui</t>
        </is>
      </c>
      <c r="K137" t="n">
        <v>90</v>
      </c>
      <c r="L137" t="inlineStr">
        <is>
          <t>3 September 2026</t>
        </is>
      </c>
      <c r="M137" t="inlineStr">
        <is>
          <t>Konstruksi Bangunan Sipil Jalan, Konstruksi Jaringan Irigasi dan Drainase</t>
        </is>
      </c>
      <c r="N137" t="inlineStr">
        <is>
          <t>K</t>
        </is>
      </c>
      <c r="O137" t="inlineStr">
        <is>
          <t>20230830</t>
        </is>
      </c>
      <c r="P137" t="inlineStr">
        <is>
          <t>Sumatera Barat</t>
        </is>
      </c>
      <c r="Q137" t="inlineStr"/>
    </row>
    <row r="138">
      <c r="A138" t="inlineStr">
        <is>
          <t>UNITED 07 CONSULTANT</t>
        </is>
      </c>
      <c r="B138" t="inlineStr">
        <is>
          <t>Kota Samarinda</t>
        </is>
      </c>
      <c r="C138" t="inlineStr">
        <is>
          <t>081258945433</t>
        </is>
      </c>
      <c r="D138" t="inlineStr">
        <is>
          <t>unitedconsultant07@gmail.com</t>
        </is>
      </c>
      <c r="E138" t="inlineStr">
        <is>
          <t>https://lpjk.pu.go.id/search-badan-usaha-detail/VDBsdm5BV1p3R0lHMUw3TGRJcTNxdz09</t>
        </is>
      </c>
      <c r="F138" t="n">
        <v>12</v>
      </c>
      <c r="G138" t="inlineStr">
        <is>
          <t>AR001, AR002, RK001, RK002, RK003, RK005</t>
        </is>
      </c>
      <c r="H138" t="inlineStr">
        <is>
          <t>7 Desember 2007</t>
        </is>
      </c>
      <c r="I138" s="2" t="n">
        <v>46268</v>
      </c>
      <c r="J138" t="inlineStr">
        <is>
          <t>Disetujui</t>
        </is>
      </c>
      <c r="K138" t="n">
        <v>90</v>
      </c>
      <c r="L138" t="inlineStr">
        <is>
          <t>3 September 2026</t>
        </is>
      </c>
      <c r="M138" t="inlineStr">
        <is>
          <t>Jasa Arsitektural Bangunan Gedung Hunian dan Non Hunian, Jasa Arsitektural Lainnya, Jasa Rekayasa Konstruksi Bangunan Gedung Hunian dan Non Hunian, Jasa Rekayasa Lainnya, Jasa Rekayasa Pekerjaan Teknik Sipil Sumber Daya Air, Jasa Rekayasa Pekerjaan Teknik Sipil Transportasi</t>
        </is>
      </c>
      <c r="N138" t="inlineStr">
        <is>
          <t>K</t>
        </is>
      </c>
      <c r="O138" t="inlineStr">
        <is>
          <t>20230824, 20230825</t>
        </is>
      </c>
      <c r="P138" t="inlineStr">
        <is>
          <t>Kalimantan Timur</t>
        </is>
      </c>
      <c r="Q138" t="inlineStr"/>
    </row>
    <row r="139">
      <c r="A139" t="inlineStr">
        <is>
          <t>UPAYA KARYA MALAQBIQ</t>
        </is>
      </c>
      <c r="B139" t="inlineStr">
        <is>
          <t>Kab. Kotabaru</t>
        </is>
      </c>
      <c r="C139" t="inlineStr">
        <is>
          <t>081348683528</t>
        </is>
      </c>
      <c r="D139" t="inlineStr">
        <is>
          <t>cvupayakaryamalaqbiq@gmail.com</t>
        </is>
      </c>
      <c r="E139" t="inlineStr">
        <is>
          <t>https://lpjk.pu.go.id/search-badan-usaha-detail/REFBSnFndUg2MmZGcHRIWXgvamQ5dz09</t>
        </is>
      </c>
      <c r="F139" t="n">
        <v>1</v>
      </c>
      <c r="G139" t="inlineStr">
        <is>
          <t>BG009</t>
        </is>
      </c>
      <c r="H139" t="inlineStr">
        <is>
          <t>3 Mei 2023</t>
        </is>
      </c>
      <c r="I139" s="2" t="n">
        <v>46268</v>
      </c>
      <c r="J139" t="inlineStr">
        <is>
          <t>Disetujui</t>
        </is>
      </c>
      <c r="K139" t="n">
        <v>90</v>
      </c>
      <c r="L139" t="inlineStr">
        <is>
          <t>3 September 2026</t>
        </is>
      </c>
      <c r="M139" t="inlineStr">
        <is>
          <t>Konstruksi Gedung Lainnya</t>
        </is>
      </c>
      <c r="N139" t="inlineStr">
        <is>
          <t>K</t>
        </is>
      </c>
      <c r="O139" t="inlineStr">
        <is>
          <t>20230703</t>
        </is>
      </c>
      <c r="P139" t="inlineStr">
        <is>
          <t>Kalimantan Selatan</t>
        </is>
      </c>
      <c r="Q139" t="inlineStr"/>
    </row>
    <row r="140">
      <c r="A140" t="inlineStr">
        <is>
          <t>WAHANA TATA KONSULTAN</t>
        </is>
      </c>
      <c r="B140" t="inlineStr">
        <is>
          <t>Kab. Ngawi</t>
        </is>
      </c>
      <c r="C140" t="inlineStr">
        <is>
          <t>082131003343</t>
        </is>
      </c>
      <c r="D140" t="inlineStr">
        <is>
          <t>wahanawtkngw@yahoo.com</t>
        </is>
      </c>
      <c r="E140" t="inlineStr">
        <is>
          <t>https://lpjk.pu.go.id/search-badan-usaha-detail/ZkhZdThBd1ZXeVY3RXMvcDBwbjVhdz09</t>
        </is>
      </c>
      <c r="F140" t="n">
        <v>3</v>
      </c>
      <c r="G140" t="inlineStr">
        <is>
          <t>RK001, RK002, RK003</t>
        </is>
      </c>
      <c r="H140" t="inlineStr">
        <is>
          <t>30 April 2003</t>
        </is>
      </c>
      <c r="I140" s="2" t="n">
        <v>46268</v>
      </c>
      <c r="J140" t="inlineStr">
        <is>
          <t>Disetujui, Pencabutan</t>
        </is>
      </c>
      <c r="K140" t="n">
        <v>90</v>
      </c>
      <c r="L140" t="inlineStr">
        <is>
          <t>3 September 2026</t>
        </is>
      </c>
      <c r="M140" t="inlineStr">
        <is>
          <t>Jasa Rekayasa Konstruksi Bangunan Gedung Hunian dan Non Hunian, Jasa Rekayasa Pekerjaan Teknik Sipil Sumber Daya Air, Jasa Rekayasa Pekerjaan Teknik Sipil Transportasi</t>
        </is>
      </c>
      <c r="N140" t="inlineStr">
        <is>
          <t>K</t>
        </is>
      </c>
      <c r="O140" t="inlineStr">
        <is>
          <t>20230804</t>
        </is>
      </c>
      <c r="P140" t="inlineStr">
        <is>
          <t>Jawa Timur</t>
        </is>
      </c>
      <c r="Q140" t="inlineStr"/>
    </row>
    <row r="141">
      <c r="A141" t="inlineStr">
        <is>
          <t>WAHYU LESTARI</t>
        </is>
      </c>
      <c r="B141" t="inlineStr">
        <is>
          <t>Kab. Belitung</t>
        </is>
      </c>
      <c r="C141" t="inlineStr">
        <is>
          <t>081927789868</t>
        </is>
      </c>
      <c r="D141" t="inlineStr">
        <is>
          <t>cvwahyulestari@yahoo.co.id</t>
        </is>
      </c>
      <c r="E141" t="inlineStr">
        <is>
          <t>https://lpjk.pu.go.id/search-badan-usaha-detail/SnY4d1piazZBOE9mc1hEUVp4dDhOZz09</t>
        </is>
      </c>
      <c r="F141" t="n">
        <v>4</v>
      </c>
      <c r="G141" t="inlineStr">
        <is>
          <t>BG004, BG006, BG009, BS005</t>
        </is>
      </c>
      <c r="H141" t="inlineStr">
        <is>
          <t>29 Mei 2002</t>
        </is>
      </c>
      <c r="I141" s="2" t="n">
        <v>46268</v>
      </c>
      <c r="J141" t="inlineStr">
        <is>
          <t>Disetujui</t>
        </is>
      </c>
      <c r="K141" t="n">
        <v>90</v>
      </c>
      <c r="L141" t="inlineStr">
        <is>
          <t>3 September 2026</t>
        </is>
      </c>
      <c r="M141" t="inlineStr">
        <is>
          <t>Konstruksi Bangunan Sipil Pengolahan Air Bersih, Konstruksi Gedung Lainnya, Konstruksi Gedung Pendidikan, Konstruksi Gedung Perbelanjaan</t>
        </is>
      </c>
      <c r="N141" t="inlineStr">
        <is>
          <t>K</t>
        </is>
      </c>
      <c r="O141" t="inlineStr">
        <is>
          <t>20230829</t>
        </is>
      </c>
      <c r="P141" t="inlineStr">
        <is>
          <t>Kepulauan Bangka Belitung</t>
        </is>
      </c>
      <c r="Q141" t="inlineStr"/>
    </row>
    <row r="142">
      <c r="A142" t="inlineStr">
        <is>
          <t>WIJAYA RAYA PERKASA</t>
        </is>
      </c>
      <c r="B142" t="inlineStr">
        <is>
          <t>Kab. Cirebon</t>
        </is>
      </c>
      <c r="C142" t="inlineStr">
        <is>
          <t>0231220994</t>
        </is>
      </c>
      <c r="D142" t="inlineStr">
        <is>
          <t>sbnwrp@gmail.com</t>
        </is>
      </c>
      <c r="E142" t="inlineStr">
        <is>
          <t>https://lpjk.pu.go.id/search-badan-usaha-detail/UWcveEZlODhXbXFVajhvUW5GU0NFdz09</t>
        </is>
      </c>
      <c r="F142" t="n">
        <v>2</v>
      </c>
      <c r="G142" t="inlineStr">
        <is>
          <t>IN007</t>
        </is>
      </c>
      <c r="H142" t="inlineStr">
        <is>
          <t>7 Juni 2007</t>
        </is>
      </c>
      <c r="I142" s="2" t="n">
        <v>46268</v>
      </c>
      <c r="J142" t="inlineStr">
        <is>
          <t>Pencabutan</t>
        </is>
      </c>
      <c r="K142" t="n">
        <v>90</v>
      </c>
      <c r="L142" t="inlineStr">
        <is>
          <t>3 September 2026</t>
        </is>
      </c>
      <c r="M142" t="inlineStr">
        <is>
          <t>Instalasi Saluran Air (Plambing)</t>
        </is>
      </c>
      <c r="N142" t="inlineStr">
        <is>
          <t>Spesialis</t>
        </is>
      </c>
      <c r="O142" t="inlineStr">
        <is>
          <t>20230824</t>
        </is>
      </c>
      <c r="P142" t="inlineStr">
        <is>
          <t>Jawa Barat</t>
        </is>
      </c>
      <c r="Q142" t="inlineStr"/>
    </row>
    <row r="143">
      <c r="A143" t="inlineStr">
        <is>
          <t>ZONA TATA PERSADA</t>
        </is>
      </c>
      <c r="B143" t="inlineStr">
        <is>
          <t>Kab. Tegal</t>
        </is>
      </c>
      <c r="C143" t="inlineStr">
        <is>
          <t>081575058009</t>
        </is>
      </c>
      <c r="D143" t="inlineStr">
        <is>
          <t>zonatatarba@gmail.com</t>
        </is>
      </c>
      <c r="E143" t="inlineStr">
        <is>
          <t>https://lpjk.pu.go.id/search-badan-usaha-detail/eU1Qa05hWU9CZkJuNDZaQkNBeHJKUT09</t>
        </is>
      </c>
      <c r="F143" t="n">
        <v>4</v>
      </c>
      <c r="G143" t="inlineStr">
        <is>
          <t>BG002, BG005, BS001</t>
        </is>
      </c>
      <c r="H143" t="inlineStr">
        <is>
          <t>16 Juli 2009</t>
        </is>
      </c>
      <c r="I143" s="2" t="n">
        <v>46268</v>
      </c>
      <c r="J143" t="inlineStr">
        <is>
          <t>Disetujui</t>
        </is>
      </c>
      <c r="K143" t="n">
        <v>90</v>
      </c>
      <c r="L143" t="inlineStr">
        <is>
          <t>3 September 2026</t>
        </is>
      </c>
      <c r="M143" t="inlineStr">
        <is>
          <t>Konstruksi Bangunan Sipil Jalan, Konstruksi Gedung Kesehatan, Konstruksi Gedung Perkantoran</t>
        </is>
      </c>
      <c r="N143" t="inlineStr">
        <is>
          <t>K</t>
        </is>
      </c>
      <c r="O143" t="inlineStr">
        <is>
          <t>20220908, 20230831, 20230901</t>
        </is>
      </c>
      <c r="P143" t="inlineStr">
        <is>
          <t>Jawa Tengah</t>
        </is>
      </c>
      <c r="Q14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21"/>
  <sheetViews>
    <sheetView workbookViewId="0">
      <selection activeCell="A1" sqref="A1"/>
    </sheetView>
  </sheetViews>
  <sheetFormatPr baseColWidth="8" defaultRowHeight="15"/>
  <cols>
    <col width="29" customWidth="1" min="1" max="1"/>
    <col width="27" customWidth="1" min="2" max="2"/>
    <col width="16" customWidth="1" min="3" max="3"/>
    <col width="40" customWidth="1" min="4" max="4"/>
    <col width="50" customWidth="1" min="5" max="5"/>
    <col width="18" customWidth="1" min="6" max="6"/>
    <col width="42" customWidth="1" min="7" max="7"/>
    <col width="20" customWidth="1" min="8" max="8"/>
    <col width="28" customWidth="1" min="9" max="9"/>
    <col width="12" customWidth="1" min="10" max="10"/>
    <col width="11" customWidth="1" min="11" max="11"/>
    <col width="17" customWidth="1" min="12" max="12"/>
    <col width="50" customWidth="1" min="13" max="13"/>
    <col width="13"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ADIKARYA KONSTRUKSI PERKASA</t>
        </is>
      </c>
      <c r="B2" t="inlineStr">
        <is>
          <t>Kota Adm. Jakarta Timur</t>
        </is>
      </c>
      <c r="C2" t="inlineStr">
        <is>
          <t>02129833524</t>
        </is>
      </c>
      <c r="D2" t="inlineStr">
        <is>
          <t>pt.akperkasa@gmail.com</t>
        </is>
      </c>
      <c r="E2" t="inlineStr">
        <is>
          <t>https://lpjk.pu.go.id/search-badan-usaha-detail/eGtIUlplNU14L3ROaURHbDY4d3g2dz09</t>
        </is>
      </c>
      <c r="F2" t="n">
        <v>2</v>
      </c>
      <c r="G2" t="inlineStr">
        <is>
          <t>BS006</t>
        </is>
      </c>
      <c r="H2" t="inlineStr">
        <is>
          <t>9 Maret 2020</t>
        </is>
      </c>
      <c r="I2" s="2" t="n">
        <v>46238</v>
      </c>
      <c r="J2" t="inlineStr">
        <is>
          <t>Disetujui</t>
        </is>
      </c>
      <c r="K2" t="n">
        <v>60</v>
      </c>
      <c r="L2" t="inlineStr">
        <is>
          <t>4 Agustus 2026</t>
        </is>
      </c>
      <c r="M2" t="inlineStr">
        <is>
          <t>Konstruksi Bangunan Sipil Prasarana dan Sarana Sistem Pengolahan Limbah Padat, Cair, dan Gas</t>
        </is>
      </c>
      <c r="N2" t="inlineStr">
        <is>
          <t>K</t>
        </is>
      </c>
      <c r="O2" t="inlineStr">
        <is>
          <t>20230803</t>
        </is>
      </c>
      <c r="P2" t="inlineStr">
        <is>
          <t>DKI Jakarta</t>
        </is>
      </c>
      <c r="Q2" t="inlineStr"/>
    </row>
    <row r="3">
      <c r="A3" t="inlineStr">
        <is>
          <t>ARASY JAYA RAHARDJO</t>
        </is>
      </c>
      <c r="B3" t="inlineStr">
        <is>
          <t>Kab. Bogor</t>
        </is>
      </c>
      <c r="C3" t="inlineStr">
        <is>
          <t>081282821027</t>
        </is>
      </c>
      <c r="D3" t="inlineStr">
        <is>
          <t>arasy.jayarahardjo@gmail.com</t>
        </is>
      </c>
      <c r="E3" t="inlineStr">
        <is>
          <t>https://lpjk.pu.go.id/search-badan-usaha-detail/bFhwdWN0YXRKeVVUWHZLeVk0NWJDQT09</t>
        </is>
      </c>
      <c r="F3" t="n">
        <v>8</v>
      </c>
      <c r="G3" t="inlineStr">
        <is>
          <t>BG001, BG002, BG008, BG009</t>
        </is>
      </c>
      <c r="H3" t="inlineStr">
        <is>
          <t>6 Desember 2021</t>
        </is>
      </c>
      <c r="I3" s="2" t="n">
        <v>46238</v>
      </c>
      <c r="J3" t="inlineStr">
        <is>
          <t>Disetujui</t>
        </is>
      </c>
      <c r="K3" t="n">
        <v>60</v>
      </c>
      <c r="L3" t="inlineStr">
        <is>
          <t>4 Agustus 2026</t>
        </is>
      </c>
      <c r="M3" t="inlineStr">
        <is>
          <t>Konstruksi Gedung Hunian, Konstruksi Gedung Lainnya, Konstruksi Gedung Perkantoran, Konstruksi Gedung Tempat Hiburan dan Olahraga</t>
        </is>
      </c>
      <c r="N3" t="inlineStr">
        <is>
          <t>K</t>
        </is>
      </c>
      <c r="O3" t="inlineStr">
        <is>
          <t>20230405, 20230802</t>
        </is>
      </c>
      <c r="P3" t="inlineStr">
        <is>
          <t>Jawa Barat</t>
        </is>
      </c>
      <c r="Q3" s="3">
        <f>HYPERLINK("https://wa.me/6281282821027?text=*[PENGINGAT MASA BERLAKU SBU ARASY JAYA RAHARDJO]*%0A%0AYth. Pimpinan ARASY JAYA RAHARDJO,%0AMohon izin menginformasikan status SBU Anda di sistem LPJK:%0A%0A📄 SBU: BG001, BG002, BG008, BG009%0A📅 Expired: 4 Agustus 2026 (60 Hari Lagi)%0A%0AKami tim PT. ESDEA Assistance Management siap men-support proses perpanjangan segera agar administrasi proyek tidak terhambat%0A%0AApakah boleh saya bantu siapkan estimasi biaya dan waktu pengerjaannya?.", "Hubungi")</f>
        <v/>
      </c>
    </row>
    <row r="4">
      <c r="A4" t="inlineStr">
        <is>
          <t>BONIAGATA SUMBER ARTHA</t>
        </is>
      </c>
      <c r="B4" t="inlineStr">
        <is>
          <t>Kota Depok</t>
        </is>
      </c>
      <c r="C4" t="inlineStr">
        <is>
          <t>08992539861</t>
        </is>
      </c>
      <c r="D4" t="inlineStr">
        <is>
          <t>cv.boniagatasumberartha@gmail.com</t>
        </is>
      </c>
      <c r="E4" t="inlineStr">
        <is>
          <t>https://lpjk.pu.go.id/search-badan-usaha-detail/Nm45cFBSdkJ1ZjNKNUN6aCtkOUxuQT09</t>
        </is>
      </c>
      <c r="F4" t="n">
        <v>2</v>
      </c>
      <c r="G4" t="inlineStr">
        <is>
          <t>BS001</t>
        </is>
      </c>
      <c r="H4" t="inlineStr">
        <is>
          <t>15 Desember 2016</t>
        </is>
      </c>
      <c r="I4" s="2" t="n">
        <v>46238</v>
      </c>
      <c r="J4" t="inlineStr">
        <is>
          <t>Disetujui</t>
        </is>
      </c>
      <c r="K4" t="n">
        <v>60</v>
      </c>
      <c r="L4" t="inlineStr">
        <is>
          <t>4 Agustus 2026</t>
        </is>
      </c>
      <c r="M4" t="inlineStr">
        <is>
          <t>Konstruksi Bangunan Sipil Jalan</t>
        </is>
      </c>
      <c r="N4" t="inlineStr">
        <is>
          <t>K</t>
        </is>
      </c>
      <c r="O4" t="inlineStr">
        <is>
          <t>20230803</t>
        </is>
      </c>
      <c r="P4" t="inlineStr">
        <is>
          <t>Jawa Barat</t>
        </is>
      </c>
      <c r="Q4" s="3">
        <f>HYPERLINK("https://wa.me/628992539861?text=*[PENGINGAT MASA BERLAKU SBU BONIAGATA SUMBER ARTHA]*%0A%0AYth. Pimpinan BONIAGATA SUMBER ARTHA,%0AMohon izin menginformasikan status SBU Anda di sistem LPJK:%0A%0A📄 SBU: BS001%0A📅 Expired: 4 Agustus 2026 (60 Hari Lagi)%0A%0AKami tim PT. ESDEA Assistance Management siap men-support proses perpanjangan segera agar administrasi proyek tidak terhambat%0A%0AApakah boleh saya bantu siapkan estimasi biaya dan waktu pengerjaannya?.", "Hubungi")</f>
        <v/>
      </c>
    </row>
    <row r="5">
      <c r="A5" t="inlineStr">
        <is>
          <t>CAHAYA BERLIAN</t>
        </is>
      </c>
      <c r="B5" t="inlineStr">
        <is>
          <t>Kab. Bekasi</t>
        </is>
      </c>
      <c r="C5" t="inlineStr">
        <is>
          <t>087777000234</t>
        </is>
      </c>
      <c r="D5" t="inlineStr">
        <is>
          <t>cahaya_berlian@yahoo.com</t>
        </is>
      </c>
      <c r="E5" t="inlineStr">
        <is>
          <t>https://lpjk.pu.go.id/search-badan-usaha-detail/UEFCbU5OK2p3VlIwMk02YjJ0MHVTZz09</t>
        </is>
      </c>
      <c r="F5" t="n">
        <v>2</v>
      </c>
      <c r="G5" t="inlineStr">
        <is>
          <t>BG005, BG009</t>
        </is>
      </c>
      <c r="H5" t="inlineStr">
        <is>
          <t>19 Desember 1994</t>
        </is>
      </c>
      <c r="I5" s="2" t="n">
        <v>46238</v>
      </c>
      <c r="J5" t="inlineStr">
        <is>
          <t>Disetujui</t>
        </is>
      </c>
      <c r="K5" t="n">
        <v>60</v>
      </c>
      <c r="L5" t="inlineStr">
        <is>
          <t>4 Agustus 2026</t>
        </is>
      </c>
      <c r="M5" t="inlineStr">
        <is>
          <t>Konstruksi Gedung Kesehatan, Konstruksi Gedung Lainnya</t>
        </is>
      </c>
      <c r="N5" t="inlineStr">
        <is>
          <t>K</t>
        </is>
      </c>
      <c r="O5" t="inlineStr">
        <is>
          <t>20230803</t>
        </is>
      </c>
      <c r="P5" t="inlineStr">
        <is>
          <t>Jawa Barat</t>
        </is>
      </c>
      <c r="Q5" s="3">
        <f>HYPERLINK("https://wa.me/6287777000234?text=*[PENGINGAT MASA BERLAKU SBU CAHAYA BERLIAN]*%0A%0AYth. Pimpinan CAHAYA BERLIAN,%0AMohon izin menginformasikan status SBU Anda di sistem LPJK:%0A%0A📄 SBU: BG005, BG009%0A📅 Expired: 4 Agustus 2026 (60 Hari Lagi)%0A%0AKami tim PT. ESDEA Assistance Management siap men-support proses perpanjangan segera agar administrasi proyek tidak terhambat%0A%0AApakah boleh saya bantu siapkan estimasi biaya dan waktu pengerjaannya?.", "Hubungi")</f>
        <v/>
      </c>
    </row>
    <row r="6">
      <c r="A6" t="inlineStr">
        <is>
          <t>MILLENIUM TIGA BANGUN</t>
        </is>
      </c>
      <c r="B6" t="inlineStr">
        <is>
          <t>Kab. Bekasi</t>
        </is>
      </c>
      <c r="C6" t="inlineStr">
        <is>
          <t>081398889382</t>
        </is>
      </c>
      <c r="D6" t="inlineStr">
        <is>
          <t>m3bangun22@gmail.com</t>
        </is>
      </c>
      <c r="E6" t="inlineStr">
        <is>
          <t>https://lpjk.pu.go.id/search-badan-usaha-detail/QnVkYnBQdTZvNHBtOE5vaS9sM3dFQT09</t>
        </is>
      </c>
      <c r="F6" t="n">
        <v>1</v>
      </c>
      <c r="G6" t="inlineStr">
        <is>
          <t>BG001</t>
        </is>
      </c>
      <c r="H6" t="inlineStr">
        <is>
          <t>8 Agustus 2022</t>
        </is>
      </c>
      <c r="I6" s="2" t="n">
        <v>46238</v>
      </c>
      <c r="J6" t="inlineStr">
        <is>
          <t>Disetujui</t>
        </is>
      </c>
      <c r="K6" t="n">
        <v>60</v>
      </c>
      <c r="L6" t="inlineStr">
        <is>
          <t>4 Agustus 2026</t>
        </is>
      </c>
      <c r="M6" t="inlineStr">
        <is>
          <t>Konstruksi Gedung Hunian</t>
        </is>
      </c>
      <c r="N6" t="inlineStr">
        <is>
          <t>K</t>
        </is>
      </c>
      <c r="O6" t="inlineStr">
        <is>
          <t>20230804</t>
        </is>
      </c>
      <c r="P6" t="inlineStr">
        <is>
          <t>Jawa Barat</t>
        </is>
      </c>
      <c r="Q6" s="3">
        <f>HYPERLINK("https://wa.me/6281398889382?text=*[PENGINGAT MASA BERLAKU SBU MILLENIUM TIGA BANGUN]*%0A%0AYth. Pimpinan MILLENIUM TIGA BANGUN,%0AMohon izin menginformasikan status SBU Anda di sistem LPJK:%0A%0A📄 SBU: BG001%0A📅 Expired: 4 Agustus 2026 (60 Hari Lagi)%0A%0AKami tim PT. ESDEA Assistance Management siap men-support proses perpanjangan segera agar administrasi proyek tidak terhambat%0A%0AApakah boleh saya bantu siapkan estimasi biaya dan waktu pengerjaannya?.", "Hubungi")</f>
        <v/>
      </c>
    </row>
    <row r="7">
      <c r="A7" t="inlineStr">
        <is>
          <t>PRIMA SARANA MAKMUR</t>
        </is>
      </c>
      <c r="B7" t="inlineStr">
        <is>
          <t>Kab. Bekasi</t>
        </is>
      </c>
      <c r="C7" t="inlineStr">
        <is>
          <t>02188354610</t>
        </is>
      </c>
      <c r="D7" t="inlineStr">
        <is>
          <t>info@primasaranamakmur.com</t>
        </is>
      </c>
      <c r="E7" t="inlineStr">
        <is>
          <t>https://lpjk.pu.go.id/search-badan-usaha-detail/a0JZaGxqVWxxUGlVTlcySThxWnFKUT09</t>
        </is>
      </c>
      <c r="F7" t="n">
        <v>1</v>
      </c>
      <c r="G7" t="inlineStr">
        <is>
          <t>BG003</t>
        </is>
      </c>
      <c r="H7" t="inlineStr">
        <is>
          <t>14 Juni 2023</t>
        </is>
      </c>
      <c r="I7" s="2" t="n">
        <v>46238</v>
      </c>
      <c r="J7" t="inlineStr">
        <is>
          <t>Disetujui</t>
        </is>
      </c>
      <c r="K7" t="n">
        <v>60</v>
      </c>
      <c r="L7" t="inlineStr">
        <is>
          <t>4 Agustus 2026</t>
        </is>
      </c>
      <c r="M7" t="inlineStr">
        <is>
          <t>Konstruksi Gedung Industri</t>
        </is>
      </c>
      <c r="N7" t="inlineStr">
        <is>
          <t>K</t>
        </is>
      </c>
      <c r="O7" t="inlineStr">
        <is>
          <t>20230713</t>
        </is>
      </c>
      <c r="P7" t="inlineStr">
        <is>
          <t>Jawa Barat</t>
        </is>
      </c>
      <c r="Q7" t="inlineStr"/>
    </row>
    <row r="8">
      <c r="A8" t="inlineStr">
        <is>
          <t>SEMAI BANGUN BERKAH</t>
        </is>
      </c>
      <c r="B8" t="inlineStr">
        <is>
          <t>Kota Depok</t>
        </is>
      </c>
      <c r="C8" t="inlineStr">
        <is>
          <t>081286644694</t>
        </is>
      </c>
      <c r="D8" t="inlineStr">
        <is>
          <t>semaibangunberkah@gmail.com</t>
        </is>
      </c>
      <c r="E8" t="inlineStr">
        <is>
          <t>https://lpjk.pu.go.id/search-badan-usaha-detail/Ujczb2RqdFlRSkd6V3RIRCtYZGJCUT09</t>
        </is>
      </c>
      <c r="F8" t="n">
        <v>1</v>
      </c>
      <c r="G8" t="inlineStr">
        <is>
          <t>BG006</t>
        </is>
      </c>
      <c r="H8" t="inlineStr">
        <is>
          <t>29 Maret 2023</t>
        </is>
      </c>
      <c r="I8" s="2" t="n">
        <v>46238</v>
      </c>
      <c r="J8" t="inlineStr">
        <is>
          <t>Disetujui</t>
        </is>
      </c>
      <c r="K8" t="n">
        <v>60</v>
      </c>
      <c r="L8" t="inlineStr">
        <is>
          <t>4 Agustus 2026</t>
        </is>
      </c>
      <c r="M8" t="inlineStr">
        <is>
          <t>Konstruksi Gedung Pendidikan</t>
        </is>
      </c>
      <c r="N8" t="inlineStr">
        <is>
          <t>K</t>
        </is>
      </c>
      <c r="O8" t="inlineStr">
        <is>
          <t>20230804</t>
        </is>
      </c>
      <c r="P8" t="inlineStr">
        <is>
          <t>Jawa Barat</t>
        </is>
      </c>
      <c r="Q8" s="3">
        <f>HYPERLINK("https://wa.me/6281286644694?text=*[PENGINGAT MASA BERLAKU SBU SEMAI BANGUN BERKAH]*%0A%0AYth. Pimpinan SEMAI BANGUN BERKAH,%0AMohon izin menginformasikan status SBU Anda di sistem LPJK:%0A%0A📄 SBU: BG006%0A📅 Expired: 4 Agustus 2026 (60 Hari Lagi)%0A%0AKami tim PT. ESDEA Assistance Management siap men-support proses perpanjangan segera agar administrasi proyek tidak terhambat%0A%0AApakah boleh saya bantu siapkan estimasi biaya dan waktu pengerjaannya?.", "Hubungi")</f>
        <v/>
      </c>
    </row>
    <row r="9">
      <c r="A9" t="inlineStr">
        <is>
          <t>SINAR GUNUNG SEJATI</t>
        </is>
      </c>
      <c r="B9" t="inlineStr">
        <is>
          <t>Kab. Bogor</t>
        </is>
      </c>
      <c r="C9" t="inlineStr">
        <is>
          <t>02129099618</t>
        </is>
      </c>
      <c r="D9" t="inlineStr">
        <is>
          <t>pt.sinargunungsejati@gmail.com</t>
        </is>
      </c>
      <c r="E9" t="inlineStr">
        <is>
          <t>https://lpjk.pu.go.id/search-badan-usaha-detail/NDlMWGdpNDBiOUxJS0pmSzA0Y1JjUT09</t>
        </is>
      </c>
      <c r="F9" t="n">
        <v>1</v>
      </c>
      <c r="G9" t="inlineStr">
        <is>
          <t>BG009</t>
        </is>
      </c>
      <c r="H9" t="inlineStr">
        <is>
          <t>20 Agustus 2009</t>
        </is>
      </c>
      <c r="I9" s="2" t="n">
        <v>46238</v>
      </c>
      <c r="J9" t="inlineStr">
        <is>
          <t>Disetujui</t>
        </is>
      </c>
      <c r="K9" t="n">
        <v>60</v>
      </c>
      <c r="L9" t="inlineStr">
        <is>
          <t>4 Agustus 2026</t>
        </is>
      </c>
      <c r="M9" t="inlineStr">
        <is>
          <t>Konstruksi Gedung Lainnya</t>
        </is>
      </c>
      <c r="N9" t="inlineStr">
        <is>
          <t>M</t>
        </is>
      </c>
      <c r="O9" t="inlineStr">
        <is>
          <t>20230801</t>
        </is>
      </c>
      <c r="P9" t="inlineStr">
        <is>
          <t>Jawa Barat</t>
        </is>
      </c>
      <c r="Q9" t="inlineStr"/>
    </row>
    <row r="10">
      <c r="A10" t="inlineStr">
        <is>
          <t>TAMAN AGUNG PERDANA</t>
        </is>
      </c>
      <c r="B10" t="inlineStr">
        <is>
          <t>Kota Bekasi</t>
        </is>
      </c>
      <c r="C10" t="inlineStr">
        <is>
          <t>0218607710</t>
        </is>
      </c>
      <c r="D10" t="inlineStr">
        <is>
          <t>ptamanagung@yahoo.com</t>
        </is>
      </c>
      <c r="E10" t="inlineStr">
        <is>
          <t>https://lpjk.pu.go.id/search-badan-usaha-detail/cGhxckNoSEN1VFVGWUdLN05LMWIvZz09</t>
        </is>
      </c>
      <c r="F10" t="n">
        <v>2</v>
      </c>
      <c r="G10" t="inlineStr">
        <is>
          <t>BG001</t>
        </is>
      </c>
      <c r="H10" t="inlineStr">
        <is>
          <t>2 Februari 1996</t>
        </is>
      </c>
      <c r="I10" s="2" t="n">
        <v>46238</v>
      </c>
      <c r="J10" t="inlineStr">
        <is>
          <t>Disetujui</t>
        </is>
      </c>
      <c r="K10" t="n">
        <v>60</v>
      </c>
      <c r="L10" t="inlineStr">
        <is>
          <t>4 Agustus 2026</t>
        </is>
      </c>
      <c r="M10" t="inlineStr">
        <is>
          <t>Konstruksi Gedung Hunian</t>
        </is>
      </c>
      <c r="N10" t="inlineStr">
        <is>
          <t>K</t>
        </is>
      </c>
      <c r="O10" t="inlineStr">
        <is>
          <t>20230802</t>
        </is>
      </c>
      <c r="P10" t="inlineStr">
        <is>
          <t>Jawa Barat</t>
        </is>
      </c>
      <c r="Q10" t="inlineStr"/>
    </row>
    <row r="11">
      <c r="A11" t="inlineStr">
        <is>
          <t>TRITI ADITIA</t>
        </is>
      </c>
      <c r="B11" t="inlineStr">
        <is>
          <t>Kab. Bogor</t>
        </is>
      </c>
      <c r="C11" t="inlineStr">
        <is>
          <t>0218781164</t>
        </is>
      </c>
      <c r="D11" t="inlineStr">
        <is>
          <t>tritiaditia@yahoo.com</t>
        </is>
      </c>
      <c r="E11" t="inlineStr">
        <is>
          <t>https://lpjk.pu.go.id/search-badan-usaha-detail/ejJZQXc1c3drRGJGUGFlaDk5ak9FQT09</t>
        </is>
      </c>
      <c r="F11" t="n">
        <v>2</v>
      </c>
      <c r="G11" t="inlineStr">
        <is>
          <t>BG009, BS001</t>
        </is>
      </c>
      <c r="H11" t="inlineStr">
        <is>
          <t>19 September 2015</t>
        </is>
      </c>
      <c r="I11" s="2" t="n">
        <v>46238</v>
      </c>
      <c r="J11" t="inlineStr">
        <is>
          <t>Disetujui</t>
        </is>
      </c>
      <c r="K11" t="n">
        <v>60</v>
      </c>
      <c r="L11" t="inlineStr">
        <is>
          <t>4 Agustus 2026</t>
        </is>
      </c>
      <c r="M11" t="inlineStr">
        <is>
          <t>Konstruksi Bangunan Sipil Jalan, Konstruksi Gedung Lainnya</t>
        </is>
      </c>
      <c r="N11" t="inlineStr">
        <is>
          <t>K</t>
        </is>
      </c>
      <c r="O11" t="inlineStr">
        <is>
          <t>20230726, 20230731</t>
        </is>
      </c>
      <c r="P11" t="inlineStr">
        <is>
          <t>Jawa Barat</t>
        </is>
      </c>
      <c r="Q11" t="inlineStr"/>
    </row>
    <row r="12">
      <c r="A12" t="inlineStr">
        <is>
          <t>ADI KENCANA</t>
        </is>
      </c>
      <c r="B12" t="inlineStr">
        <is>
          <t>Kab. Cilacap</t>
        </is>
      </c>
      <c r="C12" t="inlineStr">
        <is>
          <t>087781305142</t>
        </is>
      </c>
      <c r="D12" t="inlineStr">
        <is>
          <t>adikencanasdr@gmail.com</t>
        </is>
      </c>
      <c r="E12" t="inlineStr">
        <is>
          <t>https://lpjk.pu.go.id/search-badan-usaha-detail/STd0d0xSdUtjclZ6cVI0cmFRYVdkQT09</t>
        </is>
      </c>
      <c r="F12" t="n">
        <v>1</v>
      </c>
      <c r="G12" t="inlineStr">
        <is>
          <t>BS004</t>
        </is>
      </c>
      <c r="H12" t="inlineStr">
        <is>
          <t>3 Februari 2015</t>
        </is>
      </c>
      <c r="I12" s="2" t="n">
        <v>46238</v>
      </c>
      <c r="J12" t="inlineStr">
        <is>
          <t>Disetujui</t>
        </is>
      </c>
      <c r="K12" t="n">
        <v>60</v>
      </c>
      <c r="L12" t="inlineStr">
        <is>
          <t>4 Agustus 2026</t>
        </is>
      </c>
      <c r="M12" t="inlineStr">
        <is>
          <t>Konstruksi Jaringan Irigasi dan Drainase</t>
        </is>
      </c>
      <c r="N12" t="inlineStr">
        <is>
          <t>K</t>
        </is>
      </c>
      <c r="O12" t="inlineStr">
        <is>
          <t>20230804</t>
        </is>
      </c>
      <c r="P12" t="inlineStr">
        <is>
          <t>Jawa Tengah</t>
        </is>
      </c>
      <c r="Q12" t="inlineStr"/>
    </row>
    <row r="13">
      <c r="A13" t="inlineStr">
        <is>
          <t>ADI NUGROHO</t>
        </is>
      </c>
      <c r="B13" t="inlineStr">
        <is>
          <t>Kab. Klaten</t>
        </is>
      </c>
      <c r="C13" t="inlineStr">
        <is>
          <t>02723352929</t>
        </is>
      </c>
      <c r="D13" t="inlineStr">
        <is>
          <t>adinugrohocv@yahoo.co.id</t>
        </is>
      </c>
      <c r="E13" t="inlineStr">
        <is>
          <t>https://lpjk.pu.go.id/search-badan-usaha-detail/NWpjNHN0Y0pvNzhKVlV3TUJpTUhidz09</t>
        </is>
      </c>
      <c r="F13" t="n">
        <v>1</v>
      </c>
      <c r="G13" t="inlineStr">
        <is>
          <t>BG006</t>
        </is>
      </c>
      <c r="H13" t="inlineStr">
        <is>
          <t>13 Desember 1997</t>
        </is>
      </c>
      <c r="I13" s="2" t="n">
        <v>46238</v>
      </c>
      <c r="J13" t="inlineStr">
        <is>
          <t>Disetujui</t>
        </is>
      </c>
      <c r="K13" t="n">
        <v>60</v>
      </c>
      <c r="L13" t="inlineStr">
        <is>
          <t>4 Agustus 2026</t>
        </is>
      </c>
      <c r="M13" t="inlineStr">
        <is>
          <t>Konstruksi Gedung Pendidikan</t>
        </is>
      </c>
      <c r="N13" t="inlineStr">
        <is>
          <t>K</t>
        </is>
      </c>
      <c r="O13" t="inlineStr">
        <is>
          <t>20230803</t>
        </is>
      </c>
      <c r="P13" t="inlineStr">
        <is>
          <t>Jawa Tengah</t>
        </is>
      </c>
      <c r="Q13" t="inlineStr"/>
    </row>
    <row r="14">
      <c r="A14" t="inlineStr">
        <is>
          <t>ADI PUTRA INDOTAMA</t>
        </is>
      </c>
      <c r="B14" t="inlineStr">
        <is>
          <t>Kab. Kepulauan Sangihe</t>
        </is>
      </c>
      <c r="C14" t="inlineStr">
        <is>
          <t>082123338880</t>
        </is>
      </c>
      <c r="D14" t="inlineStr">
        <is>
          <t>adiputraindotama@gmail.com</t>
        </is>
      </c>
      <c r="E14" t="inlineStr">
        <is>
          <t>https://lpjk.pu.go.id/search-badan-usaha-detail/RXpmdkRWYktpWHFaSGxDa1V5dXVCQT09</t>
        </is>
      </c>
      <c r="F14" t="n">
        <v>1</v>
      </c>
      <c r="G14" t="inlineStr">
        <is>
          <t>BS001</t>
        </is>
      </c>
      <c r="H14" t="inlineStr">
        <is>
          <t>2 November 2015</t>
        </is>
      </c>
      <c r="I14" s="2" t="n">
        <v>46238</v>
      </c>
      <c r="J14" t="inlineStr">
        <is>
          <t>Pembekuan</t>
        </is>
      </c>
      <c r="K14" t="n">
        <v>60</v>
      </c>
      <c r="L14" t="inlineStr">
        <is>
          <t>4 Agustus 2026</t>
        </is>
      </c>
      <c r="M14" t="inlineStr">
        <is>
          <t>Konstruksi Bangunan Sipil Jalan</t>
        </is>
      </c>
      <c r="N14" t="inlineStr">
        <is>
          <t>M</t>
        </is>
      </c>
      <c r="O14" t="inlineStr">
        <is>
          <t>20230803</t>
        </is>
      </c>
      <c r="P14" t="inlineStr">
        <is>
          <t>Sulawesi Utara</t>
        </is>
      </c>
      <c r="Q14" t="inlineStr"/>
    </row>
    <row r="15">
      <c r="A15" t="inlineStr">
        <is>
          <t>ALAM JAYA</t>
        </is>
      </c>
      <c r="B15" t="inlineStr">
        <is>
          <t>Kab. Brebes</t>
        </is>
      </c>
      <c r="C15" t="inlineStr">
        <is>
          <t>081318893647</t>
        </is>
      </c>
      <c r="D15" t="inlineStr">
        <is>
          <t>cvalamj2@gmail.com</t>
        </is>
      </c>
      <c r="E15" t="inlineStr">
        <is>
          <t>https://lpjk.pu.go.id/search-badan-usaha-detail/TkY5ejRkSWZCNzI2NHIwZER5LzFZZz09</t>
        </is>
      </c>
      <c r="F15" t="n">
        <v>2</v>
      </c>
      <c r="G15" t="inlineStr">
        <is>
          <t>BS001, BS004</t>
        </is>
      </c>
      <c r="H15" t="inlineStr">
        <is>
          <t>11 Februari 2008</t>
        </is>
      </c>
      <c r="I15" s="2" t="n">
        <v>46238</v>
      </c>
      <c r="J15" t="inlineStr">
        <is>
          <t>Disetujui</t>
        </is>
      </c>
      <c r="K15" t="n">
        <v>60</v>
      </c>
      <c r="L15" t="inlineStr">
        <is>
          <t>4 Agustus 2026</t>
        </is>
      </c>
      <c r="M15" t="inlineStr">
        <is>
          <t>Konstruksi Bangunan Sipil Jalan, Konstruksi Jaringan Irigasi dan Drainase</t>
        </is>
      </c>
      <c r="N15" t="inlineStr">
        <is>
          <t>K</t>
        </is>
      </c>
      <c r="O15" t="inlineStr">
        <is>
          <t>20230615, 20230707</t>
        </is>
      </c>
      <c r="P15" t="inlineStr">
        <is>
          <t>Jawa Tengah</t>
        </is>
      </c>
      <c r="Q15" t="inlineStr"/>
    </row>
    <row r="16">
      <c r="A16" t="inlineStr">
        <is>
          <t>ALAM MAKMUR PUTRA</t>
        </is>
      </c>
      <c r="B16" t="inlineStr">
        <is>
          <t>Kota Cilegon</t>
        </is>
      </c>
      <c r="C16" t="inlineStr">
        <is>
          <t>0254341219</t>
        </is>
      </c>
      <c r="D16" t="inlineStr">
        <is>
          <t>pt.amputra@gmail.com</t>
        </is>
      </c>
      <c r="E16" t="inlineStr">
        <is>
          <t>https://lpjk.pu.go.id/search-badan-usaha-detail/Z3BES0lhSG9ieUJ6OEY5akxqekIvUT09</t>
        </is>
      </c>
      <c r="F16" t="n">
        <v>1</v>
      </c>
      <c r="G16" t="inlineStr">
        <is>
          <t>BS001</t>
        </is>
      </c>
      <c r="H16" t="inlineStr">
        <is>
          <t>24 Januari 2022</t>
        </is>
      </c>
      <c r="I16" s="2" t="n">
        <v>46238</v>
      </c>
      <c r="J16" t="inlineStr">
        <is>
          <t>Disetujui</t>
        </is>
      </c>
      <c r="K16" t="n">
        <v>60</v>
      </c>
      <c r="L16" t="inlineStr">
        <is>
          <t>4 Agustus 2026</t>
        </is>
      </c>
      <c r="M16" t="inlineStr">
        <is>
          <t>Konstruksi Bangunan Sipil Jalan</t>
        </is>
      </c>
      <c r="N16" t="inlineStr">
        <is>
          <t>K</t>
        </is>
      </c>
      <c r="O16" t="inlineStr">
        <is>
          <t>20230803</t>
        </is>
      </c>
      <c r="P16" t="inlineStr">
        <is>
          <t>Banten</t>
        </is>
      </c>
      <c r="Q16" t="inlineStr"/>
    </row>
    <row r="17">
      <c r="A17" t="inlineStr">
        <is>
          <t>AMANAH RAZZAQ AZZA</t>
        </is>
      </c>
      <c r="B17" t="inlineStr">
        <is>
          <t>Kota Banjarbaru</t>
        </is>
      </c>
      <c r="C17" t="inlineStr">
        <is>
          <t>081259872089</t>
        </is>
      </c>
      <c r="D17" t="inlineStr">
        <is>
          <t>amanahrazzaq@gmail.com</t>
        </is>
      </c>
      <c r="E17" t="inlineStr">
        <is>
          <t>https://lpjk.pu.go.id/search-badan-usaha-detail/NUZxNGZlaFZEbFRiVUdZRUlDUGxwZz09</t>
        </is>
      </c>
      <c r="F17" t="n">
        <v>3</v>
      </c>
      <c r="G17" t="inlineStr">
        <is>
          <t>PL005</t>
        </is>
      </c>
      <c r="H17" t="inlineStr">
        <is>
          <t>19 Juni 2023</t>
        </is>
      </c>
      <c r="I17" s="2" t="n">
        <v>46238</v>
      </c>
      <c r="J17" t="inlineStr">
        <is>
          <t>Pencabutan</t>
        </is>
      </c>
      <c r="K17" t="n">
        <v>60</v>
      </c>
      <c r="L17" t="inlineStr">
        <is>
          <t>4 Agustus 2026</t>
        </is>
      </c>
      <c r="M17" t="inlineStr">
        <is>
          <t>Pembuatan/Pengeboran Sumur Air Tanah</t>
        </is>
      </c>
      <c r="N17" t="inlineStr">
        <is>
          <t>Spesialis</t>
        </is>
      </c>
      <c r="O17" t="inlineStr">
        <is>
          <t>20230725</t>
        </is>
      </c>
      <c r="P17" t="inlineStr">
        <is>
          <t>Kalimantan Selatan</t>
        </is>
      </c>
      <c r="Q17" t="inlineStr"/>
    </row>
    <row r="18">
      <c r="A18" t="inlineStr">
        <is>
          <t>AMBAR AGUNG</t>
        </is>
      </c>
      <c r="B18" t="inlineStr">
        <is>
          <t>Kab. Banyumas</t>
        </is>
      </c>
      <c r="C18" t="inlineStr">
        <is>
          <t>0281631860</t>
        </is>
      </c>
      <c r="D18" t="inlineStr">
        <is>
          <t>ambaragung_cv@yahoo.co.id</t>
        </is>
      </c>
      <c r="E18" t="inlineStr">
        <is>
          <t>https://lpjk.pu.go.id/search-badan-usaha-detail/VjVDMXNTVTVjT2t5QmVabzQ3WkhCQT09</t>
        </is>
      </c>
      <c r="F18" t="n">
        <v>1</v>
      </c>
      <c r="G18" t="inlineStr">
        <is>
          <t>BG002</t>
        </is>
      </c>
      <c r="H18" t="inlineStr">
        <is>
          <t>12 November 1985</t>
        </is>
      </c>
      <c r="I18" s="2" t="n">
        <v>46238</v>
      </c>
      <c r="J18" t="inlineStr">
        <is>
          <t>Disetujui</t>
        </is>
      </c>
      <c r="K18" t="n">
        <v>60</v>
      </c>
      <c r="L18" t="inlineStr">
        <is>
          <t>4 Agustus 2026</t>
        </is>
      </c>
      <c r="M18" t="inlineStr">
        <is>
          <t>Konstruksi Gedung Perkantoran</t>
        </is>
      </c>
      <c r="N18" t="inlineStr">
        <is>
          <t>K</t>
        </is>
      </c>
      <c r="O18" t="inlineStr">
        <is>
          <t>20230802</t>
        </is>
      </c>
      <c r="P18" t="inlineStr">
        <is>
          <t>Jawa Tengah</t>
        </is>
      </c>
      <c r="Q18" t="inlineStr"/>
    </row>
    <row r="19">
      <c r="A19" t="inlineStr">
        <is>
          <t>ANANTA WIDYA UTAMA</t>
        </is>
      </c>
      <c r="B19" t="inlineStr">
        <is>
          <t>Kota Probolinggo</t>
        </is>
      </c>
      <c r="C19" t="inlineStr">
        <is>
          <t>081336000222</t>
        </is>
      </c>
      <c r="D19" t="inlineStr">
        <is>
          <t>AWU.bromo@yahoo.co.id</t>
        </is>
      </c>
      <c r="E19" t="inlineStr">
        <is>
          <t>https://lpjk.pu.go.id/search-badan-usaha-detail/bnJyR1NHdk03ckRZdDRCWDEyd21hZz09</t>
        </is>
      </c>
      <c r="F19" t="n">
        <v>2</v>
      </c>
      <c r="G19" t="inlineStr">
        <is>
          <t>BG006, BG009</t>
        </is>
      </c>
      <c r="H19" t="inlineStr">
        <is>
          <t>9 September 2006</t>
        </is>
      </c>
      <c r="I19" s="2" t="n">
        <v>46238</v>
      </c>
      <c r="J19" t="inlineStr">
        <is>
          <t>Disetujui</t>
        </is>
      </c>
      <c r="K19" t="n">
        <v>60</v>
      </c>
      <c r="L19" t="inlineStr">
        <is>
          <t>4 Agustus 2026</t>
        </is>
      </c>
      <c r="M19" t="inlineStr">
        <is>
          <t>Konstruksi Gedung Lainnya, Konstruksi Gedung Pendidikan</t>
        </is>
      </c>
      <c r="N19" t="inlineStr">
        <is>
          <t>K</t>
        </is>
      </c>
      <c r="O19" t="inlineStr">
        <is>
          <t>20230801, 20230802</t>
        </is>
      </c>
      <c r="P19" t="inlineStr">
        <is>
          <t>Jawa Timur</t>
        </is>
      </c>
      <c r="Q19" t="inlineStr"/>
    </row>
    <row r="20">
      <c r="A20" t="inlineStr">
        <is>
          <t>ANEKATARA SEMBADA</t>
        </is>
      </c>
      <c r="B20" t="inlineStr">
        <is>
          <t>Kota Adm. Jakarta Utara</t>
        </is>
      </c>
      <c r="C20" t="inlineStr">
        <is>
          <t>N/A</t>
        </is>
      </c>
      <c r="D20" t="inlineStr">
        <is>
          <t>N/A</t>
        </is>
      </c>
      <c r="E20" t="inlineStr">
        <is>
          <t>https://lpjk.pu.go.id/search-badan-usaha-detail/cG9RL2s1bzBvUkNWNWkxaEZtZGVndz09</t>
        </is>
      </c>
      <c r="F20" t="n">
        <v>1</v>
      </c>
      <c r="G20" t="inlineStr">
        <is>
          <t>BS009</t>
        </is>
      </c>
      <c r="H20" t="inlineStr"/>
      <c r="I20" s="2" t="n">
        <v>46238</v>
      </c>
      <c r="J20" t="inlineStr">
        <is>
          <t>Disetujui</t>
        </is>
      </c>
      <c r="K20" t="n">
        <v>60</v>
      </c>
      <c r="L20" t="inlineStr">
        <is>
          <t>4 Agustus 2026</t>
        </is>
      </c>
      <c r="M20" t="inlineStr">
        <is>
          <t>Konstruksi Sentral Telekomunikasi</t>
        </is>
      </c>
      <c r="N20" t="inlineStr">
        <is>
          <t>K</t>
        </is>
      </c>
      <c r="O20" t="inlineStr">
        <is>
          <t>20230726</t>
        </is>
      </c>
      <c r="P20" t="inlineStr">
        <is>
          <t>DKI Jakarta</t>
        </is>
      </c>
      <c r="Q20" t="inlineStr"/>
    </row>
    <row r="21">
      <c r="A21" t="inlineStr">
        <is>
          <t>ANUGERAH KARYA KONSTRUKSI</t>
        </is>
      </c>
      <c r="B21" t="inlineStr">
        <is>
          <t>Kab. Agam</t>
        </is>
      </c>
      <c r="C21" t="inlineStr">
        <is>
          <t>081374004299</t>
        </is>
      </c>
      <c r="D21" t="inlineStr">
        <is>
          <t>cvanugerahkaryakonstruksiaku@gmail.com</t>
        </is>
      </c>
      <c r="E21" t="inlineStr">
        <is>
          <t>https://lpjk.pu.go.id/search-badan-usaha-detail/YjhBd2oyYk9MY2Z3UXhUTXBsdGM3dz09</t>
        </is>
      </c>
      <c r="F21" t="n">
        <v>1</v>
      </c>
      <c r="G21" t="inlineStr">
        <is>
          <t>BS001</t>
        </is>
      </c>
      <c r="H21" t="inlineStr">
        <is>
          <t>16 Mei 2023</t>
        </is>
      </c>
      <c r="I21" s="2" t="n">
        <v>46238</v>
      </c>
      <c r="J21" t="inlineStr">
        <is>
          <t>Disetujui</t>
        </is>
      </c>
      <c r="K21" t="n">
        <v>60</v>
      </c>
      <c r="L21" t="inlineStr">
        <is>
          <t>4 Agustus 2026</t>
        </is>
      </c>
      <c r="M21" t="inlineStr">
        <is>
          <t>Konstruksi Bangunan Sipil Jalan</t>
        </is>
      </c>
      <c r="N21" t="inlineStr">
        <is>
          <t>K</t>
        </is>
      </c>
      <c r="O21" t="inlineStr">
        <is>
          <t>20230803</t>
        </is>
      </c>
      <c r="P21" t="inlineStr">
        <is>
          <t>Sumatera Barat</t>
        </is>
      </c>
      <c r="Q21" t="inlineStr"/>
    </row>
    <row r="22">
      <c r="A22" t="inlineStr">
        <is>
          <t>ANUGERAH NASIONAL TRANSPORT</t>
        </is>
      </c>
      <c r="B22" t="inlineStr">
        <is>
          <t>Kab. Langkat</t>
        </is>
      </c>
      <c r="C22" t="inlineStr">
        <is>
          <t>082168107975</t>
        </is>
      </c>
      <c r="D22" t="inlineStr">
        <is>
          <t>ANUGERAHNASIONAL2023@gmail.com</t>
        </is>
      </c>
      <c r="E22" t="inlineStr">
        <is>
          <t>https://lpjk.pu.go.id/search-badan-usaha-detail/TU1yNDJKRVVua0t4cHZIREdzd1huZz09</t>
        </is>
      </c>
      <c r="F22" t="n">
        <v>1</v>
      </c>
      <c r="G22" t="inlineStr">
        <is>
          <t>BG009</t>
        </is>
      </c>
      <c r="H22" t="inlineStr">
        <is>
          <t>27 Maret 2023</t>
        </is>
      </c>
      <c r="I22" s="2" t="n">
        <v>46238</v>
      </c>
      <c r="J22" t="inlineStr">
        <is>
          <t>Pencabutan</t>
        </is>
      </c>
      <c r="K22" t="n">
        <v>60</v>
      </c>
      <c r="L22" t="inlineStr">
        <is>
          <t>4 Agustus 2026</t>
        </is>
      </c>
      <c r="M22" t="inlineStr">
        <is>
          <t>Konstruksi Gedung Lainnya</t>
        </is>
      </c>
      <c r="N22" t="inlineStr">
        <is>
          <t>K</t>
        </is>
      </c>
      <c r="O22" t="inlineStr">
        <is>
          <t>20230802</t>
        </is>
      </c>
      <c r="P22" t="inlineStr">
        <is>
          <t>Sumatera Utara</t>
        </is>
      </c>
      <c r="Q22" t="inlineStr"/>
    </row>
    <row r="23">
      <c r="A23" t="inlineStr">
        <is>
          <t>ANUGERAH NIRWANA BERSAMA</t>
        </is>
      </c>
      <c r="B23" t="inlineStr">
        <is>
          <t>Kota Surabaya</t>
        </is>
      </c>
      <c r="C23" t="inlineStr">
        <is>
          <t>081252916009</t>
        </is>
      </c>
      <c r="D23" t="inlineStr">
        <is>
          <t>anugerahnirwanabersama@gmail.com</t>
        </is>
      </c>
      <c r="E23" t="inlineStr">
        <is>
          <t>https://lpjk.pu.go.id/search-badan-usaha-detail/NHNSS1lVNVliMExpcGtXU0t5YmM3dz09</t>
        </is>
      </c>
      <c r="F23" t="n">
        <v>4</v>
      </c>
      <c r="G23" t="inlineStr">
        <is>
          <t>BG004, BG005, BG007, BG009</t>
        </is>
      </c>
      <c r="H23" t="inlineStr">
        <is>
          <t>27 Mei 2013</t>
        </is>
      </c>
      <c r="I23" s="2" t="n">
        <v>46238</v>
      </c>
      <c r="J23" t="inlineStr">
        <is>
          <t>Disetujui</t>
        </is>
      </c>
      <c r="K23" t="n">
        <v>60</v>
      </c>
      <c r="L23" t="inlineStr">
        <is>
          <t>4 Agustus 2026</t>
        </is>
      </c>
      <c r="M23" t="inlineStr">
        <is>
          <t>Konstruksi Gedung Kesehatan, Konstruksi Gedung Lainnya, Konstruksi Gedung Penginapan, Konstruksi Gedung Perbelanjaan</t>
        </is>
      </c>
      <c r="N23" t="inlineStr">
        <is>
          <t>K</t>
        </is>
      </c>
      <c r="O23" t="inlineStr">
        <is>
          <t>20230804</t>
        </is>
      </c>
      <c r="P23" t="inlineStr">
        <is>
          <t>Jawa Timur</t>
        </is>
      </c>
      <c r="Q23" t="inlineStr"/>
    </row>
    <row r="24">
      <c r="A24" t="inlineStr">
        <is>
          <t>ANUGRAH BERSAMA</t>
        </is>
      </c>
      <c r="B24" t="inlineStr">
        <is>
          <t>Kab. Tanah Laut</t>
        </is>
      </c>
      <c r="C24" t="inlineStr">
        <is>
          <t>082153559220</t>
        </is>
      </c>
      <c r="D24" t="inlineStr">
        <is>
          <t>anugrah.bersama0806@gmail.com</t>
        </is>
      </c>
      <c r="E24" t="inlineStr">
        <is>
          <t>https://lpjk.pu.go.id/search-badan-usaha-detail/ZmtPOEg0dVJXak5RclZrclJyVVIyUT09</t>
        </is>
      </c>
      <c r="F24" t="n">
        <v>2</v>
      </c>
      <c r="G24" t="inlineStr">
        <is>
          <t>BS001</t>
        </is>
      </c>
      <c r="H24" t="inlineStr">
        <is>
          <t>4 April 2017</t>
        </is>
      </c>
      <c r="I24" s="2" t="n">
        <v>46238</v>
      </c>
      <c r="J24" t="inlineStr">
        <is>
          <t>Disetujui</t>
        </is>
      </c>
      <c r="K24" t="n">
        <v>60</v>
      </c>
      <c r="L24" t="inlineStr">
        <is>
          <t>4 Agustus 2026</t>
        </is>
      </c>
      <c r="M24" t="inlineStr">
        <is>
          <t>Konstruksi Bangunan Sipil Jalan</t>
        </is>
      </c>
      <c r="N24" t="inlineStr">
        <is>
          <t>K</t>
        </is>
      </c>
      <c r="O24" t="inlineStr">
        <is>
          <t>20230727</t>
        </is>
      </c>
      <c r="P24" t="inlineStr">
        <is>
          <t>Kalimantan Selatan</t>
        </is>
      </c>
      <c r="Q24" t="inlineStr"/>
    </row>
    <row r="25">
      <c r="A25" t="inlineStr">
        <is>
          <t>ANUGRAH MAKMUR</t>
        </is>
      </c>
      <c r="B25" t="inlineStr">
        <is>
          <t>Kab. Probolinggo</t>
        </is>
      </c>
      <c r="C25" t="inlineStr">
        <is>
          <t>081333317069</t>
        </is>
      </c>
      <c r="D25" t="inlineStr">
        <is>
          <t>anugrahmakmur6@gmail.com</t>
        </is>
      </c>
      <c r="E25" t="inlineStr">
        <is>
          <t>https://lpjk.pu.go.id/search-badan-usaha-detail/eVB4b0VrYXFMU1ExbVE4ZDhzU0lTZz09</t>
        </is>
      </c>
      <c r="F25" t="n">
        <v>2</v>
      </c>
      <c r="G25" t="inlineStr">
        <is>
          <t>BS001</t>
        </is>
      </c>
      <c r="H25" t="inlineStr">
        <is>
          <t>22 Februari 2022</t>
        </is>
      </c>
      <c r="I25" s="2" t="n">
        <v>46238</v>
      </c>
      <c r="J25" t="inlineStr">
        <is>
          <t>Disetujui</t>
        </is>
      </c>
      <c r="K25" t="n">
        <v>60</v>
      </c>
      <c r="L25" t="inlineStr">
        <is>
          <t>4 Agustus 2026</t>
        </is>
      </c>
      <c r="M25" t="inlineStr">
        <is>
          <t>Konstruksi Bangunan Sipil Jalan</t>
        </is>
      </c>
      <c r="N25" t="inlineStr">
        <is>
          <t>K</t>
        </is>
      </c>
      <c r="O25" t="inlineStr">
        <is>
          <t>20230731</t>
        </is>
      </c>
      <c r="P25" t="inlineStr">
        <is>
          <t>Jawa Timur</t>
        </is>
      </c>
      <c r="Q25" t="inlineStr"/>
    </row>
    <row r="26">
      <c r="A26" t="inlineStr">
        <is>
          <t>ARDISELA</t>
        </is>
      </c>
      <c r="B26" t="inlineStr">
        <is>
          <t>Kab. Cirebon</t>
        </is>
      </c>
      <c r="C26" t="inlineStr">
        <is>
          <t>081278757091</t>
        </is>
      </c>
      <c r="D26" t="inlineStr">
        <is>
          <t>ardisela804@yahoo.com</t>
        </is>
      </c>
      <c r="E26" t="inlineStr">
        <is>
          <t>https://lpjk.pu.go.id/search-badan-usaha-detail/VGp2Mnp3RW9vcnRDTVJtdUJkYmJUQT09</t>
        </is>
      </c>
      <c r="F26" t="n">
        <v>2</v>
      </c>
      <c r="G26" t="inlineStr">
        <is>
          <t>PL003</t>
        </is>
      </c>
      <c r="H26" t="inlineStr">
        <is>
          <t>31 Oktober 2002</t>
        </is>
      </c>
      <c r="I26" s="2" t="n">
        <v>46238</v>
      </c>
      <c r="J26" t="inlineStr">
        <is>
          <t>Pembekuan</t>
        </is>
      </c>
      <c r="K26" t="n">
        <v>60</v>
      </c>
      <c r="L26" t="inlineStr">
        <is>
          <t>4 Agustus 2026</t>
        </is>
      </c>
      <c r="M26" t="inlineStr">
        <is>
          <t>Penyiapan Lahan Konstruksi</t>
        </is>
      </c>
      <c r="N26" t="inlineStr">
        <is>
          <t>Spesialis</t>
        </is>
      </c>
      <c r="O26" t="inlineStr">
        <is>
          <t>20230729</t>
        </is>
      </c>
      <c r="P26" t="inlineStr">
        <is>
          <t>Jawa Barat</t>
        </is>
      </c>
      <c r="Q26" t="inlineStr"/>
    </row>
    <row r="27">
      <c r="A27" t="inlineStr">
        <is>
          <t>AZKA MUDA</t>
        </is>
      </c>
      <c r="B27" t="inlineStr">
        <is>
          <t>Kota Pangkal Pinang</t>
        </is>
      </c>
      <c r="C27" t="inlineStr">
        <is>
          <t>08127823083</t>
        </is>
      </c>
      <c r="D27" t="inlineStr">
        <is>
          <t>cvazkamuda@gmail.com</t>
        </is>
      </c>
      <c r="E27" t="inlineStr">
        <is>
          <t>https://lpjk.pu.go.id/search-badan-usaha-detail/dnpkQmx2aHNUUVNQMEgzd251MmZPUT09</t>
        </is>
      </c>
      <c r="F27" t="n">
        <v>5</v>
      </c>
      <c r="G27" t="inlineStr">
        <is>
          <t>BG001, BG002, BG005, BG006, BG009</t>
        </is>
      </c>
      <c r="H27" t="inlineStr">
        <is>
          <t>21 Juli 2023</t>
        </is>
      </c>
      <c r="I27" s="2" t="n">
        <v>46238</v>
      </c>
      <c r="J27" t="inlineStr">
        <is>
          <t>Disetujui</t>
        </is>
      </c>
      <c r="K27" t="n">
        <v>60</v>
      </c>
      <c r="L27" t="inlineStr">
        <is>
          <t>4 Agustus 2026</t>
        </is>
      </c>
      <c r="M27" t="inlineStr">
        <is>
          <t>Konstruksi Gedung Hunian, Konstruksi Gedung Kesehatan, Konstruksi Gedung Lainnya, Konstruksi Gedung Pendidikan, Konstruksi Gedung Perkantoran</t>
        </is>
      </c>
      <c r="N27" t="inlineStr">
        <is>
          <t>K</t>
        </is>
      </c>
      <c r="O27" t="inlineStr">
        <is>
          <t>20230804</t>
        </is>
      </c>
      <c r="P27" t="inlineStr">
        <is>
          <t>Kepulauan Bangka Belitung</t>
        </is>
      </c>
      <c r="Q27" t="inlineStr"/>
    </row>
    <row r="28">
      <c r="A28" t="inlineStr">
        <is>
          <t>BANGUN DAYA TEKNIKA</t>
        </is>
      </c>
      <c r="B28" t="inlineStr">
        <is>
          <t>Kab. Bantul</t>
        </is>
      </c>
      <c r="C28" t="inlineStr">
        <is>
          <t>085101955071</t>
        </is>
      </c>
      <c r="D28" t="inlineStr">
        <is>
          <t>lintasselatancv@gmail.com</t>
        </is>
      </c>
      <c r="E28" t="inlineStr">
        <is>
          <t>https://lpjk.pu.go.id/search-badan-usaha-detail/WEpoMHdURFFBaURtYkxTS3ltVWF1Zz09</t>
        </is>
      </c>
      <c r="F28" t="n">
        <v>1</v>
      </c>
      <c r="G28" t="inlineStr">
        <is>
          <t>BG006</t>
        </is>
      </c>
      <c r="H28" t="inlineStr">
        <is>
          <t>22 Juni 2012</t>
        </is>
      </c>
      <c r="I28" s="2" t="n">
        <v>46238</v>
      </c>
      <c r="J28" t="inlineStr">
        <is>
          <t>Disetujui</t>
        </is>
      </c>
      <c r="K28" t="n">
        <v>60</v>
      </c>
      <c r="L28" t="inlineStr">
        <is>
          <t>4 Agustus 2026</t>
        </is>
      </c>
      <c r="M28" t="inlineStr">
        <is>
          <t>Konstruksi Gedung Pendidikan</t>
        </is>
      </c>
      <c r="N28" t="inlineStr">
        <is>
          <t>K</t>
        </is>
      </c>
      <c r="O28" t="inlineStr">
        <is>
          <t>20230705</t>
        </is>
      </c>
      <c r="P28" t="inlineStr">
        <is>
          <t>DI Yogyakarta</t>
        </is>
      </c>
      <c r="Q28" t="inlineStr"/>
    </row>
    <row r="29">
      <c r="A29" t="inlineStr">
        <is>
          <t>BAYU UTAMA</t>
        </is>
      </c>
      <c r="B29" t="inlineStr">
        <is>
          <t>Kab. Bantul</t>
        </is>
      </c>
      <c r="C29" t="inlineStr">
        <is>
          <t>0274368452</t>
        </is>
      </c>
      <c r="D29" t="inlineStr">
        <is>
          <t>ptbayuutama@yahoo.com</t>
        </is>
      </c>
      <c r="E29" t="inlineStr">
        <is>
          <t>https://lpjk.pu.go.id/search-badan-usaha-detail/bTVmbXE5SzV6ZzM4WmZGbElXeHhUdz09</t>
        </is>
      </c>
      <c r="F29" t="n">
        <v>1</v>
      </c>
      <c r="G29" t="inlineStr">
        <is>
          <t>BS004</t>
        </is>
      </c>
      <c r="H29" t="inlineStr">
        <is>
          <t>30 Maret 1978</t>
        </is>
      </c>
      <c r="I29" s="2" t="n">
        <v>46238</v>
      </c>
      <c r="J29" t="inlineStr">
        <is>
          <t>Disetujui</t>
        </is>
      </c>
      <c r="K29" t="n">
        <v>60</v>
      </c>
      <c r="L29" t="inlineStr">
        <is>
          <t>4 Agustus 2026</t>
        </is>
      </c>
      <c r="M29" t="inlineStr">
        <is>
          <t>Konstruksi Jaringan Irigasi dan Drainase</t>
        </is>
      </c>
      <c r="N29" t="inlineStr">
        <is>
          <t>M</t>
        </is>
      </c>
      <c r="O29" t="inlineStr">
        <is>
          <t>20230802</t>
        </is>
      </c>
      <c r="P29" t="inlineStr">
        <is>
          <t>DI Yogyakarta</t>
        </is>
      </c>
      <c r="Q29" t="inlineStr"/>
    </row>
    <row r="30">
      <c r="A30" t="inlineStr">
        <is>
          <t>BERDAYA MEDIATAMA</t>
        </is>
      </c>
      <c r="B30" t="inlineStr">
        <is>
          <t>Kota Kendari</t>
        </is>
      </c>
      <c r="C30" t="inlineStr">
        <is>
          <t>085335531111</t>
        </is>
      </c>
      <c r="D30" t="inlineStr">
        <is>
          <t>berdayacv@gmail.com</t>
        </is>
      </c>
      <c r="E30" t="inlineStr">
        <is>
          <t>https://lpjk.pu.go.id/search-badan-usaha-detail/aFpKZVBZWElrdmR5czk0WUhmVDV0QT09</t>
        </is>
      </c>
      <c r="F30" t="n">
        <v>1</v>
      </c>
      <c r="G30" t="inlineStr">
        <is>
          <t>BS002</t>
        </is>
      </c>
      <c r="H30" t="inlineStr">
        <is>
          <t>13 November 2013</t>
        </is>
      </c>
      <c r="I30" s="2" t="n">
        <v>46238</v>
      </c>
      <c r="J30" t="inlineStr">
        <is>
          <t>Disetujui</t>
        </is>
      </c>
      <c r="K30" t="n">
        <v>60</v>
      </c>
      <c r="L30" t="inlineStr">
        <is>
          <t>4 Agustus 2026</t>
        </is>
      </c>
      <c r="M30" t="inlineStr">
        <is>
          <t>Bangunan Sipil Jembatan, Jalan Layang, Fly Over, dan Underpass</t>
        </is>
      </c>
      <c r="N30" t="inlineStr">
        <is>
          <t>K</t>
        </is>
      </c>
      <c r="O30" t="inlineStr">
        <is>
          <t>20230802</t>
        </is>
      </c>
      <c r="P30" t="inlineStr">
        <is>
          <t>Sulawesi Tenggara</t>
        </is>
      </c>
      <c r="Q30" t="inlineStr"/>
    </row>
    <row r="31">
      <c r="A31" t="inlineStr">
        <is>
          <t>BERKAH TUJUH SAUDARA</t>
        </is>
      </c>
      <c r="B31" t="inlineStr">
        <is>
          <t>Kab. Subang</t>
        </is>
      </c>
      <c r="C31" t="inlineStr">
        <is>
          <t>087875811112</t>
        </is>
      </c>
      <c r="D31" t="inlineStr">
        <is>
          <t>berkahsaudara349@gmail.com</t>
        </is>
      </c>
      <c r="E31" t="inlineStr">
        <is>
          <t>https://lpjk.pu.go.id/search-badan-usaha-detail/UktVUnRycWx6RzNnbFBZZ3BwdUtNQT09</t>
        </is>
      </c>
      <c r="F31" t="n">
        <v>8</v>
      </c>
      <c r="G31" t="inlineStr">
        <is>
          <t>BG006, BG009, BS001, BS004</t>
        </is>
      </c>
      <c r="H31" t="inlineStr">
        <is>
          <t>30 Desember 2019</t>
        </is>
      </c>
      <c r="I31" s="2" t="n">
        <v>46238</v>
      </c>
      <c r="J31" t="inlineStr">
        <is>
          <t>Disetujui</t>
        </is>
      </c>
      <c r="K31" t="n">
        <v>60</v>
      </c>
      <c r="L31" t="inlineStr">
        <is>
          <t>4 Agustus 2026</t>
        </is>
      </c>
      <c r="M31" t="inlineStr">
        <is>
          <t>Konstruksi Bangunan Sipil Jalan, Konstruksi Gedung Lainnya, Konstruksi Gedung Pendidikan, Konstruksi Jaringan Irigasi dan Drainase</t>
        </is>
      </c>
      <c r="N31" t="inlineStr">
        <is>
          <t>K</t>
        </is>
      </c>
      <c r="O31" t="inlineStr">
        <is>
          <t>20230802</t>
        </is>
      </c>
      <c r="P31" t="inlineStr">
        <is>
          <t>Jawa Barat</t>
        </is>
      </c>
      <c r="Q31" t="inlineStr"/>
    </row>
    <row r="32">
      <c r="A32" t="inlineStr">
        <is>
          <t>BINA AGUNG MANDIRI</t>
        </is>
      </c>
      <c r="B32" t="inlineStr">
        <is>
          <t>Kab. Ponorogo</t>
        </is>
      </c>
      <c r="C32" t="inlineStr">
        <is>
          <t>0352481259</t>
        </is>
      </c>
      <c r="D32" t="inlineStr">
        <is>
          <t>binaagungmandiri@gmail.com</t>
        </is>
      </c>
      <c r="E32" t="inlineStr">
        <is>
          <t>https://lpjk.pu.go.id/search-badan-usaha-detail/eW1tbWo3SnM4TFIzQllmMHI4Z2Y4dz09</t>
        </is>
      </c>
      <c r="F32" t="n">
        <v>1</v>
      </c>
      <c r="G32" t="inlineStr">
        <is>
          <t>BS001</t>
        </is>
      </c>
      <c r="H32" t="inlineStr">
        <is>
          <t>3 Oktober 2002</t>
        </is>
      </c>
      <c r="I32" s="2" t="n">
        <v>46238</v>
      </c>
      <c r="J32" t="inlineStr">
        <is>
          <t>Disetujui</t>
        </is>
      </c>
      <c r="K32" t="n">
        <v>60</v>
      </c>
      <c r="L32" t="inlineStr">
        <is>
          <t>4 Agustus 2026</t>
        </is>
      </c>
      <c r="M32" t="inlineStr">
        <is>
          <t>Konstruksi Bangunan Sipil Jalan</t>
        </is>
      </c>
      <c r="N32" t="inlineStr">
        <is>
          <t>K</t>
        </is>
      </c>
      <c r="O32" t="inlineStr">
        <is>
          <t>20230804</t>
        </is>
      </c>
      <c r="P32" t="inlineStr">
        <is>
          <t>Jawa Timur</t>
        </is>
      </c>
      <c r="Q32" t="inlineStr"/>
    </row>
    <row r="33">
      <c r="A33" t="inlineStr">
        <is>
          <t>BOEMI BERLIAN</t>
        </is>
      </c>
      <c r="B33" t="inlineStr">
        <is>
          <t>Kab. Belitung Timur</t>
        </is>
      </c>
      <c r="C33" t="inlineStr">
        <is>
          <t>087896474368</t>
        </is>
      </c>
      <c r="D33" t="inlineStr">
        <is>
          <t>boemiberlian.cv@gmail.com</t>
        </is>
      </c>
      <c r="E33" t="inlineStr">
        <is>
          <t>https://lpjk.pu.go.id/search-badan-usaha-detail/cnlxM0Q5S24rUi8rMWtsNnhuZVRmdz09</t>
        </is>
      </c>
      <c r="F33" t="n">
        <v>1</v>
      </c>
      <c r="G33" t="inlineStr">
        <is>
          <t>BG001</t>
        </is>
      </c>
      <c r="H33" t="inlineStr">
        <is>
          <t>23 Desember 2019</t>
        </is>
      </c>
      <c r="I33" s="2" t="n">
        <v>46238</v>
      </c>
      <c r="J33" t="inlineStr">
        <is>
          <t>Disetujui</t>
        </is>
      </c>
      <c r="K33" t="n">
        <v>60</v>
      </c>
      <c r="L33" t="inlineStr">
        <is>
          <t>4 Agustus 2026</t>
        </is>
      </c>
      <c r="M33" t="inlineStr">
        <is>
          <t>Konstruksi Gedung Hunian</t>
        </is>
      </c>
      <c r="N33" t="inlineStr">
        <is>
          <t>K</t>
        </is>
      </c>
      <c r="O33" t="inlineStr">
        <is>
          <t>20230729</t>
        </is>
      </c>
      <c r="P33" t="inlineStr">
        <is>
          <t>Kepulauan Bangka Belitung</t>
        </is>
      </c>
      <c r="Q33" t="inlineStr"/>
    </row>
    <row r="34">
      <c r="A34" t="inlineStr">
        <is>
          <t>CIPTA INDO LESTARI</t>
        </is>
      </c>
      <c r="B34" t="inlineStr">
        <is>
          <t>Kota Pekanbaru</t>
        </is>
      </c>
      <c r="C34" t="inlineStr">
        <is>
          <t>085257817175</t>
        </is>
      </c>
      <c r="D34" t="inlineStr">
        <is>
          <t>ciptaindolestari@gmail.com</t>
        </is>
      </c>
      <c r="E34" t="inlineStr">
        <is>
          <t>https://lpjk.pu.go.id/search-badan-usaha-detail/M3dEbVNaTGJ0NHpKODVOdVFreEpDdz09</t>
        </is>
      </c>
      <c r="F34" t="n">
        <v>1</v>
      </c>
      <c r="G34" t="inlineStr">
        <is>
          <t>BS001</t>
        </is>
      </c>
      <c r="H34" t="inlineStr">
        <is>
          <t>3 Juni 2023</t>
        </is>
      </c>
      <c r="I34" s="2" t="n">
        <v>46238</v>
      </c>
      <c r="J34" t="inlineStr">
        <is>
          <t>Disetujui</t>
        </is>
      </c>
      <c r="K34" t="n">
        <v>60</v>
      </c>
      <c r="L34" t="inlineStr">
        <is>
          <t>4 Agustus 2026</t>
        </is>
      </c>
      <c r="M34" t="inlineStr">
        <is>
          <t>Konstruksi Bangunan Sipil Jalan</t>
        </is>
      </c>
      <c r="N34" t="inlineStr">
        <is>
          <t>K</t>
        </is>
      </c>
      <c r="O34" t="inlineStr">
        <is>
          <t>20230802</t>
        </is>
      </c>
      <c r="P34" t="inlineStr">
        <is>
          <t>Riau</t>
        </is>
      </c>
      <c r="Q34" t="inlineStr"/>
    </row>
    <row r="35">
      <c r="A35" t="inlineStr">
        <is>
          <t>CITRA AGUNG</t>
        </is>
      </c>
      <c r="B35" t="inlineStr">
        <is>
          <t>Kab. Bandung</t>
        </is>
      </c>
      <c r="C35" t="inlineStr">
        <is>
          <t>081321071999</t>
        </is>
      </c>
      <c r="D35" t="inlineStr">
        <is>
          <t>citra_agung@yahoo.com</t>
        </is>
      </c>
      <c r="E35" t="inlineStr">
        <is>
          <t>https://lpjk.pu.go.id/search-badan-usaha-detail/WGhPckVaUVpHU2xUSjEwRVQ1M0thQT09</t>
        </is>
      </c>
      <c r="F35" t="n">
        <v>1</v>
      </c>
      <c r="G35" t="inlineStr">
        <is>
          <t>BG002</t>
        </is>
      </c>
      <c r="H35" t="inlineStr">
        <is>
          <t>10 April 1997</t>
        </is>
      </c>
      <c r="I35" s="2" t="n">
        <v>46238</v>
      </c>
      <c r="J35" t="inlineStr">
        <is>
          <t>Disetujui</t>
        </is>
      </c>
      <c r="K35" t="n">
        <v>60</v>
      </c>
      <c r="L35" t="inlineStr">
        <is>
          <t>4 Agustus 2026</t>
        </is>
      </c>
      <c r="M35" t="inlineStr">
        <is>
          <t>Konstruksi Gedung Perkantoran</t>
        </is>
      </c>
      <c r="N35" t="inlineStr">
        <is>
          <t>K</t>
        </is>
      </c>
      <c r="O35" t="inlineStr">
        <is>
          <t>20230731</t>
        </is>
      </c>
      <c r="P35" t="inlineStr">
        <is>
          <t>Jawa Barat</t>
        </is>
      </c>
      <c r="Q35" t="inlineStr"/>
    </row>
    <row r="36">
      <c r="A36" t="inlineStr">
        <is>
          <t>CITRA MAWAR</t>
        </is>
      </c>
      <c r="B36" t="inlineStr">
        <is>
          <t>Kota Kotamobagu</t>
        </is>
      </c>
      <c r="C36" t="inlineStr">
        <is>
          <t>081340499499</t>
        </is>
      </c>
      <c r="D36" t="inlineStr">
        <is>
          <t>citramawarbiga@gmail.com</t>
        </is>
      </c>
      <c r="E36" t="inlineStr">
        <is>
          <t>https://lpjk.pu.go.id/search-badan-usaha-detail/Sm9ObmJoSE1zTXd0U2Y5UXNmd1czWWhSUGZZMWNlR1gxRjcybGYzNkRxMD0</t>
        </is>
      </c>
      <c r="F36" t="n">
        <v>1</v>
      </c>
      <c r="G36" t="inlineStr">
        <is>
          <t>BG009</t>
        </is>
      </c>
      <c r="H36" t="inlineStr">
        <is>
          <t>16 Desember 2022</t>
        </is>
      </c>
      <c r="I36" s="2" t="n">
        <v>46238</v>
      </c>
      <c r="J36" t="inlineStr">
        <is>
          <t>Disetujui</t>
        </is>
      </c>
      <c r="K36" t="n">
        <v>60</v>
      </c>
      <c r="L36" t="inlineStr">
        <is>
          <t>4 Agustus 2026</t>
        </is>
      </c>
      <c r="M36" t="inlineStr">
        <is>
          <t>Konstruksi Gedung Lainnya</t>
        </is>
      </c>
      <c r="N36" t="inlineStr">
        <is>
          <t>K</t>
        </is>
      </c>
      <c r="O36" t="inlineStr">
        <is>
          <t>20230722</t>
        </is>
      </c>
      <c r="P36" t="inlineStr">
        <is>
          <t>Sulawesi Utara</t>
        </is>
      </c>
      <c r="Q36" t="inlineStr"/>
    </row>
    <row r="37">
      <c r="A37" t="inlineStr">
        <is>
          <t>DADIMULYO</t>
        </is>
      </c>
      <c r="B37" t="inlineStr">
        <is>
          <t>Kab. Magelang</t>
        </is>
      </c>
      <c r="C37" t="inlineStr">
        <is>
          <t>0293325229</t>
        </is>
      </c>
      <c r="D37" t="inlineStr">
        <is>
          <t>irsuranto@yahoo.com</t>
        </is>
      </c>
      <c r="E37" t="inlineStr">
        <is>
          <t>https://lpjk.pu.go.id/search-badan-usaha-detail/VSt1dXNIU1A2Mjk3WFJIeEkzS0wwUT09</t>
        </is>
      </c>
      <c r="F37" t="n">
        <v>1</v>
      </c>
      <c r="G37" t="inlineStr">
        <is>
          <t>BG005</t>
        </is>
      </c>
      <c r="H37" t="inlineStr">
        <is>
          <t>7 November 2006</t>
        </is>
      </c>
      <c r="I37" s="2" t="n">
        <v>46238</v>
      </c>
      <c r="J37" t="inlineStr">
        <is>
          <t>Disetujui</t>
        </is>
      </c>
      <c r="K37" t="n">
        <v>60</v>
      </c>
      <c r="L37" t="inlineStr">
        <is>
          <t>4 Agustus 2026</t>
        </is>
      </c>
      <c r="M37" t="inlineStr">
        <is>
          <t>Konstruksi Gedung Kesehatan</t>
        </is>
      </c>
      <c r="N37" t="inlineStr">
        <is>
          <t>K</t>
        </is>
      </c>
      <c r="O37" t="inlineStr">
        <is>
          <t>20230720</t>
        </is>
      </c>
      <c r="P37" t="inlineStr">
        <is>
          <t>Jawa Tengah</t>
        </is>
      </c>
      <c r="Q37" t="inlineStr"/>
    </row>
    <row r="38">
      <c r="A38" t="inlineStr">
        <is>
          <t>DIAH KARYA UTAMA</t>
        </is>
      </c>
      <c r="B38" t="inlineStr">
        <is>
          <t>Kab. Jember</t>
        </is>
      </c>
      <c r="C38" t="inlineStr">
        <is>
          <t>081231674444</t>
        </is>
      </c>
      <c r="D38" t="inlineStr">
        <is>
          <t>diahkaryautama89@gmail.com</t>
        </is>
      </c>
      <c r="E38" t="inlineStr">
        <is>
          <t>https://lpjk.pu.go.id/search-badan-usaha-detail/VWhFcklNdGR1bEpRYmJ4YjlGRlZXQT09</t>
        </is>
      </c>
      <c r="F38" t="n">
        <v>1</v>
      </c>
      <c r="G38" t="inlineStr">
        <is>
          <t>BG006</t>
        </is>
      </c>
      <c r="H38" t="inlineStr">
        <is>
          <t>2 Oktober 2017</t>
        </is>
      </c>
      <c r="I38" s="2" t="n">
        <v>46238</v>
      </c>
      <c r="J38" t="inlineStr">
        <is>
          <t>Disetujui</t>
        </is>
      </c>
      <c r="K38" t="n">
        <v>60</v>
      </c>
      <c r="L38" t="inlineStr">
        <is>
          <t>4 Agustus 2026</t>
        </is>
      </c>
      <c r="M38" t="inlineStr">
        <is>
          <t>Konstruksi Gedung Pendidikan</t>
        </is>
      </c>
      <c r="N38" t="inlineStr">
        <is>
          <t>K</t>
        </is>
      </c>
      <c r="O38" t="inlineStr">
        <is>
          <t>20230801</t>
        </is>
      </c>
      <c r="P38" t="inlineStr">
        <is>
          <t>Jawa Timur</t>
        </is>
      </c>
      <c r="Q38" t="inlineStr"/>
    </row>
    <row r="39">
      <c r="A39" t="inlineStr">
        <is>
          <t>DUA PUSAKA</t>
        </is>
      </c>
      <c r="B39" t="inlineStr">
        <is>
          <t>Kab. Pekalongan</t>
        </is>
      </c>
      <c r="C39" t="inlineStr">
        <is>
          <t>085642558995</t>
        </is>
      </c>
      <c r="D39" t="inlineStr">
        <is>
          <t>cvduapusaka792@gmail.com</t>
        </is>
      </c>
      <c r="E39" t="inlineStr">
        <is>
          <t>https://lpjk.pu.go.id/search-badan-usaha-detail/bnNQNzB4WGtYaFgra1NNSTBmTm5HZz09</t>
        </is>
      </c>
      <c r="F39" t="n">
        <v>1</v>
      </c>
      <c r="G39" t="inlineStr">
        <is>
          <t>BS005</t>
        </is>
      </c>
      <c r="H39" t="inlineStr">
        <is>
          <t>18 Februari 2020</t>
        </is>
      </c>
      <c r="I39" s="2" t="n">
        <v>46238</v>
      </c>
      <c r="J39" t="inlineStr">
        <is>
          <t>Pencabutan</t>
        </is>
      </c>
      <c r="K39" t="n">
        <v>60</v>
      </c>
      <c r="L39" t="inlineStr">
        <is>
          <t>4 Agustus 2026</t>
        </is>
      </c>
      <c r="M39" t="inlineStr">
        <is>
          <t>Konstruksi Bangunan Sipil Pengolahan Air Bersih</t>
        </is>
      </c>
      <c r="N39" t="inlineStr">
        <is>
          <t>K</t>
        </is>
      </c>
      <c r="O39" t="inlineStr">
        <is>
          <t>20230802</t>
        </is>
      </c>
      <c r="P39" t="inlineStr">
        <is>
          <t>Jawa Tengah</t>
        </is>
      </c>
      <c r="Q39" t="inlineStr"/>
    </row>
    <row r="40">
      <c r="A40" t="inlineStr">
        <is>
          <t>DUA PUTRA SEJAHTERA ABADI</t>
        </is>
      </c>
      <c r="B40" t="inlineStr">
        <is>
          <t>Kab. Sampang</t>
        </is>
      </c>
      <c r="C40" t="inlineStr">
        <is>
          <t>082140831330</t>
        </is>
      </c>
      <c r="D40" t="inlineStr">
        <is>
          <t>cv.duaputrasejahteraabadi@gmail.com</t>
        </is>
      </c>
      <c r="E40" t="inlineStr">
        <is>
          <t>https://lpjk.pu.go.id/search-badan-usaha-detail/OGtabFdudFhzaENmQWFEMkNQTit4QT09</t>
        </is>
      </c>
      <c r="F40" t="n">
        <v>1</v>
      </c>
      <c r="G40" t="inlineStr">
        <is>
          <t>BG006</t>
        </is>
      </c>
      <c r="H40" t="inlineStr">
        <is>
          <t>9 April 2020</t>
        </is>
      </c>
      <c r="I40" s="2" t="n">
        <v>46238</v>
      </c>
      <c r="J40" t="inlineStr">
        <is>
          <t>Disetujui</t>
        </is>
      </c>
      <c r="K40" t="n">
        <v>60</v>
      </c>
      <c r="L40" t="inlineStr">
        <is>
          <t>4 Agustus 2026</t>
        </is>
      </c>
      <c r="M40" t="inlineStr">
        <is>
          <t>Konstruksi Gedung Pendidikan</t>
        </is>
      </c>
      <c r="N40" t="inlineStr">
        <is>
          <t>K</t>
        </is>
      </c>
      <c r="O40" t="inlineStr">
        <is>
          <t>20230802</t>
        </is>
      </c>
      <c r="P40" t="inlineStr">
        <is>
          <t>Jawa Timur</t>
        </is>
      </c>
      <c r="Q40" t="inlineStr"/>
    </row>
    <row r="41">
      <c r="A41" t="inlineStr">
        <is>
          <t>DUTA SARANA</t>
        </is>
      </c>
      <c r="B41" t="inlineStr">
        <is>
          <t>Kab. Sintang</t>
        </is>
      </c>
      <c r="C41" t="inlineStr">
        <is>
          <t>0811575929</t>
        </is>
      </c>
      <c r="D41" t="inlineStr">
        <is>
          <t>dutasarana.cv@yahoo.com</t>
        </is>
      </c>
      <c r="E41" t="inlineStr">
        <is>
          <t>https://lpjk.pu.go.id/search-badan-usaha-detail/eG82RFFhemM3blYvTkRaWWIvMjJNQT09</t>
        </is>
      </c>
      <c r="F41" t="n">
        <v>1</v>
      </c>
      <c r="G41" t="inlineStr">
        <is>
          <t>BG006</t>
        </is>
      </c>
      <c r="H41" t="inlineStr">
        <is>
          <t>28 Maret 2006</t>
        </is>
      </c>
      <c r="I41" s="2" t="n">
        <v>46238</v>
      </c>
      <c r="J41" t="inlineStr">
        <is>
          <t>Disetujui</t>
        </is>
      </c>
      <c r="K41" t="n">
        <v>60</v>
      </c>
      <c r="L41" t="inlineStr">
        <is>
          <t>4 Agustus 2026</t>
        </is>
      </c>
      <c r="M41" t="inlineStr">
        <is>
          <t>Konstruksi Gedung Pendidikan</t>
        </is>
      </c>
      <c r="N41" t="inlineStr">
        <is>
          <t>K</t>
        </is>
      </c>
      <c r="O41" t="inlineStr">
        <is>
          <t>20230730</t>
        </is>
      </c>
      <c r="P41" t="inlineStr">
        <is>
          <t>Kalimantan Barat</t>
        </is>
      </c>
      <c r="Q41" t="inlineStr"/>
    </row>
    <row r="42">
      <c r="A42" t="inlineStr">
        <is>
          <t>EDELWEISS RAKKA ARJUNA</t>
        </is>
      </c>
      <c r="B42" t="inlineStr">
        <is>
          <t>Kab. Bojonegoro</t>
        </is>
      </c>
      <c r="C42" t="inlineStr">
        <is>
          <t>085158079005</t>
        </is>
      </c>
      <c r="D42" t="inlineStr">
        <is>
          <t>edelweissrakkaarjuna@gmail.com</t>
        </is>
      </c>
      <c r="E42" t="inlineStr">
        <is>
          <t>https://lpjk.pu.go.id/search-badan-usaha-detail/V3pVTmxJMytKMENVaUs5SkxMNXE2Zz09</t>
        </is>
      </c>
      <c r="F42" t="n">
        <v>2</v>
      </c>
      <c r="G42" t="inlineStr">
        <is>
          <t>BG006</t>
        </is>
      </c>
      <c r="H42" t="inlineStr">
        <is>
          <t>6 Desember 2022</t>
        </is>
      </c>
      <c r="I42" s="2" t="n">
        <v>46238</v>
      </c>
      <c r="J42" t="inlineStr">
        <is>
          <t>Disetujui</t>
        </is>
      </c>
      <c r="K42" t="n">
        <v>60</v>
      </c>
      <c r="L42" t="inlineStr">
        <is>
          <t>4 Agustus 2026</t>
        </is>
      </c>
      <c r="M42" t="inlineStr">
        <is>
          <t>Konstruksi Gedung Pendidikan</t>
        </is>
      </c>
      <c r="N42" t="inlineStr">
        <is>
          <t>K</t>
        </is>
      </c>
      <c r="O42" t="inlineStr">
        <is>
          <t>20230803</t>
        </is>
      </c>
      <c r="P42" t="inlineStr">
        <is>
          <t>Jawa Timur</t>
        </is>
      </c>
      <c r="Q42" t="inlineStr"/>
    </row>
    <row r="43">
      <c r="A43" t="inlineStr">
        <is>
          <t>GADING PUTRI AULIA</t>
        </is>
      </c>
      <c r="B43" t="inlineStr">
        <is>
          <t>Kota Cilegon</t>
        </is>
      </c>
      <c r="C43" t="inlineStr">
        <is>
          <t>083138803213</t>
        </is>
      </c>
      <c r="D43" t="inlineStr">
        <is>
          <t>lsbuid8@gmail.com</t>
        </is>
      </c>
      <c r="E43" t="inlineStr">
        <is>
          <t>https://lpjk.pu.go.id/search-badan-usaha-detail/WWsyM3EwY1lZS2IzM21uZGVSZVQyQT09</t>
        </is>
      </c>
      <c r="F43" t="n">
        <v>2</v>
      </c>
      <c r="G43" t="inlineStr">
        <is>
          <t>BG005, BG006</t>
        </is>
      </c>
      <c r="H43" t="inlineStr">
        <is>
          <t>24 Juni 2021</t>
        </is>
      </c>
      <c r="I43" s="2" t="n">
        <v>46238</v>
      </c>
      <c r="J43" t="inlineStr">
        <is>
          <t>Pencabutan</t>
        </is>
      </c>
      <c r="K43" t="n">
        <v>60</v>
      </c>
      <c r="L43" t="inlineStr">
        <is>
          <t>4 Agustus 2026</t>
        </is>
      </c>
      <c r="M43" t="inlineStr">
        <is>
          <t>Konstruksi Gedung Kesehatan, Konstruksi Gedung Pendidikan</t>
        </is>
      </c>
      <c r="N43" t="inlineStr">
        <is>
          <t>K</t>
        </is>
      </c>
      <c r="O43" t="inlineStr">
        <is>
          <t>20230609</t>
        </is>
      </c>
      <c r="P43" t="inlineStr">
        <is>
          <t>Banten</t>
        </is>
      </c>
      <c r="Q43" t="inlineStr"/>
    </row>
    <row r="44">
      <c r="A44" t="inlineStr">
        <is>
          <t>GRHA PUTRA TIMUR</t>
        </is>
      </c>
      <c r="B44" t="inlineStr">
        <is>
          <t>Kota Kupang</t>
        </is>
      </c>
      <c r="C44" t="inlineStr">
        <is>
          <t>085161099925</t>
        </is>
      </c>
      <c r="D44" t="inlineStr">
        <is>
          <t>grhaputratimor13@gmail.com</t>
        </is>
      </c>
      <c r="E44" t="inlineStr">
        <is>
          <t>https://lpjk.pu.go.id/search-badan-usaha-detail/OFZNNzgyOGJib0VJeGxaRDBTQUxqdz09</t>
        </is>
      </c>
      <c r="F44" t="n">
        <v>1</v>
      </c>
      <c r="G44" t="inlineStr">
        <is>
          <t>BG003</t>
        </is>
      </c>
      <c r="H44" t="inlineStr">
        <is>
          <t>26 Juni 2023</t>
        </is>
      </c>
      <c r="I44" s="2" t="n">
        <v>46238</v>
      </c>
      <c r="J44" t="inlineStr">
        <is>
          <t>Disetujui</t>
        </is>
      </c>
      <c r="K44" t="n">
        <v>60</v>
      </c>
      <c r="L44" t="inlineStr">
        <is>
          <t>4 Agustus 2026</t>
        </is>
      </c>
      <c r="M44" t="inlineStr">
        <is>
          <t>Konstruksi Gedung Industri</t>
        </is>
      </c>
      <c r="N44" t="inlineStr">
        <is>
          <t>K</t>
        </is>
      </c>
      <c r="O44" t="inlineStr">
        <is>
          <t>20230718</t>
        </is>
      </c>
      <c r="P44" t="inlineStr">
        <is>
          <t>Nusa Tenggara Timur</t>
        </is>
      </c>
      <c r="Q44" t="inlineStr"/>
    </row>
    <row r="45">
      <c r="A45" t="inlineStr">
        <is>
          <t>GUGUN PUTRA</t>
        </is>
      </c>
      <c r="B45" t="inlineStr">
        <is>
          <t>Kab. Ciamis</t>
        </is>
      </c>
      <c r="C45" t="inlineStr">
        <is>
          <t>085223735948</t>
        </is>
      </c>
      <c r="D45" t="inlineStr">
        <is>
          <t>cv.gugunputra@yahoo.co.id</t>
        </is>
      </c>
      <c r="E45" t="inlineStr">
        <is>
          <t>https://lpjk.pu.go.id/search-badan-usaha-detail/OFNQbkd5ZUJRQy9VdnUwaE41OStYdz09</t>
        </is>
      </c>
      <c r="F45" t="n">
        <v>1</v>
      </c>
      <c r="G45" t="inlineStr">
        <is>
          <t>BG005</t>
        </is>
      </c>
      <c r="H45" t="inlineStr">
        <is>
          <t>14 Maret 1984</t>
        </is>
      </c>
      <c r="I45" s="2" t="n">
        <v>46238</v>
      </c>
      <c r="J45" t="inlineStr">
        <is>
          <t>Disetujui</t>
        </is>
      </c>
      <c r="K45" t="n">
        <v>60</v>
      </c>
      <c r="L45" t="inlineStr">
        <is>
          <t>4 Agustus 2026</t>
        </is>
      </c>
      <c r="M45" t="inlineStr">
        <is>
          <t>Konstruksi Gedung Kesehatan</t>
        </is>
      </c>
      <c r="N45" t="inlineStr">
        <is>
          <t>K</t>
        </is>
      </c>
      <c r="O45" t="inlineStr">
        <is>
          <t>20230802</t>
        </is>
      </c>
      <c r="P45" t="inlineStr">
        <is>
          <t>Jawa Barat</t>
        </is>
      </c>
      <c r="Q45" t="inlineStr"/>
    </row>
    <row r="46">
      <c r="A46" t="inlineStr">
        <is>
          <t>GUNUNG KELABAT CITRA ABADI</t>
        </is>
      </c>
      <c r="B46" t="inlineStr">
        <is>
          <t>Kab. Jember</t>
        </is>
      </c>
      <c r="C46" t="inlineStr">
        <is>
          <t>0331338128</t>
        </is>
      </c>
      <c r="D46" t="inlineStr">
        <is>
          <t>gunungkelabatcitraabadi@gmail.com</t>
        </is>
      </c>
      <c r="E46" t="inlineStr">
        <is>
          <t>https://lpjk.pu.go.id/search-badan-usaha-detail/WUJvT3oyK1M4bWhSMzdDaUNtNjlNdz09</t>
        </is>
      </c>
      <c r="F46" t="n">
        <v>1</v>
      </c>
      <c r="G46" t="inlineStr">
        <is>
          <t>BG001</t>
        </is>
      </c>
      <c r="H46" t="inlineStr">
        <is>
          <t>3 September 1993</t>
        </is>
      </c>
      <c r="I46" s="2" t="n">
        <v>46238</v>
      </c>
      <c r="J46" t="inlineStr">
        <is>
          <t>Disetujui</t>
        </is>
      </c>
      <c r="K46" t="n">
        <v>60</v>
      </c>
      <c r="L46" t="inlineStr">
        <is>
          <t>4 Agustus 2026</t>
        </is>
      </c>
      <c r="M46" t="inlineStr">
        <is>
          <t>Konstruksi Gedung Hunian</t>
        </is>
      </c>
      <c r="N46" t="inlineStr">
        <is>
          <t>K</t>
        </is>
      </c>
      <c r="O46" t="inlineStr">
        <is>
          <t>20230727</t>
        </is>
      </c>
      <c r="P46" t="inlineStr">
        <is>
          <t>Jawa Timur</t>
        </is>
      </c>
      <c r="Q46" t="inlineStr"/>
    </row>
    <row r="47">
      <c r="A47" t="inlineStr">
        <is>
          <t>HALIM JAYA ABADI</t>
        </is>
      </c>
      <c r="B47" t="inlineStr">
        <is>
          <t>Kab. Jember</t>
        </is>
      </c>
      <c r="C47" t="inlineStr">
        <is>
          <t>085257771269</t>
        </is>
      </c>
      <c r="D47" t="inlineStr">
        <is>
          <t>halimjayaabadi@gmail.com</t>
        </is>
      </c>
      <c r="E47" t="inlineStr">
        <is>
          <t>https://lpjk.pu.go.id/search-badan-usaha-detail/Q0FSa3M5RUJEU2FUNW8zdzdyVEE2QT09</t>
        </is>
      </c>
      <c r="F47" t="n">
        <v>1</v>
      </c>
      <c r="G47" t="inlineStr">
        <is>
          <t>BS004</t>
        </is>
      </c>
      <c r="H47" t="inlineStr">
        <is>
          <t>22 Desember 2015</t>
        </is>
      </c>
      <c r="I47" s="2" t="n">
        <v>46238</v>
      </c>
      <c r="J47" t="inlineStr">
        <is>
          <t>Disetujui</t>
        </is>
      </c>
      <c r="K47" t="n">
        <v>60</v>
      </c>
      <c r="L47" t="inlineStr">
        <is>
          <t>4 Agustus 2026</t>
        </is>
      </c>
      <c r="M47" t="inlineStr">
        <is>
          <t>Konstruksi Jaringan Irigasi dan Drainase</t>
        </is>
      </c>
      <c r="N47" t="inlineStr">
        <is>
          <t>K</t>
        </is>
      </c>
      <c r="O47" t="inlineStr">
        <is>
          <t>20230724</t>
        </is>
      </c>
      <c r="P47" t="inlineStr">
        <is>
          <t>Jawa Timur</t>
        </is>
      </c>
      <c r="Q47" t="inlineStr"/>
    </row>
    <row r="48">
      <c r="A48" t="inlineStr">
        <is>
          <t>HANIN KONSTRUKSI</t>
        </is>
      </c>
      <c r="B48" t="inlineStr">
        <is>
          <t>Kab. Luwu Timur</t>
        </is>
      </c>
      <c r="C48" t="inlineStr">
        <is>
          <t>082343426550</t>
        </is>
      </c>
      <c r="D48" t="inlineStr">
        <is>
          <t>konstruksihanin@gmail.com</t>
        </is>
      </c>
      <c r="E48" t="inlineStr">
        <is>
          <t>https://lpjk.pu.go.id/search-badan-usaha-detail/UVFScS9JRi9KVUcyK3Y1dGN2NTIvUT09</t>
        </is>
      </c>
      <c r="F48" t="n">
        <v>1</v>
      </c>
      <c r="G48" t="inlineStr">
        <is>
          <t>BS001</t>
        </is>
      </c>
      <c r="H48" t="inlineStr">
        <is>
          <t>5 Juli 2023</t>
        </is>
      </c>
      <c r="I48" s="2" t="n">
        <v>46238</v>
      </c>
      <c r="J48" t="inlineStr">
        <is>
          <t>Disetujui</t>
        </is>
      </c>
      <c r="K48" t="n">
        <v>60</v>
      </c>
      <c r="L48" t="inlineStr">
        <is>
          <t>4 Agustus 2026</t>
        </is>
      </c>
      <c r="M48" t="inlineStr">
        <is>
          <t>Konstruksi Bangunan Sipil Jalan</t>
        </is>
      </c>
      <c r="N48" t="inlineStr">
        <is>
          <t>K</t>
        </is>
      </c>
      <c r="O48" t="inlineStr">
        <is>
          <t>20230801</t>
        </is>
      </c>
      <c r="P48" t="inlineStr">
        <is>
          <t>Sulawesi Selatan</t>
        </is>
      </c>
      <c r="Q48" t="inlineStr"/>
    </row>
    <row r="49">
      <c r="A49" t="inlineStr">
        <is>
          <t>HARTON PUTRA PRIMA</t>
        </is>
      </c>
      <c r="B49" t="inlineStr">
        <is>
          <t>Kota Ambon</t>
        </is>
      </c>
      <c r="C49" t="inlineStr">
        <is>
          <t>081330118833</t>
        </is>
      </c>
      <c r="D49" t="inlineStr">
        <is>
          <t>pt.hartonputraprima@gmail.com</t>
        </is>
      </c>
      <c r="E49" t="inlineStr">
        <is>
          <t>https://lpjk.pu.go.id/search-badan-usaha-detail/Yk5UVG0yYWlKd2tGWVprOFdhOWZ2UT09</t>
        </is>
      </c>
      <c r="F49" t="n">
        <v>1</v>
      </c>
      <c r="G49" t="inlineStr">
        <is>
          <t>BG009</t>
        </is>
      </c>
      <c r="H49" t="inlineStr">
        <is>
          <t>28 Desember 2020</t>
        </is>
      </c>
      <c r="I49" s="2" t="n">
        <v>46238</v>
      </c>
      <c r="J49" t="inlineStr">
        <is>
          <t>Disetujui</t>
        </is>
      </c>
      <c r="K49" t="n">
        <v>60</v>
      </c>
      <c r="L49" t="inlineStr">
        <is>
          <t>4 Agustus 2026</t>
        </is>
      </c>
      <c r="M49" t="inlineStr">
        <is>
          <t>Konstruksi Gedung Lainnya</t>
        </is>
      </c>
      <c r="N49" t="inlineStr">
        <is>
          <t>K</t>
        </is>
      </c>
      <c r="O49" t="inlineStr">
        <is>
          <t>20230802</t>
        </is>
      </c>
      <c r="P49" t="inlineStr">
        <is>
          <t>Maluku</t>
        </is>
      </c>
      <c r="Q49" t="inlineStr"/>
    </row>
    <row r="50">
      <c r="A50" t="inlineStr">
        <is>
          <t>HELGA MANDIRI JAYA</t>
        </is>
      </c>
      <c r="B50" t="inlineStr">
        <is>
          <t>Kab. Cilacap</t>
        </is>
      </c>
      <c r="C50" t="inlineStr">
        <is>
          <t>02825227014</t>
        </is>
      </c>
      <c r="D50" t="inlineStr">
        <is>
          <t>helgamandiri@yahoo.com</t>
        </is>
      </c>
      <c r="E50" t="inlineStr">
        <is>
          <t>https://lpjk.pu.go.id/search-badan-usaha-detail/VGlJYXdXMVJlZDlnd0Q0NzNjYUhhdz09</t>
        </is>
      </c>
      <c r="F50" t="n">
        <v>3</v>
      </c>
      <c r="G50" t="inlineStr">
        <is>
          <t>BG001, BG003, BG009</t>
        </is>
      </c>
      <c r="H50" t="inlineStr">
        <is>
          <t>19 Juni 2015</t>
        </is>
      </c>
      <c r="I50" s="2" t="n">
        <v>46238</v>
      </c>
      <c r="J50" t="inlineStr">
        <is>
          <t>Disetujui</t>
        </is>
      </c>
      <c r="K50" t="n">
        <v>60</v>
      </c>
      <c r="L50" t="inlineStr">
        <is>
          <t>4 Agustus 2026</t>
        </is>
      </c>
      <c r="M50" t="inlineStr">
        <is>
          <t>Konstruksi Gedung Hunian, Konstruksi Gedung Industri, Konstruksi Gedung Lainnya</t>
        </is>
      </c>
      <c r="N50" t="inlineStr">
        <is>
          <t>K</t>
        </is>
      </c>
      <c r="O50" t="inlineStr">
        <is>
          <t>20230804</t>
        </is>
      </c>
      <c r="P50" t="inlineStr">
        <is>
          <t>Jawa Tengah</t>
        </is>
      </c>
      <c r="Q50" t="inlineStr"/>
    </row>
    <row r="51">
      <c r="A51" t="inlineStr">
        <is>
          <t>IBRAHIMA JAYA</t>
        </is>
      </c>
      <c r="B51" t="inlineStr">
        <is>
          <t>Kab. Sragen</t>
        </is>
      </c>
      <c r="C51" t="inlineStr">
        <is>
          <t>082329551622</t>
        </is>
      </c>
      <c r="D51" t="inlineStr">
        <is>
          <t>ibrahimajaya@gmail.com</t>
        </is>
      </c>
      <c r="E51" t="inlineStr">
        <is>
          <t>https://lpjk.pu.go.id/search-badan-usaha-detail/OFFRcUQ0NW8wNk5jaXBOa1VkWVBaQT09</t>
        </is>
      </c>
      <c r="F51" t="n">
        <v>1</v>
      </c>
      <c r="G51" t="inlineStr">
        <is>
          <t>BG009</t>
        </is>
      </c>
      <c r="H51" t="inlineStr">
        <is>
          <t>27 Juni 2016</t>
        </is>
      </c>
      <c r="I51" s="2" t="n">
        <v>46238</v>
      </c>
      <c r="J51" t="inlineStr">
        <is>
          <t>Disetujui</t>
        </is>
      </c>
      <c r="K51" t="n">
        <v>60</v>
      </c>
      <c r="L51" t="inlineStr">
        <is>
          <t>4 Agustus 2026</t>
        </is>
      </c>
      <c r="M51" t="inlineStr">
        <is>
          <t>Konstruksi Gedung Lainnya</t>
        </is>
      </c>
      <c r="N51" t="inlineStr">
        <is>
          <t>K</t>
        </is>
      </c>
      <c r="O51" t="inlineStr">
        <is>
          <t>20230801</t>
        </is>
      </c>
      <c r="P51" t="inlineStr">
        <is>
          <t>Jawa Tengah</t>
        </is>
      </c>
      <c r="Q51" t="inlineStr"/>
    </row>
    <row r="52">
      <c r="A52" t="inlineStr">
        <is>
          <t>JASA FAMILI KONSTRUKSI</t>
        </is>
      </c>
      <c r="B52" t="inlineStr">
        <is>
          <t>Kota Langsa</t>
        </is>
      </c>
      <c r="C52" t="inlineStr">
        <is>
          <t>08116801605</t>
        </is>
      </c>
      <c r="D52" t="inlineStr">
        <is>
          <t>cvjfk18@gmail.com</t>
        </is>
      </c>
      <c r="E52" t="inlineStr">
        <is>
          <t>https://lpjk.pu.go.id/search-badan-usaha-detail/SCtnZjlkZFM5NlE2WUNYTW9kOXVEUT09</t>
        </is>
      </c>
      <c r="F52" t="n">
        <v>1</v>
      </c>
      <c r="G52" t="inlineStr">
        <is>
          <t>PL004</t>
        </is>
      </c>
      <c r="H52" t="inlineStr">
        <is>
          <t>1 Februari 2018</t>
        </is>
      </c>
      <c r="I52" s="2" t="n">
        <v>46238</v>
      </c>
      <c r="J52" t="inlineStr">
        <is>
          <t>Disetujui</t>
        </is>
      </c>
      <c r="K52" t="n">
        <v>60</v>
      </c>
      <c r="L52" t="inlineStr">
        <is>
          <t>4 Agustus 2026</t>
        </is>
      </c>
      <c r="M52" t="inlineStr">
        <is>
          <t>Pekerjaan Tanah</t>
        </is>
      </c>
      <c r="N52" t="inlineStr">
        <is>
          <t>Spesialis</t>
        </is>
      </c>
      <c r="O52" t="inlineStr">
        <is>
          <t>20230804</t>
        </is>
      </c>
      <c r="P52" t="inlineStr">
        <is>
          <t>Aceh</t>
        </is>
      </c>
      <c r="Q52" t="inlineStr"/>
    </row>
    <row r="53">
      <c r="A53" t="inlineStr">
        <is>
          <t>JAVAS KONSTRUKSI</t>
        </is>
      </c>
      <c r="B53" t="inlineStr">
        <is>
          <t>Kab. Bojonegoro</t>
        </is>
      </c>
      <c r="C53" t="inlineStr">
        <is>
          <t>085230494949</t>
        </is>
      </c>
      <c r="D53" t="inlineStr">
        <is>
          <t>javaskonstruksicv@gmail.com</t>
        </is>
      </c>
      <c r="E53" t="inlineStr">
        <is>
          <t>https://lpjk.pu.go.id/search-badan-usaha-detail/UlJVVTRnZys0YUdMYW9mMHJ5RzZGZz09</t>
        </is>
      </c>
      <c r="F53" t="n">
        <v>4</v>
      </c>
      <c r="G53" t="inlineStr">
        <is>
          <t>BG006, BS004</t>
        </is>
      </c>
      <c r="H53" t="inlineStr">
        <is>
          <t>12 Mei 2023</t>
        </is>
      </c>
      <c r="I53" s="2" t="n">
        <v>46238</v>
      </c>
      <c r="J53" t="inlineStr">
        <is>
          <t>Disetujui</t>
        </is>
      </c>
      <c r="K53" t="n">
        <v>60</v>
      </c>
      <c r="L53" t="inlineStr">
        <is>
          <t>4 Agustus 2026</t>
        </is>
      </c>
      <c r="M53" t="inlineStr">
        <is>
          <t>Konstruksi Gedung Pendidikan, Konstruksi Jaringan Irigasi dan Drainase</t>
        </is>
      </c>
      <c r="N53" t="inlineStr">
        <is>
          <t>K</t>
        </is>
      </c>
      <c r="O53" t="inlineStr">
        <is>
          <t>20230724</t>
        </is>
      </c>
      <c r="P53" t="inlineStr">
        <is>
          <t>Jawa Timur</t>
        </is>
      </c>
      <c r="Q53" t="inlineStr"/>
    </row>
    <row r="54">
      <c r="A54" t="inlineStr">
        <is>
          <t>JAYA ANDALAS PRIMA</t>
        </is>
      </c>
      <c r="B54" t="inlineStr">
        <is>
          <t>Kota Prabumulih</t>
        </is>
      </c>
      <c r="C54" t="inlineStr">
        <is>
          <t>0713326009</t>
        </is>
      </c>
      <c r="D54" t="inlineStr">
        <is>
          <t>pt.jap.pbm@gmail.com</t>
        </is>
      </c>
      <c r="E54" t="inlineStr">
        <is>
          <t>https://lpjk.pu.go.id/search-badan-usaha-detail/TFg4NXRsSVlnOXJGY21rZ1o1MEJjUT09</t>
        </is>
      </c>
      <c r="F54" t="n">
        <v>1</v>
      </c>
      <c r="G54" t="inlineStr">
        <is>
          <t>KK001</t>
        </is>
      </c>
      <c r="H54" t="inlineStr">
        <is>
          <t>14 Januari 2004</t>
        </is>
      </c>
      <c r="I54" s="2" t="n">
        <v>46238</v>
      </c>
      <c r="J54" t="inlineStr">
        <is>
          <t>Pembekuan</t>
        </is>
      </c>
      <c r="K54" t="n">
        <v>60</v>
      </c>
      <c r="L54" t="inlineStr">
        <is>
          <t>4 Agustus 2026</t>
        </is>
      </c>
      <c r="M54" t="inlineStr">
        <is>
          <t>Pondasi Konstruksi</t>
        </is>
      </c>
      <c r="N54" t="inlineStr">
        <is>
          <t>Spesialis</t>
        </is>
      </c>
      <c r="O54" t="inlineStr">
        <is>
          <t>20230703</t>
        </is>
      </c>
      <c r="P54" t="inlineStr">
        <is>
          <t>Sumatera Selatan</t>
        </is>
      </c>
      <c r="Q54" t="inlineStr"/>
    </row>
    <row r="55">
      <c r="A55" t="inlineStr">
        <is>
          <t>KAIROS SEVEN SUMMIT</t>
        </is>
      </c>
      <c r="B55" t="inlineStr">
        <is>
          <t>Kab. Karawang</t>
        </is>
      </c>
      <c r="C55" t="inlineStr">
        <is>
          <t>081219775925</t>
        </is>
      </c>
      <c r="D55" t="inlineStr">
        <is>
          <t>kairos7summit@gmail.com</t>
        </is>
      </c>
      <c r="E55" t="inlineStr">
        <is>
          <t>https://lpjk.pu.go.id/search-badan-usaha-detail/b0lTazZUZzlGN3Y5SnlkNHZ3Y1ZNZz09</t>
        </is>
      </c>
      <c r="F55" t="n">
        <v>1</v>
      </c>
      <c r="G55" t="inlineStr">
        <is>
          <t>BG006</t>
        </is>
      </c>
      <c r="H55" t="inlineStr">
        <is>
          <t>29 Mei 2023</t>
        </is>
      </c>
      <c r="I55" s="2" t="n">
        <v>46238</v>
      </c>
      <c r="J55" t="inlineStr">
        <is>
          <t>Disetujui</t>
        </is>
      </c>
      <c r="K55" t="n">
        <v>60</v>
      </c>
      <c r="L55" t="inlineStr">
        <is>
          <t>4 Agustus 2026</t>
        </is>
      </c>
      <c r="M55" t="inlineStr">
        <is>
          <t>Konstruksi Gedung Pendidikan</t>
        </is>
      </c>
      <c r="N55" t="inlineStr">
        <is>
          <t>K</t>
        </is>
      </c>
      <c r="O55" t="inlineStr">
        <is>
          <t>20230728</t>
        </is>
      </c>
      <c r="P55" t="inlineStr">
        <is>
          <t>Jawa Barat</t>
        </is>
      </c>
      <c r="Q55" t="inlineStr"/>
    </row>
    <row r="56">
      <c r="A56" t="inlineStr">
        <is>
          <t>KARYA AGUNG BANYUWANGI</t>
        </is>
      </c>
      <c r="B56" t="inlineStr">
        <is>
          <t>Kab. Banyuwangi</t>
        </is>
      </c>
      <c r="C56" t="inlineStr">
        <is>
          <t>081285649200</t>
        </is>
      </c>
      <c r="D56" t="inlineStr">
        <is>
          <t>cvkaryaagungbanyuwangicv@gmail.com</t>
        </is>
      </c>
      <c r="E56" t="inlineStr">
        <is>
          <t>https://lpjk.pu.go.id/search-badan-usaha-detail/d3QzOE5KRGpia0hidXhNbFRqYjdQZz09</t>
        </is>
      </c>
      <c r="F56" t="n">
        <v>1</v>
      </c>
      <c r="G56" t="inlineStr">
        <is>
          <t>BG009</t>
        </is>
      </c>
      <c r="H56" t="inlineStr">
        <is>
          <t>24 Oktober 2022</t>
        </is>
      </c>
      <c r="I56" s="2" t="n">
        <v>46238</v>
      </c>
      <c r="J56" t="inlineStr">
        <is>
          <t>Disetujui</t>
        </is>
      </c>
      <c r="K56" t="n">
        <v>60</v>
      </c>
      <c r="L56" t="inlineStr">
        <is>
          <t>4 Agustus 2026</t>
        </is>
      </c>
      <c r="M56" t="inlineStr">
        <is>
          <t>Konstruksi Gedung Lainnya</t>
        </is>
      </c>
      <c r="N56" t="inlineStr">
        <is>
          <t>K</t>
        </is>
      </c>
      <c r="O56" t="inlineStr">
        <is>
          <t>20230803</t>
        </is>
      </c>
      <c r="P56" t="inlineStr">
        <is>
          <t>Jawa Timur</t>
        </is>
      </c>
      <c r="Q56" t="inlineStr"/>
    </row>
    <row r="57">
      <c r="A57" t="inlineStr">
        <is>
          <t>KARYA ANUGRAH SEJATI</t>
        </is>
      </c>
      <c r="B57" t="inlineStr">
        <is>
          <t>Kota Adm. Jakarta Selatan</t>
        </is>
      </c>
      <c r="C57" t="inlineStr">
        <is>
          <t>0217822694</t>
        </is>
      </c>
      <c r="D57" t="inlineStr">
        <is>
          <t>karyaanugrahsejati2019@gmail.com</t>
        </is>
      </c>
      <c r="E57" t="inlineStr">
        <is>
          <t>https://lpjk.pu.go.id/search-badan-usaha-detail/Q1lyMUdIQk1KQ25SR0x3Zy9mNGhRQT09</t>
        </is>
      </c>
      <c r="F57" t="n">
        <v>1</v>
      </c>
      <c r="G57" t="inlineStr">
        <is>
          <t>BS001</t>
        </is>
      </c>
      <c r="H57" t="inlineStr">
        <is>
          <t>7 Juli 2005</t>
        </is>
      </c>
      <c r="I57" s="2" t="n">
        <v>46238</v>
      </c>
      <c r="J57" t="inlineStr">
        <is>
          <t>Disetujui</t>
        </is>
      </c>
      <c r="K57" t="n">
        <v>60</v>
      </c>
      <c r="L57" t="inlineStr">
        <is>
          <t>4 Agustus 2026</t>
        </is>
      </c>
      <c r="M57" t="inlineStr">
        <is>
          <t>Konstruksi Bangunan Sipil Jalan</t>
        </is>
      </c>
      <c r="N57" t="inlineStr">
        <is>
          <t>K</t>
        </is>
      </c>
      <c r="O57" t="inlineStr">
        <is>
          <t>20230731</t>
        </is>
      </c>
      <c r="P57" t="inlineStr">
        <is>
          <t>DKI Jakarta</t>
        </is>
      </c>
      <c r="Q57" t="inlineStr"/>
    </row>
    <row r="58">
      <c r="A58" t="inlineStr">
        <is>
          <t>KASIH WIDODO MANDIRI</t>
        </is>
      </c>
      <c r="B58" t="inlineStr">
        <is>
          <t>Kab. Cirebon</t>
        </is>
      </c>
      <c r="C58" t="inlineStr">
        <is>
          <t>081395333076</t>
        </is>
      </c>
      <c r="D58" t="inlineStr">
        <is>
          <t>cv.kasihwidodomandiri@gmail.com</t>
        </is>
      </c>
      <c r="E58" t="inlineStr">
        <is>
          <t>https://lpjk.pu.go.id/search-badan-usaha-detail/dVU0WnF6RXNjUkgzR0hwaGdXbXFydz09</t>
        </is>
      </c>
      <c r="F58" t="n">
        <v>4</v>
      </c>
      <c r="G58" t="inlineStr">
        <is>
          <t>BG004, BG006, BG009, BS002</t>
        </is>
      </c>
      <c r="H58" t="inlineStr">
        <is>
          <t>3 Mei 2023</t>
        </is>
      </c>
      <c r="I58" s="2" t="n">
        <v>46238</v>
      </c>
      <c r="J58" t="inlineStr">
        <is>
          <t>Disetujui</t>
        </is>
      </c>
      <c r="K58" t="n">
        <v>60</v>
      </c>
      <c r="L58" t="inlineStr">
        <is>
          <t>4 Agustus 2026</t>
        </is>
      </c>
      <c r="M58" t="inlineStr">
        <is>
          <t>Bangunan Sipil Jembatan, Jalan Layang, Fly Over, dan Underpass, Konstruksi Gedung Lainnya, Konstruksi Gedung Pendidikan, Konstruksi Gedung Perbelanjaan</t>
        </is>
      </c>
      <c r="N58" t="inlineStr">
        <is>
          <t>K</t>
        </is>
      </c>
      <c r="O58" t="inlineStr">
        <is>
          <t>20230802</t>
        </is>
      </c>
      <c r="P58" t="inlineStr">
        <is>
          <t>Jawa Barat</t>
        </is>
      </c>
      <c r="Q58" t="inlineStr"/>
    </row>
    <row r="59">
      <c r="A59" t="inlineStr">
        <is>
          <t>KEVIN MANDIRI</t>
        </is>
      </c>
      <c r="B59" t="inlineStr">
        <is>
          <t>Kab. Pegunungan Arfak</t>
        </is>
      </c>
      <c r="C59" t="inlineStr">
        <is>
          <t>081344949549</t>
        </is>
      </c>
      <c r="D59" t="inlineStr">
        <is>
          <t>cv.kevinmandiri2020@gmail.com</t>
        </is>
      </c>
      <c r="E59" t="inlineStr">
        <is>
          <t>https://lpjk.pu.go.id/search-badan-usaha-detail/UUl4Q05RVEY5eHZnSHhoVU4xbFk2dz09</t>
        </is>
      </c>
      <c r="F59" t="n">
        <v>1</v>
      </c>
      <c r="G59" t="inlineStr">
        <is>
          <t>BS001</t>
        </is>
      </c>
      <c r="H59" t="inlineStr">
        <is>
          <t>4 Juni 2020</t>
        </is>
      </c>
      <c r="I59" s="2" t="n">
        <v>46238</v>
      </c>
      <c r="J59" t="inlineStr">
        <is>
          <t>Pencabutan</t>
        </is>
      </c>
      <c r="K59" t="n">
        <v>60</v>
      </c>
      <c r="L59" t="inlineStr">
        <is>
          <t>4 Agustus 2026</t>
        </is>
      </c>
      <c r="M59" t="inlineStr">
        <is>
          <t>Konstruksi Bangunan Sipil Jalan</t>
        </is>
      </c>
      <c r="N59" t="inlineStr">
        <is>
          <t>K</t>
        </is>
      </c>
      <c r="O59" t="inlineStr">
        <is>
          <t>20230801</t>
        </is>
      </c>
      <c r="P59" t="inlineStr">
        <is>
          <t>Papua Barat</t>
        </is>
      </c>
      <c r="Q59" t="inlineStr"/>
    </row>
    <row r="60">
      <c r="A60" t="inlineStr">
        <is>
          <t>KHALIGHANE KONTRAKTOR</t>
        </is>
      </c>
      <c r="B60" t="inlineStr">
        <is>
          <t>Kota Cirebon</t>
        </is>
      </c>
      <c r="C60" t="inlineStr">
        <is>
          <t>085324238500</t>
        </is>
      </c>
      <c r="D60" t="inlineStr">
        <is>
          <t>miajihanz@gmail.com</t>
        </is>
      </c>
      <c r="E60" t="inlineStr">
        <is>
          <t>https://lpjk.pu.go.id/search-badan-usaha-detail/SEk2akR2UUdWSW5iWkJVOFpKSzNBUT09</t>
        </is>
      </c>
      <c r="F60" t="n">
        <v>3</v>
      </c>
      <c r="G60" t="inlineStr">
        <is>
          <t>BG002, BG006, BG009</t>
        </is>
      </c>
      <c r="H60" t="inlineStr">
        <is>
          <t>4 Oktober 2021</t>
        </is>
      </c>
      <c r="I60" s="2" t="n">
        <v>46238</v>
      </c>
      <c r="J60" t="inlineStr">
        <is>
          <t>Disetujui</t>
        </is>
      </c>
      <c r="K60" t="n">
        <v>60</v>
      </c>
      <c r="L60" t="inlineStr">
        <is>
          <t>4 Agustus 2026</t>
        </is>
      </c>
      <c r="M60" t="inlineStr">
        <is>
          <t>Konstruksi Gedung Lainnya, Konstruksi Gedung Pendidikan, Konstruksi Gedung Perkantoran</t>
        </is>
      </c>
      <c r="N60" t="inlineStr">
        <is>
          <t>K</t>
        </is>
      </c>
      <c r="O60" t="inlineStr">
        <is>
          <t>20230712, 20230803</t>
        </is>
      </c>
      <c r="P60" t="inlineStr">
        <is>
          <t>Jawa Barat</t>
        </is>
      </c>
      <c r="Q60" t="inlineStr"/>
    </row>
    <row r="61">
      <c r="A61" t="inlineStr">
        <is>
          <t>KURNIA BROTHER</t>
        </is>
      </c>
      <c r="B61" t="inlineStr">
        <is>
          <t>Kab. Musi Rawas Utara</t>
        </is>
      </c>
      <c r="C61" t="inlineStr">
        <is>
          <t>081364919091</t>
        </is>
      </c>
      <c r="D61" t="inlineStr">
        <is>
          <t>kurniabrother7@gmail.com</t>
        </is>
      </c>
      <c r="E61" t="inlineStr">
        <is>
          <t>https://lpjk.pu.go.id/search-badan-usaha-detail/QVJoVmJHQ1A3ZDdlWUVnRk1STENtZz09</t>
        </is>
      </c>
      <c r="F61" t="n">
        <v>1</v>
      </c>
      <c r="G61" t="inlineStr">
        <is>
          <t>BS002</t>
        </is>
      </c>
      <c r="H61" t="inlineStr">
        <is>
          <t>11 November 2014</t>
        </is>
      </c>
      <c r="I61" s="2" t="n">
        <v>46238</v>
      </c>
      <c r="J61" t="inlineStr">
        <is>
          <t>Disetujui</t>
        </is>
      </c>
      <c r="K61" t="n">
        <v>60</v>
      </c>
      <c r="L61" t="inlineStr">
        <is>
          <t>4 Agustus 2026</t>
        </is>
      </c>
      <c r="M61" t="inlineStr">
        <is>
          <t>Bangunan Sipil Jembatan, Jalan Layang, Fly Over, dan Underpass</t>
        </is>
      </c>
      <c r="N61" t="inlineStr">
        <is>
          <t>K</t>
        </is>
      </c>
      <c r="O61" t="inlineStr">
        <is>
          <t>20230801</t>
        </is>
      </c>
      <c r="P61" t="inlineStr">
        <is>
          <t>Sumatera Selatan</t>
        </is>
      </c>
      <c r="Q61" t="inlineStr"/>
    </row>
    <row r="62">
      <c r="A62" t="inlineStr">
        <is>
          <t>KURNIA JAYA BANYUWANGI</t>
        </is>
      </c>
      <c r="B62" t="inlineStr">
        <is>
          <t>Kab. Banyuwangi</t>
        </is>
      </c>
      <c r="C62" t="inlineStr">
        <is>
          <t>081336126835</t>
        </is>
      </c>
      <c r="D62" t="inlineStr">
        <is>
          <t>kurniajayabanyuwangi2023@gmail.com</t>
        </is>
      </c>
      <c r="E62" t="inlineStr">
        <is>
          <t>https://lpjk.pu.go.id/search-badan-usaha-detail/bklnUEFEUlJqeWdaMVo4RnYydXBFdz09</t>
        </is>
      </c>
      <c r="F62" t="n">
        <v>5</v>
      </c>
      <c r="G62" t="inlineStr">
        <is>
          <t>BG005, BG006, BG009, BS001, BS004</t>
        </is>
      </c>
      <c r="H62" t="inlineStr">
        <is>
          <t>16 Juli 2019</t>
        </is>
      </c>
      <c r="I62" s="2" t="n">
        <v>46238</v>
      </c>
      <c r="J62" t="inlineStr">
        <is>
          <t>Disetujui</t>
        </is>
      </c>
      <c r="K62" t="n">
        <v>60</v>
      </c>
      <c r="L62" t="inlineStr">
        <is>
          <t>4 Agustus 2026</t>
        </is>
      </c>
      <c r="M62" t="inlineStr">
        <is>
          <t>Konstruksi Bangunan Sipil Jalan, Konstruksi Gedung Kesehatan, Konstruksi Gedung Lainnya, Konstruksi Gedung Pendidikan, Konstruksi Jaringan Irigasi dan Drainase</t>
        </is>
      </c>
      <c r="N62" t="inlineStr">
        <is>
          <t>K</t>
        </is>
      </c>
      <c r="O62" t="inlineStr">
        <is>
          <t>20230802</t>
        </is>
      </c>
      <c r="P62" t="inlineStr">
        <is>
          <t>Jawa Timur</t>
        </is>
      </c>
      <c r="Q62" t="inlineStr"/>
    </row>
    <row r="63">
      <c r="A63" t="inlineStr">
        <is>
          <t>LAKSANA JAYA KONSTRUKSI</t>
        </is>
      </c>
      <c r="B63" t="inlineStr">
        <is>
          <t>Kota Palembang</t>
        </is>
      </c>
      <c r="C63" t="inlineStr">
        <is>
          <t>082282284245</t>
        </is>
      </c>
      <c r="D63" t="inlineStr">
        <is>
          <t>LAKSANAJAYAKONSTRUKSI@gmail.com</t>
        </is>
      </c>
      <c r="E63" t="inlineStr">
        <is>
          <t>https://lpjk.pu.go.id/search-badan-usaha-detail/cGFwNGJtZlF5SmlJOUhwbEloazY4dz09</t>
        </is>
      </c>
      <c r="F63" t="n">
        <v>2</v>
      </c>
      <c r="G63" t="inlineStr">
        <is>
          <t>BG004</t>
        </is>
      </c>
      <c r="H63" t="inlineStr">
        <is>
          <t>6 Juni 2023</t>
        </is>
      </c>
      <c r="I63" s="2" t="n">
        <v>46238</v>
      </c>
      <c r="J63" t="inlineStr">
        <is>
          <t>Disetujui</t>
        </is>
      </c>
      <c r="K63" t="n">
        <v>60</v>
      </c>
      <c r="L63" t="inlineStr">
        <is>
          <t>4 Agustus 2026</t>
        </is>
      </c>
      <c r="M63" t="inlineStr">
        <is>
          <t>Konstruksi Gedung Perbelanjaan</t>
        </is>
      </c>
      <c r="N63" t="inlineStr">
        <is>
          <t>K</t>
        </is>
      </c>
      <c r="O63" t="inlineStr">
        <is>
          <t>20230801</t>
        </is>
      </c>
      <c r="P63" t="inlineStr">
        <is>
          <t>Sumatera Selatan</t>
        </is>
      </c>
      <c r="Q63" t="inlineStr"/>
    </row>
    <row r="64">
      <c r="A64" t="inlineStr">
        <is>
          <t>LINGGAR JATI</t>
        </is>
      </c>
      <c r="B64" t="inlineStr">
        <is>
          <t>Kab. Probolinggo</t>
        </is>
      </c>
      <c r="C64" t="inlineStr">
        <is>
          <t>085231475743</t>
        </is>
      </c>
      <c r="D64" t="inlineStr">
        <is>
          <t>cvlinggarjati@yahoo.co.id</t>
        </is>
      </c>
      <c r="E64" t="inlineStr">
        <is>
          <t>https://lpjk.pu.go.id/search-badan-usaha-detail/ZG83cnNnNzYvSitXMUxqMWRScW5VQT09</t>
        </is>
      </c>
      <c r="F64" t="n">
        <v>6</v>
      </c>
      <c r="G64" t="inlineStr">
        <is>
          <t>BG002, BG005, BS005</t>
        </is>
      </c>
      <c r="H64" t="inlineStr">
        <is>
          <t>11 April 1997</t>
        </is>
      </c>
      <c r="I64" s="2" t="n">
        <v>46238</v>
      </c>
      <c r="J64" t="inlineStr">
        <is>
          <t>Pencabutan</t>
        </is>
      </c>
      <c r="K64" t="n">
        <v>60</v>
      </c>
      <c r="L64" t="inlineStr">
        <is>
          <t>4 Agustus 2026</t>
        </is>
      </c>
      <c r="M64" t="inlineStr">
        <is>
          <t>Konstruksi Bangunan Sipil Pengolahan Air Bersih, Konstruksi Gedung Kesehatan, Konstruksi Gedung Perkantoran</t>
        </is>
      </c>
      <c r="N64" t="inlineStr">
        <is>
          <t>K</t>
        </is>
      </c>
      <c r="O64" t="inlineStr">
        <is>
          <t>20230715</t>
        </is>
      </c>
      <c r="P64" t="inlineStr">
        <is>
          <t>Jawa Timur</t>
        </is>
      </c>
      <c r="Q64" t="inlineStr"/>
    </row>
    <row r="65">
      <c r="A65" t="inlineStr">
        <is>
          <t>LUMINTU JAYA</t>
        </is>
      </c>
      <c r="B65" t="inlineStr">
        <is>
          <t>Kab. Blora</t>
        </is>
      </c>
      <c r="C65" t="inlineStr">
        <is>
          <t>02965100257</t>
        </is>
      </c>
      <c r="D65" t="inlineStr">
        <is>
          <t>lumintujaya82@gmail.com</t>
        </is>
      </c>
      <c r="E65" t="inlineStr">
        <is>
          <t>https://lpjk.pu.go.id/search-badan-usaha-detail/VkZoRWpDd2tKS042QnVhRUxubFFYQT09</t>
        </is>
      </c>
      <c r="F65" t="n">
        <v>2</v>
      </c>
      <c r="G65" t="inlineStr">
        <is>
          <t>BG005, BG009</t>
        </is>
      </c>
      <c r="H65" t="inlineStr">
        <is>
          <t>21 Oktober 1993</t>
        </is>
      </c>
      <c r="I65" s="2" t="n">
        <v>46238</v>
      </c>
      <c r="J65" t="inlineStr">
        <is>
          <t>Disetujui</t>
        </is>
      </c>
      <c r="K65" t="n">
        <v>60</v>
      </c>
      <c r="L65" t="inlineStr">
        <is>
          <t>4 Agustus 2026</t>
        </is>
      </c>
      <c r="M65" t="inlineStr">
        <is>
          <t>Konstruksi Gedung Kesehatan, Konstruksi Gedung Lainnya</t>
        </is>
      </c>
      <c r="N65" t="inlineStr">
        <is>
          <t>K</t>
        </is>
      </c>
      <c r="O65" t="inlineStr">
        <is>
          <t>20230803</t>
        </is>
      </c>
      <c r="P65" t="inlineStr">
        <is>
          <t>Jawa Tengah</t>
        </is>
      </c>
      <c r="Q65" t="inlineStr"/>
    </row>
    <row r="66">
      <c r="A66" t="inlineStr">
        <is>
          <t>MAHA KARYA CIPTA PERKASA</t>
        </is>
      </c>
      <c r="B66" t="inlineStr">
        <is>
          <t>Kota Pare Pare</t>
        </is>
      </c>
      <c r="C66" t="inlineStr">
        <is>
          <t>0852 9980 6435</t>
        </is>
      </c>
      <c r="D66" t="inlineStr">
        <is>
          <t>cv.mahakarya2016@gmail.com</t>
        </is>
      </c>
      <c r="E66" t="inlineStr">
        <is>
          <t>https://lpjk.pu.go.id/search-badan-usaha-detail/RjBRTlRyUVUweVR4MU5YdlBnNzlwZz09</t>
        </is>
      </c>
      <c r="F66" t="n">
        <v>4</v>
      </c>
      <c r="G66" t="inlineStr">
        <is>
          <t>BG002, BG005, BG006, BG009</t>
        </is>
      </c>
      <c r="H66" t="inlineStr">
        <is>
          <t>14 Maret 2012</t>
        </is>
      </c>
      <c r="I66" s="2" t="n">
        <v>46238</v>
      </c>
      <c r="J66" t="inlineStr">
        <is>
          <t>Disetujui</t>
        </is>
      </c>
      <c r="K66" t="n">
        <v>60</v>
      </c>
      <c r="L66" t="inlineStr">
        <is>
          <t>4 Agustus 2026</t>
        </is>
      </c>
      <c r="M66" t="inlineStr">
        <is>
          <t>Konstruksi Gedung Kesehatan, Konstruksi Gedung Lainnya, Konstruksi Gedung Pendidikan, Konstruksi Gedung Perkantoran</t>
        </is>
      </c>
      <c r="N66" t="inlineStr">
        <is>
          <t>K</t>
        </is>
      </c>
      <c r="O66" t="inlineStr">
        <is>
          <t>20230804</t>
        </is>
      </c>
      <c r="P66" t="inlineStr">
        <is>
          <t>Sulawesi Selatan</t>
        </is>
      </c>
      <c r="Q66" t="inlineStr"/>
    </row>
    <row r="67">
      <c r="A67" t="inlineStr">
        <is>
          <t>MAJU MAPAN</t>
        </is>
      </c>
      <c r="B67" t="inlineStr">
        <is>
          <t>Kab. Lampung Selatan</t>
        </is>
      </c>
      <c r="C67" t="inlineStr">
        <is>
          <t>085383768586</t>
        </is>
      </c>
      <c r="D67" t="inlineStr">
        <is>
          <t>majumapancv2019@gmail.com</t>
        </is>
      </c>
      <c r="E67" t="inlineStr">
        <is>
          <t>https://lpjk.pu.go.id/search-badan-usaha-detail/U1ZLYzJpVy91ZzZSSzcxWUYwTG0xUT09</t>
        </is>
      </c>
      <c r="F67" t="n">
        <v>1</v>
      </c>
      <c r="G67" t="inlineStr">
        <is>
          <t>BG006</t>
        </is>
      </c>
      <c r="H67" t="inlineStr">
        <is>
          <t>1 Januari 2018</t>
        </is>
      </c>
      <c r="I67" s="2" t="n">
        <v>46238</v>
      </c>
      <c r="J67" t="inlineStr">
        <is>
          <t>Disetujui</t>
        </is>
      </c>
      <c r="K67" t="n">
        <v>60</v>
      </c>
      <c r="L67" t="inlineStr">
        <is>
          <t>4 Agustus 2026</t>
        </is>
      </c>
      <c r="M67" t="inlineStr">
        <is>
          <t>Konstruksi Gedung Pendidikan</t>
        </is>
      </c>
      <c r="N67" t="inlineStr">
        <is>
          <t>K</t>
        </is>
      </c>
      <c r="O67" t="inlineStr">
        <is>
          <t>20230802</t>
        </is>
      </c>
      <c r="P67" t="inlineStr">
        <is>
          <t>Lampung</t>
        </is>
      </c>
      <c r="Q67" t="inlineStr"/>
    </row>
    <row r="68">
      <c r="A68" t="inlineStr">
        <is>
          <t>MARGA JAYA</t>
        </is>
      </c>
      <c r="B68" t="inlineStr">
        <is>
          <t>Kota Surabaya</t>
        </is>
      </c>
      <c r="C68" t="inlineStr">
        <is>
          <t>081330065755</t>
        </is>
      </c>
      <c r="D68" t="inlineStr">
        <is>
          <t>cvmargajayapakal@yahoo.com</t>
        </is>
      </c>
      <c r="E68" t="inlineStr">
        <is>
          <t>https://lpjk.pu.go.id/search-badan-usaha-detail/b0h2Sk53WmNYQWpWUDVubS9jTXphdz09</t>
        </is>
      </c>
      <c r="F68" t="n">
        <v>2</v>
      </c>
      <c r="G68" t="inlineStr">
        <is>
          <t>BS002, BS004</t>
        </is>
      </c>
      <c r="H68" t="inlineStr">
        <is>
          <t>3 Juni 1992</t>
        </is>
      </c>
      <c r="I68" s="2" t="n">
        <v>46238</v>
      </c>
      <c r="J68" t="inlineStr">
        <is>
          <t>Disetujui</t>
        </is>
      </c>
      <c r="K68" t="n">
        <v>60</v>
      </c>
      <c r="L68" t="inlineStr">
        <is>
          <t>4 Agustus 2026</t>
        </is>
      </c>
      <c r="M68" t="inlineStr">
        <is>
          <t>Bangunan Sipil Jembatan, Jalan Layang, Fly Over, dan Underpass, Konstruksi Jaringan Irigasi dan Drainase</t>
        </is>
      </c>
      <c r="N68" t="inlineStr">
        <is>
          <t>K</t>
        </is>
      </c>
      <c r="O68" t="inlineStr">
        <is>
          <t>20230803</t>
        </is>
      </c>
      <c r="P68" t="inlineStr">
        <is>
          <t>Jawa Timur</t>
        </is>
      </c>
      <c r="Q68" t="inlineStr"/>
    </row>
    <row r="69">
      <c r="A69" t="inlineStr">
        <is>
          <t>MATAHARI KEMBAR</t>
        </is>
      </c>
      <c r="B69" t="inlineStr">
        <is>
          <t>Kab. Pandeglang</t>
        </is>
      </c>
      <c r="C69" t="inlineStr">
        <is>
          <t>087874363318</t>
        </is>
      </c>
      <c r="D69" t="inlineStr">
        <is>
          <t>lsbubanten@gmail.com</t>
        </is>
      </c>
      <c r="E69" t="inlineStr">
        <is>
          <t>https://lpjk.pu.go.id/search-badan-usaha-detail/U05nRHd2cm16d1lKaHRvdC8zSmk0QT09</t>
        </is>
      </c>
      <c r="F69" t="n">
        <v>2</v>
      </c>
      <c r="G69" t="inlineStr">
        <is>
          <t>BG009</t>
        </is>
      </c>
      <c r="H69" t="inlineStr">
        <is>
          <t>2 Mei 2016</t>
        </is>
      </c>
      <c r="I69" s="2" t="n">
        <v>46238</v>
      </c>
      <c r="J69" t="inlineStr">
        <is>
          <t>Disetujui</t>
        </is>
      </c>
      <c r="K69" t="n">
        <v>60</v>
      </c>
      <c r="L69" t="inlineStr">
        <is>
          <t>4 Agustus 2026</t>
        </is>
      </c>
      <c r="M69" t="inlineStr">
        <is>
          <t>Konstruksi Gedung Lainnya</t>
        </is>
      </c>
      <c r="N69" t="inlineStr">
        <is>
          <t>K</t>
        </is>
      </c>
      <c r="O69" t="inlineStr">
        <is>
          <t>20230725</t>
        </is>
      </c>
      <c r="P69" t="inlineStr">
        <is>
          <t>Banten</t>
        </is>
      </c>
      <c r="Q69" t="inlineStr"/>
    </row>
    <row r="70">
      <c r="A70" t="inlineStr">
        <is>
          <t>MEGA SURYANA</t>
        </is>
      </c>
      <c r="B70" t="inlineStr">
        <is>
          <t>Kab. Kubu Raya</t>
        </is>
      </c>
      <c r="C70" t="inlineStr">
        <is>
          <t>081345158338</t>
        </is>
      </c>
      <c r="D70" t="inlineStr">
        <is>
          <t>irvanfauzi882@gmail.com</t>
        </is>
      </c>
      <c r="E70" t="inlineStr">
        <is>
          <t>https://lpjk.pu.go.id/search-badan-usaha-detail/S3JJY0xIOEpreDZyKzA4czlWd0FXUT09</t>
        </is>
      </c>
      <c r="F70" t="n">
        <v>2</v>
      </c>
      <c r="G70" t="inlineStr">
        <is>
          <t>BS001</t>
        </is>
      </c>
      <c r="H70" t="inlineStr">
        <is>
          <t>24 Februari 2009</t>
        </is>
      </c>
      <c r="I70" s="2" t="n">
        <v>46238</v>
      </c>
      <c r="J70" t="inlineStr">
        <is>
          <t>Disetujui</t>
        </is>
      </c>
      <c r="K70" t="n">
        <v>60</v>
      </c>
      <c r="L70" t="inlineStr">
        <is>
          <t>4 Agustus 2026</t>
        </is>
      </c>
      <c r="M70" t="inlineStr">
        <is>
          <t>Konstruksi Bangunan Sipil Jalan</t>
        </is>
      </c>
      <c r="N70" t="inlineStr">
        <is>
          <t>K</t>
        </is>
      </c>
      <c r="O70" t="inlineStr">
        <is>
          <t>20230804</t>
        </is>
      </c>
      <c r="P70" t="inlineStr">
        <is>
          <t>Kalimantan Barat</t>
        </is>
      </c>
      <c r="Q70" t="inlineStr"/>
    </row>
    <row r="71">
      <c r="A71" t="inlineStr">
        <is>
          <t>MEGA USAHA FALIQ CIPTA</t>
        </is>
      </c>
      <c r="B71" t="inlineStr">
        <is>
          <t>Kab. Tangerang</t>
        </is>
      </c>
      <c r="C71" t="inlineStr">
        <is>
          <t>081296223001</t>
        </is>
      </c>
      <c r="D71" t="inlineStr">
        <is>
          <t>cvmufc.official@gmail.com</t>
        </is>
      </c>
      <c r="E71" t="inlineStr">
        <is>
          <t>https://lpjk.pu.go.id/search-badan-usaha-detail/bHVvZ0VjWlo3MjBkckpnZjVDeDRSQT09</t>
        </is>
      </c>
      <c r="F71" t="n">
        <v>2</v>
      </c>
      <c r="G71" t="inlineStr">
        <is>
          <t>BS004</t>
        </is>
      </c>
      <c r="H71" t="inlineStr">
        <is>
          <t>26 Januari 2023</t>
        </is>
      </c>
      <c r="I71" s="2" t="n">
        <v>46238</v>
      </c>
      <c r="J71" t="inlineStr">
        <is>
          <t>Disetujui</t>
        </is>
      </c>
      <c r="K71" t="n">
        <v>60</v>
      </c>
      <c r="L71" t="inlineStr">
        <is>
          <t>4 Agustus 2026</t>
        </is>
      </c>
      <c r="M71" t="inlineStr">
        <is>
          <t>Konstruksi Jaringan Irigasi dan Drainase</t>
        </is>
      </c>
      <c r="N71" t="inlineStr">
        <is>
          <t>K</t>
        </is>
      </c>
      <c r="O71" t="inlineStr">
        <is>
          <t>20230721</t>
        </is>
      </c>
      <c r="P71" t="inlineStr">
        <is>
          <t>Banten</t>
        </is>
      </c>
      <c r="Q71" t="inlineStr"/>
    </row>
    <row r="72">
      <c r="A72" t="inlineStr">
        <is>
          <t>MENARA INDOJAYA</t>
        </is>
      </c>
      <c r="B72" t="inlineStr">
        <is>
          <t>Kab. Trenggalek</t>
        </is>
      </c>
      <c r="C72" t="inlineStr">
        <is>
          <t>081234466444</t>
        </is>
      </c>
      <c r="D72" t="inlineStr">
        <is>
          <t>cvmenaraindojaya@gmail.com</t>
        </is>
      </c>
      <c r="E72" t="inlineStr">
        <is>
          <t>https://lpjk.pu.go.id/search-badan-usaha-detail/NlU1eE1YUmZYeGpYZ3JvZEVhZVhPUT09</t>
        </is>
      </c>
      <c r="F72" t="n">
        <v>1</v>
      </c>
      <c r="G72" t="inlineStr">
        <is>
          <t>BG002</t>
        </is>
      </c>
      <c r="H72" t="inlineStr">
        <is>
          <t>20 Mei 2014</t>
        </is>
      </c>
      <c r="I72" s="2" t="n">
        <v>46238</v>
      </c>
      <c r="J72" t="inlineStr">
        <is>
          <t>Disetujui</t>
        </is>
      </c>
      <c r="K72" t="n">
        <v>60</v>
      </c>
      <c r="L72" t="inlineStr">
        <is>
          <t>4 Agustus 2026</t>
        </is>
      </c>
      <c r="M72" t="inlineStr">
        <is>
          <t>Konstruksi Gedung Perkantoran</t>
        </is>
      </c>
      <c r="N72" t="inlineStr">
        <is>
          <t>K</t>
        </is>
      </c>
      <c r="O72" t="inlineStr">
        <is>
          <t>20230803</t>
        </is>
      </c>
      <c r="P72" t="inlineStr">
        <is>
          <t>Jawa Timur</t>
        </is>
      </c>
      <c r="Q72" t="inlineStr"/>
    </row>
    <row r="73">
      <c r="A73" t="inlineStr">
        <is>
          <t>MILA MULTI KARYA</t>
        </is>
      </c>
      <c r="B73" t="inlineStr">
        <is>
          <t>Kab. Mojokerto</t>
        </is>
      </c>
      <c r="C73" t="inlineStr">
        <is>
          <t>085733455557</t>
        </is>
      </c>
      <c r="D73" t="inlineStr">
        <is>
          <t>cvmilamultikarya@gmail.com</t>
        </is>
      </c>
      <c r="E73" t="inlineStr">
        <is>
          <t>https://lpjk.pu.go.id/search-badan-usaha-detail/ODVvbGNEdFM5MWxuaXQzSEtsZG9NUT09</t>
        </is>
      </c>
      <c r="F73" t="n">
        <v>2</v>
      </c>
      <c r="G73" t="inlineStr">
        <is>
          <t>BG003, BG006</t>
        </is>
      </c>
      <c r="H73" t="inlineStr">
        <is>
          <t>9 Februari 2022</t>
        </is>
      </c>
      <c r="I73" s="2" t="n">
        <v>46238</v>
      </c>
      <c r="J73" t="inlineStr">
        <is>
          <t>Disetujui</t>
        </is>
      </c>
      <c r="K73" t="n">
        <v>60</v>
      </c>
      <c r="L73" t="inlineStr">
        <is>
          <t>4 Agustus 2026</t>
        </is>
      </c>
      <c r="M73" t="inlineStr">
        <is>
          <t>Konstruksi Gedung Industri, Konstruksi Gedung Pendidikan</t>
        </is>
      </c>
      <c r="N73" t="inlineStr">
        <is>
          <t>K</t>
        </is>
      </c>
      <c r="O73" t="inlineStr">
        <is>
          <t>20230803</t>
        </is>
      </c>
      <c r="P73" t="inlineStr">
        <is>
          <t>Jawa Timur</t>
        </is>
      </c>
      <c r="Q73" t="inlineStr"/>
    </row>
    <row r="74">
      <c r="A74" t="inlineStr">
        <is>
          <t>MIRAH KRISNA DANA</t>
        </is>
      </c>
      <c r="B74" t="inlineStr">
        <is>
          <t>Kab. Badung</t>
        </is>
      </c>
      <c r="C74" t="inlineStr">
        <is>
          <t>08123607538</t>
        </is>
      </c>
      <c r="D74" t="inlineStr">
        <is>
          <t>ketutmertasedanakbl@gmail.com</t>
        </is>
      </c>
      <c r="E74" t="inlineStr">
        <is>
          <t>https://lpjk.pu.go.id/search-badan-usaha-detail/amVwYmdtR3c4M0F3dGU3b011bFNkZz09</t>
        </is>
      </c>
      <c r="F74" t="n">
        <v>1</v>
      </c>
      <c r="G74" t="inlineStr">
        <is>
          <t>BG009</t>
        </is>
      </c>
      <c r="H74" t="inlineStr">
        <is>
          <t>12 September 2022</t>
        </is>
      </c>
      <c r="I74" s="2" t="n">
        <v>46238</v>
      </c>
      <c r="J74" t="inlineStr">
        <is>
          <t>Disetujui</t>
        </is>
      </c>
      <c r="K74" t="n">
        <v>60</v>
      </c>
      <c r="L74" t="inlineStr">
        <is>
          <t>4 Agustus 2026</t>
        </is>
      </c>
      <c r="M74" t="inlineStr">
        <is>
          <t>Konstruksi Gedung Lainnya</t>
        </is>
      </c>
      <c r="N74" t="inlineStr">
        <is>
          <t>K</t>
        </is>
      </c>
      <c r="O74" t="inlineStr">
        <is>
          <t>20230719</t>
        </is>
      </c>
      <c r="P74" t="inlineStr">
        <is>
          <t>Bali</t>
        </is>
      </c>
      <c r="Q74" t="inlineStr"/>
    </row>
    <row r="75">
      <c r="A75" t="inlineStr">
        <is>
          <t>MITRA BANGUNAN MUKOK</t>
        </is>
      </c>
      <c r="B75" t="inlineStr">
        <is>
          <t>Kab. Sanggau</t>
        </is>
      </c>
      <c r="C75" t="inlineStr">
        <is>
          <t>085705797717</t>
        </is>
      </c>
      <c r="D75" t="inlineStr">
        <is>
          <t>Mitrabangunanmukok@gmail.com</t>
        </is>
      </c>
      <c r="E75" t="inlineStr">
        <is>
          <t>https://lpjk.pu.go.id/search-badan-usaha-detail/TTU0cDhkN0RiRW1hUjhPK2VBUnUwZz09</t>
        </is>
      </c>
      <c r="F75" t="n">
        <v>2</v>
      </c>
      <c r="G75" t="inlineStr">
        <is>
          <t>BG002, BS001</t>
        </is>
      </c>
      <c r="H75" t="inlineStr">
        <is>
          <t>3 Oktober 2022</t>
        </is>
      </c>
      <c r="I75" s="2" t="n">
        <v>46238</v>
      </c>
      <c r="J75" t="inlineStr">
        <is>
          <t>Disetujui</t>
        </is>
      </c>
      <c r="K75" t="n">
        <v>60</v>
      </c>
      <c r="L75" t="inlineStr">
        <is>
          <t>4 Agustus 2026</t>
        </is>
      </c>
      <c r="M75" t="inlineStr">
        <is>
          <t>Konstruksi Bangunan Sipil Jalan, Konstruksi Gedung Perkantoran</t>
        </is>
      </c>
      <c r="N75" t="inlineStr">
        <is>
          <t>K</t>
        </is>
      </c>
      <c r="O75" t="inlineStr">
        <is>
          <t>20230803, 20230804</t>
        </is>
      </c>
      <c r="P75" t="inlineStr">
        <is>
          <t>Kalimantan Barat</t>
        </is>
      </c>
      <c r="Q75" t="inlineStr"/>
    </row>
    <row r="76">
      <c r="A76" t="inlineStr">
        <is>
          <t>MITRA CIPTA SARANATAMA</t>
        </is>
      </c>
      <c r="B76" t="inlineStr">
        <is>
          <t>Kab. Magelang</t>
        </is>
      </c>
      <c r="C76" t="inlineStr">
        <is>
          <t>081904116285</t>
        </is>
      </c>
      <c r="D76" t="inlineStr">
        <is>
          <t>mitraciptasaranatama@gmail.com</t>
        </is>
      </c>
      <c r="E76" t="inlineStr">
        <is>
          <t>https://lpjk.pu.go.id/search-badan-usaha-detail/azJmNGdUTVRPcGdNbjdjRWpNUm1WUT09</t>
        </is>
      </c>
      <c r="F76" t="n">
        <v>2</v>
      </c>
      <c r="G76" t="inlineStr">
        <is>
          <t>BS001, BS004</t>
        </is>
      </c>
      <c r="H76" t="inlineStr">
        <is>
          <t>18 Februari 2020</t>
        </is>
      </c>
      <c r="I76" s="2" t="n">
        <v>46238</v>
      </c>
      <c r="J76" t="inlineStr">
        <is>
          <t>Disetujui</t>
        </is>
      </c>
      <c r="K76" t="n">
        <v>60</v>
      </c>
      <c r="L76" t="inlineStr">
        <is>
          <t>4 Agustus 2026</t>
        </is>
      </c>
      <c r="M76" t="inlineStr">
        <is>
          <t>Konstruksi Bangunan Sipil Jalan, Konstruksi Jaringan Irigasi dan Drainase</t>
        </is>
      </c>
      <c r="N76" t="inlineStr">
        <is>
          <t>K</t>
        </is>
      </c>
      <c r="O76" t="inlineStr">
        <is>
          <t>20230730</t>
        </is>
      </c>
      <c r="P76" t="inlineStr">
        <is>
          <t>Jawa Tengah</t>
        </is>
      </c>
      <c r="Q76" t="inlineStr"/>
    </row>
    <row r="77">
      <c r="A77" t="inlineStr">
        <is>
          <t>MITRA UTAMA BANGUNINDO</t>
        </is>
      </c>
      <c r="B77" t="inlineStr">
        <is>
          <t>Kota Tangerang Selatan</t>
        </is>
      </c>
      <c r="C77" t="inlineStr">
        <is>
          <t>02129047593</t>
        </is>
      </c>
      <c r="D77" t="inlineStr">
        <is>
          <t>ptmubangunindo@gmail.com</t>
        </is>
      </c>
      <c r="E77" t="inlineStr">
        <is>
          <t>https://lpjk.pu.go.id/search-badan-usaha-detail/dW1TVEZyMmdqd1FMRnRSRldTSXRkUT09</t>
        </is>
      </c>
      <c r="F77" t="n">
        <v>1</v>
      </c>
      <c r="G77" t="inlineStr">
        <is>
          <t>BG006</t>
        </is>
      </c>
      <c r="H77" t="inlineStr">
        <is>
          <t>6 Februari 2016</t>
        </is>
      </c>
      <c r="I77" s="2" t="n">
        <v>46238</v>
      </c>
      <c r="J77" t="inlineStr">
        <is>
          <t>Disetujui</t>
        </is>
      </c>
      <c r="K77" t="n">
        <v>60</v>
      </c>
      <c r="L77" t="inlineStr">
        <is>
          <t>4 Agustus 2026</t>
        </is>
      </c>
      <c r="M77" t="inlineStr">
        <is>
          <t>Konstruksi Gedung Pendidikan</t>
        </is>
      </c>
      <c r="N77" t="inlineStr">
        <is>
          <t>K</t>
        </is>
      </c>
      <c r="O77" t="inlineStr">
        <is>
          <t>20230804</t>
        </is>
      </c>
      <c r="P77" t="inlineStr">
        <is>
          <t>Banten</t>
        </is>
      </c>
      <c r="Q77" t="inlineStr"/>
    </row>
    <row r="78">
      <c r="A78" t="inlineStr">
        <is>
          <t>MITRA UTAMA LANSEKAP</t>
        </is>
      </c>
      <c r="B78" t="inlineStr">
        <is>
          <t>Kota Adm. Jakarta Barat</t>
        </is>
      </c>
      <c r="C78" t="inlineStr">
        <is>
          <t>02158908361</t>
        </is>
      </c>
      <c r="D78" t="inlineStr">
        <is>
          <t>mitrautama.landscape@gmail.com</t>
        </is>
      </c>
      <c r="E78" t="inlineStr">
        <is>
          <t>https://lpjk.pu.go.id/search-badan-usaha-detail/cERLb3czUmRsbnFTUVdVYkp6RUtSQT09</t>
        </is>
      </c>
      <c r="F78" t="n">
        <v>1</v>
      </c>
      <c r="G78" t="inlineStr">
        <is>
          <t>BG009</t>
        </is>
      </c>
      <c r="H78" t="inlineStr">
        <is>
          <t>22 Desember 2020</t>
        </is>
      </c>
      <c r="I78" s="2" t="n">
        <v>46238</v>
      </c>
      <c r="J78" t="inlineStr">
        <is>
          <t>Disetujui</t>
        </is>
      </c>
      <c r="K78" t="n">
        <v>60</v>
      </c>
      <c r="L78" t="inlineStr">
        <is>
          <t>4 Agustus 2026</t>
        </is>
      </c>
      <c r="M78" t="inlineStr">
        <is>
          <t>Konstruksi Gedung Lainnya</t>
        </is>
      </c>
      <c r="N78" t="inlineStr">
        <is>
          <t>K</t>
        </is>
      </c>
      <c r="O78" t="inlineStr">
        <is>
          <t>20230726</t>
        </is>
      </c>
      <c r="P78" t="inlineStr">
        <is>
          <t>DKI Jakarta</t>
        </is>
      </c>
      <c r="Q78" t="inlineStr"/>
    </row>
    <row r="79">
      <c r="A79" t="inlineStr">
        <is>
          <t>MORADO SUKSES ABADI</t>
        </is>
      </c>
      <c r="B79" t="inlineStr">
        <is>
          <t>Kota Balikpapan</t>
        </is>
      </c>
      <c r="C79" t="inlineStr">
        <is>
          <t>085210227722</t>
        </is>
      </c>
      <c r="D79" t="inlineStr">
        <is>
          <t>moradosuksesabadi11@gmail.com</t>
        </is>
      </c>
      <c r="E79" t="inlineStr">
        <is>
          <t>https://lpjk.pu.go.id/search-badan-usaha-detail/cHNacW9TaGlzMVpyaVIvUkZ4Q3QvQT09</t>
        </is>
      </c>
      <c r="F79" t="n">
        <v>1</v>
      </c>
      <c r="G79" t="inlineStr">
        <is>
          <t>BS004</t>
        </is>
      </c>
      <c r="H79" t="inlineStr">
        <is>
          <t>10 Juli 2023</t>
        </is>
      </c>
      <c r="I79" s="2" t="n">
        <v>46238</v>
      </c>
      <c r="J79" t="inlineStr">
        <is>
          <t>Disetujui</t>
        </is>
      </c>
      <c r="K79" t="n">
        <v>60</v>
      </c>
      <c r="L79" t="inlineStr">
        <is>
          <t>4 Agustus 2026</t>
        </is>
      </c>
      <c r="M79" t="inlineStr">
        <is>
          <t>Konstruksi Jaringan Irigasi dan Drainase</t>
        </is>
      </c>
      <c r="N79" t="inlineStr">
        <is>
          <t>K</t>
        </is>
      </c>
      <c r="O79" t="inlineStr">
        <is>
          <t>20230804</t>
        </is>
      </c>
      <c r="P79" t="inlineStr">
        <is>
          <t>Kalimantan Timur</t>
        </is>
      </c>
      <c r="Q79" t="inlineStr"/>
    </row>
    <row r="80">
      <c r="A80" t="inlineStr">
        <is>
          <t>MUHAMMAD ATHARRAZKA JAYA</t>
        </is>
      </c>
      <c r="B80" t="inlineStr">
        <is>
          <t>Kota Ternate</t>
        </is>
      </c>
      <c r="C80" t="inlineStr">
        <is>
          <t>082196452905</t>
        </is>
      </c>
      <c r="D80" t="inlineStr">
        <is>
          <t>cvmaja01@gmail.com</t>
        </is>
      </c>
      <c r="E80" t="inlineStr">
        <is>
          <t>https://lpjk.pu.go.id/search-badan-usaha-detail/MTA2SFEvT1cydU9scFFuc3FQYXJVUT09</t>
        </is>
      </c>
      <c r="F80" t="n">
        <v>2</v>
      </c>
      <c r="G80" t="inlineStr">
        <is>
          <t>BG006, BG009</t>
        </is>
      </c>
      <c r="H80" t="inlineStr">
        <is>
          <t>23 Juni 2023</t>
        </is>
      </c>
      <c r="I80" s="2" t="n">
        <v>46238</v>
      </c>
      <c r="J80" t="inlineStr">
        <is>
          <t>Disetujui</t>
        </is>
      </c>
      <c r="K80" t="n">
        <v>60</v>
      </c>
      <c r="L80" t="inlineStr">
        <is>
          <t>4 Agustus 2026</t>
        </is>
      </c>
      <c r="M80" t="inlineStr">
        <is>
          <t>Konstruksi Gedung Lainnya, Konstruksi Gedung Pendidikan</t>
        </is>
      </c>
      <c r="N80" t="inlineStr">
        <is>
          <t>K</t>
        </is>
      </c>
      <c r="O80" t="inlineStr">
        <is>
          <t>20230727, 20230728</t>
        </is>
      </c>
      <c r="P80" t="inlineStr">
        <is>
          <t>Maluku Utara</t>
        </is>
      </c>
      <c r="Q80" t="inlineStr"/>
    </row>
    <row r="81">
      <c r="A81" t="inlineStr">
        <is>
          <t>NABILA RATU SAMUDRA</t>
        </is>
      </c>
      <c r="B81" t="inlineStr">
        <is>
          <t>Kab. Tangerang</t>
        </is>
      </c>
      <c r="C81" t="inlineStr">
        <is>
          <t>083877935415</t>
        </is>
      </c>
      <c r="D81" t="inlineStr">
        <is>
          <t>cv.nabilaratu@gmail.com</t>
        </is>
      </c>
      <c r="E81" t="inlineStr">
        <is>
          <t>https://lpjk.pu.go.id/search-badan-usaha-detail/NUdCbDdGcSs5cFVKS2FkNFIwckZkQT09</t>
        </is>
      </c>
      <c r="F81" t="n">
        <v>2</v>
      </c>
      <c r="G81" t="inlineStr">
        <is>
          <t>BG005</t>
        </is>
      </c>
      <c r="H81" t="inlineStr">
        <is>
          <t>6 Oktober 2021</t>
        </is>
      </c>
      <c r="I81" s="2" t="n">
        <v>46238</v>
      </c>
      <c r="J81" t="inlineStr">
        <is>
          <t>Pencabutan</t>
        </is>
      </c>
      <c r="K81" t="n">
        <v>60</v>
      </c>
      <c r="L81" t="inlineStr">
        <is>
          <t>4 Agustus 2026</t>
        </is>
      </c>
      <c r="M81" t="inlineStr">
        <is>
          <t>Konstruksi Gedung Kesehatan</t>
        </is>
      </c>
      <c r="N81" t="inlineStr">
        <is>
          <t>K</t>
        </is>
      </c>
      <c r="O81" t="inlineStr">
        <is>
          <t>20230714</t>
        </is>
      </c>
      <c r="P81" t="inlineStr">
        <is>
          <t>Banten</t>
        </is>
      </c>
      <c r="Q81" t="inlineStr"/>
    </row>
    <row r="82">
      <c r="A82" t="inlineStr">
        <is>
          <t>NUR AINI</t>
        </is>
      </c>
      <c r="B82" t="inlineStr">
        <is>
          <t>Kota Samarinda</t>
        </is>
      </c>
      <c r="C82" t="inlineStr">
        <is>
          <t>085246837537</t>
        </is>
      </c>
      <c r="D82" t="inlineStr">
        <is>
          <t>samarindakaltim889@gmail.com</t>
        </is>
      </c>
      <c r="E82" t="inlineStr">
        <is>
          <t>https://lpjk.pu.go.id/search-badan-usaha-detail/UFgrYWtocUJYdnRjczdYYVg5NUF3dz09</t>
        </is>
      </c>
      <c r="F82" t="n">
        <v>4</v>
      </c>
      <c r="G82" t="inlineStr">
        <is>
          <t>BG001, BG002, BG005, BG009</t>
        </is>
      </c>
      <c r="H82" t="inlineStr">
        <is>
          <t>9 Mei 2018</t>
        </is>
      </c>
      <c r="I82" s="2" t="n">
        <v>46238</v>
      </c>
      <c r="J82" t="inlineStr">
        <is>
          <t>Disetujui</t>
        </is>
      </c>
      <c r="K82" t="n">
        <v>60</v>
      </c>
      <c r="L82" t="inlineStr">
        <is>
          <t>4 Agustus 2026</t>
        </is>
      </c>
      <c r="M82" t="inlineStr">
        <is>
          <t>Konstruksi Gedung Hunian, Konstruksi Gedung Kesehatan, Konstruksi Gedung Lainnya, Konstruksi Gedung Perkantoran</t>
        </is>
      </c>
      <c r="N82" t="inlineStr">
        <is>
          <t>K</t>
        </is>
      </c>
      <c r="O82" t="inlineStr">
        <is>
          <t>20230804</t>
        </is>
      </c>
      <c r="P82" t="inlineStr">
        <is>
          <t>Kalimantan Timur</t>
        </is>
      </c>
      <c r="Q82" t="inlineStr"/>
    </row>
    <row r="83">
      <c r="A83" t="inlineStr">
        <is>
          <t>NURANI JAYA</t>
        </is>
      </c>
      <c r="B83" t="inlineStr">
        <is>
          <t>Kab. Jember</t>
        </is>
      </c>
      <c r="C83" t="inlineStr">
        <is>
          <t>082228008883</t>
        </is>
      </c>
      <c r="D83" t="inlineStr">
        <is>
          <t>nuranijayajember@gmail.com</t>
        </is>
      </c>
      <c r="E83" t="inlineStr">
        <is>
          <t>https://lpjk.pu.go.id/search-badan-usaha-detail/MWQwNFRLVFZOOXNPY1Y0eGoxZFRzQT09</t>
        </is>
      </c>
      <c r="F83" t="n">
        <v>3</v>
      </c>
      <c r="G83" t="inlineStr">
        <is>
          <t>BS001</t>
        </is>
      </c>
      <c r="H83" t="inlineStr">
        <is>
          <t>1 November 1994</t>
        </is>
      </c>
      <c r="I83" s="2" t="n">
        <v>46238</v>
      </c>
      <c r="J83" t="inlineStr">
        <is>
          <t>Disetujui</t>
        </is>
      </c>
      <c r="K83" t="n">
        <v>60</v>
      </c>
      <c r="L83" t="inlineStr">
        <is>
          <t>4 Agustus 2026</t>
        </is>
      </c>
      <c r="M83" t="inlineStr">
        <is>
          <t>Konstruksi Bangunan Sipil Jalan</t>
        </is>
      </c>
      <c r="N83" t="inlineStr">
        <is>
          <t>K</t>
        </is>
      </c>
      <c r="O83" t="inlineStr">
        <is>
          <t>20230731</t>
        </is>
      </c>
      <c r="P83" t="inlineStr">
        <is>
          <t>Jawa Timur</t>
        </is>
      </c>
      <c r="Q83" t="inlineStr"/>
    </row>
    <row r="84">
      <c r="A84" t="inlineStr">
        <is>
          <t>NUSA ONAP</t>
        </is>
      </c>
      <c r="B84" t="inlineStr">
        <is>
          <t>Kab. Melawi</t>
        </is>
      </c>
      <c r="C84" t="inlineStr">
        <is>
          <t>089531809497</t>
        </is>
      </c>
      <c r="D84" t="inlineStr">
        <is>
          <t>ekarni96@gmail.com</t>
        </is>
      </c>
      <c r="E84" t="inlineStr">
        <is>
          <t>https://lpjk.pu.go.id/search-badan-usaha-detail/S0hLUXZ4a2ZURmNJbm9GRFp5ZmJIUT09</t>
        </is>
      </c>
      <c r="F84" t="n">
        <v>1</v>
      </c>
      <c r="G84" t="inlineStr">
        <is>
          <t>BG008</t>
        </is>
      </c>
      <c r="H84" t="inlineStr">
        <is>
          <t>5 Mei 2023</t>
        </is>
      </c>
      <c r="I84" s="2" t="n">
        <v>46238</v>
      </c>
      <c r="J84" t="inlineStr">
        <is>
          <t>Disetujui</t>
        </is>
      </c>
      <c r="K84" t="n">
        <v>60</v>
      </c>
      <c r="L84" t="inlineStr">
        <is>
          <t>4 Agustus 2026</t>
        </is>
      </c>
      <c r="M84" t="inlineStr">
        <is>
          <t>Konstruksi Gedung Tempat Hiburan dan Olahraga</t>
        </is>
      </c>
      <c r="N84" t="inlineStr">
        <is>
          <t>K</t>
        </is>
      </c>
      <c r="O84" t="inlineStr">
        <is>
          <t>20230804</t>
        </is>
      </c>
      <c r="P84" t="inlineStr">
        <is>
          <t>Kalimantan Barat</t>
        </is>
      </c>
      <c r="Q84" t="inlineStr"/>
    </row>
    <row r="85">
      <c r="A85" t="inlineStr">
        <is>
          <t>ONE SPESIALIS</t>
        </is>
      </c>
      <c r="B85" t="inlineStr">
        <is>
          <t>Kota Palangkaraya</t>
        </is>
      </c>
      <c r="C85" t="inlineStr">
        <is>
          <t>081901751968</t>
        </is>
      </c>
      <c r="D85" t="inlineStr">
        <is>
          <t>onespesialis2020@gmail.com</t>
        </is>
      </c>
      <c r="E85" t="inlineStr">
        <is>
          <t>https://lpjk.pu.go.id/search-badan-usaha-detail/TE1SM0ExcmhmbUh5djVGTkJSNU1yQT09</t>
        </is>
      </c>
      <c r="F85" t="n">
        <v>1</v>
      </c>
      <c r="G85" t="inlineStr">
        <is>
          <t>BS002</t>
        </is>
      </c>
      <c r="H85" t="inlineStr">
        <is>
          <t>27 Januari 2020</t>
        </is>
      </c>
      <c r="I85" s="2" t="n">
        <v>46238</v>
      </c>
      <c r="J85" t="inlineStr">
        <is>
          <t>Disetujui</t>
        </is>
      </c>
      <c r="K85" t="n">
        <v>60</v>
      </c>
      <c r="L85" t="inlineStr">
        <is>
          <t>4 Agustus 2026</t>
        </is>
      </c>
      <c r="M85" t="inlineStr">
        <is>
          <t>Bangunan Sipil Jembatan, Jalan Layang, Fly Over, dan Underpass</t>
        </is>
      </c>
      <c r="N85" t="inlineStr">
        <is>
          <t>K</t>
        </is>
      </c>
      <c r="O85" t="inlineStr">
        <is>
          <t>20230805</t>
        </is>
      </c>
      <c r="P85" t="inlineStr">
        <is>
          <t>Kalimantan Tengah</t>
        </is>
      </c>
      <c r="Q85" t="inlineStr"/>
    </row>
    <row r="86">
      <c r="A86" t="inlineStr">
        <is>
          <t>PADIMUN GOLDEN</t>
        </is>
      </c>
      <c r="B86" t="inlineStr">
        <is>
          <t>Kota Adm. Jakarta Pusat</t>
        </is>
      </c>
      <c r="C86" t="inlineStr">
        <is>
          <t>0213147106</t>
        </is>
      </c>
      <c r="D86" t="inlineStr">
        <is>
          <t>pad_gold@yahoo.co.id</t>
        </is>
      </c>
      <c r="E86" t="inlineStr">
        <is>
          <t>https://lpjk.pu.go.id/search-badan-usaha-detail/VWpjcFhlcTB2ekJ3bXpPSnEyQXczdz09</t>
        </is>
      </c>
      <c r="F86" t="n">
        <v>1</v>
      </c>
      <c r="G86" t="inlineStr">
        <is>
          <t>BG005</t>
        </is>
      </c>
      <c r="H86" t="inlineStr">
        <is>
          <t>7 Oktober 1977</t>
        </is>
      </c>
      <c r="I86" s="2" t="n">
        <v>46238</v>
      </c>
      <c r="J86" t="inlineStr">
        <is>
          <t>Disetujui</t>
        </is>
      </c>
      <c r="K86" t="n">
        <v>60</v>
      </c>
      <c r="L86" t="inlineStr">
        <is>
          <t>4 Agustus 2026</t>
        </is>
      </c>
      <c r="M86" t="inlineStr">
        <is>
          <t>Konstruksi Gedung Kesehatan</t>
        </is>
      </c>
      <c r="N86" t="inlineStr">
        <is>
          <t>M</t>
        </is>
      </c>
      <c r="O86" t="inlineStr">
        <is>
          <t>20230731</t>
        </is>
      </c>
      <c r="P86" t="inlineStr">
        <is>
          <t>DKI Jakarta</t>
        </is>
      </c>
      <c r="Q86" t="inlineStr"/>
    </row>
    <row r="87">
      <c r="A87" t="inlineStr">
        <is>
          <t>PAHALA</t>
        </is>
      </c>
      <c r="B87" t="inlineStr">
        <is>
          <t>Kab. Pekalongan</t>
        </is>
      </c>
      <c r="C87" t="inlineStr">
        <is>
          <t>085640019984</t>
        </is>
      </c>
      <c r="D87" t="inlineStr">
        <is>
          <t>milahan349@gmail.com</t>
        </is>
      </c>
      <c r="E87" t="inlineStr">
        <is>
          <t>https://lpjk.pu.go.id/search-badan-usaha-detail/WkRFZXI0VTcwb05vQktxb1NqQzJ4dz09</t>
        </is>
      </c>
      <c r="F87" t="n">
        <v>3</v>
      </c>
      <c r="G87" t="inlineStr">
        <is>
          <t>BG005, BG006, BG009</t>
        </is>
      </c>
      <c r="H87" t="inlineStr">
        <is>
          <t>12 Desember 1986</t>
        </is>
      </c>
      <c r="I87" s="2" t="n">
        <v>46238</v>
      </c>
      <c r="J87" t="inlineStr">
        <is>
          <t>Pencabutan</t>
        </is>
      </c>
      <c r="K87" t="n">
        <v>60</v>
      </c>
      <c r="L87" t="inlineStr">
        <is>
          <t>4 Agustus 2026</t>
        </is>
      </c>
      <c r="M87" t="inlineStr">
        <is>
          <t>Konstruksi Gedung Kesehatan, Konstruksi Gedung Lainnya, Konstruksi Gedung Pendidikan</t>
        </is>
      </c>
      <c r="N87" t="inlineStr">
        <is>
          <t>K</t>
        </is>
      </c>
      <c r="O87" t="inlineStr">
        <is>
          <t>20230412, 20230802</t>
        </is>
      </c>
      <c r="P87" t="inlineStr">
        <is>
          <t>Jawa Tengah</t>
        </is>
      </c>
      <c r="Q87" t="inlineStr"/>
    </row>
    <row r="88">
      <c r="A88" t="inlineStr">
        <is>
          <t>PANGLIMA UTAMA</t>
        </is>
      </c>
      <c r="B88" t="inlineStr">
        <is>
          <t>Kab. Situbondo</t>
        </is>
      </c>
      <c r="C88" t="inlineStr">
        <is>
          <t>081332998717</t>
        </is>
      </c>
      <c r="D88" t="inlineStr">
        <is>
          <t>lsbugkb3512@gmail.com</t>
        </is>
      </c>
      <c r="E88" t="inlineStr">
        <is>
          <t>https://lpjk.pu.go.id/search-badan-usaha-detail/OE5DZGkzbjg1Zy9qMFp1RlBYZUdLQT09</t>
        </is>
      </c>
      <c r="F88" t="n">
        <v>5</v>
      </c>
      <c r="G88" t="inlineStr">
        <is>
          <t>BG002, BG005, BG006, BG008, BG009</t>
        </is>
      </c>
      <c r="H88" t="inlineStr">
        <is>
          <t>7 Maret 2016</t>
        </is>
      </c>
      <c r="I88" s="2" t="n">
        <v>46238</v>
      </c>
      <c r="J88" t="inlineStr">
        <is>
          <t>Disetujui</t>
        </is>
      </c>
      <c r="K88" t="n">
        <v>60</v>
      </c>
      <c r="L88" t="inlineStr">
        <is>
          <t>4 Agustus 2026</t>
        </is>
      </c>
      <c r="M88" t="inlineStr">
        <is>
          <t>Konstruksi Gedung Kesehatan, Konstruksi Gedung Lainnya, Konstruksi Gedung Pendidikan, Konstruksi Gedung Perkantoran, Konstruksi Gedung Tempat Hiburan dan Olahraga</t>
        </is>
      </c>
      <c r="N88" t="inlineStr">
        <is>
          <t>K</t>
        </is>
      </c>
      <c r="O88" t="inlineStr">
        <is>
          <t>20230802</t>
        </is>
      </c>
      <c r="P88" t="inlineStr">
        <is>
          <t>Jawa Timur</t>
        </is>
      </c>
      <c r="Q88" t="inlineStr"/>
    </row>
    <row r="89">
      <c r="A89" t="inlineStr">
        <is>
          <t>PERKASA ADIGUNA SEMBADA</t>
        </is>
      </c>
      <c r="B89" t="inlineStr">
        <is>
          <t>Kota Adm. Jakarta Utara</t>
        </is>
      </c>
      <c r="C89" t="inlineStr">
        <is>
          <t>0214509247</t>
        </is>
      </c>
      <c r="D89" t="inlineStr">
        <is>
          <t>ptperkasa@perkasa-adiguna.co.id</t>
        </is>
      </c>
      <c r="E89" t="inlineStr">
        <is>
          <t>https://lpjk.pu.go.id/search-badan-usaha-detail/dEVwZHJzSTZTVGR2YnpnbjlkWmovUT09</t>
        </is>
      </c>
      <c r="F89" t="n">
        <v>1</v>
      </c>
      <c r="G89" t="inlineStr">
        <is>
          <t>KK008</t>
        </is>
      </c>
      <c r="H89" t="inlineStr">
        <is>
          <t>28 Februari 1997</t>
        </is>
      </c>
      <c r="I89" s="2" t="n">
        <v>46238</v>
      </c>
      <c r="J89" t="inlineStr">
        <is>
          <t>Disetujui</t>
        </is>
      </c>
      <c r="K89" t="n">
        <v>60</v>
      </c>
      <c r="L89" t="inlineStr">
        <is>
          <t>4 Agustus 2026</t>
        </is>
      </c>
      <c r="M89" t="inlineStr">
        <is>
          <t>Perkerasan Aspal</t>
        </is>
      </c>
      <c r="N89" t="inlineStr">
        <is>
          <t>Spesialis</t>
        </is>
      </c>
      <c r="O89" t="inlineStr">
        <is>
          <t>20230720</t>
        </is>
      </c>
      <c r="P89" t="inlineStr">
        <is>
          <t>DKI Jakarta</t>
        </is>
      </c>
      <c r="Q89" t="inlineStr"/>
    </row>
    <row r="90">
      <c r="A90" t="inlineStr">
        <is>
          <t>PRABU SAKTI MANDRAGUNA</t>
        </is>
      </c>
      <c r="B90" t="inlineStr">
        <is>
          <t>Kota Prabumulih</t>
        </is>
      </c>
      <c r="C90" t="inlineStr">
        <is>
          <t>085367389669</t>
        </is>
      </c>
      <c r="D90" t="inlineStr">
        <is>
          <t>prabusaktimandraguna666@gmail.com</t>
        </is>
      </c>
      <c r="E90" t="inlineStr">
        <is>
          <t>https://lpjk.pu.go.id/search-badan-usaha-detail/QjZFY2tCdXpNZ285bThtNlNmZzFsQT09</t>
        </is>
      </c>
      <c r="F90" t="n">
        <v>1</v>
      </c>
      <c r="G90" t="inlineStr">
        <is>
          <t>BS001</t>
        </is>
      </c>
      <c r="H90" t="inlineStr">
        <is>
          <t>23 Maret 2023</t>
        </is>
      </c>
      <c r="I90" s="2" t="n">
        <v>46238</v>
      </c>
      <c r="J90" t="inlineStr">
        <is>
          <t>Disetujui</t>
        </is>
      </c>
      <c r="K90" t="n">
        <v>60</v>
      </c>
      <c r="L90" t="inlineStr">
        <is>
          <t>4 Agustus 2026</t>
        </is>
      </c>
      <c r="M90" t="inlineStr">
        <is>
          <t>Konstruksi Bangunan Sipil Jalan</t>
        </is>
      </c>
      <c r="N90" t="inlineStr">
        <is>
          <t>K</t>
        </is>
      </c>
      <c r="O90" t="inlineStr">
        <is>
          <t>20230802</t>
        </is>
      </c>
      <c r="P90" t="inlineStr">
        <is>
          <t>Sumatera Selatan</t>
        </is>
      </c>
      <c r="Q90" t="inlineStr"/>
    </row>
    <row r="91">
      <c r="A91" t="inlineStr">
        <is>
          <t>PUTRA INDONESIA UTAMA</t>
        </is>
      </c>
      <c r="B91" t="inlineStr">
        <is>
          <t>Kab. Tulungagung</t>
        </is>
      </c>
      <c r="C91" t="inlineStr">
        <is>
          <t>085233995366</t>
        </is>
      </c>
      <c r="D91" t="inlineStr">
        <is>
          <t>putraindonesia.cv@gmail.com</t>
        </is>
      </c>
      <c r="E91" t="inlineStr">
        <is>
          <t>https://lpjk.pu.go.id/search-badan-usaha-detail/NHRuODNGOXBvVndYWGxIK1BoaWNjZz09</t>
        </is>
      </c>
      <c r="F91" t="n">
        <v>1</v>
      </c>
      <c r="G91" t="inlineStr">
        <is>
          <t>BS006</t>
        </is>
      </c>
      <c r="H91" t="inlineStr">
        <is>
          <t>14 April 2008</t>
        </is>
      </c>
      <c r="I91" s="2" t="n">
        <v>46238</v>
      </c>
      <c r="J91" t="inlineStr">
        <is>
          <t>Disetujui</t>
        </is>
      </c>
      <c r="K91" t="n">
        <v>60</v>
      </c>
      <c r="L91" t="inlineStr">
        <is>
          <t>4 Agustus 2026</t>
        </is>
      </c>
      <c r="M91" t="inlineStr">
        <is>
          <t>Konstruksi Bangunan Sipil Prasarana dan Sarana Sistem Pengolahan Limbah Padat, Cair, dan Gas</t>
        </is>
      </c>
      <c r="N91" t="inlineStr">
        <is>
          <t>K</t>
        </is>
      </c>
      <c r="O91" t="inlineStr">
        <is>
          <t>20230802</t>
        </is>
      </c>
      <c r="P91" t="inlineStr">
        <is>
          <t>Jawa Timur</t>
        </is>
      </c>
      <c r="Q91" t="inlineStr"/>
    </row>
    <row r="92">
      <c r="A92" t="inlineStr">
        <is>
          <t>PUTRA KARYA MANDIRI</t>
        </is>
      </c>
      <c r="B92" t="inlineStr">
        <is>
          <t>Kota Tangerang Selatan</t>
        </is>
      </c>
      <c r="C92" t="inlineStr">
        <is>
          <t>02173665828</t>
        </is>
      </c>
      <c r="D92" t="inlineStr">
        <is>
          <t>putrakaryamandiri.ptpkm@gmail.com</t>
        </is>
      </c>
      <c r="E92" t="inlineStr">
        <is>
          <t>https://lpjk.pu.go.id/search-badan-usaha-detail/MnJzSGJ0eDduR1BKUndMRTZUdmkvZz09</t>
        </is>
      </c>
      <c r="F92" t="n">
        <v>5</v>
      </c>
      <c r="G92" t="inlineStr">
        <is>
          <t>BG001, BG002, BG003, BG009, BS001</t>
        </is>
      </c>
      <c r="H92" t="inlineStr">
        <is>
          <t>20 Oktober 2014</t>
        </is>
      </c>
      <c r="I92" s="2" t="n">
        <v>46238</v>
      </c>
      <c r="J92" t="inlineStr">
        <is>
          <t>Disetujui</t>
        </is>
      </c>
      <c r="K92" t="n">
        <v>60</v>
      </c>
      <c r="L92" t="inlineStr">
        <is>
          <t>4 Agustus 2026</t>
        </is>
      </c>
      <c r="M92" t="inlineStr">
        <is>
          <t>Konstruksi Bangunan Sipil Jalan, Konstruksi Gedung Hunian, Konstruksi Gedung Industri, Konstruksi Gedung Lainnya, Konstruksi Gedung Perkantoran</t>
        </is>
      </c>
      <c r="N92" t="inlineStr">
        <is>
          <t>K</t>
        </is>
      </c>
      <c r="O92" t="inlineStr">
        <is>
          <t>20230804</t>
        </is>
      </c>
      <c r="P92" t="inlineStr">
        <is>
          <t>Banten</t>
        </is>
      </c>
      <c r="Q92" t="inlineStr"/>
    </row>
    <row r="93">
      <c r="A93" t="inlineStr">
        <is>
          <t>PUTRA KOTA SELARAS</t>
        </is>
      </c>
      <c r="B93" t="inlineStr">
        <is>
          <t>Kota Pematangsiantar</t>
        </is>
      </c>
      <c r="C93" t="inlineStr">
        <is>
          <t>811526060</t>
        </is>
      </c>
      <c r="D93" t="inlineStr">
        <is>
          <t>7putraselaras@gmail.com</t>
        </is>
      </c>
      <c r="E93" t="inlineStr">
        <is>
          <t>https://lpjk.pu.go.id/search-badan-usaha-detail/cGNPdXZRNzNabUFFWk01aEgwbUNpUT09</t>
        </is>
      </c>
      <c r="F93" t="n">
        <v>1</v>
      </c>
      <c r="G93" t="inlineStr">
        <is>
          <t>BS001</t>
        </is>
      </c>
      <c r="H93" t="inlineStr">
        <is>
          <t>30 November 2001</t>
        </is>
      </c>
      <c r="I93" s="2" t="n">
        <v>46238</v>
      </c>
      <c r="J93" t="inlineStr">
        <is>
          <t>Disetujui</t>
        </is>
      </c>
      <c r="K93" t="n">
        <v>60</v>
      </c>
      <c r="L93" t="inlineStr">
        <is>
          <t>4 Agustus 2026</t>
        </is>
      </c>
      <c r="M93" t="inlineStr">
        <is>
          <t>Konstruksi Bangunan Sipil Jalan</t>
        </is>
      </c>
      <c r="N93" t="inlineStr">
        <is>
          <t>K</t>
        </is>
      </c>
      <c r="O93" t="inlineStr">
        <is>
          <t>20230730</t>
        </is>
      </c>
      <c r="P93" t="inlineStr">
        <is>
          <t>Sumatera Utara</t>
        </is>
      </c>
      <c r="Q93" t="inlineStr"/>
    </row>
    <row r="94">
      <c r="A94" t="inlineStr">
        <is>
          <t>PUTRA SULTAN GEMILANG</t>
        </is>
      </c>
      <c r="B94" t="inlineStr">
        <is>
          <t>Kota Banda Aceh</t>
        </is>
      </c>
      <c r="C94" t="inlineStr">
        <is>
          <t>082363848767</t>
        </is>
      </c>
      <c r="D94" t="inlineStr">
        <is>
          <t>putrasultangemilang@gmail.com</t>
        </is>
      </c>
      <c r="E94" t="inlineStr">
        <is>
          <t>https://lpjk.pu.go.id/search-badan-usaha-detail/K1E5Uk5MdldKbXBkUnB4QzBxVDJSdz09</t>
        </is>
      </c>
      <c r="F94" t="n">
        <v>1</v>
      </c>
      <c r="G94" t="inlineStr">
        <is>
          <t>BS004</t>
        </is>
      </c>
      <c r="H94" t="inlineStr">
        <is>
          <t>7 Januari 2021</t>
        </is>
      </c>
      <c r="I94" s="2" t="n">
        <v>46238</v>
      </c>
      <c r="J94" t="inlineStr">
        <is>
          <t>Disetujui</t>
        </is>
      </c>
      <c r="K94" t="n">
        <v>60</v>
      </c>
      <c r="L94" t="inlineStr">
        <is>
          <t>4 Agustus 2026</t>
        </is>
      </c>
      <c r="M94" t="inlineStr">
        <is>
          <t>Konstruksi Jaringan Irigasi dan Drainase</t>
        </is>
      </c>
      <c r="N94" t="inlineStr">
        <is>
          <t>K</t>
        </is>
      </c>
      <c r="O94" t="inlineStr">
        <is>
          <t>20230802</t>
        </is>
      </c>
      <c r="P94" t="inlineStr">
        <is>
          <t>Aceh</t>
        </is>
      </c>
      <c r="Q94" t="inlineStr"/>
    </row>
    <row r="95">
      <c r="A95" t="inlineStr">
        <is>
          <t>RAJAWALI SEMESTA PAPUA</t>
        </is>
      </c>
      <c r="B95" t="inlineStr">
        <is>
          <t>Kab. Nabire</t>
        </is>
      </c>
      <c r="C95" t="inlineStr">
        <is>
          <t>08121360088</t>
        </is>
      </c>
      <c r="D95" t="inlineStr">
        <is>
          <t>rajawalisemestapapua@gmail.com</t>
        </is>
      </c>
      <c r="E95" t="inlineStr">
        <is>
          <t>https://lpjk.pu.go.id/search-badan-usaha-detail/Si81a0J0dUVnNzhXMU8xT1hMTGszdz09</t>
        </is>
      </c>
      <c r="F95" t="n">
        <v>12</v>
      </c>
      <c r="G95" t="inlineStr">
        <is>
          <t>BG001, BG002, BG005, BG006, BS001, BS002</t>
        </is>
      </c>
      <c r="H95" t="inlineStr">
        <is>
          <t>5 Juni 2023</t>
        </is>
      </c>
      <c r="I95" s="2" t="n">
        <v>46238</v>
      </c>
      <c r="J95" t="inlineStr">
        <is>
          <t>Disetujui</t>
        </is>
      </c>
      <c r="K95" t="n">
        <v>60</v>
      </c>
      <c r="L95" t="inlineStr">
        <is>
          <t>4 Agustus 2026</t>
        </is>
      </c>
      <c r="M95" t="inlineStr">
        <is>
          <t>Bangunan Sipil Jembatan, Jalan Layang, Fly Over, dan Underpass, Konstruksi Bangunan Sipil Jalan, Konstruksi Gedung Hunian, Konstruksi Gedung Kesehatan, Konstruksi Gedung Pendidikan, Konstruksi Gedung Perkantoran</t>
        </is>
      </c>
      <c r="N95" t="inlineStr">
        <is>
          <t>K</t>
        </is>
      </c>
      <c r="O95" t="inlineStr">
        <is>
          <t>20230804</t>
        </is>
      </c>
      <c r="P95" t="inlineStr">
        <is>
          <t>Papua</t>
        </is>
      </c>
      <c r="Q95" t="inlineStr"/>
    </row>
    <row r="96">
      <c r="A96" t="inlineStr">
        <is>
          <t>RAYA ILMI</t>
        </is>
      </c>
      <c r="B96" t="inlineStr">
        <is>
          <t>Kota Surabaya</t>
        </is>
      </c>
      <c r="C96" t="inlineStr">
        <is>
          <t>0318272526</t>
        </is>
      </c>
      <c r="D96" t="inlineStr">
        <is>
          <t>cv.rayailmi@gmail.com</t>
        </is>
      </c>
      <c r="E96" t="inlineStr">
        <is>
          <t>https://lpjk.pu.go.id/search-badan-usaha-detail/REpIenpwL1ZieHNoOGFDeWJLTzd4QT09</t>
        </is>
      </c>
      <c r="F96" t="n">
        <v>1</v>
      </c>
      <c r="G96" t="inlineStr">
        <is>
          <t>BG008</t>
        </is>
      </c>
      <c r="H96" t="inlineStr">
        <is>
          <t>10 Oktober 2011</t>
        </is>
      </c>
      <c r="I96" s="2" t="n">
        <v>46238</v>
      </c>
      <c r="J96" t="inlineStr">
        <is>
          <t>Pencabutan</t>
        </is>
      </c>
      <c r="K96" t="n">
        <v>60</v>
      </c>
      <c r="L96" t="inlineStr">
        <is>
          <t>4 Agustus 2026</t>
        </is>
      </c>
      <c r="M96" t="inlineStr">
        <is>
          <t>Konstruksi Gedung Tempat Hiburan dan Olahraga</t>
        </is>
      </c>
      <c r="N96" t="inlineStr">
        <is>
          <t>K</t>
        </is>
      </c>
      <c r="O96" t="inlineStr">
        <is>
          <t>20230803</t>
        </is>
      </c>
      <c r="P96" t="inlineStr">
        <is>
          <t>Jawa Timur</t>
        </is>
      </c>
      <c r="Q96" t="inlineStr"/>
    </row>
    <row r="97">
      <c r="A97" t="inlineStr">
        <is>
          <t>RIZKY PUTRA</t>
        </is>
      </c>
      <c r="B97" t="inlineStr">
        <is>
          <t>Kab. Jember</t>
        </is>
      </c>
      <c r="C97" t="inlineStr">
        <is>
          <t>08123498793</t>
        </is>
      </c>
      <c r="D97" t="inlineStr">
        <is>
          <t>satriagung99@gmail.com</t>
        </is>
      </c>
      <c r="E97" t="inlineStr">
        <is>
          <t>https://lpjk.pu.go.id/search-badan-usaha-detail/RUJXZTZuMUYvTFJWQTc5Q2RINTlwZz09</t>
        </is>
      </c>
      <c r="F97" t="n">
        <v>1</v>
      </c>
      <c r="G97" t="inlineStr">
        <is>
          <t>BG009</t>
        </is>
      </c>
      <c r="H97" t="inlineStr">
        <is>
          <t>30 Desember 2005</t>
        </is>
      </c>
      <c r="I97" s="2" t="n">
        <v>46238</v>
      </c>
      <c r="J97" t="inlineStr">
        <is>
          <t>Disetujui</t>
        </is>
      </c>
      <c r="K97" t="n">
        <v>60</v>
      </c>
      <c r="L97" t="inlineStr">
        <is>
          <t>4 Agustus 2026</t>
        </is>
      </c>
      <c r="M97" t="inlineStr">
        <is>
          <t>Konstruksi Gedung Lainnya</t>
        </is>
      </c>
      <c r="N97" t="inlineStr">
        <is>
          <t>K</t>
        </is>
      </c>
      <c r="O97" t="inlineStr">
        <is>
          <t>20230802</t>
        </is>
      </c>
      <c r="P97" t="inlineStr">
        <is>
          <t>Jawa Timur</t>
        </is>
      </c>
      <c r="Q97" t="inlineStr"/>
    </row>
    <row r="98">
      <c r="A98" t="inlineStr">
        <is>
          <t>SABATANI GLOBAL SOLUSINDO</t>
        </is>
      </c>
      <c r="B98" t="inlineStr">
        <is>
          <t>Kota Adm. Jakarta Selatan</t>
        </is>
      </c>
      <c r="C98" t="inlineStr">
        <is>
          <t>02129608051</t>
        </is>
      </c>
      <c r="D98" t="inlineStr">
        <is>
          <t>willy2sinardi@gmail.com</t>
        </is>
      </c>
      <c r="E98" t="inlineStr">
        <is>
          <t>https://lpjk.pu.go.id/search-badan-usaha-detail/V3ZGMEhCSDU5SkRXOTB6Vm43aUt0UT09</t>
        </is>
      </c>
      <c r="F98" t="n">
        <v>2</v>
      </c>
      <c r="G98" t="inlineStr">
        <is>
          <t>IN001</t>
        </is>
      </c>
      <c r="H98" t="inlineStr">
        <is>
          <t>21 Desember 2021</t>
        </is>
      </c>
      <c r="I98" s="2" t="n">
        <v>46238</v>
      </c>
      <c r="J98" t="inlineStr">
        <is>
          <t>Disetujui</t>
        </is>
      </c>
      <c r="K98" t="n">
        <v>60</v>
      </c>
      <c r="L98" t="inlineStr">
        <is>
          <t>4 Agustus 2026</t>
        </is>
      </c>
      <c r="M98" t="inlineStr">
        <is>
          <t>Instalasi Mekanikal</t>
        </is>
      </c>
      <c r="N98" t="inlineStr">
        <is>
          <t>Spesialis</t>
        </is>
      </c>
      <c r="O98" t="inlineStr">
        <is>
          <t>20230728</t>
        </is>
      </c>
      <c r="P98" t="inlineStr">
        <is>
          <t>DKI Jakarta</t>
        </is>
      </c>
      <c r="Q98" t="inlineStr"/>
    </row>
    <row r="99">
      <c r="A99" t="inlineStr">
        <is>
          <t>SANDI KENCANA</t>
        </is>
      </c>
      <c r="B99" t="inlineStr">
        <is>
          <t>Kab. Tulungagung</t>
        </is>
      </c>
      <c r="C99" t="inlineStr">
        <is>
          <t>81259636789</t>
        </is>
      </c>
      <c r="D99" t="inlineStr">
        <is>
          <t>hariadie@gmail.com</t>
        </is>
      </c>
      <c r="E99" t="inlineStr">
        <is>
          <t>https://lpjk.pu.go.id/search-badan-usaha-detail/YnFHZnZ6QWgyRzdrQnNUUTlMTHBwUT09</t>
        </is>
      </c>
      <c r="F99" t="n">
        <v>1</v>
      </c>
      <c r="G99" t="inlineStr">
        <is>
          <t>BS001</t>
        </is>
      </c>
      <c r="H99" t="inlineStr">
        <is>
          <t>21 Juli 2009</t>
        </is>
      </c>
      <c r="I99" s="2" t="n">
        <v>46238</v>
      </c>
      <c r="J99" t="inlineStr">
        <is>
          <t>Disetujui</t>
        </is>
      </c>
      <c r="K99" t="n">
        <v>60</v>
      </c>
      <c r="L99" t="inlineStr">
        <is>
          <t>4 Agustus 2026</t>
        </is>
      </c>
      <c r="M99" t="inlineStr">
        <is>
          <t>Konstruksi Bangunan Sipil Jalan</t>
        </is>
      </c>
      <c r="N99" t="inlineStr">
        <is>
          <t>K</t>
        </is>
      </c>
      <c r="O99" t="inlineStr">
        <is>
          <t>20230802</t>
        </is>
      </c>
      <c r="P99" t="inlineStr">
        <is>
          <t>Jawa Timur</t>
        </is>
      </c>
      <c r="Q99" t="inlineStr"/>
    </row>
    <row r="100">
      <c r="A100" t="inlineStr">
        <is>
          <t>SEJAHTERA MULIA PERSADA</t>
        </is>
      </c>
      <c r="B100" t="inlineStr">
        <is>
          <t>Kab. Maros</t>
        </is>
      </c>
      <c r="C100" t="inlineStr">
        <is>
          <t>081340013330</t>
        </is>
      </c>
      <c r="D100" t="inlineStr">
        <is>
          <t>cv.smpersada03@gmail.com</t>
        </is>
      </c>
      <c r="E100" t="inlineStr">
        <is>
          <t>https://lpjk.pu.go.id/search-badan-usaha-detail/TkZpSk9QcW0vTnRuZnJVWENEdmc2UT09</t>
        </is>
      </c>
      <c r="F100" t="n">
        <v>1</v>
      </c>
      <c r="G100" t="inlineStr">
        <is>
          <t>BS002</t>
        </is>
      </c>
      <c r="H100" t="inlineStr">
        <is>
          <t>9 Maret 2023</t>
        </is>
      </c>
      <c r="I100" s="2" t="n">
        <v>46238</v>
      </c>
      <c r="J100" t="inlineStr">
        <is>
          <t>Disetujui</t>
        </is>
      </c>
      <c r="K100" t="n">
        <v>60</v>
      </c>
      <c r="L100" t="inlineStr">
        <is>
          <t>4 Agustus 2026</t>
        </is>
      </c>
      <c r="M100" t="inlineStr">
        <is>
          <t>Bangunan Sipil Jembatan, Jalan Layang, Fly Over, dan Underpass</t>
        </is>
      </c>
      <c r="N100" t="inlineStr">
        <is>
          <t>K</t>
        </is>
      </c>
      <c r="O100" t="inlineStr">
        <is>
          <t>20230802</t>
        </is>
      </c>
      <c r="P100" t="inlineStr">
        <is>
          <t>Sulawesi Selatan</t>
        </is>
      </c>
      <c r="Q100" t="inlineStr"/>
    </row>
    <row r="101">
      <c r="A101" t="inlineStr">
        <is>
          <t>SEKAR BAROKAH</t>
        </is>
      </c>
      <c r="B101" t="inlineStr">
        <is>
          <t>Kota Tasikmalaya</t>
        </is>
      </c>
      <c r="C101" t="inlineStr">
        <is>
          <t>085322990960</t>
        </is>
      </c>
      <c r="D101" t="inlineStr">
        <is>
          <t>cvsekarbarokah@gmail.com</t>
        </is>
      </c>
      <c r="E101" t="inlineStr">
        <is>
          <t>https://lpjk.pu.go.id/search-badan-usaha-detail/bm83YUhEeUVHYTBEODhHekczUy91UT09</t>
        </is>
      </c>
      <c r="F101" t="n">
        <v>2</v>
      </c>
      <c r="G101" t="inlineStr">
        <is>
          <t>BG009</t>
        </is>
      </c>
      <c r="H101" t="inlineStr">
        <is>
          <t>3 Juni 2023</t>
        </is>
      </c>
      <c r="I101" s="2" t="n">
        <v>46238</v>
      </c>
      <c r="J101" t="inlineStr">
        <is>
          <t>Pencabutan</t>
        </is>
      </c>
      <c r="K101" t="n">
        <v>60</v>
      </c>
      <c r="L101" t="inlineStr">
        <is>
          <t>4 Agustus 2026</t>
        </is>
      </c>
      <c r="M101" t="inlineStr">
        <is>
          <t>Konstruksi Gedung Lainnya</t>
        </is>
      </c>
      <c r="N101" t="inlineStr">
        <is>
          <t>K</t>
        </is>
      </c>
      <c r="O101" t="inlineStr">
        <is>
          <t>20230731</t>
        </is>
      </c>
      <c r="P101" t="inlineStr">
        <is>
          <t>Jawa Barat</t>
        </is>
      </c>
      <c r="Q101" t="inlineStr"/>
    </row>
    <row r="102">
      <c r="A102" t="inlineStr">
        <is>
          <t>SELAMAT KARYA BERSAMA</t>
        </is>
      </c>
      <c r="B102" t="inlineStr">
        <is>
          <t>Kab. Kutai Timur</t>
        </is>
      </c>
      <c r="C102" t="inlineStr">
        <is>
          <t>082148347685</t>
        </is>
      </c>
      <c r="D102" t="inlineStr">
        <is>
          <t>cv.selamatkaryabersama@gmail.com</t>
        </is>
      </c>
      <c r="E102" t="inlineStr">
        <is>
          <t>https://lpjk.pu.go.id/search-badan-usaha-detail/Y3kzem9zUXJvUkxWS1oxaUQ3MUFKUT09</t>
        </is>
      </c>
      <c r="F102" t="n">
        <v>3</v>
      </c>
      <c r="G102" t="inlineStr">
        <is>
          <t>BG001, BG002, BG005</t>
        </is>
      </c>
      <c r="H102" t="inlineStr">
        <is>
          <t>24 Juli 2023</t>
        </is>
      </c>
      <c r="I102" s="2" t="n">
        <v>46238</v>
      </c>
      <c r="J102" t="inlineStr">
        <is>
          <t>Disetujui</t>
        </is>
      </c>
      <c r="K102" t="n">
        <v>60</v>
      </c>
      <c r="L102" t="inlineStr">
        <is>
          <t>4 Agustus 2026</t>
        </is>
      </c>
      <c r="M102" t="inlineStr">
        <is>
          <t>Konstruksi Gedung Hunian, Konstruksi Gedung Kesehatan, Konstruksi Gedung Perkantoran</t>
        </is>
      </c>
      <c r="N102" t="inlineStr">
        <is>
          <t>K</t>
        </is>
      </c>
      <c r="O102" t="inlineStr">
        <is>
          <t>20230727</t>
        </is>
      </c>
      <c r="P102" t="inlineStr">
        <is>
          <t>Kalimantan Timur</t>
        </is>
      </c>
      <c r="Q102" t="inlineStr"/>
    </row>
    <row r="103">
      <c r="A103" t="inlineStr">
        <is>
          <t>SELOTO PERMAI</t>
        </is>
      </c>
      <c r="B103" t="inlineStr">
        <is>
          <t>Kab. Sumbawa Barat</t>
        </is>
      </c>
      <c r="C103" t="inlineStr">
        <is>
          <t>082342032239</t>
        </is>
      </c>
      <c r="D103" t="inlineStr">
        <is>
          <t>cvselotopermai2023@gmail.com</t>
        </is>
      </c>
      <c r="E103" t="inlineStr">
        <is>
          <t>https://lpjk.pu.go.id/search-badan-usaha-detail/OFVuWFJrTEdOV3ZkeEIxdDBiRzZhQT09</t>
        </is>
      </c>
      <c r="F103" t="n">
        <v>1</v>
      </c>
      <c r="G103" t="inlineStr">
        <is>
          <t>BS001</t>
        </is>
      </c>
      <c r="H103" t="inlineStr">
        <is>
          <t>20 Juni 2017</t>
        </is>
      </c>
      <c r="I103" s="2" t="n">
        <v>46238</v>
      </c>
      <c r="J103" t="inlineStr">
        <is>
          <t>Disetujui</t>
        </is>
      </c>
      <c r="K103" t="n">
        <v>60</v>
      </c>
      <c r="L103" t="inlineStr">
        <is>
          <t>4 Agustus 2026</t>
        </is>
      </c>
      <c r="M103" t="inlineStr">
        <is>
          <t>Konstruksi Bangunan Sipil Jalan</t>
        </is>
      </c>
      <c r="N103" t="inlineStr">
        <is>
          <t>K</t>
        </is>
      </c>
      <c r="O103" t="inlineStr">
        <is>
          <t>20230726</t>
        </is>
      </c>
      <c r="P103" t="inlineStr">
        <is>
          <t>Nusa Tenggara Barat</t>
        </is>
      </c>
      <c r="Q103" t="inlineStr"/>
    </row>
    <row r="104">
      <c r="A104" t="inlineStr">
        <is>
          <t>SINAR BARU KEISYA</t>
        </is>
      </c>
      <c r="B104" t="inlineStr">
        <is>
          <t>Kab. Bima</t>
        </is>
      </c>
      <c r="C104" t="inlineStr">
        <is>
          <t>085239680549</t>
        </is>
      </c>
      <c r="D104" t="inlineStr">
        <is>
          <t>cvsinarbarukeisa@gmail.com</t>
        </is>
      </c>
      <c r="E104" t="inlineStr">
        <is>
          <t>https://lpjk.pu.go.id/search-badan-usaha-detail/QitVc0hvbFJpMXJ0UjJ1dGZBdGRhZz09</t>
        </is>
      </c>
      <c r="F104" t="n">
        <v>1</v>
      </c>
      <c r="G104" t="inlineStr">
        <is>
          <t>BS001</t>
        </is>
      </c>
      <c r="H104" t="inlineStr">
        <is>
          <t>6 Desember 2018</t>
        </is>
      </c>
      <c r="I104" s="2" t="n">
        <v>46238</v>
      </c>
      <c r="J104" t="inlineStr">
        <is>
          <t>Disetujui</t>
        </is>
      </c>
      <c r="K104" t="n">
        <v>60</v>
      </c>
      <c r="L104" t="inlineStr">
        <is>
          <t>4 Agustus 2026</t>
        </is>
      </c>
      <c r="M104" t="inlineStr">
        <is>
          <t>Konstruksi Bangunan Sipil Jalan</t>
        </is>
      </c>
      <c r="N104" t="inlineStr">
        <is>
          <t>K</t>
        </is>
      </c>
      <c r="O104" t="inlineStr">
        <is>
          <t>20230626</t>
        </is>
      </c>
      <c r="P104" t="inlineStr">
        <is>
          <t>Nusa Tenggara Barat</t>
        </is>
      </c>
      <c r="Q104" t="inlineStr"/>
    </row>
    <row r="105">
      <c r="A105" t="inlineStr">
        <is>
          <t>SINAR CERAH SEMPURNA</t>
        </is>
      </c>
      <c r="B105" t="inlineStr">
        <is>
          <t>Kota Semarang</t>
        </is>
      </c>
      <c r="C105" t="inlineStr">
        <is>
          <t>081373590059</t>
        </is>
      </c>
      <c r="D105" t="inlineStr">
        <is>
          <t>scs_constructions@yahoo.com</t>
        </is>
      </c>
      <c r="E105" t="inlineStr">
        <is>
          <t>https://lpjk.pu.go.id/search-badan-usaha-detail/eTBkc0pBdHBuSE9oUjlldlZ0OExCUT09</t>
        </is>
      </c>
      <c r="F105" t="n">
        <v>4</v>
      </c>
      <c r="G105" t="inlineStr">
        <is>
          <t>BG001, BG002, BG004, BG005</t>
        </is>
      </c>
      <c r="H105" t="inlineStr">
        <is>
          <t>25 Juni 2007</t>
        </is>
      </c>
      <c r="I105" s="2" t="n">
        <v>46238</v>
      </c>
      <c r="J105" t="inlineStr">
        <is>
          <t>Disetujui</t>
        </is>
      </c>
      <c r="K105" t="n">
        <v>60</v>
      </c>
      <c r="L105" t="inlineStr">
        <is>
          <t>4 Agustus 2026</t>
        </is>
      </c>
      <c r="M105" t="inlineStr">
        <is>
          <t>Konstruksi Gedung Hunian, Konstruksi Gedung Kesehatan, Konstruksi Gedung Perbelanjaan, Konstruksi Gedung Perkantoran</t>
        </is>
      </c>
      <c r="N105" t="inlineStr">
        <is>
          <t>B</t>
        </is>
      </c>
      <c r="O105" t="inlineStr">
        <is>
          <t>20230717, 20230718, 20230724</t>
        </is>
      </c>
      <c r="P105" t="inlineStr">
        <is>
          <t>Jawa Tengah</t>
        </is>
      </c>
      <c r="Q105" t="inlineStr"/>
    </row>
    <row r="106">
      <c r="A106" t="inlineStr">
        <is>
          <t>SINAR HUTAMA TEKNIK</t>
        </is>
      </c>
      <c r="B106" t="inlineStr">
        <is>
          <t>Kab. Sidoarjo</t>
        </is>
      </c>
      <c r="C106" t="inlineStr">
        <is>
          <t>081332641009</t>
        </is>
      </c>
      <c r="D106" t="inlineStr">
        <is>
          <t>sinarhutamateknik@gmail.com</t>
        </is>
      </c>
      <c r="E106" t="inlineStr">
        <is>
          <t>https://lpjk.pu.go.id/search-badan-usaha-detail/dnlJQ1Vhd3hyUENKUXIyV2NoMi9kUT09</t>
        </is>
      </c>
      <c r="F106" t="n">
        <v>1</v>
      </c>
      <c r="G106" t="inlineStr">
        <is>
          <t>BS007</t>
        </is>
      </c>
      <c r="H106" t="inlineStr">
        <is>
          <t>27 Mei 2023</t>
        </is>
      </c>
      <c r="I106" s="2" t="n">
        <v>46238</v>
      </c>
      <c r="J106" t="inlineStr">
        <is>
          <t>Pencabutan</t>
        </is>
      </c>
      <c r="K106" t="n">
        <v>60</v>
      </c>
      <c r="L106" t="inlineStr">
        <is>
          <t>4 Agustus 2026</t>
        </is>
      </c>
      <c r="M106" t="inlineStr">
        <is>
          <t>Konstruksi Bangunan Sipil Elektrikal</t>
        </is>
      </c>
      <c r="N106" t="inlineStr">
        <is>
          <t>K</t>
        </is>
      </c>
      <c r="O106" t="inlineStr">
        <is>
          <t>20230804</t>
        </is>
      </c>
      <c r="P106" t="inlineStr">
        <is>
          <t>Jawa Timur</t>
        </is>
      </c>
      <c r="Q106" t="inlineStr"/>
    </row>
    <row r="107">
      <c r="A107" t="inlineStr">
        <is>
          <t>SINERGI LIMA EMPAT</t>
        </is>
      </c>
      <c r="B107" t="inlineStr">
        <is>
          <t>Kota Surabaya</t>
        </is>
      </c>
      <c r="C107" t="inlineStr">
        <is>
          <t>081216835619</t>
        </is>
      </c>
      <c r="D107" t="inlineStr">
        <is>
          <t>cvsinergilimaempat@gmail.com</t>
        </is>
      </c>
      <c r="E107" t="inlineStr">
        <is>
          <t>https://lpjk.pu.go.id/search-badan-usaha-detail/RGV1Z0pTa1J3WWlzWDhEeHU3RUMwUHJIZldESzQvRW5jeWh5WnpPQ2pXOD0</t>
        </is>
      </c>
      <c r="F107" t="n">
        <v>1</v>
      </c>
      <c r="G107" t="inlineStr">
        <is>
          <t>BS001</t>
        </is>
      </c>
      <c r="H107" t="inlineStr">
        <is>
          <t>5 Juli 2023</t>
        </is>
      </c>
      <c r="I107" s="2" t="n">
        <v>46238</v>
      </c>
      <c r="J107" t="inlineStr">
        <is>
          <t>Disetujui</t>
        </is>
      </c>
      <c r="K107" t="n">
        <v>60</v>
      </c>
      <c r="L107" t="inlineStr">
        <is>
          <t>4 Agustus 2026</t>
        </is>
      </c>
      <c r="M107" t="inlineStr">
        <is>
          <t>Konstruksi Bangunan Sipil Jalan</t>
        </is>
      </c>
      <c r="N107" t="inlineStr">
        <is>
          <t>K</t>
        </is>
      </c>
      <c r="O107" t="inlineStr">
        <is>
          <t>20230804</t>
        </is>
      </c>
      <c r="P107" t="inlineStr">
        <is>
          <t>Jawa Timur</t>
        </is>
      </c>
      <c r="Q107" t="inlineStr"/>
    </row>
    <row r="108">
      <c r="A108" t="inlineStr">
        <is>
          <t>SUKAWATI KARYA</t>
        </is>
      </c>
      <c r="B108" t="inlineStr">
        <is>
          <t>Kab. Gianyar</t>
        </is>
      </c>
      <c r="C108" t="inlineStr">
        <is>
          <t>08123605380</t>
        </is>
      </c>
      <c r="D108" t="inlineStr">
        <is>
          <t>imadeparta@yahoo.com</t>
        </is>
      </c>
      <c r="E108" t="inlineStr">
        <is>
          <t>https://lpjk.pu.go.id/search-badan-usaha-detail/aHNrWmwrQktwNEZHbUNSQjJBclR4UT09</t>
        </is>
      </c>
      <c r="F108" t="n">
        <v>1</v>
      </c>
      <c r="G108" t="inlineStr">
        <is>
          <t>BG002</t>
        </is>
      </c>
      <c r="H108" t="inlineStr">
        <is>
          <t>1 Oktober 1985</t>
        </is>
      </c>
      <c r="I108" s="2" t="n">
        <v>46238</v>
      </c>
      <c r="J108" t="inlineStr">
        <is>
          <t>Disetujui</t>
        </is>
      </c>
      <c r="K108" t="n">
        <v>60</v>
      </c>
      <c r="L108" t="inlineStr">
        <is>
          <t>4 Agustus 2026</t>
        </is>
      </c>
      <c r="M108" t="inlineStr">
        <is>
          <t>Konstruksi Gedung Perkantoran</t>
        </is>
      </c>
      <c r="N108" t="inlineStr">
        <is>
          <t>K</t>
        </is>
      </c>
      <c r="O108" t="inlineStr">
        <is>
          <t>20230509</t>
        </is>
      </c>
      <c r="P108" t="inlineStr">
        <is>
          <t>Bali</t>
        </is>
      </c>
      <c r="Q108" t="inlineStr"/>
    </row>
    <row r="109">
      <c r="A109" t="inlineStr">
        <is>
          <t>SUMATERA PODA IDOTAMA</t>
        </is>
      </c>
      <c r="B109" t="inlineStr">
        <is>
          <t>Kab. Padang Lawas Utara</t>
        </is>
      </c>
      <c r="C109" t="inlineStr">
        <is>
          <t>08126432239</t>
        </is>
      </c>
      <c r="D109" t="inlineStr">
        <is>
          <t>Gentha_tua@yahoo.co.id</t>
        </is>
      </c>
      <c r="E109" t="inlineStr">
        <is>
          <t>https://lpjk.pu.go.id/search-badan-usaha-detail/NXdQSXNDNU1hdTRiay9majFxUFF6dz09</t>
        </is>
      </c>
      <c r="F109" t="n">
        <v>2</v>
      </c>
      <c r="G109" t="inlineStr">
        <is>
          <t>BS005, BS006</t>
        </is>
      </c>
      <c r="H109" t="inlineStr">
        <is>
          <t>2 Februari 2018</t>
        </is>
      </c>
      <c r="I109" s="2" t="n">
        <v>46238</v>
      </c>
      <c r="J109" t="inlineStr">
        <is>
          <t>Disetujui</t>
        </is>
      </c>
      <c r="K109" t="n">
        <v>60</v>
      </c>
      <c r="L109" t="inlineStr">
        <is>
          <t>4 Agustus 2026</t>
        </is>
      </c>
      <c r="M109" t="inlineStr">
        <is>
          <t>Konstruksi Bangunan Sipil Pengolahan Air Bersih, Konstruksi Bangunan Sipil Prasarana dan Sarana Sistem Pengolahan Limbah Padat, Cair, dan Gas</t>
        </is>
      </c>
      <c r="N109" t="inlineStr">
        <is>
          <t>K</t>
        </is>
      </c>
      <c r="O109" t="inlineStr">
        <is>
          <t>20230729</t>
        </is>
      </c>
      <c r="P109" t="inlineStr">
        <is>
          <t>Sumatera Utara</t>
        </is>
      </c>
      <c r="Q109" t="inlineStr"/>
    </row>
    <row r="110">
      <c r="A110" t="inlineStr">
        <is>
          <t>SUPRA SAKTI</t>
        </is>
      </c>
      <c r="B110" t="inlineStr">
        <is>
          <t>Kab. Lombok Barat</t>
        </is>
      </c>
      <c r="C110" t="inlineStr">
        <is>
          <t>0818366718</t>
        </is>
      </c>
      <c r="D110" t="inlineStr">
        <is>
          <t>kokojanuari01@gmail.com</t>
        </is>
      </c>
      <c r="E110" t="inlineStr">
        <is>
          <t>https://lpjk.pu.go.id/search-badan-usaha-detail/dHZ5SU5zREtqYmdjbDFsN0E4a0FLQT09</t>
        </is>
      </c>
      <c r="F110" t="n">
        <v>1</v>
      </c>
      <c r="G110" t="inlineStr">
        <is>
          <t>BS001</t>
        </is>
      </c>
      <c r="H110" t="inlineStr">
        <is>
          <t>15 Februari 2013</t>
        </is>
      </c>
      <c r="I110" s="2" t="n">
        <v>46238</v>
      </c>
      <c r="J110" t="inlineStr">
        <is>
          <t>Disetujui</t>
        </is>
      </c>
      <c r="K110" t="n">
        <v>60</v>
      </c>
      <c r="L110" t="inlineStr">
        <is>
          <t>4 Agustus 2026</t>
        </is>
      </c>
      <c r="M110" t="inlineStr">
        <is>
          <t>Konstruksi Bangunan Sipil Jalan</t>
        </is>
      </c>
      <c r="N110" t="inlineStr">
        <is>
          <t>K</t>
        </is>
      </c>
      <c r="O110" t="inlineStr">
        <is>
          <t>20230801</t>
        </is>
      </c>
      <c r="P110" t="inlineStr">
        <is>
          <t>Nusa Tenggara Barat</t>
        </is>
      </c>
      <c r="Q110" t="inlineStr"/>
    </row>
    <row r="111">
      <c r="A111" t="inlineStr">
        <is>
          <t>TIRTA BANGUN KONSTRUKSI</t>
        </is>
      </c>
      <c r="B111" t="inlineStr">
        <is>
          <t>Kota Adm. Jakarta Selatan</t>
        </is>
      </c>
      <c r="C111" t="inlineStr">
        <is>
          <t>0227320390</t>
        </is>
      </c>
      <c r="D111" t="inlineStr">
        <is>
          <t>tirtabangunkonstruksi@gmail.com</t>
        </is>
      </c>
      <c r="E111" t="inlineStr">
        <is>
          <t>https://lpjk.pu.go.id/search-badan-usaha-detail/L3Y4ZWZmZUJ2K29HMndDRHpBUHdhZz09</t>
        </is>
      </c>
      <c r="F111" t="n">
        <v>2</v>
      </c>
      <c r="G111" t="inlineStr">
        <is>
          <t>BG002, BG006</t>
        </is>
      </c>
      <c r="H111" t="inlineStr">
        <is>
          <t>13 Juni 2023</t>
        </is>
      </c>
      <c r="I111" s="2" t="n">
        <v>46238</v>
      </c>
      <c r="J111" t="inlineStr">
        <is>
          <t>Disetujui</t>
        </is>
      </c>
      <c r="K111" t="n">
        <v>60</v>
      </c>
      <c r="L111" t="inlineStr">
        <is>
          <t>4 Agustus 2026</t>
        </is>
      </c>
      <c r="M111" t="inlineStr">
        <is>
          <t>Konstruksi Gedung Pendidikan, Konstruksi Gedung Perkantoran</t>
        </is>
      </c>
      <c r="N111" t="inlineStr">
        <is>
          <t>K</t>
        </is>
      </c>
      <c r="O111" t="inlineStr">
        <is>
          <t>20230804</t>
        </is>
      </c>
      <c r="P111" t="inlineStr">
        <is>
          <t>DKI Jakarta</t>
        </is>
      </c>
      <c r="Q111" t="inlineStr"/>
    </row>
    <row r="112">
      <c r="A112" t="inlineStr">
        <is>
          <t>TIRTA KENCANA BALAKOSA</t>
        </is>
      </c>
      <c r="B112" t="inlineStr">
        <is>
          <t>Kab. Boyolali</t>
        </is>
      </c>
      <c r="C112" t="inlineStr">
        <is>
          <t>085879247000</t>
        </is>
      </c>
      <c r="D112" t="inlineStr">
        <is>
          <t>tirtabalakosakencana@gmail.com</t>
        </is>
      </c>
      <c r="E112" t="inlineStr">
        <is>
          <t>https://lpjk.pu.go.id/search-badan-usaha-detail/ZEw0dWROYkpiWGluZjBxanRIN1ZYZz09</t>
        </is>
      </c>
      <c r="F112" t="n">
        <v>2</v>
      </c>
      <c r="G112" t="inlineStr">
        <is>
          <t>BG005, BG009</t>
        </is>
      </c>
      <c r="H112" t="inlineStr">
        <is>
          <t>16 Mei 2012</t>
        </is>
      </c>
      <c r="I112" s="2" t="n">
        <v>46238</v>
      </c>
      <c r="J112" t="inlineStr">
        <is>
          <t>Disetujui</t>
        </is>
      </c>
      <c r="K112" t="n">
        <v>60</v>
      </c>
      <c r="L112" t="inlineStr">
        <is>
          <t>4 Agustus 2026</t>
        </is>
      </c>
      <c r="M112" t="inlineStr">
        <is>
          <t>Konstruksi Gedung Kesehatan, Konstruksi Gedung Lainnya</t>
        </is>
      </c>
      <c r="N112" t="inlineStr">
        <is>
          <t>K</t>
        </is>
      </c>
      <c r="O112" t="inlineStr">
        <is>
          <t>20230804</t>
        </is>
      </c>
      <c r="P112" t="inlineStr">
        <is>
          <t>Jawa Tengah</t>
        </is>
      </c>
      <c r="Q112" t="inlineStr"/>
    </row>
    <row r="113">
      <c r="A113" t="inlineStr">
        <is>
          <t>TITIAN USAHA GRAHA UTAMA</t>
        </is>
      </c>
      <c r="B113" t="inlineStr">
        <is>
          <t>Kota Bandung</t>
        </is>
      </c>
      <c r="C113" t="inlineStr">
        <is>
          <t>02287241035</t>
        </is>
      </c>
      <c r="D113" t="inlineStr">
        <is>
          <t>tugu_pt@yahoo.co.id</t>
        </is>
      </c>
      <c r="E113" t="inlineStr">
        <is>
          <t>https://lpjk.pu.go.id/search-badan-usaha-detail/bnNBS21uS25xSlBVVzY0bHRrSm1GZz09</t>
        </is>
      </c>
      <c r="F113" t="n">
        <v>2</v>
      </c>
      <c r="G113" t="inlineStr">
        <is>
          <t>BG006</t>
        </is>
      </c>
      <c r="H113" t="inlineStr">
        <is>
          <t>16 Oktober 2006</t>
        </is>
      </c>
      <c r="I113" s="2" t="n">
        <v>46238</v>
      </c>
      <c r="J113" t="inlineStr">
        <is>
          <t>Disetujui</t>
        </is>
      </c>
      <c r="K113" t="n">
        <v>60</v>
      </c>
      <c r="L113" t="inlineStr">
        <is>
          <t>4 Agustus 2026</t>
        </is>
      </c>
      <c r="M113" t="inlineStr">
        <is>
          <t>Konstruksi Gedung Pendidikan</t>
        </is>
      </c>
      <c r="N113" t="inlineStr">
        <is>
          <t>M</t>
        </is>
      </c>
      <c r="O113" t="inlineStr">
        <is>
          <t>20230802</t>
        </is>
      </c>
      <c r="P113" t="inlineStr">
        <is>
          <t>Jawa Barat</t>
        </is>
      </c>
      <c r="Q113" t="inlineStr"/>
    </row>
    <row r="114">
      <c r="A114" t="inlineStr">
        <is>
          <t>TRI NOR BAKTI</t>
        </is>
      </c>
      <c r="B114" t="inlineStr">
        <is>
          <t>Kab. Hulu Sungai Utara</t>
        </is>
      </c>
      <c r="C114" t="inlineStr">
        <is>
          <t>081520473132</t>
        </is>
      </c>
      <c r="D114" t="inlineStr">
        <is>
          <t>cvtnb.amt@gmail.com</t>
        </is>
      </c>
      <c r="E114" t="inlineStr">
        <is>
          <t>https://lpjk.pu.go.id/search-badan-usaha-detail/V1NEOGp4WFdCN3oweEJvc1NuWHBjUT09</t>
        </is>
      </c>
      <c r="F114" t="n">
        <v>1</v>
      </c>
      <c r="G114" t="inlineStr">
        <is>
          <t>BG006</t>
        </is>
      </c>
      <c r="H114" t="inlineStr">
        <is>
          <t>11 Januari 2020</t>
        </is>
      </c>
      <c r="I114" s="2" t="n">
        <v>46238</v>
      </c>
      <c r="J114" t="inlineStr">
        <is>
          <t>Disetujui</t>
        </is>
      </c>
      <c r="K114" t="n">
        <v>60</v>
      </c>
      <c r="L114" t="inlineStr">
        <is>
          <t>4 Agustus 2026</t>
        </is>
      </c>
      <c r="M114" t="inlineStr">
        <is>
          <t>Konstruksi Gedung Pendidikan</t>
        </is>
      </c>
      <c r="N114" t="inlineStr">
        <is>
          <t>K</t>
        </is>
      </c>
      <c r="O114" t="inlineStr">
        <is>
          <t>20230718</t>
        </is>
      </c>
      <c r="P114" t="inlineStr">
        <is>
          <t>Kalimantan Selatan</t>
        </is>
      </c>
      <c r="Q114" t="inlineStr"/>
    </row>
    <row r="115">
      <c r="A115" t="inlineStr">
        <is>
          <t>TRI TANERTO SIMBER</t>
        </is>
      </c>
      <c r="B115" t="inlineStr">
        <is>
          <t>Kota Adm. Jakarta Selatan</t>
        </is>
      </c>
      <c r="C115" t="inlineStr">
        <is>
          <t>082113420667</t>
        </is>
      </c>
      <c r="D115" t="inlineStr">
        <is>
          <t>tritanertosimber@rocketmail.com</t>
        </is>
      </c>
      <c r="E115" t="inlineStr">
        <is>
          <t>https://lpjk.pu.go.id/search-badan-usaha-detail/bzNveHhlK0Exa2FqTVZNZzdCMzIvUT09</t>
        </is>
      </c>
      <c r="F115" t="n">
        <v>1</v>
      </c>
      <c r="G115" t="inlineStr">
        <is>
          <t>BS004</t>
        </is>
      </c>
      <c r="H115" t="inlineStr">
        <is>
          <t>20 Agustus 1986</t>
        </is>
      </c>
      <c r="I115" s="2" t="n">
        <v>46238</v>
      </c>
      <c r="J115" t="inlineStr">
        <is>
          <t>Disetujui</t>
        </is>
      </c>
      <c r="K115" t="n">
        <v>60</v>
      </c>
      <c r="L115" t="inlineStr">
        <is>
          <t>4 Agustus 2026</t>
        </is>
      </c>
      <c r="M115" t="inlineStr">
        <is>
          <t>Konstruksi Jaringan Irigasi dan Drainase</t>
        </is>
      </c>
      <c r="N115" t="inlineStr">
        <is>
          <t>K</t>
        </is>
      </c>
      <c r="O115" t="inlineStr">
        <is>
          <t>20230804</t>
        </is>
      </c>
      <c r="P115" t="inlineStr">
        <is>
          <t>DKI Jakarta</t>
        </is>
      </c>
      <c r="Q115" t="inlineStr"/>
    </row>
    <row r="116">
      <c r="A116" t="inlineStr">
        <is>
          <t>TRI TUNGGAL GROUP</t>
        </is>
      </c>
      <c r="B116" t="inlineStr">
        <is>
          <t>Kab. Lahat</t>
        </is>
      </c>
      <c r="C116" t="inlineStr">
        <is>
          <t>082181787754</t>
        </is>
      </c>
      <c r="D116" t="inlineStr">
        <is>
          <t>tritunggalgroup633@gmail.com</t>
        </is>
      </c>
      <c r="E116" t="inlineStr">
        <is>
          <t>https://lpjk.pu.go.id/search-badan-usaha-detail/TmVLUTEwNHEvanVFa2lVY2FHU0JhQT09</t>
        </is>
      </c>
      <c r="F116" t="n">
        <v>1</v>
      </c>
      <c r="G116" t="inlineStr">
        <is>
          <t>BG009</t>
        </is>
      </c>
      <c r="H116" t="inlineStr">
        <is>
          <t>22 Juni 2012</t>
        </is>
      </c>
      <c r="I116" s="2" t="n">
        <v>46238</v>
      </c>
      <c r="J116" t="inlineStr">
        <is>
          <t>Disetujui</t>
        </is>
      </c>
      <c r="K116" t="n">
        <v>60</v>
      </c>
      <c r="L116" t="inlineStr">
        <is>
          <t>4 Agustus 2026</t>
        </is>
      </c>
      <c r="M116" t="inlineStr">
        <is>
          <t>Konstruksi Gedung Lainnya</t>
        </is>
      </c>
      <c r="N116" t="inlineStr">
        <is>
          <t>K</t>
        </is>
      </c>
      <c r="O116" t="inlineStr">
        <is>
          <t>20230804</t>
        </is>
      </c>
      <c r="P116" t="inlineStr">
        <is>
          <t>Sumatera Selatan</t>
        </is>
      </c>
      <c r="Q116" t="inlineStr"/>
    </row>
    <row r="117">
      <c r="A117" t="inlineStr">
        <is>
          <t>TRIJAYA EKA MANDIRI</t>
        </is>
      </c>
      <c r="B117" t="inlineStr">
        <is>
          <t>Kota Tangerang Selatan</t>
        </is>
      </c>
      <c r="C117" t="inlineStr">
        <is>
          <t>0217409122</t>
        </is>
      </c>
      <c r="D117" t="inlineStr">
        <is>
          <t>info@trijayaekamandiri.com</t>
        </is>
      </c>
      <c r="E117" t="inlineStr">
        <is>
          <t>https://lpjk.pu.go.id/search-badan-usaha-detail/QU5wWXNtQkVLRXVXeWEzRE1IUHpIUT09</t>
        </is>
      </c>
      <c r="F117" t="n">
        <v>6</v>
      </c>
      <c r="G117" t="inlineStr">
        <is>
          <t>BG001, BG002, BG005, BG006, BG009, BS001</t>
        </is>
      </c>
      <c r="H117" t="inlineStr">
        <is>
          <t>9 Januari 2001</t>
        </is>
      </c>
      <c r="I117" s="2" t="n">
        <v>46238</v>
      </c>
      <c r="J117" t="inlineStr">
        <is>
          <t>Disetujui</t>
        </is>
      </c>
      <c r="K117" t="n">
        <v>60</v>
      </c>
      <c r="L117" t="inlineStr">
        <is>
          <t>4 Agustus 2026</t>
        </is>
      </c>
      <c r="M117" t="inlineStr">
        <is>
          <t>Konstruksi Bangunan Sipil Jalan, Konstruksi Gedung Hunian, Konstruksi Gedung Kesehatan, Konstruksi Gedung Lainnya, Konstruksi Gedung Pendidikan, Konstruksi Gedung Perkantoran</t>
        </is>
      </c>
      <c r="N117" t="inlineStr">
        <is>
          <t>K</t>
        </is>
      </c>
      <c r="O117" t="inlineStr">
        <is>
          <t>20230731, 20230803</t>
        </is>
      </c>
      <c r="P117" t="inlineStr">
        <is>
          <t>Banten</t>
        </is>
      </c>
      <c r="Q117" t="inlineStr"/>
    </row>
    <row r="118">
      <c r="A118" t="inlineStr">
        <is>
          <t>UNIVERSAL INTI KONSTRUKSI</t>
        </is>
      </c>
      <c r="B118" t="inlineStr">
        <is>
          <t>Kab. Bantul</t>
        </is>
      </c>
      <c r="C118" t="inlineStr">
        <is>
          <t>0817745423</t>
        </is>
      </c>
      <c r="D118" t="inlineStr">
        <is>
          <t>unikoncv@gmail.com</t>
        </is>
      </c>
      <c r="E118" t="inlineStr">
        <is>
          <t>https://lpjk.pu.go.id/search-badan-usaha-detail/R3RCZkkvTkZKV3djSTdXbzJ3QldmQT09</t>
        </is>
      </c>
      <c r="F118" t="n">
        <v>4</v>
      </c>
      <c r="G118" t="inlineStr">
        <is>
          <t>BG005, BS004</t>
        </is>
      </c>
      <c r="H118" t="inlineStr">
        <is>
          <t>6 Februari 2023</t>
        </is>
      </c>
      <c r="I118" s="2" t="n">
        <v>46238</v>
      </c>
      <c r="J118" t="inlineStr">
        <is>
          <t>Disetujui</t>
        </is>
      </c>
      <c r="K118" t="n">
        <v>60</v>
      </c>
      <c r="L118" t="inlineStr">
        <is>
          <t>4 Agustus 2026</t>
        </is>
      </c>
      <c r="M118" t="inlineStr">
        <is>
          <t>Konstruksi Gedung Kesehatan, Konstruksi Jaringan Irigasi dan Drainase</t>
        </is>
      </c>
      <c r="N118" t="inlineStr">
        <is>
          <t>K</t>
        </is>
      </c>
      <c r="O118" t="inlineStr">
        <is>
          <t>20230728</t>
        </is>
      </c>
      <c r="P118" t="inlineStr">
        <is>
          <t>DI Yogyakarta</t>
        </is>
      </c>
      <c r="Q118" t="inlineStr"/>
    </row>
    <row r="119">
      <c r="A119" t="inlineStr">
        <is>
          <t>VIRA KARYA SAKTI</t>
        </is>
      </c>
      <c r="B119" t="inlineStr">
        <is>
          <t>Kab. Jember</t>
        </is>
      </c>
      <c r="C119" t="inlineStr">
        <is>
          <t>081233457351</t>
        </is>
      </c>
      <c r="D119" t="inlineStr">
        <is>
          <t>virakaryasakti@gmail.com</t>
        </is>
      </c>
      <c r="E119" t="inlineStr">
        <is>
          <t>https://lpjk.pu.go.id/search-badan-usaha-detail/c1BWaVRJK1o5bk9QZmF0dHlrMGx0UT09</t>
        </is>
      </c>
      <c r="F119" t="n">
        <v>1</v>
      </c>
      <c r="G119" t="inlineStr">
        <is>
          <t>BS001</t>
        </is>
      </c>
      <c r="H119" t="inlineStr">
        <is>
          <t>6 Januari 2012</t>
        </is>
      </c>
      <c r="I119" s="2" t="n">
        <v>46238</v>
      </c>
      <c r="J119" t="inlineStr">
        <is>
          <t>Disetujui</t>
        </is>
      </c>
      <c r="K119" t="n">
        <v>60</v>
      </c>
      <c r="L119" t="inlineStr">
        <is>
          <t>4 Agustus 2026</t>
        </is>
      </c>
      <c r="M119" t="inlineStr">
        <is>
          <t>Konstruksi Bangunan Sipil Jalan</t>
        </is>
      </c>
      <c r="N119" t="inlineStr">
        <is>
          <t>K</t>
        </is>
      </c>
      <c r="O119" t="inlineStr">
        <is>
          <t>20230801</t>
        </is>
      </c>
      <c r="P119" t="inlineStr">
        <is>
          <t>Jawa Timur</t>
        </is>
      </c>
      <c r="Q119" t="inlineStr"/>
    </row>
    <row r="120">
      <c r="A120" t="inlineStr">
        <is>
          <t>VIRGO INTIGRAHA PRATAMA</t>
        </is>
      </c>
      <c r="B120" t="inlineStr">
        <is>
          <t>Kota Adm. Jakarta Barat</t>
        </is>
      </c>
      <c r="C120" t="inlineStr">
        <is>
          <t>02122543433</t>
        </is>
      </c>
      <c r="D120" t="inlineStr">
        <is>
          <t>virgoip89@yahoo.com</t>
        </is>
      </c>
      <c r="E120" t="inlineStr">
        <is>
          <t>https://lpjk.pu.go.id/search-badan-usaha-detail/ZUVjTmVqNmNzNDdFVzhXVlczMVI5dz09</t>
        </is>
      </c>
      <c r="F120" t="n">
        <v>1</v>
      </c>
      <c r="G120" t="inlineStr">
        <is>
          <t>BS009</t>
        </is>
      </c>
      <c r="H120" t="inlineStr">
        <is>
          <t>27 Juni 1994</t>
        </is>
      </c>
      <c r="I120" s="2" t="n">
        <v>46238</v>
      </c>
      <c r="J120" t="inlineStr">
        <is>
          <t>Disetujui</t>
        </is>
      </c>
      <c r="K120" t="n">
        <v>60</v>
      </c>
      <c r="L120" t="inlineStr">
        <is>
          <t>4 Agustus 2026</t>
        </is>
      </c>
      <c r="M120" t="inlineStr">
        <is>
          <t>Konstruksi Sentral Telekomunikasi</t>
        </is>
      </c>
      <c r="N120" t="inlineStr">
        <is>
          <t>K</t>
        </is>
      </c>
      <c r="O120" t="inlineStr">
        <is>
          <t>20230731</t>
        </is>
      </c>
      <c r="P120" t="inlineStr">
        <is>
          <t>DKI Jakarta</t>
        </is>
      </c>
      <c r="Q120" t="inlineStr"/>
    </row>
    <row r="121">
      <c r="A121" t="inlineStr">
        <is>
          <t>WAHYU KARYA</t>
        </is>
      </c>
      <c r="B121" t="inlineStr">
        <is>
          <t>Kab. Rejang Lebong</t>
        </is>
      </c>
      <c r="C121" t="inlineStr">
        <is>
          <t>081278683154</t>
        </is>
      </c>
      <c r="D121" t="inlineStr">
        <is>
          <t>cv.wahyukarya2019@gmail.com</t>
        </is>
      </c>
      <c r="E121" t="inlineStr">
        <is>
          <t>https://lpjk.pu.go.id/search-badan-usaha-detail/bE5qYzJKQWo3VmlGdW9RL3M5S3RlQT09</t>
        </is>
      </c>
      <c r="F121" t="n">
        <v>1</v>
      </c>
      <c r="G121" t="inlineStr">
        <is>
          <t>BS001</t>
        </is>
      </c>
      <c r="H121" t="inlineStr">
        <is>
          <t>22 Desember 1986</t>
        </is>
      </c>
      <c r="I121" s="2" t="n">
        <v>46238</v>
      </c>
      <c r="J121" t="inlineStr">
        <is>
          <t>Disetujui</t>
        </is>
      </c>
      <c r="K121" t="n">
        <v>60</v>
      </c>
      <c r="L121" t="inlineStr">
        <is>
          <t>4 Agustus 2026</t>
        </is>
      </c>
      <c r="M121" t="inlineStr">
        <is>
          <t>Konstruksi Bangunan Sipil Jalan</t>
        </is>
      </c>
      <c r="N121" t="inlineStr">
        <is>
          <t>K</t>
        </is>
      </c>
      <c r="O121" t="inlineStr">
        <is>
          <t>20230313</t>
        </is>
      </c>
      <c r="P121" t="inlineStr">
        <is>
          <t>Bengkulu</t>
        </is>
      </c>
      <c r="Q12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37"/>
  <sheetViews>
    <sheetView workbookViewId="0">
      <selection activeCell="A1" sqref="A1"/>
    </sheetView>
  </sheetViews>
  <sheetFormatPr baseColWidth="8" defaultRowHeight="15"/>
  <cols>
    <col width="30" customWidth="1" min="1" max="1"/>
    <col width="27" customWidth="1" min="2" max="2"/>
    <col width="16" customWidth="1" min="3" max="3"/>
    <col width="38" customWidth="1" min="4" max="4"/>
    <col width="50" customWidth="1" min="5" max="5"/>
    <col width="18" customWidth="1" min="6" max="6"/>
    <col width="50" customWidth="1" min="7" max="7"/>
    <col width="20" customWidth="1" min="8" max="8"/>
    <col width="28" customWidth="1" min="9" max="9"/>
    <col width="46" customWidth="1" min="10" max="10"/>
    <col width="11" customWidth="1" min="11" max="11"/>
    <col width="17" customWidth="1" min="12" max="12"/>
    <col width="50" customWidth="1" min="13" max="13"/>
    <col width="13"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ALAMANDA DUTA HERMEZ</t>
        </is>
      </c>
      <c r="B2" t="inlineStr">
        <is>
          <t>Kota Depok</t>
        </is>
      </c>
      <c r="C2" t="inlineStr">
        <is>
          <t>0217499729</t>
        </is>
      </c>
      <c r="D2" t="inlineStr">
        <is>
          <t>alamandaz@yahoo.co.id</t>
        </is>
      </c>
      <c r="E2" t="inlineStr">
        <is>
          <t>https://lpjk.pu.go.id/search-badan-usaha-detail/Y285ZmJua1dFb05MUnFmTnZaTGhTZz09</t>
        </is>
      </c>
      <c r="F2" t="n">
        <v>2</v>
      </c>
      <c r="G2" t="inlineStr">
        <is>
          <t>BS001</t>
        </is>
      </c>
      <c r="H2" t="inlineStr">
        <is>
          <t>5 November 2012</t>
        </is>
      </c>
      <c r="I2" s="2" t="n">
        <v>46208</v>
      </c>
      <c r="J2" t="inlineStr">
        <is>
          <t>Disetujui</t>
        </is>
      </c>
      <c r="K2" t="n">
        <v>30</v>
      </c>
      <c r="L2" t="inlineStr">
        <is>
          <t>5 Juli 2026</t>
        </is>
      </c>
      <c r="M2" t="inlineStr">
        <is>
          <t>Konstruksi Bangunan Sipil Jalan</t>
        </is>
      </c>
      <c r="N2" t="inlineStr">
        <is>
          <t>K</t>
        </is>
      </c>
      <c r="O2" t="inlineStr">
        <is>
          <t>20230705</t>
        </is>
      </c>
      <c r="P2" t="inlineStr">
        <is>
          <t>Jawa Barat</t>
        </is>
      </c>
      <c r="Q2" t="inlineStr"/>
    </row>
    <row r="3">
      <c r="A3" t="inlineStr">
        <is>
          <t>CIPTA GRAHA MANDIRI</t>
        </is>
      </c>
      <c r="B3" t="inlineStr">
        <is>
          <t>Kota Depok</t>
        </is>
      </c>
      <c r="C3" t="inlineStr">
        <is>
          <t>088214252533</t>
        </is>
      </c>
      <c r="D3" t="inlineStr">
        <is>
          <t>ciptagrahamandiri@yahoo.com</t>
        </is>
      </c>
      <c r="E3" t="inlineStr">
        <is>
          <t>https://lpjk.pu.go.id/search-badan-usaha-detail/eTRwYzk5SEFBUXIySUFqdElZbXpQZz09</t>
        </is>
      </c>
      <c r="F3" t="n">
        <v>2</v>
      </c>
      <c r="G3" t="inlineStr">
        <is>
          <t>BS001, BS004</t>
        </is>
      </c>
      <c r="H3" t="inlineStr">
        <is>
          <t>1 Februari 2007</t>
        </is>
      </c>
      <c r="I3" s="2" t="n">
        <v>46208</v>
      </c>
      <c r="J3" t="inlineStr">
        <is>
          <t>Disetujui</t>
        </is>
      </c>
      <c r="K3" t="n">
        <v>30</v>
      </c>
      <c r="L3" t="inlineStr">
        <is>
          <t>5 Juli 2026</t>
        </is>
      </c>
      <c r="M3" t="inlineStr">
        <is>
          <t>Konstruksi Bangunan Sipil Jalan, Konstruksi Jaringan Irigasi dan Drainase</t>
        </is>
      </c>
      <c r="N3" t="inlineStr">
        <is>
          <t>K</t>
        </is>
      </c>
      <c r="O3" t="inlineStr">
        <is>
          <t>20230704</t>
        </is>
      </c>
      <c r="P3" t="inlineStr">
        <is>
          <t>Jawa Barat</t>
        </is>
      </c>
      <c r="Q3" s="3">
        <f>HYPERLINK("https://wa.me/6288214252533?text=*[Pengingat Masa Berlaku SBU CIPTA GRAHA MANDIRI]*%0A%0AYth. Pimpinan CIPTA GRAHA MANDIRI,%0AMohon izin menginformasikan status SBU Anda:%0A%0A📄 SBU: BS001, BS004%0A📅 Expired: 5 Juli 2026 (30 Hari Lagi)%0A%0AKami tim PT. ESDEA Assistance Management siap men-support proses perpanjangan segera agar administrasi proyek tidak terhambat%0A%0AApakah boleh saya bantu siapkan estimasi biaya dan waktu pengerjaannya?.", "Hubungi")</f>
        <v/>
      </c>
    </row>
    <row r="4">
      <c r="A4" t="inlineStr">
        <is>
          <t>HERU ADI KONSTRUKSI</t>
        </is>
      </c>
      <c r="B4" t="inlineStr">
        <is>
          <t>Kota Bekasi</t>
        </is>
      </c>
      <c r="C4" t="inlineStr">
        <is>
          <t>082233431118</t>
        </is>
      </c>
      <c r="D4" t="inlineStr">
        <is>
          <t>pt.hakonstruksi@gmail.com</t>
        </is>
      </c>
      <c r="E4" t="inlineStr">
        <is>
          <t>https://lpjk.pu.go.id/search-badan-usaha-detail/NUlEWFpCVmN3N3lsMkg2NlVMNzV3Zz09</t>
        </is>
      </c>
      <c r="F4" t="n">
        <v>1</v>
      </c>
      <c r="G4" t="inlineStr">
        <is>
          <t>KK012</t>
        </is>
      </c>
      <c r="H4" t="inlineStr">
        <is>
          <t>11 Desember 2020</t>
        </is>
      </c>
      <c r="I4" s="2" t="n">
        <v>46208</v>
      </c>
      <c r="J4" t="inlineStr">
        <is>
          <t>Pembekuan</t>
        </is>
      </c>
      <c r="K4" t="n">
        <v>30</v>
      </c>
      <c r="L4" t="inlineStr">
        <is>
          <t>5 Juli 2026</t>
        </is>
      </c>
      <c r="M4" t="inlineStr">
        <is>
          <t>Pekerjaan Struktur Beton</t>
        </is>
      </c>
      <c r="N4" t="inlineStr">
        <is>
          <t>Spesialis</t>
        </is>
      </c>
      <c r="O4" t="inlineStr">
        <is>
          <t>20230705</t>
        </is>
      </c>
      <c r="P4" t="inlineStr">
        <is>
          <t>Jawa Barat</t>
        </is>
      </c>
      <c r="Q4" s="3">
        <f>HYPERLINK("https://wa.me/6282233431118?text=*[Pengingat Masa Berlaku SBU HERU ADI KONSTRUKSI]*%0A%0AYth. Pimpinan HERU ADI KONSTRUKSI,%0AMohon izin menginformasikan status SBU Anda:%0A%0A📄 SBU: KK012%0A📅 Expired: 5 Juli 2026 (30 Hari Lagi)%0A%0AKami tim PT. ESDEA Assistance Management siap men-support proses perpanjangan segera agar administrasi proyek tidak terhambat%0A%0AApakah boleh saya bantu siapkan estimasi biaya dan waktu pengerjaannya?.", "Hubungi")</f>
        <v/>
      </c>
    </row>
    <row r="5">
      <c r="A5" t="inlineStr">
        <is>
          <t>INDONUSA LINTAS JAYA</t>
        </is>
      </c>
      <c r="B5" t="inlineStr">
        <is>
          <t>Kota Adm. Jakarta Timur</t>
        </is>
      </c>
      <c r="C5" t="inlineStr">
        <is>
          <t>0214250818</t>
        </is>
      </c>
      <c r="D5" t="inlineStr">
        <is>
          <t>lintasjaya.indonusa@yahoo.co.id</t>
        </is>
      </c>
      <c r="E5" t="inlineStr">
        <is>
          <t>https://lpjk.pu.go.id/search-badan-usaha-detail/VmRyb25uNWpjTXRNN29UVDRHZzUyUT09</t>
        </is>
      </c>
      <c r="F5" t="n">
        <v>8</v>
      </c>
      <c r="G5" t="inlineStr">
        <is>
          <t>BG003, BG005, BG006, BG009</t>
        </is>
      </c>
      <c r="H5" t="inlineStr">
        <is>
          <t>10 Desember 2014</t>
        </is>
      </c>
      <c r="I5" s="2" t="n">
        <v>46208</v>
      </c>
      <c r="J5" t="inlineStr">
        <is>
          <t>Disetujui</t>
        </is>
      </c>
      <c r="K5" t="n">
        <v>30</v>
      </c>
      <c r="L5" t="inlineStr">
        <is>
          <t>5 Juli 2026</t>
        </is>
      </c>
      <c r="M5" t="inlineStr">
        <is>
          <t>Konstruksi Gedung Industri, Konstruksi Gedung Kesehatan, Konstruksi Gedung Lainnya, Konstruksi Gedung Pendidikan</t>
        </is>
      </c>
      <c r="N5" t="inlineStr">
        <is>
          <t>K</t>
        </is>
      </c>
      <c r="O5" t="inlineStr">
        <is>
          <t>20230705, 20230706</t>
        </is>
      </c>
      <c r="P5" t="inlineStr">
        <is>
          <t>DKI Jakarta</t>
        </is>
      </c>
      <c r="Q5" t="inlineStr"/>
    </row>
    <row r="6">
      <c r="A6" t="inlineStr">
        <is>
          <t>MITRA USAHA REZKI</t>
        </is>
      </c>
      <c r="B6" t="inlineStr">
        <is>
          <t>Kab. Bogor</t>
        </is>
      </c>
      <c r="C6" t="inlineStr">
        <is>
          <t>0218 7923 069_</t>
        </is>
      </c>
      <c r="D6" t="inlineStr">
        <is>
          <t>cvmitrausaharezki@yahoo.co.id</t>
        </is>
      </c>
      <c r="E6" t="inlineStr">
        <is>
          <t>https://lpjk.pu.go.id/search-badan-usaha-detail/Ynpqd2Y3YXdkcVlBSGQrcUZrWi9hdz09</t>
        </is>
      </c>
      <c r="F6" t="n">
        <v>1</v>
      </c>
      <c r="G6" t="inlineStr">
        <is>
          <t>BS004</t>
        </is>
      </c>
      <c r="H6" t="inlineStr">
        <is>
          <t>14 April 2021</t>
        </is>
      </c>
      <c r="I6" s="2" t="n">
        <v>46208</v>
      </c>
      <c r="J6" t="inlineStr">
        <is>
          <t>Disetujui</t>
        </is>
      </c>
      <c r="K6" t="n">
        <v>30</v>
      </c>
      <c r="L6" t="inlineStr">
        <is>
          <t>5 Juli 2026</t>
        </is>
      </c>
      <c r="M6" t="inlineStr">
        <is>
          <t>Konstruksi Jaringan Irigasi dan Drainase</t>
        </is>
      </c>
      <c r="N6" t="inlineStr">
        <is>
          <t>K</t>
        </is>
      </c>
      <c r="O6" t="inlineStr">
        <is>
          <t>20230703</t>
        </is>
      </c>
      <c r="P6" t="inlineStr">
        <is>
          <t>Jawa Barat</t>
        </is>
      </c>
      <c r="Q6" t="inlineStr"/>
    </row>
    <row r="7">
      <c r="A7" t="inlineStr">
        <is>
          <t>PANTANG MUNDUR SEJAHTERA</t>
        </is>
      </c>
      <c r="B7" t="inlineStr">
        <is>
          <t>Kota Bogor</t>
        </is>
      </c>
      <c r="C7" t="inlineStr">
        <is>
          <t>082114395100</t>
        </is>
      </c>
      <c r="D7" t="inlineStr">
        <is>
          <t>pmsbogor2022@gmail.com</t>
        </is>
      </c>
      <c r="E7" t="inlineStr">
        <is>
          <t>https://lpjk.pu.go.id/search-badan-usaha-detail/RkcwZjEvRXRuMFBiNCt6R09zTDd0dz09</t>
        </is>
      </c>
      <c r="F7" t="n">
        <v>1</v>
      </c>
      <c r="G7" t="inlineStr">
        <is>
          <t>BG006</t>
        </is>
      </c>
      <c r="H7" t="inlineStr">
        <is>
          <t>8 Mei 2023</t>
        </is>
      </c>
      <c r="I7" s="2" t="n">
        <v>46208</v>
      </c>
      <c r="J7" t="inlineStr">
        <is>
          <t>Pencabutan</t>
        </is>
      </c>
      <c r="K7" t="n">
        <v>30</v>
      </c>
      <c r="L7" t="inlineStr">
        <is>
          <t>5 Juli 2026</t>
        </is>
      </c>
      <c r="M7" t="inlineStr">
        <is>
          <t>Konstruksi Gedung Pendidikan</t>
        </is>
      </c>
      <c r="N7" t="inlineStr">
        <is>
          <t>K</t>
        </is>
      </c>
      <c r="O7" t="inlineStr">
        <is>
          <t>20230706</t>
        </is>
      </c>
      <c r="P7" t="inlineStr">
        <is>
          <t>Jawa Barat</t>
        </is>
      </c>
      <c r="Q7" s="3">
        <f>HYPERLINK("https://wa.me/6282114395100?text=*[Pengingat Masa Berlaku SBU PANTANG MUNDUR SEJAHTERA]*%0A%0AYth. Pimpinan PANTANG MUNDUR SEJAHTERA,%0AMohon izin menginformasikan status SBU Anda:%0A%0A📄 SBU: BG006%0A📅 Expired: 5 Juli 2026 (30 Hari Lagi)%0A%0AKami tim PT. ESDEA Assistance Management siap men-support proses perpanjangan segera agar administrasi proyek tidak terhambat%0A%0AApakah boleh saya bantu siapkan estimasi biaya dan waktu pengerjaannya?.", "Hubungi")</f>
        <v/>
      </c>
    </row>
    <row r="8">
      <c r="A8" t="inlineStr">
        <is>
          <t>SANDHIKAS TEKNIK PRIMA</t>
        </is>
      </c>
      <c r="B8" t="inlineStr">
        <is>
          <t>Kab. Bogor</t>
        </is>
      </c>
      <c r="C8" t="inlineStr">
        <is>
          <t>02196791426</t>
        </is>
      </c>
      <c r="D8" t="inlineStr">
        <is>
          <t>sandhikasteknik@gmail.com</t>
        </is>
      </c>
      <c r="E8" t="inlineStr">
        <is>
          <t>https://lpjk.pu.go.id/search-badan-usaha-detail/L3pyVmtkeHFPdUxEU3UxcXhHdjFUdz09</t>
        </is>
      </c>
      <c r="F8" t="n">
        <v>1</v>
      </c>
      <c r="G8" t="inlineStr">
        <is>
          <t>BS007</t>
        </is>
      </c>
      <c r="H8" t="inlineStr">
        <is>
          <t>25 Juni 2004</t>
        </is>
      </c>
      <c r="I8" s="2" t="n">
        <v>46208</v>
      </c>
      <c r="J8" t="inlineStr">
        <is>
          <t>Disetujui</t>
        </is>
      </c>
      <c r="K8" t="n">
        <v>30</v>
      </c>
      <c r="L8" t="inlineStr">
        <is>
          <t>5 Juli 2026</t>
        </is>
      </c>
      <c r="M8" t="inlineStr">
        <is>
          <t>Konstruksi Bangunan Sipil Elektrikal</t>
        </is>
      </c>
      <c r="N8" t="inlineStr">
        <is>
          <t>K</t>
        </is>
      </c>
      <c r="O8" t="inlineStr">
        <is>
          <t>20230623</t>
        </is>
      </c>
      <c r="P8" t="inlineStr">
        <is>
          <t>Jawa Barat</t>
        </is>
      </c>
      <c r="Q8" t="inlineStr"/>
    </row>
    <row r="9">
      <c r="A9" t="inlineStr">
        <is>
          <t>TUNAS MEKAR EKA HARPEDI</t>
        </is>
      </c>
      <c r="B9" t="inlineStr">
        <is>
          <t>Kab. Bogor</t>
        </is>
      </c>
      <c r="C9" t="inlineStr">
        <is>
          <t>02518222435</t>
        </is>
      </c>
      <c r="D9" t="inlineStr">
        <is>
          <t>tunasmekarekaharpedi.pt@gmail.com</t>
        </is>
      </c>
      <c r="E9" t="inlineStr">
        <is>
          <t>https://lpjk.pu.go.id/search-badan-usaha-detail/Vm44a3ExZDEzdkNzMVJoTWdsWER2UT09</t>
        </is>
      </c>
      <c r="F9" t="n">
        <v>2</v>
      </c>
      <c r="G9" t="inlineStr">
        <is>
          <t>BS005, BS006</t>
        </is>
      </c>
      <c r="H9" t="inlineStr">
        <is>
          <t>25 April 1997</t>
        </is>
      </c>
      <c r="I9" s="2" t="n">
        <v>46208</v>
      </c>
      <c r="J9" t="inlineStr">
        <is>
          <t>Disetujui</t>
        </is>
      </c>
      <c r="K9" t="n">
        <v>30</v>
      </c>
      <c r="L9" t="inlineStr">
        <is>
          <t>5 Juli 2026</t>
        </is>
      </c>
      <c r="M9" t="inlineStr">
        <is>
          <t>Konstruksi Bangunan Sipil Pengolahan Air Bersih, Konstruksi Bangunan Sipil Prasarana dan Sarana Sistem Pengolahan Limbah Padat, Cair, dan Gas</t>
        </is>
      </c>
      <c r="N9" t="inlineStr">
        <is>
          <t>K</t>
        </is>
      </c>
      <c r="O9" t="inlineStr">
        <is>
          <t>20230706</t>
        </is>
      </c>
      <c r="P9" t="inlineStr">
        <is>
          <t>Jawa Barat</t>
        </is>
      </c>
      <c r="Q9" s="3">
        <f>HYPERLINK("https://wa.me/622518222435?text=*[Pengingat Masa Berlaku SBU TUNAS MEKAR EKA HARPEDI]*%0A%0AYth. Pimpinan TUNAS MEKAR EKA HARPEDI,%0AMohon izin menginformasikan status SBU Anda:%0A%0A📄 SBU: BS005, BS006%0A📅 Expired: 5 Juli 2026 (30 Hari Lagi)%0A%0AKami tim PT. ESDEA Assistance Management siap men-support proses perpanjangan segera agar administrasi proyek tidak terhambat%0A%0AApakah boleh saya bantu siapkan estimasi biaya dan waktu pengerjaannya?.", "Hubungi")</f>
        <v/>
      </c>
    </row>
    <row r="10">
      <c r="A10" t="inlineStr">
        <is>
          <t>ABIZAR PRATAMA</t>
        </is>
      </c>
      <c r="B10" t="inlineStr">
        <is>
          <t>Kota Makassar</t>
        </is>
      </c>
      <c r="C10" t="inlineStr">
        <is>
          <t>081355315055</t>
        </is>
      </c>
      <c r="D10" t="inlineStr">
        <is>
          <t>abizarpratama130@gmail.com</t>
        </is>
      </c>
      <c r="E10" t="inlineStr">
        <is>
          <t>https://lpjk.pu.go.id/search-badan-usaha-detail/cFZKV1UwRHIvbHJodmZ1TERxTHVwdz09</t>
        </is>
      </c>
      <c r="F10" t="n">
        <v>1</v>
      </c>
      <c r="G10" t="inlineStr">
        <is>
          <t>BS010</t>
        </is>
      </c>
      <c r="H10" t="inlineStr">
        <is>
          <t>14 Oktober 2014</t>
        </is>
      </c>
      <c r="I10" s="2" t="n">
        <v>46208</v>
      </c>
      <c r="J10" t="inlineStr">
        <is>
          <t>Disetujui</t>
        </is>
      </c>
      <c r="K10" t="n">
        <v>30</v>
      </c>
      <c r="L10" t="inlineStr">
        <is>
          <t>5 Juli 2026</t>
        </is>
      </c>
      <c r="M10" t="inlineStr">
        <is>
          <t>Konstruksi Bangunan Prasarana Sumber Daya Air</t>
        </is>
      </c>
      <c r="N10" t="inlineStr">
        <is>
          <t>K</t>
        </is>
      </c>
      <c r="O10" t="inlineStr">
        <is>
          <t>20230614</t>
        </is>
      </c>
      <c r="P10" t="inlineStr">
        <is>
          <t>Sulawesi Selatan</t>
        </is>
      </c>
      <c r="Q10" t="inlineStr"/>
    </row>
    <row r="11">
      <c r="A11" t="inlineStr">
        <is>
          <t>ADHYARATA JAYA</t>
        </is>
      </c>
      <c r="B11" t="inlineStr">
        <is>
          <t>Kota Probolinggo</t>
        </is>
      </c>
      <c r="C11" t="inlineStr">
        <is>
          <t>08933654253</t>
        </is>
      </c>
      <c r="D11" t="inlineStr">
        <is>
          <t>adhyaratajaya@gmail.com</t>
        </is>
      </c>
      <c r="E11" t="inlineStr">
        <is>
          <t>https://lpjk.pu.go.id/search-badan-usaha-detail/VkhhQng1U1E3OEIzVzVUZWFsZFhGdz09</t>
        </is>
      </c>
      <c r="F11" t="n">
        <v>2</v>
      </c>
      <c r="G11" t="inlineStr">
        <is>
          <t>BS001</t>
        </is>
      </c>
      <c r="H11" t="inlineStr">
        <is>
          <t>13 Oktober 2022</t>
        </is>
      </c>
      <c r="I11" s="2" t="n">
        <v>46208</v>
      </c>
      <c r="J11" t="inlineStr">
        <is>
          <t>Disetujui</t>
        </is>
      </c>
      <c r="K11" t="n">
        <v>30</v>
      </c>
      <c r="L11" t="inlineStr">
        <is>
          <t>5 Juli 2026</t>
        </is>
      </c>
      <c r="M11" t="inlineStr">
        <is>
          <t>Konstruksi Bangunan Sipil Jalan</t>
        </is>
      </c>
      <c r="N11" t="inlineStr">
        <is>
          <t>K</t>
        </is>
      </c>
      <c r="O11" t="inlineStr">
        <is>
          <t>20230705</t>
        </is>
      </c>
      <c r="P11" t="inlineStr">
        <is>
          <t>Jawa Timur</t>
        </is>
      </c>
      <c r="Q11" t="inlineStr"/>
    </row>
    <row r="12">
      <c r="A12" t="inlineStr">
        <is>
          <t>ADIKA MANGGALA PRIMA</t>
        </is>
      </c>
      <c r="B12" t="inlineStr">
        <is>
          <t>Kota Adm. Jakarta Selatan</t>
        </is>
      </c>
      <c r="C12" t="inlineStr">
        <is>
          <t>02129858011</t>
        </is>
      </c>
      <c r="D12" t="inlineStr">
        <is>
          <t>adika.m.prima@gmail.com</t>
        </is>
      </c>
      <c r="E12" t="inlineStr">
        <is>
          <t>https://lpjk.pu.go.id/search-badan-usaha-detail/bXhKTzFJaldkaFV0YkRnWmtrMitSQT09</t>
        </is>
      </c>
      <c r="F12" t="n">
        <v>1</v>
      </c>
      <c r="G12" t="inlineStr">
        <is>
          <t>BG002</t>
        </is>
      </c>
      <c r="H12" t="inlineStr">
        <is>
          <t>4 Desember 2019</t>
        </is>
      </c>
      <c r="I12" s="2" t="n">
        <v>46208</v>
      </c>
      <c r="J12" t="inlineStr">
        <is>
          <t>Disetujui</t>
        </is>
      </c>
      <c r="K12" t="n">
        <v>30</v>
      </c>
      <c r="L12" t="inlineStr">
        <is>
          <t>5 Juli 2026</t>
        </is>
      </c>
      <c r="M12" t="inlineStr">
        <is>
          <t>Konstruksi Gedung Perkantoran</t>
        </is>
      </c>
      <c r="N12" t="inlineStr">
        <is>
          <t>K</t>
        </is>
      </c>
      <c r="O12" t="inlineStr">
        <is>
          <t>20230628</t>
        </is>
      </c>
      <c r="P12" t="inlineStr">
        <is>
          <t>DKI Jakarta</t>
        </is>
      </c>
      <c r="Q12" t="inlineStr"/>
    </row>
    <row r="13">
      <c r="A13" t="inlineStr">
        <is>
          <t>ADITYA</t>
        </is>
      </c>
      <c r="B13" t="inlineStr">
        <is>
          <t>Kab. Cilacap</t>
        </is>
      </c>
      <c r="C13" t="inlineStr">
        <is>
          <t>081325771243</t>
        </is>
      </c>
      <c r="D13" t="inlineStr">
        <is>
          <t>cvaditya53@gmail.com</t>
        </is>
      </c>
      <c r="E13" t="inlineStr">
        <is>
          <t>https://lpjk.pu.go.id/search-badan-usaha-detail/dGtmNmVyRFRqRjUxZ3VPZ0xHaXlrdz09</t>
        </is>
      </c>
      <c r="F13" t="n">
        <v>2</v>
      </c>
      <c r="G13" t="inlineStr">
        <is>
          <t>BG005, BG006</t>
        </is>
      </c>
      <c r="H13" t="inlineStr">
        <is>
          <t>10 November 2007</t>
        </is>
      </c>
      <c r="I13" s="2" t="n">
        <v>46208</v>
      </c>
      <c r="J13" t="inlineStr">
        <is>
          <t>Disetujui</t>
        </is>
      </c>
      <c r="K13" t="n">
        <v>30</v>
      </c>
      <c r="L13" t="inlineStr">
        <is>
          <t>5 Juli 2026</t>
        </is>
      </c>
      <c r="M13" t="inlineStr">
        <is>
          <t>Konstruksi Gedung Kesehatan, Konstruksi Gedung Pendidikan</t>
        </is>
      </c>
      <c r="N13" t="inlineStr">
        <is>
          <t>K</t>
        </is>
      </c>
      <c r="O13" t="inlineStr">
        <is>
          <t>20230410, 20230703</t>
        </is>
      </c>
      <c r="P13" t="inlineStr">
        <is>
          <t>Jawa Tengah</t>
        </is>
      </c>
      <c r="Q13" t="inlineStr"/>
    </row>
    <row r="14">
      <c r="A14" t="inlineStr">
        <is>
          <t>ALFAREZ KENCANA RAYA</t>
        </is>
      </c>
      <c r="B14" t="inlineStr">
        <is>
          <t>Kab. Muara Enim</t>
        </is>
      </c>
      <c r="C14" t="inlineStr">
        <is>
          <t>081368987935</t>
        </is>
      </c>
      <c r="D14" t="inlineStr">
        <is>
          <t>alfarezky_21@yahoo.com</t>
        </is>
      </c>
      <c r="E14" t="inlineStr">
        <is>
          <t>https://lpjk.pu.go.id/search-badan-usaha-detail/M2dzK1U0eFErcTNLN2hqSlBkS3VTZz09</t>
        </is>
      </c>
      <c r="F14" t="n">
        <v>1</v>
      </c>
      <c r="G14" t="inlineStr">
        <is>
          <t>BG009</t>
        </is>
      </c>
      <c r="H14" t="inlineStr">
        <is>
          <t>16 Januari 2020</t>
        </is>
      </c>
      <c r="I14" s="2" t="n">
        <v>46208</v>
      </c>
      <c r="J14" t="inlineStr">
        <is>
          <t>Disetujui</t>
        </is>
      </c>
      <c r="K14" t="n">
        <v>30</v>
      </c>
      <c r="L14" t="inlineStr">
        <is>
          <t>5 Juli 2026</t>
        </is>
      </c>
      <c r="M14" t="inlineStr">
        <is>
          <t>Konstruksi Gedung Lainnya</t>
        </is>
      </c>
      <c r="N14" t="inlineStr">
        <is>
          <t>K</t>
        </is>
      </c>
      <c r="O14" t="inlineStr">
        <is>
          <t>20230705</t>
        </is>
      </c>
      <c r="P14" t="inlineStr">
        <is>
          <t>Sumatera Selatan</t>
        </is>
      </c>
      <c r="Q14" t="inlineStr"/>
    </row>
    <row r="15">
      <c r="A15" t="inlineStr">
        <is>
          <t>ALFAZZA DAYA MANDIRI</t>
        </is>
      </c>
      <c r="B15" t="inlineStr">
        <is>
          <t>Kota Adm. Jakarta Selatan</t>
        </is>
      </c>
      <c r="C15" t="inlineStr">
        <is>
          <t>081220004424</t>
        </is>
      </c>
      <c r="D15" t="inlineStr">
        <is>
          <t>fembrixs@gmail.com</t>
        </is>
      </c>
      <c r="E15" t="inlineStr">
        <is>
          <t>https://lpjk.pu.go.id/search-badan-usaha-detail/QXI4UUN2dEpzODBLNHU0M21qa2tQUT09</t>
        </is>
      </c>
      <c r="F15" t="n">
        <v>4</v>
      </c>
      <c r="G15" t="inlineStr">
        <is>
          <t>BS007, BS009</t>
        </is>
      </c>
      <c r="H15" t="inlineStr">
        <is>
          <t>26 Juli 2016</t>
        </is>
      </c>
      <c r="I15" s="2" t="n">
        <v>46208</v>
      </c>
      <c r="J15" t="inlineStr">
        <is>
          <t>Pencabutan</t>
        </is>
      </c>
      <c r="K15" t="n">
        <v>30</v>
      </c>
      <c r="L15" t="inlineStr">
        <is>
          <t>5 Juli 2026</t>
        </is>
      </c>
      <c r="M15" t="inlineStr">
        <is>
          <t>Konstruksi Bangunan Sipil Elektrikal, Konstruksi Sentral Telekomunikasi</t>
        </is>
      </c>
      <c r="N15" t="inlineStr">
        <is>
          <t>K</t>
        </is>
      </c>
      <c r="O15" t="inlineStr">
        <is>
          <t>20230705</t>
        </is>
      </c>
      <c r="P15" t="inlineStr">
        <is>
          <t>DKI Jakarta</t>
        </is>
      </c>
      <c r="Q15" t="inlineStr"/>
    </row>
    <row r="16">
      <c r="A16" t="inlineStr">
        <is>
          <t>ALIF SOLUTION</t>
        </is>
      </c>
      <c r="B16" t="inlineStr">
        <is>
          <t>Kota Samarinda</t>
        </is>
      </c>
      <c r="C16" t="inlineStr">
        <is>
          <t>085349498465</t>
        </is>
      </c>
      <c r="D16" t="inlineStr">
        <is>
          <t>alifsolution2019@gmail.com</t>
        </is>
      </c>
      <c r="E16" t="inlineStr">
        <is>
          <t>https://lpjk.pu.go.id/search-badan-usaha-detail/QTM1NWpnamtyN285ZWRlcVdlZis0QT09</t>
        </is>
      </c>
      <c r="F16" t="n">
        <v>3</v>
      </c>
      <c r="G16" t="inlineStr">
        <is>
          <t>BG001, BG002, BG009</t>
        </is>
      </c>
      <c r="H16" t="inlineStr">
        <is>
          <t>6 Maret 2019</t>
        </is>
      </c>
      <c r="I16" s="2" t="n">
        <v>46208</v>
      </c>
      <c r="J16" t="inlineStr">
        <is>
          <t>Disetujui</t>
        </is>
      </c>
      <c r="K16" t="n">
        <v>30</v>
      </c>
      <c r="L16" t="inlineStr">
        <is>
          <t>5 Juli 2026</t>
        </is>
      </c>
      <c r="M16" t="inlineStr">
        <is>
          <t>Konstruksi Gedung Hunian, Konstruksi Gedung Lainnya, Konstruksi Gedung Perkantoran</t>
        </is>
      </c>
      <c r="N16" t="inlineStr">
        <is>
          <t>K</t>
        </is>
      </c>
      <c r="O16" t="inlineStr">
        <is>
          <t>20230704</t>
        </is>
      </c>
      <c r="P16" t="inlineStr">
        <is>
          <t>Kalimantan Timur</t>
        </is>
      </c>
      <c r="Q16" t="inlineStr"/>
    </row>
    <row r="17">
      <c r="A17" t="inlineStr">
        <is>
          <t>ALINDA KARYA</t>
        </is>
      </c>
      <c r="B17" t="inlineStr">
        <is>
          <t>Kab. Bulungan</t>
        </is>
      </c>
      <c r="C17" t="inlineStr">
        <is>
          <t>081350169990</t>
        </is>
      </c>
      <c r="D17" t="inlineStr">
        <is>
          <t>alindakarya@gmail.com</t>
        </is>
      </c>
      <c r="E17" t="inlineStr">
        <is>
          <t>https://lpjk.pu.go.id/search-badan-usaha-detail/MG80VzZrT1AwMk5ZODhLbzh3bGRUdz09</t>
        </is>
      </c>
      <c r="F17" t="n">
        <v>1</v>
      </c>
      <c r="G17" t="inlineStr">
        <is>
          <t>BS001</t>
        </is>
      </c>
      <c r="H17" t="inlineStr">
        <is>
          <t>29 Agustus 2022</t>
        </is>
      </c>
      <c r="I17" s="2" t="n">
        <v>46208</v>
      </c>
      <c r="J17" t="inlineStr">
        <is>
          <t>Pencabutan</t>
        </is>
      </c>
      <c r="K17" t="n">
        <v>30</v>
      </c>
      <c r="L17" t="inlineStr">
        <is>
          <t>5 Juli 2026</t>
        </is>
      </c>
      <c r="M17" t="inlineStr">
        <is>
          <t>Konstruksi Bangunan Sipil Jalan</t>
        </is>
      </c>
      <c r="N17" t="inlineStr">
        <is>
          <t>K</t>
        </is>
      </c>
      <c r="O17" t="inlineStr">
        <is>
          <t>20230627</t>
        </is>
      </c>
      <c r="P17" t="inlineStr">
        <is>
          <t>Kalimantan Utara</t>
        </is>
      </c>
      <c r="Q17" t="inlineStr"/>
    </row>
    <row r="18">
      <c r="A18" t="inlineStr">
        <is>
          <t>AMANAH</t>
        </is>
      </c>
      <c r="B18" t="inlineStr">
        <is>
          <t>Kab. Balangan</t>
        </is>
      </c>
      <c r="C18" t="inlineStr">
        <is>
          <t>082255645599</t>
        </is>
      </c>
      <c r="D18" t="inlineStr">
        <is>
          <t>amanahcv18@gmail.com</t>
        </is>
      </c>
      <c r="E18" t="inlineStr">
        <is>
          <t>https://lpjk.pu.go.id/search-badan-usaha-detail/dUxzcXRhK0xzT0ExVzFqRVg3bmJwZz09</t>
        </is>
      </c>
      <c r="F18" t="n">
        <v>6</v>
      </c>
      <c r="G18" t="inlineStr">
        <is>
          <t>BS001, BS004</t>
        </is>
      </c>
      <c r="H18" t="inlineStr">
        <is>
          <t>19 Januari 2009</t>
        </is>
      </c>
      <c r="I18" s="2" t="n">
        <v>46208</v>
      </c>
      <c r="J18" t="inlineStr">
        <is>
          <t>Disetujui</t>
        </is>
      </c>
      <c r="K18" t="n">
        <v>30</v>
      </c>
      <c r="L18" t="inlineStr">
        <is>
          <t>5 Juli 2026</t>
        </is>
      </c>
      <c r="M18" t="inlineStr">
        <is>
          <t>Konstruksi Bangunan Sipil Jalan, Konstruksi Jaringan Irigasi dan Drainase</t>
        </is>
      </c>
      <c r="N18" t="inlineStr">
        <is>
          <t>K</t>
        </is>
      </c>
      <c r="O18" t="inlineStr">
        <is>
          <t>20230619</t>
        </is>
      </c>
      <c r="P18" t="inlineStr">
        <is>
          <t>Kalimantan Selatan</t>
        </is>
      </c>
      <c r="Q18" t="inlineStr"/>
    </row>
    <row r="19">
      <c r="A19" t="inlineStr">
        <is>
          <t>AMANAH PERDANA IBU</t>
        </is>
      </c>
      <c r="B19" t="inlineStr">
        <is>
          <t>Kab. Solok</t>
        </is>
      </c>
      <c r="C19" t="inlineStr">
        <is>
          <t>081270535520</t>
        </is>
      </c>
      <c r="D19" t="inlineStr">
        <is>
          <t>amanahperdanaibu12@gmail.com</t>
        </is>
      </c>
      <c r="E19" t="inlineStr">
        <is>
          <t>https://lpjk.pu.go.id/search-badan-usaha-detail/M3pXVzNaelBHU0g2VHZOZzlZNExkQT09</t>
        </is>
      </c>
      <c r="F19" t="n">
        <v>6</v>
      </c>
      <c r="G19" t="inlineStr">
        <is>
          <t>BS002, BS004</t>
        </is>
      </c>
      <c r="H19" t="inlineStr">
        <is>
          <t>9 Juli 2019</t>
        </is>
      </c>
      <c r="I19" s="2" t="n">
        <v>46208</v>
      </c>
      <c r="J19" t="inlineStr">
        <is>
          <t>Disetujui</t>
        </is>
      </c>
      <c r="K19" t="n">
        <v>30</v>
      </c>
      <c r="L19" t="inlineStr">
        <is>
          <t>5 Juli 2026</t>
        </is>
      </c>
      <c r="M19" t="inlineStr">
        <is>
          <t>Bangunan Sipil Jembatan, Jalan Layang, Fly Over, dan Underpass, Konstruksi Jaringan Irigasi dan Drainase</t>
        </is>
      </c>
      <c r="N19" t="inlineStr">
        <is>
          <t>K</t>
        </is>
      </c>
      <c r="O19" t="inlineStr">
        <is>
          <t>20230704, 20230705</t>
        </is>
      </c>
      <c r="P19" t="inlineStr">
        <is>
          <t>Sumatera Barat</t>
        </is>
      </c>
      <c r="Q19" t="inlineStr"/>
    </row>
    <row r="20">
      <c r="A20" t="inlineStr">
        <is>
          <t>AMINUDDIN JAYA MIX</t>
        </is>
      </c>
      <c r="B20" t="inlineStr">
        <is>
          <t>Kab. Sampang</t>
        </is>
      </c>
      <c r="C20" t="inlineStr">
        <is>
          <t>085335222200</t>
        </is>
      </c>
      <c r="D20" t="inlineStr">
        <is>
          <t>aminuddincv@gmail.com</t>
        </is>
      </c>
      <c r="E20" t="inlineStr">
        <is>
          <t>https://lpjk.pu.go.id/search-badan-usaha-detail/dmtSS1djcitPUlU1cHQvZnRqc0lvUT09</t>
        </is>
      </c>
      <c r="F20" t="n">
        <v>1</v>
      </c>
      <c r="G20" t="inlineStr">
        <is>
          <t>BS001</t>
        </is>
      </c>
      <c r="H20" t="inlineStr">
        <is>
          <t>2 Juli 2019</t>
        </is>
      </c>
      <c r="I20" s="2" t="n">
        <v>46208</v>
      </c>
      <c r="J20" t="inlineStr">
        <is>
          <t>Disetujui</t>
        </is>
      </c>
      <c r="K20" t="n">
        <v>30</v>
      </c>
      <c r="L20" t="inlineStr">
        <is>
          <t>5 Juli 2026</t>
        </is>
      </c>
      <c r="M20" t="inlineStr">
        <is>
          <t>Konstruksi Bangunan Sipil Jalan</t>
        </is>
      </c>
      <c r="N20" t="inlineStr">
        <is>
          <t>K</t>
        </is>
      </c>
      <c r="O20" t="inlineStr">
        <is>
          <t>20230616</t>
        </is>
      </c>
      <c r="P20" t="inlineStr">
        <is>
          <t>Jawa Timur</t>
        </is>
      </c>
      <c r="Q20" t="inlineStr"/>
    </row>
    <row r="21">
      <c r="A21" t="inlineStr">
        <is>
          <t>ANDI KARYA</t>
        </is>
      </c>
      <c r="B21" t="inlineStr">
        <is>
          <t>Kab. Sumenep</t>
        </is>
      </c>
      <c r="C21" t="inlineStr">
        <is>
          <t>08179311342</t>
        </is>
      </c>
      <c r="D21" t="inlineStr">
        <is>
          <t>abdurrahman.andikarya1972@yahoo.com</t>
        </is>
      </c>
      <c r="E21" t="inlineStr">
        <is>
          <t>https://lpjk.pu.go.id/search-badan-usaha-detail/aTNhNTIzU1JZR3gvWEJpTUR5YkJMQT09</t>
        </is>
      </c>
      <c r="F21" t="n">
        <v>1</v>
      </c>
      <c r="G21" t="inlineStr">
        <is>
          <t>BS001</t>
        </is>
      </c>
      <c r="H21" t="inlineStr">
        <is>
          <t>29 April 1997</t>
        </is>
      </c>
      <c r="I21" s="2" t="n">
        <v>46208</v>
      </c>
      <c r="J21" t="inlineStr">
        <is>
          <t>Disetujui</t>
        </is>
      </c>
      <c r="K21" t="n">
        <v>30</v>
      </c>
      <c r="L21" t="inlineStr">
        <is>
          <t>5 Juli 2026</t>
        </is>
      </c>
      <c r="M21" t="inlineStr">
        <is>
          <t>Konstruksi Bangunan Sipil Jalan</t>
        </is>
      </c>
      <c r="N21" t="inlineStr">
        <is>
          <t>K</t>
        </is>
      </c>
      <c r="O21" t="inlineStr">
        <is>
          <t>20230704</t>
        </is>
      </c>
      <c r="P21" t="inlineStr">
        <is>
          <t>Jawa Timur</t>
        </is>
      </c>
      <c r="Q21" t="inlineStr"/>
    </row>
    <row r="22">
      <c r="A22" t="inlineStr">
        <is>
          <t>ANEKA TATA SARANA</t>
        </is>
      </c>
      <c r="B22" t="inlineStr">
        <is>
          <t>Kab. Pati</t>
        </is>
      </c>
      <c r="C22" t="inlineStr">
        <is>
          <t>89654399997</t>
        </is>
      </c>
      <c r="D22" t="inlineStr">
        <is>
          <t>pt.anekatatasarana@gmail.com</t>
        </is>
      </c>
      <c r="E22" t="inlineStr">
        <is>
          <t>https://lpjk.pu.go.id/search-badan-usaha-detail/dkQ3U2FzTFArS1BSeDZoZFkxUGZDQT09</t>
        </is>
      </c>
      <c r="F22" t="n">
        <v>2</v>
      </c>
      <c r="G22" t="inlineStr">
        <is>
          <t>BS012, BS016</t>
        </is>
      </c>
      <c r="H22" t="inlineStr">
        <is>
          <t>14 Januari 2016</t>
        </is>
      </c>
      <c r="I22" s="2" t="n">
        <v>46208</v>
      </c>
      <c r="J22" t="inlineStr">
        <is>
          <t>Pencabutan</t>
        </is>
      </c>
      <c r="K22" t="n">
        <v>30</v>
      </c>
      <c r="L22" t="inlineStr">
        <is>
          <t>5 Juli 2026</t>
        </is>
      </c>
      <c r="M22" t="inlineStr">
        <is>
          <t>Konstruksi Bangunan Pelabuhan Perikanan, Konstruksi Bangunan Sipil Fasilitas Olah Raga</t>
        </is>
      </c>
      <c r="N22" t="inlineStr">
        <is>
          <t>K, M</t>
        </is>
      </c>
      <c r="O22" t="inlineStr">
        <is>
          <t>20220727, 20230704</t>
        </is>
      </c>
      <c r="P22" t="inlineStr">
        <is>
          <t>Jawa Tengah</t>
        </is>
      </c>
      <c r="Q22" t="inlineStr"/>
    </row>
    <row r="23">
      <c r="A23" t="inlineStr">
        <is>
          <t>ARCA KENCANA</t>
        </is>
      </c>
      <c r="B23" t="inlineStr">
        <is>
          <t>Kota Tebing Tinggi</t>
        </is>
      </c>
      <c r="C23" t="inlineStr">
        <is>
          <t>08116232309</t>
        </is>
      </c>
      <c r="D23" t="inlineStr">
        <is>
          <t>cv.arcakencana@yahoo.co.id</t>
        </is>
      </c>
      <c r="E23" t="inlineStr">
        <is>
          <t>https://lpjk.pu.go.id/search-badan-usaha-detail/MEZzdTRQOERRZndRZlNZSExjaVYxUT09</t>
        </is>
      </c>
      <c r="F23" t="n">
        <v>1</v>
      </c>
      <c r="G23" t="inlineStr">
        <is>
          <t>BG009</t>
        </is>
      </c>
      <c r="H23" t="inlineStr">
        <is>
          <t>30 September 2014</t>
        </is>
      </c>
      <c r="I23" s="2" t="n">
        <v>46208</v>
      </c>
      <c r="J23" t="inlineStr">
        <is>
          <t>Pencabutan</t>
        </is>
      </c>
      <c r="K23" t="n">
        <v>30</v>
      </c>
      <c r="L23" t="inlineStr">
        <is>
          <t>5 Juli 2026</t>
        </is>
      </c>
      <c r="M23" t="inlineStr">
        <is>
          <t>Konstruksi Gedung Lainnya</t>
        </is>
      </c>
      <c r="N23" t="inlineStr">
        <is>
          <t>K</t>
        </is>
      </c>
      <c r="O23" t="inlineStr">
        <is>
          <t>20230704</t>
        </is>
      </c>
      <c r="P23" t="inlineStr">
        <is>
          <t>Sumatera Utara</t>
        </is>
      </c>
      <c r="Q23" t="inlineStr"/>
    </row>
    <row r="24">
      <c r="A24" t="inlineStr">
        <is>
          <t>ARSA RADHIKA</t>
        </is>
      </c>
      <c r="B24" t="inlineStr">
        <is>
          <t>Kab. Banyumas</t>
        </is>
      </c>
      <c r="C24" t="inlineStr">
        <is>
          <t>085600395553</t>
        </is>
      </c>
      <c r="D24" t="inlineStr">
        <is>
          <t>arsaradhika2023@gmail.com</t>
        </is>
      </c>
      <c r="E24" t="inlineStr">
        <is>
          <t>https://lpjk.pu.go.id/search-badan-usaha-detail/OVkyYng1bWx5RUJHRktLa1I0OW5nUT09</t>
        </is>
      </c>
      <c r="F24" t="n">
        <v>1</v>
      </c>
      <c r="G24" t="inlineStr">
        <is>
          <t>BG006</t>
        </is>
      </c>
      <c r="H24" t="inlineStr">
        <is>
          <t>4 Maret 2025</t>
        </is>
      </c>
      <c r="I24" s="2" t="n">
        <v>46208</v>
      </c>
      <c r="J24" t="inlineStr">
        <is>
          <t>Disetujui</t>
        </is>
      </c>
      <c r="K24" t="n">
        <v>30</v>
      </c>
      <c r="L24" t="inlineStr">
        <is>
          <t>5 Juli 2026</t>
        </is>
      </c>
      <c r="M24" t="inlineStr">
        <is>
          <t>Konstruksi Gedung Pendidikan</t>
        </is>
      </c>
      <c r="N24" t="inlineStr">
        <is>
          <t>K</t>
        </is>
      </c>
      <c r="O24" t="inlineStr">
        <is>
          <t>20230704</t>
        </is>
      </c>
      <c r="P24" t="inlineStr">
        <is>
          <t>Jawa Tengah</t>
        </is>
      </c>
      <c r="Q24" t="inlineStr"/>
    </row>
    <row r="25">
      <c r="A25" t="inlineStr">
        <is>
          <t>ARTHA KARYA PERKASA</t>
        </is>
      </c>
      <c r="B25" t="inlineStr">
        <is>
          <t>Kab. Tangerang</t>
        </is>
      </c>
      <c r="C25" t="inlineStr">
        <is>
          <t>08162209927</t>
        </is>
      </c>
      <c r="D25" t="inlineStr">
        <is>
          <t>pt.arthakaryaperkasa@gmail.com</t>
        </is>
      </c>
      <c r="E25" t="inlineStr">
        <is>
          <t>https://lpjk.pu.go.id/search-badan-usaha-detail/YjJYVEp3aHN1Q2ZPRnZnU1NKNFQ0dz09</t>
        </is>
      </c>
      <c r="F25" t="n">
        <v>1</v>
      </c>
      <c r="G25" t="inlineStr">
        <is>
          <t>BG009</t>
        </is>
      </c>
      <c r="H25" t="inlineStr">
        <is>
          <t>19 Mei 2023</t>
        </is>
      </c>
      <c r="I25" s="2" t="n">
        <v>46208</v>
      </c>
      <c r="J25" t="inlineStr">
        <is>
          <t>Disetujui</t>
        </is>
      </c>
      <c r="K25" t="n">
        <v>30</v>
      </c>
      <c r="L25" t="inlineStr">
        <is>
          <t>5 Juli 2026</t>
        </is>
      </c>
      <c r="M25" t="inlineStr">
        <is>
          <t>Konstruksi Gedung Lainnya</t>
        </is>
      </c>
      <c r="N25" t="inlineStr">
        <is>
          <t>K</t>
        </is>
      </c>
      <c r="O25" t="inlineStr">
        <is>
          <t>20230704</t>
        </is>
      </c>
      <c r="P25" t="inlineStr">
        <is>
          <t>Banten</t>
        </is>
      </c>
      <c r="Q25" t="inlineStr"/>
    </row>
    <row r="26">
      <c r="A26" t="inlineStr">
        <is>
          <t>ARUNG PALAKKA</t>
        </is>
      </c>
      <c r="B26" t="inlineStr">
        <is>
          <t>Kota Palu</t>
        </is>
      </c>
      <c r="C26" t="inlineStr">
        <is>
          <t>081289362255</t>
        </is>
      </c>
      <c r="D26" t="inlineStr">
        <is>
          <t>elvisamir79@gmail.com</t>
        </is>
      </c>
      <c r="E26" t="inlineStr">
        <is>
          <t>https://lpjk.pu.go.id/search-badan-usaha-detail/UEhJRlZQS0MwMjRXblphb3FqbnJidz09</t>
        </is>
      </c>
      <c r="F26" t="n">
        <v>5</v>
      </c>
      <c r="G26" t="inlineStr">
        <is>
          <t>BG001, BG002, BG005, BG006, BG009</t>
        </is>
      </c>
      <c r="H26" t="inlineStr">
        <is>
          <t>31 Agustus 2016</t>
        </is>
      </c>
      <c r="I26" s="2" t="n">
        <v>46208</v>
      </c>
      <c r="J26" t="inlineStr">
        <is>
          <t>Disetujui</t>
        </is>
      </c>
      <c r="K26" t="n">
        <v>30</v>
      </c>
      <c r="L26" t="inlineStr">
        <is>
          <t>5 Juli 2026</t>
        </is>
      </c>
      <c r="M26" t="inlineStr">
        <is>
          <t>Konstruksi Gedung Hunian, Konstruksi Gedung Kesehatan, Konstruksi Gedung Lainnya, Konstruksi Gedung Pendidikan, Konstruksi Gedung Perkantoran</t>
        </is>
      </c>
      <c r="N26" t="inlineStr">
        <is>
          <t>K</t>
        </is>
      </c>
      <c r="O26" t="inlineStr">
        <is>
          <t>20230627, 20230703, 20230704</t>
        </is>
      </c>
      <c r="P26" t="inlineStr">
        <is>
          <t>Sulawesi Tengah</t>
        </is>
      </c>
      <c r="Q26" t="inlineStr"/>
    </row>
    <row r="27">
      <c r="A27" t="inlineStr">
        <is>
          <t>AWANDANI MANDIRI</t>
        </is>
      </c>
      <c r="B27" t="inlineStr">
        <is>
          <t>Kab. Halmahera Timur</t>
        </is>
      </c>
      <c r="C27" t="inlineStr">
        <is>
          <t>082211041492</t>
        </is>
      </c>
      <c r="D27" t="inlineStr">
        <is>
          <t>awandani17@gmail.com</t>
        </is>
      </c>
      <c r="E27" t="inlineStr">
        <is>
          <t>https://lpjk.pu.go.id/search-badan-usaha-detail/S3h5eDRDWHM1cnppanhmeUJiL3Vrdz09</t>
        </is>
      </c>
      <c r="F27" t="n">
        <v>1</v>
      </c>
      <c r="G27" t="inlineStr">
        <is>
          <t>BS010</t>
        </is>
      </c>
      <c r="H27" t="inlineStr">
        <is>
          <t>25 Januari 2011</t>
        </is>
      </c>
      <c r="I27" s="2" t="n">
        <v>46208</v>
      </c>
      <c r="J27" t="inlineStr">
        <is>
          <t>Disetujui</t>
        </is>
      </c>
      <c r="K27" t="n">
        <v>30</v>
      </c>
      <c r="L27" t="inlineStr">
        <is>
          <t>5 Juli 2026</t>
        </is>
      </c>
      <c r="M27" t="inlineStr">
        <is>
          <t>Konstruksi Bangunan Prasarana Sumber Daya Air</t>
        </is>
      </c>
      <c r="N27" t="inlineStr">
        <is>
          <t>K</t>
        </is>
      </c>
      <c r="O27" t="inlineStr">
        <is>
          <t>20230706</t>
        </is>
      </c>
      <c r="P27" t="inlineStr">
        <is>
          <t>Maluku Utara</t>
        </is>
      </c>
      <c r="Q27" t="inlineStr"/>
    </row>
    <row r="28">
      <c r="A28" t="inlineStr">
        <is>
          <t>BANGUN SAMUDRA MANDIRI</t>
        </is>
      </c>
      <c r="B28" t="inlineStr">
        <is>
          <t>Kab. Kepulauan Selayar</t>
        </is>
      </c>
      <c r="C28" t="inlineStr">
        <is>
          <t>082190919222</t>
        </is>
      </c>
      <c r="D28" t="inlineStr">
        <is>
          <t>bangunsamudra_mandiri@yahoo.com</t>
        </is>
      </c>
      <c r="E28" t="inlineStr">
        <is>
          <t>https://lpjk.pu.go.id/search-badan-usaha-detail/ZytDM09FTGd4bGdwZ21kRDBWU3Zodz09</t>
        </is>
      </c>
      <c r="F28" t="n">
        <v>1</v>
      </c>
      <c r="G28" t="inlineStr">
        <is>
          <t>BS004</t>
        </is>
      </c>
      <c r="H28" t="inlineStr">
        <is>
          <t>1 Februari 2017</t>
        </is>
      </c>
      <c r="I28" s="2" t="n">
        <v>46208</v>
      </c>
      <c r="J28" t="inlineStr">
        <is>
          <t>Disetujui</t>
        </is>
      </c>
      <c r="K28" t="n">
        <v>30</v>
      </c>
      <c r="L28" t="inlineStr">
        <is>
          <t>5 Juli 2026</t>
        </is>
      </c>
      <c r="M28" t="inlineStr">
        <is>
          <t>Konstruksi Jaringan Irigasi dan Drainase</t>
        </is>
      </c>
      <c r="N28" t="inlineStr">
        <is>
          <t>K</t>
        </is>
      </c>
      <c r="O28" t="inlineStr">
        <is>
          <t>20230706</t>
        </is>
      </c>
      <c r="P28" t="inlineStr">
        <is>
          <t>Sulawesi Selatan</t>
        </is>
      </c>
      <c r="Q28" t="inlineStr"/>
    </row>
    <row r="29">
      <c r="A29" t="inlineStr">
        <is>
          <t>BANTENG KAWAREGAN INDONESIA</t>
        </is>
      </c>
      <c r="B29" t="inlineStr">
        <is>
          <t>Kota Bandung</t>
        </is>
      </c>
      <c r="C29" t="inlineStr">
        <is>
          <t>082116588430</t>
        </is>
      </c>
      <c r="D29" t="inlineStr">
        <is>
          <t>bantengkawaregan.indonesia@gmail.com</t>
        </is>
      </c>
      <c r="E29" t="inlineStr">
        <is>
          <t>https://lpjk.pu.go.id/search-badan-usaha-detail/N2RhOXlGNERWWkh1TkhjL1g5R1FWQT09</t>
        </is>
      </c>
      <c r="F29" t="n">
        <v>2</v>
      </c>
      <c r="G29" t="inlineStr">
        <is>
          <t>AR001, AR002</t>
        </is>
      </c>
      <c r="H29" t="inlineStr">
        <is>
          <t>30 September 2022</t>
        </is>
      </c>
      <c r="I29" s="2" t="n">
        <v>46208</v>
      </c>
      <c r="J29" t="inlineStr">
        <is>
          <t>Pencabutan</t>
        </is>
      </c>
      <c r="K29" t="n">
        <v>30</v>
      </c>
      <c r="L29" t="inlineStr">
        <is>
          <t>5 Juli 2026</t>
        </is>
      </c>
      <c r="M29" t="inlineStr">
        <is>
          <t>Jasa Arsitektural Bangunan Gedung Hunian dan Non Hunian, Jasa Arsitektural Lainnya</t>
        </is>
      </c>
      <c r="N29" t="inlineStr">
        <is>
          <t>K</t>
        </is>
      </c>
      <c r="O29" t="inlineStr">
        <is>
          <t>20230620, 20230621</t>
        </is>
      </c>
      <c r="P29" t="inlineStr">
        <is>
          <t>Jawa Barat</t>
        </is>
      </c>
      <c r="Q29" t="inlineStr"/>
    </row>
    <row r="30">
      <c r="A30" t="inlineStr">
        <is>
          <t>BAROKAH CAHAYA KONSTRUKSI</t>
        </is>
      </c>
      <c r="B30" t="inlineStr">
        <is>
          <t>Kab. Sleman</t>
        </is>
      </c>
      <c r="C30" t="inlineStr">
        <is>
          <t>081772896001</t>
        </is>
      </c>
      <c r="D30" t="inlineStr">
        <is>
          <t>barokahcahaya91@gmail.com</t>
        </is>
      </c>
      <c r="E30" t="inlineStr">
        <is>
          <t>https://lpjk.pu.go.id/search-badan-usaha-detail/VEp4VW9VNWxMaHRGUEhnK0U0MzdIQT09</t>
        </is>
      </c>
      <c r="F30" t="n">
        <v>2</v>
      </c>
      <c r="G30" t="inlineStr">
        <is>
          <t>BS006</t>
        </is>
      </c>
      <c r="H30" t="inlineStr">
        <is>
          <t>10 Mei 2023</t>
        </is>
      </c>
      <c r="I30" s="2" t="n">
        <v>46208</v>
      </c>
      <c r="J30" t="inlineStr">
        <is>
          <t>Disetujui, Permohonan Perpanjangan</t>
        </is>
      </c>
      <c r="K30" t="n">
        <v>30</v>
      </c>
      <c r="L30" t="inlineStr">
        <is>
          <t>5 Juli 2026</t>
        </is>
      </c>
      <c r="M30" t="inlineStr">
        <is>
          <t>Konstruksi Bangunan Sipil Prasarana dan Sarana Sistem Pengolahan Limbah Padat, Cair, dan Gas</t>
        </is>
      </c>
      <c r="N30" t="inlineStr">
        <is>
          <t>K</t>
        </is>
      </c>
      <c r="O30" t="inlineStr">
        <is>
          <t>20230702</t>
        </is>
      </c>
      <c r="P30" t="inlineStr">
        <is>
          <t>DI Yogyakarta</t>
        </is>
      </c>
      <c r="Q30" t="inlineStr"/>
    </row>
    <row r="31">
      <c r="A31" t="inlineStr">
        <is>
          <t>BERINGIN JAYA</t>
        </is>
      </c>
      <c r="B31" t="inlineStr">
        <is>
          <t>Kab. Banjar</t>
        </is>
      </c>
      <c r="C31" t="inlineStr">
        <is>
          <t>08125067344</t>
        </is>
      </c>
      <c r="D31" t="inlineStr">
        <is>
          <t>beringin_jaya@rocketmail.com</t>
        </is>
      </c>
      <c r="E31" t="inlineStr">
        <is>
          <t>https://lpjk.pu.go.id/search-badan-usaha-detail/cG5HTFNBQURUK1YrbmZkNmo1cXVDZz09</t>
        </is>
      </c>
      <c r="F31" t="n">
        <v>4</v>
      </c>
      <c r="G31" t="inlineStr">
        <is>
          <t>BG005, BG006, BG009, BS001</t>
        </is>
      </c>
      <c r="H31" t="inlineStr">
        <is>
          <t>3 Desember 1980</t>
        </is>
      </c>
      <c r="I31" s="2" t="n">
        <v>46208</v>
      </c>
      <c r="J31" t="inlineStr">
        <is>
          <t>Disetujui</t>
        </is>
      </c>
      <c r="K31" t="n">
        <v>30</v>
      </c>
      <c r="L31" t="inlineStr">
        <is>
          <t>5 Juli 2026</t>
        </is>
      </c>
      <c r="M31" t="inlineStr">
        <is>
          <t>Konstruksi Bangunan Sipil Jalan, Konstruksi Gedung Kesehatan, Konstruksi Gedung Lainnya, Konstruksi Gedung Pendidikan</t>
        </is>
      </c>
      <c r="N31" t="inlineStr">
        <is>
          <t>K</t>
        </is>
      </c>
      <c r="O31" t="inlineStr">
        <is>
          <t>20230703, 20230704</t>
        </is>
      </c>
      <c r="P31" t="inlineStr">
        <is>
          <t>Kalimantan Selatan</t>
        </is>
      </c>
      <c r="Q31" t="inlineStr"/>
    </row>
    <row r="32">
      <c r="A32" t="inlineStr">
        <is>
          <t>BERKAH JAYA ABADI</t>
        </is>
      </c>
      <c r="B32" t="inlineStr">
        <is>
          <t>Kota Salatiga</t>
        </is>
      </c>
      <c r="C32" t="inlineStr">
        <is>
          <t>085960001970</t>
        </is>
      </c>
      <c r="D32" t="inlineStr">
        <is>
          <t>amin_berkahjayaabadi@yahoo.com</t>
        </is>
      </c>
      <c r="E32" t="inlineStr">
        <is>
          <t>https://lpjk.pu.go.id/search-badan-usaha-detail/a1d1VS9VdFJOUVhFYmZGR054R0E1Zz09</t>
        </is>
      </c>
      <c r="F32" t="n">
        <v>12</v>
      </c>
      <c r="G32" t="inlineStr">
        <is>
          <t>BG002, BG004, BG006, BG009, BS004, BS010</t>
        </is>
      </c>
      <c r="H32" t="inlineStr">
        <is>
          <t>6 Januari 2010</t>
        </is>
      </c>
      <c r="I32" s="2" t="n">
        <v>46208</v>
      </c>
      <c r="J32" t="inlineStr">
        <is>
          <t>Disetujui</t>
        </is>
      </c>
      <c r="K32" t="n">
        <v>30</v>
      </c>
      <c r="L32" t="inlineStr">
        <is>
          <t>5 Juli 2026</t>
        </is>
      </c>
      <c r="M32" t="inlineStr">
        <is>
          <t>Konstruksi Bangunan Prasarana Sumber Daya Air, Konstruksi Gedung Lainnya, Konstruksi Gedung Pendidikan, Konstruksi Gedung Perbelanjaan, Konstruksi Gedung Perkantoran, Konstruksi Jaringan Irigasi dan Drainase</t>
        </is>
      </c>
      <c r="N32" t="inlineStr">
        <is>
          <t>K</t>
        </is>
      </c>
      <c r="O32" t="inlineStr">
        <is>
          <t>20230627, 20230704</t>
        </is>
      </c>
      <c r="P32" t="inlineStr">
        <is>
          <t>Jawa Tengah</t>
        </is>
      </c>
      <c r="Q32" t="inlineStr"/>
    </row>
    <row r="33">
      <c r="A33" t="inlineStr">
        <is>
          <t>BINTANG ABADI INDONUSA</t>
        </is>
      </c>
      <c r="B33" t="inlineStr">
        <is>
          <t>Kota Adm. Jakarta Utara</t>
        </is>
      </c>
      <c r="C33" t="inlineStr">
        <is>
          <t>082170266665</t>
        </is>
      </c>
      <c r="D33" t="inlineStr">
        <is>
          <t>bintangabadiindonusa@gmail.com</t>
        </is>
      </c>
      <c r="E33" t="inlineStr">
        <is>
          <t>https://lpjk.pu.go.id/search-badan-usaha-detail/VnRGRkd4UEVZSEhGdERCb3JaSHprUT09</t>
        </is>
      </c>
      <c r="F33" t="n">
        <v>2</v>
      </c>
      <c r="G33" t="inlineStr">
        <is>
          <t>IN003</t>
        </is>
      </c>
      <c r="H33" t="inlineStr">
        <is>
          <t>9 Juni 2023</t>
        </is>
      </c>
      <c r="I33" s="2" t="n">
        <v>46208</v>
      </c>
      <c r="J33" t="inlineStr">
        <is>
          <t>Disetujui</t>
        </is>
      </c>
      <c r="K33" t="n">
        <v>30</v>
      </c>
      <c r="L33" t="inlineStr">
        <is>
          <t>5 Juli 2026</t>
        </is>
      </c>
      <c r="M33" t="inlineStr">
        <is>
          <t>Instalasi Peralatan Infrastruktur Pertambangan dan Manufaktur</t>
        </is>
      </c>
      <c r="N33" t="inlineStr">
        <is>
          <t>Spesialis</t>
        </is>
      </c>
      <c r="O33" t="inlineStr">
        <is>
          <t>20230704</t>
        </is>
      </c>
      <c r="P33" t="inlineStr">
        <is>
          <t>DKI Jakarta</t>
        </is>
      </c>
      <c r="Q33" t="inlineStr"/>
    </row>
    <row r="34">
      <c r="A34" t="inlineStr">
        <is>
          <t>BINTANG KECIL</t>
        </is>
      </c>
      <c r="B34" t="inlineStr">
        <is>
          <t>Kab. Tapin</t>
        </is>
      </c>
      <c r="C34" t="inlineStr">
        <is>
          <t>082113579911</t>
        </is>
      </c>
      <c r="D34" t="inlineStr">
        <is>
          <t>bintangkecil.cv@gmail.com</t>
        </is>
      </c>
      <c r="E34" t="inlineStr">
        <is>
          <t>https://lpjk.pu.go.id/search-badan-usaha-detail/U2prVG5YVzF6UDNnUENGRkhXcHFwQT09</t>
        </is>
      </c>
      <c r="F34" t="n">
        <v>8</v>
      </c>
      <c r="G34" t="inlineStr">
        <is>
          <t>BG002, BG005, BG006, BG009</t>
        </is>
      </c>
      <c r="H34" t="inlineStr">
        <is>
          <t>12 Maret 2004</t>
        </is>
      </c>
      <c r="I34" s="2" t="n">
        <v>46208</v>
      </c>
      <c r="J34" t="inlineStr">
        <is>
          <t>Disetujui</t>
        </is>
      </c>
      <c r="K34" t="n">
        <v>30</v>
      </c>
      <c r="L34" t="inlineStr">
        <is>
          <t>5 Juli 2026</t>
        </is>
      </c>
      <c r="M34" t="inlineStr">
        <is>
          <t>Konstruksi Gedung Kesehatan, Konstruksi Gedung Lainnya, Konstruksi Gedung Pendidikan, Konstruksi Gedung Perkantoran</t>
        </is>
      </c>
      <c r="N34" t="inlineStr">
        <is>
          <t>K</t>
        </is>
      </c>
      <c r="O34" t="inlineStr">
        <is>
          <t>20230703</t>
        </is>
      </c>
      <c r="P34" t="inlineStr">
        <is>
          <t>Kalimantan Selatan</t>
        </is>
      </c>
      <c r="Q34" t="inlineStr"/>
    </row>
    <row r="35">
      <c r="A35" t="inlineStr">
        <is>
          <t>BINTANG SURYA AGUNG</t>
        </is>
      </c>
      <c r="B35" t="inlineStr">
        <is>
          <t>Kota Banda Aceh</t>
        </is>
      </c>
      <c r="C35" t="inlineStr">
        <is>
          <t>081360257866</t>
        </is>
      </c>
      <c r="D35" t="inlineStr">
        <is>
          <t>bintangsuryaagung99@gmail.com</t>
        </is>
      </c>
      <c r="E35" t="inlineStr">
        <is>
          <t>https://lpjk.pu.go.id/search-badan-usaha-detail/T3RrZkluUlBuYlpZWFM5WFpKNkc0TmlFUTFsckR4MFhtWEp6Q2dVM1dYYz0</t>
        </is>
      </c>
      <c r="F35" t="n">
        <v>4</v>
      </c>
      <c r="G35" t="inlineStr">
        <is>
          <t>RK001, RK003</t>
        </is>
      </c>
      <c r="H35" t="inlineStr">
        <is>
          <t>24 September 2019</t>
        </is>
      </c>
      <c r="I35" s="2" t="n">
        <v>46208</v>
      </c>
      <c r="J35" t="inlineStr">
        <is>
          <t>Konfirmasi Pembayaran, Verifikasi Pembayaran</t>
        </is>
      </c>
      <c r="K35" t="n">
        <v>30</v>
      </c>
      <c r="L35" t="inlineStr">
        <is>
          <t>5 Juli 2026</t>
        </is>
      </c>
      <c r="M35" t="inlineStr">
        <is>
          <t>Jasa Rekayasa Konstruksi Bangunan Gedung Hunian dan Non Hunian, Jasa Rekayasa Pekerjaan Teknik Sipil Transportasi</t>
        </is>
      </c>
      <c r="N35" t="inlineStr">
        <is>
          <t>K</t>
        </is>
      </c>
      <c r="O35" t="inlineStr">
        <is>
          <t>20230608</t>
        </is>
      </c>
      <c r="P35" t="inlineStr">
        <is>
          <t>Aceh</t>
        </is>
      </c>
      <c r="Q35" t="inlineStr"/>
    </row>
    <row r="36">
      <c r="A36" t="inlineStr">
        <is>
          <t>BUMI AREA KONSULTAN</t>
        </is>
      </c>
      <c r="B36" t="inlineStr">
        <is>
          <t>Kota Medan</t>
        </is>
      </c>
      <c r="C36" t="inlineStr">
        <is>
          <t>081233134042</t>
        </is>
      </c>
      <c r="D36" t="inlineStr">
        <is>
          <t>cvbumiareakonsultan@gmail.com</t>
        </is>
      </c>
      <c r="E36" t="inlineStr">
        <is>
          <t>https://lpjk.pu.go.id/search-badan-usaha-detail/ZXJNdUx1N2MwQ0h4cUJzSThnSC8rQT09</t>
        </is>
      </c>
      <c r="F36" t="n">
        <v>1</v>
      </c>
      <c r="G36" t="inlineStr">
        <is>
          <t>RK001</t>
        </is>
      </c>
      <c r="H36" t="inlineStr">
        <is>
          <t>4 Februari 2025</t>
        </is>
      </c>
      <c r="I36" s="2" t="n">
        <v>46208</v>
      </c>
      <c r="J36" t="inlineStr">
        <is>
          <t>Disetujui</t>
        </is>
      </c>
      <c r="K36" t="n">
        <v>30</v>
      </c>
      <c r="L36" t="inlineStr">
        <is>
          <t>5 Juli 2026</t>
        </is>
      </c>
      <c r="M36" t="inlineStr">
        <is>
          <t>Jasa Rekayasa Konstruksi Bangunan Gedung Hunian dan Non Hunian</t>
        </is>
      </c>
      <c r="N36" t="inlineStr">
        <is>
          <t>K</t>
        </is>
      </c>
      <c r="O36" t="inlineStr">
        <is>
          <t>20230621</t>
        </is>
      </c>
      <c r="P36" t="inlineStr">
        <is>
          <t>Sumatera Utara</t>
        </is>
      </c>
      <c r="Q36" t="inlineStr"/>
    </row>
    <row r="37">
      <c r="A37" t="inlineStr">
        <is>
          <t>CAHAYA BARU GROUP</t>
        </is>
      </c>
      <c r="B37" t="inlineStr">
        <is>
          <t>Kab. Sijunjung</t>
        </is>
      </c>
      <c r="C37" t="inlineStr">
        <is>
          <t>081374696062</t>
        </is>
      </c>
      <c r="D37" t="inlineStr">
        <is>
          <t>jasmirsjj20@gmail.com</t>
        </is>
      </c>
      <c r="E37" t="inlineStr">
        <is>
          <t>https://lpjk.pu.go.id/search-badan-usaha-detail/dE1xQU5XcUYwQUkxcG1EWW10K2dzZz09</t>
        </is>
      </c>
      <c r="F37" t="n">
        <v>1</v>
      </c>
      <c r="G37" t="inlineStr">
        <is>
          <t>BG006</t>
        </is>
      </c>
      <c r="H37" t="inlineStr">
        <is>
          <t>31 Januari 2017</t>
        </is>
      </c>
      <c r="I37" s="2" t="n">
        <v>46208</v>
      </c>
      <c r="J37" t="inlineStr">
        <is>
          <t>Disetujui</t>
        </is>
      </c>
      <c r="K37" t="n">
        <v>30</v>
      </c>
      <c r="L37" t="inlineStr">
        <is>
          <t>5 Juli 2026</t>
        </is>
      </c>
      <c r="M37" t="inlineStr">
        <is>
          <t>Konstruksi Gedung Pendidikan</t>
        </is>
      </c>
      <c r="N37" t="inlineStr">
        <is>
          <t>K</t>
        </is>
      </c>
      <c r="O37" t="inlineStr">
        <is>
          <t>20230705</t>
        </is>
      </c>
      <c r="P37" t="inlineStr">
        <is>
          <t>Sumatera Barat</t>
        </is>
      </c>
      <c r="Q37" t="inlineStr"/>
    </row>
    <row r="38">
      <c r="A38" t="inlineStr">
        <is>
          <t>CAHAYA KEMULIAAN TROAS</t>
        </is>
      </c>
      <c r="B38" t="inlineStr">
        <is>
          <t>Kab. Tolikara</t>
        </is>
      </c>
      <c r="C38" t="inlineStr">
        <is>
          <t>-</t>
        </is>
      </c>
      <c r="D38" t="inlineStr">
        <is>
          <t>cahayakemuliaantroas@gmail.com</t>
        </is>
      </c>
      <c r="E38" t="inlineStr">
        <is>
          <t>https://lpjk.pu.go.id/search-badan-usaha-detail/MkNzY295cXZ2MENEVndYcVZTUmlFQmdseVVBN2NsbTVkSzlCbXFGT24vUT0</t>
        </is>
      </c>
      <c r="F38" t="n">
        <v>3</v>
      </c>
      <c r="G38" t="inlineStr">
        <is>
          <t>BG001, BG002, BS001</t>
        </is>
      </c>
      <c r="H38" t="inlineStr">
        <is>
          <t>2 Januari 2015</t>
        </is>
      </c>
      <c r="I38" s="2" t="n">
        <v>46208</v>
      </c>
      <c r="J38" t="inlineStr">
        <is>
          <t>Disetujui</t>
        </is>
      </c>
      <c r="K38" t="n">
        <v>30</v>
      </c>
      <c r="L38" t="inlineStr">
        <is>
          <t>5 Juli 2026</t>
        </is>
      </c>
      <c r="M38" t="inlineStr">
        <is>
          <t>Konstruksi Bangunan Sipil Jalan, Konstruksi Gedung Hunian, Konstruksi Gedung Perkantoran</t>
        </is>
      </c>
      <c r="N38" t="inlineStr">
        <is>
          <t>K</t>
        </is>
      </c>
      <c r="O38" t="inlineStr">
        <is>
          <t>20230626</t>
        </is>
      </c>
      <c r="P38" t="inlineStr">
        <is>
          <t>Papua</t>
        </is>
      </c>
      <c r="Q38" t="inlineStr"/>
    </row>
    <row r="39">
      <c r="A39" t="inlineStr">
        <is>
          <t>CAHAYA KEMULIAAN TROAS</t>
        </is>
      </c>
      <c r="B39" t="inlineStr">
        <is>
          <t>Kab. Tolikara</t>
        </is>
      </c>
      <c r="C39" t="inlineStr">
        <is>
          <t>081240153799</t>
        </is>
      </c>
      <c r="D39" t="inlineStr">
        <is>
          <t>cahayakemuliaantroas@gmail.com</t>
        </is>
      </c>
      <c r="E39" t="inlineStr">
        <is>
          <t>https://lpjk.pu.go.id/search-badan-usaha-detail/MGNCRnVJTzBtS3hZMUlNbi9LbmQvdz09</t>
        </is>
      </c>
      <c r="F39" t="n">
        <v>1</v>
      </c>
      <c r="G39" t="inlineStr">
        <is>
          <t>BG005</t>
        </is>
      </c>
      <c r="H39" t="inlineStr">
        <is>
          <t>2 Januari 2015</t>
        </is>
      </c>
      <c r="I39" s="2" t="n">
        <v>46208</v>
      </c>
      <c r="J39" t="inlineStr">
        <is>
          <t>Pencabutan</t>
        </is>
      </c>
      <c r="K39" t="n">
        <v>30</v>
      </c>
      <c r="L39" t="inlineStr">
        <is>
          <t>5 Juli 2026</t>
        </is>
      </c>
      <c r="M39" t="inlineStr">
        <is>
          <t>Konstruksi Gedung Kesehatan</t>
        </is>
      </c>
      <c r="N39" t="inlineStr">
        <is>
          <t>K</t>
        </is>
      </c>
      <c r="O39" t="inlineStr">
        <is>
          <t>20230626</t>
        </is>
      </c>
      <c r="P39" t="inlineStr">
        <is>
          <t>Papua</t>
        </is>
      </c>
      <c r="Q39" t="inlineStr"/>
    </row>
    <row r="40">
      <c r="A40" t="inlineStr">
        <is>
          <t>CAHAYA RIFQI</t>
        </is>
      </c>
      <c r="B40" t="inlineStr">
        <is>
          <t>Kab. Banggai</t>
        </is>
      </c>
      <c r="C40" t="inlineStr">
        <is>
          <t>082191784263</t>
        </is>
      </c>
      <c r="D40" t="inlineStr">
        <is>
          <t>cv.cahayarifqi@gmail.com</t>
        </is>
      </c>
      <c r="E40" t="inlineStr">
        <is>
          <t>https://lpjk.pu.go.id/search-badan-usaha-detail/Vk81dDdRT2lLdnpsbDhwdldwSHMyZz09</t>
        </is>
      </c>
      <c r="F40" t="n">
        <v>2</v>
      </c>
      <c r="G40" t="inlineStr">
        <is>
          <t>BG001, BG002</t>
        </is>
      </c>
      <c r="H40" t="inlineStr">
        <is>
          <t>19 Agustus 2021</t>
        </is>
      </c>
      <c r="I40" s="2" t="n">
        <v>46208</v>
      </c>
      <c r="J40" t="inlineStr">
        <is>
          <t>Disetujui</t>
        </is>
      </c>
      <c r="K40" t="n">
        <v>30</v>
      </c>
      <c r="L40" t="inlineStr">
        <is>
          <t>5 Juli 2026</t>
        </is>
      </c>
      <c r="M40" t="inlineStr">
        <is>
          <t>Konstruksi Gedung Hunian, Konstruksi Gedung Perkantoran</t>
        </is>
      </c>
      <c r="N40" t="inlineStr">
        <is>
          <t>K</t>
        </is>
      </c>
      <c r="O40" t="inlineStr">
        <is>
          <t>20230704, 20230705</t>
        </is>
      </c>
      <c r="P40" t="inlineStr">
        <is>
          <t>Sulawesi Tengah</t>
        </is>
      </c>
      <c r="Q40" t="inlineStr"/>
    </row>
    <row r="41">
      <c r="A41" t="inlineStr">
        <is>
          <t>CAHYA PUTRA DEWANTA</t>
        </is>
      </c>
      <c r="B41" t="inlineStr">
        <is>
          <t>Kab. Pacitan</t>
        </is>
      </c>
      <c r="C41" t="inlineStr">
        <is>
          <t>082232633855</t>
        </is>
      </c>
      <c r="D41" t="inlineStr">
        <is>
          <t>cahyaputradewanta@gmail.com</t>
        </is>
      </c>
      <c r="E41" t="inlineStr">
        <is>
          <t>https://lpjk.pu.go.id/search-badan-usaha-detail/bVN5VmwzRnF3MnpJMi9oZGpoQzNLZz09</t>
        </is>
      </c>
      <c r="F41" t="n">
        <v>1</v>
      </c>
      <c r="G41" t="inlineStr">
        <is>
          <t>BG006</t>
        </is>
      </c>
      <c r="H41" t="inlineStr">
        <is>
          <t>26 Desember 2022</t>
        </is>
      </c>
      <c r="I41" s="2" t="n">
        <v>46208</v>
      </c>
      <c r="J41" t="inlineStr">
        <is>
          <t>Disetujui</t>
        </is>
      </c>
      <c r="K41" t="n">
        <v>30</v>
      </c>
      <c r="L41" t="inlineStr">
        <is>
          <t>5 Juli 2026</t>
        </is>
      </c>
      <c r="M41" t="inlineStr">
        <is>
          <t>Konstruksi Gedung Pendidikan</t>
        </is>
      </c>
      <c r="N41" t="inlineStr">
        <is>
          <t>K</t>
        </is>
      </c>
      <c r="O41" t="inlineStr">
        <is>
          <t>20230418</t>
        </is>
      </c>
      <c r="P41" t="inlineStr">
        <is>
          <t>Jawa Timur</t>
        </is>
      </c>
      <c r="Q41" t="inlineStr"/>
    </row>
    <row r="42">
      <c r="A42" t="inlineStr">
        <is>
          <t>CENDEKIA KARYA KONSULTAN</t>
        </is>
      </c>
      <c r="B42" t="inlineStr">
        <is>
          <t>Kab. Situbondo</t>
        </is>
      </c>
      <c r="C42" t="inlineStr">
        <is>
          <t>085204191022</t>
        </is>
      </c>
      <c r="D42" t="inlineStr">
        <is>
          <t>konsultanck@gmail.com</t>
        </is>
      </c>
      <c r="E42" t="inlineStr">
        <is>
          <t>https://lpjk.pu.go.id/search-badan-usaha-detail/aFU3SkVSdVBkbHlVMENEWEZlNnZnZz09</t>
        </is>
      </c>
      <c r="F42" t="n">
        <v>1</v>
      </c>
      <c r="G42" t="inlineStr">
        <is>
          <t>RK002</t>
        </is>
      </c>
      <c r="H42" t="inlineStr">
        <is>
          <t>4 Agustus 2022</t>
        </is>
      </c>
      <c r="I42" s="2" t="n">
        <v>46208</v>
      </c>
      <c r="J42" t="inlineStr">
        <is>
          <t>Disetujui</t>
        </is>
      </c>
      <c r="K42" t="n">
        <v>30</v>
      </c>
      <c r="L42" t="inlineStr">
        <is>
          <t>5 Juli 2026</t>
        </is>
      </c>
      <c r="M42" t="inlineStr">
        <is>
          <t>Jasa Rekayasa Pekerjaan Teknik Sipil Sumber Daya Air</t>
        </is>
      </c>
      <c r="N42" t="inlineStr">
        <is>
          <t>K</t>
        </is>
      </c>
      <c r="O42" t="inlineStr">
        <is>
          <t>20230620</t>
        </is>
      </c>
      <c r="P42" t="inlineStr">
        <is>
          <t>Jawa Timur</t>
        </is>
      </c>
      <c r="Q42" t="inlineStr"/>
    </row>
    <row r="43">
      <c r="A43" t="inlineStr">
        <is>
          <t>CIPTA PRAKARSA MANDIRI</t>
        </is>
      </c>
      <c r="B43" t="inlineStr">
        <is>
          <t>Kota Surabaya</t>
        </is>
      </c>
      <c r="C43" t="inlineStr">
        <is>
          <t>081329549819</t>
        </is>
      </c>
      <c r="D43" t="inlineStr">
        <is>
          <t>cm.sby99@gmail.com</t>
        </is>
      </c>
      <c r="E43" t="inlineStr">
        <is>
          <t>https://lpjk.pu.go.id/search-badan-usaha-detail/b3c3M2pkWnlvL2JWZnE0U2UzRXZ1UT09</t>
        </is>
      </c>
      <c r="F43" t="n">
        <v>1</v>
      </c>
      <c r="G43" t="inlineStr">
        <is>
          <t>BS004</t>
        </is>
      </c>
      <c r="H43" t="inlineStr">
        <is>
          <t>2 Mei 2023</t>
        </is>
      </c>
      <c r="I43" s="2" t="n">
        <v>46208</v>
      </c>
      <c r="J43" t="inlineStr">
        <is>
          <t>Disetujui</t>
        </is>
      </c>
      <c r="K43" t="n">
        <v>30</v>
      </c>
      <c r="L43" t="inlineStr">
        <is>
          <t>5 Juli 2026</t>
        </is>
      </c>
      <c r="M43" t="inlineStr">
        <is>
          <t>Konstruksi Jaringan Irigasi dan Drainase</t>
        </is>
      </c>
      <c r="N43" t="inlineStr">
        <is>
          <t>K</t>
        </is>
      </c>
      <c r="O43" t="inlineStr">
        <is>
          <t>20230701</t>
        </is>
      </c>
      <c r="P43" t="inlineStr">
        <is>
          <t>Jawa Timur</t>
        </is>
      </c>
      <c r="Q43" t="inlineStr"/>
    </row>
    <row r="44">
      <c r="A44" t="inlineStr">
        <is>
          <t>CITRAWEES SALAWASNA</t>
        </is>
      </c>
      <c r="B44" t="inlineStr">
        <is>
          <t>Kota Bandung</t>
        </is>
      </c>
      <c r="C44" t="inlineStr">
        <is>
          <t>0227322902</t>
        </is>
      </c>
      <c r="D44" t="inlineStr">
        <is>
          <t>citrawees@yahoo.co.id</t>
        </is>
      </c>
      <c r="E44" t="inlineStr">
        <is>
          <t>https://lpjk.pu.go.id/search-badan-usaha-detail/VXFCMkt6RG0wSlBwRXdFanIwSUxNQT09</t>
        </is>
      </c>
      <c r="F44" t="n">
        <v>2</v>
      </c>
      <c r="G44" t="inlineStr">
        <is>
          <t>RK003</t>
        </is>
      </c>
      <c r="H44" t="inlineStr">
        <is>
          <t>18 Agustus 1994</t>
        </is>
      </c>
      <c r="I44" s="2" t="n">
        <v>46208</v>
      </c>
      <c r="J44" t="inlineStr">
        <is>
          <t>Disetujui</t>
        </is>
      </c>
      <c r="K44" t="n">
        <v>30</v>
      </c>
      <c r="L44" t="inlineStr">
        <is>
          <t>5 Juli 2026</t>
        </is>
      </c>
      <c r="M44" t="inlineStr">
        <is>
          <t>Jasa Rekayasa Pekerjaan Teknik Sipil Transportasi</t>
        </is>
      </c>
      <c r="N44" t="inlineStr">
        <is>
          <t>K</t>
        </is>
      </c>
      <c r="O44" t="inlineStr">
        <is>
          <t>20230626</t>
        </is>
      </c>
      <c r="P44" t="inlineStr">
        <is>
          <t>Jawa Barat</t>
        </is>
      </c>
      <c r="Q44" t="inlineStr"/>
    </row>
    <row r="45">
      <c r="A45" t="inlineStr">
        <is>
          <t>DIENG PUSPITA PUTRA MANDIRI</t>
        </is>
      </c>
      <c r="B45" t="inlineStr">
        <is>
          <t>Kab. Wonosobo</t>
        </is>
      </c>
      <c r="C45" t="inlineStr">
        <is>
          <t>085228842222</t>
        </is>
      </c>
      <c r="D45" t="inlineStr">
        <is>
          <t>diengpuspita2@gmail.com</t>
        </is>
      </c>
      <c r="E45" t="inlineStr">
        <is>
          <t>https://lpjk.pu.go.id/search-badan-usaha-detail/OWNjTUY1NWVDM0Y5TkplbmhJZy9lZz09</t>
        </is>
      </c>
      <c r="F45" t="n">
        <v>3</v>
      </c>
      <c r="G45" t="inlineStr">
        <is>
          <t>BG001, BS001, BS004</t>
        </is>
      </c>
      <c r="H45" t="inlineStr">
        <is>
          <t>7 Agustus 2014</t>
        </is>
      </c>
      <c r="I45" s="2" t="n">
        <v>46208</v>
      </c>
      <c r="J45" t="inlineStr">
        <is>
          <t>Disetujui, Pembekuan</t>
        </is>
      </c>
      <c r="K45" t="n">
        <v>30</v>
      </c>
      <c r="L45" t="inlineStr">
        <is>
          <t>5 Juli 2026</t>
        </is>
      </c>
      <c r="M45" t="inlineStr">
        <is>
          <t>Konstruksi Bangunan Sipil Jalan, Konstruksi Gedung Hunian, Konstruksi Jaringan Irigasi dan Drainase</t>
        </is>
      </c>
      <c r="N45" t="inlineStr">
        <is>
          <t>K, M</t>
        </is>
      </c>
      <c r="O45" t="inlineStr">
        <is>
          <t>20230523, 20230704</t>
        </is>
      </c>
      <c r="P45" t="inlineStr">
        <is>
          <t>Jawa Tengah</t>
        </is>
      </c>
      <c r="Q45" t="inlineStr"/>
    </row>
    <row r="46">
      <c r="A46" t="inlineStr">
        <is>
          <t>DIFINDO JAYA</t>
        </is>
      </c>
      <c r="B46" t="inlineStr">
        <is>
          <t>Kab. Bandung</t>
        </is>
      </c>
      <c r="C46" t="inlineStr">
        <is>
          <t>081318575600</t>
        </is>
      </c>
      <c r="D46" t="inlineStr">
        <is>
          <t>difindojaya123@gmail.com</t>
        </is>
      </c>
      <c r="E46" t="inlineStr">
        <is>
          <t>https://lpjk.pu.go.id/search-badan-usaha-detail/TlgvTzF2SlVqYU0vVXVsVm45NkxnUT09</t>
        </is>
      </c>
      <c r="F46" t="n">
        <v>1</v>
      </c>
      <c r="G46" t="inlineStr">
        <is>
          <t>BS001</t>
        </is>
      </c>
      <c r="H46" t="inlineStr">
        <is>
          <t>29 Mei 2006</t>
        </is>
      </c>
      <c r="I46" s="2" t="n">
        <v>46208</v>
      </c>
      <c r="J46" t="inlineStr">
        <is>
          <t>Disetujui</t>
        </is>
      </c>
      <c r="K46" t="n">
        <v>30</v>
      </c>
      <c r="L46" t="inlineStr">
        <is>
          <t>5 Juli 2026</t>
        </is>
      </c>
      <c r="M46" t="inlineStr">
        <is>
          <t>Konstruksi Bangunan Sipil Jalan</t>
        </is>
      </c>
      <c r="N46" t="inlineStr">
        <is>
          <t>K</t>
        </is>
      </c>
      <c r="O46" t="inlineStr">
        <is>
          <t>20230704</t>
        </is>
      </c>
      <c r="P46" t="inlineStr">
        <is>
          <t>Jawa Barat</t>
        </is>
      </c>
      <c r="Q46" t="inlineStr"/>
    </row>
    <row r="47">
      <c r="A47" t="inlineStr">
        <is>
          <t>DWIKARYA MANDIRI</t>
        </is>
      </c>
      <c r="B47" t="inlineStr">
        <is>
          <t>Kab. Maluku Tengah</t>
        </is>
      </c>
      <c r="C47" t="inlineStr">
        <is>
          <t>081295733919</t>
        </is>
      </c>
      <c r="D47" t="inlineStr">
        <is>
          <t>dwikaryamandiri7@gmail.com</t>
        </is>
      </c>
      <c r="E47" t="inlineStr">
        <is>
          <t>https://lpjk.pu.go.id/search-badan-usaha-detail/VzVvNGVkdE10ZUdmM3puQWY2M29iQT09</t>
        </is>
      </c>
      <c r="F47" t="n">
        <v>4</v>
      </c>
      <c r="G47" t="inlineStr">
        <is>
          <t>BG006, BG009</t>
        </is>
      </c>
      <c r="H47" t="inlineStr">
        <is>
          <t>20 Oktober 2013</t>
        </is>
      </c>
      <c r="I47" s="2" t="n">
        <v>46208</v>
      </c>
      <c r="J47" t="inlineStr">
        <is>
          <t>Disetujui</t>
        </is>
      </c>
      <c r="K47" t="n">
        <v>30</v>
      </c>
      <c r="L47" t="inlineStr">
        <is>
          <t>5 Juli 2026</t>
        </is>
      </c>
      <c r="M47" t="inlineStr">
        <is>
          <t>Konstruksi Gedung Lainnya, Konstruksi Gedung Pendidikan</t>
        </is>
      </c>
      <c r="N47" t="inlineStr">
        <is>
          <t>K</t>
        </is>
      </c>
      <c r="O47" t="inlineStr">
        <is>
          <t>20230615</t>
        </is>
      </c>
      <c r="P47" t="inlineStr">
        <is>
          <t>Maluku</t>
        </is>
      </c>
      <c r="Q47" t="inlineStr"/>
    </row>
    <row r="48">
      <c r="A48" t="inlineStr">
        <is>
          <t>ELANG SAKTI</t>
        </is>
      </c>
      <c r="B48" t="inlineStr">
        <is>
          <t>Kota Pekanbaru</t>
        </is>
      </c>
      <c r="C48" t="inlineStr">
        <is>
          <t>085364838824</t>
        </is>
      </c>
      <c r="D48" t="inlineStr">
        <is>
          <t>cv.elangsakti@ymail.com</t>
        </is>
      </c>
      <c r="E48" t="inlineStr">
        <is>
          <t>https://lpjk.pu.go.id/search-badan-usaha-detail/MnpGME02RTY1b2RYalZ2Y0k5U0p6QT09</t>
        </is>
      </c>
      <c r="F48" t="n">
        <v>4</v>
      </c>
      <c r="G48" t="inlineStr">
        <is>
          <t>BS001, BS004</t>
        </is>
      </c>
      <c r="H48" t="inlineStr">
        <is>
          <t>28 Desember 2009</t>
        </is>
      </c>
      <c r="I48" s="2" t="n">
        <v>46208</v>
      </c>
      <c r="J48" t="inlineStr">
        <is>
          <t>Disetujui</t>
        </is>
      </c>
      <c r="K48" t="n">
        <v>30</v>
      </c>
      <c r="L48" t="inlineStr">
        <is>
          <t>5 Juli 2026</t>
        </is>
      </c>
      <c r="M48" t="inlineStr">
        <is>
          <t>Konstruksi Bangunan Sipil Jalan, Konstruksi Jaringan Irigasi dan Drainase</t>
        </is>
      </c>
      <c r="N48" t="inlineStr">
        <is>
          <t>K</t>
        </is>
      </c>
      <c r="O48" t="inlineStr">
        <is>
          <t>20230705</t>
        </is>
      </c>
      <c r="P48" t="inlineStr">
        <is>
          <t>Riau</t>
        </is>
      </c>
      <c r="Q48" t="inlineStr"/>
    </row>
    <row r="49">
      <c r="A49" t="inlineStr">
        <is>
          <t>EMBUN PAPUA</t>
        </is>
      </c>
      <c r="B49" t="inlineStr">
        <is>
          <t>Kota Jayapura</t>
        </is>
      </c>
      <c r="C49" t="inlineStr">
        <is>
          <t>081344794044</t>
        </is>
      </c>
      <c r="D49" t="inlineStr">
        <is>
          <t>embunpapua4@gmail.com</t>
        </is>
      </c>
      <c r="E49" t="inlineStr">
        <is>
          <t>https://lpjk.pu.go.id/search-badan-usaha-detail/TXZzTmJsanhOU2ZiMUVydXJZbGlEZz09</t>
        </is>
      </c>
      <c r="F49" t="n">
        <v>1</v>
      </c>
      <c r="G49" t="inlineStr">
        <is>
          <t>BG009</t>
        </is>
      </c>
      <c r="H49" t="inlineStr">
        <is>
          <t>22 Juni 2012</t>
        </is>
      </c>
      <c r="I49" s="2" t="n">
        <v>46208</v>
      </c>
      <c r="J49" t="inlineStr">
        <is>
          <t>Pencabutan</t>
        </is>
      </c>
      <c r="K49" t="n">
        <v>30</v>
      </c>
      <c r="L49" t="inlineStr">
        <is>
          <t>5 Juli 2026</t>
        </is>
      </c>
      <c r="M49" t="inlineStr">
        <is>
          <t>Konstruksi Gedung Lainnya</t>
        </is>
      </c>
      <c r="N49" t="inlineStr">
        <is>
          <t>K</t>
        </is>
      </c>
      <c r="O49" t="inlineStr">
        <is>
          <t>20230706</t>
        </is>
      </c>
      <c r="P49" t="inlineStr">
        <is>
          <t>Papua</t>
        </is>
      </c>
      <c r="Q49" t="inlineStr"/>
    </row>
    <row r="50">
      <c r="A50" t="inlineStr">
        <is>
          <t>EUCLUDIEN LIMA BINTANG</t>
        </is>
      </c>
      <c r="B50" t="inlineStr">
        <is>
          <t>Kab. Karawang</t>
        </is>
      </c>
      <c r="C50" t="inlineStr">
        <is>
          <t>081284592869</t>
        </is>
      </c>
      <c r="D50" t="inlineStr">
        <is>
          <t>limabintangeucludien@yahoo.com</t>
        </is>
      </c>
      <c r="E50" t="inlineStr">
        <is>
          <t>https://lpjk.pu.go.id/search-badan-usaha-detail/VmMrYjlMZy9MTGF3TWVoTXJlZ0FRQT09</t>
        </is>
      </c>
      <c r="F50" t="n">
        <v>1</v>
      </c>
      <c r="G50" t="inlineStr">
        <is>
          <t>BS001</t>
        </is>
      </c>
      <c r="H50" t="inlineStr">
        <is>
          <t>2 Januari 2006</t>
        </is>
      </c>
      <c r="I50" s="2" t="n">
        <v>46208</v>
      </c>
      <c r="J50" t="inlineStr">
        <is>
          <t>Disetujui</t>
        </is>
      </c>
      <c r="K50" t="n">
        <v>30</v>
      </c>
      <c r="L50" t="inlineStr">
        <is>
          <t>5 Juli 2026</t>
        </is>
      </c>
      <c r="M50" t="inlineStr">
        <is>
          <t>Konstruksi Bangunan Sipil Jalan</t>
        </is>
      </c>
      <c r="N50" t="inlineStr">
        <is>
          <t>K</t>
        </is>
      </c>
      <c r="O50" t="inlineStr">
        <is>
          <t>20230705</t>
        </is>
      </c>
      <c r="P50" t="inlineStr">
        <is>
          <t>Jawa Barat</t>
        </is>
      </c>
      <c r="Q50" t="inlineStr"/>
    </row>
    <row r="51">
      <c r="A51" t="inlineStr">
        <is>
          <t>FAJAR WANGI ATHARIZZ</t>
        </is>
      </c>
      <c r="B51" t="inlineStr">
        <is>
          <t>Kota Surabaya</t>
        </is>
      </c>
      <c r="C51" t="inlineStr">
        <is>
          <t>081331598913</t>
        </is>
      </c>
      <c r="D51" t="inlineStr">
        <is>
          <t>fajarwangi.atharizzpt@gmail.com</t>
        </is>
      </c>
      <c r="E51" t="inlineStr">
        <is>
          <t>https://lpjk.pu.go.id/search-badan-usaha-detail/cGkrbnpyZEVzdVA5dW1YSEFCUnpKdz09</t>
        </is>
      </c>
      <c r="F51" t="n">
        <v>1</v>
      </c>
      <c r="G51" t="inlineStr">
        <is>
          <t>BG005</t>
        </is>
      </c>
      <c r="H51" t="inlineStr">
        <is>
          <t>5 Desember 2007</t>
        </is>
      </c>
      <c r="I51" s="2" t="n">
        <v>46208</v>
      </c>
      <c r="J51" t="inlineStr">
        <is>
          <t>Disetujui</t>
        </is>
      </c>
      <c r="K51" t="n">
        <v>30</v>
      </c>
      <c r="L51" t="inlineStr">
        <is>
          <t>5 Juli 2026</t>
        </is>
      </c>
      <c r="M51" t="inlineStr">
        <is>
          <t>Konstruksi Gedung Kesehatan</t>
        </is>
      </c>
      <c r="N51" t="inlineStr">
        <is>
          <t>M</t>
        </is>
      </c>
      <c r="O51" t="inlineStr">
        <is>
          <t>20230622</t>
        </is>
      </c>
      <c r="P51" t="inlineStr">
        <is>
          <t>Jawa Timur</t>
        </is>
      </c>
      <c r="Q51" t="inlineStr"/>
    </row>
    <row r="52">
      <c r="A52" t="inlineStr">
        <is>
          <t>FARIS STEEL</t>
        </is>
      </c>
      <c r="B52" t="inlineStr">
        <is>
          <t>Kab. Morowali Utara</t>
        </is>
      </c>
      <c r="C52" t="inlineStr">
        <is>
          <t>082241482003</t>
        </is>
      </c>
      <c r="D52" t="inlineStr">
        <is>
          <t>farissteelcv@gmail.com</t>
        </is>
      </c>
      <c r="E52" t="inlineStr">
        <is>
          <t>https://lpjk.pu.go.id/search-badan-usaha-detail/UGorUW1MaGpmNEFSSFBsZTNwTEZodz09</t>
        </is>
      </c>
      <c r="F52" t="n">
        <v>1</v>
      </c>
      <c r="G52" t="inlineStr">
        <is>
          <t>BS002</t>
        </is>
      </c>
      <c r="H52" t="inlineStr">
        <is>
          <t>19 Juli 2016</t>
        </is>
      </c>
      <c r="I52" s="2" t="n">
        <v>46208</v>
      </c>
      <c r="J52" t="inlineStr">
        <is>
          <t>Disetujui</t>
        </is>
      </c>
      <c r="K52" t="n">
        <v>30</v>
      </c>
      <c r="L52" t="inlineStr">
        <is>
          <t>5 Juli 2026</t>
        </is>
      </c>
      <c r="M52" t="inlineStr">
        <is>
          <t>Bangunan Sipil Jembatan, Jalan Layang, Fly Over, dan Underpass</t>
        </is>
      </c>
      <c r="N52" t="inlineStr">
        <is>
          <t>K</t>
        </is>
      </c>
      <c r="O52" t="inlineStr">
        <is>
          <t>20230705</t>
        </is>
      </c>
      <c r="P52" t="inlineStr">
        <is>
          <t>Sulawesi Tengah</t>
        </is>
      </c>
      <c r="Q52" t="inlineStr"/>
    </row>
    <row r="53">
      <c r="A53" t="inlineStr">
        <is>
          <t>GENTING LAGAN</t>
        </is>
      </c>
      <c r="B53" t="inlineStr">
        <is>
          <t>Kab. Lahat</t>
        </is>
      </c>
      <c r="C53" t="inlineStr">
        <is>
          <t>085380294167</t>
        </is>
      </c>
      <c r="D53" t="inlineStr">
        <is>
          <t>cv.gentinglagan@gmail.com</t>
        </is>
      </c>
      <c r="E53" t="inlineStr">
        <is>
          <t>https://lpjk.pu.go.id/search-badan-usaha-detail/cXdSYzVxWjA2SWljRENuMGNnZkNLdz09</t>
        </is>
      </c>
      <c r="F53" t="n">
        <v>1</v>
      </c>
      <c r="G53" t="inlineStr">
        <is>
          <t>BG006</t>
        </is>
      </c>
      <c r="H53" t="inlineStr">
        <is>
          <t>12 September 2017</t>
        </is>
      </c>
      <c r="I53" s="2" t="n">
        <v>46208</v>
      </c>
      <c r="J53" t="inlineStr">
        <is>
          <t>Disetujui</t>
        </is>
      </c>
      <c r="K53" t="n">
        <v>30</v>
      </c>
      <c r="L53" t="inlineStr">
        <is>
          <t>5 Juli 2026</t>
        </is>
      </c>
      <c r="M53" t="inlineStr">
        <is>
          <t>Konstruksi Gedung Pendidikan</t>
        </is>
      </c>
      <c r="N53" t="inlineStr">
        <is>
          <t>K</t>
        </is>
      </c>
      <c r="O53" t="inlineStr">
        <is>
          <t>20230627</t>
        </is>
      </c>
      <c r="P53" t="inlineStr">
        <is>
          <t>Sumatera Selatan</t>
        </is>
      </c>
      <c r="Q53" t="inlineStr"/>
    </row>
    <row r="54">
      <c r="A54" t="inlineStr">
        <is>
          <t>GHIFARI KONSTRUKSI INOVASI</t>
        </is>
      </c>
      <c r="B54" t="inlineStr">
        <is>
          <t>Kab. Garut</t>
        </is>
      </c>
      <c r="C54" t="inlineStr">
        <is>
          <t>082318402634</t>
        </is>
      </c>
      <c r="D54" t="inlineStr">
        <is>
          <t>thekons.id@gmail.com</t>
        </is>
      </c>
      <c r="E54" t="inlineStr">
        <is>
          <t>https://lpjk.pu.go.id/search-badan-usaha-detail/SjQxVXNCOXBMSEl6Y3VPUlRQOWRIZz09</t>
        </is>
      </c>
      <c r="F54" t="n">
        <v>1</v>
      </c>
      <c r="G54" t="inlineStr">
        <is>
          <t>BG001</t>
        </is>
      </c>
      <c r="H54" t="inlineStr">
        <is>
          <t>13 Oktober 2020</t>
        </is>
      </c>
      <c r="I54" s="2" t="n">
        <v>46208</v>
      </c>
      <c r="J54" t="inlineStr">
        <is>
          <t>Disetujui</t>
        </is>
      </c>
      <c r="K54" t="n">
        <v>30</v>
      </c>
      <c r="L54" t="inlineStr">
        <is>
          <t>5 Juli 2026</t>
        </is>
      </c>
      <c r="M54" t="inlineStr">
        <is>
          <t>Konstruksi Gedung Hunian</t>
        </is>
      </c>
      <c r="N54" t="inlineStr">
        <is>
          <t>K</t>
        </is>
      </c>
      <c r="O54" t="inlineStr">
        <is>
          <t>20230606</t>
        </is>
      </c>
      <c r="P54" t="inlineStr">
        <is>
          <t>Jawa Barat</t>
        </is>
      </c>
      <c r="Q54" t="inlineStr"/>
    </row>
    <row r="55">
      <c r="A55" t="inlineStr">
        <is>
          <t>HADIYAH</t>
        </is>
      </c>
      <c r="B55" t="inlineStr">
        <is>
          <t>Kota Surabaya</t>
        </is>
      </c>
      <c r="C55" t="inlineStr">
        <is>
          <t>081333786909</t>
        </is>
      </c>
      <c r="D55" t="inlineStr">
        <is>
          <t>hadiyah.cv123@gmail.com</t>
        </is>
      </c>
      <c r="E55" t="inlineStr">
        <is>
          <t>https://lpjk.pu.go.id/search-badan-usaha-detail/aTI2Nzh1bHQxa00zMWNXUWpSMkI3UT09</t>
        </is>
      </c>
      <c r="F55" t="n">
        <v>1</v>
      </c>
      <c r="G55" t="inlineStr">
        <is>
          <t>BG005</t>
        </is>
      </c>
      <c r="H55" t="inlineStr">
        <is>
          <t>11 Februari 2010</t>
        </is>
      </c>
      <c r="I55" s="2" t="n">
        <v>46208</v>
      </c>
      <c r="J55" t="inlineStr">
        <is>
          <t>Disetujui</t>
        </is>
      </c>
      <c r="K55" t="n">
        <v>30</v>
      </c>
      <c r="L55" t="inlineStr">
        <is>
          <t>5 Juli 2026</t>
        </is>
      </c>
      <c r="M55" t="inlineStr">
        <is>
          <t>Konstruksi Gedung Kesehatan</t>
        </is>
      </c>
      <c r="N55" t="inlineStr">
        <is>
          <t>K</t>
        </is>
      </c>
      <c r="O55" t="inlineStr">
        <is>
          <t>20230704</t>
        </is>
      </c>
      <c r="P55" t="inlineStr">
        <is>
          <t>Jawa Timur</t>
        </is>
      </c>
      <c r="Q55" t="inlineStr"/>
    </row>
    <row r="56">
      <c r="A56" t="inlineStr">
        <is>
          <t>HAKASA</t>
        </is>
      </c>
      <c r="B56" t="inlineStr">
        <is>
          <t>Kab. Wonosobo</t>
        </is>
      </c>
      <c r="C56" t="inlineStr">
        <is>
          <t>082225099130</t>
        </is>
      </c>
      <c r="D56" t="inlineStr">
        <is>
          <t>cvhakasa@gmail.com</t>
        </is>
      </c>
      <c r="E56" t="inlineStr">
        <is>
          <t>https://lpjk.pu.go.id/search-badan-usaha-detail/TFZ1MzZ0UlZ0SHdUVW12OEx3SVlUQT09</t>
        </is>
      </c>
      <c r="F56" t="n">
        <v>1</v>
      </c>
      <c r="G56" t="inlineStr">
        <is>
          <t>BG004</t>
        </is>
      </c>
      <c r="H56" t="inlineStr">
        <is>
          <t>14 Januari 2020</t>
        </is>
      </c>
      <c r="I56" s="2" t="n">
        <v>46208</v>
      </c>
      <c r="J56" t="inlineStr">
        <is>
          <t>Disetujui</t>
        </is>
      </c>
      <c r="K56" t="n">
        <v>30</v>
      </c>
      <c r="L56" t="inlineStr">
        <is>
          <t>5 Juli 2026</t>
        </is>
      </c>
      <c r="M56" t="inlineStr">
        <is>
          <t>Konstruksi Gedung Perbelanjaan</t>
        </is>
      </c>
      <c r="N56" t="inlineStr">
        <is>
          <t>K</t>
        </is>
      </c>
      <c r="O56" t="inlineStr">
        <is>
          <t>20230704</t>
        </is>
      </c>
      <c r="P56" t="inlineStr">
        <is>
          <t>Jawa Tengah</t>
        </is>
      </c>
      <c r="Q56" t="inlineStr"/>
    </row>
    <row r="57">
      <c r="A57" t="inlineStr">
        <is>
          <t>HARAPAN JAYA AR</t>
        </is>
      </c>
      <c r="B57" t="inlineStr">
        <is>
          <t>Kab. Sekadau</t>
        </is>
      </c>
      <c r="C57" t="inlineStr">
        <is>
          <t>082251888839</t>
        </is>
      </c>
      <c r="D57" t="inlineStr">
        <is>
          <t>harapanjayaar501@gmail.com</t>
        </is>
      </c>
      <c r="E57" t="inlineStr">
        <is>
          <t>https://lpjk.pu.go.id/search-badan-usaha-detail/Qzl2b0NvSGlzVDU0MDNtTFpPNk9WZz09</t>
        </is>
      </c>
      <c r="F57" t="n">
        <v>2</v>
      </c>
      <c r="G57" t="inlineStr">
        <is>
          <t>BG001, BG006</t>
        </is>
      </c>
      <c r="H57" t="inlineStr">
        <is>
          <t>27 Januari 2020</t>
        </is>
      </c>
      <c r="I57" s="2" t="n">
        <v>46208</v>
      </c>
      <c r="J57" t="inlineStr">
        <is>
          <t>Disetujui</t>
        </is>
      </c>
      <c r="K57" t="n">
        <v>30</v>
      </c>
      <c r="L57" t="inlineStr">
        <is>
          <t>5 Juli 2026</t>
        </is>
      </c>
      <c r="M57" t="inlineStr">
        <is>
          <t>Konstruksi Gedung Hunian, Konstruksi Gedung Pendidikan</t>
        </is>
      </c>
      <c r="N57" t="inlineStr">
        <is>
          <t>K</t>
        </is>
      </c>
      <c r="O57" t="inlineStr">
        <is>
          <t>20230624</t>
        </is>
      </c>
      <c r="P57" t="inlineStr">
        <is>
          <t>Kalimantan Barat</t>
        </is>
      </c>
      <c r="Q57" t="inlineStr"/>
    </row>
    <row r="58">
      <c r="A58" t="inlineStr">
        <is>
          <t>HARTA NIRWANA KALIMANTAN</t>
        </is>
      </c>
      <c r="B58" t="inlineStr">
        <is>
          <t>Kota Bontang</t>
        </is>
      </c>
      <c r="C58" t="inlineStr">
        <is>
          <t>081345785758</t>
        </is>
      </c>
      <c r="D58" t="inlineStr">
        <is>
          <t>cv.hartanirwanakalimantan@gmail.com</t>
        </is>
      </c>
      <c r="E58" t="inlineStr">
        <is>
          <t>https://lpjk.pu.go.id/search-badan-usaha-detail/ZTBoci9Zdjg5NGU0SzJWYnFSMEpZQT09</t>
        </is>
      </c>
      <c r="F58" t="n">
        <v>1</v>
      </c>
      <c r="G58" t="inlineStr">
        <is>
          <t>BS001</t>
        </is>
      </c>
      <c r="H58" t="inlineStr">
        <is>
          <t>16 Juni 2022</t>
        </is>
      </c>
      <c r="I58" s="2" t="n">
        <v>46208</v>
      </c>
      <c r="J58" t="inlineStr">
        <is>
          <t>Disetujui</t>
        </is>
      </c>
      <c r="K58" t="n">
        <v>30</v>
      </c>
      <c r="L58" t="inlineStr">
        <is>
          <t>5 Juli 2026</t>
        </is>
      </c>
      <c r="M58" t="inlineStr">
        <is>
          <t>Konstruksi Bangunan Sipil Jalan</t>
        </is>
      </c>
      <c r="N58" t="inlineStr">
        <is>
          <t>K</t>
        </is>
      </c>
      <c r="O58" t="inlineStr">
        <is>
          <t>20230704</t>
        </is>
      </c>
      <c r="P58" t="inlineStr">
        <is>
          <t>Kalimantan Timur</t>
        </is>
      </c>
      <c r="Q58" t="inlineStr"/>
    </row>
    <row r="59">
      <c r="A59" t="inlineStr">
        <is>
          <t>HASIL UTAMA</t>
        </is>
      </c>
      <c r="B59" t="inlineStr">
        <is>
          <t>Kab. Ketapang</t>
        </is>
      </c>
      <c r="C59" t="inlineStr">
        <is>
          <t>082190650907</t>
        </is>
      </c>
      <c r="D59" t="inlineStr">
        <is>
          <t>cvhasilu@gmail.com</t>
        </is>
      </c>
      <c r="E59" t="inlineStr">
        <is>
          <t>https://lpjk.pu.go.id/search-badan-usaha-detail/SW5xNUhFTXhhOU1TVXlhV0RVRkVHUT09</t>
        </is>
      </c>
      <c r="F59" t="n">
        <v>2</v>
      </c>
      <c r="G59" t="inlineStr">
        <is>
          <t>BS001, BS004</t>
        </is>
      </c>
      <c r="H59" t="inlineStr">
        <is>
          <t>8 April 2013</t>
        </is>
      </c>
      <c r="I59" s="2" t="n">
        <v>46208</v>
      </c>
      <c r="J59" t="inlineStr">
        <is>
          <t>Disetujui</t>
        </is>
      </c>
      <c r="K59" t="n">
        <v>30</v>
      </c>
      <c r="L59" t="inlineStr">
        <is>
          <t>5 Juli 2026</t>
        </is>
      </c>
      <c r="M59" t="inlineStr">
        <is>
          <t>Konstruksi Bangunan Sipil Jalan, Konstruksi Jaringan Irigasi dan Drainase</t>
        </is>
      </c>
      <c r="N59" t="inlineStr">
        <is>
          <t>K</t>
        </is>
      </c>
      <c r="O59" t="inlineStr">
        <is>
          <t>20230706</t>
        </is>
      </c>
      <c r="P59" t="inlineStr">
        <is>
          <t>Kalimantan Barat</t>
        </is>
      </c>
      <c r="Q59" t="inlineStr"/>
    </row>
    <row r="60">
      <c r="A60" t="inlineStr">
        <is>
          <t>HUTAMA KARYA KONSTRUKSI</t>
        </is>
      </c>
      <c r="B60" t="inlineStr">
        <is>
          <t>Kab. Kayong Utara</t>
        </is>
      </c>
      <c r="C60" t="inlineStr">
        <is>
          <t>081258245062</t>
        </is>
      </c>
      <c r="D60" t="inlineStr">
        <is>
          <t>hutamakarya2023konstruksi@gmail.com</t>
        </is>
      </c>
      <c r="E60" t="inlineStr">
        <is>
          <t>https://lpjk.pu.go.id/search-badan-usaha-detail/RTdVcE9VQ3RlMnhSdGFldUVCZFBXUT09</t>
        </is>
      </c>
      <c r="F60" t="n">
        <v>2</v>
      </c>
      <c r="G60" t="inlineStr">
        <is>
          <t>BG005</t>
        </is>
      </c>
      <c r="H60" t="inlineStr">
        <is>
          <t>18 April 2023</t>
        </is>
      </c>
      <c r="I60" s="2" t="n">
        <v>46208</v>
      </c>
      <c r="J60" t="inlineStr">
        <is>
          <t>Disetujui</t>
        </is>
      </c>
      <c r="K60" t="n">
        <v>30</v>
      </c>
      <c r="L60" t="inlineStr">
        <is>
          <t>5 Juli 2026</t>
        </is>
      </c>
      <c r="M60" t="inlineStr">
        <is>
          <t>Konstruksi Gedung Kesehatan</t>
        </is>
      </c>
      <c r="N60" t="inlineStr">
        <is>
          <t>K</t>
        </is>
      </c>
      <c r="O60" t="inlineStr">
        <is>
          <t>20230705</t>
        </is>
      </c>
      <c r="P60" t="inlineStr">
        <is>
          <t>Kalimantan Barat</t>
        </is>
      </c>
      <c r="Q60" t="inlineStr"/>
    </row>
    <row r="61">
      <c r="A61" t="inlineStr">
        <is>
          <t>IKIGAI</t>
        </is>
      </c>
      <c r="B61" t="inlineStr">
        <is>
          <t>Kota Jayapura</t>
        </is>
      </c>
      <c r="C61" t="inlineStr">
        <is>
          <t>082248185227</t>
        </is>
      </c>
      <c r="D61" t="inlineStr">
        <is>
          <t>cv.ikigai1@gmail.com</t>
        </is>
      </c>
      <c r="E61" t="inlineStr">
        <is>
          <t>https://lpjk.pu.go.id/search-badan-usaha-detail/MkwvdFBzWFhhYndLZTV2QThpWFQwdz09</t>
        </is>
      </c>
      <c r="F61" t="n">
        <v>3</v>
      </c>
      <c r="G61" t="inlineStr">
        <is>
          <t>BG001, BG005, BG006</t>
        </is>
      </c>
      <c r="H61" t="inlineStr">
        <is>
          <t>16 Februari 2023</t>
        </is>
      </c>
      <c r="I61" s="2" t="n">
        <v>46208</v>
      </c>
      <c r="J61" t="inlineStr">
        <is>
          <t>Disetujui</t>
        </is>
      </c>
      <c r="K61" t="n">
        <v>30</v>
      </c>
      <c r="L61" t="inlineStr">
        <is>
          <t>5 Juli 2026</t>
        </is>
      </c>
      <c r="M61" t="inlineStr">
        <is>
          <t>Konstruksi Gedung Hunian, Konstruksi Gedung Kesehatan, Konstruksi Gedung Pendidikan</t>
        </is>
      </c>
      <c r="N61" t="inlineStr">
        <is>
          <t>K</t>
        </is>
      </c>
      <c r="O61" t="inlineStr">
        <is>
          <t>20230629, 20230702</t>
        </is>
      </c>
      <c r="P61" t="inlineStr">
        <is>
          <t>Papua</t>
        </is>
      </c>
      <c r="Q61" t="inlineStr"/>
    </row>
    <row r="62">
      <c r="A62" t="inlineStr">
        <is>
          <t>INDO KARYA</t>
        </is>
      </c>
      <c r="B62" t="inlineStr">
        <is>
          <t>Kab. Magetan</t>
        </is>
      </c>
      <c r="C62" t="inlineStr">
        <is>
          <t>0816331149</t>
        </is>
      </c>
      <c r="D62" t="inlineStr">
        <is>
          <t>indokarya45@gmail.com</t>
        </is>
      </c>
      <c r="E62" t="inlineStr">
        <is>
          <t>https://lpjk.pu.go.id/search-badan-usaha-detail/VmdHR05ac1dKRVZjck5hN1pjT1FHdz09</t>
        </is>
      </c>
      <c r="F62" t="n">
        <v>1</v>
      </c>
      <c r="G62" t="inlineStr">
        <is>
          <t>BS002</t>
        </is>
      </c>
      <c r="H62" t="inlineStr">
        <is>
          <t>7 Januari 2011</t>
        </is>
      </c>
      <c r="I62" s="2" t="n">
        <v>46208</v>
      </c>
      <c r="J62" t="inlineStr">
        <is>
          <t>Pencabutan</t>
        </is>
      </c>
      <c r="K62" t="n">
        <v>30</v>
      </c>
      <c r="L62" t="inlineStr">
        <is>
          <t>5 Juli 2026</t>
        </is>
      </c>
      <c r="M62" t="inlineStr">
        <is>
          <t>Bangunan Sipil Jembatan, Jalan Layang, Fly Over, dan Underpass</t>
        </is>
      </c>
      <c r="N62" t="inlineStr">
        <is>
          <t>K</t>
        </is>
      </c>
      <c r="O62" t="inlineStr">
        <is>
          <t>20230620</t>
        </is>
      </c>
      <c r="P62" t="inlineStr">
        <is>
          <t>Jawa Timur</t>
        </is>
      </c>
      <c r="Q62" t="inlineStr"/>
    </row>
    <row r="63">
      <c r="A63" t="inlineStr">
        <is>
          <t>INDOGEO MANDIRI CONSULTANT</t>
        </is>
      </c>
      <c r="B63" t="inlineStr">
        <is>
          <t>Kota Mataram</t>
        </is>
      </c>
      <c r="C63" t="inlineStr">
        <is>
          <t>08194126582</t>
        </is>
      </c>
      <c r="D63" t="inlineStr">
        <is>
          <t>indogeo.mandiri@gmail.com</t>
        </is>
      </c>
      <c r="E63" t="inlineStr">
        <is>
          <t>https://lpjk.pu.go.id/search-badan-usaha-detail/bWRCQmJmbjFjSG9IUTNxdXU2VzEwUT09</t>
        </is>
      </c>
      <c r="F63" t="n">
        <v>3</v>
      </c>
      <c r="G63" t="inlineStr">
        <is>
          <t>IT001, IT002, IT003</t>
        </is>
      </c>
      <c r="H63" t="inlineStr">
        <is>
          <t>31 Maret 2020</t>
        </is>
      </c>
      <c r="I63" s="2" t="n">
        <v>46208</v>
      </c>
      <c r="J63" t="inlineStr">
        <is>
          <t>Disetujui</t>
        </is>
      </c>
      <c r="K63" t="n">
        <v>30</v>
      </c>
      <c r="L63" t="inlineStr">
        <is>
          <t>5 Juli 2026</t>
        </is>
      </c>
      <c r="M63" t="inlineStr">
        <is>
          <t>Jasa Konsultansi Ilmiah dan Teknis Bawah Tanah, Jasa Konsultansi Ilmiah dan Teknis Permukaan Tanah dan Pembuatan Peta, Jasa Pembuatan Prospektus Geologi dan Geofisika</t>
        </is>
      </c>
      <c r="N63" t="inlineStr">
        <is>
          <t>Spesialis</t>
        </is>
      </c>
      <c r="O63" t="inlineStr">
        <is>
          <t>20230523</t>
        </is>
      </c>
      <c r="P63" t="inlineStr">
        <is>
          <t>Nusa Tenggara Barat</t>
        </is>
      </c>
      <c r="Q63" t="inlineStr"/>
    </row>
    <row r="64">
      <c r="A64" t="inlineStr">
        <is>
          <t>INDRA JAYA</t>
        </is>
      </c>
      <c r="B64" t="inlineStr">
        <is>
          <t>Kab. Probolinggo</t>
        </is>
      </c>
      <c r="C64" t="inlineStr">
        <is>
          <t>08123481045</t>
        </is>
      </c>
      <c r="D64" t="inlineStr">
        <is>
          <t>cvindrajaya26@gmail.com</t>
        </is>
      </c>
      <c r="E64" t="inlineStr">
        <is>
          <t>https://lpjk.pu.go.id/search-badan-usaha-detail/YkY0dHJGNlJJUnhZMDJ2R3dzT1E4UT09</t>
        </is>
      </c>
      <c r="F64" t="n">
        <v>1</v>
      </c>
      <c r="G64" t="inlineStr">
        <is>
          <t>BS001</t>
        </is>
      </c>
      <c r="H64" t="inlineStr">
        <is>
          <t>7 Februari 2011</t>
        </is>
      </c>
      <c r="I64" s="2" t="n">
        <v>46208</v>
      </c>
      <c r="J64" t="inlineStr">
        <is>
          <t>Disetujui</t>
        </is>
      </c>
      <c r="K64" t="n">
        <v>30</v>
      </c>
      <c r="L64" t="inlineStr">
        <is>
          <t>5 Juli 2026</t>
        </is>
      </c>
      <c r="M64" t="inlineStr">
        <is>
          <t>Konstruksi Bangunan Sipil Jalan</t>
        </is>
      </c>
      <c r="N64" t="inlineStr">
        <is>
          <t>K</t>
        </is>
      </c>
      <c r="O64" t="inlineStr">
        <is>
          <t>20230705</t>
        </is>
      </c>
      <c r="P64" t="inlineStr">
        <is>
          <t>Jawa Timur</t>
        </is>
      </c>
      <c r="Q64" t="inlineStr"/>
    </row>
    <row r="65">
      <c r="A65" t="inlineStr">
        <is>
          <t>INDRA JAYA PERKASA NUSANTARA</t>
        </is>
      </c>
      <c r="B65" t="inlineStr">
        <is>
          <t>Kota Bandung</t>
        </is>
      </c>
      <c r="C65" t="inlineStr">
        <is>
          <t>0817223501</t>
        </is>
      </c>
      <c r="D65" t="inlineStr">
        <is>
          <t>legal.indrajpn@gmail.com</t>
        </is>
      </c>
      <c r="E65" t="inlineStr">
        <is>
          <t>https://lpjk.pu.go.id/search-badan-usaha-detail/bjIwUC8yYWF1ditkc0o1eG1DWW1ldz09</t>
        </is>
      </c>
      <c r="F65" t="n">
        <v>1</v>
      </c>
      <c r="G65" t="inlineStr">
        <is>
          <t>BS004</t>
        </is>
      </c>
      <c r="H65" t="inlineStr">
        <is>
          <t>13 Juni 2023</t>
        </is>
      </c>
      <c r="I65" s="2" t="n">
        <v>46208</v>
      </c>
      <c r="J65" t="inlineStr">
        <is>
          <t>Disetujui</t>
        </is>
      </c>
      <c r="K65" t="n">
        <v>30</v>
      </c>
      <c r="L65" t="inlineStr">
        <is>
          <t>5 Juli 2026</t>
        </is>
      </c>
      <c r="M65" t="inlineStr">
        <is>
          <t>Konstruksi Jaringan Irigasi dan Drainase</t>
        </is>
      </c>
      <c r="N65" t="inlineStr">
        <is>
          <t>K</t>
        </is>
      </c>
      <c r="O65" t="inlineStr">
        <is>
          <t>20230626</t>
        </is>
      </c>
      <c r="P65" t="inlineStr">
        <is>
          <t>Jawa Barat</t>
        </is>
      </c>
      <c r="Q65" t="inlineStr"/>
    </row>
    <row r="66">
      <c r="A66" t="inlineStr">
        <is>
          <t>INOVASI TRIBEN MANDIRI</t>
        </is>
      </c>
      <c r="B66" t="inlineStr">
        <is>
          <t>Kab. Pesisir Selatan</t>
        </is>
      </c>
      <c r="C66" t="inlineStr">
        <is>
          <t>082387966464</t>
        </is>
      </c>
      <c r="D66" t="inlineStr">
        <is>
          <t>bennitrisnocv@gmail.com</t>
        </is>
      </c>
      <c r="E66" t="inlineStr">
        <is>
          <t>https://lpjk.pu.go.id/search-badan-usaha-detail/QXJZRFhYUVI5VkFHbkpZOG9PT1liQT09</t>
        </is>
      </c>
      <c r="F66" t="n">
        <v>2</v>
      </c>
      <c r="G66" t="inlineStr">
        <is>
          <t>BS001, BS004</t>
        </is>
      </c>
      <c r="H66" t="inlineStr">
        <is>
          <t>3 September 2012</t>
        </is>
      </c>
      <c r="I66" s="2" t="n">
        <v>46208</v>
      </c>
      <c r="J66" t="inlineStr">
        <is>
          <t>Pencabutan</t>
        </is>
      </c>
      <c r="K66" t="n">
        <v>30</v>
      </c>
      <c r="L66" t="inlineStr">
        <is>
          <t>5 Juli 2026</t>
        </is>
      </c>
      <c r="M66" t="inlineStr">
        <is>
          <t>Konstruksi Bangunan Sipil Jalan, Konstruksi Jaringan Irigasi dan Drainase</t>
        </is>
      </c>
      <c r="N66" t="inlineStr">
        <is>
          <t>K</t>
        </is>
      </c>
      <c r="O66" t="inlineStr">
        <is>
          <t>20230626</t>
        </is>
      </c>
      <c r="P66" t="inlineStr">
        <is>
          <t>Sumatera Barat</t>
        </is>
      </c>
      <c r="Q66" t="inlineStr"/>
    </row>
    <row r="67">
      <c r="A67" t="inlineStr">
        <is>
          <t>JAYA HARSA GAUTAMA</t>
        </is>
      </c>
      <c r="B67" t="inlineStr">
        <is>
          <t>Kota Bandung</t>
        </is>
      </c>
      <c r="C67" t="inlineStr">
        <is>
          <t>081224391735</t>
        </is>
      </c>
      <c r="D67" t="inlineStr">
        <is>
          <t>jharsagautama@gmail.com</t>
        </is>
      </c>
      <c r="E67" t="inlineStr">
        <is>
          <t>https://lpjk.pu.go.id/search-badan-usaha-detail/TTVUeDROUXBuK0lNRjBlcXpKY01MUT09</t>
        </is>
      </c>
      <c r="F67" t="n">
        <v>4</v>
      </c>
      <c r="G67" t="inlineStr">
        <is>
          <t>BG001, BG002, BG003, BG009</t>
        </is>
      </c>
      <c r="H67" t="inlineStr">
        <is>
          <t>5 Desember 2022</t>
        </is>
      </c>
      <c r="I67" s="2" t="n">
        <v>46208</v>
      </c>
      <c r="J67" t="inlineStr">
        <is>
          <t>Pencabutan</t>
        </is>
      </c>
      <c r="K67" t="n">
        <v>30</v>
      </c>
      <c r="L67" t="inlineStr">
        <is>
          <t>5 Juli 2026</t>
        </is>
      </c>
      <c r="M67" t="inlineStr">
        <is>
          <t>Konstruksi Gedung Hunian, Konstruksi Gedung Industri, Konstruksi Gedung Lainnya, Konstruksi Gedung Perkantoran</t>
        </is>
      </c>
      <c r="N67" t="inlineStr">
        <is>
          <t>K</t>
        </is>
      </c>
      <c r="O67" t="inlineStr">
        <is>
          <t>20221227, 20230628</t>
        </is>
      </c>
      <c r="P67" t="inlineStr">
        <is>
          <t>Jawa Barat</t>
        </is>
      </c>
      <c r="Q67" t="inlineStr"/>
    </row>
    <row r="68">
      <c r="A68" t="inlineStr">
        <is>
          <t>KALANGAN PRATAMA</t>
        </is>
      </c>
      <c r="B68" t="inlineStr">
        <is>
          <t>Kota Bandar Lampung</t>
        </is>
      </c>
      <c r="C68" t="inlineStr">
        <is>
          <t>081397178983</t>
        </is>
      </c>
      <c r="D68" t="inlineStr">
        <is>
          <t>kalanganpratama@gmail.com</t>
        </is>
      </c>
      <c r="E68" t="inlineStr">
        <is>
          <t>https://lpjk.pu.go.id/search-badan-usaha-detail/Y0dIWHZxemsyc2tyVHBobGJ1VWxYdz09</t>
        </is>
      </c>
      <c r="F68" t="n">
        <v>2</v>
      </c>
      <c r="G68" t="inlineStr">
        <is>
          <t>RK003</t>
        </is>
      </c>
      <c r="H68" t="inlineStr">
        <is>
          <t>20 Februari 2023</t>
        </is>
      </c>
      <c r="I68" s="2" t="n">
        <v>46208</v>
      </c>
      <c r="J68" t="inlineStr">
        <is>
          <t>Disetujui</t>
        </is>
      </c>
      <c r="K68" t="n">
        <v>30</v>
      </c>
      <c r="L68" t="inlineStr">
        <is>
          <t>5 Juli 2026</t>
        </is>
      </c>
      <c r="M68" t="inlineStr">
        <is>
          <t>Jasa Rekayasa Pekerjaan Teknik Sipil Transportasi</t>
        </is>
      </c>
      <c r="N68" t="inlineStr">
        <is>
          <t>K</t>
        </is>
      </c>
      <c r="O68" t="inlineStr">
        <is>
          <t>20230620</t>
        </is>
      </c>
      <c r="P68" t="inlineStr">
        <is>
          <t>Lampung</t>
        </is>
      </c>
      <c r="Q68" t="inlineStr"/>
    </row>
    <row r="69">
      <c r="A69" t="inlineStr">
        <is>
          <t>KALAPA KEMBAR</t>
        </is>
      </c>
      <c r="B69" t="inlineStr">
        <is>
          <t>Kab. Subang</t>
        </is>
      </c>
      <c r="C69" t="inlineStr">
        <is>
          <t>085294296724</t>
        </is>
      </c>
      <c r="D69" t="inlineStr">
        <is>
          <t>faisolbaraba@yahoo.co.id</t>
        </is>
      </c>
      <c r="E69" t="inlineStr">
        <is>
          <t>https://lpjk.pu.go.id/search-badan-usaha-detail/VWJvU2ovalA2dkZmaWtoVGZtWkxadz09</t>
        </is>
      </c>
      <c r="F69" t="n">
        <v>3</v>
      </c>
      <c r="G69" t="inlineStr">
        <is>
          <t>BS002</t>
        </is>
      </c>
      <c r="H69" t="inlineStr">
        <is>
          <t>19 April 1980</t>
        </is>
      </c>
      <c r="I69" s="2" t="n">
        <v>46208</v>
      </c>
      <c r="J69" t="inlineStr">
        <is>
          <t>Pencabutan</t>
        </is>
      </c>
      <c r="K69" t="n">
        <v>30</v>
      </c>
      <c r="L69" t="inlineStr">
        <is>
          <t>5 Juli 2026</t>
        </is>
      </c>
      <c r="M69" t="inlineStr">
        <is>
          <t>Bangunan Sipil Jembatan, Jalan Layang, Fly Over, dan Underpass</t>
        </is>
      </c>
      <c r="N69" t="inlineStr">
        <is>
          <t>K</t>
        </is>
      </c>
      <c r="O69" t="inlineStr">
        <is>
          <t>20230621</t>
        </is>
      </c>
      <c r="P69" t="inlineStr">
        <is>
          <t>Jawa Barat</t>
        </is>
      </c>
      <c r="Q69" t="inlineStr"/>
    </row>
    <row r="70">
      <c r="A70" t="inlineStr">
        <is>
          <t>KARUNIA JAYA ABADI</t>
        </is>
      </c>
      <c r="B70" t="inlineStr">
        <is>
          <t>Kab. Bandung Barat</t>
        </is>
      </c>
      <c r="C70" t="inlineStr">
        <is>
          <t>082321209091</t>
        </is>
      </c>
      <c r="D70" t="inlineStr">
        <is>
          <t>karuniajayaabadi.edi@gmail.com</t>
        </is>
      </c>
      <c r="E70" t="inlineStr">
        <is>
          <t>https://lpjk.pu.go.id/search-badan-usaha-detail/dnRpaVdzNHRzMjdkbThLTExLdXlEdz09</t>
        </is>
      </c>
      <c r="F70" t="n">
        <v>2</v>
      </c>
      <c r="G70" t="inlineStr">
        <is>
          <t>BG001, BS001</t>
        </is>
      </c>
      <c r="H70" t="inlineStr">
        <is>
          <t>19 Agustus 2015</t>
        </is>
      </c>
      <c r="I70" s="2" t="n">
        <v>46208</v>
      </c>
      <c r="J70" t="inlineStr">
        <is>
          <t>Disetujui, Pencabutan</t>
        </is>
      </c>
      <c r="K70" t="n">
        <v>30</v>
      </c>
      <c r="L70" t="inlineStr">
        <is>
          <t>5 Juli 2026</t>
        </is>
      </c>
      <c r="M70" t="inlineStr">
        <is>
          <t>Konstruksi Bangunan Sipil Jalan, Konstruksi Gedung Hunian</t>
        </is>
      </c>
      <c r="N70" t="inlineStr">
        <is>
          <t>K</t>
        </is>
      </c>
      <c r="O70" t="inlineStr">
        <is>
          <t>20230705</t>
        </is>
      </c>
      <c r="P70" t="inlineStr">
        <is>
          <t>Jawa Barat</t>
        </is>
      </c>
      <c r="Q70" t="inlineStr"/>
    </row>
    <row r="71">
      <c r="A71" t="inlineStr">
        <is>
          <t>KARYA ADI MAS</t>
        </is>
      </c>
      <c r="B71" t="inlineStr">
        <is>
          <t>Kab. Demak</t>
        </is>
      </c>
      <c r="C71" t="inlineStr">
        <is>
          <t>085742013408</t>
        </is>
      </c>
      <c r="D71" t="inlineStr">
        <is>
          <t>karyaadimasdmk@gmail.com</t>
        </is>
      </c>
      <c r="E71" t="inlineStr">
        <is>
          <t>https://lpjk.pu.go.id/search-badan-usaha-detail/TVJXRTFTamtFT0t5dDNyV29nTU9GQT09</t>
        </is>
      </c>
      <c r="F71" t="n">
        <v>1</v>
      </c>
      <c r="G71" t="inlineStr">
        <is>
          <t>BS005</t>
        </is>
      </c>
      <c r="H71" t="inlineStr">
        <is>
          <t>7 Februari 2007</t>
        </is>
      </c>
      <c r="I71" s="2" t="n">
        <v>46208</v>
      </c>
      <c r="J71" t="inlineStr">
        <is>
          <t>Disetujui</t>
        </is>
      </c>
      <c r="K71" t="n">
        <v>30</v>
      </c>
      <c r="L71" t="inlineStr">
        <is>
          <t>5 Juli 2026</t>
        </is>
      </c>
      <c r="M71" t="inlineStr">
        <is>
          <t>Konstruksi Bangunan Sipil Pengolahan Air Bersih</t>
        </is>
      </c>
      <c r="N71" t="inlineStr">
        <is>
          <t>K</t>
        </is>
      </c>
      <c r="O71" t="inlineStr">
        <is>
          <t>20230705</t>
        </is>
      </c>
      <c r="P71" t="inlineStr">
        <is>
          <t>Jawa Tengah</t>
        </is>
      </c>
      <c r="Q71" t="inlineStr"/>
    </row>
    <row r="72">
      <c r="A72" t="inlineStr">
        <is>
          <t>KARYA JASA</t>
        </is>
      </c>
      <c r="B72" t="inlineStr">
        <is>
          <t>Kab. Belitung</t>
        </is>
      </c>
      <c r="C72" t="inlineStr">
        <is>
          <t>081949169058</t>
        </is>
      </c>
      <c r="D72" t="inlineStr">
        <is>
          <t>karyajasatjq@gmail.com</t>
        </is>
      </c>
      <c r="E72" t="inlineStr">
        <is>
          <t>https://lpjk.pu.go.id/search-badan-usaha-detail/ckJiMFlGaWpETU5PaUpyaXBqSTFaZz09</t>
        </is>
      </c>
      <c r="F72" t="n">
        <v>1</v>
      </c>
      <c r="G72" t="inlineStr">
        <is>
          <t>BG005</t>
        </is>
      </c>
      <c r="H72" t="inlineStr">
        <is>
          <t>23 Juni 2023</t>
        </is>
      </c>
      <c r="I72" s="2" t="n">
        <v>46208</v>
      </c>
      <c r="J72" t="inlineStr">
        <is>
          <t>Disetujui</t>
        </is>
      </c>
      <c r="K72" t="n">
        <v>30</v>
      </c>
      <c r="L72" t="inlineStr">
        <is>
          <t>5 Juli 2026</t>
        </is>
      </c>
      <c r="M72" t="inlineStr">
        <is>
          <t>Konstruksi Gedung Kesehatan</t>
        </is>
      </c>
      <c r="N72" t="inlineStr">
        <is>
          <t>K</t>
        </is>
      </c>
      <c r="O72" t="inlineStr">
        <is>
          <t>20230706</t>
        </is>
      </c>
      <c r="P72" t="inlineStr">
        <is>
          <t>Kepulauan Bangka Belitung</t>
        </is>
      </c>
      <c r="Q72" t="inlineStr"/>
    </row>
    <row r="73">
      <c r="A73" t="inlineStr">
        <is>
          <t>KARYA MAKMUR</t>
        </is>
      </c>
      <c r="B73" t="inlineStr">
        <is>
          <t>Kab. Tulungagung</t>
        </is>
      </c>
      <c r="C73" t="inlineStr">
        <is>
          <t>081239503835</t>
        </is>
      </c>
      <c r="D73" t="inlineStr">
        <is>
          <t>cvkaryamakmur9@gmail.com</t>
        </is>
      </c>
      <c r="E73" t="inlineStr">
        <is>
          <t>https://lpjk.pu.go.id/search-badan-usaha-detail/VFZxVkNacTJudXlyR05heDF6OG14Zz09</t>
        </is>
      </c>
      <c r="F73" t="n">
        <v>4</v>
      </c>
      <c r="G73" t="inlineStr">
        <is>
          <t>BG006, BG009, BS001, BS004</t>
        </is>
      </c>
      <c r="H73" t="inlineStr">
        <is>
          <t>11 September 2007</t>
        </is>
      </c>
      <c r="I73" s="2" t="n">
        <v>46208</v>
      </c>
      <c r="J73" t="inlineStr">
        <is>
          <t>Disetujui</t>
        </is>
      </c>
      <c r="K73" t="n">
        <v>30</v>
      </c>
      <c r="L73" t="inlineStr">
        <is>
          <t>5 Juli 2026</t>
        </is>
      </c>
      <c r="M73" t="inlineStr">
        <is>
          <t>Konstruksi Bangunan Sipil Jalan, Konstruksi Gedung Lainnya, Konstruksi Gedung Pendidikan, Konstruksi Jaringan Irigasi dan Drainase</t>
        </is>
      </c>
      <c r="N73" t="inlineStr">
        <is>
          <t>K</t>
        </is>
      </c>
      <c r="O73" t="inlineStr">
        <is>
          <t>20230705</t>
        </is>
      </c>
      <c r="P73" t="inlineStr">
        <is>
          <t>Jawa Timur</t>
        </is>
      </c>
      <c r="Q73" t="inlineStr"/>
    </row>
    <row r="74">
      <c r="A74" t="inlineStr">
        <is>
          <t>KARYA MUDA</t>
        </is>
      </c>
      <c r="B74" t="inlineStr">
        <is>
          <t>Kab. Magetan</t>
        </is>
      </c>
      <c r="C74" t="inlineStr">
        <is>
          <t>082335242045</t>
        </is>
      </c>
      <c r="D74" t="inlineStr">
        <is>
          <t>cvkaryamuda1@gmail.com</t>
        </is>
      </c>
      <c r="E74" t="inlineStr">
        <is>
          <t>https://lpjk.pu.go.id/search-badan-usaha-detail/UDhVNURhZlE4a2pWcFZrOU5JVHFGQT09</t>
        </is>
      </c>
      <c r="F74" t="n">
        <v>2</v>
      </c>
      <c r="G74" t="inlineStr">
        <is>
          <t>BG004, BS004</t>
        </is>
      </c>
      <c r="H74" t="inlineStr">
        <is>
          <t>31 Januari 2011</t>
        </is>
      </c>
      <c r="I74" s="2" t="n">
        <v>46208</v>
      </c>
      <c r="J74" t="inlineStr">
        <is>
          <t>Pencabutan</t>
        </is>
      </c>
      <c r="K74" t="n">
        <v>30</v>
      </c>
      <c r="L74" t="inlineStr">
        <is>
          <t>5 Juli 2026</t>
        </is>
      </c>
      <c r="M74" t="inlineStr">
        <is>
          <t>Konstruksi Gedung Perbelanjaan, Konstruksi Jaringan Irigasi dan Drainase</t>
        </is>
      </c>
      <c r="N74" t="inlineStr">
        <is>
          <t>K</t>
        </is>
      </c>
      <c r="O74" t="inlineStr">
        <is>
          <t>20230705</t>
        </is>
      </c>
      <c r="P74" t="inlineStr">
        <is>
          <t>Jawa Timur</t>
        </is>
      </c>
      <c r="Q74" t="inlineStr"/>
    </row>
    <row r="75">
      <c r="A75" t="inlineStr">
        <is>
          <t>KEMBAR ALAM</t>
        </is>
      </c>
      <c r="B75" t="inlineStr">
        <is>
          <t>Kota Bandar Lampung</t>
        </is>
      </c>
      <c r="C75" t="inlineStr">
        <is>
          <t>081367364416</t>
        </is>
      </c>
      <c r="D75" t="inlineStr">
        <is>
          <t>kembaralamcv21@gmail.com</t>
        </is>
      </c>
      <c r="E75" t="inlineStr">
        <is>
          <t>https://lpjk.pu.go.id/search-badan-usaha-detail/SlJHNzBqclZuc0dQQytHdnBvK3p0QT09</t>
        </is>
      </c>
      <c r="F75" t="n">
        <v>2</v>
      </c>
      <c r="G75" t="inlineStr">
        <is>
          <t>BG009, BS001</t>
        </is>
      </c>
      <c r="H75" t="inlineStr">
        <is>
          <t>16 September 2021</t>
        </is>
      </c>
      <c r="I75" s="2" t="n">
        <v>46208</v>
      </c>
      <c r="J75" t="inlineStr">
        <is>
          <t>Disetujui</t>
        </is>
      </c>
      <c r="K75" t="n">
        <v>30</v>
      </c>
      <c r="L75" t="inlineStr">
        <is>
          <t>5 Juli 2026</t>
        </is>
      </c>
      <c r="M75" t="inlineStr">
        <is>
          <t>Konstruksi Bangunan Sipil Jalan, Konstruksi Gedung Lainnya</t>
        </is>
      </c>
      <c r="N75" t="inlineStr">
        <is>
          <t>K</t>
        </is>
      </c>
      <c r="O75" t="inlineStr">
        <is>
          <t>20230619, 20230627</t>
        </is>
      </c>
      <c r="P75" t="inlineStr">
        <is>
          <t>Lampung</t>
        </is>
      </c>
      <c r="Q75" t="inlineStr"/>
    </row>
    <row r="76">
      <c r="A76" t="inlineStr">
        <is>
          <t>KHARISMA SEJATI</t>
        </is>
      </c>
      <c r="B76" t="inlineStr">
        <is>
          <t>Kab. Bintan</t>
        </is>
      </c>
      <c r="C76" t="inlineStr">
        <is>
          <t>082284090157</t>
        </is>
      </c>
      <c r="D76" t="inlineStr">
        <is>
          <t>kharismasejati750@gmail.com</t>
        </is>
      </c>
      <c r="E76" t="inlineStr">
        <is>
          <t>https://lpjk.pu.go.id/search-badan-usaha-detail/Y3orUEJQWEhBRFhFejg0S09yMSt1dz09</t>
        </is>
      </c>
      <c r="F76" t="n">
        <v>2</v>
      </c>
      <c r="G76" t="inlineStr">
        <is>
          <t>BG001, BG006</t>
        </is>
      </c>
      <c r="H76" t="inlineStr">
        <is>
          <t>16 Mei 2002</t>
        </is>
      </c>
      <c r="I76" s="2" t="n">
        <v>46208</v>
      </c>
      <c r="J76" t="inlineStr">
        <is>
          <t>Disetujui</t>
        </is>
      </c>
      <c r="K76" t="n">
        <v>30</v>
      </c>
      <c r="L76" t="inlineStr">
        <is>
          <t>5 Juli 2026</t>
        </is>
      </c>
      <c r="M76" t="inlineStr">
        <is>
          <t>Konstruksi Gedung Hunian, Konstruksi Gedung Pendidikan</t>
        </is>
      </c>
      <c r="N76" t="inlineStr">
        <is>
          <t>K</t>
        </is>
      </c>
      <c r="O76" t="inlineStr">
        <is>
          <t>20230626</t>
        </is>
      </c>
      <c r="P76" t="inlineStr">
        <is>
          <t>Kepulauan Riau</t>
        </is>
      </c>
      <c r="Q76" t="inlineStr"/>
    </row>
    <row r="77">
      <c r="A77" t="inlineStr">
        <is>
          <t>KITA MITRA UTAMA</t>
        </is>
      </c>
      <c r="B77" t="inlineStr">
        <is>
          <t>Kab. Aceh Utara</t>
        </is>
      </c>
      <c r="C77" t="inlineStr">
        <is>
          <t>085260275241</t>
        </is>
      </c>
      <c r="D77" t="inlineStr">
        <is>
          <t>kitamitrautama@gmail.com</t>
        </is>
      </c>
      <c r="E77" t="inlineStr">
        <is>
          <t>https://lpjk.pu.go.id/search-badan-usaha-detail/SjBpZEFvK3RKa3VmWFlHc1JmNnBBQT09</t>
        </is>
      </c>
      <c r="F77" t="n">
        <v>4</v>
      </c>
      <c r="G77" t="inlineStr">
        <is>
          <t>RK001, RK002, RK003, RK005</t>
        </is>
      </c>
      <c r="H77" t="inlineStr">
        <is>
          <t>22 Juni 2012</t>
        </is>
      </c>
      <c r="I77" s="2" t="n">
        <v>46208</v>
      </c>
      <c r="J77" t="inlineStr">
        <is>
          <t>Disetujui</t>
        </is>
      </c>
      <c r="K77" t="n">
        <v>30</v>
      </c>
      <c r="L77" t="inlineStr">
        <is>
          <t>5 Juli 2026</t>
        </is>
      </c>
      <c r="M77" t="inlineStr">
        <is>
          <t>Jasa Rekayasa Konstruksi Bangunan Gedung Hunian dan Non Hunian, Jasa Rekayasa Lainnya, Jasa Rekayasa Pekerjaan Teknik Sipil Sumber Daya Air, Jasa Rekayasa Pekerjaan Teknik Sipil Transportasi</t>
        </is>
      </c>
      <c r="N77" t="inlineStr">
        <is>
          <t>K</t>
        </is>
      </c>
      <c r="O77" t="inlineStr">
        <is>
          <t>20230623</t>
        </is>
      </c>
      <c r="P77" t="inlineStr">
        <is>
          <t>Aceh</t>
        </is>
      </c>
      <c r="Q77" t="inlineStr"/>
    </row>
    <row r="78">
      <c r="A78" t="inlineStr">
        <is>
          <t>KREASINDO PUTRA NIKAN</t>
        </is>
      </c>
      <c r="B78" t="inlineStr">
        <is>
          <t>Kab. Ogan Komering Ilir</t>
        </is>
      </c>
      <c r="C78" t="inlineStr">
        <is>
          <t>081271365854</t>
        </is>
      </c>
      <c r="D78" t="inlineStr">
        <is>
          <t>kreasindoputranikan88@gmail.com</t>
        </is>
      </c>
      <c r="E78" t="inlineStr">
        <is>
          <t>https://lpjk.pu.go.id/search-badan-usaha-detail/ZnoxaGxFNlZKOTd2Z2thZEFvNDYzZz09</t>
        </is>
      </c>
      <c r="F78" t="n">
        <v>2</v>
      </c>
      <c r="G78" t="inlineStr">
        <is>
          <t>BS002</t>
        </is>
      </c>
      <c r="H78" t="inlineStr">
        <is>
          <t>15 Januari 2020</t>
        </is>
      </c>
      <c r="I78" s="2" t="n">
        <v>46208</v>
      </c>
      <c r="J78" t="inlineStr">
        <is>
          <t>Disetujui</t>
        </is>
      </c>
      <c r="K78" t="n">
        <v>30</v>
      </c>
      <c r="L78" t="inlineStr">
        <is>
          <t>5 Juli 2026</t>
        </is>
      </c>
      <c r="M78" t="inlineStr">
        <is>
          <t>Bangunan Sipil Jembatan, Jalan Layang, Fly Over, dan Underpass</t>
        </is>
      </c>
      <c r="N78" t="inlineStr">
        <is>
          <t>K</t>
        </is>
      </c>
      <c r="O78" t="inlineStr">
        <is>
          <t>20230701</t>
        </is>
      </c>
      <c r="P78" t="inlineStr">
        <is>
          <t>Sumatera Selatan</t>
        </is>
      </c>
      <c r="Q78" t="inlineStr"/>
    </row>
    <row r="79">
      <c r="A79" t="inlineStr">
        <is>
          <t>KUSUMA RIAU MANDIRI</t>
        </is>
      </c>
      <c r="B79" t="inlineStr">
        <is>
          <t>Kab. Pelalawan</t>
        </is>
      </c>
      <c r="C79" t="inlineStr">
        <is>
          <t>082385008795</t>
        </is>
      </c>
      <c r="D79" t="inlineStr">
        <is>
          <t>ptkrm.pklkrc@gmail.com</t>
        </is>
      </c>
      <c r="E79" t="inlineStr">
        <is>
          <t>https://lpjk.pu.go.id/search-badan-usaha-detail/NTUvWDdraHFtT2x4SDAzNjBpOEtLQT09</t>
        </is>
      </c>
      <c r="F79" t="n">
        <v>1</v>
      </c>
      <c r="G79" t="inlineStr">
        <is>
          <t>IN007</t>
        </is>
      </c>
      <c r="H79" t="inlineStr">
        <is>
          <t>29 Maret 2011</t>
        </is>
      </c>
      <c r="I79" s="2" t="n">
        <v>46208</v>
      </c>
      <c r="J79" t="inlineStr">
        <is>
          <t>Disetujui</t>
        </is>
      </c>
      <c r="K79" t="n">
        <v>30</v>
      </c>
      <c r="L79" t="inlineStr">
        <is>
          <t>5 Juli 2026</t>
        </is>
      </c>
      <c r="M79" t="inlineStr">
        <is>
          <t>Instalasi Saluran Air (Plambing)</t>
        </is>
      </c>
      <c r="N79" t="inlineStr">
        <is>
          <t>Spesialis</t>
        </is>
      </c>
      <c r="O79" t="inlineStr">
        <is>
          <t>20230627</t>
        </is>
      </c>
      <c r="P79" t="inlineStr">
        <is>
          <t>Riau</t>
        </is>
      </c>
      <c r="Q79" t="inlineStr"/>
    </row>
    <row r="80">
      <c r="A80" t="inlineStr">
        <is>
          <t>LITA-LISA</t>
        </is>
      </c>
      <c r="B80" t="inlineStr">
        <is>
          <t>Kab. Ponorogo</t>
        </is>
      </c>
      <c r="C80" t="inlineStr">
        <is>
          <t>081329650301</t>
        </is>
      </c>
      <c r="D80" t="inlineStr">
        <is>
          <t>lita.lisa12@gmail.com</t>
        </is>
      </c>
      <c r="E80" t="inlineStr">
        <is>
          <t>https://lpjk.pu.go.id/search-badan-usaha-detail/cTI2N2Y3L0lBMWtFZWhhVEpFcW9HZz09</t>
        </is>
      </c>
      <c r="F80" t="n">
        <v>1</v>
      </c>
      <c r="G80" t="inlineStr">
        <is>
          <t>BG006</t>
        </is>
      </c>
      <c r="H80" t="inlineStr">
        <is>
          <t>24 Agustus 2016</t>
        </is>
      </c>
      <c r="I80" s="2" t="n">
        <v>46208</v>
      </c>
      <c r="J80" t="inlineStr">
        <is>
          <t>Disetujui</t>
        </is>
      </c>
      <c r="K80" t="n">
        <v>30</v>
      </c>
      <c r="L80" t="inlineStr">
        <is>
          <t>5 Juli 2026</t>
        </is>
      </c>
      <c r="M80" t="inlineStr">
        <is>
          <t>Konstruksi Gedung Pendidikan</t>
        </is>
      </c>
      <c r="N80" t="inlineStr">
        <is>
          <t>K</t>
        </is>
      </c>
      <c r="O80" t="inlineStr">
        <is>
          <t>20230624</t>
        </is>
      </c>
      <c r="P80" t="inlineStr">
        <is>
          <t>Jawa Timur</t>
        </is>
      </c>
      <c r="Q80" t="inlineStr"/>
    </row>
    <row r="81">
      <c r="A81" t="inlineStr">
        <is>
          <t>LUMINTU JAYA</t>
        </is>
      </c>
      <c r="B81" t="inlineStr">
        <is>
          <t>Kab. Magetan</t>
        </is>
      </c>
      <c r="C81" t="inlineStr">
        <is>
          <t>085335797790</t>
        </is>
      </c>
      <c r="D81" t="inlineStr">
        <is>
          <t>lumintujaya2016@gmail.com</t>
        </is>
      </c>
      <c r="E81" t="inlineStr">
        <is>
          <t>https://lpjk.pu.go.id/search-badan-usaha-detail/empGdUNKMHRoam1FYXo2S1hhbURZUT09</t>
        </is>
      </c>
      <c r="F81" t="n">
        <v>1</v>
      </c>
      <c r="G81" t="inlineStr">
        <is>
          <t>BG006</t>
        </is>
      </c>
      <c r="H81" t="inlineStr">
        <is>
          <t>12 Juli 2008</t>
        </is>
      </c>
      <c r="I81" s="2" t="n">
        <v>46208</v>
      </c>
      <c r="J81" t="inlineStr">
        <is>
          <t>Disetujui</t>
        </is>
      </c>
      <c r="K81" t="n">
        <v>30</v>
      </c>
      <c r="L81" t="inlineStr">
        <is>
          <t>5 Juli 2026</t>
        </is>
      </c>
      <c r="M81" t="inlineStr">
        <is>
          <t>Konstruksi Gedung Pendidikan</t>
        </is>
      </c>
      <c r="N81" t="inlineStr">
        <is>
          <t>K</t>
        </is>
      </c>
      <c r="O81" t="inlineStr">
        <is>
          <t>20230328</t>
        </is>
      </c>
      <c r="P81" t="inlineStr">
        <is>
          <t>Jawa Timur</t>
        </is>
      </c>
      <c r="Q81" t="inlineStr"/>
    </row>
    <row r="82">
      <c r="A82" t="inlineStr">
        <is>
          <t>MAHAJAN MAKMUR ABADI JAYA</t>
        </is>
      </c>
      <c r="B82" t="inlineStr">
        <is>
          <t>Kota Jayapura</t>
        </is>
      </c>
      <c r="C82" t="inlineStr">
        <is>
          <t>081247074086</t>
        </is>
      </c>
      <c r="D82" t="inlineStr">
        <is>
          <t>mahajanutama23@gmail.com</t>
        </is>
      </c>
      <c r="E82" t="inlineStr">
        <is>
          <t>https://lpjk.pu.go.id/search-badan-usaha-detail/dFpNeEZCSmZjMnVjR3ZBUUUwV1NRUT09</t>
        </is>
      </c>
      <c r="F82" t="n">
        <v>4</v>
      </c>
      <c r="G82" t="inlineStr">
        <is>
          <t>BG001, BG002, BG005, BG006</t>
        </is>
      </c>
      <c r="H82" t="inlineStr">
        <is>
          <t>18 April 2023</t>
        </is>
      </c>
      <c r="I82" s="2" t="n">
        <v>46208</v>
      </c>
      <c r="J82" t="inlineStr">
        <is>
          <t>Disetujui</t>
        </is>
      </c>
      <c r="K82" t="n">
        <v>30</v>
      </c>
      <c r="L82" t="inlineStr">
        <is>
          <t>5 Juli 2026</t>
        </is>
      </c>
      <c r="M82" t="inlineStr">
        <is>
          <t>Konstruksi Gedung Hunian, Konstruksi Gedung Kesehatan, Konstruksi Gedung Pendidikan, Konstruksi Gedung Perkantoran</t>
        </is>
      </c>
      <c r="N82" t="inlineStr">
        <is>
          <t>K</t>
        </is>
      </c>
      <c r="O82" t="inlineStr">
        <is>
          <t>20230626</t>
        </is>
      </c>
      <c r="P82" t="inlineStr">
        <is>
          <t>Papua</t>
        </is>
      </c>
      <c r="Q82" t="inlineStr"/>
    </row>
    <row r="83">
      <c r="A83" t="inlineStr">
        <is>
          <t>MAHANTA KARYA</t>
        </is>
      </c>
      <c r="B83" t="inlineStr">
        <is>
          <t>Kab. Ponorogo</t>
        </is>
      </c>
      <c r="C83" t="inlineStr">
        <is>
          <t>081333286892</t>
        </is>
      </c>
      <c r="D83" t="inlineStr">
        <is>
          <t>mahantakarya11@gmail.com</t>
        </is>
      </c>
      <c r="E83" t="inlineStr">
        <is>
          <t>https://lpjk.pu.go.id/search-badan-usaha-detail/QUJsclFQd1pIc29tWEhJVW4rWVlrZz09</t>
        </is>
      </c>
      <c r="F83" t="n">
        <v>1</v>
      </c>
      <c r="G83" t="inlineStr">
        <is>
          <t>BS001</t>
        </is>
      </c>
      <c r="H83" t="inlineStr">
        <is>
          <t>21 Januari 2021</t>
        </is>
      </c>
      <c r="I83" s="2" t="n">
        <v>46208</v>
      </c>
      <c r="J83" t="inlineStr">
        <is>
          <t>Disetujui</t>
        </is>
      </c>
      <c r="K83" t="n">
        <v>30</v>
      </c>
      <c r="L83" t="inlineStr">
        <is>
          <t>5 Juli 2026</t>
        </is>
      </c>
      <c r="M83" t="inlineStr">
        <is>
          <t>Konstruksi Bangunan Sipil Jalan</t>
        </is>
      </c>
      <c r="N83" t="inlineStr">
        <is>
          <t>K</t>
        </is>
      </c>
      <c r="O83" t="inlineStr">
        <is>
          <t>20230703</t>
        </is>
      </c>
      <c r="P83" t="inlineStr">
        <is>
          <t>Jawa Timur</t>
        </is>
      </c>
      <c r="Q83" t="inlineStr"/>
    </row>
    <row r="84">
      <c r="A84" t="inlineStr">
        <is>
          <t>MAHKOTA</t>
        </is>
      </c>
      <c r="B84" t="inlineStr">
        <is>
          <t>Kab. Cirebon</t>
        </is>
      </c>
      <c r="C84" t="inlineStr">
        <is>
          <t>08112010782</t>
        </is>
      </c>
      <c r="D84" t="inlineStr">
        <is>
          <t>cv.mahkota19@gmail.com</t>
        </is>
      </c>
      <c r="E84" t="inlineStr">
        <is>
          <t>https://lpjk.pu.go.id/search-badan-usaha-detail/S2tGY0NLVlBPcXJwT0xaTXJod3RNdz09</t>
        </is>
      </c>
      <c r="F84" t="n">
        <v>1</v>
      </c>
      <c r="G84" t="inlineStr">
        <is>
          <t>BG002</t>
        </is>
      </c>
      <c r="H84" t="inlineStr">
        <is>
          <t>3 Agustus 1979</t>
        </is>
      </c>
      <c r="I84" s="2" t="n">
        <v>46208</v>
      </c>
      <c r="J84" t="inlineStr">
        <is>
          <t>Disetujui</t>
        </is>
      </c>
      <c r="K84" t="n">
        <v>30</v>
      </c>
      <c r="L84" t="inlineStr">
        <is>
          <t>5 Juli 2026</t>
        </is>
      </c>
      <c r="M84" t="inlineStr">
        <is>
          <t>Konstruksi Gedung Perkantoran</t>
        </is>
      </c>
      <c r="N84" t="inlineStr">
        <is>
          <t>K</t>
        </is>
      </c>
      <c r="O84" t="inlineStr">
        <is>
          <t>20230703</t>
        </is>
      </c>
      <c r="P84" t="inlineStr">
        <is>
          <t>Jawa Barat</t>
        </is>
      </c>
      <c r="Q84" t="inlineStr"/>
    </row>
    <row r="85">
      <c r="A85" t="inlineStr">
        <is>
          <t>MAKMUR</t>
        </is>
      </c>
      <c r="B85" t="inlineStr">
        <is>
          <t>Kab. Sukabumi</t>
        </is>
      </c>
      <c r="C85" t="inlineStr">
        <is>
          <t>085659438569</t>
        </is>
      </c>
      <c r="D85" t="inlineStr">
        <is>
          <t>cvmakmur005@gmail.com</t>
        </is>
      </c>
      <c r="E85" t="inlineStr">
        <is>
          <t>https://lpjk.pu.go.id/search-badan-usaha-detail/djhBMGZadVRaaXJoVHpjaHlTWGh5Zz09</t>
        </is>
      </c>
      <c r="F85" t="n">
        <v>1</v>
      </c>
      <c r="G85" t="inlineStr">
        <is>
          <t>BS001</t>
        </is>
      </c>
      <c r="H85" t="inlineStr">
        <is>
          <t>13 Mei 2002</t>
        </is>
      </c>
      <c r="I85" s="2" t="n">
        <v>46208</v>
      </c>
      <c r="J85" t="inlineStr">
        <is>
          <t>Disetujui</t>
        </is>
      </c>
      <c r="K85" t="n">
        <v>30</v>
      </c>
      <c r="L85" t="inlineStr">
        <is>
          <t>5 Juli 2026</t>
        </is>
      </c>
      <c r="M85" t="inlineStr">
        <is>
          <t>Konstruksi Bangunan Sipil Jalan</t>
        </is>
      </c>
      <c r="N85" t="inlineStr">
        <is>
          <t>K</t>
        </is>
      </c>
      <c r="O85" t="inlineStr">
        <is>
          <t>20230704</t>
        </is>
      </c>
      <c r="P85" t="inlineStr">
        <is>
          <t>Jawa Barat</t>
        </is>
      </c>
      <c r="Q85" t="inlineStr"/>
    </row>
    <row r="86">
      <c r="A86" t="inlineStr">
        <is>
          <t>MAKMUR BERKAH ABADI</t>
        </is>
      </c>
      <c r="B86" t="inlineStr">
        <is>
          <t>Kab. Mojokerto</t>
        </is>
      </c>
      <c r="C86" t="inlineStr">
        <is>
          <t>0321320825</t>
        </is>
      </c>
      <c r="D86" t="inlineStr">
        <is>
          <t>makmurberkahabadi@gmail.com</t>
        </is>
      </c>
      <c r="E86" t="inlineStr">
        <is>
          <t>https://lpjk.pu.go.id/search-badan-usaha-detail/bG1ERjhGb0M5aWV0Wkh5c3hrREswZz09</t>
        </is>
      </c>
      <c r="F86" t="n">
        <v>1</v>
      </c>
      <c r="G86" t="inlineStr">
        <is>
          <t>BG003</t>
        </is>
      </c>
      <c r="H86" t="inlineStr">
        <is>
          <t>15 September 2005</t>
        </is>
      </c>
      <c r="I86" s="2" t="n">
        <v>46208</v>
      </c>
      <c r="J86" t="inlineStr">
        <is>
          <t>Disetujui</t>
        </is>
      </c>
      <c r="K86" t="n">
        <v>30</v>
      </c>
      <c r="L86" t="inlineStr">
        <is>
          <t>5 Juli 2026</t>
        </is>
      </c>
      <c r="M86" t="inlineStr">
        <is>
          <t>Konstruksi Gedung Industri</t>
        </is>
      </c>
      <c r="N86" t="inlineStr">
        <is>
          <t>K</t>
        </is>
      </c>
      <c r="O86" t="inlineStr">
        <is>
          <t>20230626</t>
        </is>
      </c>
      <c r="P86" t="inlineStr">
        <is>
          <t>Jawa Timur</t>
        </is>
      </c>
      <c r="Q86" t="inlineStr"/>
    </row>
    <row r="87">
      <c r="A87" t="inlineStr">
        <is>
          <t>MAKMUR JAYA EMULSI</t>
        </is>
      </c>
      <c r="B87" t="inlineStr">
        <is>
          <t>Kota Makassar</t>
        </is>
      </c>
      <c r="C87" t="inlineStr">
        <is>
          <t>0411885359</t>
        </is>
      </c>
      <c r="D87" t="inlineStr">
        <is>
          <t>makmurjayaniaga@gmail.com</t>
        </is>
      </c>
      <c r="E87" t="inlineStr">
        <is>
          <t>https://lpjk.pu.go.id/search-badan-usaha-detail/RHB0NXJBZkdzRzVqQVpRNmFBUnZXQT09</t>
        </is>
      </c>
      <c r="F87" t="n">
        <v>1</v>
      </c>
      <c r="G87" t="inlineStr">
        <is>
          <t>BS001</t>
        </is>
      </c>
      <c r="H87" t="inlineStr">
        <is>
          <t>18 Oktober 2012</t>
        </is>
      </c>
      <c r="I87" s="2" t="n">
        <v>46208</v>
      </c>
      <c r="J87" t="inlineStr">
        <is>
          <t>Pembekuan</t>
        </is>
      </c>
      <c r="K87" t="n">
        <v>30</v>
      </c>
      <c r="L87" t="inlineStr">
        <is>
          <t>5 Juli 2026</t>
        </is>
      </c>
      <c r="M87" t="inlineStr">
        <is>
          <t>Konstruksi Bangunan Sipil Jalan</t>
        </is>
      </c>
      <c r="N87" t="inlineStr">
        <is>
          <t>M</t>
        </is>
      </c>
      <c r="O87" t="inlineStr">
        <is>
          <t>20230702</t>
        </is>
      </c>
      <c r="P87" t="inlineStr">
        <is>
          <t>Sulawesi Selatan</t>
        </is>
      </c>
      <c r="Q87" t="inlineStr"/>
    </row>
    <row r="88">
      <c r="A88" t="inlineStr">
        <is>
          <t>MANDIRI INDAH PRIMA</t>
        </is>
      </c>
      <c r="B88" t="inlineStr">
        <is>
          <t>Kota Medan</t>
        </is>
      </c>
      <c r="C88" t="inlineStr">
        <is>
          <t>081370228860</t>
        </is>
      </c>
      <c r="D88" t="inlineStr">
        <is>
          <t>mandiriindahprima@gmail.com</t>
        </is>
      </c>
      <c r="E88" t="inlineStr">
        <is>
          <t>https://lpjk.pu.go.id/search-badan-usaha-detail/SVNUL1hjaWRTMlltMGZuNFdhZk9zUT09</t>
        </is>
      </c>
      <c r="F88" t="n">
        <v>1</v>
      </c>
      <c r="G88" t="inlineStr">
        <is>
          <t>BS004</t>
        </is>
      </c>
      <c r="H88" t="inlineStr">
        <is>
          <t>8 November 2007</t>
        </is>
      </c>
      <c r="I88" s="2" t="n">
        <v>46208</v>
      </c>
      <c r="J88" t="inlineStr">
        <is>
          <t>Disetujui</t>
        </is>
      </c>
      <c r="K88" t="n">
        <v>30</v>
      </c>
      <c r="L88" t="inlineStr">
        <is>
          <t>5 Juli 2026</t>
        </is>
      </c>
      <c r="M88" t="inlineStr">
        <is>
          <t>Konstruksi Jaringan Irigasi dan Drainase</t>
        </is>
      </c>
      <c r="N88" t="inlineStr">
        <is>
          <t>K</t>
        </is>
      </c>
      <c r="O88" t="inlineStr">
        <is>
          <t>20230705</t>
        </is>
      </c>
      <c r="P88" t="inlineStr">
        <is>
          <t>Sumatera Utara</t>
        </is>
      </c>
      <c r="Q88" t="inlineStr"/>
    </row>
    <row r="89">
      <c r="A89" t="inlineStr">
        <is>
          <t>MEDIA BABELINDO</t>
        </is>
      </c>
      <c r="B89" t="inlineStr">
        <is>
          <t>Kab. Bangka Tengah</t>
        </is>
      </c>
      <c r="C89" t="inlineStr">
        <is>
          <t>085268010444</t>
        </is>
      </c>
      <c r="D89" t="inlineStr">
        <is>
          <t>mediacvbabelindo@gmail.com</t>
        </is>
      </c>
      <c r="E89" t="inlineStr">
        <is>
          <t>https://lpjk.pu.go.id/search-badan-usaha-detail/YnFycjN2MTRuUEtXeTJKMUZkSGJPQT09</t>
        </is>
      </c>
      <c r="F89" t="n">
        <v>3</v>
      </c>
      <c r="G89" t="inlineStr">
        <is>
          <t>BG005, BG006, BG009</t>
        </is>
      </c>
      <c r="H89" t="inlineStr">
        <is>
          <t>20 Oktober 2014</t>
        </is>
      </c>
      <c r="I89" s="2" t="n">
        <v>46208</v>
      </c>
      <c r="J89" t="inlineStr">
        <is>
          <t>Disetujui</t>
        </is>
      </c>
      <c r="K89" t="n">
        <v>30</v>
      </c>
      <c r="L89" t="inlineStr">
        <is>
          <t>5 Juli 2026</t>
        </is>
      </c>
      <c r="M89" t="inlineStr">
        <is>
          <t>Konstruksi Gedung Kesehatan, Konstruksi Gedung Lainnya, Konstruksi Gedung Pendidikan</t>
        </is>
      </c>
      <c r="N89" t="inlineStr">
        <is>
          <t>K</t>
        </is>
      </c>
      <c r="O89" t="inlineStr">
        <is>
          <t>20230705</t>
        </is>
      </c>
      <c r="P89" t="inlineStr">
        <is>
          <t>Kepulauan Bangka Belitung</t>
        </is>
      </c>
      <c r="Q89" t="inlineStr"/>
    </row>
    <row r="90">
      <c r="A90" t="inlineStr">
        <is>
          <t>MEDIA ENGINEERING CONSULTANT</t>
        </is>
      </c>
      <c r="B90" t="inlineStr">
        <is>
          <t>Kab. Paser</t>
        </is>
      </c>
      <c r="C90" t="inlineStr">
        <is>
          <t>054321411</t>
        </is>
      </c>
      <c r="D90" t="inlineStr">
        <is>
          <t>media.engineering@yahoo.co.id</t>
        </is>
      </c>
      <c r="E90" t="inlineStr">
        <is>
          <t>https://lpjk.pu.go.id/search-badan-usaha-detail/aUdOZTM5ZFpLSGkxYzJjWWZCaUVRdz09</t>
        </is>
      </c>
      <c r="F90" t="n">
        <v>6</v>
      </c>
      <c r="G90" t="inlineStr">
        <is>
          <t>AR001, AR002, RK001, RK002, RK003, RK005</t>
        </is>
      </c>
      <c r="H90" t="inlineStr">
        <is>
          <t>14 Maret 2005</t>
        </is>
      </c>
      <c r="I90" s="2" t="n">
        <v>46208</v>
      </c>
      <c r="J90" t="inlineStr">
        <is>
          <t>Disetujui</t>
        </is>
      </c>
      <c r="K90" t="n">
        <v>30</v>
      </c>
      <c r="L90" t="inlineStr">
        <is>
          <t>5 Juli 2026</t>
        </is>
      </c>
      <c r="M90" t="inlineStr">
        <is>
          <t>Jasa Arsitektural Bangunan Gedung Hunian dan Non Hunian, Jasa Arsitektural Lainnya, Jasa Rekayasa Konstruksi Bangunan Gedung Hunian dan Non Hunian, Jasa Rekayasa Lainnya, Jasa Rekayasa Pekerjaan Teknik Sipil Sumber Daya Air, Jasa Rekayasa Pekerjaan Teknik Sipil Transportasi</t>
        </is>
      </c>
      <c r="N90" t="inlineStr">
        <is>
          <t>K</t>
        </is>
      </c>
      <c r="O90" t="inlineStr">
        <is>
          <t>20230621</t>
        </is>
      </c>
      <c r="P90" t="inlineStr">
        <is>
          <t>Kalimantan Timur</t>
        </is>
      </c>
      <c r="Q90" t="inlineStr"/>
    </row>
    <row r="91">
      <c r="A91" t="inlineStr">
        <is>
          <t>MITRA ABADI</t>
        </is>
      </c>
      <c r="B91" t="inlineStr">
        <is>
          <t>Kota Tanjung Balai</t>
        </is>
      </c>
      <c r="C91" t="inlineStr">
        <is>
          <t>081263147989</t>
        </is>
      </c>
      <c r="D91" t="inlineStr">
        <is>
          <t>abadicvmitra956@gmail.com</t>
        </is>
      </c>
      <c r="E91" t="inlineStr">
        <is>
          <t>https://lpjk.pu.go.id/search-badan-usaha-detail/K3gzemhWM2RrZkFINjVtbzFWWGgvdz09</t>
        </is>
      </c>
      <c r="F91" t="n">
        <v>1</v>
      </c>
      <c r="G91" t="inlineStr">
        <is>
          <t>BG002</t>
        </is>
      </c>
      <c r="H91" t="inlineStr">
        <is>
          <t>28 Januari 2003</t>
        </is>
      </c>
      <c r="I91" s="2" t="n">
        <v>46208</v>
      </c>
      <c r="J91" t="inlineStr">
        <is>
          <t>Pencabutan</t>
        </is>
      </c>
      <c r="K91" t="n">
        <v>30</v>
      </c>
      <c r="L91" t="inlineStr">
        <is>
          <t>5 Juli 2026</t>
        </is>
      </c>
      <c r="M91" t="inlineStr">
        <is>
          <t>Konstruksi Gedung Perkantoran</t>
        </is>
      </c>
      <c r="N91" t="inlineStr">
        <is>
          <t>K</t>
        </is>
      </c>
      <c r="O91" t="inlineStr">
        <is>
          <t>20230630</t>
        </is>
      </c>
      <c r="P91" t="inlineStr">
        <is>
          <t>Sumatera Utara</t>
        </is>
      </c>
      <c r="Q91" t="inlineStr"/>
    </row>
    <row r="92">
      <c r="A92" t="inlineStr">
        <is>
          <t>MITRA MADJU BERSAMA</t>
        </is>
      </c>
      <c r="B92" t="inlineStr">
        <is>
          <t>Kab. Kebumen</t>
        </is>
      </c>
      <c r="C92" t="inlineStr">
        <is>
          <t>082226612478</t>
        </is>
      </c>
      <c r="D92" t="inlineStr">
        <is>
          <t>mitra_madju@yahoo.co.id</t>
        </is>
      </c>
      <c r="E92" t="inlineStr">
        <is>
          <t>https://lpjk.pu.go.id/search-badan-usaha-detail/OFJYRVQvUU5CQ1pMb01kdlkrVFl5dz09</t>
        </is>
      </c>
      <c r="F92" t="n">
        <v>1</v>
      </c>
      <c r="G92" t="inlineStr">
        <is>
          <t>BG002</t>
        </is>
      </c>
      <c r="H92" t="inlineStr">
        <is>
          <t>11 Februari 2010</t>
        </is>
      </c>
      <c r="I92" s="2" t="n">
        <v>46208</v>
      </c>
      <c r="J92" t="inlineStr">
        <is>
          <t>Disetujui</t>
        </is>
      </c>
      <c r="K92" t="n">
        <v>30</v>
      </c>
      <c r="L92" t="inlineStr">
        <is>
          <t>5 Juli 2026</t>
        </is>
      </c>
      <c r="M92" t="inlineStr">
        <is>
          <t>Konstruksi Gedung Perkantoran</t>
        </is>
      </c>
      <c r="N92" t="inlineStr">
        <is>
          <t>K</t>
        </is>
      </c>
      <c r="O92" t="inlineStr">
        <is>
          <t>20230706</t>
        </is>
      </c>
      <c r="P92" t="inlineStr">
        <is>
          <t>Jawa Tengah</t>
        </is>
      </c>
      <c r="Q92" t="inlineStr"/>
    </row>
    <row r="93">
      <c r="A93" t="inlineStr">
        <is>
          <t>MITRA RIAU GROUP</t>
        </is>
      </c>
      <c r="B93" t="inlineStr">
        <is>
          <t>Kab. Kampar</t>
        </is>
      </c>
      <c r="C93" t="inlineStr">
        <is>
          <t>081365678709</t>
        </is>
      </c>
      <c r="D93" t="inlineStr">
        <is>
          <t>cv.mitrariaugroup@gmail.com</t>
        </is>
      </c>
      <c r="E93" t="inlineStr">
        <is>
          <t>https://lpjk.pu.go.id/search-badan-usaha-detail/VFAzY3ExOWNhbHZta3VxRlE5N3FQQT09</t>
        </is>
      </c>
      <c r="F93" t="n">
        <v>3</v>
      </c>
      <c r="G93" t="inlineStr">
        <is>
          <t>BG006, BG009, BS004</t>
        </is>
      </c>
      <c r="H93" t="inlineStr">
        <is>
          <t>13 Juni 2023</t>
        </is>
      </c>
      <c r="I93" s="2" t="n">
        <v>46208</v>
      </c>
      <c r="J93" t="inlineStr">
        <is>
          <t>Disetujui</t>
        </is>
      </c>
      <c r="K93" t="n">
        <v>30</v>
      </c>
      <c r="L93" t="inlineStr">
        <is>
          <t>5 Juli 2026</t>
        </is>
      </c>
      <c r="M93" t="inlineStr">
        <is>
          <t>Konstruksi Gedung Lainnya, Konstruksi Gedung Pendidikan, Konstruksi Jaringan Irigasi dan Drainase</t>
        </is>
      </c>
      <c r="N93" t="inlineStr">
        <is>
          <t>K</t>
        </is>
      </c>
      <c r="O93" t="inlineStr">
        <is>
          <t>20230706</t>
        </is>
      </c>
      <c r="P93" t="inlineStr">
        <is>
          <t>Riau</t>
        </is>
      </c>
      <c r="Q93" t="inlineStr"/>
    </row>
    <row r="94">
      <c r="A94" t="inlineStr">
        <is>
          <t>MULTICOM PRIMA SAKTI</t>
        </is>
      </c>
      <c r="B94" t="inlineStr">
        <is>
          <t>Kab. Kepulauan Talaud</t>
        </is>
      </c>
      <c r="C94" t="inlineStr">
        <is>
          <t>081343565143</t>
        </is>
      </c>
      <c r="D94" t="inlineStr">
        <is>
          <t>multicomprimasakti@gmail.com</t>
        </is>
      </c>
      <c r="E94" t="inlineStr">
        <is>
          <t>https://lpjk.pu.go.id/search-badan-usaha-detail/VlBrdklxTGxBMU1nc2ttdU5NVE9SQT09</t>
        </is>
      </c>
      <c r="F94" t="n">
        <v>1</v>
      </c>
      <c r="G94" t="inlineStr">
        <is>
          <t>BG002</t>
        </is>
      </c>
      <c r="H94" t="inlineStr">
        <is>
          <t>4 Januari 2023</t>
        </is>
      </c>
      <c r="I94" s="2" t="n">
        <v>46208</v>
      </c>
      <c r="J94" t="inlineStr">
        <is>
          <t>Disetujui</t>
        </is>
      </c>
      <c r="K94" t="n">
        <v>30</v>
      </c>
      <c r="L94" t="inlineStr">
        <is>
          <t>5 Juli 2026</t>
        </is>
      </c>
      <c r="M94" t="inlineStr">
        <is>
          <t>Konstruksi Gedung Perkantoran</t>
        </is>
      </c>
      <c r="N94" t="inlineStr">
        <is>
          <t>K</t>
        </is>
      </c>
      <c r="O94" t="inlineStr">
        <is>
          <t>20230704</t>
        </is>
      </c>
      <c r="P94" t="inlineStr">
        <is>
          <t>Sulawesi Utara</t>
        </is>
      </c>
      <c r="Q94" t="inlineStr"/>
    </row>
    <row r="95">
      <c r="A95" t="inlineStr">
        <is>
          <t>MULYA JAYA</t>
        </is>
      </c>
      <c r="B95" t="inlineStr">
        <is>
          <t>Kab. Batang</t>
        </is>
      </c>
      <c r="C95" t="inlineStr">
        <is>
          <t>081392759845</t>
        </is>
      </c>
      <c r="D95" t="inlineStr">
        <is>
          <t>mulyajaya1.cv@gmail.com</t>
        </is>
      </c>
      <c r="E95" t="inlineStr">
        <is>
          <t>https://lpjk.pu.go.id/search-badan-usaha-detail/Tjd4cUVJaUZHQi9tRWZyS1FETlpBdz09</t>
        </is>
      </c>
      <c r="F95" t="n">
        <v>2</v>
      </c>
      <c r="G95" t="inlineStr">
        <is>
          <t>BG006, BG009</t>
        </is>
      </c>
      <c r="H95" t="inlineStr">
        <is>
          <t>10 Februari 2014</t>
        </is>
      </c>
      <c r="I95" s="2" t="n">
        <v>46208</v>
      </c>
      <c r="J95" t="inlineStr">
        <is>
          <t>Disetujui</t>
        </is>
      </c>
      <c r="K95" t="n">
        <v>30</v>
      </c>
      <c r="L95" t="inlineStr">
        <is>
          <t>5 Juli 2026</t>
        </is>
      </c>
      <c r="M95" t="inlineStr">
        <is>
          <t>Konstruksi Gedung Lainnya, Konstruksi Gedung Pendidikan</t>
        </is>
      </c>
      <c r="N95" t="inlineStr">
        <is>
          <t>K</t>
        </is>
      </c>
      <c r="O95" t="inlineStr">
        <is>
          <t>20230704</t>
        </is>
      </c>
      <c r="P95" t="inlineStr">
        <is>
          <t>Jawa Tengah</t>
        </is>
      </c>
      <c r="Q95" t="inlineStr"/>
    </row>
    <row r="96">
      <c r="A96" t="inlineStr">
        <is>
          <t>MUSTIKA JATI</t>
        </is>
      </c>
      <c r="B96" t="inlineStr">
        <is>
          <t>Kab. Demak</t>
        </is>
      </c>
      <c r="C96" t="inlineStr">
        <is>
          <t>08122829717</t>
        </is>
      </c>
      <c r="D96" t="inlineStr">
        <is>
          <t>cv.mustikajatidmk@gmail.com</t>
        </is>
      </c>
      <c r="E96" t="inlineStr">
        <is>
          <t>https://lpjk.pu.go.id/search-badan-usaha-detail/SVF3aUNieDc5dmtteEJJTWorTHhjdz09</t>
        </is>
      </c>
      <c r="F96" t="n">
        <v>1</v>
      </c>
      <c r="G96" t="inlineStr">
        <is>
          <t>BS001</t>
        </is>
      </c>
      <c r="H96" t="inlineStr">
        <is>
          <t>18 Maret 1985</t>
        </is>
      </c>
      <c r="I96" s="2" t="n">
        <v>46208</v>
      </c>
      <c r="J96" t="inlineStr">
        <is>
          <t>Disetujui</t>
        </is>
      </c>
      <c r="K96" t="n">
        <v>30</v>
      </c>
      <c r="L96" t="inlineStr">
        <is>
          <t>5 Juli 2026</t>
        </is>
      </c>
      <c r="M96" t="inlineStr">
        <is>
          <t>Konstruksi Bangunan Sipil Jalan</t>
        </is>
      </c>
      <c r="N96" t="inlineStr">
        <is>
          <t>K</t>
        </is>
      </c>
      <c r="O96" t="inlineStr">
        <is>
          <t>20230704</t>
        </is>
      </c>
      <c r="P96" t="inlineStr">
        <is>
          <t>Jawa Tengah</t>
        </is>
      </c>
      <c r="Q96" t="inlineStr"/>
    </row>
    <row r="97">
      <c r="A97" t="inlineStr">
        <is>
          <t>MUSTIKA PERSADA</t>
        </is>
      </c>
      <c r="B97" t="inlineStr">
        <is>
          <t>Kab. Pekalongan</t>
        </is>
      </c>
      <c r="C97" t="inlineStr">
        <is>
          <t>085799952509</t>
        </is>
      </c>
      <c r="D97" t="inlineStr">
        <is>
          <t>fufuherjayanto76@gmail.com</t>
        </is>
      </c>
      <c r="E97" t="inlineStr">
        <is>
          <t>https://lpjk.pu.go.id/search-badan-usaha-detail/REpWZ0lFVWtuRDc3VXZzRk9pcnkrQT09</t>
        </is>
      </c>
      <c r="F97" t="n">
        <v>1</v>
      </c>
      <c r="G97" t="inlineStr">
        <is>
          <t>BS004</t>
        </is>
      </c>
      <c r="H97" t="inlineStr">
        <is>
          <t>24 Mei 1995</t>
        </is>
      </c>
      <c r="I97" s="2" t="n">
        <v>46208</v>
      </c>
      <c r="J97" t="inlineStr">
        <is>
          <t>Disetujui</t>
        </is>
      </c>
      <c r="K97" t="n">
        <v>30</v>
      </c>
      <c r="L97" t="inlineStr">
        <is>
          <t>5 Juli 2026</t>
        </is>
      </c>
      <c r="M97" t="inlineStr">
        <is>
          <t>Konstruksi Jaringan Irigasi dan Drainase</t>
        </is>
      </c>
      <c r="N97" t="inlineStr">
        <is>
          <t>K</t>
        </is>
      </c>
      <c r="O97" t="inlineStr">
        <is>
          <t>20230705</t>
        </is>
      </c>
      <c r="P97" t="inlineStr">
        <is>
          <t>Jawa Tengah</t>
        </is>
      </c>
      <c r="Q97" t="inlineStr"/>
    </row>
    <row r="98">
      <c r="A98" t="inlineStr">
        <is>
          <t>MUTIARA AGUNG</t>
        </is>
      </c>
      <c r="B98" t="inlineStr">
        <is>
          <t>Kab. Ponorogo</t>
        </is>
      </c>
      <c r="C98" t="inlineStr">
        <is>
          <t>082141599232</t>
        </is>
      </c>
      <c r="D98" t="inlineStr">
        <is>
          <t>sulastri221157@gmail.com</t>
        </is>
      </c>
      <c r="E98" t="inlineStr">
        <is>
          <t>https://lpjk.pu.go.id/search-badan-usaha-detail/Ti9zUXFSV004WWlhR1NDdHBaenNBZz09</t>
        </is>
      </c>
      <c r="F98" t="n">
        <v>2</v>
      </c>
      <c r="G98" t="inlineStr">
        <is>
          <t>BG006</t>
        </is>
      </c>
      <c r="H98" t="inlineStr">
        <is>
          <t>28 Oktober 1991</t>
        </is>
      </c>
      <c r="I98" s="2" t="n">
        <v>46208</v>
      </c>
      <c r="J98" t="inlineStr">
        <is>
          <t>Disetujui</t>
        </is>
      </c>
      <c r="K98" t="n">
        <v>30</v>
      </c>
      <c r="L98" t="inlineStr">
        <is>
          <t>5 Juli 2026</t>
        </is>
      </c>
      <c r="M98" t="inlineStr">
        <is>
          <t>Konstruksi Gedung Pendidikan</t>
        </is>
      </c>
      <c r="N98" t="inlineStr">
        <is>
          <t>K</t>
        </is>
      </c>
      <c r="O98" t="inlineStr">
        <is>
          <t>20230403</t>
        </is>
      </c>
      <c r="P98" t="inlineStr">
        <is>
          <t>Jawa Timur</t>
        </is>
      </c>
      <c r="Q98" t="inlineStr"/>
    </row>
    <row r="99">
      <c r="A99" t="inlineStr">
        <is>
          <t>NANDA PUTRA</t>
        </is>
      </c>
      <c r="B99" t="inlineStr">
        <is>
          <t>Kab. Sambas</t>
        </is>
      </c>
      <c r="C99" t="inlineStr">
        <is>
          <t>089617701752</t>
        </is>
      </c>
      <c r="D99" t="inlineStr">
        <is>
          <t>cvnandaputra2022@gmail.com</t>
        </is>
      </c>
      <c r="E99" t="inlineStr">
        <is>
          <t>https://lpjk.pu.go.id/search-badan-usaha-detail/NStTVjAzaEVTb2U0Q2lxSDJrYnRKUT09</t>
        </is>
      </c>
      <c r="F99" t="n">
        <v>1</v>
      </c>
      <c r="G99" t="inlineStr">
        <is>
          <t>BG006</t>
        </is>
      </c>
      <c r="H99" t="inlineStr">
        <is>
          <t>6 Desember 2007</t>
        </is>
      </c>
      <c r="I99" s="2" t="n">
        <v>46208</v>
      </c>
      <c r="J99" t="inlineStr">
        <is>
          <t>Disetujui</t>
        </is>
      </c>
      <c r="K99" t="n">
        <v>30</v>
      </c>
      <c r="L99" t="inlineStr">
        <is>
          <t>5 Juli 2026</t>
        </is>
      </c>
      <c r="M99" t="inlineStr">
        <is>
          <t>Konstruksi Gedung Pendidikan</t>
        </is>
      </c>
      <c r="N99" t="inlineStr">
        <is>
          <t>K</t>
        </is>
      </c>
      <c r="O99" t="inlineStr">
        <is>
          <t>20230705</t>
        </is>
      </c>
      <c r="P99" t="inlineStr">
        <is>
          <t>Kalimantan Barat</t>
        </is>
      </c>
      <c r="Q99" t="inlineStr"/>
    </row>
    <row r="100">
      <c r="A100" t="inlineStr">
        <is>
          <t>NIDIA CIPTA CONTRAKTOR</t>
        </is>
      </c>
      <c r="B100" t="inlineStr">
        <is>
          <t>Kab. Sukabumi</t>
        </is>
      </c>
      <c r="C100" t="inlineStr">
        <is>
          <t>0266-228165</t>
        </is>
      </c>
      <c r="D100" t="inlineStr">
        <is>
          <t>nidiacipta@yahoo.com</t>
        </is>
      </c>
      <c r="E100" t="inlineStr">
        <is>
          <t>https://lpjk.pu.go.id/search-badan-usaha-detail/Tk1BU29SMjRFVFpLaHpyMjdOcG1GUT09</t>
        </is>
      </c>
      <c r="F100" t="n">
        <v>1</v>
      </c>
      <c r="G100" t="inlineStr">
        <is>
          <t>BG006</t>
        </is>
      </c>
      <c r="H100" t="inlineStr">
        <is>
          <t>5 Februari 1982</t>
        </is>
      </c>
      <c r="I100" s="2" t="n">
        <v>46208</v>
      </c>
      <c r="J100" t="inlineStr">
        <is>
          <t>Disetujui</t>
        </is>
      </c>
      <c r="K100" t="n">
        <v>30</v>
      </c>
      <c r="L100" t="inlineStr">
        <is>
          <t>5 Juli 2026</t>
        </is>
      </c>
      <c r="M100" t="inlineStr">
        <is>
          <t>Konstruksi Gedung Pendidikan</t>
        </is>
      </c>
      <c r="N100" t="inlineStr">
        <is>
          <t>K</t>
        </is>
      </c>
      <c r="O100" t="inlineStr">
        <is>
          <t>20230625</t>
        </is>
      </c>
      <c r="P100" t="inlineStr">
        <is>
          <t>Jawa Barat</t>
        </is>
      </c>
      <c r="Q100" t="inlineStr"/>
    </row>
    <row r="101">
      <c r="A101" t="inlineStr">
        <is>
          <t>NUR ALPAN</t>
        </is>
      </c>
      <c r="B101" t="inlineStr">
        <is>
          <t>Kab. Subang</t>
        </is>
      </c>
      <c r="C101" t="inlineStr">
        <is>
          <t>082115310412</t>
        </is>
      </c>
      <c r="D101" t="inlineStr">
        <is>
          <t>nuralpandani@gmail.com</t>
        </is>
      </c>
      <c r="E101" t="inlineStr">
        <is>
          <t>https://lpjk.pu.go.id/search-badan-usaha-detail/TWZZR0tRMnVTSk9mUlBJMkJXdkR4UT09</t>
        </is>
      </c>
      <c r="F101" t="n">
        <v>1</v>
      </c>
      <c r="G101" t="inlineStr">
        <is>
          <t>BG009</t>
        </is>
      </c>
      <c r="H101" t="inlineStr">
        <is>
          <t>13 Desember 2006</t>
        </is>
      </c>
      <c r="I101" s="2" t="n">
        <v>46208</v>
      </c>
      <c r="J101" t="inlineStr">
        <is>
          <t>Pencabutan</t>
        </is>
      </c>
      <c r="K101" t="n">
        <v>30</v>
      </c>
      <c r="L101" t="inlineStr">
        <is>
          <t>5 Juli 2026</t>
        </is>
      </c>
      <c r="M101" t="inlineStr">
        <is>
          <t>Konstruksi Gedung Lainnya</t>
        </is>
      </c>
      <c r="N101" t="inlineStr">
        <is>
          <t>K</t>
        </is>
      </c>
      <c r="O101" t="inlineStr">
        <is>
          <t>20230624</t>
        </is>
      </c>
      <c r="P101" t="inlineStr">
        <is>
          <t>Jawa Barat</t>
        </is>
      </c>
      <c r="Q101" t="inlineStr"/>
    </row>
    <row r="102">
      <c r="A102" t="inlineStr">
        <is>
          <t>NUSA JAYA</t>
        </is>
      </c>
      <c r="B102" t="inlineStr">
        <is>
          <t>Kab. Cianjur</t>
        </is>
      </c>
      <c r="C102" t="inlineStr">
        <is>
          <t>085863529000</t>
        </is>
      </c>
      <c r="D102" t="inlineStr">
        <is>
          <t>nusajaya.cianjur@gmail.com</t>
        </is>
      </c>
      <c r="E102" t="inlineStr">
        <is>
          <t>https://lpjk.pu.go.id/search-badan-usaha-detail/cnc5WTRpaVdPS3gzL2RERHJVdlZUdz09</t>
        </is>
      </c>
      <c r="F102" t="n">
        <v>1</v>
      </c>
      <c r="G102" t="inlineStr">
        <is>
          <t>BS001</t>
        </is>
      </c>
      <c r="H102" t="inlineStr">
        <is>
          <t>29 November 1994</t>
        </is>
      </c>
      <c r="I102" s="2" t="n">
        <v>46208</v>
      </c>
      <c r="J102" t="inlineStr">
        <is>
          <t>Disetujui</t>
        </is>
      </c>
      <c r="K102" t="n">
        <v>30</v>
      </c>
      <c r="L102" t="inlineStr">
        <is>
          <t>5 Juli 2026</t>
        </is>
      </c>
      <c r="M102" t="inlineStr">
        <is>
          <t>Konstruksi Bangunan Sipil Jalan</t>
        </is>
      </c>
      <c r="N102" t="inlineStr">
        <is>
          <t>K</t>
        </is>
      </c>
      <c r="O102" t="inlineStr">
        <is>
          <t>20230706</t>
        </is>
      </c>
      <c r="P102" t="inlineStr">
        <is>
          <t>Jawa Barat</t>
        </is>
      </c>
      <c r="Q102" t="inlineStr"/>
    </row>
    <row r="103">
      <c r="A103" t="inlineStr">
        <is>
          <t>PANCA DUTA KARYA ABADI</t>
        </is>
      </c>
      <c r="B103" t="inlineStr">
        <is>
          <t>Kota Jayapura</t>
        </is>
      </c>
      <c r="C103" t="inlineStr">
        <is>
          <t>0967537776</t>
        </is>
      </c>
      <c r="D103" t="inlineStr">
        <is>
          <t>jayapura_ptpdka@yahoo.com</t>
        </is>
      </c>
      <c r="E103" t="inlineStr">
        <is>
          <t>https://lpjk.pu.go.id/search-badan-usaha-detail/d3F4TG41dGMzd0Vhbm4xQ2NJVmFBZz09</t>
        </is>
      </c>
      <c r="F103" t="n">
        <v>1</v>
      </c>
      <c r="G103" t="inlineStr">
        <is>
          <t>BS001</t>
        </is>
      </c>
      <c r="H103" t="inlineStr">
        <is>
          <t>21 Mei 1983</t>
        </is>
      </c>
      <c r="I103" s="2" t="n">
        <v>46208</v>
      </c>
      <c r="J103" t="inlineStr">
        <is>
          <t>Pencabutan</t>
        </is>
      </c>
      <c r="K103" t="n">
        <v>30</v>
      </c>
      <c r="L103" t="inlineStr">
        <is>
          <t>5 Juli 2026</t>
        </is>
      </c>
      <c r="M103" t="inlineStr">
        <is>
          <t>Konstruksi Bangunan Sipil Jalan</t>
        </is>
      </c>
      <c r="N103" t="inlineStr">
        <is>
          <t>B</t>
        </is>
      </c>
      <c r="O103" t="inlineStr">
        <is>
          <t>20230623</t>
        </is>
      </c>
      <c r="P103" t="inlineStr">
        <is>
          <t>Papua</t>
        </is>
      </c>
      <c r="Q103" t="inlineStr"/>
    </row>
    <row r="104">
      <c r="A104" t="inlineStr">
        <is>
          <t>PENDAWA LESTARI PERKASA</t>
        </is>
      </c>
      <c r="B104" t="inlineStr">
        <is>
          <t>Kota Adm. Jakarta Selatan</t>
        </is>
      </c>
      <c r="C104" t="inlineStr">
        <is>
          <t>02129861000</t>
        </is>
      </c>
      <c r="D104" t="inlineStr">
        <is>
          <t>plp.jeladri@gmail.com</t>
        </is>
      </c>
      <c r="E104" t="inlineStr">
        <is>
          <t>https://lpjk.pu.go.id/search-badan-usaha-detail/bGx6UmRmNGp3Sm4vL3JCYUF3R05vQT09</t>
        </is>
      </c>
      <c r="F104" t="n">
        <v>3</v>
      </c>
      <c r="G104" t="inlineStr">
        <is>
          <t>BG001, BG003, BS002</t>
        </is>
      </c>
      <c r="H104" t="inlineStr">
        <is>
          <t>21 Agustus 1993</t>
        </is>
      </c>
      <c r="I104" s="2" t="n">
        <v>46208</v>
      </c>
      <c r="J104" t="inlineStr">
        <is>
          <t>Disetujui</t>
        </is>
      </c>
      <c r="K104" t="n">
        <v>30</v>
      </c>
      <c r="L104" t="inlineStr">
        <is>
          <t>5 Juli 2026</t>
        </is>
      </c>
      <c r="M104" t="inlineStr">
        <is>
          <t>Bangunan Sipil Jembatan, Jalan Layang, Fly Over, dan Underpass, Konstruksi Gedung Hunian, Konstruksi Gedung Industri</t>
        </is>
      </c>
      <c r="N104" t="inlineStr">
        <is>
          <t>K, M</t>
        </is>
      </c>
      <c r="O104" t="inlineStr">
        <is>
          <t>20230530, 20230622, 20230627</t>
        </is>
      </c>
      <c r="P104" t="inlineStr">
        <is>
          <t>DKI Jakarta</t>
        </is>
      </c>
      <c r="Q104" t="inlineStr"/>
    </row>
    <row r="105">
      <c r="A105" t="inlineStr">
        <is>
          <t>PERDANA KHATULISTIWA</t>
        </is>
      </c>
      <c r="B105" t="inlineStr">
        <is>
          <t>Kota Palu</t>
        </is>
      </c>
      <c r="C105" t="inlineStr">
        <is>
          <t>081354377365</t>
        </is>
      </c>
      <c r="D105" t="inlineStr">
        <is>
          <t>pdkhatulistiwa@yahoo.com</t>
        </is>
      </c>
      <c r="E105" t="inlineStr">
        <is>
          <t>https://lpjk.pu.go.id/search-badan-usaha-detail/RGlKVkxnc1FuOTRocXBCcjVHMkNjUT09</t>
        </is>
      </c>
      <c r="F105" t="n">
        <v>1</v>
      </c>
      <c r="G105" t="inlineStr">
        <is>
          <t>BG009</t>
        </is>
      </c>
      <c r="H105" t="inlineStr">
        <is>
          <t>22 Desember 2020</t>
        </is>
      </c>
      <c r="I105" s="2" t="n">
        <v>46208</v>
      </c>
      <c r="J105" t="inlineStr">
        <is>
          <t>Disetujui</t>
        </is>
      </c>
      <c r="K105" t="n">
        <v>30</v>
      </c>
      <c r="L105" t="inlineStr">
        <is>
          <t>5 Juli 2026</t>
        </is>
      </c>
      <c r="M105" t="inlineStr">
        <is>
          <t>Konstruksi Gedung Lainnya</t>
        </is>
      </c>
      <c r="N105" t="inlineStr">
        <is>
          <t>K</t>
        </is>
      </c>
      <c r="O105" t="inlineStr">
        <is>
          <t>20230627</t>
        </is>
      </c>
      <c r="P105" t="inlineStr">
        <is>
          <t>Sulawesi Tengah</t>
        </is>
      </c>
      <c r="Q105" t="inlineStr"/>
    </row>
    <row r="106">
      <c r="A106" t="inlineStr">
        <is>
          <t>PETRO TEKNIK KONSTRUKSI</t>
        </is>
      </c>
      <c r="B106" t="inlineStr">
        <is>
          <t>Kota Surabaya</t>
        </is>
      </c>
      <c r="C106" t="inlineStr">
        <is>
          <t>0313579966</t>
        </is>
      </c>
      <c r="D106" t="inlineStr">
        <is>
          <t>-</t>
        </is>
      </c>
      <c r="E106" t="inlineStr">
        <is>
          <t>https://lpjk.pu.go.id/search-badan-usaha-detail/R3Z2RFNQK01ycktpZnZnUUN3a1FQQT09</t>
        </is>
      </c>
      <c r="F106" t="n">
        <v>1</v>
      </c>
      <c r="G106" t="inlineStr">
        <is>
          <t>BG009</t>
        </is>
      </c>
      <c r="H106" t="inlineStr">
        <is>
          <t>22 Oktober 2019</t>
        </is>
      </c>
      <c r="I106" s="2" t="n">
        <v>46208</v>
      </c>
      <c r="J106" t="inlineStr">
        <is>
          <t>Pencabutan</t>
        </is>
      </c>
      <c r="K106" t="n">
        <v>30</v>
      </c>
      <c r="L106" t="inlineStr">
        <is>
          <t>5 Juli 2026</t>
        </is>
      </c>
      <c r="M106" t="inlineStr">
        <is>
          <t>Konstruksi Gedung Lainnya</t>
        </is>
      </c>
      <c r="N106" t="inlineStr">
        <is>
          <t>K</t>
        </is>
      </c>
      <c r="O106" t="inlineStr">
        <is>
          <t>20230706</t>
        </is>
      </c>
      <c r="P106" t="inlineStr">
        <is>
          <t>Jawa Timur</t>
        </is>
      </c>
      <c r="Q106" t="inlineStr"/>
    </row>
    <row r="107">
      <c r="A107" t="inlineStr">
        <is>
          <t>PETROWELL ENERGI</t>
        </is>
      </c>
      <c r="B107" t="inlineStr">
        <is>
          <t>Kab. Blora</t>
        </is>
      </c>
      <c r="C107" t="inlineStr">
        <is>
          <t>0296 421197</t>
        </is>
      </c>
      <c r="D107" t="inlineStr">
        <is>
          <t>petrowell.energi@yahoo.com</t>
        </is>
      </c>
      <c r="E107" t="inlineStr">
        <is>
          <t>https://lpjk.pu.go.id/search-badan-usaha-detail/SFRpcTNzdFl3eFpGQndJOXppZlBlZz09</t>
        </is>
      </c>
      <c r="F107" t="n">
        <v>1</v>
      </c>
      <c r="G107" t="inlineStr">
        <is>
          <t>IN004</t>
        </is>
      </c>
      <c r="H107" t="inlineStr">
        <is>
          <t>21 Januari 2011</t>
        </is>
      </c>
      <c r="I107" s="2" t="n">
        <v>46208</v>
      </c>
      <c r="J107" t="inlineStr">
        <is>
          <t>Pembekuan</t>
        </is>
      </c>
      <c r="K107" t="n">
        <v>30</v>
      </c>
      <c r="L107" t="inlineStr">
        <is>
          <t>5 Juli 2026</t>
        </is>
      </c>
      <c r="M107" t="inlineStr">
        <is>
          <t>Instalasi Minyak dan Gas</t>
        </is>
      </c>
      <c r="N107" t="inlineStr">
        <is>
          <t>Spesialis</t>
        </is>
      </c>
      <c r="O107" t="inlineStr">
        <is>
          <t>20230621</t>
        </is>
      </c>
      <c r="P107" t="inlineStr">
        <is>
          <t>Jawa Tengah</t>
        </is>
      </c>
      <c r="Q107" t="inlineStr"/>
    </row>
    <row r="108">
      <c r="A108" t="inlineStr">
        <is>
          <t>PILAR NUSANTARA</t>
        </is>
      </c>
      <c r="B108" t="inlineStr">
        <is>
          <t>Kab. Wonogiri</t>
        </is>
      </c>
      <c r="C108" t="inlineStr">
        <is>
          <t>081226882158</t>
        </is>
      </c>
      <c r="D108" t="inlineStr">
        <is>
          <t>nusantara.pilarcv@gmail.com</t>
        </is>
      </c>
      <c r="E108" t="inlineStr">
        <is>
          <t>https://lpjk.pu.go.id/search-badan-usaha-detail/eWtvbllSRUNMUFI1YVdkTmhBQkZDUT09</t>
        </is>
      </c>
      <c r="F108" t="n">
        <v>2</v>
      </c>
      <c r="G108" t="inlineStr">
        <is>
          <t>BG002, BG006</t>
        </is>
      </c>
      <c r="H108" t="inlineStr">
        <is>
          <t>16 Oktober 2003</t>
        </is>
      </c>
      <c r="I108" s="2" t="n">
        <v>46208</v>
      </c>
      <c r="J108" t="inlineStr">
        <is>
          <t>Disetujui</t>
        </is>
      </c>
      <c r="K108" t="n">
        <v>30</v>
      </c>
      <c r="L108" t="inlineStr">
        <is>
          <t>5 Juli 2026</t>
        </is>
      </c>
      <c r="M108" t="inlineStr">
        <is>
          <t>Konstruksi Gedung Pendidikan, Konstruksi Gedung Perkantoran</t>
        </is>
      </c>
      <c r="N108" t="inlineStr">
        <is>
          <t>K</t>
        </is>
      </c>
      <c r="O108" t="inlineStr">
        <is>
          <t>20230628</t>
        </is>
      </c>
      <c r="P108" t="inlineStr">
        <is>
          <t>Jawa Tengah</t>
        </is>
      </c>
      <c r="Q108" t="inlineStr"/>
    </row>
    <row r="109">
      <c r="A109" t="inlineStr">
        <is>
          <t>PRATAMA KARYA MANDIRI</t>
        </is>
      </c>
      <c r="B109" t="inlineStr">
        <is>
          <t>Kota Mataram</t>
        </is>
      </c>
      <c r="C109" t="inlineStr">
        <is>
          <t>087865008933</t>
        </is>
      </c>
      <c r="D109" t="inlineStr">
        <is>
          <t>pratamakaryamandiri82@gmail.com</t>
        </is>
      </c>
      <c r="E109" t="inlineStr">
        <is>
          <t>https://lpjk.pu.go.id/search-badan-usaha-detail/L256c2NKdVhxMDhqUE5PdkV3dWhOUT09</t>
        </is>
      </c>
      <c r="F109" t="n">
        <v>1</v>
      </c>
      <c r="G109" t="inlineStr">
        <is>
          <t>BS005</t>
        </is>
      </c>
      <c r="H109" t="inlineStr">
        <is>
          <t>29 Januari 2016</t>
        </is>
      </c>
      <c r="I109" s="2" t="n">
        <v>46208</v>
      </c>
      <c r="J109" t="inlineStr">
        <is>
          <t>Disetujui</t>
        </is>
      </c>
      <c r="K109" t="n">
        <v>30</v>
      </c>
      <c r="L109" t="inlineStr">
        <is>
          <t>5 Juli 2026</t>
        </is>
      </c>
      <c r="M109" t="inlineStr">
        <is>
          <t>Konstruksi Bangunan Sipil Pengolahan Air Bersih</t>
        </is>
      </c>
      <c r="N109" t="inlineStr">
        <is>
          <t>K</t>
        </is>
      </c>
      <c r="O109" t="inlineStr">
        <is>
          <t>20230627</t>
        </is>
      </c>
      <c r="P109" t="inlineStr">
        <is>
          <t>Nusa Tenggara Barat</t>
        </is>
      </c>
      <c r="Q109" t="inlineStr"/>
    </row>
    <row r="110">
      <c r="A110" t="inlineStr">
        <is>
          <t>PRIMA MANDIRI</t>
        </is>
      </c>
      <c r="B110" t="inlineStr">
        <is>
          <t>Kab. Belitung Timur</t>
        </is>
      </c>
      <c r="C110" t="inlineStr">
        <is>
          <t>082175933739</t>
        </is>
      </c>
      <c r="D110" t="inlineStr">
        <is>
          <t>primamandiribelitung@gmail.com</t>
        </is>
      </c>
      <c r="E110" t="inlineStr">
        <is>
          <t>https://lpjk.pu.go.id/search-badan-usaha-detail/MmNHZHlMTm4wbFBrNjdoaEhVS3pvUT09</t>
        </is>
      </c>
      <c r="F110" t="n">
        <v>1</v>
      </c>
      <c r="G110" t="inlineStr">
        <is>
          <t>BG006</t>
        </is>
      </c>
      <c r="H110" t="inlineStr">
        <is>
          <t>18 Februari 2006</t>
        </is>
      </c>
      <c r="I110" s="2" t="n">
        <v>46208</v>
      </c>
      <c r="J110" t="inlineStr">
        <is>
          <t>Disetujui</t>
        </is>
      </c>
      <c r="K110" t="n">
        <v>30</v>
      </c>
      <c r="L110" t="inlineStr">
        <is>
          <t>5 Juli 2026</t>
        </is>
      </c>
      <c r="M110" t="inlineStr">
        <is>
          <t>Konstruksi Gedung Pendidikan</t>
        </is>
      </c>
      <c r="N110" t="inlineStr">
        <is>
          <t>K</t>
        </is>
      </c>
      <c r="O110" t="inlineStr">
        <is>
          <t>20230705</t>
        </is>
      </c>
      <c r="P110" t="inlineStr">
        <is>
          <t>Kepulauan Bangka Belitung</t>
        </is>
      </c>
      <c r="Q110" t="inlineStr"/>
    </row>
    <row r="111">
      <c r="A111" t="inlineStr">
        <is>
          <t>PRIMERINDO TEHNIK</t>
        </is>
      </c>
      <c r="B111" t="inlineStr">
        <is>
          <t>Kota Palembang</t>
        </is>
      </c>
      <c r="C111" t="inlineStr">
        <is>
          <t>0711513504</t>
        </is>
      </c>
      <c r="D111" t="inlineStr">
        <is>
          <t>primerindoteknikcv@gmail.com</t>
        </is>
      </c>
      <c r="E111" t="inlineStr">
        <is>
          <t>https://lpjk.pu.go.id/search-badan-usaha-detail/aTNKcTJ1bDJaenh0RC9xWm5RUUFndz09</t>
        </is>
      </c>
      <c r="F111" t="n">
        <v>1</v>
      </c>
      <c r="G111" t="inlineStr">
        <is>
          <t>RK001</t>
        </is>
      </c>
      <c r="H111" t="inlineStr">
        <is>
          <t>1 Agustus 2012</t>
        </is>
      </c>
      <c r="I111" s="2" t="n">
        <v>46208</v>
      </c>
      <c r="J111" t="inlineStr">
        <is>
          <t>Pencabutan</t>
        </is>
      </c>
      <c r="K111" t="n">
        <v>30</v>
      </c>
      <c r="L111" t="inlineStr">
        <is>
          <t>5 Juli 2026</t>
        </is>
      </c>
      <c r="M111" t="inlineStr">
        <is>
          <t>Jasa Rekayasa Konstruksi Bangunan Gedung Hunian dan Non Hunian</t>
        </is>
      </c>
      <c r="N111" t="inlineStr">
        <is>
          <t>K</t>
        </is>
      </c>
      <c r="O111" t="inlineStr">
        <is>
          <t>20230626</t>
        </is>
      </c>
      <c r="P111" t="inlineStr">
        <is>
          <t>Sumatera Selatan</t>
        </is>
      </c>
      <c r="Q111" t="inlineStr"/>
    </row>
    <row r="112">
      <c r="A112" t="inlineStr">
        <is>
          <t>PRISMA PERKASA</t>
        </is>
      </c>
      <c r="B112" t="inlineStr">
        <is>
          <t>Kab. Subang</t>
        </is>
      </c>
      <c r="C112" t="inlineStr">
        <is>
          <t>082216634110</t>
        </is>
      </c>
      <c r="D112" t="inlineStr">
        <is>
          <t>subagjaaten777@gmail.com</t>
        </is>
      </c>
      <c r="E112" t="inlineStr">
        <is>
          <t>https://lpjk.pu.go.id/search-badan-usaha-detail/ZE5uamFZVlBEYlRyem9lWWF1ZnVrQT09</t>
        </is>
      </c>
      <c r="F112" t="n">
        <v>4</v>
      </c>
      <c r="G112" t="inlineStr">
        <is>
          <t>BG006, BS001, BS002, BS004</t>
        </is>
      </c>
      <c r="H112" t="inlineStr">
        <is>
          <t>9 Maret 2022</t>
        </is>
      </c>
      <c r="I112" s="2" t="n">
        <v>46208</v>
      </c>
      <c r="J112" t="inlineStr">
        <is>
          <t>Disetujui</t>
        </is>
      </c>
      <c r="K112" t="n">
        <v>30</v>
      </c>
      <c r="L112" t="inlineStr">
        <is>
          <t>5 Juli 2026</t>
        </is>
      </c>
      <c r="M112" t="inlineStr">
        <is>
          <t>Bangunan Sipil Jembatan, Jalan Layang, Fly Over, dan Underpass, Konstruksi Bangunan Sipil Jalan, Konstruksi Gedung Pendidikan, Konstruksi Jaringan Irigasi dan Drainase</t>
        </is>
      </c>
      <c r="N112" t="inlineStr">
        <is>
          <t>K</t>
        </is>
      </c>
      <c r="O112" t="inlineStr">
        <is>
          <t>20230703, 20230704</t>
        </is>
      </c>
      <c r="P112" t="inlineStr">
        <is>
          <t>Jawa Barat</t>
        </is>
      </c>
      <c r="Q112" t="inlineStr"/>
    </row>
    <row r="113">
      <c r="A113" t="inlineStr">
        <is>
          <t>PUTRA ALFARIZQI</t>
        </is>
      </c>
      <c r="B113" t="inlineStr">
        <is>
          <t>Kab. Bandung Barat</t>
        </is>
      </c>
      <c r="C113" t="inlineStr">
        <is>
          <t>081804042014</t>
        </is>
      </c>
      <c r="D113" t="inlineStr">
        <is>
          <t>cvputraalfarizqi@gmail.com</t>
        </is>
      </c>
      <c r="E113" t="inlineStr">
        <is>
          <t>https://lpjk.pu.go.id/search-badan-usaha-detail/Nm1sWWFLVFl3aFl0N0pOWGNlUFNXZz09</t>
        </is>
      </c>
      <c r="F113" t="n">
        <v>1</v>
      </c>
      <c r="G113" t="inlineStr">
        <is>
          <t>BS002</t>
        </is>
      </c>
      <c r="H113" t="inlineStr">
        <is>
          <t>14 Februari 2023</t>
        </is>
      </c>
      <c r="I113" s="2" t="n">
        <v>46208</v>
      </c>
      <c r="J113" t="inlineStr">
        <is>
          <t>Disetujui</t>
        </is>
      </c>
      <c r="K113" t="n">
        <v>30</v>
      </c>
      <c r="L113" t="inlineStr">
        <is>
          <t>5 Juli 2026</t>
        </is>
      </c>
      <c r="M113" t="inlineStr">
        <is>
          <t>Bangunan Sipil Jembatan, Jalan Layang, Fly Over, dan Underpass</t>
        </is>
      </c>
      <c r="N113" t="inlineStr">
        <is>
          <t>K</t>
        </is>
      </c>
      <c r="O113" t="inlineStr">
        <is>
          <t>20230705</t>
        </is>
      </c>
      <c r="P113" t="inlineStr">
        <is>
          <t>Jawa Barat</t>
        </is>
      </c>
      <c r="Q113" t="inlineStr"/>
    </row>
    <row r="114">
      <c r="A114" t="inlineStr">
        <is>
          <t>PUTRA BUWANA JAYA</t>
        </is>
      </c>
      <c r="B114" t="inlineStr">
        <is>
          <t>Kota Bandar Lampung</t>
        </is>
      </c>
      <c r="C114" t="inlineStr">
        <is>
          <t>082280562200</t>
        </is>
      </c>
      <c r="D114" t="inlineStr">
        <is>
          <t>pjb.lampung@gmail.com</t>
        </is>
      </c>
      <c r="E114" t="inlineStr">
        <is>
          <t>https://lpjk.pu.go.id/search-badan-usaha-detail/d0RJSlR2OGoyTDF2WTNLVlJVQlJXdz09</t>
        </is>
      </c>
      <c r="F114" t="n">
        <v>1</v>
      </c>
      <c r="G114" t="inlineStr">
        <is>
          <t>BG004</t>
        </is>
      </c>
      <c r="H114" t="inlineStr">
        <is>
          <t>18 Mei 2009</t>
        </is>
      </c>
      <c r="I114" s="2" t="n">
        <v>46208</v>
      </c>
      <c r="J114" t="inlineStr">
        <is>
          <t>Disetujui</t>
        </is>
      </c>
      <c r="K114" t="n">
        <v>30</v>
      </c>
      <c r="L114" t="inlineStr">
        <is>
          <t>5 Juli 2026</t>
        </is>
      </c>
      <c r="M114" t="inlineStr">
        <is>
          <t>Konstruksi Gedung Perbelanjaan</t>
        </is>
      </c>
      <c r="N114" t="inlineStr">
        <is>
          <t>K</t>
        </is>
      </c>
      <c r="O114" t="inlineStr">
        <is>
          <t>20230627</t>
        </is>
      </c>
      <c r="P114" t="inlineStr">
        <is>
          <t>Lampung</t>
        </is>
      </c>
      <c r="Q114" t="inlineStr"/>
    </row>
    <row r="115">
      <c r="A115" t="inlineStr">
        <is>
          <t>PUTRA JAYA MANDIRI</t>
        </is>
      </c>
      <c r="B115" t="inlineStr">
        <is>
          <t>Kab. Humbang Hasundutan</t>
        </is>
      </c>
      <c r="C115" t="inlineStr">
        <is>
          <t>081264663111</t>
        </is>
      </c>
      <c r="D115" t="inlineStr">
        <is>
          <t>cv.putrajayamandiri2020@gmail.com</t>
        </is>
      </c>
      <c r="E115" t="inlineStr">
        <is>
          <t>https://lpjk.pu.go.id/search-badan-usaha-detail/MW9wQTNEOFpkMFBnUmR5anVDOXdnQT09</t>
        </is>
      </c>
      <c r="F115" t="n">
        <v>1</v>
      </c>
      <c r="G115" t="inlineStr">
        <is>
          <t>BG006</t>
        </is>
      </c>
      <c r="H115" t="inlineStr">
        <is>
          <t>5 April 2016</t>
        </is>
      </c>
      <c r="I115" s="2" t="n">
        <v>46208</v>
      </c>
      <c r="J115" t="inlineStr">
        <is>
          <t>Disetujui</t>
        </is>
      </c>
      <c r="K115" t="n">
        <v>30</v>
      </c>
      <c r="L115" t="inlineStr">
        <is>
          <t>5 Juli 2026</t>
        </is>
      </c>
      <c r="M115" t="inlineStr">
        <is>
          <t>Konstruksi Gedung Pendidikan</t>
        </is>
      </c>
      <c r="N115" t="inlineStr">
        <is>
          <t>K</t>
        </is>
      </c>
      <c r="O115" t="inlineStr">
        <is>
          <t>20230705</t>
        </is>
      </c>
      <c r="P115" t="inlineStr">
        <is>
          <t>Sumatera Utara</t>
        </is>
      </c>
      <c r="Q115" t="inlineStr"/>
    </row>
    <row r="116">
      <c r="A116" t="inlineStr">
        <is>
          <t>PUTRA MAJELE</t>
        </is>
      </c>
      <c r="B116" t="inlineStr">
        <is>
          <t>Kab. Ketapang</t>
        </is>
      </c>
      <c r="C116" t="inlineStr">
        <is>
          <t>081345368224</t>
        </is>
      </c>
      <c r="D116" t="inlineStr">
        <is>
          <t>putramajele@yahoo.com</t>
        </is>
      </c>
      <c r="E116" t="inlineStr">
        <is>
          <t>https://lpjk.pu.go.id/search-badan-usaha-detail/RmNoS0hNczBHSDM5Q09xNDBscE5iUT09</t>
        </is>
      </c>
      <c r="F116" t="n">
        <v>2</v>
      </c>
      <c r="G116" t="inlineStr">
        <is>
          <t>BG005, BG006</t>
        </is>
      </c>
      <c r="H116" t="inlineStr">
        <is>
          <t>11 Februari 2020</t>
        </is>
      </c>
      <c r="I116" s="2" t="n">
        <v>46208</v>
      </c>
      <c r="J116" t="inlineStr">
        <is>
          <t>Disetujui</t>
        </is>
      </c>
      <c r="K116" t="n">
        <v>30</v>
      </c>
      <c r="L116" t="inlineStr">
        <is>
          <t>5 Juli 2026</t>
        </is>
      </c>
      <c r="M116" t="inlineStr">
        <is>
          <t>Konstruksi Gedung Kesehatan, Konstruksi Gedung Pendidikan</t>
        </is>
      </c>
      <c r="N116" t="inlineStr">
        <is>
          <t>K</t>
        </is>
      </c>
      <c r="O116" t="inlineStr">
        <is>
          <t>20230623</t>
        </is>
      </c>
      <c r="P116" t="inlineStr">
        <is>
          <t>Kalimantan Barat</t>
        </is>
      </c>
      <c r="Q116" t="inlineStr"/>
    </row>
    <row r="117">
      <c r="A117" t="inlineStr">
        <is>
          <t>RAI RAKA</t>
        </is>
      </c>
      <c r="B117" t="inlineStr">
        <is>
          <t>Kab. Bandung Barat</t>
        </is>
      </c>
      <c r="C117" t="inlineStr">
        <is>
          <t>081290070062</t>
        </is>
      </c>
      <c r="D117" t="inlineStr">
        <is>
          <t>cv.rairaka@gmail.com</t>
        </is>
      </c>
      <c r="E117" t="inlineStr">
        <is>
          <t>https://lpjk.pu.go.id/search-badan-usaha-detail/aDVacnpjelZRdnF4MWsxZWdCdHhRdz09</t>
        </is>
      </c>
      <c r="F117" t="n">
        <v>1</v>
      </c>
      <c r="G117" t="inlineStr">
        <is>
          <t>BS001</t>
        </is>
      </c>
      <c r="H117" t="inlineStr">
        <is>
          <t>5 Februari 2020</t>
        </is>
      </c>
      <c r="I117" s="2" t="n">
        <v>46208</v>
      </c>
      <c r="J117" t="inlineStr">
        <is>
          <t>Disetujui</t>
        </is>
      </c>
      <c r="K117" t="n">
        <v>30</v>
      </c>
      <c r="L117" t="inlineStr">
        <is>
          <t>5 Juli 2026</t>
        </is>
      </c>
      <c r="M117" t="inlineStr">
        <is>
          <t>Konstruksi Bangunan Sipil Jalan</t>
        </is>
      </c>
      <c r="N117" t="inlineStr">
        <is>
          <t>K</t>
        </is>
      </c>
      <c r="O117" t="inlineStr">
        <is>
          <t>20230703</t>
        </is>
      </c>
      <c r="P117" t="inlineStr">
        <is>
          <t>Jawa Barat</t>
        </is>
      </c>
      <c r="Q117" t="inlineStr"/>
    </row>
    <row r="118">
      <c r="A118" t="inlineStr">
        <is>
          <t>RAIHASA UTAMA</t>
        </is>
      </c>
      <c r="B118" t="inlineStr">
        <is>
          <t>Kota Adm. Jakarta Selatan</t>
        </is>
      </c>
      <c r="C118" t="inlineStr">
        <is>
          <t>02129305020</t>
        </is>
      </c>
      <c r="D118" t="inlineStr">
        <is>
          <t>raihasautama@yahoo.com</t>
        </is>
      </c>
      <c r="E118" t="inlineStr">
        <is>
          <t>https://lpjk.pu.go.id/search-badan-usaha-detail/ZDd4WXQ5K2M0OGVwZXZYaGJEOXFkQT09</t>
        </is>
      </c>
      <c r="F118" t="n">
        <v>2</v>
      </c>
      <c r="G118" t="inlineStr">
        <is>
          <t>BS004, BS010</t>
        </is>
      </c>
      <c r="H118" t="inlineStr">
        <is>
          <t>29 Maret 2021</t>
        </is>
      </c>
      <c r="I118" s="2" t="n">
        <v>46208</v>
      </c>
      <c r="J118" t="inlineStr">
        <is>
          <t>Disetujui, Pencabutan</t>
        </is>
      </c>
      <c r="K118" t="n">
        <v>30</v>
      </c>
      <c r="L118" t="inlineStr">
        <is>
          <t>5 Juli 2026</t>
        </is>
      </c>
      <c r="M118" t="inlineStr">
        <is>
          <t>Konstruksi Bangunan Prasarana Sumber Daya Air, Konstruksi Jaringan Irigasi dan Drainase</t>
        </is>
      </c>
      <c r="N118" t="inlineStr">
        <is>
          <t>K</t>
        </is>
      </c>
      <c r="O118" t="inlineStr">
        <is>
          <t>20230615, 20230705</t>
        </is>
      </c>
      <c r="P118" t="inlineStr">
        <is>
          <t>DKI Jakarta</t>
        </is>
      </c>
      <c r="Q118" t="inlineStr"/>
    </row>
    <row r="119">
      <c r="A119" t="inlineStr">
        <is>
          <t>RIZKI PUTERA PERDANA</t>
        </is>
      </c>
      <c r="B119" t="inlineStr">
        <is>
          <t>Kab. Hulu Sungai Selatan</t>
        </is>
      </c>
      <c r="C119" t="inlineStr">
        <is>
          <t>085251802205</t>
        </is>
      </c>
      <c r="D119" t="inlineStr">
        <is>
          <t>rizkiputera@yopmail.com</t>
        </is>
      </c>
      <c r="E119" t="inlineStr">
        <is>
          <t>https://lpjk.pu.go.id/search-badan-usaha-detail/di9VcFVvdFpTeG1pU0N1b05iZFpmQT09</t>
        </is>
      </c>
      <c r="F119" t="n">
        <v>4</v>
      </c>
      <c r="G119" t="inlineStr">
        <is>
          <t>BG006, BG009, BS001, BS004</t>
        </is>
      </c>
      <c r="H119" t="inlineStr">
        <is>
          <t>1 April 2016</t>
        </is>
      </c>
      <c r="I119" s="2" t="n">
        <v>46208</v>
      </c>
      <c r="J119" t="inlineStr">
        <is>
          <t>Disetujui</t>
        </is>
      </c>
      <c r="K119" t="n">
        <v>30</v>
      </c>
      <c r="L119" t="inlineStr">
        <is>
          <t>5 Juli 2026</t>
        </is>
      </c>
      <c r="M119" t="inlineStr">
        <is>
          <t>Konstruksi Bangunan Sipil Jalan, Konstruksi Gedung Lainnya, Konstruksi Gedung Pendidikan, Konstruksi Jaringan Irigasi dan Drainase</t>
        </is>
      </c>
      <c r="N119" t="inlineStr">
        <is>
          <t>K</t>
        </is>
      </c>
      <c r="O119" t="inlineStr">
        <is>
          <t>20230704, 20230706</t>
        </is>
      </c>
      <c r="P119" t="inlineStr">
        <is>
          <t>Kalimantan Selatan</t>
        </is>
      </c>
      <c r="Q119" t="inlineStr"/>
    </row>
    <row r="120">
      <c r="A120" t="inlineStr">
        <is>
          <t>SAKHA PRATAMA</t>
        </is>
      </c>
      <c r="B120" t="inlineStr">
        <is>
          <t>Kota Blitar</t>
        </is>
      </c>
      <c r="C120" t="inlineStr">
        <is>
          <t>081333995936</t>
        </is>
      </c>
      <c r="D120" t="inlineStr">
        <is>
          <t>cv.sakha_pratama@yahoo.com</t>
        </is>
      </c>
      <c r="E120" t="inlineStr">
        <is>
          <t>https://lpjk.pu.go.id/search-badan-usaha-detail/QktOTDFCMjdMN1RXN1VZczJ3dkRWQT09</t>
        </is>
      </c>
      <c r="F120" t="n">
        <v>1</v>
      </c>
      <c r="G120" t="inlineStr">
        <is>
          <t>BG009</t>
        </is>
      </c>
      <c r="H120" t="inlineStr">
        <is>
          <t>22 Juni 2012</t>
        </is>
      </c>
      <c r="I120" s="2" t="n">
        <v>46208</v>
      </c>
      <c r="J120" t="inlineStr">
        <is>
          <t>Disetujui</t>
        </is>
      </c>
      <c r="K120" t="n">
        <v>30</v>
      </c>
      <c r="L120" t="inlineStr">
        <is>
          <t>5 Juli 2026</t>
        </is>
      </c>
      <c r="M120" t="inlineStr">
        <is>
          <t>Konstruksi Gedung Lainnya</t>
        </is>
      </c>
      <c r="N120" t="inlineStr">
        <is>
          <t>K</t>
        </is>
      </c>
      <c r="O120" t="inlineStr">
        <is>
          <t>20230706</t>
        </is>
      </c>
      <c r="P120" t="inlineStr">
        <is>
          <t>Jawa Timur</t>
        </is>
      </c>
      <c r="Q120" t="inlineStr"/>
    </row>
    <row r="121">
      <c r="A121" t="inlineStr">
        <is>
          <t>SALUYU JATIDIRI</t>
        </is>
      </c>
      <c r="B121" t="inlineStr">
        <is>
          <t>Kab. Jepara</t>
        </is>
      </c>
      <c r="C121" t="inlineStr">
        <is>
          <t>081225846851</t>
        </is>
      </c>
      <c r="D121" t="inlineStr">
        <is>
          <t>saluyujatidiri.pt@yahoo.com</t>
        </is>
      </c>
      <c r="E121" t="inlineStr">
        <is>
          <t>https://lpjk.pu.go.id/search-badan-usaha-detail/SkNncU5HbFJxbTdibGVxOWJONjJ6UT09</t>
        </is>
      </c>
      <c r="F121" t="n">
        <v>1</v>
      </c>
      <c r="G121" t="inlineStr">
        <is>
          <t>BS007</t>
        </is>
      </c>
      <c r="H121" t="inlineStr">
        <is>
          <t>30 Desember 1995</t>
        </is>
      </c>
      <c r="I121" s="2" t="n">
        <v>46208</v>
      </c>
      <c r="J121" t="inlineStr">
        <is>
          <t>Disetujui</t>
        </is>
      </c>
      <c r="K121" t="n">
        <v>30</v>
      </c>
      <c r="L121" t="inlineStr">
        <is>
          <t>5 Juli 2026</t>
        </is>
      </c>
      <c r="M121" t="inlineStr">
        <is>
          <t>Konstruksi Bangunan Sipil Elektrikal</t>
        </is>
      </c>
      <c r="N121" t="inlineStr">
        <is>
          <t>K</t>
        </is>
      </c>
      <c r="O121" t="inlineStr">
        <is>
          <t>20230623</t>
        </is>
      </c>
      <c r="P121" t="inlineStr">
        <is>
          <t>Jawa Tengah</t>
        </is>
      </c>
      <c r="Q121" t="inlineStr"/>
    </row>
    <row r="122">
      <c r="A122" t="inlineStr">
        <is>
          <t>SAMATOR GAS INDUSTRI</t>
        </is>
      </c>
      <c r="B122" t="inlineStr">
        <is>
          <t>Kota Surabaya</t>
        </is>
      </c>
      <c r="C122" t="inlineStr">
        <is>
          <t>03199004000</t>
        </is>
      </c>
      <c r="D122" t="inlineStr">
        <is>
          <t>perijinan@sgi-gas.com</t>
        </is>
      </c>
      <c r="E122" t="inlineStr">
        <is>
          <t>https://lpjk.pu.go.id/search-badan-usaha-detail/bmNqTjRxQ3IrTFNQVGRrSXM2SjJpQT09</t>
        </is>
      </c>
      <c r="F122" t="n">
        <v>1</v>
      </c>
      <c r="G122" t="inlineStr">
        <is>
          <t>IN007</t>
        </is>
      </c>
      <c r="H122" t="inlineStr">
        <is>
          <t>31 Oktober 1992</t>
        </is>
      </c>
      <c r="I122" s="2" t="n">
        <v>46208</v>
      </c>
      <c r="J122" t="inlineStr">
        <is>
          <t>Disetujui</t>
        </is>
      </c>
      <c r="K122" t="n">
        <v>30</v>
      </c>
      <c r="L122" t="inlineStr">
        <is>
          <t>5 Juli 2026</t>
        </is>
      </c>
      <c r="M122" t="inlineStr">
        <is>
          <t>Instalasi Saluran Air (Plambing)</t>
        </is>
      </c>
      <c r="N122" t="inlineStr">
        <is>
          <t>Spesialis</t>
        </is>
      </c>
      <c r="O122" t="inlineStr">
        <is>
          <t>20230207</t>
        </is>
      </c>
      <c r="P122" t="inlineStr">
        <is>
          <t>Jawa Timur</t>
        </is>
      </c>
      <c r="Q122" t="inlineStr"/>
    </row>
    <row r="123">
      <c r="A123" t="inlineStr">
        <is>
          <t>SATRIA RATU ADIL</t>
        </is>
      </c>
      <c r="B123" t="inlineStr">
        <is>
          <t>Kab. Cirebon</t>
        </is>
      </c>
      <c r="C123" t="inlineStr">
        <is>
          <t>081321754188</t>
        </is>
      </c>
      <c r="D123" t="inlineStr">
        <is>
          <t>satriaratuadil@gmail.com</t>
        </is>
      </c>
      <c r="E123" t="inlineStr">
        <is>
          <t>https://lpjk.pu.go.id/search-badan-usaha-detail/MVQxSERMdkFIS1FVaytsM2FLVFNMQT09</t>
        </is>
      </c>
      <c r="F123" t="n">
        <v>1</v>
      </c>
      <c r="G123" t="inlineStr">
        <is>
          <t>BG006</t>
        </is>
      </c>
      <c r="H123" t="inlineStr">
        <is>
          <t>19 Februari 2020</t>
        </is>
      </c>
      <c r="I123" s="2" t="n">
        <v>46208</v>
      </c>
      <c r="J123" t="inlineStr">
        <is>
          <t>Disetujui</t>
        </is>
      </c>
      <c r="K123" t="n">
        <v>30</v>
      </c>
      <c r="L123" t="inlineStr">
        <is>
          <t>5 Juli 2026</t>
        </is>
      </c>
      <c r="M123" t="inlineStr">
        <is>
          <t>Konstruksi Gedung Pendidikan</t>
        </is>
      </c>
      <c r="N123" t="inlineStr">
        <is>
          <t>K</t>
        </is>
      </c>
      <c r="O123" t="inlineStr">
        <is>
          <t>20230614</t>
        </is>
      </c>
      <c r="P123" t="inlineStr">
        <is>
          <t>Jawa Barat</t>
        </is>
      </c>
      <c r="Q123" t="inlineStr"/>
    </row>
    <row r="124">
      <c r="A124" t="inlineStr">
        <is>
          <t>SEGITIGA MAS</t>
        </is>
      </c>
      <c r="B124" t="inlineStr">
        <is>
          <t>Kab. Trenggalek</t>
        </is>
      </c>
      <c r="C124" t="inlineStr">
        <is>
          <t>081335754822</t>
        </is>
      </c>
      <c r="D124" t="inlineStr">
        <is>
          <t>segi3mascv@gmail.com</t>
        </is>
      </c>
      <c r="E124" t="inlineStr">
        <is>
          <t>https://lpjk.pu.go.id/search-badan-usaha-detail/NXYvTEFWMTlRRDZYa1FzY2piVWlxZz09</t>
        </is>
      </c>
      <c r="F124" t="n">
        <v>4</v>
      </c>
      <c r="G124" t="inlineStr">
        <is>
          <t>BG002, BG005, BG006, BG009</t>
        </is>
      </c>
      <c r="H124" t="inlineStr">
        <is>
          <t>21 Desember 2006</t>
        </is>
      </c>
      <c r="I124" s="2" t="n">
        <v>46208</v>
      </c>
      <c r="J124" t="inlineStr">
        <is>
          <t>Disetujui</t>
        </is>
      </c>
      <c r="K124" t="n">
        <v>30</v>
      </c>
      <c r="L124" t="inlineStr">
        <is>
          <t>5 Juli 2026</t>
        </is>
      </c>
      <c r="M124" t="inlineStr">
        <is>
          <t>Konstruksi Gedung Kesehatan, Konstruksi Gedung Lainnya, Konstruksi Gedung Pendidikan, Konstruksi Gedung Perkantoran</t>
        </is>
      </c>
      <c r="N124" t="inlineStr">
        <is>
          <t>K</t>
        </is>
      </c>
      <c r="O124" t="inlineStr">
        <is>
          <t>20230624, 20230705</t>
        </is>
      </c>
      <c r="P124" t="inlineStr">
        <is>
          <t>Jawa Timur</t>
        </is>
      </c>
      <c r="Q124" t="inlineStr"/>
    </row>
    <row r="125">
      <c r="A125" t="inlineStr">
        <is>
          <t>SEKAWAN KONSULTAN</t>
        </is>
      </c>
      <c r="B125" t="inlineStr">
        <is>
          <t>Kab. Kulon Progo</t>
        </is>
      </c>
      <c r="C125" t="inlineStr">
        <is>
          <t>081328211500</t>
        </is>
      </c>
      <c r="D125" t="inlineStr">
        <is>
          <t>sekawankonsultanindonesia@gmail.com</t>
        </is>
      </c>
      <c r="E125" t="inlineStr">
        <is>
          <t>https://lpjk.pu.go.id/search-badan-usaha-detail/cm1PSU9id1dHWkx6K0E0UHNIYmNHQT09</t>
        </is>
      </c>
      <c r="F125" t="n">
        <v>4</v>
      </c>
      <c r="G125" t="inlineStr">
        <is>
          <t>RK001, RK003</t>
        </is>
      </c>
      <c r="H125" t="inlineStr">
        <is>
          <t>15 Oktober 2020</t>
        </is>
      </c>
      <c r="I125" s="2" t="n">
        <v>46208</v>
      </c>
      <c r="J125" t="inlineStr">
        <is>
          <t>Pencabutan</t>
        </is>
      </c>
      <c r="K125" t="n">
        <v>30</v>
      </c>
      <c r="L125" t="inlineStr">
        <is>
          <t>5 Juli 2026</t>
        </is>
      </c>
      <c r="M125" t="inlineStr">
        <is>
          <t>Jasa Rekayasa Konstruksi Bangunan Gedung Hunian dan Non Hunian, Jasa Rekayasa Pekerjaan Teknik Sipil Transportasi</t>
        </is>
      </c>
      <c r="N125" t="inlineStr">
        <is>
          <t>K</t>
        </is>
      </c>
      <c r="O125" t="inlineStr">
        <is>
          <t>20230615</t>
        </is>
      </c>
      <c r="P125" t="inlineStr">
        <is>
          <t>DI Yogyakarta</t>
        </is>
      </c>
      <c r="Q125" t="inlineStr"/>
    </row>
    <row r="126">
      <c r="A126" t="inlineStr">
        <is>
          <t>SIMPANG MEMBANGUN</t>
        </is>
      </c>
      <c r="B126" t="inlineStr">
        <is>
          <t>Kab. Banggai</t>
        </is>
      </c>
      <c r="C126" t="inlineStr">
        <is>
          <t>082297618433</t>
        </is>
      </c>
      <c r="D126" t="inlineStr">
        <is>
          <t>cvsimpangmembangun@gmail.com</t>
        </is>
      </c>
      <c r="E126" t="inlineStr">
        <is>
          <t>https://lpjk.pu.go.id/search-badan-usaha-detail/VjZ2eEJvalNjYTJaZTZVZXpSNk1ZZz09</t>
        </is>
      </c>
      <c r="F126" t="n">
        <v>1</v>
      </c>
      <c r="G126" t="inlineStr">
        <is>
          <t>BG005</t>
        </is>
      </c>
      <c r="H126" t="inlineStr">
        <is>
          <t>8 Januari 2021</t>
        </is>
      </c>
      <c r="I126" s="2" t="n">
        <v>46208</v>
      </c>
      <c r="J126" t="inlineStr">
        <is>
          <t>Disetujui</t>
        </is>
      </c>
      <c r="K126" t="n">
        <v>30</v>
      </c>
      <c r="L126" t="inlineStr">
        <is>
          <t>5 Juli 2026</t>
        </is>
      </c>
      <c r="M126" t="inlineStr">
        <is>
          <t>Konstruksi Gedung Kesehatan</t>
        </is>
      </c>
      <c r="N126" t="inlineStr">
        <is>
          <t>K</t>
        </is>
      </c>
      <c r="O126" t="inlineStr">
        <is>
          <t>20230705</t>
        </is>
      </c>
      <c r="P126" t="inlineStr">
        <is>
          <t>Sulawesi Tengah</t>
        </is>
      </c>
      <c r="Q126" t="inlineStr"/>
    </row>
    <row r="127">
      <c r="A127" t="inlineStr">
        <is>
          <t>SUKSES KONSTRUKSI INDONUSA</t>
        </is>
      </c>
      <c r="B127" t="inlineStr">
        <is>
          <t>Kota Adm. Jakarta Utara</t>
        </is>
      </c>
      <c r="C127" t="inlineStr">
        <is>
          <t>085337009388</t>
        </is>
      </c>
      <c r="D127" t="inlineStr">
        <is>
          <t>sukseskonstruksiindonusa@gmail.com</t>
        </is>
      </c>
      <c r="E127" t="inlineStr">
        <is>
          <t>https://lpjk.pu.go.id/search-badan-usaha-detail/N0tSdXdGRXRtenZMSVppamNMb29LZz09</t>
        </is>
      </c>
      <c r="F127" t="n">
        <v>1</v>
      </c>
      <c r="G127" t="inlineStr">
        <is>
          <t>BG003</t>
        </is>
      </c>
      <c r="H127" t="inlineStr">
        <is>
          <t>9 Juni 2023</t>
        </is>
      </c>
      <c r="I127" s="2" t="n">
        <v>46208</v>
      </c>
      <c r="J127" t="inlineStr">
        <is>
          <t>Pencabutan</t>
        </is>
      </c>
      <c r="K127" t="n">
        <v>30</v>
      </c>
      <c r="L127" t="inlineStr">
        <is>
          <t>5 Juli 2026</t>
        </is>
      </c>
      <c r="M127" t="inlineStr">
        <is>
          <t>Konstruksi Gedung Industri</t>
        </is>
      </c>
      <c r="N127" t="inlineStr">
        <is>
          <t>K</t>
        </is>
      </c>
      <c r="O127" t="inlineStr">
        <is>
          <t>20230704</t>
        </is>
      </c>
      <c r="P127" t="inlineStr">
        <is>
          <t>DKI Jakarta</t>
        </is>
      </c>
      <c r="Q127" t="inlineStr"/>
    </row>
    <row r="128">
      <c r="A128" t="inlineStr">
        <is>
          <t>SURYA DIRJA</t>
        </is>
      </c>
      <c r="B128" t="inlineStr">
        <is>
          <t>Kota Kediri</t>
        </is>
      </c>
      <c r="C128" t="inlineStr">
        <is>
          <t>081335108202</t>
        </is>
      </c>
      <c r="D128" t="inlineStr">
        <is>
          <t>cv_suryadirja@yahoo.com</t>
        </is>
      </c>
      <c r="E128" t="inlineStr">
        <is>
          <t>https://lpjk.pu.go.id/search-badan-usaha-detail/ODVLM2NjQllqRlNuWDZnejA2MjYvQT09</t>
        </is>
      </c>
      <c r="F128" t="n">
        <v>3</v>
      </c>
      <c r="G128" t="inlineStr">
        <is>
          <t>BG008, BS001, BS004</t>
        </is>
      </c>
      <c r="H128" t="inlineStr">
        <is>
          <t>11 Januari 1993</t>
        </is>
      </c>
      <c r="I128" s="2" t="n">
        <v>46208</v>
      </c>
      <c r="J128" t="inlineStr">
        <is>
          <t>Disetujui</t>
        </is>
      </c>
      <c r="K128" t="n">
        <v>30</v>
      </c>
      <c r="L128" t="inlineStr">
        <is>
          <t>5 Juli 2026</t>
        </is>
      </c>
      <c r="M128" t="inlineStr">
        <is>
          <t>Konstruksi Bangunan Sipil Jalan, Konstruksi Gedung Tempat Hiburan dan Olahraga, Konstruksi Jaringan Irigasi dan Drainase</t>
        </is>
      </c>
      <c r="N128" t="inlineStr">
        <is>
          <t>K</t>
        </is>
      </c>
      <c r="O128" t="inlineStr">
        <is>
          <t>20230703</t>
        </is>
      </c>
      <c r="P128" t="inlineStr">
        <is>
          <t>Jawa Timur</t>
        </is>
      </c>
      <c r="Q128" t="inlineStr"/>
    </row>
    <row r="129">
      <c r="A129" t="inlineStr">
        <is>
          <t>SURYA MANNA KARYA</t>
        </is>
      </c>
      <c r="B129" t="inlineStr">
        <is>
          <t>Kota Jayapura</t>
        </is>
      </c>
      <c r="C129" t="inlineStr">
        <is>
          <t>08524382891</t>
        </is>
      </c>
      <c r="D129" t="inlineStr">
        <is>
          <t>suryamanna00@gmail.com</t>
        </is>
      </c>
      <c r="E129" t="inlineStr">
        <is>
          <t>https://lpjk.pu.go.id/search-badan-usaha-detail/NjUxTlpsaFpxVjZFNXpHUVh0bnIzQT09</t>
        </is>
      </c>
      <c r="F129" t="n">
        <v>1</v>
      </c>
      <c r="G129" t="inlineStr">
        <is>
          <t>BG009</t>
        </is>
      </c>
      <c r="H129" t="inlineStr">
        <is>
          <t>28 Juni 2019</t>
        </is>
      </c>
      <c r="I129" s="2" t="n">
        <v>46208</v>
      </c>
      <c r="J129" t="inlineStr">
        <is>
          <t>Disetujui</t>
        </is>
      </c>
      <c r="K129" t="n">
        <v>30</v>
      </c>
      <c r="L129" t="inlineStr">
        <is>
          <t>5 Juli 2026</t>
        </is>
      </c>
      <c r="M129" t="inlineStr">
        <is>
          <t>Konstruksi Gedung Lainnya</t>
        </is>
      </c>
      <c r="N129" t="inlineStr">
        <is>
          <t>K</t>
        </is>
      </c>
      <c r="O129" t="inlineStr">
        <is>
          <t>20230705</t>
        </is>
      </c>
      <c r="P129" t="inlineStr">
        <is>
          <t>Papua</t>
        </is>
      </c>
      <c r="Q129" t="inlineStr"/>
    </row>
    <row r="130">
      <c r="A130" t="inlineStr">
        <is>
          <t>SURYA SARANA SENTOSA</t>
        </is>
      </c>
      <c r="B130" t="inlineStr">
        <is>
          <t>Kab. Sidoarjo</t>
        </is>
      </c>
      <c r="C130" t="inlineStr">
        <is>
          <t>0318956956</t>
        </is>
      </c>
      <c r="D130" t="inlineStr">
        <is>
          <t>surya_saranaku@yahoo.com</t>
        </is>
      </c>
      <c r="E130" t="inlineStr">
        <is>
          <t>https://lpjk.pu.go.id/search-badan-usaha-detail/TStYcmIrVzcxQmdEMnk0LzIyalpsUSsxazNZVDlMYWF6K2FRbU9PQllOND0</t>
        </is>
      </c>
      <c r="F130" t="n">
        <v>1</v>
      </c>
      <c r="G130" t="inlineStr">
        <is>
          <t>BG007</t>
        </is>
      </c>
      <c r="H130" t="inlineStr">
        <is>
          <t>11 Januari 2022</t>
        </is>
      </c>
      <c r="I130" s="2" t="n">
        <v>46208</v>
      </c>
      <c r="J130" t="inlineStr">
        <is>
          <t>Disetujui</t>
        </is>
      </c>
      <c r="K130" t="n">
        <v>30</v>
      </c>
      <c r="L130" t="inlineStr">
        <is>
          <t>5 Juli 2026</t>
        </is>
      </c>
      <c r="M130" t="inlineStr">
        <is>
          <t>Konstruksi Gedung Penginapan</t>
        </is>
      </c>
      <c r="N130" t="inlineStr">
        <is>
          <t>M</t>
        </is>
      </c>
      <c r="O130" t="inlineStr">
        <is>
          <t>20230623</t>
        </is>
      </c>
      <c r="P130" t="inlineStr">
        <is>
          <t>Jawa Timur</t>
        </is>
      </c>
      <c r="Q130" t="inlineStr"/>
    </row>
    <row r="131">
      <c r="A131" t="inlineStr">
        <is>
          <t>TAMAR JAYA</t>
        </is>
      </c>
      <c r="B131" t="inlineStr">
        <is>
          <t>Kota Banda Aceh</t>
        </is>
      </c>
      <c r="C131" t="inlineStr">
        <is>
          <t>08116885568</t>
        </is>
      </c>
      <c r="D131" t="inlineStr">
        <is>
          <t>tamarjaya_16@yahoo.com</t>
        </is>
      </c>
      <c r="E131" t="inlineStr">
        <is>
          <t>https://lpjk.pu.go.id/search-badan-usaha-detail/R1YvZWRNNDVoanNCb3ZkdUhtV25qdz09</t>
        </is>
      </c>
      <c r="F131" t="n">
        <v>3</v>
      </c>
      <c r="G131" t="inlineStr">
        <is>
          <t>BG002, BG006, BG009</t>
        </is>
      </c>
      <c r="H131" t="inlineStr">
        <is>
          <t>18 Juli 2001</t>
        </is>
      </c>
      <c r="I131" s="2" t="n">
        <v>46208</v>
      </c>
      <c r="J131" t="inlineStr">
        <is>
          <t>Disetujui</t>
        </is>
      </c>
      <c r="K131" t="n">
        <v>30</v>
      </c>
      <c r="L131" t="inlineStr">
        <is>
          <t>5 Juli 2026</t>
        </is>
      </c>
      <c r="M131" t="inlineStr">
        <is>
          <t>Konstruksi Gedung Lainnya, Konstruksi Gedung Pendidikan, Konstruksi Gedung Perkantoran</t>
        </is>
      </c>
      <c r="N131" t="inlineStr">
        <is>
          <t>K</t>
        </is>
      </c>
      <c r="O131" t="inlineStr">
        <is>
          <t>20230627</t>
        </is>
      </c>
      <c r="P131" t="inlineStr">
        <is>
          <t>Aceh</t>
        </is>
      </c>
      <c r="Q131" t="inlineStr"/>
    </row>
    <row r="132">
      <c r="A132" t="inlineStr">
        <is>
          <t>TIRTHA WANDHIRA UTAMA</t>
        </is>
      </c>
      <c r="B132" t="inlineStr">
        <is>
          <t>Kota Bandar Lampung</t>
        </is>
      </c>
      <c r="C132" t="inlineStr">
        <is>
          <t>081283076735</t>
        </is>
      </c>
      <c r="D132" t="inlineStr">
        <is>
          <t>tirtha_wandhira@yahoo.com</t>
        </is>
      </c>
      <c r="E132" t="inlineStr">
        <is>
          <t>https://lpjk.pu.go.id/search-badan-usaha-detail/aHUrWDFPU21hb2wyQ3RWYllxcDFzZz09</t>
        </is>
      </c>
      <c r="F132" t="n">
        <v>1</v>
      </c>
      <c r="G132" t="inlineStr">
        <is>
          <t>PB001</t>
        </is>
      </c>
      <c r="H132" t="inlineStr">
        <is>
          <t>22 Oktober 2015</t>
        </is>
      </c>
      <c r="I132" s="2" t="n">
        <v>46208</v>
      </c>
      <c r="J132" t="inlineStr">
        <is>
          <t>Pencabutan</t>
        </is>
      </c>
      <c r="K132" t="n">
        <v>30</v>
      </c>
      <c r="L132" t="inlineStr">
        <is>
          <t>5 Juli 2026</t>
        </is>
      </c>
      <c r="M132" t="inlineStr">
        <is>
          <t>Pengerjaan Pemasangan Kaca dan Alumunium</t>
        </is>
      </c>
      <c r="N132" t="inlineStr">
        <is>
          <t>Spesialis</t>
        </is>
      </c>
      <c r="O132" t="inlineStr">
        <is>
          <t>20230704</t>
        </is>
      </c>
      <c r="P132" t="inlineStr">
        <is>
          <t>Lampung</t>
        </is>
      </c>
      <c r="Q132" t="inlineStr"/>
    </row>
    <row r="133">
      <c r="A133" t="inlineStr">
        <is>
          <t>TUNAS HARAPAN TIGACE</t>
        </is>
      </c>
      <c r="B133" t="inlineStr">
        <is>
          <t>Kota Cilegon</t>
        </is>
      </c>
      <c r="C133" t="inlineStr">
        <is>
          <t>082125674276</t>
        </is>
      </c>
      <c r="D133" t="inlineStr">
        <is>
          <t>cvtunasharapantigace@gmail.com</t>
        </is>
      </c>
      <c r="E133" t="inlineStr">
        <is>
          <t>https://lpjk.pu.go.id/search-badan-usaha-detail/ckJhZU9DNkRkSllnaklndXVpc3hLdz09</t>
        </is>
      </c>
      <c r="F133" t="n">
        <v>2</v>
      </c>
      <c r="G133" t="inlineStr">
        <is>
          <t>BS001, BS004</t>
        </is>
      </c>
      <c r="H133" t="inlineStr">
        <is>
          <t>20 Januari 2023</t>
        </is>
      </c>
      <c r="I133" s="2" t="n">
        <v>46208</v>
      </c>
      <c r="J133" t="inlineStr">
        <is>
          <t>Disetujui</t>
        </is>
      </c>
      <c r="K133" t="n">
        <v>30</v>
      </c>
      <c r="L133" t="inlineStr">
        <is>
          <t>5 Juli 2026</t>
        </is>
      </c>
      <c r="M133" t="inlineStr">
        <is>
          <t>Konstruksi Bangunan Sipil Jalan, Konstruksi Jaringan Irigasi dan Drainase</t>
        </is>
      </c>
      <c r="N133" t="inlineStr">
        <is>
          <t>K</t>
        </is>
      </c>
      <c r="O133" t="inlineStr">
        <is>
          <t>20230705</t>
        </is>
      </c>
      <c r="P133" t="inlineStr">
        <is>
          <t>Banten</t>
        </is>
      </c>
      <c r="Q133" t="inlineStr"/>
    </row>
    <row r="134">
      <c r="A134" t="inlineStr">
        <is>
          <t>WIGUNA INDRA JAYA</t>
        </is>
      </c>
      <c r="B134" t="inlineStr">
        <is>
          <t>Kab. Bojonegoro</t>
        </is>
      </c>
      <c r="C134" t="inlineStr">
        <is>
          <t>085335412557</t>
        </is>
      </c>
      <c r="D134" t="inlineStr">
        <is>
          <t>indrawindra6@gmail.com</t>
        </is>
      </c>
      <c r="E134" t="inlineStr">
        <is>
          <t>https://lpjk.pu.go.id/search-badan-usaha-detail/cGQ0YlZnV0ZyWGprN1N3TDBZQ2llUT09</t>
        </is>
      </c>
      <c r="F134" t="n">
        <v>1</v>
      </c>
      <c r="G134" t="inlineStr">
        <is>
          <t>BS004</t>
        </is>
      </c>
      <c r="H134" t="inlineStr">
        <is>
          <t>15 November 2019</t>
        </is>
      </c>
      <c r="I134" s="2" t="n">
        <v>46208</v>
      </c>
      <c r="J134" t="inlineStr">
        <is>
          <t>Disetujui</t>
        </is>
      </c>
      <c r="K134" t="n">
        <v>30</v>
      </c>
      <c r="L134" t="inlineStr">
        <is>
          <t>5 Juli 2026</t>
        </is>
      </c>
      <c r="M134" t="inlineStr">
        <is>
          <t>Konstruksi Jaringan Irigasi dan Drainase</t>
        </is>
      </c>
      <c r="N134" t="inlineStr">
        <is>
          <t>K</t>
        </is>
      </c>
      <c r="O134" t="inlineStr">
        <is>
          <t>20230704</t>
        </is>
      </c>
      <c r="P134" t="inlineStr">
        <is>
          <t>Jawa Timur</t>
        </is>
      </c>
      <c r="Q134" t="inlineStr"/>
    </row>
    <row r="135">
      <c r="A135" t="inlineStr">
        <is>
          <t>YUDHA BUMI PERKASA</t>
        </is>
      </c>
      <c r="B135" t="inlineStr">
        <is>
          <t>Kota Tangerang Selatan</t>
        </is>
      </c>
      <c r="C135" t="inlineStr">
        <is>
          <t>087871563781</t>
        </is>
      </c>
      <c r="D135" t="inlineStr">
        <is>
          <t>bumiperkasaptyudha@gmail.com</t>
        </is>
      </c>
      <c r="E135" t="inlineStr">
        <is>
          <t>https://lpjk.pu.go.id/search-badan-usaha-detail/Z1hMWEN6eit4NmVkMTVBLzhYaWJLZz09</t>
        </is>
      </c>
      <c r="F135" t="n">
        <v>1</v>
      </c>
      <c r="G135" t="inlineStr">
        <is>
          <t>BG001</t>
        </is>
      </c>
      <c r="H135" t="inlineStr">
        <is>
          <t>2 Februari 2011</t>
        </is>
      </c>
      <c r="I135" s="2" t="n">
        <v>46208</v>
      </c>
      <c r="J135" t="inlineStr">
        <is>
          <t>Disetujui</t>
        </is>
      </c>
      <c r="K135" t="n">
        <v>30</v>
      </c>
      <c r="L135" t="inlineStr">
        <is>
          <t>5 Juli 2026</t>
        </is>
      </c>
      <c r="M135" t="inlineStr">
        <is>
          <t>Konstruksi Gedung Hunian</t>
        </is>
      </c>
      <c r="N135" t="inlineStr">
        <is>
          <t>K</t>
        </is>
      </c>
      <c r="O135" t="inlineStr">
        <is>
          <t>20230705</t>
        </is>
      </c>
      <c r="P135" t="inlineStr">
        <is>
          <t>Banten</t>
        </is>
      </c>
      <c r="Q135" t="inlineStr"/>
    </row>
    <row r="136">
      <c r="A136" t="inlineStr">
        <is>
          <t>YUDHA CAHAYA ABADI</t>
        </is>
      </c>
      <c r="B136" t="inlineStr">
        <is>
          <t>Kab. Tanah Bumbu</t>
        </is>
      </c>
      <c r="C136" t="inlineStr">
        <is>
          <t>081346007220</t>
        </is>
      </c>
      <c r="D136" t="inlineStr">
        <is>
          <t>yudhacahayaabadi@gmail.com</t>
        </is>
      </c>
      <c r="E136" t="inlineStr">
        <is>
          <t>https://lpjk.pu.go.id/search-badan-usaha-detail/TmFSb3VrTjdsZFFEbld4VUwvdzVTZz09</t>
        </is>
      </c>
      <c r="F136" t="n">
        <v>1</v>
      </c>
      <c r="G136" t="inlineStr">
        <is>
          <t>BG006</t>
        </is>
      </c>
      <c r="H136" t="inlineStr">
        <is>
          <t>13 Maret 2020</t>
        </is>
      </c>
      <c r="I136" s="2" t="n">
        <v>46208</v>
      </c>
      <c r="J136" t="inlineStr">
        <is>
          <t>Disetujui</t>
        </is>
      </c>
      <c r="K136" t="n">
        <v>30</v>
      </c>
      <c r="L136" t="inlineStr">
        <is>
          <t>5 Juli 2026</t>
        </is>
      </c>
      <c r="M136" t="inlineStr">
        <is>
          <t>Konstruksi Gedung Pendidikan</t>
        </is>
      </c>
      <c r="N136" t="inlineStr">
        <is>
          <t>K</t>
        </is>
      </c>
      <c r="O136" t="inlineStr">
        <is>
          <t>20230626</t>
        </is>
      </c>
      <c r="P136" t="inlineStr">
        <is>
          <t>Kalimantan Selatan</t>
        </is>
      </c>
      <c r="Q136" t="inlineStr"/>
    </row>
    <row r="137">
      <c r="A137" t="inlineStr">
        <is>
          <t>YUDHA KARYA</t>
        </is>
      </c>
      <c r="B137" t="inlineStr">
        <is>
          <t>Kab. Kendal</t>
        </is>
      </c>
      <c r="C137" t="inlineStr">
        <is>
          <t>081277319797</t>
        </is>
      </c>
      <c r="D137" t="inlineStr">
        <is>
          <t>cvyudhakarya@yahoo.co.id</t>
        </is>
      </c>
      <c r="E137" t="inlineStr">
        <is>
          <t>https://lpjk.pu.go.id/search-badan-usaha-detail/OEJPb21FWVUyMzY2ejhydHZieUtpdz09</t>
        </is>
      </c>
      <c r="F137" t="n">
        <v>8</v>
      </c>
      <c r="G137" t="inlineStr">
        <is>
          <t>BG001, BG002, BG005, BG006, BS001, BS002, BS004, BS010</t>
        </is>
      </c>
      <c r="H137" t="inlineStr">
        <is>
          <t>29 Januari 2002</t>
        </is>
      </c>
      <c r="I137" s="2" t="n">
        <v>46208</v>
      </c>
      <c r="J137" t="inlineStr">
        <is>
          <t>Disetujui</t>
        </is>
      </c>
      <c r="K137" t="n">
        <v>30</v>
      </c>
      <c r="L137" t="inlineStr">
        <is>
          <t>5 Juli 2026</t>
        </is>
      </c>
      <c r="M137" t="inlineStr">
        <is>
          <t>Bangunan Sipil Jembatan, Jalan Layang, Fly Over, dan Underpass, Konstruksi Bangunan Prasarana Sumber Daya Air, Konstruksi Bangunan Sipil Jalan, Konstruksi Gedung Hunian, Konstruksi Gedung Kesehatan, Konstruksi Gedung Pendidikan, Konstruksi Gedung Perkantoran, Konstruksi Jaringan Irigasi dan Drainase</t>
        </is>
      </c>
      <c r="N137" t="inlineStr">
        <is>
          <t>K</t>
        </is>
      </c>
      <c r="O137" t="inlineStr">
        <is>
          <t>20230703</t>
        </is>
      </c>
      <c r="P137" t="inlineStr">
        <is>
          <t>Jawa Tengah</t>
        </is>
      </c>
      <c r="Q1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2026-06-05T02:29:27Z</dcterms:created>
  <dcterms:modified xsi:type="dcterms:W3CDTF">2026-06-05T02:29:27Z</dcterms:modified>
</cp:coreProperties>
</file>