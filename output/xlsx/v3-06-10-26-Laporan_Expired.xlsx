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21" customWidth="1" min="1" max="1"/>
    <col width="16" customWidth="1" min="2" max="2"/>
    <col width="13" customWidth="1" min="3" max="3"/>
    <col width="29" customWidth="1" min="4" max="4"/>
    <col width="50" customWidth="1" min="5" max="5"/>
    <col width="18" customWidth="1" min="6" max="6"/>
    <col width="21"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CIPTA TEHNIK</t>
        </is>
      </c>
      <c r="B2" t="inlineStr">
        <is>
          <t>Kab. Tangerang</t>
        </is>
      </c>
      <c r="C2" t="inlineStr">
        <is>
          <t>02158980019</t>
        </is>
      </c>
      <c r="D2" t="inlineStr">
        <is>
          <t>bangunciptatehnik@gmail.com</t>
        </is>
      </c>
      <c r="E2" t="inlineStr">
        <is>
          <t>https://lpjk.pu.go.id/search-badan-usaha-detail/cGJzL245azNPaUxXVGpHWlArV0dWUT09</t>
        </is>
      </c>
      <c r="F2" t="n">
        <v>2</v>
      </c>
      <c r="G2" t="inlineStr">
        <is>
          <t>IN007, IN013</t>
        </is>
      </c>
      <c r="H2" t="inlineStr">
        <is>
          <t>26 Desember 2018</t>
        </is>
      </c>
      <c r="I2" s="2" t="n">
        <v>46388</v>
      </c>
      <c r="J2" t="inlineStr">
        <is>
          <t>Pencabutan</t>
        </is>
      </c>
      <c r="K2" t="n">
        <v>87</v>
      </c>
      <c r="L2" t="inlineStr">
        <is>
          <t>1 Januari 2027</t>
        </is>
      </c>
      <c r="M2" t="inlineStr">
        <is>
          <t>Instalasi Pemanas dan Geotermal, Instalasi Saluran Air (Plambing)</t>
        </is>
      </c>
      <c r="N2" t="inlineStr">
        <is>
          <t>Spesialis</t>
        </is>
      </c>
      <c r="O2" t="inlineStr">
        <is>
          <t>20231229</t>
        </is>
      </c>
      <c r="P2" t="inlineStr">
        <is>
          <t>Banten</t>
        </is>
      </c>
      <c r="Q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cols>
    <col width="31" customWidth="1" min="1" max="1"/>
    <col width="27" customWidth="1" min="2" max="2"/>
    <col width="16" customWidth="1" min="3" max="3"/>
    <col width="40"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ASYIRAH CORP</t>
        </is>
      </c>
      <c r="B2" t="inlineStr">
        <is>
          <t>Kab. Bekasi</t>
        </is>
      </c>
      <c r="C2" t="inlineStr">
        <is>
          <t>082122474976</t>
        </is>
      </c>
      <c r="D2" t="inlineStr">
        <is>
          <t>asyirahcorp@gmail.com</t>
        </is>
      </c>
      <c r="E2" t="inlineStr">
        <is>
          <t>https://lpjk.pu.go.id/search-badan-usaha-detail/ekxjZmEwRlBlcm9pQzRlTis5a3lWUT09</t>
        </is>
      </c>
      <c r="F2" t="n">
        <v>1</v>
      </c>
      <c r="G2" t="inlineStr">
        <is>
          <t>BS004</t>
        </is>
      </c>
      <c r="H2" t="inlineStr">
        <is>
          <t>30 Januari 2020</t>
        </is>
      </c>
      <c r="I2" s="2" t="n">
        <v>46361</v>
      </c>
      <c r="J2" t="inlineStr">
        <is>
          <t>Disetujui</t>
        </is>
      </c>
      <c r="K2" t="n">
        <v>60</v>
      </c>
      <c r="L2" t="inlineStr">
        <is>
          <t>5 Desember 2026</t>
        </is>
      </c>
      <c r="M2" t="inlineStr">
        <is>
          <t>Konstruksi Jaringan Irigasi dan Drainase</t>
        </is>
      </c>
      <c r="N2" t="inlineStr">
        <is>
          <t>K</t>
        </is>
      </c>
      <c r="O2" t="inlineStr">
        <is>
          <t>20231202</t>
        </is>
      </c>
      <c r="P2" t="inlineStr">
        <is>
          <t>Jawa Barat</t>
        </is>
      </c>
      <c r="Q2" s="3">
        <f>HYPERLINK("https://wa.me/6282122474976?text=*[PENGINGAT MASA BERLAKU SBU ASYIRAH CORP]*%0A%0AYth. Pimpinan ASYIRAH CORP,%0AMohon izin menginformasikan status SBU Anda di sistem LPJK:%0A%0A📄 SBU: BS004%0A📅 Expired: 5 Desember 2026 (60 Hari Lagi)%0A%0AKami tim PT. ESDEA Assistance Management siap men-support proses perpanjangan segera agar administrasi proyek tidak terhambat%0A%0AApakah boleh saya bantu siapkan estimasi biaya dan waktu pengerjaannya?.", "Hubungi")</f>
        <v/>
      </c>
    </row>
    <row r="3">
      <c r="A3" t="inlineStr">
        <is>
          <t>BINA REKAYASA ANUGRAH</t>
        </is>
      </c>
      <c r="B3" t="inlineStr">
        <is>
          <t>Kota Depok</t>
        </is>
      </c>
      <c r="C3" t="inlineStr">
        <is>
          <t>02177806211</t>
        </is>
      </c>
      <c r="D3" t="inlineStr">
        <is>
          <t>binarekayasaanugrah@gmail.com</t>
        </is>
      </c>
      <c r="E3" t="inlineStr">
        <is>
          <t>https://lpjk.pu.go.id/search-badan-usaha-detail/K3BVdlhQK0x1M2NsM0lHTFhYMmxXQT09</t>
        </is>
      </c>
      <c r="F3" t="n">
        <v>4</v>
      </c>
      <c r="G3" t="inlineStr">
        <is>
          <t>BG001, BG009, BS004, IN007</t>
        </is>
      </c>
      <c r="H3" t="inlineStr">
        <is>
          <t>20 November 2017</t>
        </is>
      </c>
      <c r="I3" s="2" t="n">
        <v>46361</v>
      </c>
      <c r="J3" t="inlineStr">
        <is>
          <t>Pencabutan</t>
        </is>
      </c>
      <c r="K3" t="n">
        <v>60</v>
      </c>
      <c r="L3" t="inlineStr">
        <is>
          <t>5 Desember 2026</t>
        </is>
      </c>
      <c r="M3" t="inlineStr">
        <is>
          <t>Instalasi Saluran Air (Plambing), Konstruksi Gedung Hunian, Konstruksi Gedung Lainnya, Konstruksi Jaringan Irigasi dan Drainase</t>
        </is>
      </c>
      <c r="N3" t="inlineStr">
        <is>
          <t>B, Spesialis</t>
        </is>
      </c>
      <c r="O3" t="inlineStr">
        <is>
          <t>20230523, 20231016, 20231123</t>
        </is>
      </c>
      <c r="P3" t="inlineStr">
        <is>
          <t>Jawa Barat</t>
        </is>
      </c>
      <c r="Q3" t="inlineStr"/>
    </row>
    <row r="4">
      <c r="A4" t="inlineStr">
        <is>
          <t>GEOKON TEKNO PRIMA</t>
        </is>
      </c>
      <c r="B4" t="inlineStr">
        <is>
          <t>Kota Bekasi</t>
        </is>
      </c>
      <c r="C4" t="inlineStr">
        <is>
          <t>0811853981</t>
        </is>
      </c>
      <c r="D4" t="inlineStr">
        <is>
          <t>pt.geokon@gmail.com</t>
        </is>
      </c>
      <c r="E4" t="inlineStr">
        <is>
          <t>https://lpjk.pu.go.id/search-badan-usaha-detail/d29KL2dCelZsVlhKUGlFajZURlJ4Zz09</t>
        </is>
      </c>
      <c r="F4" t="n">
        <v>5</v>
      </c>
      <c r="G4" t="inlineStr">
        <is>
          <t>BG001, BG002, BG003, BG009, BS011</t>
        </is>
      </c>
      <c r="H4" t="inlineStr">
        <is>
          <t>18 September 2020</t>
        </is>
      </c>
      <c r="I4" s="2" t="n">
        <v>46361</v>
      </c>
      <c r="J4" t="inlineStr">
        <is>
          <t>Disetujui</t>
        </is>
      </c>
      <c r="K4" t="n">
        <v>60</v>
      </c>
      <c r="L4" t="inlineStr">
        <is>
          <t>5 Desember 2026</t>
        </is>
      </c>
      <c r="M4" t="inlineStr">
        <is>
          <t>Konstruksi Bangunan Pelabuhan Bukan Perikanan, Konstruksi Gedung Hunian, Konstruksi Gedung Industri, Konstruksi Gedung Lainnya, Konstruksi Gedung Perkantoran</t>
        </is>
      </c>
      <c r="N4" t="inlineStr">
        <is>
          <t>K</t>
        </is>
      </c>
      <c r="O4" t="inlineStr">
        <is>
          <t>20231204, 20231205, 20231206</t>
        </is>
      </c>
      <c r="P4" t="inlineStr">
        <is>
          <t>Jawa Barat</t>
        </is>
      </c>
      <c r="Q4" s="3">
        <f>HYPERLINK("https://wa.me/62811853981?text=*[PENGINGAT MASA BERLAKU SBU GEOKON TEKNO PRIMA]*%0A%0AYth. Pimpinan GEOKON TEKNO PRIMA,%0AMohon izin menginformasikan status SBU Anda di sistem LPJK:%0A%0A📄 SBU: BG001, BG002, BG003, BG009, BS011%0A📅 Expired: 5 Desember 2026 (60 Hari Lagi)%0A%0AKami tim PT. ESDEA Assistance Management siap men-support proses perpanjangan segera agar administrasi proyek tidak terhambat%0A%0AApakah boleh saya bantu siapkan estimasi biaya dan waktu pengerjaannya?.", "Hubungi")</f>
        <v/>
      </c>
    </row>
    <row r="5">
      <c r="A5" t="inlineStr">
        <is>
          <t>KARYA ANDALAS PRIMA</t>
        </is>
      </c>
      <c r="B5" t="inlineStr">
        <is>
          <t>Kota Adm. Jakarta Timur</t>
        </is>
      </c>
      <c r="C5" t="inlineStr">
        <is>
          <t>0</t>
        </is>
      </c>
      <c r="D5" t="inlineStr">
        <is>
          <t>hermantokap01@gmail.com</t>
        </is>
      </c>
      <c r="E5" t="inlineStr">
        <is>
          <t>https://lpjk.pu.go.id/search-badan-usaha-detail/d2plTENSNnpROExxQkh5MWV3aFNHdz09</t>
        </is>
      </c>
      <c r="F5" t="n">
        <v>1</v>
      </c>
      <c r="G5" t="inlineStr">
        <is>
          <t>BS002</t>
        </is>
      </c>
      <c r="H5" t="inlineStr">
        <is>
          <t>19 Oktober 2020</t>
        </is>
      </c>
      <c r="I5" s="2" t="n">
        <v>46361</v>
      </c>
      <c r="J5" t="inlineStr">
        <is>
          <t>Pencabutan</t>
        </is>
      </c>
      <c r="K5" t="n">
        <v>60</v>
      </c>
      <c r="L5" t="inlineStr">
        <is>
          <t>5 Desember 2026</t>
        </is>
      </c>
      <c r="M5" t="inlineStr">
        <is>
          <t>Bangunan Sipil Jembatan, Jalan Layang, Fly Over, dan Underpass</t>
        </is>
      </c>
      <c r="N5" t="inlineStr">
        <is>
          <t>K</t>
        </is>
      </c>
      <c r="O5" t="inlineStr">
        <is>
          <t>20231116</t>
        </is>
      </c>
      <c r="P5" t="inlineStr">
        <is>
          <t>DKI Jakarta</t>
        </is>
      </c>
      <c r="Q5" s="3">
        <f>HYPERLINK("https://wa.me/62?text=*[PENGINGAT MASA BERLAKU SBU KARYA ANDALAS PRIMA]*%0A%0AYth. Pimpinan KARYA ANDALAS PRIMA,%0AMohon izin menginformasikan status SBU Anda di sistem LPJK:%0A%0A📄 SBU: BS002%0A📅 Expired: 5 Desember 2026 (60 Hari Lagi)%0A%0AKami tim PT. ESDEA Assistance Management siap men-support proses perpanjangan segera agar administrasi proyek tidak terhambat%0A%0AApakah boleh saya bantu siapkan estimasi biaya dan waktu pengerjaannya?.", "Hubungi")</f>
        <v/>
      </c>
    </row>
    <row r="6">
      <c r="A6" t="inlineStr">
        <is>
          <t>SIFA JAYA LESTARI</t>
        </is>
      </c>
      <c r="B6" t="inlineStr">
        <is>
          <t>Kota Bekasi</t>
        </is>
      </c>
      <c r="C6" t="inlineStr">
        <is>
          <t>081395743631</t>
        </is>
      </c>
      <c r="D6" t="inlineStr">
        <is>
          <t>sifajayalestari@gmail.com</t>
        </is>
      </c>
      <c r="E6" t="inlineStr">
        <is>
          <t>https://lpjk.pu.go.id/search-badan-usaha-detail/RGFZbGU0OFBaK3l0WDB0TlN1RCsyZz09</t>
        </is>
      </c>
      <c r="F6" t="n">
        <v>1</v>
      </c>
      <c r="G6" t="inlineStr">
        <is>
          <t>BG002</t>
        </is>
      </c>
      <c r="H6" t="inlineStr">
        <is>
          <t>23 Agustus 2023</t>
        </is>
      </c>
      <c r="I6" s="2" t="n">
        <v>46361</v>
      </c>
      <c r="J6" t="inlineStr">
        <is>
          <t>Disetujui</t>
        </is>
      </c>
      <c r="K6" t="n">
        <v>60</v>
      </c>
      <c r="L6" t="inlineStr">
        <is>
          <t>5 Desember 2026</t>
        </is>
      </c>
      <c r="M6" t="inlineStr">
        <is>
          <t>Konstruksi Gedung Perkantoran</t>
        </is>
      </c>
      <c r="N6" t="inlineStr">
        <is>
          <t>K</t>
        </is>
      </c>
      <c r="O6" t="inlineStr">
        <is>
          <t>20231204</t>
        </is>
      </c>
      <c r="P6" t="inlineStr">
        <is>
          <t>Jawa Barat</t>
        </is>
      </c>
      <c r="Q6" s="3">
        <f>HYPERLINK("https://wa.me/6281395743631?text=*[PENGINGAT MASA BERLAKU SBU SIFA JAYA LESTARI]*%0A%0AYth. Pimpinan SIFA JAYA LESTARI,%0AMohon izin menginformasikan status SBU Anda di sistem LPJK:%0A%0A📄 SBU: BG002%0A📅 Expired: 5 Desember 2026 (60 Hari Lagi)%0A%0AKami tim PT. ESDEA Assistance Management siap men-support proses perpanjangan segera agar administrasi proyek tidak terhambat%0A%0AApakah boleh saya bantu siapkan estimasi biaya dan waktu pengerjaannya?.", "Hubungi")</f>
        <v/>
      </c>
    </row>
    <row r="7">
      <c r="A7" t="inlineStr">
        <is>
          <t>SINAR TERANG ABADI</t>
        </is>
      </c>
      <c r="B7" t="inlineStr">
        <is>
          <t>Kota Bekasi</t>
        </is>
      </c>
      <c r="C7" t="inlineStr">
        <is>
          <t>085290256497</t>
        </is>
      </c>
      <c r="D7" t="inlineStr">
        <is>
          <t>sinarterangabadi53@gmail.com</t>
        </is>
      </c>
      <c r="E7" t="inlineStr">
        <is>
          <t>https://lpjk.pu.go.id/search-badan-usaha-detail/Sis1QTlNbmJOZi8zcFI0VXJGS2FkUT09</t>
        </is>
      </c>
      <c r="F7" t="n">
        <v>1</v>
      </c>
      <c r="G7" t="inlineStr">
        <is>
          <t>PB010</t>
        </is>
      </c>
      <c r="H7" t="inlineStr">
        <is>
          <t>10 Desember 1993</t>
        </is>
      </c>
      <c r="I7" s="2" t="n">
        <v>46361</v>
      </c>
      <c r="J7" t="inlineStr">
        <is>
          <t>Pembekuan</t>
        </is>
      </c>
      <c r="K7" t="n">
        <v>60</v>
      </c>
      <c r="L7" t="inlineStr">
        <is>
          <t>5 Desember 2026</t>
        </is>
      </c>
      <c r="M7" t="inlineStr">
        <is>
          <t>Pekerjaan Lanskap, Pertamanan, dan Penanaman Vegetasi</t>
        </is>
      </c>
      <c r="N7" t="inlineStr">
        <is>
          <t>Spesialis</t>
        </is>
      </c>
      <c r="O7" t="inlineStr">
        <is>
          <t>20231206</t>
        </is>
      </c>
      <c r="P7" t="inlineStr">
        <is>
          <t>Jawa Barat</t>
        </is>
      </c>
      <c r="Q7" s="3">
        <f>HYPERLINK("https://wa.me/6285290256497?text=*[PENGINGAT MASA BERLAKU SBU SINAR TERANG ABADI]*%0A%0AYth. Pimpinan SINAR TERANG ABADI,%0AMohon izin menginformasikan status SBU Anda di sistem LPJK:%0A%0A📄 SBU: PB010%0A📅 Expired: 5 Desember 2026 (60 Hari Lagi)%0A%0AKami tim PT. ESDEA Assistance Management siap men-support proses perpanjangan segera agar administrasi proyek tidak terhambat%0A%0AApakah boleh saya bantu siapkan estimasi biaya dan waktu pengerjaannya?.", "Hubungi")</f>
        <v/>
      </c>
    </row>
    <row r="8">
      <c r="A8" t="inlineStr">
        <is>
          <t>VISUAL PROPERTI ASIA</t>
        </is>
      </c>
      <c r="B8" t="inlineStr">
        <is>
          <t>Kota Depok</t>
        </is>
      </c>
      <c r="C8" t="inlineStr">
        <is>
          <t>081283780827</t>
        </is>
      </c>
      <c r="D8" t="inlineStr">
        <is>
          <t>visualpropertiasia@gmail.com</t>
        </is>
      </c>
      <c r="E8" t="inlineStr">
        <is>
          <t>https://lpjk.pu.go.id/search-badan-usaha-detail/Y3R1a3B4NGdRci9vRDc2OXlEbGQvUT09</t>
        </is>
      </c>
      <c r="F8" t="n">
        <v>2</v>
      </c>
      <c r="G8" t="inlineStr">
        <is>
          <t>BG001, BG002</t>
        </is>
      </c>
      <c r="H8" t="inlineStr">
        <is>
          <t>23 Februari 2022</t>
        </is>
      </c>
      <c r="I8" s="2" t="n">
        <v>46361</v>
      </c>
      <c r="J8" t="inlineStr">
        <is>
          <t>Disetujui</t>
        </is>
      </c>
      <c r="K8" t="n">
        <v>60</v>
      </c>
      <c r="L8" t="inlineStr">
        <is>
          <t>5 Desember 2026</t>
        </is>
      </c>
      <c r="M8" t="inlineStr">
        <is>
          <t>Konstruksi Gedung Hunian, Konstruksi Gedung Perkantoran</t>
        </is>
      </c>
      <c r="N8" t="inlineStr">
        <is>
          <t>K</t>
        </is>
      </c>
      <c r="O8" t="inlineStr">
        <is>
          <t>20231130, 20231205</t>
        </is>
      </c>
      <c r="P8" t="inlineStr">
        <is>
          <t>Jawa Barat</t>
        </is>
      </c>
      <c r="Q8" s="3">
        <f>HYPERLINK("https://wa.me/6281283780827?text=*[PENGINGAT MASA BERLAKU SBU VISUAL PROPERTI ASIA]*%0A%0AYth. Pimpinan VISUAL PROPERTI ASIA,%0AMohon izin menginformasikan status SBU Anda di sistem LPJK:%0A%0A📄 SBU: BG001, BG002%0A📅 Expired: 5 Desember 2026 (60 Hari Lagi)%0A%0AKami tim PT. ESDEA Assistance Management siap men-support proses perpanjangan segera agar administrasi proyek tidak terhambat%0A%0AApakah boleh saya bantu siapkan estimasi biaya dan waktu pengerjaannya?.", "Hubungi")</f>
        <v/>
      </c>
    </row>
    <row r="9">
      <c r="A9" t="inlineStr">
        <is>
          <t>ABADI SENTOSA</t>
        </is>
      </c>
      <c r="B9" t="inlineStr">
        <is>
          <t>Kab. Cianjur</t>
        </is>
      </c>
      <c r="C9" t="inlineStr">
        <is>
          <t>081912112837</t>
        </is>
      </c>
      <c r="D9" t="inlineStr">
        <is>
          <t>cv.absen@gmail.com</t>
        </is>
      </c>
      <c r="E9" t="inlineStr">
        <is>
          <t>https://lpjk.pu.go.id/search-badan-usaha-detail/NTZnT1YwOTVXSmlKZ0h4VExsRHY0dz09</t>
        </is>
      </c>
      <c r="F9" t="n">
        <v>2</v>
      </c>
      <c r="G9" t="inlineStr">
        <is>
          <t>BG009</t>
        </is>
      </c>
      <c r="H9" t="inlineStr">
        <is>
          <t>8 Juni 2012</t>
        </is>
      </c>
      <c r="I9" s="2" t="n">
        <v>46361</v>
      </c>
      <c r="J9" t="inlineStr">
        <is>
          <t>Disetujui</t>
        </is>
      </c>
      <c r="K9" t="n">
        <v>60</v>
      </c>
      <c r="L9" t="inlineStr">
        <is>
          <t>5 Desember 2026</t>
        </is>
      </c>
      <c r="M9" t="inlineStr">
        <is>
          <t>Konstruksi Gedung Lainnya</t>
        </is>
      </c>
      <c r="N9" t="inlineStr">
        <is>
          <t>K</t>
        </is>
      </c>
      <c r="O9" t="inlineStr">
        <is>
          <t>20231124</t>
        </is>
      </c>
      <c r="P9" t="inlineStr">
        <is>
          <t>Jawa Barat</t>
        </is>
      </c>
      <c r="Q9" t="inlineStr"/>
    </row>
    <row r="10">
      <c r="A10" t="inlineStr">
        <is>
          <t>AGRALOKA PAPUA JAYA</t>
        </is>
      </c>
      <c r="B10" t="inlineStr">
        <is>
          <t>Kab. Merauke</t>
        </is>
      </c>
      <c r="C10" t="inlineStr">
        <is>
          <t>085244430447</t>
        </is>
      </c>
      <c r="D10" t="inlineStr">
        <is>
          <t>agraloka.pj@gmail.com</t>
        </is>
      </c>
      <c r="E10" t="inlineStr">
        <is>
          <t>https://lpjk.pu.go.id/search-badan-usaha-detail/SHcybXZpWElwdnhKS1hiSG0yZFJVdz09</t>
        </is>
      </c>
      <c r="F10" t="n">
        <v>1</v>
      </c>
      <c r="G10" t="inlineStr">
        <is>
          <t>BG009</t>
        </is>
      </c>
      <c r="H10" t="inlineStr">
        <is>
          <t>22 April 1996</t>
        </is>
      </c>
      <c r="I10" s="2" t="n">
        <v>46361</v>
      </c>
      <c r="J10" t="inlineStr">
        <is>
          <t>Pencabutan</t>
        </is>
      </c>
      <c r="K10" t="n">
        <v>60</v>
      </c>
      <c r="L10" t="inlineStr">
        <is>
          <t>5 Desember 2026</t>
        </is>
      </c>
      <c r="M10" t="inlineStr">
        <is>
          <t>Konstruksi Gedung Lainnya</t>
        </is>
      </c>
      <c r="N10" t="inlineStr">
        <is>
          <t>K</t>
        </is>
      </c>
      <c r="O10" t="inlineStr">
        <is>
          <t>20231205</t>
        </is>
      </c>
      <c r="P10" t="inlineStr">
        <is>
          <t>Papua Selatan</t>
        </is>
      </c>
      <c r="Q10" t="inlineStr"/>
    </row>
    <row r="11">
      <c r="A11" t="inlineStr">
        <is>
          <t>AHSANA MASKANA KONSTRUKSI</t>
        </is>
      </c>
      <c r="B11" t="inlineStr">
        <is>
          <t>Kab. Tangerang</t>
        </is>
      </c>
      <c r="C11" t="inlineStr">
        <is>
          <t>02159645219</t>
        </is>
      </c>
      <c r="D11" t="inlineStr">
        <is>
          <t>pt.ahsanamaskanakonstruksi@gmail.com</t>
        </is>
      </c>
      <c r="E11" t="inlineStr">
        <is>
          <t>https://lpjk.pu.go.id/search-badan-usaha-detail/a0N2ZlBqUFVPeGV1MEpuRThteTZkZz09</t>
        </is>
      </c>
      <c r="F11" t="n">
        <v>2</v>
      </c>
      <c r="G11" t="inlineStr">
        <is>
          <t>BG001, BG003</t>
        </is>
      </c>
      <c r="H11" t="inlineStr">
        <is>
          <t>12 Mei 2020</t>
        </is>
      </c>
      <c r="I11" s="2" t="n">
        <v>46361</v>
      </c>
      <c r="J11" t="inlineStr">
        <is>
          <t>Disetujui</t>
        </is>
      </c>
      <c r="K11" t="n">
        <v>60</v>
      </c>
      <c r="L11" t="inlineStr">
        <is>
          <t>5 Desember 2026</t>
        </is>
      </c>
      <c r="M11" t="inlineStr">
        <is>
          <t>Konstruksi Gedung Hunian, Konstruksi Gedung Industri</t>
        </is>
      </c>
      <c r="N11" t="inlineStr">
        <is>
          <t>K</t>
        </is>
      </c>
      <c r="O11" t="inlineStr">
        <is>
          <t>20231130, 20231206</t>
        </is>
      </c>
      <c r="P11" t="inlineStr">
        <is>
          <t>Banten</t>
        </is>
      </c>
      <c r="Q11" t="inlineStr"/>
    </row>
    <row r="12">
      <c r="A12" t="inlineStr">
        <is>
          <t>AMANDA KARYA PUTRA</t>
        </is>
      </c>
      <c r="B12" t="inlineStr">
        <is>
          <t>Kab. Lamongan</t>
        </is>
      </c>
      <c r="C12" t="inlineStr">
        <is>
          <t>08121615545</t>
        </is>
      </c>
      <c r="D12" t="inlineStr">
        <is>
          <t>amandakarya4@gmail.com</t>
        </is>
      </c>
      <c r="E12" t="inlineStr">
        <is>
          <t>https://lpjk.pu.go.id/search-badan-usaha-detail/TzQ4a2dXbjVJY2V6QkIvSkFDQjlFUT09</t>
        </is>
      </c>
      <c r="F12" t="n">
        <v>6</v>
      </c>
      <c r="G12" t="inlineStr">
        <is>
          <t>BG005, BG006, BS001</t>
        </is>
      </c>
      <c r="H12" t="inlineStr">
        <is>
          <t>31 Oktober 2023</t>
        </is>
      </c>
      <c r="I12" s="2" t="n">
        <v>46361</v>
      </c>
      <c r="J12" t="inlineStr">
        <is>
          <t>Disetujui</t>
        </is>
      </c>
      <c r="K12" t="n">
        <v>60</v>
      </c>
      <c r="L12" t="inlineStr">
        <is>
          <t>5 Desember 2026</t>
        </is>
      </c>
      <c r="M12" t="inlineStr">
        <is>
          <t>Konstruksi Bangunan Sipil Jalan, Konstruksi Gedung Kesehatan, Konstruksi Gedung Pendidikan</t>
        </is>
      </c>
      <c r="N12" t="inlineStr">
        <is>
          <t>K</t>
        </is>
      </c>
      <c r="O12" t="inlineStr">
        <is>
          <t>20231206, 20231207</t>
        </is>
      </c>
      <c r="P12" t="inlineStr">
        <is>
          <t>Jawa Timur</t>
        </is>
      </c>
      <c r="Q12" t="inlineStr"/>
    </row>
    <row r="13">
      <c r="A13" t="inlineStr">
        <is>
          <t>ANTARNUSA KARYATAMA MANDIRI</t>
        </is>
      </c>
      <c r="B13" t="inlineStr">
        <is>
          <t>Kota Palu</t>
        </is>
      </c>
      <c r="C13" t="inlineStr">
        <is>
          <t>082194383977</t>
        </is>
      </c>
      <c r="D13" t="inlineStr">
        <is>
          <t>Antarnusa_karyatama_pt@yahoo.co.id</t>
        </is>
      </c>
      <c r="E13" t="inlineStr">
        <is>
          <t>https://lpjk.pu.go.id/search-badan-usaha-detail/R0JjYTFLYXBBMGtDb1ZmQ2RDbnl1dz09</t>
        </is>
      </c>
      <c r="F13" t="n">
        <v>1</v>
      </c>
      <c r="G13" t="inlineStr">
        <is>
          <t>BS001</t>
        </is>
      </c>
      <c r="H13" t="inlineStr">
        <is>
          <t>25 Februari 2003</t>
        </is>
      </c>
      <c r="I13" s="2" t="n">
        <v>46361</v>
      </c>
      <c r="J13" t="inlineStr">
        <is>
          <t>Pencabutan</t>
        </is>
      </c>
      <c r="K13" t="n">
        <v>60</v>
      </c>
      <c r="L13" t="inlineStr">
        <is>
          <t>5 Desember 2026</t>
        </is>
      </c>
      <c r="M13" t="inlineStr">
        <is>
          <t>Konstruksi Bangunan Sipil Jalan</t>
        </is>
      </c>
      <c r="N13" t="inlineStr">
        <is>
          <t>M</t>
        </is>
      </c>
      <c r="O13" t="inlineStr">
        <is>
          <t>20231011</t>
        </is>
      </c>
      <c r="P13" t="inlineStr">
        <is>
          <t>Sulawesi Tengah</t>
        </is>
      </c>
      <c r="Q13" t="inlineStr"/>
    </row>
    <row r="14">
      <c r="A14" t="inlineStr">
        <is>
          <t>BAGAS PUTRA</t>
        </is>
      </c>
      <c r="B14" t="inlineStr">
        <is>
          <t>Kab. Cianjur</t>
        </is>
      </c>
      <c r="C14" t="inlineStr">
        <is>
          <t>081294689549</t>
        </is>
      </c>
      <c r="D14" t="inlineStr">
        <is>
          <t>bagasputra.cv@gmail.com</t>
        </is>
      </c>
      <c r="E14" t="inlineStr">
        <is>
          <t>https://lpjk.pu.go.id/search-badan-usaha-detail/Q2lCcEtRUEZyM2JDUklWVFZra0NOZz09</t>
        </is>
      </c>
      <c r="F14" t="n">
        <v>1</v>
      </c>
      <c r="G14" t="inlineStr">
        <is>
          <t>BS001</t>
        </is>
      </c>
      <c r="H14" t="inlineStr">
        <is>
          <t>16 Juni 2014</t>
        </is>
      </c>
      <c r="I14" s="2" t="n">
        <v>46361</v>
      </c>
      <c r="J14" t="inlineStr">
        <is>
          <t>Disetujui</t>
        </is>
      </c>
      <c r="K14" t="n">
        <v>60</v>
      </c>
      <c r="L14" t="inlineStr">
        <is>
          <t>5 Desember 2026</t>
        </is>
      </c>
      <c r="M14" t="inlineStr">
        <is>
          <t>Konstruksi Bangunan Sipil Jalan</t>
        </is>
      </c>
      <c r="N14" t="inlineStr">
        <is>
          <t>K</t>
        </is>
      </c>
      <c r="O14" t="inlineStr">
        <is>
          <t>20231130</t>
        </is>
      </c>
      <c r="P14" t="inlineStr">
        <is>
          <t>Jawa Barat</t>
        </is>
      </c>
      <c r="Q14" t="inlineStr"/>
    </row>
    <row r="15">
      <c r="A15" t="inlineStr">
        <is>
          <t>BANGUN KURNIA SAJATI</t>
        </is>
      </c>
      <c r="B15" t="inlineStr">
        <is>
          <t>Kota Bandung</t>
        </is>
      </c>
      <c r="C15" t="inlineStr">
        <is>
          <t>085314258169</t>
        </is>
      </c>
      <c r="D15" t="inlineStr">
        <is>
          <t>bangunkurniasajati01@gmail.com</t>
        </is>
      </c>
      <c r="E15" t="inlineStr">
        <is>
          <t>https://lpjk.pu.go.id/search-badan-usaha-detail/OHRKU1IzdzBPbHpkanV5Y2NpVWROZz09</t>
        </is>
      </c>
      <c r="F15" t="n">
        <v>2</v>
      </c>
      <c r="G15" t="inlineStr">
        <is>
          <t>BS001, BS004</t>
        </is>
      </c>
      <c r="H15" t="inlineStr">
        <is>
          <t>13 November 1996</t>
        </is>
      </c>
      <c r="I15" s="2" t="n">
        <v>46361</v>
      </c>
      <c r="J15" t="inlineStr">
        <is>
          <t>Disetujui</t>
        </is>
      </c>
      <c r="K15" t="n">
        <v>60</v>
      </c>
      <c r="L15" t="inlineStr">
        <is>
          <t>5 Desember 2026</t>
        </is>
      </c>
      <c r="M15" t="inlineStr">
        <is>
          <t>Konstruksi Bangunan Sipil Jalan, Konstruksi Jaringan Irigasi dan Drainase</t>
        </is>
      </c>
      <c r="N15" t="inlineStr">
        <is>
          <t>K</t>
        </is>
      </c>
      <c r="O15" t="inlineStr">
        <is>
          <t>20230607, 20231114</t>
        </is>
      </c>
      <c r="P15" t="inlineStr">
        <is>
          <t>Jawa Barat</t>
        </is>
      </c>
      <c r="Q15" t="inlineStr"/>
    </row>
    <row r="16">
      <c r="A16" t="inlineStr">
        <is>
          <t>BATARA PAPUA JAYA</t>
        </is>
      </c>
      <c r="B16" t="inlineStr">
        <is>
          <t>Kota Jayapura</t>
        </is>
      </c>
      <c r="C16" t="inlineStr">
        <is>
          <t>081247810272</t>
        </is>
      </c>
      <c r="D16" t="inlineStr">
        <is>
          <t>batarapapuajaya@gmail.com</t>
        </is>
      </c>
      <c r="E16" t="inlineStr">
        <is>
          <t>https://lpjk.pu.go.id/search-badan-usaha-detail/TjdsYnAvYTFQRktiS1gxdldLV1l1dz09</t>
        </is>
      </c>
      <c r="F16" t="n">
        <v>4</v>
      </c>
      <c r="G16" t="inlineStr">
        <is>
          <t>BG002, BG005, BG006, BG009</t>
        </is>
      </c>
      <c r="H16" t="inlineStr">
        <is>
          <t>18 Maret 2022</t>
        </is>
      </c>
      <c r="I16" s="2" t="n">
        <v>46361</v>
      </c>
      <c r="J16" t="inlineStr">
        <is>
          <t>Disetujui</t>
        </is>
      </c>
      <c r="K16" t="n">
        <v>60</v>
      </c>
      <c r="L16" t="inlineStr">
        <is>
          <t>5 Desember 2026</t>
        </is>
      </c>
      <c r="M16" t="inlineStr">
        <is>
          <t>Konstruksi Gedung Kesehatan, Konstruksi Gedung Lainnya, Konstruksi Gedung Pendidikan, Konstruksi Gedung Perkantoran</t>
        </is>
      </c>
      <c r="N16" t="inlineStr">
        <is>
          <t>K</t>
        </is>
      </c>
      <c r="O16" t="inlineStr">
        <is>
          <t>20231204</t>
        </is>
      </c>
      <c r="P16" t="inlineStr">
        <is>
          <t>Papua</t>
        </is>
      </c>
      <c r="Q16" t="inlineStr"/>
    </row>
    <row r="17">
      <c r="A17" t="inlineStr">
        <is>
          <t>BIMA LESTARI ANUGERAH</t>
        </is>
      </c>
      <c r="B17" t="inlineStr">
        <is>
          <t>Kota Adm. Jakarta Barat</t>
        </is>
      </c>
      <c r="C17" t="inlineStr">
        <is>
          <t>02122304971</t>
        </is>
      </c>
      <c r="D17" t="inlineStr">
        <is>
          <t>bimalestarianugerah@gmail.com</t>
        </is>
      </c>
      <c r="E17" t="inlineStr">
        <is>
          <t>https://lpjk.pu.go.id/search-badan-usaha-detail/ZkEvOXp3KzBLdlJ1dmY5VUJLMlVidz09</t>
        </is>
      </c>
      <c r="F17" t="n">
        <v>4</v>
      </c>
      <c r="G17" t="inlineStr">
        <is>
          <t>BG006, BG009, BS001, BS016</t>
        </is>
      </c>
      <c r="H17" t="inlineStr">
        <is>
          <t>23 Oktober 2023</t>
        </is>
      </c>
      <c r="I17" s="2" t="n">
        <v>46361</v>
      </c>
      <c r="J17" t="inlineStr">
        <is>
          <t>Disetujui</t>
        </is>
      </c>
      <c r="K17" t="n">
        <v>60</v>
      </c>
      <c r="L17" t="inlineStr">
        <is>
          <t>5 Desember 2026</t>
        </is>
      </c>
      <c r="M17" t="inlineStr">
        <is>
          <t>Konstruksi Bangunan Sipil Fasilitas Olah Raga, Konstruksi Bangunan Sipil Jalan, Konstruksi Gedung Lainnya, Konstruksi Gedung Pendidikan</t>
        </is>
      </c>
      <c r="N17" t="inlineStr">
        <is>
          <t>K</t>
        </is>
      </c>
      <c r="O17" t="inlineStr">
        <is>
          <t>20231204</t>
        </is>
      </c>
      <c r="P17" t="inlineStr">
        <is>
          <t>DKI Jakarta</t>
        </is>
      </c>
      <c r="Q17" t="inlineStr"/>
    </row>
    <row r="18">
      <c r="A18" t="inlineStr">
        <is>
          <t>BINA CIPTA CONSULTANT</t>
        </is>
      </c>
      <c r="B18" t="inlineStr">
        <is>
          <t>Kab. Berau</t>
        </is>
      </c>
      <c r="C18" t="inlineStr">
        <is>
          <t>082255585634</t>
        </is>
      </c>
      <c r="D18" t="inlineStr">
        <is>
          <t>binaciptaconsultant@yahoo.com</t>
        </is>
      </c>
      <c r="E18" t="inlineStr">
        <is>
          <t>https://lpjk.pu.go.id/search-badan-usaha-detail/Uit1L1NyUjgrVkhaMkxVSlhXVDJvQT09</t>
        </is>
      </c>
      <c r="F18" t="n">
        <v>1</v>
      </c>
      <c r="G18" t="inlineStr">
        <is>
          <t>RK001</t>
        </is>
      </c>
      <c r="H18" t="inlineStr">
        <is>
          <t>18 Maret 2003</t>
        </is>
      </c>
      <c r="I18" s="2" t="n">
        <v>46361</v>
      </c>
      <c r="J18" t="inlineStr">
        <is>
          <t>Disetujui</t>
        </is>
      </c>
      <c r="K18" t="n">
        <v>60</v>
      </c>
      <c r="L18" t="inlineStr">
        <is>
          <t>5 Desember 2026</t>
        </is>
      </c>
      <c r="M18" t="inlineStr">
        <is>
          <t>Jasa Rekayasa Konstruksi Bangunan Gedung Hunian dan Non Hunian</t>
        </is>
      </c>
      <c r="N18" t="inlineStr">
        <is>
          <t>K</t>
        </is>
      </c>
      <c r="O18" t="inlineStr">
        <is>
          <t>20231123</t>
        </is>
      </c>
      <c r="P18" t="inlineStr">
        <is>
          <t>Kalimantan Timur</t>
        </is>
      </c>
      <c r="Q18" t="inlineStr"/>
    </row>
    <row r="19">
      <c r="A19" t="inlineStr">
        <is>
          <t>BINTANG KARYA GEMILANG</t>
        </is>
      </c>
      <c r="B19" t="inlineStr">
        <is>
          <t>Kota Pekanbaru</t>
        </is>
      </c>
      <c r="C19" t="inlineStr">
        <is>
          <t>082389276307</t>
        </is>
      </c>
      <c r="D19" t="inlineStr">
        <is>
          <t>riau_andjaya@yahoo.com</t>
        </is>
      </c>
      <c r="E19" t="inlineStr">
        <is>
          <t>https://lpjk.pu.go.id/search-badan-usaha-detail/Y1hoeXJoeVhXMTBMN3JVOXorVXhlZz09</t>
        </is>
      </c>
      <c r="F19" t="n">
        <v>2</v>
      </c>
      <c r="G19" t="inlineStr">
        <is>
          <t>BS005</t>
        </is>
      </c>
      <c r="H19" t="inlineStr">
        <is>
          <t>21 Desember 2009</t>
        </is>
      </c>
      <c r="I19" s="2" t="n">
        <v>46361</v>
      </c>
      <c r="J19" t="inlineStr">
        <is>
          <t>Pencabutan</t>
        </is>
      </c>
      <c r="K19" t="n">
        <v>60</v>
      </c>
      <c r="L19" t="inlineStr">
        <is>
          <t>5 Desember 2026</t>
        </is>
      </c>
      <c r="M19" t="inlineStr">
        <is>
          <t>Konstruksi Bangunan Sipil Pengolahan Air Bersih</t>
        </is>
      </c>
      <c r="N19" t="inlineStr">
        <is>
          <t>K</t>
        </is>
      </c>
      <c r="O19" t="inlineStr">
        <is>
          <t>20231206</t>
        </is>
      </c>
      <c r="P19" t="inlineStr">
        <is>
          <t>Riau</t>
        </is>
      </c>
      <c r="Q19" t="inlineStr"/>
    </row>
    <row r="20">
      <c r="A20" t="inlineStr">
        <is>
          <t>BRAVO LESTARI</t>
        </is>
      </c>
      <c r="B20" t="inlineStr">
        <is>
          <t>Kota Pontianak</t>
        </is>
      </c>
      <c r="C20" t="inlineStr">
        <is>
          <t>081257111156</t>
        </is>
      </c>
      <c r="D20" t="inlineStr">
        <is>
          <t>bravolestari99@gmail.com</t>
        </is>
      </c>
      <c r="E20" t="inlineStr">
        <is>
          <t>https://lpjk.pu.go.id/search-badan-usaha-detail/ajhyQWJLZHJjaU1jOEZiOFJaZHBPZz09</t>
        </is>
      </c>
      <c r="F20" t="n">
        <v>3</v>
      </c>
      <c r="G20" t="inlineStr">
        <is>
          <t>BG001, BG009, BS004</t>
        </is>
      </c>
      <c r="H20" t="inlineStr">
        <is>
          <t>22 Juni 2012</t>
        </is>
      </c>
      <c r="I20" s="2" t="n">
        <v>46361</v>
      </c>
      <c r="J20" t="inlineStr">
        <is>
          <t>Disetujui</t>
        </is>
      </c>
      <c r="K20" t="n">
        <v>60</v>
      </c>
      <c r="L20" t="inlineStr">
        <is>
          <t>5 Desember 2026</t>
        </is>
      </c>
      <c r="M20" t="inlineStr">
        <is>
          <t>Konstruksi Gedung Hunian, Konstruksi Gedung Lainnya, Konstruksi Jaringan Irigasi dan Drainase</t>
        </is>
      </c>
      <c r="N20" t="inlineStr">
        <is>
          <t>K</t>
        </is>
      </c>
      <c r="O20" t="inlineStr">
        <is>
          <t>20231120</t>
        </is>
      </c>
      <c r="P20" t="inlineStr">
        <is>
          <t>Kalimantan Barat</t>
        </is>
      </c>
      <c r="Q20" t="inlineStr"/>
    </row>
    <row r="21">
      <c r="A21" t="inlineStr">
        <is>
          <t>BUDI RAHAYU</t>
        </is>
      </c>
      <c r="B21" t="inlineStr">
        <is>
          <t>Kab. Purwakarta</t>
        </is>
      </c>
      <c r="C21" t="inlineStr">
        <is>
          <t>081315000230</t>
        </is>
      </c>
      <c r="D21" t="inlineStr">
        <is>
          <t>cvbudhirahayupurwakarta@gmail.com</t>
        </is>
      </c>
      <c r="E21" t="inlineStr">
        <is>
          <t>https://lpjk.pu.go.id/search-badan-usaha-detail/V2RBcUJRUmdBaUgvVTd5KzFZM1pjQT09</t>
        </is>
      </c>
      <c r="F21" t="n">
        <v>4</v>
      </c>
      <c r="G21" t="inlineStr">
        <is>
          <t>BG005, BG006, BG009, BS001</t>
        </is>
      </c>
      <c r="H21" t="inlineStr">
        <is>
          <t>28 April 1981</t>
        </is>
      </c>
      <c r="I21" s="2" t="n">
        <v>46361</v>
      </c>
      <c r="J21" t="inlineStr">
        <is>
          <t>Disetujui</t>
        </is>
      </c>
      <c r="K21" t="n">
        <v>60</v>
      </c>
      <c r="L21" t="inlineStr">
        <is>
          <t>5 Desember 2026</t>
        </is>
      </c>
      <c r="M21" t="inlineStr">
        <is>
          <t>Konstruksi Bangunan Sipil Jalan, Konstruksi Gedung Kesehatan, Konstruksi Gedung Lainnya, Konstruksi Gedung Pendidikan</t>
        </is>
      </c>
      <c r="N21" t="inlineStr">
        <is>
          <t>K</t>
        </is>
      </c>
      <c r="O21" t="inlineStr">
        <is>
          <t>20231205</t>
        </is>
      </c>
      <c r="P21" t="inlineStr">
        <is>
          <t>Jawa Barat</t>
        </is>
      </c>
      <c r="Q21" t="inlineStr"/>
    </row>
    <row r="22">
      <c r="A22" t="inlineStr">
        <is>
          <t>BUMI JUANG PERKASA</t>
        </is>
      </c>
      <c r="B22" t="inlineStr">
        <is>
          <t>Kab. Melawi</t>
        </is>
      </c>
      <c r="C22" t="inlineStr">
        <is>
          <t>085250608621</t>
        </is>
      </c>
      <c r="D22" t="inlineStr">
        <is>
          <t>bumi.juang.perkasa.cv@gmail.com</t>
        </is>
      </c>
      <c r="E22" t="inlineStr">
        <is>
          <t>https://lpjk.pu.go.id/search-badan-usaha-detail/ODhZTWlzeE54dkFvNmVxTkxUaVpZUT09</t>
        </is>
      </c>
      <c r="F22" t="n">
        <v>3</v>
      </c>
      <c r="G22" t="inlineStr">
        <is>
          <t>BS001, BS002, BS010</t>
        </is>
      </c>
      <c r="H22" t="inlineStr">
        <is>
          <t>4 Februari 2020</t>
        </is>
      </c>
      <c r="I22" s="2" t="n">
        <v>46361</v>
      </c>
      <c r="J22" t="inlineStr">
        <is>
          <t>Disetujui</t>
        </is>
      </c>
      <c r="K22" t="n">
        <v>60</v>
      </c>
      <c r="L22" t="inlineStr">
        <is>
          <t>5 Desember 2026</t>
        </is>
      </c>
      <c r="M22" t="inlineStr">
        <is>
          <t>Bangunan Sipil Jembatan, Jalan Layang, Fly Over, dan Underpass, Konstruksi Bangunan Prasarana Sumber Daya Air, Konstruksi Bangunan Sipil Jalan</t>
        </is>
      </c>
      <c r="N22" t="inlineStr">
        <is>
          <t>K</t>
        </is>
      </c>
      <c r="O22" t="inlineStr">
        <is>
          <t>20231129</t>
        </is>
      </c>
      <c r="P22" t="inlineStr">
        <is>
          <t>Kalimantan Barat</t>
        </is>
      </c>
      <c r="Q22" t="inlineStr"/>
    </row>
    <row r="23">
      <c r="A23" t="inlineStr">
        <is>
          <t>CAHAYA PAPUA</t>
        </is>
      </c>
      <c r="B23" t="inlineStr">
        <is>
          <t>Kab. Yahukimo</t>
        </is>
      </c>
      <c r="C23" t="inlineStr">
        <is>
          <t>082198098989</t>
        </is>
      </c>
      <c r="D23" t="inlineStr">
        <is>
          <t>cvcahayapapua47@gmail.com</t>
        </is>
      </c>
      <c r="E23" t="inlineStr">
        <is>
          <t>https://lpjk.pu.go.id/search-badan-usaha-detail/a1hiKzdiMFBmR1VKNGhZREM2bTFsZz09</t>
        </is>
      </c>
      <c r="F23" t="n">
        <v>4</v>
      </c>
      <c r="G23" t="inlineStr">
        <is>
          <t>BG001, BG002, BG005, BG006</t>
        </is>
      </c>
      <c r="H23" t="inlineStr">
        <is>
          <t>26 Januari 2021</t>
        </is>
      </c>
      <c r="I23" s="2" t="n">
        <v>46361</v>
      </c>
      <c r="J23" t="inlineStr">
        <is>
          <t>Disetujui</t>
        </is>
      </c>
      <c r="K23" t="n">
        <v>60</v>
      </c>
      <c r="L23" t="inlineStr">
        <is>
          <t>5 Desember 2026</t>
        </is>
      </c>
      <c r="M23" t="inlineStr">
        <is>
          <t>Konstruksi Gedung Hunian, Konstruksi Gedung Kesehatan, Konstruksi Gedung Pendidikan, Konstruksi Gedung Perkantoran</t>
        </is>
      </c>
      <c r="N23" t="inlineStr">
        <is>
          <t>K</t>
        </is>
      </c>
      <c r="O23" t="inlineStr">
        <is>
          <t>20231127</t>
        </is>
      </c>
      <c r="P23" t="inlineStr">
        <is>
          <t>Papua Pegunungan</t>
        </is>
      </c>
      <c r="Q23" t="inlineStr"/>
    </row>
    <row r="24">
      <c r="A24" t="inlineStr">
        <is>
          <t>CAHAYA PRATAMA</t>
        </is>
      </c>
      <c r="B24" t="inlineStr">
        <is>
          <t>Kab. Gresik</t>
        </is>
      </c>
      <c r="C24" t="inlineStr">
        <is>
          <t>081357776159</t>
        </is>
      </c>
      <c r="D24" t="inlineStr">
        <is>
          <t>n.choliz1968@gmail.com</t>
        </is>
      </c>
      <c r="E24" t="inlineStr">
        <is>
          <t>https://lpjk.pu.go.id/search-badan-usaha-detail/SjlPVGxkSWdETURFTkI5MDNkU1NEZz09</t>
        </is>
      </c>
      <c r="F24" t="n">
        <v>1</v>
      </c>
      <c r="G24" t="inlineStr">
        <is>
          <t>BS001</t>
        </is>
      </c>
      <c r="H24" t="inlineStr">
        <is>
          <t>19 Agustus 1993</t>
        </is>
      </c>
      <c r="I24" s="2" t="n">
        <v>46361</v>
      </c>
      <c r="J24" t="inlineStr">
        <is>
          <t>Disetujui</t>
        </is>
      </c>
      <c r="K24" t="n">
        <v>60</v>
      </c>
      <c r="L24" t="inlineStr">
        <is>
          <t>5 Desember 2026</t>
        </is>
      </c>
      <c r="M24" t="inlineStr">
        <is>
          <t>Konstruksi Bangunan Sipil Jalan</t>
        </is>
      </c>
      <c r="N24" t="inlineStr">
        <is>
          <t>K</t>
        </is>
      </c>
      <c r="O24" t="inlineStr">
        <is>
          <t>20230623</t>
        </is>
      </c>
      <c r="P24" t="inlineStr">
        <is>
          <t>Jawa Timur</t>
        </is>
      </c>
      <c r="Q24" t="inlineStr"/>
    </row>
    <row r="25">
      <c r="A25" t="inlineStr">
        <is>
          <t>CAHYA BERKAT GEMILANG</t>
        </is>
      </c>
      <c r="B25" t="inlineStr">
        <is>
          <t>Kota Surabaya</t>
        </is>
      </c>
      <c r="C25" t="inlineStr">
        <is>
          <t>08123028514</t>
        </is>
      </c>
      <c r="D25" t="inlineStr">
        <is>
          <t>cahyaberkatgemilang.surabaya@gmail.com</t>
        </is>
      </c>
      <c r="E25" t="inlineStr">
        <is>
          <t>https://lpjk.pu.go.id/search-badan-usaha-detail/c0V6bTUxSUJaTldWOW5ma2sxVGhiQT09</t>
        </is>
      </c>
      <c r="F25" t="n">
        <v>2</v>
      </c>
      <c r="G25" t="inlineStr">
        <is>
          <t>BG002, BG009</t>
        </is>
      </c>
      <c r="H25" t="inlineStr">
        <is>
          <t>3 Maret 2017</t>
        </is>
      </c>
      <c r="I25" s="2" t="n">
        <v>46361</v>
      </c>
      <c r="J25" t="inlineStr">
        <is>
          <t>Pencabutan</t>
        </is>
      </c>
      <c r="K25" t="n">
        <v>60</v>
      </c>
      <c r="L25" t="inlineStr">
        <is>
          <t>5 Desember 2026</t>
        </is>
      </c>
      <c r="M25" t="inlineStr">
        <is>
          <t>Konstruksi Gedung Lainnya, Konstruksi Gedung Perkantoran</t>
        </is>
      </c>
      <c r="N25" t="inlineStr">
        <is>
          <t>K</t>
        </is>
      </c>
      <c r="O25" t="inlineStr">
        <is>
          <t>20231204, 20231206</t>
        </is>
      </c>
      <c r="P25" t="inlineStr">
        <is>
          <t>Jawa Timur</t>
        </is>
      </c>
      <c r="Q25" t="inlineStr"/>
    </row>
    <row r="26">
      <c r="A26" t="inlineStr">
        <is>
          <t>CAHYA SEJAHTERA</t>
        </is>
      </c>
      <c r="B26" t="inlineStr">
        <is>
          <t>Kab. Sampang</t>
        </is>
      </c>
      <c r="C26" t="inlineStr">
        <is>
          <t>087750010308</t>
        </is>
      </c>
      <c r="D26" t="inlineStr">
        <is>
          <t>cahyasejahteracv@gmail.com</t>
        </is>
      </c>
      <c r="E26" t="inlineStr">
        <is>
          <t>https://lpjk.pu.go.id/search-badan-usaha-detail/aVpibnN0VmZHalZ1K2lwYUtRdU44dz09</t>
        </is>
      </c>
      <c r="F26" t="n">
        <v>1</v>
      </c>
      <c r="G26" t="inlineStr">
        <is>
          <t>BS001</t>
        </is>
      </c>
      <c r="H26" t="inlineStr">
        <is>
          <t>4 Maret 2020</t>
        </is>
      </c>
      <c r="I26" s="2" t="n">
        <v>46361</v>
      </c>
      <c r="J26" t="inlineStr">
        <is>
          <t>Disetujui</t>
        </is>
      </c>
      <c r="K26" t="n">
        <v>60</v>
      </c>
      <c r="L26" t="inlineStr">
        <is>
          <t>5 Desember 2026</t>
        </is>
      </c>
      <c r="M26" t="inlineStr">
        <is>
          <t>Konstruksi Bangunan Sipil Jalan</t>
        </is>
      </c>
      <c r="N26" t="inlineStr">
        <is>
          <t>K</t>
        </is>
      </c>
      <c r="O26" t="inlineStr">
        <is>
          <t>20231205</t>
        </is>
      </c>
      <c r="P26" t="inlineStr">
        <is>
          <t>Jawa Timur</t>
        </is>
      </c>
      <c r="Q26" t="inlineStr"/>
    </row>
    <row r="27">
      <c r="A27" t="inlineStr">
        <is>
          <t>CHANDRA KARYA NUSANTARA</t>
        </is>
      </c>
      <c r="B27" t="inlineStr">
        <is>
          <t>Kab. Sleman</t>
        </is>
      </c>
      <c r="C27" t="inlineStr">
        <is>
          <t>08112541225</t>
        </is>
      </c>
      <c r="D27" t="inlineStr">
        <is>
          <t>chandra.karya.nusantara@gmail.com</t>
        </is>
      </c>
      <c r="E27" t="inlineStr">
        <is>
          <t>https://lpjk.pu.go.id/search-badan-usaha-detail/WHdsb3hMaDNFNlNmYW94MnF6QldmQT09</t>
        </is>
      </c>
      <c r="F27" t="n">
        <v>2</v>
      </c>
      <c r="G27" t="inlineStr">
        <is>
          <t>BG005, BG006</t>
        </is>
      </c>
      <c r="H27" t="inlineStr">
        <is>
          <t>22 Maret 2022</t>
        </is>
      </c>
      <c r="I27" s="2" t="n">
        <v>46361</v>
      </c>
      <c r="J27" t="inlineStr">
        <is>
          <t>Disetujui</t>
        </is>
      </c>
      <c r="K27" t="n">
        <v>60</v>
      </c>
      <c r="L27" t="inlineStr">
        <is>
          <t>5 Desember 2026</t>
        </is>
      </c>
      <c r="M27" t="inlineStr">
        <is>
          <t>Konstruksi Gedung Kesehatan, Konstruksi Gedung Pendidikan</t>
        </is>
      </c>
      <c r="N27" t="inlineStr">
        <is>
          <t>K</t>
        </is>
      </c>
      <c r="O27" t="inlineStr">
        <is>
          <t>20231122</t>
        </is>
      </c>
      <c r="P27" t="inlineStr">
        <is>
          <t>DI Yogyakarta</t>
        </is>
      </c>
      <c r="Q27" t="inlineStr"/>
    </row>
    <row r="28">
      <c r="A28" t="inlineStr">
        <is>
          <t>CIPTA AVOLUTION DESIGN</t>
        </is>
      </c>
      <c r="B28" t="inlineStr">
        <is>
          <t>Kab. Wonosobo</t>
        </is>
      </c>
      <c r="C28" t="inlineStr">
        <is>
          <t>081393092982</t>
        </is>
      </c>
      <c r="D28" t="inlineStr">
        <is>
          <t>cvciptaavolutiondesign@gmail.com</t>
        </is>
      </c>
      <c r="E28" t="inlineStr">
        <is>
          <t>https://lpjk.pu.go.id/search-badan-usaha-detail/a3FqeStCeGdXWnNwRGtkZzNtOXVVUT09</t>
        </is>
      </c>
      <c r="F28" t="n">
        <v>2</v>
      </c>
      <c r="G28" t="inlineStr">
        <is>
          <t>AR003</t>
        </is>
      </c>
      <c r="H28" t="inlineStr">
        <is>
          <t>20 Juli 2023</t>
        </is>
      </c>
      <c r="I28" s="2" t="n">
        <v>46361</v>
      </c>
      <c r="J28" t="inlineStr">
        <is>
          <t>Disetujui</t>
        </is>
      </c>
      <c r="K28" t="n">
        <v>60</v>
      </c>
      <c r="L28" t="inlineStr">
        <is>
          <t>5 Desember 2026</t>
        </is>
      </c>
      <c r="M28" t="inlineStr">
        <is>
          <t>Jasa Desain Interior pada Bangunan Gedung dan Bangunan Sipil</t>
        </is>
      </c>
      <c r="N28" t="inlineStr">
        <is>
          <t>K</t>
        </is>
      </c>
      <c r="O28" t="inlineStr">
        <is>
          <t>20231121</t>
        </is>
      </c>
      <c r="P28" t="inlineStr">
        <is>
          <t>Jawa Tengah</t>
        </is>
      </c>
      <c r="Q28" t="inlineStr"/>
    </row>
    <row r="29">
      <c r="A29" t="inlineStr">
        <is>
          <t>CIPTA RAYA KONSTRUKSI</t>
        </is>
      </c>
      <c r="B29" t="inlineStr">
        <is>
          <t>Kota Kendari</t>
        </is>
      </c>
      <c r="C29" t="inlineStr">
        <is>
          <t>082196666828</t>
        </is>
      </c>
      <c r="D29" t="inlineStr">
        <is>
          <t>ciptarayakonstruksi2019@gmail.com</t>
        </is>
      </c>
      <c r="E29" t="inlineStr">
        <is>
          <t>https://lpjk.pu.go.id/search-badan-usaha-detail/WForQlphNm84U2NWcnB5MEhsTHpyQT09</t>
        </is>
      </c>
      <c r="F29" t="n">
        <v>4</v>
      </c>
      <c r="G29" t="inlineStr">
        <is>
          <t>BS001, BS010</t>
        </is>
      </c>
      <c r="H29" t="inlineStr">
        <is>
          <t>6 September 2023</t>
        </is>
      </c>
      <c r="I29" s="2" t="n">
        <v>46361</v>
      </c>
      <c r="J29" t="inlineStr">
        <is>
          <t>Disetujui</t>
        </is>
      </c>
      <c r="K29" t="n">
        <v>60</v>
      </c>
      <c r="L29" t="inlineStr">
        <is>
          <t>5 Desember 2026</t>
        </is>
      </c>
      <c r="M29" t="inlineStr">
        <is>
          <t>Konstruksi Bangunan Prasarana Sumber Daya Air, Konstruksi Bangunan Sipil Jalan</t>
        </is>
      </c>
      <c r="N29" t="inlineStr">
        <is>
          <t>K</t>
        </is>
      </c>
      <c r="O29" t="inlineStr">
        <is>
          <t>20231130</t>
        </is>
      </c>
      <c r="P29" t="inlineStr">
        <is>
          <t>Sulawesi Tenggara</t>
        </is>
      </c>
      <c r="Q29" t="inlineStr"/>
    </row>
    <row r="30">
      <c r="A30" t="inlineStr">
        <is>
          <t>CURUG KEMBARMAS</t>
        </is>
      </c>
      <c r="B30" t="inlineStr">
        <is>
          <t>Kota Bandung</t>
        </is>
      </c>
      <c r="C30" t="inlineStr">
        <is>
          <t>0227275887</t>
        </is>
      </c>
      <c r="D30" t="inlineStr">
        <is>
          <t>curugkembarpt@gmail.com</t>
        </is>
      </c>
      <c r="E30" t="inlineStr">
        <is>
          <t>https://lpjk.pu.go.id/search-badan-usaha-detail/R2JtNmpEZWlwVHdBMyt0V1FFZjJCUT09</t>
        </is>
      </c>
      <c r="F30" t="n">
        <v>1</v>
      </c>
      <c r="G30" t="inlineStr">
        <is>
          <t>BS007</t>
        </is>
      </c>
      <c r="H30" t="inlineStr">
        <is>
          <t>18 Januari 1993</t>
        </is>
      </c>
      <c r="I30" s="2" t="n">
        <v>46361</v>
      </c>
      <c r="J30" t="inlineStr">
        <is>
          <t>Disetujui</t>
        </is>
      </c>
      <c r="K30" t="n">
        <v>60</v>
      </c>
      <c r="L30" t="inlineStr">
        <is>
          <t>5 Desember 2026</t>
        </is>
      </c>
      <c r="M30" t="inlineStr">
        <is>
          <t>Konstruksi Bangunan Sipil Elektrikal</t>
        </is>
      </c>
      <c r="N30" t="inlineStr">
        <is>
          <t>K</t>
        </is>
      </c>
      <c r="O30" t="inlineStr">
        <is>
          <t>20231204</t>
        </is>
      </c>
      <c r="P30" t="inlineStr">
        <is>
          <t>Jawa Barat</t>
        </is>
      </c>
      <c r="Q30" t="inlineStr"/>
    </row>
    <row r="31">
      <c r="A31" t="inlineStr">
        <is>
          <t>DASENA PRIMA</t>
        </is>
      </c>
      <c r="B31" t="inlineStr">
        <is>
          <t>Kota Bandung</t>
        </is>
      </c>
      <c r="C31" t="inlineStr">
        <is>
          <t>082128767676</t>
        </is>
      </c>
      <c r="D31" t="inlineStr">
        <is>
          <t>admin@dasenaprima.co.id</t>
        </is>
      </c>
      <c r="E31" t="inlineStr">
        <is>
          <t>https://lpjk.pu.go.id/search-badan-usaha-detail/cmNQekxXZ1BLME9sOFN2K2VEbVUxdz09</t>
        </is>
      </c>
      <c r="F31" t="n">
        <v>1</v>
      </c>
      <c r="G31" t="inlineStr">
        <is>
          <t>IN002</t>
        </is>
      </c>
      <c r="H31" t="inlineStr">
        <is>
          <t>1 Maret 2013</t>
        </is>
      </c>
      <c r="I31" s="2" t="n">
        <v>46361</v>
      </c>
      <c r="J31" t="inlineStr">
        <is>
          <t>Disetujui</t>
        </is>
      </c>
      <c r="K31" t="n">
        <v>60</v>
      </c>
      <c r="L31" t="inlineStr">
        <is>
          <t>5 Desember 2026</t>
        </is>
      </c>
      <c r="M31" t="inlineStr">
        <is>
          <t>Instalasi Telekomunikasi</t>
        </is>
      </c>
      <c r="N31" t="inlineStr">
        <is>
          <t>Spesialis</t>
        </is>
      </c>
      <c r="O31" t="inlineStr">
        <is>
          <t>20231201</t>
        </is>
      </c>
      <c r="P31" t="inlineStr">
        <is>
          <t>Jawa Barat</t>
        </is>
      </c>
      <c r="Q31" t="inlineStr"/>
    </row>
    <row r="32">
      <c r="A32" t="inlineStr">
        <is>
          <t>DIMENSI KARYA PERSADA</t>
        </is>
      </c>
      <c r="B32" t="inlineStr">
        <is>
          <t>Kota Adm. Jakarta Barat</t>
        </is>
      </c>
      <c r="C32" t="inlineStr">
        <is>
          <t>0215357080</t>
        </is>
      </c>
      <c r="D32" t="inlineStr">
        <is>
          <t>ayu_if@yahoo.com</t>
        </is>
      </c>
      <c r="E32" t="inlineStr">
        <is>
          <t>https://lpjk.pu.go.id/search-badan-usaha-detail/K1p1WUtIYzZMMHdRV1FRVWUycXpPdz09</t>
        </is>
      </c>
      <c r="F32" t="n">
        <v>2</v>
      </c>
      <c r="G32" t="inlineStr">
        <is>
          <t>BG002, PB004</t>
        </is>
      </c>
      <c r="H32" t="inlineStr">
        <is>
          <t>18 Juni 2008</t>
        </is>
      </c>
      <c r="I32" s="2" t="n">
        <v>46361</v>
      </c>
      <c r="J32" t="inlineStr">
        <is>
          <t>Disetujui</t>
        </is>
      </c>
      <c r="K32" t="n">
        <v>60</v>
      </c>
      <c r="L32" t="inlineStr">
        <is>
          <t>5 Desember 2026</t>
        </is>
      </c>
      <c r="M32" t="inlineStr">
        <is>
          <t>Dekorasi Interior, Konstruksi Gedung Perkantoran</t>
        </is>
      </c>
      <c r="N32" t="inlineStr">
        <is>
          <t>K, Spesialis</t>
        </is>
      </c>
      <c r="O32" t="inlineStr">
        <is>
          <t>20231203</t>
        </is>
      </c>
      <c r="P32" t="inlineStr">
        <is>
          <t>DKI Jakarta</t>
        </is>
      </c>
      <c r="Q32" t="inlineStr"/>
    </row>
    <row r="33">
      <c r="A33" t="inlineStr">
        <is>
          <t>DINAMIKA FURINDO NUSANTARA</t>
        </is>
      </c>
      <c r="B33" t="inlineStr">
        <is>
          <t>Kota Medan</t>
        </is>
      </c>
      <c r="C33" t="inlineStr">
        <is>
          <t>061-8442748</t>
        </is>
      </c>
      <c r="D33" t="inlineStr">
        <is>
          <t>dfn@dfn-construction.com</t>
        </is>
      </c>
      <c r="E33" t="inlineStr">
        <is>
          <t>https://lpjk.pu.go.id/search-badan-usaha-detail/azFNSlZkYW5EeHVaVzNTUEFmSmwrdz09</t>
        </is>
      </c>
      <c r="F33" t="n">
        <v>2</v>
      </c>
      <c r="G33" t="inlineStr">
        <is>
          <t>BG004</t>
        </is>
      </c>
      <c r="H33" t="inlineStr">
        <is>
          <t>10 Mei 2010</t>
        </is>
      </c>
      <c r="I33" s="2" t="n">
        <v>46361</v>
      </c>
      <c r="J33" t="inlineStr">
        <is>
          <t>Pembekuan</t>
        </is>
      </c>
      <c r="K33" t="n">
        <v>60</v>
      </c>
      <c r="L33" t="inlineStr">
        <is>
          <t>5 Desember 2026</t>
        </is>
      </c>
      <c r="M33" t="inlineStr">
        <is>
          <t>Konstruksi Gedung Perbelanjaan</t>
        </is>
      </c>
      <c r="N33" t="inlineStr">
        <is>
          <t>M</t>
        </is>
      </c>
      <c r="O33" t="inlineStr">
        <is>
          <t>20231127</t>
        </is>
      </c>
      <c r="P33" t="inlineStr">
        <is>
          <t>Sumatera Utara</t>
        </is>
      </c>
      <c r="Q33" t="inlineStr"/>
    </row>
    <row r="34">
      <c r="A34" t="inlineStr">
        <is>
          <t>DUA PUTRA</t>
        </is>
      </c>
      <c r="B34" t="inlineStr">
        <is>
          <t>Kota Manado</t>
        </is>
      </c>
      <c r="C34" t="inlineStr">
        <is>
          <t>081340011024</t>
        </is>
      </c>
      <c r="D34" t="inlineStr">
        <is>
          <t>cvduaputra12@gmail.com</t>
        </is>
      </c>
      <c r="E34" t="inlineStr">
        <is>
          <t>https://lpjk.pu.go.id/search-badan-usaha-detail/R2VtK0prM3RpckQ3cTVoenQ4MFVIQT09</t>
        </is>
      </c>
      <c r="F34" t="n">
        <v>2</v>
      </c>
      <c r="G34" t="inlineStr">
        <is>
          <t>BG002, BG009</t>
        </is>
      </c>
      <c r="H34" t="inlineStr">
        <is>
          <t>17 Maret 2014</t>
        </is>
      </c>
      <c r="I34" s="2" t="n">
        <v>46361</v>
      </c>
      <c r="J34" t="inlineStr">
        <is>
          <t>Disetujui</t>
        </is>
      </c>
      <c r="K34" t="n">
        <v>60</v>
      </c>
      <c r="L34" t="inlineStr">
        <is>
          <t>5 Desember 2026</t>
        </is>
      </c>
      <c r="M34" t="inlineStr">
        <is>
          <t>Konstruksi Gedung Lainnya, Konstruksi Gedung Perkantoran</t>
        </is>
      </c>
      <c r="N34" t="inlineStr">
        <is>
          <t>K</t>
        </is>
      </c>
      <c r="O34" t="inlineStr">
        <is>
          <t>20231114, 20231201</t>
        </is>
      </c>
      <c r="P34" t="inlineStr">
        <is>
          <t>Sulawesi Utara</t>
        </is>
      </c>
      <c r="Q34" t="inlineStr"/>
    </row>
    <row r="35">
      <c r="A35" t="inlineStr">
        <is>
          <t>DUA PUTRA SEJAHTERA ABADI</t>
        </is>
      </c>
      <c r="B35" t="inlineStr">
        <is>
          <t>Kab. Sampang</t>
        </is>
      </c>
      <c r="C35" t="inlineStr">
        <is>
          <t>082140831330</t>
        </is>
      </c>
      <c r="D35" t="inlineStr">
        <is>
          <t>cv.duaputrasejahteraabadi@gmail.com</t>
        </is>
      </c>
      <c r="E35" t="inlineStr">
        <is>
          <t>https://lpjk.pu.go.id/search-badan-usaha-detail/OGtabFdudFhzaENmQWFEMkNQTit4QT09</t>
        </is>
      </c>
      <c r="F35" t="n">
        <v>2</v>
      </c>
      <c r="G35" t="inlineStr">
        <is>
          <t>BS004, BS005</t>
        </is>
      </c>
      <c r="H35" t="inlineStr">
        <is>
          <t>9 April 2020</t>
        </is>
      </c>
      <c r="I35" s="2" t="n">
        <v>46361</v>
      </c>
      <c r="J35" t="inlineStr">
        <is>
          <t>Disetujui</t>
        </is>
      </c>
      <c r="K35" t="n">
        <v>60</v>
      </c>
      <c r="L35" t="inlineStr">
        <is>
          <t>5 Desember 2026</t>
        </is>
      </c>
      <c r="M35" t="inlineStr">
        <is>
          <t>Konstruksi Bangunan Sipil Pengolahan Air Bersih, Konstruksi Jaringan Irigasi dan Drainase</t>
        </is>
      </c>
      <c r="N35" t="inlineStr">
        <is>
          <t>K</t>
        </is>
      </c>
      <c r="O35" t="inlineStr">
        <is>
          <t>20231206</t>
        </is>
      </c>
      <c r="P35" t="inlineStr">
        <is>
          <t>Jawa Timur</t>
        </is>
      </c>
      <c r="Q35" t="inlineStr"/>
    </row>
    <row r="36">
      <c r="A36" t="inlineStr">
        <is>
          <t>DUTA RAYA PERKASA</t>
        </is>
      </c>
      <c r="B36" t="inlineStr">
        <is>
          <t>Kab. Bandung</t>
        </is>
      </c>
      <c r="C36" t="inlineStr">
        <is>
          <t>082121644441</t>
        </is>
      </c>
      <c r="D36" t="inlineStr">
        <is>
          <t>drayaperkasa@gmail.com</t>
        </is>
      </c>
      <c r="E36" t="inlineStr">
        <is>
          <t>https://lpjk.pu.go.id/search-badan-usaha-detail/Z0ZPZW1qMFQ0aGVaV3dpNmlQc1E5UT09</t>
        </is>
      </c>
      <c r="F36" t="n">
        <v>2</v>
      </c>
      <c r="G36" t="inlineStr">
        <is>
          <t>BG002, BS001</t>
        </is>
      </c>
      <c r="H36" t="inlineStr">
        <is>
          <t>7 Februari 2019</t>
        </is>
      </c>
      <c r="I36" s="2" t="n">
        <v>46361</v>
      </c>
      <c r="J36" t="inlineStr">
        <is>
          <t>Disetujui</t>
        </is>
      </c>
      <c r="K36" t="n">
        <v>60</v>
      </c>
      <c r="L36" t="inlineStr">
        <is>
          <t>5 Desember 2026</t>
        </is>
      </c>
      <c r="M36" t="inlineStr">
        <is>
          <t>Konstruksi Bangunan Sipil Jalan, Konstruksi Gedung Perkantoran</t>
        </is>
      </c>
      <c r="N36" t="inlineStr">
        <is>
          <t>K</t>
        </is>
      </c>
      <c r="O36" t="inlineStr">
        <is>
          <t>20231203, 20231207</t>
        </is>
      </c>
      <c r="P36" t="inlineStr">
        <is>
          <t>Jawa Barat</t>
        </is>
      </c>
      <c r="Q36" t="inlineStr"/>
    </row>
    <row r="37">
      <c r="A37" t="inlineStr">
        <is>
          <t>EMBUN CONSULTANT</t>
        </is>
      </c>
      <c r="B37" t="inlineStr">
        <is>
          <t>Kota Tanjung Pinang</t>
        </is>
      </c>
      <c r="C37" t="inlineStr">
        <is>
          <t>085264441074</t>
        </is>
      </c>
      <c r="D37" t="inlineStr">
        <is>
          <t>garuda_heru@rocketmail.com</t>
        </is>
      </c>
      <c r="E37" t="inlineStr">
        <is>
          <t>https://lpjk.pu.go.id/search-badan-usaha-detail/L2xSNXluVFV5TlpPNFVab2N0Ny9BUT09</t>
        </is>
      </c>
      <c r="F37" t="n">
        <v>1</v>
      </c>
      <c r="G37" t="inlineStr">
        <is>
          <t>RK001</t>
        </is>
      </c>
      <c r="H37" t="inlineStr">
        <is>
          <t>19 Juli 2019</t>
        </is>
      </c>
      <c r="I37" s="2" t="n">
        <v>46361</v>
      </c>
      <c r="J37" t="inlineStr">
        <is>
          <t>Disetujui</t>
        </is>
      </c>
      <c r="K37" t="n">
        <v>60</v>
      </c>
      <c r="L37" t="inlineStr">
        <is>
          <t>5 Desember 2026</t>
        </is>
      </c>
      <c r="M37" t="inlineStr">
        <is>
          <t>Jasa Rekayasa Konstruksi Bangunan Gedung Hunian dan Non Hunian</t>
        </is>
      </c>
      <c r="N37" t="inlineStr">
        <is>
          <t>K</t>
        </is>
      </c>
      <c r="O37" t="inlineStr">
        <is>
          <t>20231123</t>
        </is>
      </c>
      <c r="P37" t="inlineStr">
        <is>
          <t>Kepulauan Riau</t>
        </is>
      </c>
      <c r="Q37" t="inlineStr"/>
    </row>
    <row r="38">
      <c r="A38" t="inlineStr">
        <is>
          <t>FAJAR MULIA</t>
        </is>
      </c>
      <c r="B38" t="inlineStr">
        <is>
          <t>Kab. Tuban</t>
        </is>
      </c>
      <c r="C38" t="inlineStr">
        <is>
          <t>082234222576</t>
        </is>
      </c>
      <c r="D38" t="inlineStr">
        <is>
          <t>fajarmuliatbn.baru@gmail.com</t>
        </is>
      </c>
      <c r="E38" t="inlineStr">
        <is>
          <t>https://lpjk.pu.go.id/search-badan-usaha-detail/WmxMMGJ3RysrUlBkRkllUGNRUlhvZz09</t>
        </is>
      </c>
      <c r="F38" t="n">
        <v>1</v>
      </c>
      <c r="G38" t="inlineStr">
        <is>
          <t>BS004</t>
        </is>
      </c>
      <c r="H38" t="inlineStr">
        <is>
          <t>2 Februari 2012</t>
        </is>
      </c>
      <c r="I38" s="2" t="n">
        <v>46361</v>
      </c>
      <c r="J38" t="inlineStr">
        <is>
          <t>Pencabutan</t>
        </is>
      </c>
      <c r="K38" t="n">
        <v>60</v>
      </c>
      <c r="L38" t="inlineStr">
        <is>
          <t>5 Desember 2026</t>
        </is>
      </c>
      <c r="M38" t="inlineStr">
        <is>
          <t>Konstruksi Jaringan Irigasi dan Drainase</t>
        </is>
      </c>
      <c r="N38" t="inlineStr">
        <is>
          <t>K</t>
        </is>
      </c>
      <c r="O38" t="inlineStr">
        <is>
          <t>20231201</t>
        </is>
      </c>
      <c r="P38" t="inlineStr">
        <is>
          <t>Jawa Timur</t>
        </is>
      </c>
      <c r="Q38" t="inlineStr"/>
    </row>
    <row r="39">
      <c r="A39" t="inlineStr">
        <is>
          <t>FANNY</t>
        </is>
      </c>
      <c r="B39" t="inlineStr">
        <is>
          <t>Kab. Tolikara</t>
        </is>
      </c>
      <c r="C39" t="inlineStr">
        <is>
          <t>082198211665</t>
        </is>
      </c>
      <c r="D39" t="inlineStr">
        <is>
          <t>cvfanny.tolikara@gmail.com</t>
        </is>
      </c>
      <c r="E39" t="inlineStr">
        <is>
          <t>https://lpjk.pu.go.id/search-badan-usaha-detail/a1o4TE5RUFZlY2pyd1hNK1ZFeklnQT09</t>
        </is>
      </c>
      <c r="F39" t="n">
        <v>1</v>
      </c>
      <c r="G39" t="inlineStr">
        <is>
          <t>BG009</t>
        </is>
      </c>
      <c r="H39" t="inlineStr">
        <is>
          <t>25 Oktober 2022</t>
        </is>
      </c>
      <c r="I39" s="2" t="n">
        <v>46361</v>
      </c>
      <c r="J39" t="inlineStr">
        <is>
          <t>Disetujui</t>
        </is>
      </c>
      <c r="K39" t="n">
        <v>60</v>
      </c>
      <c r="L39" t="inlineStr">
        <is>
          <t>5 Desember 2026</t>
        </is>
      </c>
      <c r="M39" t="inlineStr">
        <is>
          <t>Konstruksi Gedung Lainnya</t>
        </is>
      </c>
      <c r="N39" t="inlineStr">
        <is>
          <t>K</t>
        </is>
      </c>
      <c r="O39" t="inlineStr">
        <is>
          <t>20231125</t>
        </is>
      </c>
      <c r="P39" t="inlineStr">
        <is>
          <t>Papua Pegunungan</t>
        </is>
      </c>
      <c r="Q39" t="inlineStr"/>
    </row>
    <row r="40">
      <c r="A40" t="inlineStr">
        <is>
          <t>GANDA KARYA</t>
        </is>
      </c>
      <c r="B40" t="inlineStr">
        <is>
          <t>Kota Probolinggo</t>
        </is>
      </c>
      <c r="C40" t="inlineStr">
        <is>
          <t>085335948888</t>
        </is>
      </c>
      <c r="D40" t="inlineStr">
        <is>
          <t>cvgandakarya.pbl@gmail.com</t>
        </is>
      </c>
      <c r="E40" t="inlineStr">
        <is>
          <t>https://lpjk.pu.go.id/search-badan-usaha-detail/ZG9LQkd0V0dVc21hbHc4bzk5VlVCdz09</t>
        </is>
      </c>
      <c r="F40" t="n">
        <v>2</v>
      </c>
      <c r="G40" t="inlineStr">
        <is>
          <t>BG002, BG005</t>
        </is>
      </c>
      <c r="H40" t="inlineStr">
        <is>
          <t>4 Oktober 1990</t>
        </is>
      </c>
      <c r="I40" s="2" t="n">
        <v>46361</v>
      </c>
      <c r="J40" t="inlineStr">
        <is>
          <t>Disetujui</t>
        </is>
      </c>
      <c r="K40" t="n">
        <v>60</v>
      </c>
      <c r="L40" t="inlineStr">
        <is>
          <t>5 Desember 2026</t>
        </is>
      </c>
      <c r="M40" t="inlineStr">
        <is>
          <t>Konstruksi Gedung Kesehatan, Konstruksi Gedung Perkantoran</t>
        </is>
      </c>
      <c r="N40" t="inlineStr">
        <is>
          <t>K</t>
        </is>
      </c>
      <c r="O40" t="inlineStr">
        <is>
          <t>20231201</t>
        </is>
      </c>
      <c r="P40" t="inlineStr">
        <is>
          <t>Jawa Timur</t>
        </is>
      </c>
      <c r="Q40" t="inlineStr"/>
    </row>
    <row r="41">
      <c r="A41" t="inlineStr">
        <is>
          <t>GELORA FIRNAGRAHA REALTYTANIA</t>
        </is>
      </c>
      <c r="B41" t="inlineStr">
        <is>
          <t>Kab. Kolaka</t>
        </is>
      </c>
      <c r="C41" t="inlineStr">
        <is>
          <t>081341114820</t>
        </is>
      </c>
      <c r="D41" t="inlineStr">
        <is>
          <t>firnagrahagelora@gmail.com</t>
        </is>
      </c>
      <c r="E41" t="inlineStr">
        <is>
          <t>https://lpjk.pu.go.id/search-badan-usaha-detail/Vmg0Mm5xNEdRZnRWQzhzYnR0M1FNUT09</t>
        </is>
      </c>
      <c r="F41" t="n">
        <v>1</v>
      </c>
      <c r="G41" t="inlineStr">
        <is>
          <t>BS001</t>
        </is>
      </c>
      <c r="H41" t="inlineStr">
        <is>
          <t>3 November 2008</t>
        </is>
      </c>
      <c r="I41" s="2" t="n">
        <v>46361</v>
      </c>
      <c r="J41" t="inlineStr">
        <is>
          <t>Disetujui</t>
        </is>
      </c>
      <c r="K41" t="n">
        <v>60</v>
      </c>
      <c r="L41" t="inlineStr">
        <is>
          <t>5 Desember 2026</t>
        </is>
      </c>
      <c r="M41" t="inlineStr">
        <is>
          <t>Konstruksi Bangunan Sipil Jalan</t>
        </is>
      </c>
      <c r="N41" t="inlineStr">
        <is>
          <t>K</t>
        </is>
      </c>
      <c r="O41" t="inlineStr">
        <is>
          <t>20231130</t>
        </is>
      </c>
      <c r="P41" t="inlineStr">
        <is>
          <t>Sulawesi Tenggara</t>
        </is>
      </c>
      <c r="Q41" t="inlineStr"/>
    </row>
    <row r="42">
      <c r="A42" t="inlineStr">
        <is>
          <t>GEMILANG INDAH MANDIRI</t>
        </is>
      </c>
      <c r="B42" t="inlineStr">
        <is>
          <t>Kota Jambi</t>
        </is>
      </c>
      <c r="C42" t="inlineStr">
        <is>
          <t>085273204077</t>
        </is>
      </c>
      <c r="D42" t="inlineStr">
        <is>
          <t>cv.gemilangindahmandiri@gmail.com</t>
        </is>
      </c>
      <c r="E42" t="inlineStr">
        <is>
          <t>https://lpjk.pu.go.id/search-badan-usaha-detail/eHgvdWJmU3A0c0E3SFBDYU5odFA5Zz09</t>
        </is>
      </c>
      <c r="F42" t="n">
        <v>1</v>
      </c>
      <c r="G42" t="inlineStr">
        <is>
          <t>BS002</t>
        </is>
      </c>
      <c r="H42" t="inlineStr">
        <is>
          <t>11 April 2017</t>
        </is>
      </c>
      <c r="I42" s="2" t="n">
        <v>46361</v>
      </c>
      <c r="J42" t="inlineStr">
        <is>
          <t>Disetujui</t>
        </is>
      </c>
      <c r="K42" t="n">
        <v>60</v>
      </c>
      <c r="L42" t="inlineStr">
        <is>
          <t>5 Desember 2026</t>
        </is>
      </c>
      <c r="M42" t="inlineStr">
        <is>
          <t>Bangunan Sipil Jembatan, Jalan Layang, Fly Over, dan Underpass</t>
        </is>
      </c>
      <c r="N42" t="inlineStr">
        <is>
          <t>K</t>
        </is>
      </c>
      <c r="O42" t="inlineStr">
        <is>
          <t>20231201</t>
        </is>
      </c>
      <c r="P42" t="inlineStr">
        <is>
          <t>Jambi</t>
        </is>
      </c>
      <c r="Q42" t="inlineStr"/>
    </row>
    <row r="43">
      <c r="A43" t="inlineStr">
        <is>
          <t>GEMILANG TRI LESTARI</t>
        </is>
      </c>
      <c r="B43" t="inlineStr">
        <is>
          <t>Kota Jambi</t>
        </is>
      </c>
      <c r="C43" t="inlineStr">
        <is>
          <t>081366168009</t>
        </is>
      </c>
      <c r="D43" t="inlineStr">
        <is>
          <t>ptgemilang.tri.lestari@gmail.com</t>
        </is>
      </c>
      <c r="E43" t="inlineStr">
        <is>
          <t>https://lpjk.pu.go.id/search-badan-usaha-detail/UEI4TkNEdkFSNDd2TVNMNTNIWW96UT09</t>
        </is>
      </c>
      <c r="F43" t="n">
        <v>1</v>
      </c>
      <c r="G43" t="inlineStr">
        <is>
          <t>IN001</t>
        </is>
      </c>
      <c r="H43" t="inlineStr">
        <is>
          <t>12 Maret 2003</t>
        </is>
      </c>
      <c r="I43" s="2" t="n">
        <v>46361</v>
      </c>
      <c r="J43" t="inlineStr">
        <is>
          <t>Disetujui</t>
        </is>
      </c>
      <c r="K43" t="n">
        <v>60</v>
      </c>
      <c r="L43" t="inlineStr">
        <is>
          <t>5 Desember 2026</t>
        </is>
      </c>
      <c r="M43" t="inlineStr">
        <is>
          <t>Instalasi Mekanikal</t>
        </is>
      </c>
      <c r="N43" t="inlineStr">
        <is>
          <t>Spesialis</t>
        </is>
      </c>
      <c r="O43" t="inlineStr">
        <is>
          <t>20231122</t>
        </is>
      </c>
      <c r="P43" t="inlineStr">
        <is>
          <t>Jambi</t>
        </is>
      </c>
      <c r="Q43" t="inlineStr"/>
    </row>
    <row r="44">
      <c r="A44" t="inlineStr">
        <is>
          <t>GRAHATAMA KARYA KONSTRUKSI</t>
        </is>
      </c>
      <c r="B44" t="inlineStr">
        <is>
          <t>Kota Adm. Jakarta Pusat</t>
        </is>
      </c>
      <c r="C44" t="inlineStr">
        <is>
          <t>02163858931</t>
        </is>
      </c>
      <c r="D44" t="inlineStr">
        <is>
          <t>grahatamagkk@gmail.com</t>
        </is>
      </c>
      <c r="E44" t="inlineStr">
        <is>
          <t>https://lpjk.pu.go.id/search-badan-usaha-detail/YVFLSXY3SDVXQ2ZjeVhsTUpmTy9sUT09</t>
        </is>
      </c>
      <c r="F44" t="n">
        <v>1</v>
      </c>
      <c r="G44" t="inlineStr">
        <is>
          <t>BS001</t>
        </is>
      </c>
      <c r="H44" t="inlineStr">
        <is>
          <t>7 Oktober 2016</t>
        </is>
      </c>
      <c r="I44" s="2" t="n">
        <v>46361</v>
      </c>
      <c r="J44" t="inlineStr">
        <is>
          <t>Pencabutan</t>
        </is>
      </c>
      <c r="K44" t="n">
        <v>60</v>
      </c>
      <c r="L44" t="inlineStr">
        <is>
          <t>5 Desember 2026</t>
        </is>
      </c>
      <c r="M44" t="inlineStr">
        <is>
          <t>Konstruksi Bangunan Sipil Jalan</t>
        </is>
      </c>
      <c r="N44" t="inlineStr">
        <is>
          <t>M</t>
        </is>
      </c>
      <c r="O44" t="inlineStr">
        <is>
          <t>20231102</t>
        </is>
      </c>
      <c r="P44" t="inlineStr">
        <is>
          <t>DKI Jakarta</t>
        </is>
      </c>
      <c r="Q44" t="inlineStr"/>
    </row>
    <row r="45">
      <c r="A45" t="inlineStr">
        <is>
          <t>GUNUNG JAAS</t>
        </is>
      </c>
      <c r="B45" t="inlineStr">
        <is>
          <t>Kab. Trenggalek</t>
        </is>
      </c>
      <c r="C45" t="inlineStr">
        <is>
          <t>085233802692</t>
        </is>
      </c>
      <c r="D45" t="inlineStr">
        <is>
          <t>gunungjaas.9@gmail.com</t>
        </is>
      </c>
      <c r="E45" t="inlineStr">
        <is>
          <t>https://lpjk.pu.go.id/search-badan-usaha-detail/RkMrRStFUkgxejA4eWlXWTVscWR1Zz09</t>
        </is>
      </c>
      <c r="F45" t="n">
        <v>1</v>
      </c>
      <c r="G45" t="inlineStr">
        <is>
          <t>BG005</t>
        </is>
      </c>
      <c r="H45" t="inlineStr">
        <is>
          <t>6 April 1999</t>
        </is>
      </c>
      <c r="I45" s="2" t="n">
        <v>46361</v>
      </c>
      <c r="J45" t="inlineStr">
        <is>
          <t>Disetujui</t>
        </is>
      </c>
      <c r="K45" t="n">
        <v>60</v>
      </c>
      <c r="L45" t="inlineStr">
        <is>
          <t>5 Desember 2026</t>
        </is>
      </c>
      <c r="M45" t="inlineStr">
        <is>
          <t>Konstruksi Gedung Kesehatan</t>
        </is>
      </c>
      <c r="N45" t="inlineStr">
        <is>
          <t>K</t>
        </is>
      </c>
      <c r="O45" t="inlineStr">
        <is>
          <t>20231117</t>
        </is>
      </c>
      <c r="P45" t="inlineStr">
        <is>
          <t>Jawa Timur</t>
        </is>
      </c>
      <c r="Q45" t="inlineStr"/>
    </row>
    <row r="46">
      <c r="A46" t="inlineStr">
        <is>
          <t>HARMONI BYAKTA AKASHA</t>
        </is>
      </c>
      <c r="B46" t="inlineStr">
        <is>
          <t>Kota Adm. Jakarta Selatan</t>
        </is>
      </c>
      <c r="C46" t="inlineStr">
        <is>
          <t>0215760820</t>
        </is>
      </c>
      <c r="D46" t="inlineStr">
        <is>
          <t>hbajakarta@hba.com</t>
        </is>
      </c>
      <c r="E46" t="inlineStr">
        <is>
          <t>https://lpjk.pu.go.id/search-badan-usaha-detail/bGFPckZPUmsxMjVIRUFVamRCM2hlUT09</t>
        </is>
      </c>
      <c r="F46" t="n">
        <v>1</v>
      </c>
      <c r="G46" t="inlineStr">
        <is>
          <t>AR003</t>
        </is>
      </c>
      <c r="H46" t="inlineStr">
        <is>
          <t>14 Oktober 2016</t>
        </is>
      </c>
      <c r="I46" s="2" t="n">
        <v>46361</v>
      </c>
      <c r="J46" t="inlineStr">
        <is>
          <t>Disetujui</t>
        </is>
      </c>
      <c r="K46" t="n">
        <v>60</v>
      </c>
      <c r="L46" t="inlineStr">
        <is>
          <t>5 Desember 2026</t>
        </is>
      </c>
      <c r="M46" t="inlineStr">
        <is>
          <t>Jasa Desain Interior pada Bangunan Gedung dan Bangunan Sipil</t>
        </is>
      </c>
      <c r="N46" t="inlineStr">
        <is>
          <t>B</t>
        </is>
      </c>
      <c r="O46" t="inlineStr">
        <is>
          <t>20231204</t>
        </is>
      </c>
      <c r="P46" t="inlineStr">
        <is>
          <t>DKI Jakarta</t>
        </is>
      </c>
      <c r="Q46" t="inlineStr"/>
    </row>
    <row r="47">
      <c r="A47" t="inlineStr">
        <is>
          <t>INDERA CIPTA KONSULTAN</t>
        </is>
      </c>
      <c r="B47" t="inlineStr">
        <is>
          <t>Kota Semarang</t>
        </is>
      </c>
      <c r="C47" t="inlineStr">
        <is>
          <t>081214138116</t>
        </is>
      </c>
      <c r="D47" t="inlineStr">
        <is>
          <t>inderaciptak.cv@gmail.com</t>
        </is>
      </c>
      <c r="E47" t="inlineStr">
        <is>
          <t>https://lpjk.pu.go.id/search-badan-usaha-detail/WERDUzVYRTZpQ3lLM3BGMk1kWSticUsyUC9QV3FWangvbEMvb1lhWGg0QT0</t>
        </is>
      </c>
      <c r="F47" t="n">
        <v>1</v>
      </c>
      <c r="G47" t="inlineStr">
        <is>
          <t>RK005</t>
        </is>
      </c>
      <c r="H47" t="inlineStr">
        <is>
          <t>16 Juni 2025</t>
        </is>
      </c>
      <c r="I47" s="2" t="n">
        <v>46361</v>
      </c>
      <c r="J47" t="inlineStr">
        <is>
          <t>Disetujui</t>
        </is>
      </c>
      <c r="K47" t="n">
        <v>60</v>
      </c>
      <c r="L47" t="inlineStr">
        <is>
          <t>5 Desember 2026</t>
        </is>
      </c>
      <c r="M47" t="inlineStr">
        <is>
          <t>Jasa Rekayasa Lainnya</t>
        </is>
      </c>
      <c r="N47" t="inlineStr">
        <is>
          <t>K</t>
        </is>
      </c>
      <c r="O47" t="inlineStr">
        <is>
          <t>20231120</t>
        </is>
      </c>
      <c r="P47" t="inlineStr">
        <is>
          <t>Jawa Tengah</t>
        </is>
      </c>
      <c r="Q47" t="inlineStr"/>
    </row>
    <row r="48">
      <c r="A48" t="inlineStr">
        <is>
          <t>JAYA MANDIRI</t>
        </is>
      </c>
      <c r="B48" t="inlineStr">
        <is>
          <t>Kab. Tanjung Jabung Barat</t>
        </is>
      </c>
      <c r="C48" t="inlineStr">
        <is>
          <t>085266144344</t>
        </is>
      </c>
      <c r="D48" t="inlineStr">
        <is>
          <t>uluqiqi@gmail.com</t>
        </is>
      </c>
      <c r="E48" t="inlineStr">
        <is>
          <t>https://lpjk.pu.go.id/search-badan-usaha-detail/WURrQm9CdlhzcFlKb1RzSUJTVWVRZz09</t>
        </is>
      </c>
      <c r="F48" t="n">
        <v>2</v>
      </c>
      <c r="G48" t="inlineStr">
        <is>
          <t>BG009, BS007</t>
        </is>
      </c>
      <c r="H48" t="inlineStr">
        <is>
          <t>7 Desember 1992</t>
        </is>
      </c>
      <c r="I48" s="2" t="n">
        <v>46361</v>
      </c>
      <c r="J48" t="inlineStr">
        <is>
          <t>Disetujui</t>
        </is>
      </c>
      <c r="K48" t="n">
        <v>60</v>
      </c>
      <c r="L48" t="inlineStr">
        <is>
          <t>5 Desember 2026</t>
        </is>
      </c>
      <c r="M48" t="inlineStr">
        <is>
          <t>Konstruksi Bangunan Sipil Elektrikal, Konstruksi Gedung Lainnya</t>
        </is>
      </c>
      <c r="N48" t="inlineStr">
        <is>
          <t>K</t>
        </is>
      </c>
      <c r="O48" t="inlineStr">
        <is>
          <t>20231206</t>
        </is>
      </c>
      <c r="P48" t="inlineStr">
        <is>
          <t>Jambi</t>
        </is>
      </c>
      <c r="Q48" t="inlineStr"/>
    </row>
    <row r="49">
      <c r="A49" t="inlineStr">
        <is>
          <t>KALI BALANGAN LESTARI</t>
        </is>
      </c>
      <c r="B49" t="inlineStr">
        <is>
          <t>Kota Palangkaraya</t>
        </is>
      </c>
      <c r="C49" t="inlineStr">
        <is>
          <t>085252760304</t>
        </is>
      </c>
      <c r="D49" t="inlineStr">
        <is>
          <t>kalibalanganlestaricv@yahoo.co.id</t>
        </is>
      </c>
      <c r="E49" t="inlineStr">
        <is>
          <t>https://lpjk.pu.go.id/search-badan-usaha-detail/dGZaTlZPS29WTmM4dko2OTVzd3NQUT09</t>
        </is>
      </c>
      <c r="F49" t="n">
        <v>6</v>
      </c>
      <c r="G49" t="inlineStr">
        <is>
          <t>BG002, BG005, BG006, BG009, BS001, BS004</t>
        </is>
      </c>
      <c r="H49" t="inlineStr">
        <is>
          <t>18 Januari 2006</t>
        </is>
      </c>
      <c r="I49" s="2" t="n">
        <v>46361</v>
      </c>
      <c r="J49" t="inlineStr">
        <is>
          <t>Disetujui</t>
        </is>
      </c>
      <c r="K49" t="n">
        <v>60</v>
      </c>
      <c r="L49" t="inlineStr">
        <is>
          <t>5 Desember 2026</t>
        </is>
      </c>
      <c r="M49" t="inlineStr">
        <is>
          <t>Konstruksi Bangunan Sipil Jalan, Konstruksi Gedung Kesehatan, Konstruksi Gedung Lainnya, Konstruksi Gedung Pendidikan, Konstruksi Gedung Perkantoran, Konstruksi Jaringan Irigasi dan Drainase</t>
        </is>
      </c>
      <c r="N49" t="inlineStr">
        <is>
          <t>K</t>
        </is>
      </c>
      <c r="O49" t="inlineStr">
        <is>
          <t>20231127</t>
        </is>
      </c>
      <c r="P49" t="inlineStr">
        <is>
          <t>Kalimantan Tengah</t>
        </is>
      </c>
      <c r="Q49" t="inlineStr"/>
    </row>
    <row r="50">
      <c r="A50" t="inlineStr">
        <is>
          <t>KARISMA TUAH SRIKANDI</t>
        </is>
      </c>
      <c r="B50" t="inlineStr">
        <is>
          <t>Kab. Ketapang</t>
        </is>
      </c>
      <c r="C50" t="inlineStr">
        <is>
          <t>089691693929</t>
        </is>
      </c>
      <c r="D50" t="inlineStr">
        <is>
          <t>cv.karismatuahsrikandi@gmail.com</t>
        </is>
      </c>
      <c r="E50" t="inlineStr">
        <is>
          <t>https://lpjk.pu.go.id/search-badan-usaha-detail/cDdteFBqcjdZT1gyZGlzbEt4MEhJQT09</t>
        </is>
      </c>
      <c r="F50" t="n">
        <v>2</v>
      </c>
      <c r="G50" t="inlineStr">
        <is>
          <t>BG006, BG009</t>
        </is>
      </c>
      <c r="H50" t="inlineStr">
        <is>
          <t>15 November 2023</t>
        </is>
      </c>
      <c r="I50" s="2" t="n">
        <v>46361</v>
      </c>
      <c r="J50" t="inlineStr">
        <is>
          <t>Disetujui</t>
        </is>
      </c>
      <c r="K50" t="n">
        <v>60</v>
      </c>
      <c r="L50" t="inlineStr">
        <is>
          <t>5 Desember 2026</t>
        </is>
      </c>
      <c r="M50" t="inlineStr">
        <is>
          <t>Konstruksi Gedung Lainnya, Konstruksi Gedung Pendidikan</t>
        </is>
      </c>
      <c r="N50" t="inlineStr">
        <is>
          <t>K</t>
        </is>
      </c>
      <c r="O50" t="inlineStr">
        <is>
          <t>20231206</t>
        </is>
      </c>
      <c r="P50" t="inlineStr">
        <is>
          <t>Kalimantan Barat</t>
        </is>
      </c>
      <c r="Q50" t="inlineStr"/>
    </row>
    <row r="51">
      <c r="A51" t="inlineStr">
        <is>
          <t>KARYA ANUNTOLUFU</t>
        </is>
      </c>
      <c r="B51" t="inlineStr">
        <is>
          <t>Kab. Morowali</t>
        </is>
      </c>
      <c r="C51" t="inlineStr">
        <is>
          <t>082134489999</t>
        </is>
      </c>
      <c r="D51" t="inlineStr">
        <is>
          <t>pt.karya.anuntolufu@gmail.com</t>
        </is>
      </c>
      <c r="E51" t="inlineStr">
        <is>
          <t>https://lpjk.pu.go.id/search-badan-usaha-detail/L1hBdHNrLzduc2V0MmUvcnU5UTllZz09</t>
        </is>
      </c>
      <c r="F51" t="n">
        <v>1</v>
      </c>
      <c r="G51" t="inlineStr">
        <is>
          <t>BS002</t>
        </is>
      </c>
      <c r="H51" t="inlineStr">
        <is>
          <t>12 Januari 2004</t>
        </is>
      </c>
      <c r="I51" s="2" t="n">
        <v>46361</v>
      </c>
      <c r="J51" t="inlineStr">
        <is>
          <t>Disetujui</t>
        </is>
      </c>
      <c r="K51" t="n">
        <v>60</v>
      </c>
      <c r="L51" t="inlineStr">
        <is>
          <t>5 Desember 2026</t>
        </is>
      </c>
      <c r="M51" t="inlineStr">
        <is>
          <t>Bangunan Sipil Jembatan, Jalan Layang, Fly Over, dan Underpass</t>
        </is>
      </c>
      <c r="N51" t="inlineStr">
        <is>
          <t>M</t>
        </is>
      </c>
      <c r="O51" t="inlineStr">
        <is>
          <t>20231204</t>
        </is>
      </c>
      <c r="P51" t="inlineStr">
        <is>
          <t>Sulawesi Tengah</t>
        </is>
      </c>
      <c r="Q51" t="inlineStr"/>
    </row>
    <row r="52">
      <c r="A52" t="inlineStr">
        <is>
          <t>KENCANA JAYA KREASINDO</t>
        </is>
      </c>
      <c r="B52" t="inlineStr">
        <is>
          <t>Kab. Tebo</t>
        </is>
      </c>
      <c r="C52" t="inlineStr">
        <is>
          <t>085266797976</t>
        </is>
      </c>
      <c r="D52" t="inlineStr">
        <is>
          <t>kencanajayakreasindo@gmail.com</t>
        </is>
      </c>
      <c r="E52" t="inlineStr">
        <is>
          <t>https://lpjk.pu.go.id/search-badan-usaha-detail/dGxJTjY1SE8zN3dQVitnZlMyeno4dz09</t>
        </is>
      </c>
      <c r="F52" t="n">
        <v>1</v>
      </c>
      <c r="G52" t="inlineStr">
        <is>
          <t>BG009</t>
        </is>
      </c>
      <c r="H52" t="inlineStr">
        <is>
          <t>27 November 2019</t>
        </is>
      </c>
      <c r="I52" s="2" t="n">
        <v>46361</v>
      </c>
      <c r="J52" t="inlineStr">
        <is>
          <t>Disetujui</t>
        </is>
      </c>
      <c r="K52" t="n">
        <v>60</v>
      </c>
      <c r="L52" t="inlineStr">
        <is>
          <t>5 Desember 2026</t>
        </is>
      </c>
      <c r="M52" t="inlineStr">
        <is>
          <t>Konstruksi Gedung Lainnya</t>
        </is>
      </c>
      <c r="N52" t="inlineStr">
        <is>
          <t>K</t>
        </is>
      </c>
      <c r="O52" t="inlineStr">
        <is>
          <t>20230913</t>
        </is>
      </c>
      <c r="P52" t="inlineStr">
        <is>
          <t>Jambi</t>
        </is>
      </c>
      <c r="Q52" t="inlineStr"/>
    </row>
    <row r="53">
      <c r="A53" t="inlineStr">
        <is>
          <t>KRESNA PUTRA UTAMA</t>
        </is>
      </c>
      <c r="B53" t="inlineStr">
        <is>
          <t>Kota Adm. Jakarta Selatan</t>
        </is>
      </c>
      <c r="C53" t="inlineStr">
        <is>
          <t>02175920274</t>
        </is>
      </c>
      <c r="D53" t="inlineStr">
        <is>
          <t>kresnapu21@gmail.com</t>
        </is>
      </c>
      <c r="E53" t="inlineStr">
        <is>
          <t>https://lpjk.pu.go.id/search-badan-usaha-detail/UzNOdGNRYUpCeHBFNUkzWjNDMnlLZz09</t>
        </is>
      </c>
      <c r="F53" t="n">
        <v>1</v>
      </c>
      <c r="G53" t="inlineStr">
        <is>
          <t>BG005</t>
        </is>
      </c>
      <c r="H53" t="inlineStr">
        <is>
          <t>10 Maret 2022</t>
        </is>
      </c>
      <c r="I53" s="2" t="n">
        <v>46361</v>
      </c>
      <c r="J53" t="inlineStr">
        <is>
          <t>Disetujui</t>
        </is>
      </c>
      <c r="K53" t="n">
        <v>60</v>
      </c>
      <c r="L53" t="inlineStr">
        <is>
          <t>5 Desember 2026</t>
        </is>
      </c>
      <c r="M53" t="inlineStr">
        <is>
          <t>Konstruksi Gedung Kesehatan</t>
        </is>
      </c>
      <c r="N53" t="inlineStr">
        <is>
          <t>K</t>
        </is>
      </c>
      <c r="O53" t="inlineStr">
        <is>
          <t>20231204</t>
        </is>
      </c>
      <c r="P53" t="inlineStr">
        <is>
          <t>DKI Jakarta</t>
        </is>
      </c>
      <c r="Q53" t="inlineStr"/>
    </row>
    <row r="54">
      <c r="A54" t="inlineStr">
        <is>
          <t>KRESNO JOYO</t>
        </is>
      </c>
      <c r="B54" t="inlineStr">
        <is>
          <t>Kab. Ponorogo</t>
        </is>
      </c>
      <c r="C54" t="inlineStr">
        <is>
          <t>081230460001</t>
        </is>
      </c>
      <c r="D54" t="inlineStr">
        <is>
          <t>cv.kresnojoyo@gmail.com</t>
        </is>
      </c>
      <c r="E54" t="inlineStr">
        <is>
          <t>https://lpjk.pu.go.id/search-badan-usaha-detail/TEJiVTFGTmk3OEhMd2Mrck9BYWxQQT09</t>
        </is>
      </c>
      <c r="F54" t="n">
        <v>1</v>
      </c>
      <c r="G54" t="inlineStr">
        <is>
          <t>BG009</t>
        </is>
      </c>
      <c r="H54" t="inlineStr">
        <is>
          <t>7 Januari 2006</t>
        </is>
      </c>
      <c r="I54" s="2" t="n">
        <v>46361</v>
      </c>
      <c r="J54" t="inlineStr">
        <is>
          <t>Disetujui</t>
        </is>
      </c>
      <c r="K54" t="n">
        <v>60</v>
      </c>
      <c r="L54" t="inlineStr">
        <is>
          <t>5 Desember 2026</t>
        </is>
      </c>
      <c r="M54" t="inlineStr">
        <is>
          <t>Konstruksi Gedung Lainnya</t>
        </is>
      </c>
      <c r="N54" t="inlineStr">
        <is>
          <t>K</t>
        </is>
      </c>
      <c r="O54" t="inlineStr">
        <is>
          <t>20231104</t>
        </is>
      </c>
      <c r="P54" t="inlineStr">
        <is>
          <t>Jawa Timur</t>
        </is>
      </c>
      <c r="Q54" t="inlineStr"/>
    </row>
    <row r="55">
      <c r="A55" t="inlineStr">
        <is>
          <t>KURNIA FAUZI KALFANI</t>
        </is>
      </c>
      <c r="B55" t="inlineStr">
        <is>
          <t>Kab. Pahuwato</t>
        </is>
      </c>
      <c r="C55" t="inlineStr">
        <is>
          <t>085298103395</t>
        </is>
      </c>
      <c r="D55" t="inlineStr">
        <is>
          <t>hartatidunda44@gmail.com</t>
        </is>
      </c>
      <c r="E55" t="inlineStr">
        <is>
          <t>https://lpjk.pu.go.id/search-badan-usaha-detail/eGg4WWZGT2I1M0RVRGJmMlZVT1pzdz09</t>
        </is>
      </c>
      <c r="F55" t="n">
        <v>3</v>
      </c>
      <c r="G55" t="inlineStr">
        <is>
          <t>BG001, BS001, BS004</t>
        </is>
      </c>
      <c r="H55" t="inlineStr">
        <is>
          <t>22 Agustus 2017</t>
        </is>
      </c>
      <c r="I55" s="2" t="n">
        <v>46361</v>
      </c>
      <c r="J55" t="inlineStr">
        <is>
          <t>Disetujui</t>
        </is>
      </c>
      <c r="K55" t="n">
        <v>60</v>
      </c>
      <c r="L55" t="inlineStr">
        <is>
          <t>5 Desember 2026</t>
        </is>
      </c>
      <c r="M55" t="inlineStr">
        <is>
          <t>Konstruksi Bangunan Sipil Jalan, Konstruksi Gedung Hunian, Konstruksi Jaringan Irigasi dan Drainase</t>
        </is>
      </c>
      <c r="N55" t="inlineStr">
        <is>
          <t>K</t>
        </is>
      </c>
      <c r="O55" t="inlineStr">
        <is>
          <t>20231205, 20231206</t>
        </is>
      </c>
      <c r="P55" t="inlineStr">
        <is>
          <t>Gorontalo</t>
        </is>
      </c>
      <c r="Q55" t="inlineStr"/>
    </row>
    <row r="56">
      <c r="A56" t="inlineStr">
        <is>
          <t>KURNIA LAKSONO</t>
        </is>
      </c>
      <c r="B56" t="inlineStr">
        <is>
          <t>Kota Jambi</t>
        </is>
      </c>
      <c r="C56" t="inlineStr">
        <is>
          <t>081285237462</t>
        </is>
      </c>
      <c r="D56" t="inlineStr">
        <is>
          <t>kurnialaksono1970@gmail.com</t>
        </is>
      </c>
      <c r="E56" t="inlineStr">
        <is>
          <t>https://lpjk.pu.go.id/search-badan-usaha-detail/TFp6QXZ3ZHZwUVRrMHFVakN6L1VqQT09</t>
        </is>
      </c>
      <c r="F56" t="n">
        <v>3</v>
      </c>
      <c r="G56" t="inlineStr">
        <is>
          <t>BS002, BS004, BS010</t>
        </is>
      </c>
      <c r="H56" t="inlineStr">
        <is>
          <t>23 Januari 2003</t>
        </is>
      </c>
      <c r="I56" s="2" t="n">
        <v>46361</v>
      </c>
      <c r="J56" t="inlineStr">
        <is>
          <t>Disetujui, Pencabutan</t>
        </is>
      </c>
      <c r="K56" t="n">
        <v>60</v>
      </c>
      <c r="L56" t="inlineStr">
        <is>
          <t>5 Desember 2026</t>
        </is>
      </c>
      <c r="M56" t="inlineStr">
        <is>
          <t>Bangunan Sipil Jembatan, Jalan Layang, Fly Over, dan Underpass, Konstruksi Bangunan Prasarana Sumber Daya Air, Konstruksi Jaringan Irigasi dan Drainase</t>
        </is>
      </c>
      <c r="N56" t="inlineStr">
        <is>
          <t>B, K</t>
        </is>
      </c>
      <c r="O56" t="inlineStr">
        <is>
          <t>20231128, 20231130</t>
        </is>
      </c>
      <c r="P56" t="inlineStr">
        <is>
          <t>Jambi</t>
        </is>
      </c>
      <c r="Q56" t="inlineStr"/>
    </row>
    <row r="57">
      <c r="A57" t="inlineStr">
        <is>
          <t>KURNIA PRANAJATI PRATAMA</t>
        </is>
      </c>
      <c r="B57" t="inlineStr">
        <is>
          <t>Kota Jayapura</t>
        </is>
      </c>
      <c r="C57" t="inlineStr">
        <is>
          <t>081344477766</t>
        </is>
      </c>
      <c r="D57" t="inlineStr">
        <is>
          <t>kurniapranajatipratama@gmail.com</t>
        </is>
      </c>
      <c r="E57" t="inlineStr">
        <is>
          <t>https://lpjk.pu.go.id/search-badan-usaha-detail/SEc3QkhudE42elF5QTJkZWZTVXQrQT09</t>
        </is>
      </c>
      <c r="F57" t="n">
        <v>1</v>
      </c>
      <c r="G57" t="inlineStr">
        <is>
          <t>BG005</t>
        </is>
      </c>
      <c r="H57" t="inlineStr">
        <is>
          <t>4 Desember 2019</t>
        </is>
      </c>
      <c r="I57" s="2" t="n">
        <v>46361</v>
      </c>
      <c r="J57" t="inlineStr">
        <is>
          <t>Disetujui</t>
        </is>
      </c>
      <c r="K57" t="n">
        <v>60</v>
      </c>
      <c r="L57" t="inlineStr">
        <is>
          <t>5 Desember 2026</t>
        </is>
      </c>
      <c r="M57" t="inlineStr">
        <is>
          <t>Konstruksi Gedung Kesehatan</t>
        </is>
      </c>
      <c r="N57" t="inlineStr">
        <is>
          <t>K</t>
        </is>
      </c>
      <c r="O57" t="inlineStr">
        <is>
          <t>20231205</t>
        </is>
      </c>
      <c r="P57" t="inlineStr">
        <is>
          <t>Papua</t>
        </is>
      </c>
      <c r="Q57" t="inlineStr"/>
    </row>
    <row r="58">
      <c r="A58" t="inlineStr">
        <is>
          <t>LIMAS BERKAT ABADI</t>
        </is>
      </c>
      <c r="B58" t="inlineStr">
        <is>
          <t>Kota Tangerang</t>
        </is>
      </c>
      <c r="C58" t="inlineStr">
        <is>
          <t>02150208830</t>
        </is>
      </c>
      <c r="D58" t="inlineStr">
        <is>
          <t>limasberkatabadi@yahoo.com</t>
        </is>
      </c>
      <c r="E58" t="inlineStr">
        <is>
          <t>https://lpjk.pu.go.id/search-badan-usaha-detail/b212V09vUndWbU1YVThicXhWbXhWUT09</t>
        </is>
      </c>
      <c r="F58" t="n">
        <v>6</v>
      </c>
      <c r="G58" t="inlineStr">
        <is>
          <t>BG005, BG007, BG009</t>
        </is>
      </c>
      <c r="H58" t="inlineStr">
        <is>
          <t>13 Desember 2019</t>
        </is>
      </c>
      <c r="I58" s="2" t="n">
        <v>46361</v>
      </c>
      <c r="J58" t="inlineStr">
        <is>
          <t>Disetujui</t>
        </is>
      </c>
      <c r="K58" t="n">
        <v>60</v>
      </c>
      <c r="L58" t="inlineStr">
        <is>
          <t>5 Desember 2026</t>
        </is>
      </c>
      <c r="M58" t="inlineStr">
        <is>
          <t>Konstruksi Gedung Kesehatan, Konstruksi Gedung Lainnya, Konstruksi Gedung Penginapan</t>
        </is>
      </c>
      <c r="N58" t="inlineStr">
        <is>
          <t>K</t>
        </is>
      </c>
      <c r="O58" t="inlineStr">
        <is>
          <t>20231128, 20231204</t>
        </is>
      </c>
      <c r="P58" t="inlineStr">
        <is>
          <t>Banten</t>
        </is>
      </c>
      <c r="Q58" t="inlineStr"/>
    </row>
    <row r="59">
      <c r="A59" t="inlineStr">
        <is>
          <t>MAHAKAM PUTRA</t>
        </is>
      </c>
      <c r="B59" t="inlineStr">
        <is>
          <t>Kota Samarinda</t>
        </is>
      </c>
      <c r="C59" t="inlineStr">
        <is>
          <t>081257587964</t>
        </is>
      </c>
      <c r="D59" t="inlineStr">
        <is>
          <t>cv.mahakamputra@gmail.com</t>
        </is>
      </c>
      <c r="E59" t="inlineStr">
        <is>
          <t>https://lpjk.pu.go.id/search-badan-usaha-detail/ZHVueisrcm14N2xNYk5GclJ1aGo0QT09</t>
        </is>
      </c>
      <c r="F59" t="n">
        <v>6</v>
      </c>
      <c r="G59" t="inlineStr">
        <is>
          <t>BG001, BS001, BS002</t>
        </is>
      </c>
      <c r="H59" t="inlineStr">
        <is>
          <t>11 Juni 2007</t>
        </is>
      </c>
      <c r="I59" s="2" t="n">
        <v>46361</v>
      </c>
      <c r="J59" t="inlineStr">
        <is>
          <t>Disetujui</t>
        </is>
      </c>
      <c r="K59" t="n">
        <v>60</v>
      </c>
      <c r="L59" t="inlineStr">
        <is>
          <t>5 Desember 2026</t>
        </is>
      </c>
      <c r="M59" t="inlineStr">
        <is>
          <t>Bangunan Sipil Jembatan, Jalan Layang, Fly Over, dan Underpass, Konstruksi Bangunan Sipil Jalan, Konstruksi Gedung Hunian</t>
        </is>
      </c>
      <c r="N59" t="inlineStr">
        <is>
          <t>K</t>
        </is>
      </c>
      <c r="O59" t="inlineStr">
        <is>
          <t>20231130, 20231206</t>
        </is>
      </c>
      <c r="P59" t="inlineStr">
        <is>
          <t>Kalimantan Timur</t>
        </is>
      </c>
      <c r="Q59" t="inlineStr"/>
    </row>
    <row r="60">
      <c r="A60" t="inlineStr">
        <is>
          <t>MAKMUR SALAWASNA</t>
        </is>
      </c>
      <c r="B60" t="inlineStr">
        <is>
          <t>Kota Bandung</t>
        </is>
      </c>
      <c r="C60" t="inlineStr">
        <is>
          <t>081313922232</t>
        </is>
      </c>
      <c r="D60" t="inlineStr">
        <is>
          <t>makmursalawasna.89@gmail.com</t>
        </is>
      </c>
      <c r="E60" t="inlineStr">
        <is>
          <t>https://lpjk.pu.go.id/search-badan-usaha-detail/VFE3bkZwZlhldDlCcVF0eHppOHA2dz09</t>
        </is>
      </c>
      <c r="F60" t="n">
        <v>4</v>
      </c>
      <c r="G60" t="inlineStr">
        <is>
          <t>RK001, RK002, RK003, RK005</t>
        </is>
      </c>
      <c r="H60" t="inlineStr">
        <is>
          <t>23 Januari 2013</t>
        </is>
      </c>
      <c r="I60" s="2" t="n">
        <v>46361</v>
      </c>
      <c r="J60" t="inlineStr">
        <is>
          <t>Disetujui</t>
        </is>
      </c>
      <c r="K60" t="n">
        <v>60</v>
      </c>
      <c r="L60" t="inlineStr">
        <is>
          <t>5 Desember 2026</t>
        </is>
      </c>
      <c r="M60" t="inlineStr">
        <is>
          <t>Jasa Rekayasa Konstruksi Bangunan Gedung Hunian dan Non Hunian, Jasa Rekayasa Lainnya, Jasa Rekayasa Pekerjaan Teknik Sipil Sumber Daya Air, Jasa Rekayasa Pekerjaan Teknik Sipil Transportasi</t>
        </is>
      </c>
      <c r="N60" t="inlineStr">
        <is>
          <t>K</t>
        </is>
      </c>
      <c r="O60" t="inlineStr">
        <is>
          <t>20231113</t>
        </is>
      </c>
      <c r="P60" t="inlineStr">
        <is>
          <t>Jawa Barat</t>
        </is>
      </c>
      <c r="Q60" t="inlineStr"/>
    </row>
    <row r="61">
      <c r="A61" t="inlineStr">
        <is>
          <t>MANDALA GEOTEKNIKA MANDIRI</t>
        </is>
      </c>
      <c r="B61" t="inlineStr">
        <is>
          <t>Kab. Bandung Barat</t>
        </is>
      </c>
      <c r="C61" t="inlineStr">
        <is>
          <t>085323639953</t>
        </is>
      </c>
      <c r="D61" t="inlineStr">
        <is>
          <t>ivanadesofiyan@gmail.com</t>
        </is>
      </c>
      <c r="E61" t="inlineStr">
        <is>
          <t>https://lpjk.pu.go.id/search-badan-usaha-detail/ejI4S1pFb0kwa2Ftb0R4Ykg5dE1oZz09</t>
        </is>
      </c>
      <c r="F61" t="n">
        <v>6</v>
      </c>
      <c r="G61" t="inlineStr">
        <is>
          <t>AR001, AR002, AR003</t>
        </is>
      </c>
      <c r="H61" t="inlineStr">
        <is>
          <t>10 September 2019</t>
        </is>
      </c>
      <c r="I61" s="2" t="n">
        <v>46361</v>
      </c>
      <c r="J61" t="inlineStr">
        <is>
          <t>Pencabutan</t>
        </is>
      </c>
      <c r="K61" t="n">
        <v>60</v>
      </c>
      <c r="L61" t="inlineStr">
        <is>
          <t>5 Desember 2026</t>
        </is>
      </c>
      <c r="M61" t="inlineStr">
        <is>
          <t>Jasa Arsitektural Bangunan Gedung Hunian dan Non Hunian, Jasa Arsitektural Lainnya, Jasa Desain Interior pada Bangunan Gedung dan Bangunan Sipil</t>
        </is>
      </c>
      <c r="N61" t="inlineStr">
        <is>
          <t>K</t>
        </is>
      </c>
      <c r="O61" t="inlineStr">
        <is>
          <t>20231121</t>
        </is>
      </c>
      <c r="P61" t="inlineStr">
        <is>
          <t>Jawa Barat</t>
        </is>
      </c>
      <c r="Q61" t="inlineStr"/>
    </row>
    <row r="62">
      <c r="A62" t="inlineStr">
        <is>
          <t>MATAHARI KEMBAR</t>
        </is>
      </c>
      <c r="B62" t="inlineStr">
        <is>
          <t>Kab. Pandeglang</t>
        </is>
      </c>
      <c r="C62" t="inlineStr">
        <is>
          <t>087874363318</t>
        </is>
      </c>
      <c r="D62" t="inlineStr">
        <is>
          <t>lsbubanten@gmail.com</t>
        </is>
      </c>
      <c r="E62" t="inlineStr">
        <is>
          <t>https://lpjk.pu.go.id/search-badan-usaha-detail/U05nRHd2cm16d1lKaHRvdC8zSmk0QT09</t>
        </is>
      </c>
      <c r="F62" t="n">
        <v>2</v>
      </c>
      <c r="G62" t="inlineStr">
        <is>
          <t>PL005</t>
        </is>
      </c>
      <c r="H62" t="inlineStr">
        <is>
          <t>2 Mei 2016</t>
        </is>
      </c>
      <c r="I62" s="2" t="n">
        <v>46361</v>
      </c>
      <c r="J62" t="inlineStr">
        <is>
          <t>Disetujui</t>
        </is>
      </c>
      <c r="K62" t="n">
        <v>60</v>
      </c>
      <c r="L62" t="inlineStr">
        <is>
          <t>5 Desember 2026</t>
        </is>
      </c>
      <c r="M62" t="inlineStr">
        <is>
          <t>Pembuatan/Pengeboran Sumur Air Tanah</t>
        </is>
      </c>
      <c r="N62" t="inlineStr">
        <is>
          <t>Spesialis</t>
        </is>
      </c>
      <c r="O62" t="inlineStr">
        <is>
          <t>20231119</t>
        </is>
      </c>
      <c r="P62" t="inlineStr">
        <is>
          <t>Banten</t>
        </is>
      </c>
      <c r="Q62" t="inlineStr"/>
    </row>
    <row r="63">
      <c r="A63" t="inlineStr">
        <is>
          <t>MEDIA DATA SYSTEM</t>
        </is>
      </c>
      <c r="B63" t="inlineStr">
        <is>
          <t>Kota Adm. Jakarta Selatan</t>
        </is>
      </c>
      <c r="C63" t="inlineStr">
        <is>
          <t>02122788284</t>
        </is>
      </c>
      <c r="D63" t="inlineStr">
        <is>
          <t>info@media-ds.co.id</t>
        </is>
      </c>
      <c r="E63" t="inlineStr">
        <is>
          <t>https://lpjk.pu.go.id/search-badan-usaha-detail/QnIyNndJSi9uek85cVRjV0UyV3lMQT09</t>
        </is>
      </c>
      <c r="F63" t="n">
        <v>3</v>
      </c>
      <c r="G63" t="inlineStr">
        <is>
          <t>BG009, IN001, IN008</t>
        </is>
      </c>
      <c r="H63" t="inlineStr"/>
      <c r="I63" s="2" t="n">
        <v>46361</v>
      </c>
      <c r="J63" t="inlineStr">
        <is>
          <t>Pembekuan</t>
        </is>
      </c>
      <c r="K63" t="n">
        <v>60</v>
      </c>
      <c r="L63" t="inlineStr">
        <is>
          <t>5 Desember 2026</t>
        </is>
      </c>
      <c r="M63" t="inlineStr">
        <is>
          <t>Instalasi Mekanikal, Instalasi Pendingin Dan Ventilasi Udara, Konstruksi Gedung Lainnya</t>
        </is>
      </c>
      <c r="N63" t="inlineStr">
        <is>
          <t>M, Spesialis</t>
        </is>
      </c>
      <c r="O63" t="inlineStr">
        <is>
          <t>20231205, 20231206</t>
        </is>
      </c>
      <c r="P63" t="inlineStr">
        <is>
          <t>DKI Jakarta</t>
        </is>
      </c>
      <c r="Q63" t="inlineStr"/>
    </row>
    <row r="64">
      <c r="A64" t="inlineStr">
        <is>
          <t>MEGA PUTRI MANDIRI</t>
        </is>
      </c>
      <c r="B64" t="inlineStr">
        <is>
          <t>Kab. Kubu Raya</t>
        </is>
      </c>
      <c r="C64" t="inlineStr">
        <is>
          <t>05618173973</t>
        </is>
      </c>
      <c r="D64" t="inlineStr">
        <is>
          <t>megaputrimandiri.cv@yahoo.com</t>
        </is>
      </c>
      <c r="E64" t="inlineStr">
        <is>
          <t>https://lpjk.pu.go.id/search-badan-usaha-detail/dG1Hb3Y3Q2FYNkF3SVg0QUVZUXFFQT09</t>
        </is>
      </c>
      <c r="F64" t="n">
        <v>1</v>
      </c>
      <c r="G64" t="inlineStr">
        <is>
          <t>BS001</t>
        </is>
      </c>
      <c r="H64" t="inlineStr">
        <is>
          <t>7 November 2008</t>
        </is>
      </c>
      <c r="I64" s="2" t="n">
        <v>46361</v>
      </c>
      <c r="J64" t="inlineStr">
        <is>
          <t>Disetujui</t>
        </is>
      </c>
      <c r="K64" t="n">
        <v>60</v>
      </c>
      <c r="L64" t="inlineStr">
        <is>
          <t>5 Desember 2026</t>
        </is>
      </c>
      <c r="M64" t="inlineStr">
        <is>
          <t>Konstruksi Bangunan Sipil Jalan</t>
        </is>
      </c>
      <c r="N64" t="inlineStr">
        <is>
          <t>K</t>
        </is>
      </c>
      <c r="O64" t="inlineStr">
        <is>
          <t>20231108</t>
        </is>
      </c>
      <c r="P64" t="inlineStr">
        <is>
          <t>Kalimantan Barat</t>
        </is>
      </c>
      <c r="Q64" t="inlineStr"/>
    </row>
    <row r="65">
      <c r="A65" t="inlineStr">
        <is>
          <t>MENARA BAJA PROJECT</t>
        </is>
      </c>
      <c r="B65" t="inlineStr">
        <is>
          <t>Kab. Bengkulu Utara</t>
        </is>
      </c>
      <c r="C65" t="inlineStr">
        <is>
          <t>082260607671</t>
        </is>
      </c>
      <c r="D65" t="inlineStr">
        <is>
          <t>menarabajaproject@gmail.com</t>
        </is>
      </c>
      <c r="E65" t="inlineStr">
        <is>
          <t>https://lpjk.pu.go.id/search-badan-usaha-detail/cERmUGZvV0o4M0pVbHpCU2xNcXNhQT09</t>
        </is>
      </c>
      <c r="F65" t="n">
        <v>1</v>
      </c>
      <c r="G65" t="inlineStr">
        <is>
          <t>BS004</t>
        </is>
      </c>
      <c r="H65" t="inlineStr">
        <is>
          <t>9 Januari 2019</t>
        </is>
      </c>
      <c r="I65" s="2" t="n">
        <v>46361</v>
      </c>
      <c r="J65" t="inlineStr">
        <is>
          <t>Disetujui</t>
        </is>
      </c>
      <c r="K65" t="n">
        <v>60</v>
      </c>
      <c r="L65" t="inlineStr">
        <is>
          <t>5 Desember 2026</t>
        </is>
      </c>
      <c r="M65" t="inlineStr">
        <is>
          <t>Konstruksi Jaringan Irigasi dan Drainase</t>
        </is>
      </c>
      <c r="N65" t="inlineStr">
        <is>
          <t>K</t>
        </is>
      </c>
      <c r="O65" t="inlineStr">
        <is>
          <t>20231201</t>
        </is>
      </c>
      <c r="P65" t="inlineStr">
        <is>
          <t>Bengkulu</t>
        </is>
      </c>
      <c r="Q65" t="inlineStr"/>
    </row>
    <row r="66">
      <c r="A66" t="inlineStr">
        <is>
          <t>MODERN JAYA KONSTRUKSI</t>
        </is>
      </c>
      <c r="B66" t="inlineStr">
        <is>
          <t>Kab. Purwakarta</t>
        </is>
      </c>
      <c r="C66" t="inlineStr">
        <is>
          <t>085280896744</t>
        </is>
      </c>
      <c r="D66" t="inlineStr">
        <is>
          <t>pt.modernjayakontruksi@gmail.com</t>
        </is>
      </c>
      <c r="E66" t="inlineStr">
        <is>
          <t>https://lpjk.pu.go.id/search-badan-usaha-detail/eE5VWlh5eXU2dVlPNkdPd05GQUh3QT09</t>
        </is>
      </c>
      <c r="F66" t="n">
        <v>2</v>
      </c>
      <c r="G66" t="inlineStr">
        <is>
          <t>BG002, BG003</t>
        </is>
      </c>
      <c r="H66" t="inlineStr">
        <is>
          <t>12 September 2023</t>
        </is>
      </c>
      <c r="I66" s="2" t="n">
        <v>46361</v>
      </c>
      <c r="J66" t="inlineStr">
        <is>
          <t>Disetujui</t>
        </is>
      </c>
      <c r="K66" t="n">
        <v>60</v>
      </c>
      <c r="L66" t="inlineStr">
        <is>
          <t>5 Desember 2026</t>
        </is>
      </c>
      <c r="M66" t="inlineStr">
        <is>
          <t>Konstruksi Gedung Industri, Konstruksi Gedung Perkantoran</t>
        </is>
      </c>
      <c r="N66" t="inlineStr">
        <is>
          <t>K</t>
        </is>
      </c>
      <c r="O66" t="inlineStr">
        <is>
          <t>20231127, 20231206</t>
        </is>
      </c>
      <c r="P66" t="inlineStr">
        <is>
          <t>Jawa Barat</t>
        </is>
      </c>
      <c r="Q66" t="inlineStr"/>
    </row>
    <row r="67">
      <c r="A67" t="inlineStr">
        <is>
          <t>NUSANTARA TIMUR GROUP</t>
        </is>
      </c>
      <c r="B67" t="inlineStr">
        <is>
          <t>Kota Bau Bau</t>
        </is>
      </c>
      <c r="C67" t="inlineStr">
        <is>
          <t>085256987956</t>
        </is>
      </c>
      <c r="D67" t="inlineStr">
        <is>
          <t>nusantaratimurgroup23@gmail.com</t>
        </is>
      </c>
      <c r="E67" t="inlineStr">
        <is>
          <t>https://lpjk.pu.go.id/search-badan-usaha-detail/eitlanpCamQ3WEg2bjg1cElCcUwyQT09</t>
        </is>
      </c>
      <c r="F67" t="n">
        <v>2</v>
      </c>
      <c r="G67" t="inlineStr">
        <is>
          <t>BG005, BG006</t>
        </is>
      </c>
      <c r="H67" t="inlineStr">
        <is>
          <t>2 September 2023</t>
        </is>
      </c>
      <c r="I67" s="2" t="n">
        <v>46361</v>
      </c>
      <c r="J67" t="inlineStr">
        <is>
          <t>Disetujui</t>
        </is>
      </c>
      <c r="K67" t="n">
        <v>60</v>
      </c>
      <c r="L67" t="inlineStr">
        <is>
          <t>5 Desember 2026</t>
        </is>
      </c>
      <c r="M67" t="inlineStr">
        <is>
          <t>Konstruksi Gedung Kesehatan, Konstruksi Gedung Pendidikan</t>
        </is>
      </c>
      <c r="N67" t="inlineStr">
        <is>
          <t>K</t>
        </is>
      </c>
      <c r="O67" t="inlineStr">
        <is>
          <t>20231130</t>
        </is>
      </c>
      <c r="P67" t="inlineStr">
        <is>
          <t>Sulawesi Tenggara</t>
        </is>
      </c>
      <c r="Q67" t="inlineStr"/>
    </row>
    <row r="68">
      <c r="A68" t="inlineStr">
        <is>
          <t>PALAPA ABADI</t>
        </is>
      </c>
      <c r="B68" t="inlineStr">
        <is>
          <t>Kab. Lombok Barat</t>
        </is>
      </c>
      <c r="C68" t="inlineStr">
        <is>
          <t>081322229514</t>
        </is>
      </c>
      <c r="D68" t="inlineStr">
        <is>
          <t>dulwildan@gmail.com</t>
        </is>
      </c>
      <c r="E68" t="inlineStr">
        <is>
          <t>https://lpjk.pu.go.id/search-badan-usaha-detail/aWJRRHJZU1M2Z21hQ1BEelIwdndnQT09</t>
        </is>
      </c>
      <c r="F68" t="n">
        <v>4</v>
      </c>
      <c r="G68" t="inlineStr">
        <is>
          <t>BG002, BG005, BG008, BG009</t>
        </is>
      </c>
      <c r="H68" t="inlineStr">
        <is>
          <t>22 Juni 2012</t>
        </is>
      </c>
      <c r="I68" s="2" t="n">
        <v>46361</v>
      </c>
      <c r="J68" t="inlineStr">
        <is>
          <t>Disetujui</t>
        </is>
      </c>
      <c r="K68" t="n">
        <v>60</v>
      </c>
      <c r="L68" t="inlineStr">
        <is>
          <t>5 Desember 2026</t>
        </is>
      </c>
      <c r="M68" t="inlineStr">
        <is>
          <t>Konstruksi Gedung Kesehatan, Konstruksi Gedung Lainnya, Konstruksi Gedung Perkantoran, Konstruksi Gedung Tempat Hiburan dan Olahraga</t>
        </is>
      </c>
      <c r="N68" t="inlineStr">
        <is>
          <t>K</t>
        </is>
      </c>
      <c r="O68" t="inlineStr">
        <is>
          <t>20231201, 20231204</t>
        </is>
      </c>
      <c r="P68" t="inlineStr">
        <is>
          <t>Nusa Tenggara Barat</t>
        </is>
      </c>
      <c r="Q68" t="inlineStr"/>
    </row>
    <row r="69">
      <c r="A69" t="inlineStr">
        <is>
          <t>PANORAMA TIGA UTAMA KONSULTAN</t>
        </is>
      </c>
      <c r="B69" t="inlineStr">
        <is>
          <t>Kab. Gresik</t>
        </is>
      </c>
      <c r="C69" t="inlineStr">
        <is>
          <t>0313930027</t>
        </is>
      </c>
      <c r="D69" t="inlineStr">
        <is>
          <t>panoramatigautamakonsultan@gmail.com</t>
        </is>
      </c>
      <c r="E69" t="inlineStr">
        <is>
          <t>https://lpjk.pu.go.id/search-badan-usaha-detail/SUpYZy91cnR5eVVwREM0S2FoUTF5UT09</t>
        </is>
      </c>
      <c r="F69" t="n">
        <v>2</v>
      </c>
      <c r="G69" t="inlineStr">
        <is>
          <t>AR003, RK001</t>
        </is>
      </c>
      <c r="H69" t="inlineStr">
        <is>
          <t>16 Februari 2021</t>
        </is>
      </c>
      <c r="I69" s="2" t="n">
        <v>46361</v>
      </c>
      <c r="J69" t="inlineStr">
        <is>
          <t>Disetujui</t>
        </is>
      </c>
      <c r="K69" t="n">
        <v>60</v>
      </c>
      <c r="L69" t="inlineStr">
        <is>
          <t>5 Desember 2026</t>
        </is>
      </c>
      <c r="M69" t="inlineStr">
        <is>
          <t>Jasa Desain Interior pada Bangunan Gedung dan Bangunan Sipil, Jasa Rekayasa Konstruksi Bangunan Gedung Hunian dan Non Hunian</t>
        </is>
      </c>
      <c r="N69" t="inlineStr">
        <is>
          <t>K</t>
        </is>
      </c>
      <c r="O69" t="inlineStr">
        <is>
          <t>20231129</t>
        </is>
      </c>
      <c r="P69" t="inlineStr">
        <is>
          <t>Jawa Timur</t>
        </is>
      </c>
      <c r="Q69" t="inlineStr"/>
    </row>
    <row r="70">
      <c r="A70" t="inlineStr">
        <is>
          <t>PRABU DZAFFIRA</t>
        </is>
      </c>
      <c r="B70" t="inlineStr">
        <is>
          <t>Kab. Lampung Utara</t>
        </is>
      </c>
      <c r="C70" t="inlineStr">
        <is>
          <t>088747396465</t>
        </is>
      </c>
      <c r="D70" t="inlineStr">
        <is>
          <t>cvprabu.dzaffira26@gmail.com</t>
        </is>
      </c>
      <c r="E70" t="inlineStr">
        <is>
          <t>https://lpjk.pu.go.id/search-badan-usaha-detail/Q2kzVTdmQ3dUL0Y4aHorMXQ0Y3hHQT09</t>
        </is>
      </c>
      <c r="F70" t="n">
        <v>4</v>
      </c>
      <c r="G70" t="inlineStr">
        <is>
          <t>BG002, BG005, BS001, BS004</t>
        </is>
      </c>
      <c r="H70" t="inlineStr">
        <is>
          <t>30 Agustus 2017</t>
        </is>
      </c>
      <c r="I70" s="2" t="n">
        <v>46361</v>
      </c>
      <c r="J70" t="inlineStr">
        <is>
          <t>Disetujui</t>
        </is>
      </c>
      <c r="K70" t="n">
        <v>60</v>
      </c>
      <c r="L70" t="inlineStr">
        <is>
          <t>5 Desember 2026</t>
        </is>
      </c>
      <c r="M70" t="inlineStr">
        <is>
          <t>Konstruksi Bangunan Sipil Jalan, Konstruksi Gedung Kesehatan, Konstruksi Gedung Perkantoran, Konstruksi Jaringan Irigasi dan Drainase</t>
        </is>
      </c>
      <c r="N70" t="inlineStr">
        <is>
          <t>K</t>
        </is>
      </c>
      <c r="O70" t="inlineStr">
        <is>
          <t>20231130</t>
        </is>
      </c>
      <c r="P70" t="inlineStr">
        <is>
          <t>Lampung</t>
        </is>
      </c>
      <c r="Q70" t="inlineStr"/>
    </row>
    <row r="71">
      <c r="A71" t="inlineStr">
        <is>
          <t>PRIMA KARYA MANUNGGAL</t>
        </is>
      </c>
      <c r="B71" t="inlineStr">
        <is>
          <t>Kab. Pangkajene Kepulauan</t>
        </is>
      </c>
      <c r="C71" t="inlineStr">
        <is>
          <t>0811464465</t>
        </is>
      </c>
      <c r="D71" t="inlineStr">
        <is>
          <t>pkmpt@yahoo.com</t>
        </is>
      </c>
      <c r="E71" t="inlineStr">
        <is>
          <t>https://lpjk.pu.go.id/search-badan-usaha-detail/RTh1c05sUVMxSEpvWHd4YXNGZmdaUT09</t>
        </is>
      </c>
      <c r="F71" t="n">
        <v>5</v>
      </c>
      <c r="G71" t="inlineStr">
        <is>
          <t>BG001, BG002, BG005, BG006, BG009</t>
        </is>
      </c>
      <c r="H71" t="inlineStr">
        <is>
          <t>19 April 1982</t>
        </is>
      </c>
      <c r="I71" s="2" t="n">
        <v>46361</v>
      </c>
      <c r="J71" t="inlineStr">
        <is>
          <t>Pencabutan</t>
        </is>
      </c>
      <c r="K71" t="n">
        <v>60</v>
      </c>
      <c r="L71" t="inlineStr">
        <is>
          <t>5 Desember 2026</t>
        </is>
      </c>
      <c r="M71" t="inlineStr">
        <is>
          <t>Konstruksi Gedung Hunian, Konstruksi Gedung Kesehatan, Konstruksi Gedung Lainnya, Konstruksi Gedung Pendidikan, Konstruksi Gedung Perkantoran</t>
        </is>
      </c>
      <c r="N71" t="inlineStr">
        <is>
          <t>K</t>
        </is>
      </c>
      <c r="O71" t="inlineStr">
        <is>
          <t>20231204</t>
        </is>
      </c>
      <c r="P71" t="inlineStr">
        <is>
          <t>Sulawesi Selatan</t>
        </is>
      </c>
      <c r="Q71" t="inlineStr"/>
    </row>
    <row r="72">
      <c r="A72" t="inlineStr">
        <is>
          <t>PUTRA BAHAGIA BERSAMA</t>
        </is>
      </c>
      <c r="B72" t="inlineStr">
        <is>
          <t>Kota Banjarmasin</t>
        </is>
      </c>
      <c r="C72" t="inlineStr">
        <is>
          <t>082151773688</t>
        </is>
      </c>
      <c r="D72" t="inlineStr">
        <is>
          <t>putrabahagia_cv@yahoo.co.id</t>
        </is>
      </c>
      <c r="E72" t="inlineStr">
        <is>
          <t>https://lpjk.pu.go.id/search-badan-usaha-detail/Uk1IZ2toRW4vYU5oam56YkdnK3o5QT09</t>
        </is>
      </c>
      <c r="F72" t="n">
        <v>3</v>
      </c>
      <c r="G72" t="inlineStr">
        <is>
          <t>BS004, BS005, BS010</t>
        </is>
      </c>
      <c r="H72" t="inlineStr">
        <is>
          <t>15 Desember 2000</t>
        </is>
      </c>
      <c r="I72" s="2" t="n">
        <v>46361</v>
      </c>
      <c r="J72" t="inlineStr">
        <is>
          <t>Disetujui</t>
        </is>
      </c>
      <c r="K72" t="n">
        <v>60</v>
      </c>
      <c r="L72" t="inlineStr">
        <is>
          <t>5 Desember 2026</t>
        </is>
      </c>
      <c r="M72" t="inlineStr">
        <is>
          <t>Konstruksi Bangunan Prasarana Sumber Daya Air, Konstruksi Bangunan Sipil Pengolahan Air Bersih, Konstruksi Jaringan Irigasi dan Drainase</t>
        </is>
      </c>
      <c r="N72" t="inlineStr">
        <is>
          <t>K</t>
        </is>
      </c>
      <c r="O72" t="inlineStr">
        <is>
          <t>20231123, 20231206</t>
        </is>
      </c>
      <c r="P72" t="inlineStr">
        <is>
          <t>Kalimantan Selatan</t>
        </is>
      </c>
      <c r="Q72" t="inlineStr"/>
    </row>
    <row r="73">
      <c r="A73" t="inlineStr">
        <is>
          <t>PUTRA BAYUR</t>
        </is>
      </c>
      <c r="B73" t="inlineStr">
        <is>
          <t>Kab. Lahat</t>
        </is>
      </c>
      <c r="C73" t="inlineStr">
        <is>
          <t>081379316285</t>
        </is>
      </c>
      <c r="D73" t="inlineStr">
        <is>
          <t>putrabayur16@gmail.com</t>
        </is>
      </c>
      <c r="E73" t="inlineStr">
        <is>
          <t>https://lpjk.pu.go.id/search-badan-usaha-detail/Tjk5bkpZQXozTXlXT1prMCtoNEJrZz09</t>
        </is>
      </c>
      <c r="F73" t="n">
        <v>3</v>
      </c>
      <c r="G73" t="inlineStr">
        <is>
          <t>BS001, BS004, BS005</t>
        </is>
      </c>
      <c r="H73" t="inlineStr">
        <is>
          <t>16 Juni 2023</t>
        </is>
      </c>
      <c r="I73" s="2" t="n">
        <v>46361</v>
      </c>
      <c r="J73" t="inlineStr">
        <is>
          <t>Disetujui</t>
        </is>
      </c>
      <c r="K73" t="n">
        <v>60</v>
      </c>
      <c r="L73" t="inlineStr">
        <is>
          <t>5 Desember 2026</t>
        </is>
      </c>
      <c r="M73" t="inlineStr">
        <is>
          <t>Konstruksi Bangunan Sipil Jalan, Konstruksi Bangunan Sipil Pengolahan Air Bersih, Konstruksi Jaringan Irigasi dan Drainase</t>
        </is>
      </c>
      <c r="N73" t="inlineStr">
        <is>
          <t>K</t>
        </is>
      </c>
      <c r="O73" t="inlineStr">
        <is>
          <t>20231204</t>
        </is>
      </c>
      <c r="P73" t="inlineStr">
        <is>
          <t>Sumatera Selatan</t>
        </is>
      </c>
      <c r="Q73" t="inlineStr"/>
    </row>
    <row r="74">
      <c r="A74" t="inlineStr">
        <is>
          <t>PUTRA PADJADJARAN</t>
        </is>
      </c>
      <c r="B74" t="inlineStr">
        <is>
          <t>Kab. Mojokerto</t>
        </is>
      </c>
      <c r="C74" t="inlineStr">
        <is>
          <t>081332222252</t>
        </is>
      </c>
      <c r="D74" t="inlineStr">
        <is>
          <t>putrapadjadjaran@hotmail.com</t>
        </is>
      </c>
      <c r="E74" t="inlineStr">
        <is>
          <t>https://lpjk.pu.go.id/search-badan-usaha-detail/SEhuSnNGcUczbWlubWRQZGVXQU1WQT09</t>
        </is>
      </c>
      <c r="F74" t="n">
        <v>2</v>
      </c>
      <c r="G74" t="inlineStr">
        <is>
          <t>BG002, BG009</t>
        </is>
      </c>
      <c r="H74" t="inlineStr">
        <is>
          <t>10 Mei 2007</t>
        </is>
      </c>
      <c r="I74" s="2" t="n">
        <v>46361</v>
      </c>
      <c r="J74" t="inlineStr">
        <is>
          <t>Disetujui</t>
        </is>
      </c>
      <c r="K74" t="n">
        <v>60</v>
      </c>
      <c r="L74" t="inlineStr">
        <is>
          <t>5 Desember 2026</t>
        </is>
      </c>
      <c r="M74" t="inlineStr">
        <is>
          <t>Konstruksi Gedung Lainnya, Konstruksi Gedung Perkantoran</t>
        </is>
      </c>
      <c r="N74" t="inlineStr">
        <is>
          <t>K</t>
        </is>
      </c>
      <c r="O74" t="inlineStr">
        <is>
          <t>20231129, 20231130</t>
        </is>
      </c>
      <c r="P74" t="inlineStr">
        <is>
          <t>Jawa Timur</t>
        </is>
      </c>
      <c r="Q74" t="inlineStr"/>
    </row>
    <row r="75">
      <c r="A75" t="inlineStr">
        <is>
          <t>RAHAYU</t>
        </is>
      </c>
      <c r="B75" t="inlineStr">
        <is>
          <t>Kab. Subang</t>
        </is>
      </c>
      <c r="C75" t="inlineStr">
        <is>
          <t>082328391888</t>
        </is>
      </c>
      <c r="D75" t="inlineStr">
        <is>
          <t>rahayucv_26@yahoo.co.id</t>
        </is>
      </c>
      <c r="E75" t="inlineStr">
        <is>
          <t>https://lpjk.pu.go.id/search-badan-usaha-detail/QXNKM0daTkdla2VUNXdUWStWOEpTQT09</t>
        </is>
      </c>
      <c r="F75" t="n">
        <v>2</v>
      </c>
      <c r="G75" t="inlineStr">
        <is>
          <t>BG001, BG009</t>
        </is>
      </c>
      <c r="H75" t="inlineStr">
        <is>
          <t>21 Juli 1978</t>
        </is>
      </c>
      <c r="I75" s="2" t="n">
        <v>46361</v>
      </c>
      <c r="J75" t="inlineStr">
        <is>
          <t>Disetujui</t>
        </is>
      </c>
      <c r="K75" t="n">
        <v>60</v>
      </c>
      <c r="L75" t="inlineStr">
        <is>
          <t>5 Desember 2026</t>
        </is>
      </c>
      <c r="M75" t="inlineStr">
        <is>
          <t>Konstruksi Gedung Hunian, Konstruksi Gedung Lainnya</t>
        </is>
      </c>
      <c r="N75" t="inlineStr">
        <is>
          <t>K</t>
        </is>
      </c>
      <c r="O75" t="inlineStr">
        <is>
          <t>20231201, 20231204</t>
        </is>
      </c>
      <c r="P75" t="inlineStr">
        <is>
          <t>Jawa Barat</t>
        </is>
      </c>
      <c r="Q75" t="inlineStr"/>
    </row>
    <row r="76">
      <c r="A76" t="inlineStr">
        <is>
          <t>RAHMAT</t>
        </is>
      </c>
      <c r="B76" t="inlineStr">
        <is>
          <t>Kab. Majene</t>
        </is>
      </c>
      <c r="C76" t="inlineStr">
        <is>
          <t>082336803766</t>
        </is>
      </c>
      <c r="D76" t="inlineStr">
        <is>
          <t>cv.rahmat.majene@gmail.com</t>
        </is>
      </c>
      <c r="E76" t="inlineStr">
        <is>
          <t>https://lpjk.pu.go.id/search-badan-usaha-detail/aEpBSWF1Q09UTGc3ZHpKbDdJNWJ4QT09</t>
        </is>
      </c>
      <c r="F76" t="n">
        <v>2</v>
      </c>
      <c r="G76" t="inlineStr">
        <is>
          <t>BG002</t>
        </is>
      </c>
      <c r="H76" t="inlineStr">
        <is>
          <t>27 Desember 2001</t>
        </is>
      </c>
      <c r="I76" s="2" t="n">
        <v>46361</v>
      </c>
      <c r="J76" t="inlineStr">
        <is>
          <t>Pencabutan</t>
        </is>
      </c>
      <c r="K76" t="n">
        <v>60</v>
      </c>
      <c r="L76" t="inlineStr">
        <is>
          <t>5 Desember 2026</t>
        </is>
      </c>
      <c r="M76" t="inlineStr">
        <is>
          <t>Konstruksi Gedung Perkantoran</t>
        </is>
      </c>
      <c r="N76" t="inlineStr">
        <is>
          <t>K</t>
        </is>
      </c>
      <c r="O76" t="inlineStr">
        <is>
          <t>20231204</t>
        </is>
      </c>
      <c r="P76" t="inlineStr">
        <is>
          <t>Sulawesi Barat</t>
        </is>
      </c>
      <c r="Q76" t="inlineStr"/>
    </row>
    <row r="77">
      <c r="A77" t="inlineStr">
        <is>
          <t>RAJA BELIDO SUKSES</t>
        </is>
      </c>
      <c r="B77" t="inlineStr">
        <is>
          <t>Kota Batam</t>
        </is>
      </c>
      <c r="C77" t="inlineStr">
        <is>
          <t>085208597888</t>
        </is>
      </c>
      <c r="D77" t="inlineStr">
        <is>
          <t>raja.belido@yahoo.com</t>
        </is>
      </c>
      <c r="E77" t="inlineStr">
        <is>
          <t>https://lpjk.pu.go.id/search-badan-usaha-detail/R3BhelVBUkVwVkFWeDlNQmxWR2Y4UT09</t>
        </is>
      </c>
      <c r="F77" t="n">
        <v>1</v>
      </c>
      <c r="G77" t="inlineStr">
        <is>
          <t>BS006</t>
        </is>
      </c>
      <c r="H77" t="inlineStr">
        <is>
          <t>23 Mei 2017</t>
        </is>
      </c>
      <c r="I77" s="2" t="n">
        <v>46361</v>
      </c>
      <c r="J77" t="inlineStr">
        <is>
          <t>Disetujui</t>
        </is>
      </c>
      <c r="K77" t="n">
        <v>60</v>
      </c>
      <c r="L77" t="inlineStr">
        <is>
          <t>5 Desember 2026</t>
        </is>
      </c>
      <c r="M77" t="inlineStr">
        <is>
          <t>Konstruksi Bangunan Sipil Prasarana dan Sarana Sistem Pengolahan Limbah Padat, Cair, dan Gas</t>
        </is>
      </c>
      <c r="N77" t="inlineStr">
        <is>
          <t>K</t>
        </is>
      </c>
      <c r="O77" t="inlineStr">
        <is>
          <t>20231201</t>
        </is>
      </c>
      <c r="P77" t="inlineStr">
        <is>
          <t>Kepulauan Riau</t>
        </is>
      </c>
      <c r="Q77" t="inlineStr"/>
    </row>
    <row r="78">
      <c r="A78" t="inlineStr">
        <is>
          <t>RIZKI KARYA</t>
        </is>
      </c>
      <c r="B78" t="inlineStr">
        <is>
          <t>Kab. Mandailing Natal</t>
        </is>
      </c>
      <c r="C78" t="inlineStr">
        <is>
          <t>082164575757</t>
        </is>
      </c>
      <c r="D78" t="inlineStr">
        <is>
          <t>rizkikaryacv@gmail.com</t>
        </is>
      </c>
      <c r="E78" t="inlineStr">
        <is>
          <t>https://lpjk.pu.go.id/search-badan-usaha-detail/STgrU1BkTE1CMVZHa1d1ei9IODlSQT09</t>
        </is>
      </c>
      <c r="F78" t="n">
        <v>1</v>
      </c>
      <c r="G78" t="inlineStr">
        <is>
          <t>BG005</t>
        </is>
      </c>
      <c r="H78" t="inlineStr">
        <is>
          <t>15 September 2014</t>
        </is>
      </c>
      <c r="I78" s="2" t="n">
        <v>46361</v>
      </c>
      <c r="J78" t="inlineStr">
        <is>
          <t>Disetujui</t>
        </is>
      </c>
      <c r="K78" t="n">
        <v>60</v>
      </c>
      <c r="L78" t="inlineStr">
        <is>
          <t>5 Desember 2026</t>
        </is>
      </c>
      <c r="M78" t="inlineStr">
        <is>
          <t>Konstruksi Gedung Kesehatan</t>
        </is>
      </c>
      <c r="N78" t="inlineStr">
        <is>
          <t>K</t>
        </is>
      </c>
      <c r="O78" t="inlineStr">
        <is>
          <t>20231205</t>
        </is>
      </c>
      <c r="P78" t="inlineStr">
        <is>
          <t>Sumatera Utara</t>
        </is>
      </c>
      <c r="Q78" t="inlineStr"/>
    </row>
    <row r="79">
      <c r="A79" t="inlineStr">
        <is>
          <t>SABILU CIPTA SANTOSA</t>
        </is>
      </c>
      <c r="B79" t="inlineStr">
        <is>
          <t>Kota Bandar Lampung</t>
        </is>
      </c>
      <c r="C79" t="inlineStr">
        <is>
          <t>082282519777</t>
        </is>
      </c>
      <c r="D79" t="inlineStr">
        <is>
          <t>ptsabiluciptasantosa@gmail.com</t>
        </is>
      </c>
      <c r="E79" t="inlineStr">
        <is>
          <t>https://lpjk.pu.go.id/search-badan-usaha-detail/VGpwcmJ2bkUvWGNQcmkwTElqV1JqQT09</t>
        </is>
      </c>
      <c r="F79" t="n">
        <v>1</v>
      </c>
      <c r="G79" t="inlineStr">
        <is>
          <t>BG001</t>
        </is>
      </c>
      <c r="H79" t="inlineStr">
        <is>
          <t>31 Oktober 2023</t>
        </is>
      </c>
      <c r="I79" s="2" t="n">
        <v>46361</v>
      </c>
      <c r="J79" t="inlineStr">
        <is>
          <t>Disetujui</t>
        </is>
      </c>
      <c r="K79" t="n">
        <v>60</v>
      </c>
      <c r="L79" t="inlineStr">
        <is>
          <t>5 Desember 2026</t>
        </is>
      </c>
      <c r="M79" t="inlineStr">
        <is>
          <t>Konstruksi Gedung Hunian</t>
        </is>
      </c>
      <c r="N79" t="inlineStr">
        <is>
          <t>K</t>
        </is>
      </c>
      <c r="O79" t="inlineStr">
        <is>
          <t>20231205</t>
        </is>
      </c>
      <c r="P79" t="inlineStr">
        <is>
          <t>Lampung</t>
        </is>
      </c>
      <c r="Q79" t="inlineStr"/>
    </row>
    <row r="80">
      <c r="A80" t="inlineStr">
        <is>
          <t>SAFIRA KONSTRUKSI</t>
        </is>
      </c>
      <c r="B80" t="inlineStr">
        <is>
          <t>Kab. Banyuwangi</t>
        </is>
      </c>
      <c r="C80" t="inlineStr">
        <is>
          <t>081331083865</t>
        </is>
      </c>
      <c r="D80" t="inlineStr">
        <is>
          <t>safirakonstruksi@gmail.com</t>
        </is>
      </c>
      <c r="E80" t="inlineStr">
        <is>
          <t>https://lpjk.pu.go.id/search-badan-usaha-detail/NnZwR08xMytkaTJYdmdTTFFVdVFKZz09</t>
        </is>
      </c>
      <c r="F80" t="n">
        <v>1</v>
      </c>
      <c r="G80" t="inlineStr">
        <is>
          <t>BS001</t>
        </is>
      </c>
      <c r="H80" t="inlineStr">
        <is>
          <t>3 Agustus 2023</t>
        </is>
      </c>
      <c r="I80" s="2" t="n">
        <v>46361</v>
      </c>
      <c r="J80" t="inlineStr">
        <is>
          <t>Disetujui</t>
        </is>
      </c>
      <c r="K80" t="n">
        <v>60</v>
      </c>
      <c r="L80" t="inlineStr">
        <is>
          <t>5 Desember 2026</t>
        </is>
      </c>
      <c r="M80" t="inlineStr">
        <is>
          <t>Konstruksi Bangunan Sipil Jalan</t>
        </is>
      </c>
      <c r="N80" t="inlineStr">
        <is>
          <t>K</t>
        </is>
      </c>
      <c r="O80" t="inlineStr">
        <is>
          <t>20231205</t>
        </is>
      </c>
      <c r="P80" t="inlineStr">
        <is>
          <t>Jawa Timur</t>
        </is>
      </c>
      <c r="Q80" t="inlineStr"/>
    </row>
    <row r="81">
      <c r="A81" t="inlineStr">
        <is>
          <t>SEKAR JAYA ABADI</t>
        </is>
      </c>
      <c r="B81" t="inlineStr">
        <is>
          <t>Kab. Malang</t>
        </is>
      </c>
      <c r="C81" t="inlineStr">
        <is>
          <t>085100428894</t>
        </is>
      </c>
      <c r="D81" t="inlineStr">
        <is>
          <t>jayaabadisekar@gmail.com</t>
        </is>
      </c>
      <c r="E81" t="inlineStr">
        <is>
          <t>https://lpjk.pu.go.id/search-badan-usaha-detail/Q21HS2xvamJ1VGV3REhZWG9ZKzBYdz09</t>
        </is>
      </c>
      <c r="F81" t="n">
        <v>2</v>
      </c>
      <c r="G81" t="inlineStr">
        <is>
          <t>BG005, BG009</t>
        </is>
      </c>
      <c r="H81" t="inlineStr">
        <is>
          <t>11 November 2005</t>
        </is>
      </c>
      <c r="I81" s="2" t="n">
        <v>46361</v>
      </c>
      <c r="J81" t="inlineStr">
        <is>
          <t>Disetujui</t>
        </is>
      </c>
      <c r="K81" t="n">
        <v>60</v>
      </c>
      <c r="L81" t="inlineStr">
        <is>
          <t>5 Desember 2026</t>
        </is>
      </c>
      <c r="M81" t="inlineStr">
        <is>
          <t>Konstruksi Gedung Kesehatan, Konstruksi Gedung Lainnya</t>
        </is>
      </c>
      <c r="N81" t="inlineStr">
        <is>
          <t>K</t>
        </is>
      </c>
      <c r="O81" t="inlineStr">
        <is>
          <t>20231206</t>
        </is>
      </c>
      <c r="P81" t="inlineStr">
        <is>
          <t>Jawa Timur</t>
        </is>
      </c>
      <c r="Q81" t="inlineStr"/>
    </row>
    <row r="82">
      <c r="A82" t="inlineStr">
        <is>
          <t>SEKAWAN JAYA UTAMA</t>
        </is>
      </c>
      <c r="B82" t="inlineStr">
        <is>
          <t>Kab. Jembrana</t>
        </is>
      </c>
      <c r="C82" t="inlineStr">
        <is>
          <t>085303620071</t>
        </is>
      </c>
      <c r="D82" t="inlineStr">
        <is>
          <t>sekawanjayautama.ngr@gmail.com</t>
        </is>
      </c>
      <c r="E82" t="inlineStr">
        <is>
          <t>https://lpjk.pu.go.id/search-badan-usaha-detail/SksxaTZOcDVpd2ZnZFBxU3lhOXlrZz09</t>
        </is>
      </c>
      <c r="F82" t="n">
        <v>6</v>
      </c>
      <c r="G82" t="inlineStr">
        <is>
          <t>BG005, BG009, BS001</t>
        </is>
      </c>
      <c r="H82" t="inlineStr">
        <is>
          <t>24 Februari 2003</t>
        </is>
      </c>
      <c r="I82" s="2" t="n">
        <v>46361</v>
      </c>
      <c r="J82" t="inlineStr">
        <is>
          <t>Disetujui</t>
        </is>
      </c>
      <c r="K82" t="n">
        <v>60</v>
      </c>
      <c r="L82" t="inlineStr">
        <is>
          <t>5 Desember 2026</t>
        </is>
      </c>
      <c r="M82" t="inlineStr">
        <is>
          <t>Konstruksi Bangunan Sipil Jalan, Konstruksi Gedung Kesehatan, Konstruksi Gedung Lainnya</t>
        </is>
      </c>
      <c r="N82" t="inlineStr">
        <is>
          <t>K</t>
        </is>
      </c>
      <c r="O82" t="inlineStr">
        <is>
          <t>20231130</t>
        </is>
      </c>
      <c r="P82" t="inlineStr">
        <is>
          <t>Bali</t>
        </is>
      </c>
      <c r="Q82" t="inlineStr"/>
    </row>
    <row r="83">
      <c r="A83" t="inlineStr">
        <is>
          <t>SINAR PERMATA GLOBAL</t>
        </is>
      </c>
      <c r="B83" t="inlineStr">
        <is>
          <t>Kota Semarang</t>
        </is>
      </c>
      <c r="C83" t="inlineStr">
        <is>
          <t>0246594148</t>
        </is>
      </c>
      <c r="D83" t="inlineStr">
        <is>
          <t>sinar_permata_global@yahoo.co.id</t>
        </is>
      </c>
      <c r="E83" t="inlineStr">
        <is>
          <t>https://lpjk.pu.go.id/search-badan-usaha-detail/TDhpVjVjajRDOUFyVUQ2RXlGb1U1dz09</t>
        </is>
      </c>
      <c r="F83" t="n">
        <v>1</v>
      </c>
      <c r="G83" t="inlineStr">
        <is>
          <t>BG004</t>
        </is>
      </c>
      <c r="H83" t="inlineStr">
        <is>
          <t>3 Maret 1997</t>
        </is>
      </c>
      <c r="I83" s="2" t="n">
        <v>46361</v>
      </c>
      <c r="J83" t="inlineStr">
        <is>
          <t>Disetujui</t>
        </is>
      </c>
      <c r="K83" t="n">
        <v>60</v>
      </c>
      <c r="L83" t="inlineStr">
        <is>
          <t>5 Desember 2026</t>
        </is>
      </c>
      <c r="M83" t="inlineStr">
        <is>
          <t>Konstruksi Gedung Perbelanjaan</t>
        </is>
      </c>
      <c r="N83" t="inlineStr">
        <is>
          <t>K</t>
        </is>
      </c>
      <c r="O83" t="inlineStr">
        <is>
          <t>20231204</t>
        </is>
      </c>
      <c r="P83" t="inlineStr">
        <is>
          <t>Jawa Tengah</t>
        </is>
      </c>
      <c r="Q83" t="inlineStr"/>
    </row>
    <row r="84">
      <c r="A84" t="inlineStr">
        <is>
          <t>SINDU PERKASA</t>
        </is>
      </c>
      <c r="B84" t="inlineStr">
        <is>
          <t>Kab. Majalengka</t>
        </is>
      </c>
      <c r="C84" t="inlineStr">
        <is>
          <t>085224205749</t>
        </is>
      </c>
      <c r="D84" t="inlineStr">
        <is>
          <t>cvsindup@gmail.com</t>
        </is>
      </c>
      <c r="E84" t="inlineStr">
        <is>
          <t>https://lpjk.pu.go.id/search-badan-usaha-detail/Z0VKeUl3eGtrY2oxcGh2czR1NXRhUT09</t>
        </is>
      </c>
      <c r="F84" t="n">
        <v>2</v>
      </c>
      <c r="G84" t="inlineStr">
        <is>
          <t>BS001, BS004</t>
        </is>
      </c>
      <c r="H84" t="inlineStr">
        <is>
          <t>17 April 2007</t>
        </is>
      </c>
      <c r="I84" s="2" t="n">
        <v>46361</v>
      </c>
      <c r="J84" t="inlineStr">
        <is>
          <t>Disetujui</t>
        </is>
      </c>
      <c r="K84" t="n">
        <v>60</v>
      </c>
      <c r="L84" t="inlineStr">
        <is>
          <t>5 Desember 2026</t>
        </is>
      </c>
      <c r="M84" t="inlineStr">
        <is>
          <t>Konstruksi Bangunan Sipil Jalan, Konstruksi Jaringan Irigasi dan Drainase</t>
        </is>
      </c>
      <c r="N84" t="inlineStr">
        <is>
          <t>K</t>
        </is>
      </c>
      <c r="O84" t="inlineStr">
        <is>
          <t>20231205, 20231206</t>
        </is>
      </c>
      <c r="P84" t="inlineStr">
        <is>
          <t>Jawa Barat</t>
        </is>
      </c>
      <c r="Q84" t="inlineStr"/>
    </row>
    <row r="85">
      <c r="A85" t="inlineStr">
        <is>
          <t>SINTESIS SELARAS SINERGI</t>
        </is>
      </c>
      <c r="B85" t="inlineStr">
        <is>
          <t>Kota Surabaya</t>
        </is>
      </c>
      <c r="C85" t="inlineStr">
        <is>
          <t>081328211031</t>
        </is>
      </c>
      <c r="D85" t="inlineStr">
        <is>
          <t>aska@sintesis.id</t>
        </is>
      </c>
      <c r="E85" t="inlineStr">
        <is>
          <t>https://lpjk.pu.go.id/search-badan-usaha-detail/Q0JkTFpHak82S2dkK0xGbC80eGZNQT09</t>
        </is>
      </c>
      <c r="F85" t="n">
        <v>2</v>
      </c>
      <c r="G85" t="inlineStr">
        <is>
          <t>BG008</t>
        </is>
      </c>
      <c r="H85" t="inlineStr">
        <is>
          <t>28 September 2016</t>
        </is>
      </c>
      <c r="I85" s="2" t="n">
        <v>46361</v>
      </c>
      <c r="J85" t="inlineStr">
        <is>
          <t>Disetujui</t>
        </is>
      </c>
      <c r="K85" t="n">
        <v>60</v>
      </c>
      <c r="L85" t="inlineStr">
        <is>
          <t>5 Desember 2026</t>
        </is>
      </c>
      <c r="M85" t="inlineStr">
        <is>
          <t>Konstruksi Gedung Tempat Hiburan dan Olahraga</t>
        </is>
      </c>
      <c r="N85" t="inlineStr">
        <is>
          <t>K</t>
        </is>
      </c>
      <c r="O85" t="inlineStr">
        <is>
          <t>20231130</t>
        </is>
      </c>
      <c r="P85" t="inlineStr">
        <is>
          <t>Jawa Timur</t>
        </is>
      </c>
      <c r="Q85" t="inlineStr"/>
    </row>
    <row r="86">
      <c r="A86" t="inlineStr">
        <is>
          <t>SIRARA AGUNG JAYA</t>
        </is>
      </c>
      <c r="B86" t="inlineStr">
        <is>
          <t>Kota Adm. Jakarta Selatan</t>
        </is>
      </c>
      <c r="C86" t="inlineStr">
        <is>
          <t>02173691502</t>
        </is>
      </c>
      <c r="D86" t="inlineStr">
        <is>
          <t>siraraagungjaya@ymail.com</t>
        </is>
      </c>
      <c r="E86" t="inlineStr">
        <is>
          <t>https://lpjk.pu.go.id/search-badan-usaha-detail/OHBVZzNyV0xoT2hJSVo2Q01QUzZBUT09</t>
        </is>
      </c>
      <c r="F86" t="n">
        <v>5</v>
      </c>
      <c r="G86" t="inlineStr">
        <is>
          <t>BG001, BG002, BG005, BG006, BG009</t>
        </is>
      </c>
      <c r="H86" t="inlineStr">
        <is>
          <t>26 Juli 2000</t>
        </is>
      </c>
      <c r="I86" s="2" t="n">
        <v>46361</v>
      </c>
      <c r="J86" t="inlineStr">
        <is>
          <t>Disetujui</t>
        </is>
      </c>
      <c r="K86" t="n">
        <v>60</v>
      </c>
      <c r="L86" t="inlineStr">
        <is>
          <t>5 Desember 2026</t>
        </is>
      </c>
      <c r="M86" t="inlineStr">
        <is>
          <t>Konstruksi Gedung Hunian, Konstruksi Gedung Kesehatan, Konstruksi Gedung Lainnya, Konstruksi Gedung Pendidikan, Konstruksi Gedung Perkantoran</t>
        </is>
      </c>
      <c r="N86" t="inlineStr">
        <is>
          <t>K</t>
        </is>
      </c>
      <c r="O86" t="inlineStr">
        <is>
          <t>20231130</t>
        </is>
      </c>
      <c r="P86" t="inlineStr">
        <is>
          <t>DKI Jakarta</t>
        </is>
      </c>
      <c r="Q86" t="inlineStr"/>
    </row>
    <row r="87">
      <c r="A87" t="inlineStr">
        <is>
          <t>SOBAT RR</t>
        </is>
      </c>
      <c r="B87" t="inlineStr">
        <is>
          <t>Kota Medan</t>
        </is>
      </c>
      <c r="C87" t="inlineStr">
        <is>
          <t>08116755666</t>
        </is>
      </c>
      <c r="D87" t="inlineStr">
        <is>
          <t>sobat.2r@gmail.com</t>
        </is>
      </c>
      <c r="E87" t="inlineStr">
        <is>
          <t>https://lpjk.pu.go.id/search-badan-usaha-detail/eHZ5OVNzalR2VVF1ckNnRTJQdXdWdz09</t>
        </is>
      </c>
      <c r="F87" t="n">
        <v>3</v>
      </c>
      <c r="G87" t="inlineStr">
        <is>
          <t>BG001, BG006, BG009</t>
        </is>
      </c>
      <c r="H87" t="inlineStr">
        <is>
          <t>18 Agustus 2022</t>
        </is>
      </c>
      <c r="I87" s="2" t="n">
        <v>46361</v>
      </c>
      <c r="J87" t="inlineStr">
        <is>
          <t>Disetujui</t>
        </is>
      </c>
      <c r="K87" t="n">
        <v>60</v>
      </c>
      <c r="L87" t="inlineStr">
        <is>
          <t>5 Desember 2026</t>
        </is>
      </c>
      <c r="M87" t="inlineStr">
        <is>
          <t>Konstruksi Gedung Hunian, Konstruksi Gedung Lainnya, Konstruksi Gedung Pendidikan</t>
        </is>
      </c>
      <c r="N87" t="inlineStr">
        <is>
          <t>K</t>
        </is>
      </c>
      <c r="O87" t="inlineStr">
        <is>
          <t>20231110</t>
        </is>
      </c>
      <c r="P87" t="inlineStr">
        <is>
          <t>Sumatera Utara</t>
        </is>
      </c>
      <c r="Q87" t="inlineStr"/>
    </row>
    <row r="88">
      <c r="A88" t="inlineStr">
        <is>
          <t>SUMAJAKA BUANA KREASI</t>
        </is>
      </c>
      <c r="B88" t="inlineStr">
        <is>
          <t>Kota Adm. Jakarta Barat</t>
        </is>
      </c>
      <c r="C88" t="inlineStr">
        <is>
          <t>0215443702</t>
        </is>
      </c>
      <c r="D88" t="inlineStr">
        <is>
          <t>sumajaka.2004@gmail.com</t>
        </is>
      </c>
      <c r="E88" t="inlineStr">
        <is>
          <t>https://lpjk.pu.go.id/search-badan-usaha-detail/ZEFoM0NlUGF2Y0lxdlI2aWxFRGNYQT09</t>
        </is>
      </c>
      <c r="F88" t="n">
        <v>1</v>
      </c>
      <c r="G88" t="inlineStr">
        <is>
          <t>BG009</t>
        </is>
      </c>
      <c r="H88" t="inlineStr">
        <is>
          <t>15 Oktober 2004</t>
        </is>
      </c>
      <c r="I88" s="2" t="n">
        <v>46361</v>
      </c>
      <c r="J88" t="inlineStr">
        <is>
          <t>Disetujui</t>
        </is>
      </c>
      <c r="K88" t="n">
        <v>60</v>
      </c>
      <c r="L88" t="inlineStr">
        <is>
          <t>5 Desember 2026</t>
        </is>
      </c>
      <c r="M88" t="inlineStr">
        <is>
          <t>Konstruksi Gedung Lainnya</t>
        </is>
      </c>
      <c r="N88" t="inlineStr">
        <is>
          <t>K</t>
        </is>
      </c>
      <c r="O88" t="inlineStr">
        <is>
          <t>20230711</t>
        </is>
      </c>
      <c r="P88" t="inlineStr">
        <is>
          <t>DKI Jakarta</t>
        </is>
      </c>
      <c r="Q88" t="inlineStr"/>
    </row>
    <row r="89">
      <c r="A89" t="inlineStr">
        <is>
          <t>SUMBER SARI MAKMUR</t>
        </is>
      </c>
      <c r="B89" t="inlineStr">
        <is>
          <t>Kota Bontang</t>
        </is>
      </c>
      <c r="C89" t="inlineStr">
        <is>
          <t>0813 4896 6928</t>
        </is>
      </c>
      <c r="D89" t="inlineStr">
        <is>
          <t>cvsumbersarimakmur@gmail.com</t>
        </is>
      </c>
      <c r="E89" t="inlineStr">
        <is>
          <t>https://lpjk.pu.go.id/search-badan-usaha-detail/MVFSWHI4U2JzMm9ya1d4Ky9jakl6dz09</t>
        </is>
      </c>
      <c r="F89" t="n">
        <v>2</v>
      </c>
      <c r="G89" t="inlineStr">
        <is>
          <t>BG006, BG009</t>
        </is>
      </c>
      <c r="H89" t="inlineStr">
        <is>
          <t>12 Oktober 2013</t>
        </is>
      </c>
      <c r="I89" s="2" t="n">
        <v>46361</v>
      </c>
      <c r="J89" t="inlineStr">
        <is>
          <t>Disetujui</t>
        </is>
      </c>
      <c r="K89" t="n">
        <v>60</v>
      </c>
      <c r="L89" t="inlineStr">
        <is>
          <t>5 Desember 2026</t>
        </is>
      </c>
      <c r="M89" t="inlineStr">
        <is>
          <t>Konstruksi Gedung Lainnya, Konstruksi Gedung Pendidikan</t>
        </is>
      </c>
      <c r="N89" t="inlineStr">
        <is>
          <t>K</t>
        </is>
      </c>
      <c r="O89" t="inlineStr">
        <is>
          <t>20231203</t>
        </is>
      </c>
      <c r="P89" t="inlineStr">
        <is>
          <t>Kalimantan Timur</t>
        </is>
      </c>
      <c r="Q89" t="inlineStr"/>
    </row>
    <row r="90">
      <c r="A90" t="inlineStr">
        <is>
          <t>SWADAYA CIPTA</t>
        </is>
      </c>
      <c r="B90" t="inlineStr">
        <is>
          <t>Kab. Gresik</t>
        </is>
      </c>
      <c r="C90" t="inlineStr">
        <is>
          <t>03139923700</t>
        </is>
      </c>
      <c r="D90" t="inlineStr">
        <is>
          <t>admin@swadayacipta.com</t>
        </is>
      </c>
      <c r="E90" t="inlineStr">
        <is>
          <t>https://lpjk.pu.go.id/search-badan-usaha-detail/OWUxYkJ0MnZPVHJ2bFdKSjR5N24vQT09</t>
        </is>
      </c>
      <c r="F90" t="n">
        <v>1</v>
      </c>
      <c r="G90" t="inlineStr">
        <is>
          <t>BG009</t>
        </is>
      </c>
      <c r="H90" t="inlineStr">
        <is>
          <t>23 Agustus 2005</t>
        </is>
      </c>
      <c r="I90" s="2" t="n">
        <v>46361</v>
      </c>
      <c r="J90" t="inlineStr">
        <is>
          <t>Disetujui</t>
        </is>
      </c>
      <c r="K90" t="n">
        <v>60</v>
      </c>
      <c r="L90" t="inlineStr">
        <is>
          <t>5 Desember 2026</t>
        </is>
      </c>
      <c r="M90" t="inlineStr">
        <is>
          <t>Konstruksi Gedung Lainnya</t>
        </is>
      </c>
      <c r="N90" t="inlineStr">
        <is>
          <t>M</t>
        </is>
      </c>
      <c r="O90" t="inlineStr">
        <is>
          <t>20231120</t>
        </is>
      </c>
      <c r="P90" t="inlineStr">
        <is>
          <t>Jawa Timur</t>
        </is>
      </c>
      <c r="Q90" t="inlineStr"/>
    </row>
    <row r="91">
      <c r="A91" t="inlineStr">
        <is>
          <t>SWADAYA GRAHA</t>
        </is>
      </c>
      <c r="B91" t="inlineStr">
        <is>
          <t>Kab. Gresik</t>
        </is>
      </c>
      <c r="C91" t="inlineStr">
        <is>
          <t>031394477</t>
        </is>
      </c>
      <c r="D91" t="inlineStr">
        <is>
          <t>contact@swadayagraha.com</t>
        </is>
      </c>
      <c r="E91" t="inlineStr">
        <is>
          <t>https://lpjk.pu.go.id/search-badan-usaha-detail/bjkvUU5VeXZQMFlZSUZZK0lnOUt3Zz09</t>
        </is>
      </c>
      <c r="F91" t="n">
        <v>1</v>
      </c>
      <c r="G91" t="inlineStr">
        <is>
          <t>IN007</t>
        </is>
      </c>
      <c r="H91" t="inlineStr">
        <is>
          <t>11 November 1985</t>
        </is>
      </c>
      <c r="I91" s="2" t="n">
        <v>46361</v>
      </c>
      <c r="J91" t="inlineStr">
        <is>
          <t>Disetujui</t>
        </is>
      </c>
      <c r="K91" t="n">
        <v>60</v>
      </c>
      <c r="L91" t="inlineStr">
        <is>
          <t>5 Desember 2026</t>
        </is>
      </c>
      <c r="M91" t="inlineStr">
        <is>
          <t>Instalasi Saluran Air (Plambing)</t>
        </is>
      </c>
      <c r="N91" t="inlineStr">
        <is>
          <t>Spesialis</t>
        </is>
      </c>
      <c r="O91" t="inlineStr">
        <is>
          <t>20231120</t>
        </is>
      </c>
      <c r="P91" t="inlineStr">
        <is>
          <t>Jawa Timur</t>
        </is>
      </c>
      <c r="Q91" t="inlineStr"/>
    </row>
    <row r="92">
      <c r="A92" t="inlineStr">
        <is>
          <t>TASYA IRIANI</t>
        </is>
      </c>
      <c r="B92" t="inlineStr">
        <is>
          <t>Kab. Kepulauan Yapen</t>
        </is>
      </c>
      <c r="C92" t="inlineStr">
        <is>
          <t>082154649659</t>
        </is>
      </c>
      <c r="D92" t="inlineStr">
        <is>
          <t>cv.tasyairiani@gmail.com</t>
        </is>
      </c>
      <c r="E92" t="inlineStr">
        <is>
          <t>https://lpjk.pu.go.id/search-badan-usaha-detail/UW1JaWg5Tm1SbEFERWFQWE13TUpvdz09</t>
        </is>
      </c>
      <c r="F92" t="n">
        <v>1</v>
      </c>
      <c r="G92" t="inlineStr">
        <is>
          <t>BS001</t>
        </is>
      </c>
      <c r="H92" t="inlineStr">
        <is>
          <t>4 Juni 2012</t>
        </is>
      </c>
      <c r="I92" s="2" t="n">
        <v>46361</v>
      </c>
      <c r="J92" t="inlineStr">
        <is>
          <t>Pencabutan</t>
        </is>
      </c>
      <c r="K92" t="n">
        <v>60</v>
      </c>
      <c r="L92" t="inlineStr">
        <is>
          <t>5 Desember 2026</t>
        </is>
      </c>
      <c r="M92" t="inlineStr">
        <is>
          <t>Konstruksi Bangunan Sipil Jalan</t>
        </is>
      </c>
      <c r="N92" t="inlineStr">
        <is>
          <t>K</t>
        </is>
      </c>
      <c r="O92" t="inlineStr">
        <is>
          <t>20231204</t>
        </is>
      </c>
      <c r="P92" t="inlineStr">
        <is>
          <t>Papua</t>
        </is>
      </c>
      <c r="Q92" t="inlineStr"/>
    </row>
    <row r="93">
      <c r="A93" t="inlineStr">
        <is>
          <t>TATA BUMI KONSTRUKSI</t>
        </is>
      </c>
      <c r="B93" t="inlineStr">
        <is>
          <t>Kota Tasikmalaya</t>
        </is>
      </c>
      <c r="C93" t="inlineStr">
        <is>
          <t>0895378939337</t>
        </is>
      </c>
      <c r="D93" t="inlineStr">
        <is>
          <t>tatabumikonstru@gmail.com</t>
        </is>
      </c>
      <c r="E93" t="inlineStr">
        <is>
          <t>https://lpjk.pu.go.id/search-badan-usaha-detail/djM3UmNmS1dGWXlCaVVPNVBFUXhrUT09</t>
        </is>
      </c>
      <c r="F93" t="n">
        <v>3</v>
      </c>
      <c r="G93" t="inlineStr">
        <is>
          <t>BG005, BG006, BS001</t>
        </is>
      </c>
      <c r="H93" t="inlineStr">
        <is>
          <t>2 Februari 2022</t>
        </is>
      </c>
      <c r="I93" s="2" t="n">
        <v>46361</v>
      </c>
      <c r="J93" t="inlineStr">
        <is>
          <t>Disetujui</t>
        </is>
      </c>
      <c r="K93" t="n">
        <v>60</v>
      </c>
      <c r="L93" t="inlineStr">
        <is>
          <t>5 Desember 2026</t>
        </is>
      </c>
      <c r="M93" t="inlineStr">
        <is>
          <t>Konstruksi Bangunan Sipil Jalan, Konstruksi Gedung Kesehatan, Konstruksi Gedung Pendidikan</t>
        </is>
      </c>
      <c r="N93" t="inlineStr">
        <is>
          <t>K</t>
        </is>
      </c>
      <c r="O93" t="inlineStr">
        <is>
          <t>20231201, 20231205</t>
        </is>
      </c>
      <c r="P93" t="inlineStr">
        <is>
          <t>Jawa Barat</t>
        </is>
      </c>
      <c r="Q93" t="inlineStr"/>
    </row>
    <row r="94">
      <c r="A94" t="inlineStr">
        <is>
          <t>TATA KARYA PRATAMA</t>
        </is>
      </c>
      <c r="B94" t="inlineStr">
        <is>
          <t>Kota Padang</t>
        </is>
      </c>
      <c r="C94" t="inlineStr">
        <is>
          <t>082381956101</t>
        </is>
      </c>
      <c r="D94" t="inlineStr">
        <is>
          <t>tatakaryapratama@gmail.com</t>
        </is>
      </c>
      <c r="E94" t="inlineStr">
        <is>
          <t>https://lpjk.pu.go.id/search-badan-usaha-detail/YzJkbXk1bnM0Sk5xdzNMb0FOTzFrdz09</t>
        </is>
      </c>
      <c r="F94" t="n">
        <v>1</v>
      </c>
      <c r="G94" t="inlineStr">
        <is>
          <t>BG002</t>
        </is>
      </c>
      <c r="H94" t="inlineStr">
        <is>
          <t>31 Maret 2016</t>
        </is>
      </c>
      <c r="I94" s="2" t="n">
        <v>46361</v>
      </c>
      <c r="J94" t="inlineStr">
        <is>
          <t>Disetujui</t>
        </is>
      </c>
      <c r="K94" t="n">
        <v>60</v>
      </c>
      <c r="L94" t="inlineStr">
        <is>
          <t>5 Desember 2026</t>
        </is>
      </c>
      <c r="M94" t="inlineStr">
        <is>
          <t>Konstruksi Gedung Perkantoran</t>
        </is>
      </c>
      <c r="N94" t="inlineStr">
        <is>
          <t>K</t>
        </is>
      </c>
      <c r="O94" t="inlineStr">
        <is>
          <t>20231205</t>
        </is>
      </c>
      <c r="P94" t="inlineStr">
        <is>
          <t>Sumatera Barat</t>
        </is>
      </c>
      <c r="Q94" t="inlineStr"/>
    </row>
    <row r="95">
      <c r="A95" t="inlineStr">
        <is>
          <t>TRI KARYA</t>
        </is>
      </c>
      <c r="B95" t="inlineStr">
        <is>
          <t>Kab. Cilacap</t>
        </is>
      </c>
      <c r="C95" t="inlineStr">
        <is>
          <t>085747929333</t>
        </is>
      </c>
      <c r="D95" t="inlineStr">
        <is>
          <t>trikaryacilacap@gmail.com</t>
        </is>
      </c>
      <c r="E95" t="inlineStr">
        <is>
          <t>https://lpjk.pu.go.id/search-badan-usaha-detail/Nk5yY1lFd1hqSXlsdG1xcEkrNml5UT09</t>
        </is>
      </c>
      <c r="F95" t="n">
        <v>6</v>
      </c>
      <c r="G95" t="inlineStr">
        <is>
          <t>BG002, BG005, BG006, BG009, BS001, BS004</t>
        </is>
      </c>
      <c r="H95" t="inlineStr">
        <is>
          <t>1 Agustus 1997</t>
        </is>
      </c>
      <c r="I95" s="2" t="n">
        <v>46361</v>
      </c>
      <c r="J95" t="inlineStr">
        <is>
          <t>Disetujui</t>
        </is>
      </c>
      <c r="K95" t="n">
        <v>60</v>
      </c>
      <c r="L95" t="inlineStr">
        <is>
          <t>5 Desember 2026</t>
        </is>
      </c>
      <c r="M95" t="inlineStr">
        <is>
          <t>Konstruksi Bangunan Sipil Jalan, Konstruksi Gedung Kesehatan, Konstruksi Gedung Lainnya, Konstruksi Gedung Pendidikan, Konstruksi Gedung Perkantoran, Konstruksi Jaringan Irigasi dan Drainase</t>
        </is>
      </c>
      <c r="N95" t="inlineStr">
        <is>
          <t>K</t>
        </is>
      </c>
      <c r="O95" t="inlineStr">
        <is>
          <t>20231130</t>
        </is>
      </c>
      <c r="P95" t="inlineStr">
        <is>
          <t>Jawa Tengah</t>
        </is>
      </c>
      <c r="Q95" t="inlineStr"/>
    </row>
    <row r="96">
      <c r="A96" t="inlineStr">
        <is>
          <t>TRITAMA MITRA LESTARI</t>
        </is>
      </c>
      <c r="B96" t="inlineStr">
        <is>
          <t>Kota Bandung</t>
        </is>
      </c>
      <c r="C96" t="inlineStr">
        <is>
          <t>082120098932</t>
        </is>
      </c>
      <c r="D96" t="inlineStr">
        <is>
          <t>corp-secretary@tmlenergy.co.id</t>
        </is>
      </c>
      <c r="E96" t="inlineStr">
        <is>
          <t>https://lpjk.pu.go.id/search-badan-usaha-detail/WEtkb0JsWk5uQUYrZ3hKVkZjbHYrZz09</t>
        </is>
      </c>
      <c r="F96" t="n">
        <v>1</v>
      </c>
      <c r="G96" t="inlineStr">
        <is>
          <t>BS007</t>
        </is>
      </c>
      <c r="H96" t="inlineStr">
        <is>
          <t>20 November 2010</t>
        </is>
      </c>
      <c r="I96" s="2" t="n">
        <v>46361</v>
      </c>
      <c r="J96" t="inlineStr">
        <is>
          <t>Pembekuan</t>
        </is>
      </c>
      <c r="K96" t="n">
        <v>60</v>
      </c>
      <c r="L96" t="inlineStr">
        <is>
          <t>5 Desember 2026</t>
        </is>
      </c>
      <c r="M96" t="inlineStr">
        <is>
          <t>Konstruksi Bangunan Sipil Elektrikal</t>
        </is>
      </c>
      <c r="N96" t="inlineStr">
        <is>
          <t>M</t>
        </is>
      </c>
      <c r="O96" t="inlineStr">
        <is>
          <t>20231201</t>
        </is>
      </c>
      <c r="P96" t="inlineStr">
        <is>
          <t>Jawa Barat</t>
        </is>
      </c>
      <c r="Q96" t="inlineStr"/>
    </row>
    <row r="97">
      <c r="A97" t="inlineStr">
        <is>
          <t>UTAMA SINERGI PERSADA</t>
        </is>
      </c>
      <c r="B97" t="inlineStr">
        <is>
          <t>Kota Adm. Jakarta Selatan</t>
        </is>
      </c>
      <c r="C97" t="inlineStr">
        <is>
          <t>085881581588</t>
        </is>
      </c>
      <c r="D97" t="inlineStr">
        <is>
          <t>legal@usp.co.id</t>
        </is>
      </c>
      <c r="E97" t="inlineStr">
        <is>
          <t>https://lpjk.pu.go.id/search-badan-usaha-detail/OHFucUdJTFIva1JzdnUwZEkwQXJIUT09</t>
        </is>
      </c>
      <c r="F97" t="n">
        <v>1</v>
      </c>
      <c r="G97" t="inlineStr">
        <is>
          <t>BG001</t>
        </is>
      </c>
      <c r="H97" t="inlineStr">
        <is>
          <t>3 Agustus 2012</t>
        </is>
      </c>
      <c r="I97" s="2" t="n">
        <v>46361</v>
      </c>
      <c r="J97" t="inlineStr">
        <is>
          <t>Disetujui</t>
        </is>
      </c>
      <c r="K97" t="n">
        <v>60</v>
      </c>
      <c r="L97" t="inlineStr">
        <is>
          <t>5 Desember 2026</t>
        </is>
      </c>
      <c r="M97" t="inlineStr">
        <is>
          <t>Konstruksi Gedung Hunian</t>
        </is>
      </c>
      <c r="N97" t="inlineStr">
        <is>
          <t>K</t>
        </is>
      </c>
      <c r="O97" t="inlineStr">
        <is>
          <t>20230613</t>
        </is>
      </c>
      <c r="P97" t="inlineStr">
        <is>
          <t>DKI Jakarta</t>
        </is>
      </c>
      <c r="Q97" t="inlineStr"/>
    </row>
    <row r="98">
      <c r="A98" t="inlineStr">
        <is>
          <t>WAHYU JAYA PERKASA</t>
        </is>
      </c>
      <c r="B98" t="inlineStr">
        <is>
          <t>Kota Balikpapan</t>
        </is>
      </c>
      <c r="C98" t="inlineStr">
        <is>
          <t>081253924149</t>
        </is>
      </c>
      <c r="D98" t="inlineStr">
        <is>
          <t>wahyujayamandiri@yahoo.com</t>
        </is>
      </c>
      <c r="E98" t="inlineStr">
        <is>
          <t>https://lpjk.pu.go.id/search-badan-usaha-detail/YjdEV3ZBRW1wTWZvYnUrL2c4b1dNUT09</t>
        </is>
      </c>
      <c r="F98" t="n">
        <v>5</v>
      </c>
      <c r="G98" t="inlineStr">
        <is>
          <t>BG003, BG005, BG006, BG008, BG009</t>
        </is>
      </c>
      <c r="H98" t="inlineStr">
        <is>
          <t>28 April 2004</t>
        </is>
      </c>
      <c r="I98" s="2" t="n">
        <v>46361</v>
      </c>
      <c r="J98" t="inlineStr">
        <is>
          <t>Disetujui</t>
        </is>
      </c>
      <c r="K98" t="n">
        <v>60</v>
      </c>
      <c r="L98" t="inlineStr">
        <is>
          <t>5 Desember 2026</t>
        </is>
      </c>
      <c r="M98" t="inlineStr">
        <is>
          <t>Konstruksi Gedung Industri, Konstruksi Gedung Kesehatan, Konstruksi Gedung Lainnya, Konstruksi Gedung Pendidikan, Konstruksi Gedung Tempat Hiburan dan Olahraga</t>
        </is>
      </c>
      <c r="N98" t="inlineStr">
        <is>
          <t>K</t>
        </is>
      </c>
      <c r="O98" t="inlineStr">
        <is>
          <t>20231204, 20231205</t>
        </is>
      </c>
      <c r="P98" t="inlineStr">
        <is>
          <t>Kalimantan Timur</t>
        </is>
      </c>
      <c r="Q98" t="inlineStr"/>
    </row>
    <row r="99">
      <c r="A99" t="inlineStr">
        <is>
          <t>WIDYA GRAHA PRATAMA</t>
        </is>
      </c>
      <c r="B99" t="inlineStr">
        <is>
          <t>Kab. Kotawaringin Barat</t>
        </is>
      </c>
      <c r="C99" t="inlineStr">
        <is>
          <t>08115239505</t>
        </is>
      </c>
      <c r="D99" t="inlineStr">
        <is>
          <t>widyagrahapratama@gmail.com</t>
        </is>
      </c>
      <c r="E99" t="inlineStr">
        <is>
          <t>https://lpjk.pu.go.id/search-badan-usaha-detail/SU9LbGJJTlk0T2dsbVdGeUtOa0tDQT09</t>
        </is>
      </c>
      <c r="F99" t="n">
        <v>1</v>
      </c>
      <c r="G99" t="inlineStr">
        <is>
          <t>RK003</t>
        </is>
      </c>
      <c r="H99" t="inlineStr">
        <is>
          <t>6 Januari 2025</t>
        </is>
      </c>
      <c r="I99" s="2" t="n">
        <v>46361</v>
      </c>
      <c r="J99" t="inlineStr">
        <is>
          <t>Disetujui</t>
        </is>
      </c>
      <c r="K99" t="n">
        <v>60</v>
      </c>
      <c r="L99" t="inlineStr">
        <is>
          <t>5 Desember 2026</t>
        </is>
      </c>
      <c r="M99" t="inlineStr">
        <is>
          <t>Jasa Rekayasa Pekerjaan Teknik Sipil Transportasi</t>
        </is>
      </c>
      <c r="N99" t="inlineStr">
        <is>
          <t>K</t>
        </is>
      </c>
      <c r="O99" t="inlineStr">
        <is>
          <t>20231128</t>
        </is>
      </c>
      <c r="P99" t="inlineStr">
        <is>
          <t>Kalimantan Tengah</t>
        </is>
      </c>
      <c r="Q99" t="inlineStr"/>
    </row>
    <row r="100">
      <c r="A100" t="inlineStr">
        <is>
          <t>YUDA PUTRA JAYA</t>
        </is>
      </c>
      <c r="B100" t="inlineStr">
        <is>
          <t>Kab. Pasuruan</t>
        </is>
      </c>
      <c r="C100" t="inlineStr">
        <is>
          <t>085708520033</t>
        </is>
      </c>
      <c r="D100" t="inlineStr">
        <is>
          <t>budiono@multicleanindonesia.com</t>
        </is>
      </c>
      <c r="E100" t="inlineStr">
        <is>
          <t>https://lpjk.pu.go.id/search-badan-usaha-detail/Z1hBVUI4SnlUWDN6aUl4d1pjYUp5UT09</t>
        </is>
      </c>
      <c r="F100" t="n">
        <v>1</v>
      </c>
      <c r="G100" t="inlineStr">
        <is>
          <t>BG003</t>
        </is>
      </c>
      <c r="H100" t="inlineStr">
        <is>
          <t>8 Desember 2022</t>
        </is>
      </c>
      <c r="I100" s="2" t="n">
        <v>46361</v>
      </c>
      <c r="J100" t="inlineStr">
        <is>
          <t>Disetujui</t>
        </is>
      </c>
      <c r="K100" t="n">
        <v>60</v>
      </c>
      <c r="L100" t="inlineStr">
        <is>
          <t>5 Desember 2026</t>
        </is>
      </c>
      <c r="M100" t="inlineStr">
        <is>
          <t>Konstruksi Gedung Industri</t>
        </is>
      </c>
      <c r="N100" t="inlineStr">
        <is>
          <t>K</t>
        </is>
      </c>
      <c r="O100" t="inlineStr">
        <is>
          <t>20231201</t>
        </is>
      </c>
      <c r="P100" t="inlineStr">
        <is>
          <t>Jawa Timur</t>
        </is>
      </c>
      <c r="Q1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cols>
    <col width="34" customWidth="1" min="1" max="1"/>
    <col width="27" customWidth="1" min="2" max="2"/>
    <col width="16" customWidth="1" min="3" max="3"/>
    <col width="41"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CITRA TELINTI MULIA</t>
        </is>
      </c>
      <c r="B2" t="inlineStr">
        <is>
          <t>Kota Adm. Jakarta Timur</t>
        </is>
      </c>
      <c r="C2" t="inlineStr">
        <is>
          <t>0218603096</t>
        </is>
      </c>
      <c r="D2" t="inlineStr">
        <is>
          <t>citratelintimulia@gmail.com</t>
        </is>
      </c>
      <c r="E2" t="inlineStr">
        <is>
          <t>https://lpjk.pu.go.id/search-badan-usaha-detail/OVg1bE4rZFdoK0xwSjY3VENEdlFYUT09</t>
        </is>
      </c>
      <c r="F2" t="n">
        <v>3</v>
      </c>
      <c r="G2" t="inlineStr">
        <is>
          <t>BS001, BS002, BS009</t>
        </is>
      </c>
      <c r="H2" t="inlineStr">
        <is>
          <t>2 Juli 1996</t>
        </is>
      </c>
      <c r="I2" s="2" t="n">
        <v>46331</v>
      </c>
      <c r="J2" t="inlineStr">
        <is>
          <t>Disetujui</t>
        </is>
      </c>
      <c r="K2" t="n">
        <v>30</v>
      </c>
      <c r="L2" t="inlineStr">
        <is>
          <t>5 November 2026</t>
        </is>
      </c>
      <c r="M2" t="inlineStr">
        <is>
          <t>Bangunan Sipil Jembatan, Jalan Layang, Fly Over, dan Underpass, Konstruksi Bangunan Sipil Jalan, Konstruksi Sentral Telekomunikasi</t>
        </is>
      </c>
      <c r="N2" t="inlineStr">
        <is>
          <t>K</t>
        </is>
      </c>
      <c r="O2" t="inlineStr">
        <is>
          <t>20231101</t>
        </is>
      </c>
      <c r="P2" t="inlineStr">
        <is>
          <t>DKI Jakarta</t>
        </is>
      </c>
      <c r="Q2" t="inlineStr"/>
    </row>
    <row r="3">
      <c r="A3" t="inlineStr">
        <is>
          <t>DUA PUTRA ABADI</t>
        </is>
      </c>
      <c r="B3" t="inlineStr">
        <is>
          <t>Kota Bekasi</t>
        </is>
      </c>
      <c r="C3" t="inlineStr">
        <is>
          <t>081287980229</t>
        </is>
      </c>
      <c r="D3" t="inlineStr">
        <is>
          <t>duaputraabadi@gmail.com</t>
        </is>
      </c>
      <c r="E3" t="inlineStr">
        <is>
          <t>https://lpjk.pu.go.id/search-badan-usaha-detail/U2NwUndheHFhYXk1OXBCaWxWaFdOUT09</t>
        </is>
      </c>
      <c r="F3" t="n">
        <v>2</v>
      </c>
      <c r="G3" t="inlineStr">
        <is>
          <t>BG002, BG005</t>
        </is>
      </c>
      <c r="H3" t="inlineStr">
        <is>
          <t>14 Januari 2015</t>
        </is>
      </c>
      <c r="I3" s="2" t="n">
        <v>46331</v>
      </c>
      <c r="J3" t="inlineStr">
        <is>
          <t>Disetujui</t>
        </is>
      </c>
      <c r="K3" t="n">
        <v>30</v>
      </c>
      <c r="L3" t="inlineStr">
        <is>
          <t>5 November 2026</t>
        </is>
      </c>
      <c r="M3" t="inlineStr">
        <is>
          <t>Konstruksi Gedung Kesehatan, Konstruksi Gedung Perkantoran</t>
        </is>
      </c>
      <c r="N3" t="inlineStr">
        <is>
          <t>K</t>
        </is>
      </c>
      <c r="O3" t="inlineStr">
        <is>
          <t>20231106</t>
        </is>
      </c>
      <c r="P3" t="inlineStr">
        <is>
          <t>Jawa Barat</t>
        </is>
      </c>
      <c r="Q3" s="3">
        <f>HYPERLINK("https://wa.me/6281287980229?text=*[Pengingat Masa Berlaku SBU DUA PUTRA ABADI]*%0A%0AYth. Pimpinan DUA PUTRA ABADI,%0AMohon izin menginformasikan status SBU Anda:%0A%0A📄 SBU: BG002, BG005%0A📅 Expired: 5 November 2026 (30 Hari Lagi)%0A%0AKami tim PT. ESDEA Assistance Management siap men-support proses perpanjangan segera agar administrasi proyek tidak terhambat%0A%0AApakah boleh saya bantu siapkan estimasi biaya dan waktu pengerjaannya?.", "Hubungi")</f>
        <v/>
      </c>
    </row>
    <row r="4">
      <c r="A4" t="inlineStr">
        <is>
          <t>GARUDA JAYA KONSTRUKSI</t>
        </is>
      </c>
      <c r="B4" t="inlineStr">
        <is>
          <t>Kota Bekasi</t>
        </is>
      </c>
      <c r="C4" t="inlineStr">
        <is>
          <t>082221169008</t>
        </is>
      </c>
      <c r="D4" t="inlineStr">
        <is>
          <t>garudajayakonstruksi2023@gmail.com</t>
        </is>
      </c>
      <c r="E4" t="inlineStr">
        <is>
          <t>https://lpjk.pu.go.id/search-badan-usaha-detail/Rkt4TGJieWZWWUEvb0JjaVZxQjNvdz09</t>
        </is>
      </c>
      <c r="F4" t="n">
        <v>3</v>
      </c>
      <c r="G4" t="inlineStr">
        <is>
          <t>BG009, BS001</t>
        </is>
      </c>
      <c r="H4" t="inlineStr">
        <is>
          <t>8 Juni 2023</t>
        </is>
      </c>
      <c r="I4" s="2" t="n">
        <v>46331</v>
      </c>
      <c r="J4" t="inlineStr">
        <is>
          <t>Disetujui</t>
        </is>
      </c>
      <c r="K4" t="n">
        <v>30</v>
      </c>
      <c r="L4" t="inlineStr">
        <is>
          <t>5 November 2026</t>
        </is>
      </c>
      <c r="M4" t="inlineStr">
        <is>
          <t>Konstruksi Bangunan Sipil Jalan, Konstruksi Gedung Lainnya</t>
        </is>
      </c>
      <c r="N4" t="inlineStr">
        <is>
          <t>K</t>
        </is>
      </c>
      <c r="O4" t="inlineStr">
        <is>
          <t>20231003, 20231031</t>
        </is>
      </c>
      <c r="P4" t="inlineStr">
        <is>
          <t>Jawa Barat</t>
        </is>
      </c>
      <c r="Q4" s="3">
        <f>HYPERLINK("https://wa.me/6282221169008?text=*[Pengingat Masa Berlaku SBU GARUDA JAYA KONSTRUKSI]*%0A%0AYth. Pimpinan GARUDA JAYA KONSTRUKSI,%0AMohon izin menginformasikan status SBU Anda:%0A%0A📄 SBU: BG009, BS001%0A📅 Expired: 5 November 2026 (30 Hari Lagi)%0A%0AKami tim PT. ESDEA Assistance Management siap men-support proses perpanjangan segera agar administrasi proyek tidak terhambat%0A%0AApakah boleh saya bantu siapkan estimasi biaya dan waktu pengerjaannya?.", "Hubungi")</f>
        <v/>
      </c>
    </row>
    <row r="5">
      <c r="A5" t="inlineStr">
        <is>
          <t>NINDYA CAKTI KARYA UTAMA</t>
        </is>
      </c>
      <c r="B5" t="inlineStr">
        <is>
          <t>Kab. Bogor</t>
        </is>
      </c>
      <c r="C5" t="inlineStr">
        <is>
          <t>081286930247</t>
        </is>
      </c>
      <c r="D5" t="inlineStr">
        <is>
          <t>pt.nindyacaktikaryautama@gmail.com</t>
        </is>
      </c>
      <c r="E5" t="inlineStr">
        <is>
          <t>https://lpjk.pu.go.id/search-badan-usaha-detail/OWowcit1VGp6Qno4NVJ6d01iVXdtdz09</t>
        </is>
      </c>
      <c r="F5" t="n">
        <v>6</v>
      </c>
      <c r="G5" t="inlineStr">
        <is>
          <t>BS001, BS002, BS004</t>
        </is>
      </c>
      <c r="H5" t="inlineStr">
        <is>
          <t>6 Januari 2022</t>
        </is>
      </c>
      <c r="I5" s="2" t="n">
        <v>46331</v>
      </c>
      <c r="J5" t="inlineStr">
        <is>
          <t>Pencabutan</t>
        </is>
      </c>
      <c r="K5" t="n">
        <v>30</v>
      </c>
      <c r="L5" t="inlineStr">
        <is>
          <t>5 November 2026</t>
        </is>
      </c>
      <c r="M5" t="inlineStr">
        <is>
          <t>Bangunan Sipil Jembatan, Jalan Layang, Fly Over, dan Underpass, Konstruksi Bangunan Sipil Jalan, Konstruksi Jaringan Irigasi dan Drainase</t>
        </is>
      </c>
      <c r="N5" t="inlineStr">
        <is>
          <t>M</t>
        </is>
      </c>
      <c r="O5" t="inlineStr">
        <is>
          <t>20231020, 20231028, 20231030</t>
        </is>
      </c>
      <c r="P5" t="inlineStr">
        <is>
          <t>Jawa Barat</t>
        </is>
      </c>
      <c r="Q5" s="3">
        <f>HYPERLINK("https://wa.me/6281286930247?text=*[Pengingat Masa Berlaku SBU NINDYA CAKTI KARYA UTAMA]*%0A%0AYth. Pimpinan NINDYA CAKTI KARYA UTAMA,%0AMohon izin menginformasikan status SBU Anda:%0A%0A📄 SBU: BS001, BS002, BS004%0A📅 Expired: 5 November 2026 (30 Hari Lagi)%0A%0AKami tim PT. ESDEA Assistance Management siap men-support proses perpanjangan segera agar administrasi proyek tidak terhambat%0A%0AApakah boleh saya bantu siapkan estimasi biaya dan waktu pengerjaannya?.", "Hubungi")</f>
        <v/>
      </c>
    </row>
    <row r="6">
      <c r="A6" t="inlineStr">
        <is>
          <t>PRIMA BANGUN KENCANA</t>
        </is>
      </c>
      <c r="B6" t="inlineStr">
        <is>
          <t>Kota Bekasi</t>
        </is>
      </c>
      <c r="C6" t="inlineStr">
        <is>
          <t>081317380469</t>
        </is>
      </c>
      <c r="D6" t="inlineStr">
        <is>
          <t>primabangunkencanacv@gmail.com</t>
        </is>
      </c>
      <c r="E6" t="inlineStr">
        <is>
          <t>https://lpjk.pu.go.id/search-badan-usaha-detail/Rnl5NlBwVHVydFlrUUxNRXhpa1pVQT09</t>
        </is>
      </c>
      <c r="F6" t="n">
        <v>2</v>
      </c>
      <c r="G6" t="inlineStr">
        <is>
          <t>BS001, BS004</t>
        </is>
      </c>
      <c r="H6" t="inlineStr">
        <is>
          <t>20 Januari 2023</t>
        </is>
      </c>
      <c r="I6" s="2" t="n">
        <v>46331</v>
      </c>
      <c r="J6" t="inlineStr">
        <is>
          <t>Disetujui</t>
        </is>
      </c>
      <c r="K6" t="n">
        <v>30</v>
      </c>
      <c r="L6" t="inlineStr">
        <is>
          <t>5 November 2026</t>
        </is>
      </c>
      <c r="M6" t="inlineStr">
        <is>
          <t>Konstruksi Bangunan Sipil Jalan, Konstruksi Jaringan Irigasi dan Drainase</t>
        </is>
      </c>
      <c r="N6" t="inlineStr">
        <is>
          <t>K</t>
        </is>
      </c>
      <c r="O6" t="inlineStr">
        <is>
          <t>20231030</t>
        </is>
      </c>
      <c r="P6" t="inlineStr">
        <is>
          <t>Jawa Barat</t>
        </is>
      </c>
      <c r="Q6" s="3">
        <f>HYPERLINK("https://wa.me/6281317380469?text=*[Pengingat Masa Berlaku SBU PRIMA BANGUN KENCANA]*%0A%0AYth. Pimpinan PRIMA BANGUN KENCANA,%0AMohon izin menginformasikan status SBU Anda:%0A%0A📄 SBU: BS001, BS004%0A📅 Expired: 5 November 2026 (30 Hari Lagi)%0A%0AKami tim PT. ESDEA Assistance Management siap men-support proses perpanjangan segera agar administrasi proyek tidak terhambat%0A%0AApakah boleh saya bantu siapkan estimasi biaya dan waktu pengerjaannya?.", "Hubungi")</f>
        <v/>
      </c>
    </row>
    <row r="7">
      <c r="A7" t="inlineStr">
        <is>
          <t>PRIMA ENGINEERED CONSTRUCTION</t>
        </is>
      </c>
      <c r="B7" t="inlineStr">
        <is>
          <t>Kota Bekasi</t>
        </is>
      </c>
      <c r="C7" t="inlineStr">
        <is>
          <t>02182614994</t>
        </is>
      </c>
      <c r="D7" t="inlineStr">
        <is>
          <t>legalsinergidata6@yahoo.com</t>
        </is>
      </c>
      <c r="E7" t="inlineStr">
        <is>
          <t>https://lpjk.pu.go.id/search-badan-usaha-detail/NWdNT0UwNnN3dU1VUUlXckZyNk9ydz09</t>
        </is>
      </c>
      <c r="F7" t="n">
        <v>1</v>
      </c>
      <c r="G7" t="inlineStr">
        <is>
          <t>BG003</t>
        </is>
      </c>
      <c r="H7" t="inlineStr">
        <is>
          <t>13 September 2005</t>
        </is>
      </c>
      <c r="I7" s="2" t="n">
        <v>46331</v>
      </c>
      <c r="J7" t="inlineStr">
        <is>
          <t>Disetujui</t>
        </is>
      </c>
      <c r="K7" t="n">
        <v>30</v>
      </c>
      <c r="L7" t="inlineStr">
        <is>
          <t>5 November 2026</t>
        </is>
      </c>
      <c r="M7" t="inlineStr">
        <is>
          <t>Konstruksi Gedung Industri</t>
        </is>
      </c>
      <c r="N7" t="inlineStr">
        <is>
          <t>K</t>
        </is>
      </c>
      <c r="O7" t="inlineStr">
        <is>
          <t>20231102</t>
        </is>
      </c>
      <c r="P7" t="inlineStr">
        <is>
          <t>Jawa Barat</t>
        </is>
      </c>
      <c r="Q7" t="inlineStr"/>
    </row>
    <row r="8">
      <c r="A8" t="inlineStr">
        <is>
          <t>PRIMA GUNA REKSA</t>
        </is>
      </c>
      <c r="B8" t="inlineStr">
        <is>
          <t>Kab. Bekasi</t>
        </is>
      </c>
      <c r="C8" t="inlineStr">
        <is>
          <t>087779048279</t>
        </is>
      </c>
      <c r="D8" t="inlineStr">
        <is>
          <t>cv.primagunareksa@yahoo.com</t>
        </is>
      </c>
      <c r="E8" t="inlineStr">
        <is>
          <t>https://lpjk.pu.go.id/search-badan-usaha-detail/aFgyZGdpcTdabWswN0FDUnh4bXYzQT09</t>
        </is>
      </c>
      <c r="F8" t="n">
        <v>2</v>
      </c>
      <c r="G8" t="inlineStr">
        <is>
          <t>BG009, BS004</t>
        </is>
      </c>
      <c r="H8" t="inlineStr">
        <is>
          <t>24 Desember 2014</t>
        </is>
      </c>
      <c r="I8" s="2" t="n">
        <v>46331</v>
      </c>
      <c r="J8" t="inlineStr">
        <is>
          <t>Disetujui</t>
        </is>
      </c>
      <c r="K8" t="n">
        <v>30</v>
      </c>
      <c r="L8" t="inlineStr">
        <is>
          <t>5 November 2026</t>
        </is>
      </c>
      <c r="M8" t="inlineStr">
        <is>
          <t>Konstruksi Gedung Lainnya, Konstruksi Jaringan Irigasi dan Drainase</t>
        </is>
      </c>
      <c r="N8" t="inlineStr">
        <is>
          <t>K</t>
        </is>
      </c>
      <c r="O8" t="inlineStr">
        <is>
          <t>20231021, 20231102</t>
        </is>
      </c>
      <c r="P8" t="inlineStr">
        <is>
          <t>Jawa Barat</t>
        </is>
      </c>
      <c r="Q8" s="3">
        <f>HYPERLINK("https://wa.me/6287779048279?text=*[Pengingat Masa Berlaku SBU PRIMA GUNA REKSA]*%0A%0AYth. Pimpinan PRIMA GUNA REKSA,%0AMohon izin menginformasikan status SBU Anda:%0A%0A📄 SBU: BG009, BS004%0A📅 Expired: 5 November 2026 (30 Hari Lagi)%0A%0AKami tim PT. ESDEA Assistance Management siap men-support proses perpanjangan segera agar administrasi proyek tidak terhambat%0A%0AApakah boleh saya bantu siapkan estimasi biaya dan waktu pengerjaannya?.", "Hubungi")</f>
        <v/>
      </c>
    </row>
    <row r="9">
      <c r="A9" t="inlineStr">
        <is>
          <t>PUTRA JAFAR UTAMA</t>
        </is>
      </c>
      <c r="B9" t="inlineStr">
        <is>
          <t>Kab. Bekasi</t>
        </is>
      </c>
      <c r="C9" t="inlineStr">
        <is>
          <t>081290231119</t>
        </is>
      </c>
      <c r="D9" t="inlineStr">
        <is>
          <t>putrajafarutama@gmail.com</t>
        </is>
      </c>
      <c r="E9" t="inlineStr">
        <is>
          <t>https://lpjk.pu.go.id/search-badan-usaha-detail/Uzd3SERKUEtNMTJrQlBVcktKNGw1QT09</t>
        </is>
      </c>
      <c r="F9" t="n">
        <v>2</v>
      </c>
      <c r="G9" t="inlineStr">
        <is>
          <t>BS004, BS006</t>
        </is>
      </c>
      <c r="H9" t="inlineStr">
        <is>
          <t>6 Maret 2021</t>
        </is>
      </c>
      <c r="I9" s="2" t="n">
        <v>46331</v>
      </c>
      <c r="J9" t="inlineStr">
        <is>
          <t>Disetujui</t>
        </is>
      </c>
      <c r="K9" t="n">
        <v>30</v>
      </c>
      <c r="L9" t="inlineStr">
        <is>
          <t>5 November 2026</t>
        </is>
      </c>
      <c r="M9" t="inlineStr">
        <is>
          <t>Konstruksi Bangunan Sipil Prasarana dan Sarana Sistem Pengolahan Limbah Padat, Cair, dan Gas, Konstruksi Jaringan Irigasi dan Drainase</t>
        </is>
      </c>
      <c r="N9" t="inlineStr">
        <is>
          <t>K</t>
        </is>
      </c>
      <c r="O9" t="inlineStr">
        <is>
          <t>20231103</t>
        </is>
      </c>
      <c r="P9" t="inlineStr">
        <is>
          <t>Jawa Barat</t>
        </is>
      </c>
      <c r="Q9" s="3">
        <f>HYPERLINK("https://wa.me/6281290231119?text=*[Pengingat Masa Berlaku SBU PUTRA JAFAR UTAMA]*%0A%0AYth. Pimpinan PUTRA JAFAR UTAMA,%0AMohon izin menginformasikan status SBU Anda:%0A%0A📄 SBU: BS004, BS006%0A📅 Expired: 5 November 2026 (30 Hari Lagi)%0A%0AKami tim PT. ESDEA Assistance Management siap men-support proses perpanjangan segera agar administrasi proyek tidak terhambat%0A%0AApakah boleh saya bantu siapkan estimasi biaya dan waktu pengerjaannya?.", "Hubungi")</f>
        <v/>
      </c>
    </row>
    <row r="10">
      <c r="A10" t="inlineStr">
        <is>
          <t>RYANIZ JAYA PERSADA</t>
        </is>
      </c>
      <c r="B10" t="inlineStr">
        <is>
          <t>Kota Adm. Jakarta Timur</t>
        </is>
      </c>
      <c r="C10" t="inlineStr">
        <is>
          <t>0214801304</t>
        </is>
      </c>
      <c r="D10" t="inlineStr">
        <is>
          <t>ryanizjp@gmail.com</t>
        </is>
      </c>
      <c r="E10" t="inlineStr">
        <is>
          <t>https://lpjk.pu.go.id/search-badan-usaha-detail/VERRRlNHS3RTb0FXZWs4VlZzeFZadz09</t>
        </is>
      </c>
      <c r="F10" t="n">
        <v>1</v>
      </c>
      <c r="G10" t="inlineStr">
        <is>
          <t>BG001</t>
        </is>
      </c>
      <c r="H10" t="inlineStr">
        <is>
          <t>23 Oktober 2013</t>
        </is>
      </c>
      <c r="I10" s="2" t="n">
        <v>46331</v>
      </c>
      <c r="J10" t="inlineStr">
        <is>
          <t>Disetujui</t>
        </is>
      </c>
      <c r="K10" t="n">
        <v>30</v>
      </c>
      <c r="L10" t="inlineStr">
        <is>
          <t>5 November 2026</t>
        </is>
      </c>
      <c r="M10" t="inlineStr">
        <is>
          <t>Konstruksi Gedung Hunian</t>
        </is>
      </c>
      <c r="N10" t="inlineStr">
        <is>
          <t>K</t>
        </is>
      </c>
      <c r="O10" t="inlineStr">
        <is>
          <t>20231031</t>
        </is>
      </c>
      <c r="P10" t="inlineStr">
        <is>
          <t>DKI Jakarta</t>
        </is>
      </c>
      <c r="Q10" t="inlineStr"/>
    </row>
    <row r="11">
      <c r="A11" t="inlineStr">
        <is>
          <t>ABADI BERKAH</t>
        </is>
      </c>
      <c r="B11" t="inlineStr">
        <is>
          <t>Kota Serang</t>
        </is>
      </c>
      <c r="C11" t="inlineStr">
        <is>
          <t>082220007103</t>
        </is>
      </c>
      <c r="D11" t="inlineStr">
        <is>
          <t>abadiberkahcompany@gmail.com</t>
        </is>
      </c>
      <c r="E11" t="inlineStr">
        <is>
          <t>https://lpjk.pu.go.id/search-badan-usaha-detail/ZUV0RFVkTFhSTG1SMElIVXFET0ZJdz09</t>
        </is>
      </c>
      <c r="F11" t="n">
        <v>2</v>
      </c>
      <c r="G11" t="inlineStr">
        <is>
          <t>BS002</t>
        </is>
      </c>
      <c r="H11" t="inlineStr">
        <is>
          <t>26 Mei 2008</t>
        </is>
      </c>
      <c r="I11" s="2" t="n">
        <v>46331</v>
      </c>
      <c r="J11" t="inlineStr">
        <is>
          <t>Disetujui</t>
        </is>
      </c>
      <c r="K11" t="n">
        <v>30</v>
      </c>
      <c r="L11" t="inlineStr">
        <is>
          <t>5 November 2026</t>
        </is>
      </c>
      <c r="M11" t="inlineStr">
        <is>
          <t>Bangunan Sipil Jembatan, Jalan Layang, Fly Over, dan Underpass</t>
        </is>
      </c>
      <c r="N11" t="inlineStr">
        <is>
          <t>K</t>
        </is>
      </c>
      <c r="O11" t="inlineStr">
        <is>
          <t>20231030</t>
        </is>
      </c>
      <c r="P11" t="inlineStr">
        <is>
          <t>Banten</t>
        </is>
      </c>
      <c r="Q11" t="inlineStr"/>
    </row>
    <row r="12">
      <c r="A12" t="inlineStr">
        <is>
          <t>ABHIMATA ACME INDONESIA</t>
        </is>
      </c>
      <c r="B12" t="inlineStr">
        <is>
          <t>Kota Adm. Jakarta Pusat</t>
        </is>
      </c>
      <c r="C12" t="inlineStr">
        <is>
          <t>02157930304</t>
        </is>
      </c>
      <c r="D12" t="inlineStr">
        <is>
          <t>christina.loho@abhimata.co.id</t>
        </is>
      </c>
      <c r="E12" t="inlineStr">
        <is>
          <t>https://lpjk.pu.go.id/search-badan-usaha-detail/MnF2cVJtTEdFTTJmZEZzSjRtRnVEUT09</t>
        </is>
      </c>
      <c r="F12" t="n">
        <v>1</v>
      </c>
      <c r="G12" t="inlineStr">
        <is>
          <t>IN001</t>
        </is>
      </c>
      <c r="H12" t="inlineStr">
        <is>
          <t>15 Mei 2024</t>
        </is>
      </c>
      <c r="I12" s="2" t="n">
        <v>46331</v>
      </c>
      <c r="J12" t="inlineStr">
        <is>
          <t>Disetujui</t>
        </is>
      </c>
      <c r="K12" t="n">
        <v>30</v>
      </c>
      <c r="L12" t="inlineStr">
        <is>
          <t>5 November 2026</t>
        </is>
      </c>
      <c r="M12" t="inlineStr">
        <is>
          <t>Instalasi Mekanikal</t>
        </is>
      </c>
      <c r="N12" t="inlineStr">
        <is>
          <t>Spesialis</t>
        </is>
      </c>
      <c r="O12" t="inlineStr">
        <is>
          <t>20231003</t>
        </is>
      </c>
      <c r="P12" t="inlineStr">
        <is>
          <t>DKI Jakarta</t>
        </is>
      </c>
      <c r="Q12" t="inlineStr"/>
    </row>
    <row r="13">
      <c r="A13" t="inlineStr">
        <is>
          <t>ADHIMA GROUP</t>
        </is>
      </c>
      <c r="B13" t="inlineStr">
        <is>
          <t>Kab. Sumenep</t>
        </is>
      </c>
      <c r="C13" t="inlineStr">
        <is>
          <t>081935187212</t>
        </is>
      </c>
      <c r="D13" t="inlineStr">
        <is>
          <t>cv.adhimagroup@gmail.com</t>
        </is>
      </c>
      <c r="E13" t="inlineStr">
        <is>
          <t>https://lpjk.pu.go.id/search-badan-usaha-detail/OS8weUJKTHBRb1YzWXZpSmNzYWlVQT09</t>
        </is>
      </c>
      <c r="F13" t="n">
        <v>5</v>
      </c>
      <c r="G13" t="inlineStr">
        <is>
          <t>BG006, BG009, BS001, BS004, BS005</t>
        </is>
      </c>
      <c r="H13" t="inlineStr">
        <is>
          <t>30 Januari 2014</t>
        </is>
      </c>
      <c r="I13" s="2" t="n">
        <v>46331</v>
      </c>
      <c r="J13" t="inlineStr">
        <is>
          <t>Disetujui, Pencabutan</t>
        </is>
      </c>
      <c r="K13" t="n">
        <v>30</v>
      </c>
      <c r="L13" t="inlineStr">
        <is>
          <t>5 November 2026</t>
        </is>
      </c>
      <c r="M13" t="inlineStr">
        <is>
          <t>Konstruksi Bangunan Sipil Jalan, Konstruksi Bangunan Sipil Pengolahan Air Bersih, Konstruksi Gedung Lainnya, Konstruksi Gedung Pendidikan, Konstruksi Jaringan Irigasi dan Drainase</t>
        </is>
      </c>
      <c r="N13" t="inlineStr">
        <is>
          <t>K</t>
        </is>
      </c>
      <c r="O13" t="inlineStr">
        <is>
          <t>20231031, 20231101</t>
        </is>
      </c>
      <c r="P13" t="inlineStr">
        <is>
          <t>Jawa Timur</t>
        </is>
      </c>
      <c r="Q13" t="inlineStr"/>
    </row>
    <row r="14">
      <c r="A14" t="inlineStr">
        <is>
          <t>ADI PERMATA KONSULTAN</t>
        </is>
      </c>
      <c r="B14" t="inlineStr">
        <is>
          <t>Kota Makassar</t>
        </is>
      </c>
      <c r="C14" t="inlineStr">
        <is>
          <t>085105373278</t>
        </is>
      </c>
      <c r="D14" t="inlineStr">
        <is>
          <t>adipermatakonsultan@yahoo.co.id</t>
        </is>
      </c>
      <c r="E14" t="inlineStr">
        <is>
          <t>https://lpjk.pu.go.id/search-badan-usaha-detail/RElka1JxcVBzU2tWakRjZVo4RFllUT09</t>
        </is>
      </c>
      <c r="F14" t="n">
        <v>4</v>
      </c>
      <c r="G14" t="inlineStr">
        <is>
          <t>RK001, RK002, RK003, RK005</t>
        </is>
      </c>
      <c r="H14" t="inlineStr">
        <is>
          <t>5 Februari 2007</t>
        </is>
      </c>
      <c r="I14" s="2" t="n">
        <v>46331</v>
      </c>
      <c r="J14" t="inlineStr">
        <is>
          <t>Disetujui</t>
        </is>
      </c>
      <c r="K14" t="n">
        <v>30</v>
      </c>
      <c r="L14" t="inlineStr">
        <is>
          <t>5 November 2026</t>
        </is>
      </c>
      <c r="M14" t="inlineStr">
        <is>
          <t>Jasa Rekayasa Konstruksi Bangunan Gedung Hunian dan Non Hunian, Jasa Rekayasa Lainnya, Jasa Rekayasa Pekerjaan Teknik Sipil Sumber Daya Air, Jasa Rekayasa Pekerjaan Teknik Sipil Transportasi</t>
        </is>
      </c>
      <c r="N14" t="inlineStr">
        <is>
          <t>K</t>
        </is>
      </c>
      <c r="O14" t="inlineStr">
        <is>
          <t>20230922, 20231020</t>
        </is>
      </c>
      <c r="P14" t="inlineStr">
        <is>
          <t>Sulawesi Selatan</t>
        </is>
      </c>
      <c r="Q14" t="inlineStr"/>
    </row>
    <row r="15">
      <c r="A15" t="inlineStr">
        <is>
          <t>ADIGUNA CIPTA KONSTRUKSI</t>
        </is>
      </c>
      <c r="B15" t="inlineStr">
        <is>
          <t>Kota Adm. Jakarta Utara</t>
        </is>
      </c>
      <c r="C15" t="inlineStr">
        <is>
          <t>02156940000</t>
        </is>
      </c>
      <c r="D15" t="inlineStr">
        <is>
          <t>ptadigunaciptakonstruksi20@gmail.com</t>
        </is>
      </c>
      <c r="E15" t="inlineStr">
        <is>
          <t>https://lpjk.pu.go.id/search-badan-usaha-detail/NEFOS255aml4bHJWQUgyWXVDbmhqZz09</t>
        </is>
      </c>
      <c r="F15" t="n">
        <v>3</v>
      </c>
      <c r="G15" t="inlineStr">
        <is>
          <t>BG001, BG003, BG009</t>
        </is>
      </c>
      <c r="H15" t="inlineStr">
        <is>
          <t>17 Februari 2020</t>
        </is>
      </c>
      <c r="I15" s="2" t="n">
        <v>46331</v>
      </c>
      <c r="J15" t="inlineStr">
        <is>
          <t>Disetujui</t>
        </is>
      </c>
      <c r="K15" t="n">
        <v>30</v>
      </c>
      <c r="L15" t="inlineStr">
        <is>
          <t>5 November 2026</t>
        </is>
      </c>
      <c r="M15" t="inlineStr">
        <is>
          <t>Konstruksi Gedung Hunian, Konstruksi Gedung Industri, Konstruksi Gedung Lainnya</t>
        </is>
      </c>
      <c r="N15" t="inlineStr">
        <is>
          <t>K</t>
        </is>
      </c>
      <c r="O15" t="inlineStr">
        <is>
          <t>20231027, 20231028</t>
        </is>
      </c>
      <c r="P15" t="inlineStr">
        <is>
          <t>DKI Jakarta</t>
        </is>
      </c>
      <c r="Q15" t="inlineStr"/>
    </row>
    <row r="16">
      <c r="A16" t="inlineStr">
        <is>
          <t>AGRA BHUMANDALA</t>
        </is>
      </c>
      <c r="B16" t="inlineStr">
        <is>
          <t>Kota Semarang</t>
        </is>
      </c>
      <c r="C16" t="inlineStr">
        <is>
          <t>081227558641</t>
        </is>
      </c>
      <c r="D16" t="inlineStr">
        <is>
          <t>agrabhumandala.srg@gmail.com</t>
        </is>
      </c>
      <c r="E16" t="inlineStr">
        <is>
          <t>https://lpjk.pu.go.id/search-badan-usaha-detail/QldTWFkrYzNIcVIxb2tlclB2T0JuQT09</t>
        </is>
      </c>
      <c r="F16" t="n">
        <v>1</v>
      </c>
      <c r="G16" t="inlineStr">
        <is>
          <t>BG009</t>
        </is>
      </c>
      <c r="H16" t="inlineStr">
        <is>
          <t>16 Mei 2023</t>
        </is>
      </c>
      <c r="I16" s="2" t="n">
        <v>46331</v>
      </c>
      <c r="J16" t="inlineStr">
        <is>
          <t>Disetujui</t>
        </is>
      </c>
      <c r="K16" t="n">
        <v>30</v>
      </c>
      <c r="L16" t="inlineStr">
        <is>
          <t>5 November 2026</t>
        </is>
      </c>
      <c r="M16" t="inlineStr">
        <is>
          <t>Konstruksi Gedung Lainnya</t>
        </is>
      </c>
      <c r="N16" t="inlineStr">
        <is>
          <t>K</t>
        </is>
      </c>
      <c r="O16" t="inlineStr">
        <is>
          <t>20231005</t>
        </is>
      </c>
      <c r="P16" t="inlineStr">
        <is>
          <t>Jawa Tengah</t>
        </is>
      </c>
      <c r="Q16" t="inlineStr"/>
    </row>
    <row r="17">
      <c r="A17" t="inlineStr">
        <is>
          <t>AJI MUMPUNG</t>
        </is>
      </c>
      <c r="B17" t="inlineStr">
        <is>
          <t>Kab. Sidoarjo</t>
        </is>
      </c>
      <c r="C17" t="inlineStr">
        <is>
          <t>08893011494</t>
        </is>
      </c>
      <c r="D17" t="inlineStr">
        <is>
          <t>cvajimumpung@gmail.com</t>
        </is>
      </c>
      <c r="E17" t="inlineStr">
        <is>
          <t>https://lpjk.pu.go.id/search-badan-usaha-detail/dXRqTHNSSjZnYVR1b2lZOFVCeUxxUT09</t>
        </is>
      </c>
      <c r="F17" t="n">
        <v>1</v>
      </c>
      <c r="G17" t="inlineStr">
        <is>
          <t>RK001</t>
        </is>
      </c>
      <c r="H17" t="inlineStr">
        <is>
          <t>23 Mei 2023</t>
        </is>
      </c>
      <c r="I17" s="2" t="n">
        <v>46331</v>
      </c>
      <c r="J17" t="inlineStr">
        <is>
          <t>Disetujui</t>
        </is>
      </c>
      <c r="K17" t="n">
        <v>30</v>
      </c>
      <c r="L17" t="inlineStr">
        <is>
          <t>5 November 2026</t>
        </is>
      </c>
      <c r="M17" t="inlineStr">
        <is>
          <t>Jasa Rekayasa Konstruksi Bangunan Gedung Hunian dan Non Hunian</t>
        </is>
      </c>
      <c r="N17" t="inlineStr">
        <is>
          <t>K</t>
        </is>
      </c>
      <c r="O17" t="inlineStr">
        <is>
          <t>20231019</t>
        </is>
      </c>
      <c r="P17" t="inlineStr">
        <is>
          <t>Jawa Timur</t>
        </is>
      </c>
      <c r="Q17" t="inlineStr"/>
    </row>
    <row r="18">
      <c r="A18" t="inlineStr">
        <is>
          <t>AKBAR GEMILANG</t>
        </is>
      </c>
      <c r="B18" t="inlineStr">
        <is>
          <t>Kab. Jember</t>
        </is>
      </c>
      <c r="C18" t="inlineStr">
        <is>
          <t>085330107524</t>
        </is>
      </c>
      <c r="D18" t="inlineStr">
        <is>
          <t>cv.akbargemilang@gmail.com</t>
        </is>
      </c>
      <c r="E18" t="inlineStr">
        <is>
          <t>https://lpjk.pu.go.id/search-badan-usaha-detail/blVhZUZsN0JpUVJFQlFFa2E5NFE5Zz09</t>
        </is>
      </c>
      <c r="F18" t="n">
        <v>1</v>
      </c>
      <c r="G18" t="inlineStr">
        <is>
          <t>BG009</t>
        </is>
      </c>
      <c r="H18" t="inlineStr">
        <is>
          <t>24 Maret 2015</t>
        </is>
      </c>
      <c r="I18" s="2" t="n">
        <v>46331</v>
      </c>
      <c r="J18" t="inlineStr">
        <is>
          <t>Disetujui</t>
        </is>
      </c>
      <c r="K18" t="n">
        <v>30</v>
      </c>
      <c r="L18" t="inlineStr">
        <is>
          <t>5 November 2026</t>
        </is>
      </c>
      <c r="M18" t="inlineStr">
        <is>
          <t>Konstruksi Gedung Lainnya</t>
        </is>
      </c>
      <c r="N18" t="inlineStr">
        <is>
          <t>K</t>
        </is>
      </c>
      <c r="O18" t="inlineStr">
        <is>
          <t>20231031</t>
        </is>
      </c>
      <c r="P18" t="inlineStr">
        <is>
          <t>Jawa Timur</t>
        </is>
      </c>
      <c r="Q18" t="inlineStr"/>
    </row>
    <row r="19">
      <c r="A19" t="inlineStr">
        <is>
          <t>ALAM SEJAHTERA</t>
        </is>
      </c>
      <c r="B19" t="inlineStr">
        <is>
          <t>Kab. Bojonegoro</t>
        </is>
      </c>
      <c r="C19" t="inlineStr">
        <is>
          <t>08123213351</t>
        </is>
      </c>
      <c r="D19" t="inlineStr">
        <is>
          <t>cvalamsejahtera@yahoo.co.id</t>
        </is>
      </c>
      <c r="E19" t="inlineStr">
        <is>
          <t>https://lpjk.pu.go.id/search-badan-usaha-detail/TTdMbmxrbkl6NldLWHBnTjEwMXlrQT09</t>
        </is>
      </c>
      <c r="F19" t="n">
        <v>1</v>
      </c>
      <c r="G19" t="inlineStr">
        <is>
          <t>BS002</t>
        </is>
      </c>
      <c r="H19" t="inlineStr">
        <is>
          <t>2 Agustus 2000</t>
        </is>
      </c>
      <c r="I19" s="2" t="n">
        <v>46331</v>
      </c>
      <c r="J19" t="inlineStr">
        <is>
          <t>Disetujui</t>
        </is>
      </c>
      <c r="K19" t="n">
        <v>30</v>
      </c>
      <c r="L19" t="inlineStr">
        <is>
          <t>5 November 2026</t>
        </is>
      </c>
      <c r="M19" t="inlineStr">
        <is>
          <t>Bangunan Sipil Jembatan, Jalan Layang, Fly Over, dan Underpass</t>
        </is>
      </c>
      <c r="N19" t="inlineStr">
        <is>
          <t>K</t>
        </is>
      </c>
      <c r="O19" t="inlineStr">
        <is>
          <t>20231030</t>
        </is>
      </c>
      <c r="P19" t="inlineStr">
        <is>
          <t>Jawa Timur</t>
        </is>
      </c>
      <c r="Q19" t="inlineStr"/>
    </row>
    <row r="20">
      <c r="A20" t="inlineStr">
        <is>
          <t>ALFAFA</t>
        </is>
      </c>
      <c r="B20" t="inlineStr">
        <is>
          <t>Kab. Bojonegoro</t>
        </is>
      </c>
      <c r="C20" t="inlineStr">
        <is>
          <t>082335508384</t>
        </is>
      </c>
      <c r="D20" t="inlineStr">
        <is>
          <t>cv.alfafa01@gmail.com</t>
        </is>
      </c>
      <c r="E20" t="inlineStr">
        <is>
          <t>https://lpjk.pu.go.id/search-badan-usaha-detail/UHowenoxeVdWZGRRVnBrNVQ4NXNHZz09</t>
        </is>
      </c>
      <c r="F20" t="n">
        <v>1</v>
      </c>
      <c r="G20" t="inlineStr">
        <is>
          <t>BS010</t>
        </is>
      </c>
      <c r="H20" t="inlineStr">
        <is>
          <t>13 Maret 2020</t>
        </is>
      </c>
      <c r="I20" s="2" t="n">
        <v>46331</v>
      </c>
      <c r="J20" t="inlineStr">
        <is>
          <t>Disetujui</t>
        </is>
      </c>
      <c r="K20" t="n">
        <v>30</v>
      </c>
      <c r="L20" t="inlineStr">
        <is>
          <t>5 November 2026</t>
        </is>
      </c>
      <c r="M20" t="inlineStr">
        <is>
          <t>Konstruksi Bangunan Prasarana Sumber Daya Air</t>
        </is>
      </c>
      <c r="N20" t="inlineStr">
        <is>
          <t>K</t>
        </is>
      </c>
      <c r="O20" t="inlineStr">
        <is>
          <t>20231102</t>
        </is>
      </c>
      <c r="P20" t="inlineStr">
        <is>
          <t>Jawa Timur</t>
        </is>
      </c>
      <c r="Q20" t="inlineStr"/>
    </row>
    <row r="21">
      <c r="A21" t="inlineStr">
        <is>
          <t>ALKAFILA</t>
        </is>
      </c>
      <c r="B21" t="inlineStr">
        <is>
          <t>Kab. Blitar</t>
        </is>
      </c>
      <c r="C21" t="inlineStr">
        <is>
          <t>0</t>
        </is>
      </c>
      <c r="D21" t="inlineStr">
        <is>
          <t>cvalkafila@gmail.com</t>
        </is>
      </c>
      <c r="E21" t="inlineStr">
        <is>
          <t>https://lpjk.pu.go.id/search-badan-usaha-detail/SlEyQzdHc3pOVWVKSDhTQ09kU21UUT09</t>
        </is>
      </c>
      <c r="F21" t="n">
        <v>2</v>
      </c>
      <c r="G21" t="inlineStr">
        <is>
          <t>BS001</t>
        </is>
      </c>
      <c r="H21" t="inlineStr">
        <is>
          <t>13 Juni 2008</t>
        </is>
      </c>
      <c r="I21" s="2" t="n">
        <v>46331</v>
      </c>
      <c r="J21" t="inlineStr">
        <is>
          <t>Disetujui</t>
        </is>
      </c>
      <c r="K21" t="n">
        <v>30</v>
      </c>
      <c r="L21" t="inlineStr">
        <is>
          <t>5 November 2026</t>
        </is>
      </c>
      <c r="M21" t="inlineStr">
        <is>
          <t>Konstruksi Bangunan Sipil Jalan</t>
        </is>
      </c>
      <c r="N21" t="inlineStr">
        <is>
          <t>K</t>
        </is>
      </c>
      <c r="O21" t="inlineStr">
        <is>
          <t>20231026</t>
        </is>
      </c>
      <c r="P21" t="inlineStr">
        <is>
          <t>Jawa Timur</t>
        </is>
      </c>
      <c r="Q21" t="inlineStr"/>
    </row>
    <row r="22">
      <c r="A22" t="inlineStr">
        <is>
          <t>AMARRA ZAHRA KARYA ABADI</t>
        </is>
      </c>
      <c r="B22" t="inlineStr">
        <is>
          <t>Kab. Indramayu</t>
        </is>
      </c>
      <c r="C22" t="inlineStr">
        <is>
          <t>087727603056</t>
        </is>
      </c>
      <c r="D22" t="inlineStr">
        <is>
          <t>ptamarrazahrakaryaabadi@gmail.com</t>
        </is>
      </c>
      <c r="E22" t="inlineStr">
        <is>
          <t>https://lpjk.pu.go.id/search-badan-usaha-detail/SlN4RThIQXJuK0RHam5hQk5oRStydz09</t>
        </is>
      </c>
      <c r="F22" t="n">
        <v>1</v>
      </c>
      <c r="G22" t="inlineStr">
        <is>
          <t>BS001</t>
        </is>
      </c>
      <c r="H22" t="inlineStr">
        <is>
          <t>27 Desember 2016</t>
        </is>
      </c>
      <c r="I22" s="2" t="n">
        <v>46331</v>
      </c>
      <c r="J22" t="inlineStr">
        <is>
          <t>Disetujui</t>
        </is>
      </c>
      <c r="K22" t="n">
        <v>30</v>
      </c>
      <c r="L22" t="inlineStr">
        <is>
          <t>5 November 2026</t>
        </is>
      </c>
      <c r="M22" t="inlineStr">
        <is>
          <t>Konstruksi Bangunan Sipil Jalan</t>
        </is>
      </c>
      <c r="N22" t="inlineStr">
        <is>
          <t>K</t>
        </is>
      </c>
      <c r="O22" t="inlineStr">
        <is>
          <t>20231102</t>
        </is>
      </c>
      <c r="P22" t="inlineStr">
        <is>
          <t>Jawa Barat</t>
        </is>
      </c>
      <c r="Q22" t="inlineStr"/>
    </row>
    <row r="23">
      <c r="A23" t="inlineStr">
        <is>
          <t>ANGGREK MAS JAYA</t>
        </is>
      </c>
      <c r="B23" t="inlineStr">
        <is>
          <t>Kota Batam</t>
        </is>
      </c>
      <c r="C23" t="inlineStr">
        <is>
          <t>081991095091</t>
        </is>
      </c>
      <c r="D23" t="inlineStr">
        <is>
          <t>cv.amj321@gmail.com</t>
        </is>
      </c>
      <c r="E23" t="inlineStr">
        <is>
          <t>https://lpjk.pu.go.id/search-badan-usaha-detail/dHNvbXRlcExjUVRJZzM5V28vS1pNdz09</t>
        </is>
      </c>
      <c r="F23" t="n">
        <v>1</v>
      </c>
      <c r="G23" t="inlineStr">
        <is>
          <t>BS001</t>
        </is>
      </c>
      <c r="H23" t="inlineStr">
        <is>
          <t>13 Oktober 2023</t>
        </is>
      </c>
      <c r="I23" s="2" t="n">
        <v>46331</v>
      </c>
      <c r="J23" t="inlineStr">
        <is>
          <t>Disetujui</t>
        </is>
      </c>
      <c r="K23" t="n">
        <v>30</v>
      </c>
      <c r="L23" t="inlineStr">
        <is>
          <t>5 November 2026</t>
        </is>
      </c>
      <c r="M23" t="inlineStr">
        <is>
          <t>Konstruksi Bangunan Sipil Jalan</t>
        </is>
      </c>
      <c r="N23" t="inlineStr">
        <is>
          <t>K</t>
        </is>
      </c>
      <c r="O23" t="inlineStr">
        <is>
          <t>20231101</t>
        </is>
      </c>
      <c r="P23" t="inlineStr">
        <is>
          <t>Kepulauan Riau</t>
        </is>
      </c>
      <c r="Q23" t="inlineStr"/>
    </row>
    <row r="24">
      <c r="A24" t="inlineStr">
        <is>
          <t>ANGKASA PURA PROPERTINDO</t>
        </is>
      </c>
      <c r="B24" t="inlineStr">
        <is>
          <t>Kota Tangerang</t>
        </is>
      </c>
      <c r="C24" t="inlineStr">
        <is>
          <t>02122566525</t>
        </is>
      </c>
      <c r="D24" t="inlineStr">
        <is>
          <t>angkasapurapropertindo@gmail.com</t>
        </is>
      </c>
      <c r="E24" t="inlineStr">
        <is>
          <t>https://lpjk.pu.go.id/search-badan-usaha-detail/bUVPcjBSUEg1YlllZFErbE1hU2F6QT09</t>
        </is>
      </c>
      <c r="F24" t="n">
        <v>4</v>
      </c>
      <c r="G24" t="inlineStr">
        <is>
          <t>BG002, IN008</t>
        </is>
      </c>
      <c r="H24" t="inlineStr">
        <is>
          <t>20 April 2016</t>
        </is>
      </c>
      <c r="I24" s="2" t="n">
        <v>46331</v>
      </c>
      <c r="J24" t="inlineStr">
        <is>
          <t>Pencabutan</t>
        </is>
      </c>
      <c r="K24" t="n">
        <v>30</v>
      </c>
      <c r="L24" t="inlineStr">
        <is>
          <t>5 November 2026</t>
        </is>
      </c>
      <c r="M24" t="inlineStr">
        <is>
          <t>Instalasi Pendingin Dan Ventilasi Udara, Konstruksi Gedung Perkantoran</t>
        </is>
      </c>
      <c r="N24" t="inlineStr">
        <is>
          <t>M, Spesialis</t>
        </is>
      </c>
      <c r="O24" t="inlineStr">
        <is>
          <t>20231026</t>
        </is>
      </c>
      <c r="P24" t="inlineStr">
        <is>
          <t>Banten</t>
        </is>
      </c>
      <c r="Q24" t="inlineStr"/>
    </row>
    <row r="25">
      <c r="A25" t="inlineStr">
        <is>
          <t>ANUGERAH SURYA JAYA</t>
        </is>
      </c>
      <c r="B25" t="inlineStr">
        <is>
          <t>Kab. Lombok Utara</t>
        </is>
      </c>
      <c r="C25" t="inlineStr">
        <is>
          <t>081913415323</t>
        </is>
      </c>
      <c r="D25" t="inlineStr">
        <is>
          <t>cvanugrahsuryajaya@gmail.com</t>
        </is>
      </c>
      <c r="E25" t="inlineStr">
        <is>
          <t>https://lpjk.pu.go.id/search-badan-usaha-detail/UmVYRGIrUnF5RUQraldQakIyMjd4dz09</t>
        </is>
      </c>
      <c r="F25" t="n">
        <v>1</v>
      </c>
      <c r="G25" t="inlineStr">
        <is>
          <t>BG006</t>
        </is>
      </c>
      <c r="H25" t="inlineStr">
        <is>
          <t>13 Mei 2020</t>
        </is>
      </c>
      <c r="I25" s="2" t="n">
        <v>46331</v>
      </c>
      <c r="J25" t="inlineStr">
        <is>
          <t>Disetujui</t>
        </is>
      </c>
      <c r="K25" t="n">
        <v>30</v>
      </c>
      <c r="L25" t="inlineStr">
        <is>
          <t>5 November 2026</t>
        </is>
      </c>
      <c r="M25" t="inlineStr">
        <is>
          <t>Konstruksi Gedung Pendidikan</t>
        </is>
      </c>
      <c r="N25" t="inlineStr">
        <is>
          <t>K</t>
        </is>
      </c>
      <c r="O25" t="inlineStr">
        <is>
          <t>20231102</t>
        </is>
      </c>
      <c r="P25" t="inlineStr">
        <is>
          <t>Nusa Tenggara Barat</t>
        </is>
      </c>
      <c r="Q25" t="inlineStr"/>
    </row>
    <row r="26">
      <c r="A26" t="inlineStr">
        <is>
          <t>ANZAL SUKSES ABADI</t>
        </is>
      </c>
      <c r="B26" t="inlineStr">
        <is>
          <t>Kota Adm. Jakarta Barat</t>
        </is>
      </c>
      <c r="C26" t="inlineStr">
        <is>
          <t>02156955010</t>
        </is>
      </c>
      <c r="D26" t="inlineStr">
        <is>
          <t>cvanzalsukses@gmail.com</t>
        </is>
      </c>
      <c r="E26" t="inlineStr">
        <is>
          <t>https://lpjk.pu.go.id/search-badan-usaha-detail/ditMS0NQQVRWNTRwSGIwWHRWZVArOGZBVy80ZGpCMkliZDN1UHJnNFd5Yz0</t>
        </is>
      </c>
      <c r="F26" t="n">
        <v>2</v>
      </c>
      <c r="G26" t="inlineStr">
        <is>
          <t>BG006, BG009</t>
        </is>
      </c>
      <c r="H26" t="inlineStr">
        <is>
          <t>6 Oktober 2025</t>
        </is>
      </c>
      <c r="I26" s="2" t="n">
        <v>46331</v>
      </c>
      <c r="J26" t="inlineStr">
        <is>
          <t>Disetujui</t>
        </is>
      </c>
      <c r="K26" t="n">
        <v>30</v>
      </c>
      <c r="L26" t="inlineStr">
        <is>
          <t>5 November 2026</t>
        </is>
      </c>
      <c r="M26" t="inlineStr">
        <is>
          <t>Konstruksi Gedung Lainnya, Konstruksi Gedung Pendidikan</t>
        </is>
      </c>
      <c r="N26" t="inlineStr">
        <is>
          <t>K</t>
        </is>
      </c>
      <c r="O26" t="inlineStr">
        <is>
          <t>20231101</t>
        </is>
      </c>
      <c r="P26" t="inlineStr">
        <is>
          <t>DKI Jakarta</t>
        </is>
      </c>
      <c r="Q26" t="inlineStr"/>
    </row>
    <row r="27">
      <c r="A27" t="inlineStr">
        <is>
          <t>ART NOUVEAU</t>
        </is>
      </c>
      <c r="B27" t="inlineStr">
        <is>
          <t>Kota Palu</t>
        </is>
      </c>
      <c r="C27" t="inlineStr">
        <is>
          <t>085228312566</t>
        </is>
      </c>
      <c r="D27" t="inlineStr">
        <is>
          <t>artnouveauconsultant@yahoo.co.id</t>
        </is>
      </c>
      <c r="E27" t="inlineStr">
        <is>
          <t>https://lpjk.pu.go.id/search-badan-usaha-detail/c2tzTzBlbUZ4M0YwZHZrdWhvS3duZz09</t>
        </is>
      </c>
      <c r="F27" t="n">
        <v>2</v>
      </c>
      <c r="G27" t="inlineStr">
        <is>
          <t>AR001, AR002</t>
        </is>
      </c>
      <c r="H27" t="inlineStr">
        <is>
          <t>13 Februari 2008</t>
        </is>
      </c>
      <c r="I27" s="2" t="n">
        <v>46331</v>
      </c>
      <c r="J27" t="inlineStr">
        <is>
          <t>Disetujui</t>
        </is>
      </c>
      <c r="K27" t="n">
        <v>30</v>
      </c>
      <c r="L27" t="inlineStr">
        <is>
          <t>5 November 2026</t>
        </is>
      </c>
      <c r="M27" t="inlineStr">
        <is>
          <t>Jasa Arsitektural Bangunan Gedung Hunian dan Non Hunian, Jasa Arsitektural Lainnya</t>
        </is>
      </c>
      <c r="N27" t="inlineStr">
        <is>
          <t>K</t>
        </is>
      </c>
      <c r="O27" t="inlineStr">
        <is>
          <t>20231025, 20231026</t>
        </is>
      </c>
      <c r="P27" t="inlineStr">
        <is>
          <t>Sulawesi Tengah</t>
        </is>
      </c>
      <c r="Q27" t="inlineStr"/>
    </row>
    <row r="28">
      <c r="A28" t="inlineStr">
        <is>
          <t>ARTHA MAHESWARA</t>
        </is>
      </c>
      <c r="B28" t="inlineStr">
        <is>
          <t>Kab. Bojonegoro</t>
        </is>
      </c>
      <c r="C28" t="inlineStr">
        <is>
          <t>085232586899</t>
        </is>
      </c>
      <c r="D28" t="inlineStr">
        <is>
          <t>arthamaheswara1@gmail.com</t>
        </is>
      </c>
      <c r="E28" t="inlineStr">
        <is>
          <t>https://lpjk.pu.go.id/search-badan-usaha-detail/Y1ROQVdxblFDY2F2c1BDRFgraFExZz09</t>
        </is>
      </c>
      <c r="F28" t="n">
        <v>2</v>
      </c>
      <c r="G28" t="inlineStr">
        <is>
          <t>BS001, BS002</t>
        </is>
      </c>
      <c r="H28" t="inlineStr">
        <is>
          <t>14 April 2020</t>
        </is>
      </c>
      <c r="I28" s="2" t="n">
        <v>46331</v>
      </c>
      <c r="J28" t="inlineStr">
        <is>
          <t>Pencabutan</t>
        </is>
      </c>
      <c r="K28" t="n">
        <v>30</v>
      </c>
      <c r="L28" t="inlineStr">
        <is>
          <t>5 November 2026</t>
        </is>
      </c>
      <c r="M28" t="inlineStr">
        <is>
          <t>Bangunan Sipil Jembatan, Jalan Layang, Fly Over, dan Underpass, Konstruksi Bangunan Sipil Jalan</t>
        </is>
      </c>
      <c r="N28" t="inlineStr">
        <is>
          <t>K</t>
        </is>
      </c>
      <c r="O28" t="inlineStr">
        <is>
          <t>20231106</t>
        </is>
      </c>
      <c r="P28" t="inlineStr">
        <is>
          <t>Jawa Timur</t>
        </is>
      </c>
      <c r="Q28" t="inlineStr"/>
    </row>
    <row r="29">
      <c r="A29" t="inlineStr">
        <is>
          <t>BABAKAN BERKAH ABADI</t>
        </is>
      </c>
      <c r="B29" t="inlineStr">
        <is>
          <t>Kab. Garut</t>
        </is>
      </c>
      <c r="C29" t="inlineStr">
        <is>
          <t>085215151781</t>
        </is>
      </c>
      <c r="D29" t="inlineStr">
        <is>
          <t>babakanberkahabadi@gmail.com</t>
        </is>
      </c>
      <c r="E29" t="inlineStr">
        <is>
          <t>https://lpjk.pu.go.id/search-badan-usaha-detail/L2VsQmthUmg3OXY5M2hUQkx4b3FTUT09</t>
        </is>
      </c>
      <c r="F29" t="n">
        <v>2</v>
      </c>
      <c r="G29" t="inlineStr">
        <is>
          <t>BG001, BG005</t>
        </is>
      </c>
      <c r="H29" t="inlineStr">
        <is>
          <t>14 Juli 2023</t>
        </is>
      </c>
      <c r="I29" s="2" t="n">
        <v>46331</v>
      </c>
      <c r="J29" t="inlineStr">
        <is>
          <t>Disetujui</t>
        </is>
      </c>
      <c r="K29" t="n">
        <v>30</v>
      </c>
      <c r="L29" t="inlineStr">
        <is>
          <t>5 November 2026</t>
        </is>
      </c>
      <c r="M29" t="inlineStr">
        <is>
          <t>Konstruksi Gedung Hunian, Konstruksi Gedung Kesehatan</t>
        </is>
      </c>
      <c r="N29" t="inlineStr">
        <is>
          <t>K</t>
        </is>
      </c>
      <c r="O29" t="inlineStr">
        <is>
          <t>20231102</t>
        </is>
      </c>
      <c r="P29" t="inlineStr">
        <is>
          <t>Jawa Barat</t>
        </is>
      </c>
      <c r="Q29" t="inlineStr"/>
    </row>
    <row r="30">
      <c r="A30" t="inlineStr">
        <is>
          <t>BANGUN BANUA</t>
        </is>
      </c>
      <c r="B30" t="inlineStr">
        <is>
          <t>Kab. Tabalong</t>
        </is>
      </c>
      <c r="C30" t="inlineStr">
        <is>
          <t>085251180533</t>
        </is>
      </c>
      <c r="D30" t="inlineStr">
        <is>
          <t>bangun.banua@yahoo.com</t>
        </is>
      </c>
      <c r="E30" t="inlineStr">
        <is>
          <t>https://lpjk.pu.go.id/search-badan-usaha-detail/eTE2dko4cXFaVnA1eWNiL01oa1o0QT09</t>
        </is>
      </c>
      <c r="F30" t="n">
        <v>1</v>
      </c>
      <c r="G30" t="inlineStr">
        <is>
          <t>BG001</t>
        </is>
      </c>
      <c r="H30" t="inlineStr">
        <is>
          <t>25 Mei 2010</t>
        </is>
      </c>
      <c r="I30" s="2" t="n">
        <v>46331</v>
      </c>
      <c r="J30" t="inlineStr">
        <is>
          <t>Disetujui</t>
        </is>
      </c>
      <c r="K30" t="n">
        <v>30</v>
      </c>
      <c r="L30" t="inlineStr">
        <is>
          <t>5 November 2026</t>
        </is>
      </c>
      <c r="M30" t="inlineStr">
        <is>
          <t>Konstruksi Gedung Hunian</t>
        </is>
      </c>
      <c r="N30" t="inlineStr">
        <is>
          <t>K</t>
        </is>
      </c>
      <c r="O30" t="inlineStr">
        <is>
          <t>20231025</t>
        </is>
      </c>
      <c r="P30" t="inlineStr">
        <is>
          <t>Kalimantan Selatan</t>
        </is>
      </c>
      <c r="Q30" t="inlineStr"/>
    </row>
    <row r="31">
      <c r="A31" t="inlineStr">
        <is>
          <t>BANGUN KARTA</t>
        </is>
      </c>
      <c r="B31" t="inlineStr">
        <is>
          <t>Kab. Sidoarjo</t>
        </is>
      </c>
      <c r="C31" t="inlineStr">
        <is>
          <t>081330521244</t>
        </is>
      </c>
      <c r="D31" t="inlineStr">
        <is>
          <t>bangunkarta_cv@yahoo.co.id</t>
        </is>
      </c>
      <c r="E31" t="inlineStr">
        <is>
          <t>https://lpjk.pu.go.id/search-badan-usaha-detail/d0lidktWMmFnTWRiamtIKzRyNzUxQT09</t>
        </is>
      </c>
      <c r="F31" t="n">
        <v>4</v>
      </c>
      <c r="G31" t="inlineStr">
        <is>
          <t>BG001, BG005, BG006, BG009</t>
        </is>
      </c>
      <c r="H31" t="inlineStr">
        <is>
          <t>15 Maret 1997</t>
        </is>
      </c>
      <c r="I31" s="2" t="n">
        <v>46331</v>
      </c>
      <c r="J31" t="inlineStr">
        <is>
          <t>Disetujui</t>
        </is>
      </c>
      <c r="K31" t="n">
        <v>30</v>
      </c>
      <c r="L31" t="inlineStr">
        <is>
          <t>5 November 2026</t>
        </is>
      </c>
      <c r="M31" t="inlineStr">
        <is>
          <t>Konstruksi Gedung Hunian, Konstruksi Gedung Kesehatan, Konstruksi Gedung Lainnya, Konstruksi Gedung Pendidikan</t>
        </is>
      </c>
      <c r="N31" t="inlineStr">
        <is>
          <t>K</t>
        </is>
      </c>
      <c r="O31" t="inlineStr">
        <is>
          <t>20231024, 20231025</t>
        </is>
      </c>
      <c r="P31" t="inlineStr">
        <is>
          <t>Jawa Timur</t>
        </is>
      </c>
      <c r="Q31" t="inlineStr"/>
    </row>
    <row r="32">
      <c r="A32" t="inlineStr">
        <is>
          <t>BATULICIN SARANA CONSULTAN</t>
        </is>
      </c>
      <c r="B32" t="inlineStr">
        <is>
          <t>Kab. Tanah Bumbu</t>
        </is>
      </c>
      <c r="C32" t="inlineStr">
        <is>
          <t>08875100342</t>
        </is>
      </c>
      <c r="D32" t="inlineStr">
        <is>
          <t>cv.batulicinsaranaconsultan@gmail.com</t>
        </is>
      </c>
      <c r="E32" t="inlineStr">
        <is>
          <t>https://lpjk.pu.go.id/search-badan-usaha-detail/eGJXdUwzQmVnMFhqdWJSUFpCSGp0UT09</t>
        </is>
      </c>
      <c r="F32" t="n">
        <v>1</v>
      </c>
      <c r="G32" t="inlineStr">
        <is>
          <t>RK001</t>
        </is>
      </c>
      <c r="H32" t="inlineStr">
        <is>
          <t>6 Maret 2017</t>
        </is>
      </c>
      <c r="I32" s="2" t="n">
        <v>46331</v>
      </c>
      <c r="J32" t="inlineStr">
        <is>
          <t>Disetujui</t>
        </is>
      </c>
      <c r="K32" t="n">
        <v>30</v>
      </c>
      <c r="L32" t="inlineStr">
        <is>
          <t>5 November 2026</t>
        </is>
      </c>
      <c r="M32" t="inlineStr">
        <is>
          <t>Jasa Rekayasa Konstruksi Bangunan Gedung Hunian dan Non Hunian</t>
        </is>
      </c>
      <c r="N32" t="inlineStr">
        <is>
          <t>K</t>
        </is>
      </c>
      <c r="O32" t="inlineStr">
        <is>
          <t>20231017</t>
        </is>
      </c>
      <c r="P32" t="inlineStr">
        <is>
          <t>Kalimantan Selatan</t>
        </is>
      </c>
      <c r="Q32" t="inlineStr"/>
    </row>
    <row r="33">
      <c r="A33" t="inlineStr">
        <is>
          <t>BERKAH SAUDARA SUKSES</t>
        </is>
      </c>
      <c r="B33" t="inlineStr">
        <is>
          <t>Kab. Kutai Timur</t>
        </is>
      </c>
      <c r="C33" t="inlineStr">
        <is>
          <t>081230818799</t>
        </is>
      </c>
      <c r="D33" t="inlineStr">
        <is>
          <t>cv.berkahsaudarasukses@gmail.com</t>
        </is>
      </c>
      <c r="E33" t="inlineStr">
        <is>
          <t>https://lpjk.pu.go.id/search-badan-usaha-detail/cTJhT0V1cTM2Z3JONVRQZ291RDY0QT09</t>
        </is>
      </c>
      <c r="F33" t="n">
        <v>4</v>
      </c>
      <c r="G33" t="inlineStr">
        <is>
          <t>BS001, BS004</t>
        </is>
      </c>
      <c r="H33" t="inlineStr">
        <is>
          <t>11 Oktober 2023</t>
        </is>
      </c>
      <c r="I33" s="2" t="n">
        <v>46331</v>
      </c>
      <c r="J33" t="inlineStr">
        <is>
          <t>Disetujui</t>
        </is>
      </c>
      <c r="K33" t="n">
        <v>30</v>
      </c>
      <c r="L33" t="inlineStr">
        <is>
          <t>5 November 2026</t>
        </is>
      </c>
      <c r="M33" t="inlineStr">
        <is>
          <t>Konstruksi Bangunan Sipil Jalan, Konstruksi Jaringan Irigasi dan Drainase</t>
        </is>
      </c>
      <c r="N33" t="inlineStr">
        <is>
          <t>K</t>
        </is>
      </c>
      <c r="O33" t="inlineStr">
        <is>
          <t>20231030, 20231031</t>
        </is>
      </c>
      <c r="P33" t="inlineStr">
        <is>
          <t>Kalimantan Timur</t>
        </is>
      </c>
      <c r="Q33" t="inlineStr"/>
    </row>
    <row r="34">
      <c r="A34" t="inlineStr">
        <is>
          <t>BERSAMA TUJUH SAUDARA</t>
        </is>
      </c>
      <c r="B34" t="inlineStr">
        <is>
          <t>Kab. Langkat</t>
        </is>
      </c>
      <c r="C34" t="inlineStr">
        <is>
          <t>081269822574</t>
        </is>
      </c>
      <c r="D34" t="inlineStr">
        <is>
          <t>cv.bersamatujuhsaudara@umkmgo.online</t>
        </is>
      </c>
      <c r="E34" t="inlineStr">
        <is>
          <t>https://lpjk.pu.go.id/search-badan-usaha-detail/Uld5L0NUWVJHZjRVZ3kyVkRjYzI4Zz09</t>
        </is>
      </c>
      <c r="F34" t="n">
        <v>1</v>
      </c>
      <c r="G34" t="inlineStr">
        <is>
          <t>BS001</t>
        </is>
      </c>
      <c r="H34" t="inlineStr">
        <is>
          <t>8 Maret 2023</t>
        </is>
      </c>
      <c r="I34" s="2" t="n">
        <v>46331</v>
      </c>
      <c r="J34" t="inlineStr">
        <is>
          <t>Disetujui</t>
        </is>
      </c>
      <c r="K34" t="n">
        <v>30</v>
      </c>
      <c r="L34" t="inlineStr">
        <is>
          <t>5 November 2026</t>
        </is>
      </c>
      <c r="M34" t="inlineStr">
        <is>
          <t>Konstruksi Bangunan Sipil Jalan</t>
        </is>
      </c>
      <c r="N34" t="inlineStr">
        <is>
          <t>K</t>
        </is>
      </c>
      <c r="O34" t="inlineStr">
        <is>
          <t>20231103</t>
        </is>
      </c>
      <c r="P34" t="inlineStr">
        <is>
          <t>Sumatera Utara</t>
        </is>
      </c>
      <c r="Q34" t="inlineStr"/>
    </row>
    <row r="35">
      <c r="A35" t="inlineStr">
        <is>
          <t>BUMI CENDERAWASIH</t>
        </is>
      </c>
      <c r="B35" t="inlineStr">
        <is>
          <t>Kota Jayapura</t>
        </is>
      </c>
      <c r="C35" t="inlineStr">
        <is>
          <t>085244555097</t>
        </is>
      </c>
      <c r="D35" t="inlineStr">
        <is>
          <t>cendrawasihbumi3@gmail.com</t>
        </is>
      </c>
      <c r="E35" t="inlineStr">
        <is>
          <t>https://lpjk.pu.go.id/search-badan-usaha-detail/VTJldlJzMlZ3d3V0VnA5MDdxRURjdz09</t>
        </is>
      </c>
      <c r="F35" t="n">
        <v>6</v>
      </c>
      <c r="G35" t="inlineStr">
        <is>
          <t>BG001, BG002, BG005, BG006, BG009, BS001</t>
        </is>
      </c>
      <c r="H35" t="inlineStr">
        <is>
          <t>27 Mei 2017</t>
        </is>
      </c>
      <c r="I35" s="2" t="n">
        <v>46331</v>
      </c>
      <c r="J35" t="inlineStr">
        <is>
          <t>Disetujui</t>
        </is>
      </c>
      <c r="K35" t="n">
        <v>30</v>
      </c>
      <c r="L35" t="inlineStr">
        <is>
          <t>5 November 2026</t>
        </is>
      </c>
      <c r="M35" t="inlineStr">
        <is>
          <t>Konstruksi Bangunan Sipil Jalan, Konstruksi Gedung Hunian, Konstruksi Gedung Kesehatan, Konstruksi Gedung Lainnya, Konstruksi Gedung Pendidikan, Konstruksi Gedung Perkantoran</t>
        </is>
      </c>
      <c r="N35" t="inlineStr">
        <is>
          <t>K</t>
        </is>
      </c>
      <c r="O35" t="inlineStr">
        <is>
          <t>20230829, 20230830, 20231101</t>
        </is>
      </c>
      <c r="P35" t="inlineStr">
        <is>
          <t>Papua</t>
        </is>
      </c>
      <c r="Q35" t="inlineStr"/>
    </row>
    <row r="36">
      <c r="A36" t="inlineStr">
        <is>
          <t>BUMI MAKMUR</t>
        </is>
      </c>
      <c r="B36" t="inlineStr">
        <is>
          <t>Kota Banda Aceh</t>
        </is>
      </c>
      <c r="C36" t="inlineStr">
        <is>
          <t>081375304672</t>
        </is>
      </c>
      <c r="D36" t="inlineStr">
        <is>
          <t>cv.bumimakmur19@gmail.com</t>
        </is>
      </c>
      <c r="E36" t="inlineStr">
        <is>
          <t>https://lpjk.pu.go.id/search-badan-usaha-detail/VGwvL0NBYUJjeFlRUG5ZNnVhcEFuUT09</t>
        </is>
      </c>
      <c r="F36" t="n">
        <v>2</v>
      </c>
      <c r="G36" t="inlineStr">
        <is>
          <t>BG004, BG005</t>
        </is>
      </c>
      <c r="H36" t="inlineStr">
        <is>
          <t>4 Mei 2017</t>
        </is>
      </c>
      <c r="I36" s="2" t="n">
        <v>46331</v>
      </c>
      <c r="J36" t="inlineStr">
        <is>
          <t>Disetujui</t>
        </is>
      </c>
      <c r="K36" t="n">
        <v>30</v>
      </c>
      <c r="L36" t="inlineStr">
        <is>
          <t>5 November 2026</t>
        </is>
      </c>
      <c r="M36" t="inlineStr">
        <is>
          <t>Konstruksi Gedung Kesehatan, Konstruksi Gedung Perbelanjaan</t>
        </is>
      </c>
      <c r="N36" t="inlineStr">
        <is>
          <t>K</t>
        </is>
      </c>
      <c r="O36" t="inlineStr">
        <is>
          <t>20231030</t>
        </is>
      </c>
      <c r="P36" t="inlineStr">
        <is>
          <t>Aceh</t>
        </is>
      </c>
      <c r="Q36" t="inlineStr"/>
    </row>
    <row r="37">
      <c r="A37" t="inlineStr">
        <is>
          <t>CAHAYA HIDUP PRIMA</t>
        </is>
      </c>
      <c r="B37" t="inlineStr">
        <is>
          <t>Kota Surabaya</t>
        </is>
      </c>
      <c r="C37" t="inlineStr">
        <is>
          <t>0315950967</t>
        </is>
      </c>
      <c r="D37" t="inlineStr">
        <is>
          <t>oss.ptchp@gmail.com</t>
        </is>
      </c>
      <c r="E37" t="inlineStr">
        <is>
          <t>https://lpjk.pu.go.id/search-badan-usaha-detail/VllYY05WRXNoNXpCNzVmUmlNbyt4QT09</t>
        </is>
      </c>
      <c r="F37" t="n">
        <v>1</v>
      </c>
      <c r="G37" t="inlineStr">
        <is>
          <t>BS010</t>
        </is>
      </c>
      <c r="H37" t="inlineStr">
        <is>
          <t>29 Maret 2006</t>
        </is>
      </c>
      <c r="I37" s="2" t="n">
        <v>46331</v>
      </c>
      <c r="J37" t="inlineStr">
        <is>
          <t>Disetujui</t>
        </is>
      </c>
      <c r="K37" t="n">
        <v>30</v>
      </c>
      <c r="L37" t="inlineStr">
        <is>
          <t>5 November 2026</t>
        </is>
      </c>
      <c r="M37" t="inlineStr">
        <is>
          <t>Konstruksi Bangunan Prasarana Sumber Daya Air</t>
        </is>
      </c>
      <c r="N37" t="inlineStr">
        <is>
          <t>K</t>
        </is>
      </c>
      <c r="O37" t="inlineStr">
        <is>
          <t>20231102</t>
        </is>
      </c>
      <c r="P37" t="inlineStr">
        <is>
          <t>Jawa Timur</t>
        </is>
      </c>
      <c r="Q37" t="inlineStr"/>
    </row>
    <row r="38">
      <c r="A38" t="inlineStr">
        <is>
          <t>CHANDRA JAYA</t>
        </is>
      </c>
      <c r="B38" t="inlineStr">
        <is>
          <t>Kab. Tulang Bawang</t>
        </is>
      </c>
      <c r="C38" t="inlineStr">
        <is>
          <t>082380214289</t>
        </is>
      </c>
      <c r="D38" t="inlineStr">
        <is>
          <t>chandra_pika@yahoo.com</t>
        </is>
      </c>
      <c r="E38" t="inlineStr">
        <is>
          <t>https://lpjk.pu.go.id/search-badan-usaha-detail/TnFUN21pREh3M3VtbWM1cDBZKzhFUT09</t>
        </is>
      </c>
      <c r="F38" t="n">
        <v>4</v>
      </c>
      <c r="G38" t="inlineStr">
        <is>
          <t>BG005, BG006, BG009, BS001</t>
        </is>
      </c>
      <c r="H38" t="inlineStr">
        <is>
          <t>25 Oktober 2023</t>
        </is>
      </c>
      <c r="I38" s="2" t="n">
        <v>46331</v>
      </c>
      <c r="J38" t="inlineStr">
        <is>
          <t>Disetujui</t>
        </is>
      </c>
      <c r="K38" t="n">
        <v>30</v>
      </c>
      <c r="L38" t="inlineStr">
        <is>
          <t>5 November 2026</t>
        </is>
      </c>
      <c r="M38" t="inlineStr">
        <is>
          <t>Konstruksi Bangunan Sipil Jalan, Konstruksi Gedung Kesehatan, Konstruksi Gedung Lainnya, Konstruksi Gedung Pendidikan</t>
        </is>
      </c>
      <c r="N38" t="inlineStr">
        <is>
          <t>K</t>
        </is>
      </c>
      <c r="O38" t="inlineStr">
        <is>
          <t>20231101</t>
        </is>
      </c>
      <c r="P38" t="inlineStr">
        <is>
          <t>Lampung</t>
        </is>
      </c>
      <c r="Q38" t="inlineStr"/>
    </row>
    <row r="39">
      <c r="A39" t="inlineStr">
        <is>
          <t>CITRA INDAH PERDANA</t>
        </is>
      </c>
      <c r="B39" t="inlineStr">
        <is>
          <t>Kota Adm. Jakarta Barat</t>
        </is>
      </c>
      <c r="C39" t="inlineStr">
        <is>
          <t>02129030893</t>
        </is>
      </c>
      <c r="D39" t="inlineStr">
        <is>
          <t>citraindah.p@gmail.com</t>
        </is>
      </c>
      <c r="E39" t="inlineStr">
        <is>
          <t>https://lpjk.pu.go.id/search-badan-usaha-detail/YkZ6dFNpWUYrL2N4dDFZM0pFRll2dz09</t>
        </is>
      </c>
      <c r="F39" t="n">
        <v>2</v>
      </c>
      <c r="G39" t="inlineStr">
        <is>
          <t>BG001, BG006</t>
        </is>
      </c>
      <c r="H39" t="inlineStr">
        <is>
          <t>1 Maret 2002</t>
        </is>
      </c>
      <c r="I39" s="2" t="n">
        <v>46331</v>
      </c>
      <c r="J39" t="inlineStr">
        <is>
          <t>Pencabutan</t>
        </is>
      </c>
      <c r="K39" t="n">
        <v>30</v>
      </c>
      <c r="L39" t="inlineStr">
        <is>
          <t>5 November 2026</t>
        </is>
      </c>
      <c r="M39" t="inlineStr">
        <is>
          <t>Konstruksi Gedung Hunian, Konstruksi Gedung Pendidikan</t>
        </is>
      </c>
      <c r="N39" t="inlineStr">
        <is>
          <t>K</t>
        </is>
      </c>
      <c r="O39" t="inlineStr">
        <is>
          <t>20231027</t>
        </is>
      </c>
      <c r="P39" t="inlineStr">
        <is>
          <t>DKI Jakarta</t>
        </is>
      </c>
      <c r="Q39" t="inlineStr"/>
    </row>
    <row r="40">
      <c r="A40" t="inlineStr">
        <is>
          <t>CV. RIZKY JAYA PRATAMA</t>
        </is>
      </c>
      <c r="B40" t="inlineStr">
        <is>
          <t>Kota Tasikmalaya</t>
        </is>
      </c>
      <c r="C40" t="inlineStr">
        <is>
          <t>085157222198</t>
        </is>
      </c>
      <c r="D40" t="inlineStr">
        <is>
          <t>cvrizky3@gmail.com</t>
        </is>
      </c>
      <c r="E40" t="inlineStr">
        <is>
          <t>https://lpjk.pu.go.id/search-badan-usaha-detail/L1pNMy8waENoL1J2Z2F0cmJTNnhkdz09</t>
        </is>
      </c>
      <c r="F40" t="n">
        <v>2</v>
      </c>
      <c r="G40" t="inlineStr">
        <is>
          <t>BG006</t>
        </is>
      </c>
      <c r="H40" t="inlineStr">
        <is>
          <t>6 September 2008</t>
        </is>
      </c>
      <c r="I40" s="2" t="n">
        <v>46331</v>
      </c>
      <c r="J40" t="inlineStr">
        <is>
          <t>Disetujui</t>
        </is>
      </c>
      <c r="K40" t="n">
        <v>30</v>
      </c>
      <c r="L40" t="inlineStr">
        <is>
          <t>5 November 2026</t>
        </is>
      </c>
      <c r="M40" t="inlineStr">
        <is>
          <t>Konstruksi Gedung Pendidikan</t>
        </is>
      </c>
      <c r="N40" t="inlineStr">
        <is>
          <t>K</t>
        </is>
      </c>
      <c r="O40" t="inlineStr">
        <is>
          <t>20231103</t>
        </is>
      </c>
      <c r="P40" t="inlineStr">
        <is>
          <t>Jawa Barat</t>
        </is>
      </c>
      <c r="Q40" t="inlineStr"/>
    </row>
    <row r="41">
      <c r="A41" t="inlineStr">
        <is>
          <t>CV. WAHYU RIZKY PRATAMA</t>
        </is>
      </c>
      <c r="B41" t="inlineStr">
        <is>
          <t>Kab. Sigi</t>
        </is>
      </c>
      <c r="C41" t="inlineStr">
        <is>
          <t>085242407845</t>
        </is>
      </c>
      <c r="D41" t="inlineStr">
        <is>
          <t>cvwahyurizkypratama@gmail.com</t>
        </is>
      </c>
      <c r="E41" t="inlineStr">
        <is>
          <t>https://lpjk.pu.go.id/search-badan-usaha-detail/NVVnS0FqR3ByaS9DRVZWL3pJNmRrQT09</t>
        </is>
      </c>
      <c r="F41" t="n">
        <v>1</v>
      </c>
      <c r="G41" t="inlineStr">
        <is>
          <t>BS001</t>
        </is>
      </c>
      <c r="H41" t="inlineStr">
        <is>
          <t>5 Desember 2000</t>
        </is>
      </c>
      <c r="I41" s="2" t="n">
        <v>46331</v>
      </c>
      <c r="J41" t="inlineStr">
        <is>
          <t>Pencabutan</t>
        </is>
      </c>
      <c r="K41" t="n">
        <v>30</v>
      </c>
      <c r="L41" t="inlineStr">
        <is>
          <t>5 November 2026</t>
        </is>
      </c>
      <c r="M41" t="inlineStr">
        <is>
          <t>Konstruksi Bangunan Sipil Jalan</t>
        </is>
      </c>
      <c r="N41" t="inlineStr">
        <is>
          <t>K</t>
        </is>
      </c>
      <c r="O41" t="inlineStr">
        <is>
          <t>20231103</t>
        </is>
      </c>
      <c r="P41" t="inlineStr">
        <is>
          <t>Sulawesi Tengah</t>
        </is>
      </c>
      <c r="Q41" t="inlineStr"/>
    </row>
    <row r="42">
      <c r="A42" t="inlineStr">
        <is>
          <t>DAMAN VARIAKARYA</t>
        </is>
      </c>
      <c r="B42" t="inlineStr">
        <is>
          <t>Kota Surabaya</t>
        </is>
      </c>
      <c r="C42" t="inlineStr">
        <is>
          <t>081272805959</t>
        </is>
      </c>
      <c r="D42" t="inlineStr">
        <is>
          <t>damanvariakarya@gmail.com</t>
        </is>
      </c>
      <c r="E42" t="inlineStr">
        <is>
          <t>https://lpjk.pu.go.id/search-badan-usaha-detail/MmlpVjArZnpyOU8yNkZOMU1CL1U0Zz09</t>
        </is>
      </c>
      <c r="F42" t="n">
        <v>1</v>
      </c>
      <c r="G42" t="inlineStr">
        <is>
          <t>BG009</t>
        </is>
      </c>
      <c r="H42" t="inlineStr">
        <is>
          <t>7 Mei 1990</t>
        </is>
      </c>
      <c r="I42" s="2" t="n">
        <v>46331</v>
      </c>
      <c r="J42" t="inlineStr">
        <is>
          <t>Disetujui</t>
        </is>
      </c>
      <c r="K42" t="n">
        <v>30</v>
      </c>
      <c r="L42" t="inlineStr">
        <is>
          <t>5 November 2026</t>
        </is>
      </c>
      <c r="M42" t="inlineStr">
        <is>
          <t>Konstruksi Gedung Lainnya</t>
        </is>
      </c>
      <c r="N42" t="inlineStr">
        <is>
          <t>M</t>
        </is>
      </c>
      <c r="O42" t="inlineStr">
        <is>
          <t>20220520</t>
        </is>
      </c>
      <c r="P42" t="inlineStr">
        <is>
          <t>Jawa Timur</t>
        </is>
      </c>
      <c r="Q42" t="inlineStr"/>
    </row>
    <row r="43">
      <c r="A43" t="inlineStr">
        <is>
          <t>DANISWARA</t>
        </is>
      </c>
      <c r="B43" t="inlineStr">
        <is>
          <t>Kab. Tangerang</t>
        </is>
      </c>
      <c r="C43" t="inlineStr">
        <is>
          <t>N/A</t>
        </is>
      </c>
      <c r="D43" t="inlineStr">
        <is>
          <t>N/A</t>
        </is>
      </c>
      <c r="E43" t="inlineStr">
        <is>
          <t>https://lpjk.pu.go.id/search-badan-usaha-detail/WFpJbEFQdWZMV3RsTTl3YUFZVWlrZz09</t>
        </is>
      </c>
      <c r="F43" t="n">
        <v>5</v>
      </c>
      <c r="G43" t="inlineStr">
        <is>
          <t>BG006, BG009, BS001, BS004, BS010</t>
        </is>
      </c>
      <c r="H43" t="inlineStr"/>
      <c r="I43" s="2" t="n">
        <v>46331</v>
      </c>
      <c r="J43" t="inlineStr">
        <is>
          <t>Disetujui</t>
        </is>
      </c>
      <c r="K43" t="n">
        <v>30</v>
      </c>
      <c r="L43" t="inlineStr">
        <is>
          <t>5 November 2026</t>
        </is>
      </c>
      <c r="M43" t="inlineStr">
        <is>
          <t>Konstruksi Bangunan Prasarana Sumber Daya Air, Konstruksi Bangunan Sipil Jalan, Konstruksi Gedung Lainnya, Konstruksi Gedung Pendidikan, Konstruksi Jaringan Irigasi dan Drainase</t>
        </is>
      </c>
      <c r="N43" t="inlineStr">
        <is>
          <t>K</t>
        </is>
      </c>
      <c r="O43" t="inlineStr">
        <is>
          <t>20231031</t>
        </is>
      </c>
      <c r="P43" t="inlineStr">
        <is>
          <t>Banten</t>
        </is>
      </c>
      <c r="Q43" t="inlineStr"/>
    </row>
    <row r="44">
      <c r="A44" t="inlineStr">
        <is>
          <t>DERMAWAN RAYA PERKASA</t>
        </is>
      </c>
      <c r="B44" t="inlineStr">
        <is>
          <t>Kab. Kolaka Utara</t>
        </is>
      </c>
      <c r="C44" t="inlineStr">
        <is>
          <t>08114092777</t>
        </is>
      </c>
      <c r="D44" t="inlineStr">
        <is>
          <t>dermawanrayaperkasa909@gmail.com</t>
        </is>
      </c>
      <c r="E44" t="inlineStr">
        <is>
          <t>https://lpjk.pu.go.id/search-badan-usaha-detail/ZXVkWmJaR2FGU1BadHVUK1BMMGgrUT09</t>
        </is>
      </c>
      <c r="F44" t="n">
        <v>2</v>
      </c>
      <c r="G44" t="inlineStr">
        <is>
          <t>BS001</t>
        </is>
      </c>
      <c r="H44" t="inlineStr">
        <is>
          <t>8 Desember 2015</t>
        </is>
      </c>
      <c r="I44" s="2" t="n">
        <v>46331</v>
      </c>
      <c r="J44" t="inlineStr">
        <is>
          <t>Pembekuan</t>
        </is>
      </c>
      <c r="K44" t="n">
        <v>30</v>
      </c>
      <c r="L44" t="inlineStr">
        <is>
          <t>5 November 2026</t>
        </is>
      </c>
      <c r="M44" t="inlineStr">
        <is>
          <t>Konstruksi Bangunan Sipil Jalan</t>
        </is>
      </c>
      <c r="N44" t="inlineStr">
        <is>
          <t>M</t>
        </is>
      </c>
      <c r="O44" t="inlineStr">
        <is>
          <t>20231011</t>
        </is>
      </c>
      <c r="P44" t="inlineStr">
        <is>
          <t>Sulawesi Tenggara</t>
        </is>
      </c>
      <c r="Q44" t="inlineStr"/>
    </row>
    <row r="45">
      <c r="A45" t="inlineStr">
        <is>
          <t>DESIGN CONSULTANT</t>
        </is>
      </c>
      <c r="B45" t="inlineStr">
        <is>
          <t>Kota Jayapura</t>
        </is>
      </c>
      <c r="C45" t="inlineStr">
        <is>
          <t>081284896741</t>
        </is>
      </c>
      <c r="D45" t="inlineStr">
        <is>
          <t>cvdesignconsultant2014@gmail.com</t>
        </is>
      </c>
      <c r="E45" t="inlineStr">
        <is>
          <t>https://lpjk.pu.go.id/search-badan-usaha-detail/d09RY2d4dS9IcTdMWmczU0NjRjVuUT09</t>
        </is>
      </c>
      <c r="F45" t="n">
        <v>2</v>
      </c>
      <c r="G45" t="inlineStr">
        <is>
          <t>RK001, RK003</t>
        </is>
      </c>
      <c r="H45" t="inlineStr">
        <is>
          <t>7 Mei 2002</t>
        </is>
      </c>
      <c r="I45" s="2" t="n">
        <v>46331</v>
      </c>
      <c r="J45" t="inlineStr">
        <is>
          <t>Disetujui</t>
        </is>
      </c>
      <c r="K45" t="n">
        <v>30</v>
      </c>
      <c r="L45" t="inlineStr">
        <is>
          <t>5 November 2026</t>
        </is>
      </c>
      <c r="M45" t="inlineStr">
        <is>
          <t>Jasa Rekayasa Konstruksi Bangunan Gedung Hunian dan Non Hunian, Jasa Rekayasa Pekerjaan Teknik Sipil Transportasi</t>
        </is>
      </c>
      <c r="N45" t="inlineStr">
        <is>
          <t>K</t>
        </is>
      </c>
      <c r="O45" t="inlineStr">
        <is>
          <t>20231025</t>
        </is>
      </c>
      <c r="P45" t="inlineStr">
        <is>
          <t>Papua</t>
        </is>
      </c>
      <c r="Q45" t="inlineStr"/>
    </row>
    <row r="46">
      <c r="A46" t="inlineStr">
        <is>
          <t>DOA IBU CONSTRUKSI</t>
        </is>
      </c>
      <c r="B46" t="inlineStr">
        <is>
          <t>Kab. Aceh Timur</t>
        </is>
      </c>
      <c r="C46" t="inlineStr">
        <is>
          <t>081258400242</t>
        </is>
      </c>
      <c r="D46" t="inlineStr">
        <is>
          <t>doaibuconstruksi@gmail.com</t>
        </is>
      </c>
      <c r="E46" t="inlineStr">
        <is>
          <t>https://lpjk.pu.go.id/search-badan-usaha-detail/ZTN6dDM0ZGNHTWRvVExWMUpsRldoUT09</t>
        </is>
      </c>
      <c r="F46" t="n">
        <v>4</v>
      </c>
      <c r="G46" t="inlineStr">
        <is>
          <t>BG002, BG005, BG009, BS001</t>
        </is>
      </c>
      <c r="H46" t="inlineStr">
        <is>
          <t>8 Januari 2021</t>
        </is>
      </c>
      <c r="I46" s="2" t="n">
        <v>46331</v>
      </c>
      <c r="J46" t="inlineStr">
        <is>
          <t>Disetujui</t>
        </is>
      </c>
      <c r="K46" t="n">
        <v>30</v>
      </c>
      <c r="L46" t="inlineStr">
        <is>
          <t>5 November 2026</t>
        </is>
      </c>
      <c r="M46" t="inlineStr">
        <is>
          <t>Konstruksi Bangunan Sipil Jalan, Konstruksi Gedung Kesehatan, Konstruksi Gedung Lainnya, Konstruksi Gedung Perkantoran</t>
        </is>
      </c>
      <c r="N46" t="inlineStr">
        <is>
          <t>K</t>
        </is>
      </c>
      <c r="O46" t="inlineStr">
        <is>
          <t>20231017, 20231030, 20231102</t>
        </is>
      </c>
      <c r="P46" t="inlineStr">
        <is>
          <t>Aceh</t>
        </is>
      </c>
      <c r="Q46" t="inlineStr"/>
    </row>
    <row r="47">
      <c r="A47" t="inlineStr">
        <is>
          <t>DUTA RAMA</t>
        </is>
      </c>
      <c r="B47" t="inlineStr">
        <is>
          <t>Kota Surabaya</t>
        </is>
      </c>
      <c r="C47" t="inlineStr">
        <is>
          <t>0313980004</t>
        </is>
      </c>
      <c r="D47" t="inlineStr">
        <is>
          <t>dutaramapt@gmail.com</t>
        </is>
      </c>
      <c r="E47" t="inlineStr">
        <is>
          <t>https://lpjk.pu.go.id/search-badan-usaha-detail/MUJFRkVKeEpBTjB0UTlvdXBkaUpLUT09</t>
        </is>
      </c>
      <c r="F47" t="n">
        <v>1</v>
      </c>
      <c r="G47" t="inlineStr">
        <is>
          <t>BS016</t>
        </is>
      </c>
      <c r="H47" t="inlineStr">
        <is>
          <t>16 Januari 2004</t>
        </is>
      </c>
      <c r="I47" s="2" t="n">
        <v>46331</v>
      </c>
      <c r="J47" t="inlineStr">
        <is>
          <t>Disetujui</t>
        </is>
      </c>
      <c r="K47" t="n">
        <v>30</v>
      </c>
      <c r="L47" t="inlineStr">
        <is>
          <t>5 November 2026</t>
        </is>
      </c>
      <c r="M47" t="inlineStr">
        <is>
          <t>Konstruksi Bangunan Sipil Fasilitas Olah Raga</t>
        </is>
      </c>
      <c r="N47" t="inlineStr">
        <is>
          <t>B</t>
        </is>
      </c>
      <c r="O47" t="inlineStr">
        <is>
          <t>20231102</t>
        </is>
      </c>
      <c r="P47" t="inlineStr">
        <is>
          <t>Jawa Timur</t>
        </is>
      </c>
      <c r="Q47" t="inlineStr"/>
    </row>
    <row r="48">
      <c r="A48" t="inlineStr">
        <is>
          <t>EIZO UTAMA KARYA</t>
        </is>
      </c>
      <c r="B48" t="inlineStr">
        <is>
          <t>Kab. Karawang</t>
        </is>
      </c>
      <c r="C48" t="inlineStr">
        <is>
          <t>02678617180</t>
        </is>
      </c>
      <c r="D48" t="inlineStr">
        <is>
          <t>eizoutamakarya@gmail.com</t>
        </is>
      </c>
      <c r="E48" t="inlineStr">
        <is>
          <t>https://lpjk.pu.go.id/search-badan-usaha-detail/cEpvZ2p4YlNqNkVicW1FZXE2Rm80Zz09</t>
        </is>
      </c>
      <c r="F48" t="n">
        <v>2</v>
      </c>
      <c r="G48" t="inlineStr">
        <is>
          <t>BG001, BG009</t>
        </is>
      </c>
      <c r="H48" t="inlineStr">
        <is>
          <t>4 September 2018</t>
        </is>
      </c>
      <c r="I48" s="2" t="n">
        <v>46331</v>
      </c>
      <c r="J48" t="inlineStr">
        <is>
          <t>Disetujui</t>
        </is>
      </c>
      <c r="K48" t="n">
        <v>30</v>
      </c>
      <c r="L48" t="inlineStr">
        <is>
          <t>5 November 2026</t>
        </is>
      </c>
      <c r="M48" t="inlineStr">
        <is>
          <t>Konstruksi Gedung Hunian, Konstruksi Gedung Lainnya</t>
        </is>
      </c>
      <c r="N48" t="inlineStr">
        <is>
          <t>K</t>
        </is>
      </c>
      <c r="O48" t="inlineStr">
        <is>
          <t>20231102</t>
        </is>
      </c>
      <c r="P48" t="inlineStr">
        <is>
          <t>Jawa Barat</t>
        </is>
      </c>
      <c r="Q48" t="inlineStr"/>
    </row>
    <row r="49">
      <c r="A49" t="inlineStr">
        <is>
          <t>FAJARRAYA USAHANUSA</t>
        </is>
      </c>
      <c r="B49" t="inlineStr">
        <is>
          <t>Kab. Toli Toli</t>
        </is>
      </c>
      <c r="C49" t="inlineStr">
        <is>
          <t>085396061490</t>
        </is>
      </c>
      <c r="D49" t="inlineStr">
        <is>
          <t>fajar_usahanusa@yahoo.co.id</t>
        </is>
      </c>
      <c r="E49" t="inlineStr">
        <is>
          <t>https://lpjk.pu.go.id/search-badan-usaha-detail/N1B2dEtJK1l4TzgwcDFxYTM2amhEQT09</t>
        </is>
      </c>
      <c r="F49" t="n">
        <v>1</v>
      </c>
      <c r="G49" t="inlineStr">
        <is>
          <t>BS010</t>
        </is>
      </c>
      <c r="H49" t="inlineStr">
        <is>
          <t>10 Oktober 1992</t>
        </is>
      </c>
      <c r="I49" s="2" t="n">
        <v>46331</v>
      </c>
      <c r="J49" t="inlineStr">
        <is>
          <t>Disetujui</t>
        </is>
      </c>
      <c r="K49" t="n">
        <v>30</v>
      </c>
      <c r="L49" t="inlineStr">
        <is>
          <t>5 November 2026</t>
        </is>
      </c>
      <c r="M49" t="inlineStr">
        <is>
          <t>Konstruksi Bangunan Prasarana Sumber Daya Air</t>
        </is>
      </c>
      <c r="N49" t="inlineStr">
        <is>
          <t>M</t>
        </is>
      </c>
      <c r="O49" t="inlineStr">
        <is>
          <t>20230704</t>
        </is>
      </c>
      <c r="P49" t="inlineStr">
        <is>
          <t>Sulawesi Tengah</t>
        </is>
      </c>
      <c r="Q49" t="inlineStr"/>
    </row>
    <row r="50">
      <c r="A50" t="inlineStr">
        <is>
          <t>FALIQ PUTRA</t>
        </is>
      </c>
      <c r="B50" t="inlineStr">
        <is>
          <t>Kab. Sumedang</t>
        </is>
      </c>
      <c r="C50" t="inlineStr">
        <is>
          <t>081312669311</t>
        </is>
      </c>
      <c r="D50" t="inlineStr">
        <is>
          <t>faliqputra.cv@gmail.com</t>
        </is>
      </c>
      <c r="E50" t="inlineStr">
        <is>
          <t>https://lpjk.pu.go.id/search-badan-usaha-detail/cmdXcXJuRHNsTlVxeXZudFdYakQ3Zz09</t>
        </is>
      </c>
      <c r="F50" t="n">
        <v>3</v>
      </c>
      <c r="G50" t="inlineStr">
        <is>
          <t>BG006, BG009, BS004</t>
        </is>
      </c>
      <c r="H50" t="inlineStr">
        <is>
          <t>15 Juni 2023</t>
        </is>
      </c>
      <c r="I50" s="2" t="n">
        <v>46331</v>
      </c>
      <c r="J50" t="inlineStr">
        <is>
          <t>Disetujui</t>
        </is>
      </c>
      <c r="K50" t="n">
        <v>30</v>
      </c>
      <c r="L50" t="inlineStr">
        <is>
          <t>5 November 2026</t>
        </is>
      </c>
      <c r="M50" t="inlineStr">
        <is>
          <t>Konstruksi Gedung Lainnya, Konstruksi Gedung Pendidikan, Konstruksi Jaringan Irigasi dan Drainase</t>
        </is>
      </c>
      <c r="N50" t="inlineStr">
        <is>
          <t>K</t>
        </is>
      </c>
      <c r="O50" t="inlineStr">
        <is>
          <t>20231028</t>
        </is>
      </c>
      <c r="P50" t="inlineStr">
        <is>
          <t>Jawa Barat</t>
        </is>
      </c>
      <c r="Q50" t="inlineStr"/>
    </row>
    <row r="51">
      <c r="A51" t="inlineStr">
        <is>
          <t>GEO DASE CONSULTANT</t>
        </is>
      </c>
      <c r="B51" t="inlineStr">
        <is>
          <t>Kab. Lombok Tengah</t>
        </is>
      </c>
      <c r="C51" t="inlineStr">
        <is>
          <t>08123725570</t>
        </is>
      </c>
      <c r="D51" t="inlineStr">
        <is>
          <t>geodaseLA@gmail.com</t>
        </is>
      </c>
      <c r="E51" t="inlineStr">
        <is>
          <t>https://lpjk.pu.go.id/search-badan-usaha-detail/YkJkWUx0elJQQi9mZUlpdVF4RDRRQT09</t>
        </is>
      </c>
      <c r="F51" t="n">
        <v>1</v>
      </c>
      <c r="G51" t="inlineStr">
        <is>
          <t>RK003</t>
        </is>
      </c>
      <c r="H51" t="inlineStr">
        <is>
          <t>5 Januari 2009</t>
        </is>
      </c>
      <c r="I51" s="2" t="n">
        <v>46331</v>
      </c>
      <c r="J51" t="inlineStr">
        <is>
          <t>Disetujui</t>
        </is>
      </c>
      <c r="K51" t="n">
        <v>30</v>
      </c>
      <c r="L51" t="inlineStr">
        <is>
          <t>5 November 2026</t>
        </is>
      </c>
      <c r="M51" t="inlineStr">
        <is>
          <t>Jasa Rekayasa Pekerjaan Teknik Sipil Transportasi</t>
        </is>
      </c>
      <c r="N51" t="inlineStr">
        <is>
          <t>K</t>
        </is>
      </c>
      <c r="O51" t="inlineStr">
        <is>
          <t>20231030</t>
        </is>
      </c>
      <c r="P51" t="inlineStr">
        <is>
          <t>Nusa Tenggara Barat</t>
        </is>
      </c>
      <c r="Q51" t="inlineStr"/>
    </row>
    <row r="52">
      <c r="A52" t="inlineStr">
        <is>
          <t>GIRIAWAS</t>
        </is>
      </c>
      <c r="B52" t="inlineStr">
        <is>
          <t>Kota Bandung</t>
        </is>
      </c>
      <c r="C52" t="inlineStr">
        <is>
          <t>0225206642</t>
        </is>
      </c>
      <c r="D52" t="inlineStr">
        <is>
          <t>g_awas@yahoo.com</t>
        </is>
      </c>
      <c r="E52" t="inlineStr">
        <is>
          <t>https://lpjk.pu.go.id/search-badan-usaha-detail/Q1gwR0hJV2NqUGVZNi9lalMyWmZLdz09</t>
        </is>
      </c>
      <c r="F52" t="n">
        <v>2</v>
      </c>
      <c r="G52" t="inlineStr">
        <is>
          <t>RK003</t>
        </is>
      </c>
      <c r="H52" t="inlineStr">
        <is>
          <t>20 Februari 1984</t>
        </is>
      </c>
      <c r="I52" s="2" t="n">
        <v>46331</v>
      </c>
      <c r="J52" t="inlineStr">
        <is>
          <t>Pencabutan</t>
        </is>
      </c>
      <c r="K52" t="n">
        <v>30</v>
      </c>
      <c r="L52" t="inlineStr">
        <is>
          <t>5 November 2026</t>
        </is>
      </c>
      <c r="M52" t="inlineStr">
        <is>
          <t>Jasa Rekayasa Pekerjaan Teknik Sipil Transportasi</t>
        </is>
      </c>
      <c r="N52" t="inlineStr">
        <is>
          <t>K</t>
        </is>
      </c>
      <c r="O52" t="inlineStr">
        <is>
          <t>20231013</t>
        </is>
      </c>
      <c r="P52" t="inlineStr">
        <is>
          <t>Jawa Barat</t>
        </is>
      </c>
      <c r="Q52" t="inlineStr"/>
    </row>
    <row r="53">
      <c r="A53" t="inlineStr">
        <is>
          <t>GLOBAL MADANINDO KONSULTAN</t>
        </is>
      </c>
      <c r="B53" t="inlineStr">
        <is>
          <t>Kota Makassar</t>
        </is>
      </c>
      <c r="C53" t="inlineStr">
        <is>
          <t>081355857755</t>
        </is>
      </c>
      <c r="D53" t="inlineStr">
        <is>
          <t>global98.consultant.cv@gmail.com</t>
        </is>
      </c>
      <c r="E53" t="inlineStr">
        <is>
          <t>https://lpjk.pu.go.id/search-badan-usaha-detail/aGJZbStwRlBoWkNNWE9EeitQYWlQZz09</t>
        </is>
      </c>
      <c r="F53" t="n">
        <v>3</v>
      </c>
      <c r="G53" t="inlineStr">
        <is>
          <t>RK001, RK003, RK005</t>
        </is>
      </c>
      <c r="H53" t="inlineStr">
        <is>
          <t>13 November 2008</t>
        </is>
      </c>
      <c r="I53" s="2" t="n">
        <v>46331</v>
      </c>
      <c r="J53" t="inlineStr">
        <is>
          <t>Disetujui</t>
        </is>
      </c>
      <c r="K53" t="n">
        <v>30</v>
      </c>
      <c r="L53" t="inlineStr">
        <is>
          <t>5 November 2026</t>
        </is>
      </c>
      <c r="M53" t="inlineStr">
        <is>
          <t>Jasa Rekayasa Konstruksi Bangunan Gedung Hunian dan Non Hunian, Jasa Rekayasa Lainnya, Jasa Rekayasa Pekerjaan Teknik Sipil Transportasi</t>
        </is>
      </c>
      <c r="N53" t="inlineStr">
        <is>
          <t>K</t>
        </is>
      </c>
      <c r="O53" t="inlineStr">
        <is>
          <t>20230930, 20231025, 20231027</t>
        </is>
      </c>
      <c r="P53" t="inlineStr">
        <is>
          <t>Sulawesi Selatan</t>
        </is>
      </c>
      <c r="Q53" t="inlineStr"/>
    </row>
    <row r="54">
      <c r="A54" t="inlineStr">
        <is>
          <t>IBNU MUNSYIR DWI GUNA</t>
        </is>
      </c>
      <c r="B54" t="inlineStr">
        <is>
          <t>Kab. Gowa</t>
        </is>
      </c>
      <c r="C54" t="inlineStr">
        <is>
          <t>081341752007</t>
        </is>
      </c>
      <c r="D54" t="inlineStr">
        <is>
          <t>ibnumuunsyir@gmail.com</t>
        </is>
      </c>
      <c r="E54" t="inlineStr">
        <is>
          <t>https://lpjk.pu.go.id/search-badan-usaha-detail/RlBmcFh4cEVWdzVLeXBFSWRGVFBpdz09</t>
        </is>
      </c>
      <c r="F54" t="n">
        <v>2</v>
      </c>
      <c r="G54" t="inlineStr">
        <is>
          <t>BS001, BS011</t>
        </is>
      </c>
      <c r="H54" t="inlineStr">
        <is>
          <t>27 Juli 2005</t>
        </is>
      </c>
      <c r="I54" s="2" t="n">
        <v>46331</v>
      </c>
      <c r="J54" t="inlineStr">
        <is>
          <t>Disetujui</t>
        </is>
      </c>
      <c r="K54" t="n">
        <v>30</v>
      </c>
      <c r="L54" t="inlineStr">
        <is>
          <t>5 November 2026</t>
        </is>
      </c>
      <c r="M54" t="inlineStr">
        <is>
          <t>Konstruksi Bangunan Pelabuhan Bukan Perikanan, Konstruksi Bangunan Sipil Jalan</t>
        </is>
      </c>
      <c r="N54" t="inlineStr">
        <is>
          <t>M</t>
        </is>
      </c>
      <c r="O54" t="inlineStr">
        <is>
          <t>20231031</t>
        </is>
      </c>
      <c r="P54" t="inlineStr">
        <is>
          <t>Sulawesi Selatan</t>
        </is>
      </c>
      <c r="Q54" t="inlineStr"/>
    </row>
    <row r="55">
      <c r="A55" t="inlineStr">
        <is>
          <t>INDAH RIAU LESTARI</t>
        </is>
      </c>
      <c r="B55" t="inlineStr">
        <is>
          <t>Kota Pekanbaru</t>
        </is>
      </c>
      <c r="C55" t="inlineStr">
        <is>
          <t>08126066885</t>
        </is>
      </c>
      <c r="D55" t="inlineStr">
        <is>
          <t>indahriaulestari@yahoo.co.id</t>
        </is>
      </c>
      <c r="E55" t="inlineStr">
        <is>
          <t>https://lpjk.pu.go.id/search-badan-usaha-detail/TE90VmdTRWZFenJLNjNCNXpyRVo5QT09</t>
        </is>
      </c>
      <c r="F55" t="n">
        <v>1</v>
      </c>
      <c r="G55" t="inlineStr">
        <is>
          <t>IN001</t>
        </is>
      </c>
      <c r="H55" t="inlineStr">
        <is>
          <t>30 Januari 2002</t>
        </is>
      </c>
      <c r="I55" s="2" t="n">
        <v>46331</v>
      </c>
      <c r="J55" t="inlineStr">
        <is>
          <t>Pembekuan</t>
        </is>
      </c>
      <c r="K55" t="n">
        <v>30</v>
      </c>
      <c r="L55" t="inlineStr">
        <is>
          <t>5 November 2026</t>
        </is>
      </c>
      <c r="M55" t="inlineStr">
        <is>
          <t>Instalasi Mekanikal</t>
        </is>
      </c>
      <c r="N55" t="inlineStr">
        <is>
          <t>Spesialis</t>
        </is>
      </c>
      <c r="O55" t="inlineStr">
        <is>
          <t>20230930</t>
        </is>
      </c>
      <c r="P55" t="inlineStr">
        <is>
          <t>Riau</t>
        </is>
      </c>
      <c r="Q55" t="inlineStr"/>
    </row>
    <row r="56">
      <c r="A56" t="inlineStr">
        <is>
          <t>JAVANA STAR</t>
        </is>
      </c>
      <c r="B56" t="inlineStr">
        <is>
          <t>Kab. Gorontalo Utara</t>
        </is>
      </c>
      <c r="C56" t="inlineStr">
        <is>
          <t>081244544537</t>
        </is>
      </c>
      <c r="D56" t="inlineStr">
        <is>
          <t>zavanastar@gmail.com</t>
        </is>
      </c>
      <c r="E56" t="inlineStr">
        <is>
          <t>https://lpjk.pu.go.id/search-badan-usaha-detail/WTBoNlRkbjlnc3g5dHg5UDlvaXBGZz09</t>
        </is>
      </c>
      <c r="F56" t="n">
        <v>3</v>
      </c>
      <c r="G56" t="inlineStr">
        <is>
          <t>BG006, BG009, BS004</t>
        </is>
      </c>
      <c r="H56" t="inlineStr">
        <is>
          <t>29 Mei 2020</t>
        </is>
      </c>
      <c r="I56" s="2" t="n">
        <v>46331</v>
      </c>
      <c r="J56" t="inlineStr">
        <is>
          <t>Disetujui</t>
        </is>
      </c>
      <c r="K56" t="n">
        <v>30</v>
      </c>
      <c r="L56" t="inlineStr">
        <is>
          <t>5 November 2026</t>
        </is>
      </c>
      <c r="M56" t="inlineStr">
        <is>
          <t>Konstruksi Gedung Lainnya, Konstruksi Gedung Pendidikan, Konstruksi Jaringan Irigasi dan Drainase</t>
        </is>
      </c>
      <c r="N56" t="inlineStr">
        <is>
          <t>K</t>
        </is>
      </c>
      <c r="O56" t="inlineStr">
        <is>
          <t>20231101</t>
        </is>
      </c>
      <c r="P56" t="inlineStr">
        <is>
          <t>Gorontalo</t>
        </is>
      </c>
      <c r="Q56" t="inlineStr"/>
    </row>
    <row r="57">
      <c r="A57" t="inlineStr">
        <is>
          <t>JAYA TIGA PUTRA</t>
        </is>
      </c>
      <c r="B57" t="inlineStr">
        <is>
          <t>Kota Palembang</t>
        </is>
      </c>
      <c r="C57" t="inlineStr">
        <is>
          <t>085100022296</t>
        </is>
      </c>
      <c r="D57" t="inlineStr">
        <is>
          <t>jaya3putra_81@yahoo.com</t>
        </is>
      </c>
      <c r="E57" t="inlineStr">
        <is>
          <t>https://lpjk.pu.go.id/search-badan-usaha-detail/WVdFdVhIMjFHZ3FrZ1ZLYUwzbi9pQT09</t>
        </is>
      </c>
      <c r="F57" t="n">
        <v>7</v>
      </c>
      <c r="G57" t="inlineStr">
        <is>
          <t>BG002, BG005, BG006, BG009, BS001, BS002, BS004</t>
        </is>
      </c>
      <c r="H57" t="inlineStr">
        <is>
          <t>10 Agustus 1999</t>
        </is>
      </c>
      <c r="I57" s="2" t="n">
        <v>46331</v>
      </c>
      <c r="J57" t="inlineStr">
        <is>
          <t>Disetujui</t>
        </is>
      </c>
      <c r="K57" t="n">
        <v>30</v>
      </c>
      <c r="L57" t="inlineStr">
        <is>
          <t>5 November 2026</t>
        </is>
      </c>
      <c r="M57" t="inlineStr">
        <is>
          <t>Bangunan Sipil Jembatan, Jalan Layang, Fly Over, dan Underpass, Konstruksi Bangunan Sipil Jalan, Konstruksi Gedung Kesehatan, Konstruksi Gedung Lainnya, Konstruksi Gedung Pendidikan, Konstruksi Gedung Perkantoran, Konstruksi Jaringan Irigasi dan Drainase</t>
        </is>
      </c>
      <c r="N57" t="inlineStr">
        <is>
          <t>K</t>
        </is>
      </c>
      <c r="O57" t="inlineStr">
        <is>
          <t>20231031, 20231101, 20231102</t>
        </is>
      </c>
      <c r="P57" t="inlineStr">
        <is>
          <t>Sumatera Selatan</t>
        </is>
      </c>
      <c r="Q57" t="inlineStr"/>
    </row>
    <row r="58">
      <c r="A58" t="inlineStr">
        <is>
          <t>JOINT BANGUN NEGERI</t>
        </is>
      </c>
      <c r="B58" t="inlineStr">
        <is>
          <t>Kota Ambon</t>
        </is>
      </c>
      <c r="C58" t="inlineStr">
        <is>
          <t>085243065306</t>
        </is>
      </c>
      <c r="D58" t="inlineStr">
        <is>
          <t>cv.jointbangunnegeri@gmail.com</t>
        </is>
      </c>
      <c r="E58" t="inlineStr">
        <is>
          <t>https://lpjk.pu.go.id/search-badan-usaha-detail/UFhFMnE3KzlkWGY2U29nWmJNMFlUQT09</t>
        </is>
      </c>
      <c r="F58" t="n">
        <v>1</v>
      </c>
      <c r="G58" t="inlineStr">
        <is>
          <t>BS001</t>
        </is>
      </c>
      <c r="H58" t="inlineStr">
        <is>
          <t>28 Juli 2023</t>
        </is>
      </c>
      <c r="I58" s="2" t="n">
        <v>46331</v>
      </c>
      <c r="J58" t="inlineStr">
        <is>
          <t>Disetujui</t>
        </is>
      </c>
      <c r="K58" t="n">
        <v>30</v>
      </c>
      <c r="L58" t="inlineStr">
        <is>
          <t>5 November 2026</t>
        </is>
      </c>
      <c r="M58" t="inlineStr">
        <is>
          <t>Konstruksi Bangunan Sipil Jalan</t>
        </is>
      </c>
      <c r="N58" t="inlineStr">
        <is>
          <t>K</t>
        </is>
      </c>
      <c r="O58" t="inlineStr">
        <is>
          <t>20231101</t>
        </is>
      </c>
      <c r="P58" t="inlineStr">
        <is>
          <t>Maluku</t>
        </is>
      </c>
      <c r="Q58" t="inlineStr"/>
    </row>
    <row r="59">
      <c r="A59" t="inlineStr">
        <is>
          <t>KAMIRA CIPTA KONSULTAN</t>
        </is>
      </c>
      <c r="B59" t="inlineStr">
        <is>
          <t>Kota Bandung</t>
        </is>
      </c>
      <c r="C59" t="inlineStr">
        <is>
          <t>082127251566</t>
        </is>
      </c>
      <c r="D59" t="inlineStr">
        <is>
          <t>kamiracipta.kons@gmail.com</t>
        </is>
      </c>
      <c r="E59" t="inlineStr">
        <is>
          <t>https://lpjk.pu.go.id/search-badan-usaha-detail/b2V4cVZmTEE0OVVjZ1pSTytiT2Fodz09</t>
        </is>
      </c>
      <c r="F59" t="n">
        <v>1</v>
      </c>
      <c r="G59" t="inlineStr">
        <is>
          <t>RK002</t>
        </is>
      </c>
      <c r="H59" t="inlineStr">
        <is>
          <t>9 Mei 2023</t>
        </is>
      </c>
      <c r="I59" s="2" t="n">
        <v>46331</v>
      </c>
      <c r="J59" t="inlineStr">
        <is>
          <t>Pencabutan</t>
        </is>
      </c>
      <c r="K59" t="n">
        <v>30</v>
      </c>
      <c r="L59" t="inlineStr">
        <is>
          <t>5 November 2026</t>
        </is>
      </c>
      <c r="M59" t="inlineStr">
        <is>
          <t>Jasa Rekayasa Pekerjaan Teknik Sipil Sumber Daya Air</t>
        </is>
      </c>
      <c r="N59" t="inlineStr">
        <is>
          <t>K</t>
        </is>
      </c>
      <c r="O59" t="inlineStr">
        <is>
          <t>20231025</t>
        </is>
      </c>
      <c r="P59" t="inlineStr">
        <is>
          <t>Jawa Barat</t>
        </is>
      </c>
      <c r="Q59" t="inlineStr"/>
    </row>
    <row r="60">
      <c r="A60" t="inlineStr">
        <is>
          <t>KANAWA ABADI NUSANTARA</t>
        </is>
      </c>
      <c r="B60" t="inlineStr">
        <is>
          <t>Kota Tangerang</t>
        </is>
      </c>
      <c r="C60" t="inlineStr">
        <is>
          <t>0811893708</t>
        </is>
      </c>
      <c r="D60" t="inlineStr">
        <is>
          <t>kanawaabadinusantara@gmail.com</t>
        </is>
      </c>
      <c r="E60" t="inlineStr">
        <is>
          <t>https://lpjk.pu.go.id/search-badan-usaha-detail/bmM1OXcyYTVRVDc5bU5NTm9LcGE1T2c4dURidzZWYkR5OThWMWtmQ01scz0</t>
        </is>
      </c>
      <c r="F60" t="n">
        <v>1</v>
      </c>
      <c r="G60" t="inlineStr">
        <is>
          <t>BS009</t>
        </is>
      </c>
      <c r="H60" t="inlineStr">
        <is>
          <t>20 Agustus 2022</t>
        </is>
      </c>
      <c r="I60" s="2" t="n">
        <v>46331</v>
      </c>
      <c r="J60" t="inlineStr">
        <is>
          <t>Disetujui</t>
        </is>
      </c>
      <c r="K60" t="n">
        <v>30</v>
      </c>
      <c r="L60" t="inlineStr">
        <is>
          <t>5 November 2026</t>
        </is>
      </c>
      <c r="M60" t="inlineStr">
        <is>
          <t>Konstruksi Sentral Telekomunikasi</t>
        </is>
      </c>
      <c r="N60" t="inlineStr">
        <is>
          <t>K</t>
        </is>
      </c>
      <c r="O60" t="inlineStr">
        <is>
          <t>20231031</t>
        </is>
      </c>
      <c r="P60" t="inlineStr">
        <is>
          <t>Banten</t>
        </is>
      </c>
      <c r="Q60" t="inlineStr"/>
    </row>
    <row r="61">
      <c r="A61" t="inlineStr">
        <is>
          <t>KARYA HUTAMA SANTOSHA</t>
        </is>
      </c>
      <c r="B61" t="inlineStr">
        <is>
          <t>Kota Blitar</t>
        </is>
      </c>
      <c r="C61" t="inlineStr">
        <is>
          <t>0</t>
        </is>
      </c>
      <c r="D61" t="inlineStr">
        <is>
          <t>karyahutamasantosha@gmail.com</t>
        </is>
      </c>
      <c r="E61" t="inlineStr">
        <is>
          <t>https://lpjk.pu.go.id/search-badan-usaha-detail/VEhGV2hRQStqcXpVUk4yR28yelJhZz09</t>
        </is>
      </c>
      <c r="F61" t="n">
        <v>1</v>
      </c>
      <c r="G61" t="inlineStr">
        <is>
          <t>BS001</t>
        </is>
      </c>
      <c r="H61" t="inlineStr">
        <is>
          <t>1 September 2022</t>
        </is>
      </c>
      <c r="I61" s="2" t="n">
        <v>46331</v>
      </c>
      <c r="J61" t="inlineStr">
        <is>
          <t>Disetujui</t>
        </is>
      </c>
      <c r="K61" t="n">
        <v>30</v>
      </c>
      <c r="L61" t="inlineStr">
        <is>
          <t>5 November 2026</t>
        </is>
      </c>
      <c r="M61" t="inlineStr">
        <is>
          <t>Konstruksi Bangunan Sipil Jalan</t>
        </is>
      </c>
      <c r="N61" t="inlineStr">
        <is>
          <t>K</t>
        </is>
      </c>
      <c r="O61" t="inlineStr">
        <is>
          <t>20231030</t>
        </is>
      </c>
      <c r="P61" t="inlineStr">
        <is>
          <t>Jawa Timur</t>
        </is>
      </c>
      <c r="Q61" t="inlineStr"/>
    </row>
    <row r="62">
      <c r="A62" t="inlineStr">
        <is>
          <t>KARYA LESTARI</t>
        </is>
      </c>
      <c r="B62" t="inlineStr">
        <is>
          <t>Kab. Blora</t>
        </is>
      </c>
      <c r="C62" t="inlineStr">
        <is>
          <t>081328862548</t>
        </is>
      </c>
      <c r="D62" t="inlineStr">
        <is>
          <t>karyalestari9@gmail.com</t>
        </is>
      </c>
      <c r="E62" t="inlineStr">
        <is>
          <t>https://lpjk.pu.go.id/search-badan-usaha-detail/alN5VVc4RmVhaDV3VHBHcmRuQ2NGQT09</t>
        </is>
      </c>
      <c r="F62" t="n">
        <v>4</v>
      </c>
      <c r="G62" t="inlineStr">
        <is>
          <t>BG005, BG006, BG009, BS002</t>
        </is>
      </c>
      <c r="H62" t="inlineStr">
        <is>
          <t>7 Januari 2017</t>
        </is>
      </c>
      <c r="I62" s="2" t="n">
        <v>46331</v>
      </c>
      <c r="J62" t="inlineStr">
        <is>
          <t>Disetujui</t>
        </is>
      </c>
      <c r="K62" t="n">
        <v>30</v>
      </c>
      <c r="L62" t="inlineStr">
        <is>
          <t>5 November 2026</t>
        </is>
      </c>
      <c r="M62" t="inlineStr">
        <is>
          <t>Bangunan Sipil Jembatan, Jalan Layang, Fly Over, dan Underpass, Konstruksi Gedung Kesehatan, Konstruksi Gedung Lainnya, Konstruksi Gedung Pendidikan</t>
        </is>
      </c>
      <c r="N62" t="inlineStr">
        <is>
          <t>K</t>
        </is>
      </c>
      <c r="O62" t="inlineStr">
        <is>
          <t>20231103</t>
        </is>
      </c>
      <c r="P62" t="inlineStr">
        <is>
          <t>Jawa Tengah</t>
        </is>
      </c>
      <c r="Q62" t="inlineStr"/>
    </row>
    <row r="63">
      <c r="A63" t="inlineStr">
        <is>
          <t>KARYA NAGA UTAMA</t>
        </is>
      </c>
      <c r="B63" t="inlineStr">
        <is>
          <t>Kota Batam</t>
        </is>
      </c>
      <c r="C63" t="inlineStr">
        <is>
          <t>081225575721</t>
        </is>
      </c>
      <c r="D63" t="inlineStr">
        <is>
          <t>karyanagautama@gmail.com</t>
        </is>
      </c>
      <c r="E63" t="inlineStr">
        <is>
          <t>https://lpjk.pu.go.id/search-badan-usaha-detail/UTlEQVpab0tXS04raWRHSGZ2b0RxQT09</t>
        </is>
      </c>
      <c r="F63" t="n">
        <v>1</v>
      </c>
      <c r="G63" t="inlineStr">
        <is>
          <t>BS001</t>
        </is>
      </c>
      <c r="H63" t="inlineStr">
        <is>
          <t>21 September 2022</t>
        </is>
      </c>
      <c r="I63" s="2" t="n">
        <v>46331</v>
      </c>
      <c r="J63" t="inlineStr">
        <is>
          <t>Disetujui</t>
        </is>
      </c>
      <c r="K63" t="n">
        <v>30</v>
      </c>
      <c r="L63" t="inlineStr">
        <is>
          <t>5 November 2026</t>
        </is>
      </c>
      <c r="M63" t="inlineStr">
        <is>
          <t>Konstruksi Bangunan Sipil Jalan</t>
        </is>
      </c>
      <c r="N63" t="inlineStr">
        <is>
          <t>K</t>
        </is>
      </c>
      <c r="O63" t="inlineStr">
        <is>
          <t>20231102</t>
        </is>
      </c>
      <c r="P63" t="inlineStr">
        <is>
          <t>Kepulauan Riau</t>
        </is>
      </c>
      <c r="Q63" t="inlineStr"/>
    </row>
    <row r="64">
      <c r="A64" t="inlineStr">
        <is>
          <t>KARYA SAKTI</t>
        </is>
      </c>
      <c r="B64" t="inlineStr">
        <is>
          <t>Kab. Ciamis</t>
        </is>
      </c>
      <c r="C64" t="inlineStr">
        <is>
          <t>0882000069613</t>
        </is>
      </c>
      <c r="D64" t="inlineStr">
        <is>
          <t>cv.karya.sakti.cms@gmail.com</t>
        </is>
      </c>
      <c r="E64" t="inlineStr">
        <is>
          <t>https://lpjk.pu.go.id/search-badan-usaha-detail/VUpVK0NHNnVadTY1SjlxNzIvcmdrQT09</t>
        </is>
      </c>
      <c r="F64" t="n">
        <v>3</v>
      </c>
      <c r="G64" t="inlineStr">
        <is>
          <t>BS001, BS002, BS004</t>
        </is>
      </c>
      <c r="H64" t="inlineStr">
        <is>
          <t>19 November 1985</t>
        </is>
      </c>
      <c r="I64" s="2" t="n">
        <v>46331</v>
      </c>
      <c r="J64" t="inlineStr">
        <is>
          <t>Disetujui</t>
        </is>
      </c>
      <c r="K64" t="n">
        <v>30</v>
      </c>
      <c r="L64" t="inlineStr">
        <is>
          <t>5 November 2026</t>
        </is>
      </c>
      <c r="M64" t="inlineStr">
        <is>
          <t>Bangunan Sipil Jembatan, Jalan Layang, Fly Over, dan Underpass, Konstruksi Bangunan Sipil Jalan, Konstruksi Jaringan Irigasi dan Drainase</t>
        </is>
      </c>
      <c r="N64" t="inlineStr">
        <is>
          <t>K</t>
        </is>
      </c>
      <c r="O64" t="inlineStr">
        <is>
          <t>20231031</t>
        </is>
      </c>
      <c r="P64" t="inlineStr">
        <is>
          <t>Jawa Barat</t>
        </is>
      </c>
      <c r="Q64" t="inlineStr"/>
    </row>
    <row r="65">
      <c r="A65" t="inlineStr">
        <is>
          <t>KHARISMA JAYA</t>
        </is>
      </c>
      <c r="B65" t="inlineStr">
        <is>
          <t>Kab. Bondowoso</t>
        </is>
      </c>
      <c r="C65" t="inlineStr">
        <is>
          <t>085258029511</t>
        </is>
      </c>
      <c r="D65" t="inlineStr">
        <is>
          <t>Kharismajaya_cv@yahoo.com</t>
        </is>
      </c>
      <c r="E65" t="inlineStr">
        <is>
          <t>https://lpjk.pu.go.id/search-badan-usaha-detail/NU96WWU0Ykd1MklSWFkwcUk2Q3pEdz09</t>
        </is>
      </c>
      <c r="F65" t="n">
        <v>2</v>
      </c>
      <c r="G65" t="inlineStr">
        <is>
          <t>BG005</t>
        </is>
      </c>
      <c r="H65" t="inlineStr">
        <is>
          <t>27 November 2002</t>
        </is>
      </c>
      <c r="I65" s="2" t="n">
        <v>46331</v>
      </c>
      <c r="J65" t="inlineStr">
        <is>
          <t>Disetujui</t>
        </is>
      </c>
      <c r="K65" t="n">
        <v>30</v>
      </c>
      <c r="L65" t="inlineStr">
        <is>
          <t>5 November 2026</t>
        </is>
      </c>
      <c r="M65" t="inlineStr">
        <is>
          <t>Konstruksi Gedung Kesehatan</t>
        </is>
      </c>
      <c r="N65" t="inlineStr">
        <is>
          <t>K</t>
        </is>
      </c>
      <c r="O65" t="inlineStr">
        <is>
          <t>20231026</t>
        </is>
      </c>
      <c r="P65" t="inlineStr">
        <is>
          <t>Jawa Timur</t>
        </is>
      </c>
      <c r="Q65" t="inlineStr"/>
    </row>
    <row r="66">
      <c r="A66" t="inlineStr">
        <is>
          <t>LESTARI INSAN MANDIRI</t>
        </is>
      </c>
      <c r="B66" t="inlineStr">
        <is>
          <t>Kota Pekanbaru</t>
        </is>
      </c>
      <c r="C66" t="inlineStr">
        <is>
          <t>085225250980</t>
        </is>
      </c>
      <c r="D66" t="inlineStr">
        <is>
          <t>cvlestariinsanmandiri@gmail.com</t>
        </is>
      </c>
      <c r="E66" t="inlineStr">
        <is>
          <t>https://lpjk.pu.go.id/search-badan-usaha-detail/d0tzaDZNVkxDL1VrWkYvQUozaXlSUT09</t>
        </is>
      </c>
      <c r="F66" t="n">
        <v>1</v>
      </c>
      <c r="G66" t="inlineStr">
        <is>
          <t>BG002</t>
        </is>
      </c>
      <c r="H66" t="inlineStr">
        <is>
          <t>8 Agustus 2008</t>
        </is>
      </c>
      <c r="I66" s="2" t="n">
        <v>46331</v>
      </c>
      <c r="J66" t="inlineStr">
        <is>
          <t>Disetujui</t>
        </is>
      </c>
      <c r="K66" t="n">
        <v>30</v>
      </c>
      <c r="L66" t="inlineStr">
        <is>
          <t>5 November 2026</t>
        </is>
      </c>
      <c r="M66" t="inlineStr">
        <is>
          <t>Konstruksi Gedung Perkantoran</t>
        </is>
      </c>
      <c r="N66" t="inlineStr">
        <is>
          <t>K</t>
        </is>
      </c>
      <c r="O66" t="inlineStr">
        <is>
          <t>20231102</t>
        </is>
      </c>
      <c r="P66" t="inlineStr">
        <is>
          <t>Riau</t>
        </is>
      </c>
      <c r="Q66" t="inlineStr"/>
    </row>
    <row r="67">
      <c r="A67" t="inlineStr">
        <is>
          <t>MAS AGUNG</t>
        </is>
      </c>
      <c r="B67" t="inlineStr">
        <is>
          <t>Kab. Trenggalek</t>
        </is>
      </c>
      <c r="C67" t="inlineStr">
        <is>
          <t>082228158998</t>
        </is>
      </c>
      <c r="D67" t="inlineStr">
        <is>
          <t>cv_masagung@yahoo.com</t>
        </is>
      </c>
      <c r="E67" t="inlineStr">
        <is>
          <t>https://lpjk.pu.go.id/search-badan-usaha-detail/S1ZYQmhaOEhHS3B1aC9tN2FGSUVXQT09</t>
        </is>
      </c>
      <c r="F67" t="n">
        <v>1</v>
      </c>
      <c r="G67" t="inlineStr">
        <is>
          <t>BS001</t>
        </is>
      </c>
      <c r="H67" t="inlineStr">
        <is>
          <t>29 Oktober 1991</t>
        </is>
      </c>
      <c r="I67" s="2" t="n">
        <v>46331</v>
      </c>
      <c r="J67" t="inlineStr">
        <is>
          <t>Pencabutan</t>
        </is>
      </c>
      <c r="K67" t="n">
        <v>30</v>
      </c>
      <c r="L67" t="inlineStr">
        <is>
          <t>5 November 2026</t>
        </is>
      </c>
      <c r="M67" t="inlineStr">
        <is>
          <t>Konstruksi Bangunan Sipil Jalan</t>
        </is>
      </c>
      <c r="N67" t="inlineStr">
        <is>
          <t>K</t>
        </is>
      </c>
      <c r="O67" t="inlineStr">
        <is>
          <t>20231101</t>
        </is>
      </c>
      <c r="P67" t="inlineStr">
        <is>
          <t>Jawa Timur</t>
        </is>
      </c>
      <c r="Q67" t="inlineStr"/>
    </row>
    <row r="68">
      <c r="A68" t="inlineStr">
        <is>
          <t>MEGAH TOTAL MAURA</t>
        </is>
      </c>
      <c r="B68" t="inlineStr">
        <is>
          <t>Kab. Barito Utara</t>
        </is>
      </c>
      <c r="C68" t="inlineStr">
        <is>
          <t>08115266892</t>
        </is>
      </c>
      <c r="D68" t="inlineStr">
        <is>
          <t>megahtotalmaura@gmail.com</t>
        </is>
      </c>
      <c r="E68" t="inlineStr">
        <is>
          <t>https://lpjk.pu.go.id/search-badan-usaha-detail/a2ozT0FMNWo5aU1icUFBMHdtKzM2UT09</t>
        </is>
      </c>
      <c r="F68" t="n">
        <v>4</v>
      </c>
      <c r="G68" t="inlineStr">
        <is>
          <t>AR001, RK001</t>
        </is>
      </c>
      <c r="H68" t="inlineStr">
        <is>
          <t>16 Desember 2013</t>
        </is>
      </c>
      <c r="I68" s="2" t="n">
        <v>46331</v>
      </c>
      <c r="J68" t="inlineStr">
        <is>
          <t>Disetujui</t>
        </is>
      </c>
      <c r="K68" t="n">
        <v>30</v>
      </c>
      <c r="L68" t="inlineStr">
        <is>
          <t>5 November 2026</t>
        </is>
      </c>
      <c r="M68" t="inlineStr">
        <is>
          <t>Jasa Arsitektural Bangunan Gedung Hunian dan Non Hunian, Jasa Rekayasa Konstruksi Bangunan Gedung Hunian dan Non Hunian</t>
        </is>
      </c>
      <c r="N68" t="inlineStr">
        <is>
          <t>K</t>
        </is>
      </c>
      <c r="O68" t="inlineStr">
        <is>
          <t>20231025, 20231031</t>
        </is>
      </c>
      <c r="P68" t="inlineStr">
        <is>
          <t>Kalimantan Tengah</t>
        </is>
      </c>
      <c r="Q68" t="inlineStr"/>
    </row>
    <row r="69">
      <c r="A69" t="inlineStr">
        <is>
          <t>MENARA BERLIAN INOVASI KONSULTAN</t>
        </is>
      </c>
      <c r="B69" t="inlineStr">
        <is>
          <t>Kota Batam</t>
        </is>
      </c>
      <c r="C69" t="inlineStr">
        <is>
          <t>085375796323</t>
        </is>
      </c>
      <c r="D69" t="inlineStr">
        <is>
          <t>menaraberlianinovasikonsultan@gmail.com</t>
        </is>
      </c>
      <c r="E69" t="inlineStr">
        <is>
          <t>https://lpjk.pu.go.id/search-badan-usaha-detail/b0JScGtiTzBrMnY3R3ZhbVVMK0gxZz09</t>
        </is>
      </c>
      <c r="F69" t="n">
        <v>1</v>
      </c>
      <c r="G69" t="inlineStr">
        <is>
          <t>RK002</t>
        </is>
      </c>
      <c r="H69" t="inlineStr">
        <is>
          <t>1 Februari 2011</t>
        </is>
      </c>
      <c r="I69" s="2" t="n">
        <v>46331</v>
      </c>
      <c r="J69" t="inlineStr">
        <is>
          <t>Disetujui</t>
        </is>
      </c>
      <c r="K69" t="n">
        <v>30</v>
      </c>
      <c r="L69" t="inlineStr">
        <is>
          <t>5 November 2026</t>
        </is>
      </c>
      <c r="M69" t="inlineStr">
        <is>
          <t>Jasa Rekayasa Pekerjaan Teknik Sipil Sumber Daya Air</t>
        </is>
      </c>
      <c r="N69" t="inlineStr">
        <is>
          <t>K</t>
        </is>
      </c>
      <c r="O69" t="inlineStr">
        <is>
          <t>20231024</t>
        </is>
      </c>
      <c r="P69" t="inlineStr">
        <is>
          <t>Kepulauan Riau</t>
        </is>
      </c>
      <c r="Q69" t="inlineStr"/>
    </row>
    <row r="70">
      <c r="A70" t="inlineStr">
        <is>
          <t>MITRA</t>
        </is>
      </c>
      <c r="B70" t="inlineStr">
        <is>
          <t>Kota Serang</t>
        </is>
      </c>
      <c r="C70" t="inlineStr">
        <is>
          <t>087771287943</t>
        </is>
      </c>
      <c r="D70" t="inlineStr">
        <is>
          <t>cv.mitra69@gmail.com</t>
        </is>
      </c>
      <c r="E70" t="inlineStr">
        <is>
          <t>https://lpjk.pu.go.id/search-badan-usaha-detail/S3AvN3JOc1V1Umc2TU8vK1JXbTJOUT09</t>
        </is>
      </c>
      <c r="F70" t="n">
        <v>1</v>
      </c>
      <c r="G70" t="inlineStr">
        <is>
          <t>BG009</t>
        </is>
      </c>
      <c r="H70" t="inlineStr">
        <is>
          <t>26 September 1998</t>
        </is>
      </c>
      <c r="I70" s="2" t="n">
        <v>46331</v>
      </c>
      <c r="J70" t="inlineStr">
        <is>
          <t>Disetujui</t>
        </is>
      </c>
      <c r="K70" t="n">
        <v>30</v>
      </c>
      <c r="L70" t="inlineStr">
        <is>
          <t>5 November 2026</t>
        </is>
      </c>
      <c r="M70" t="inlineStr">
        <is>
          <t>Konstruksi Gedung Lainnya</t>
        </is>
      </c>
      <c r="N70" t="inlineStr">
        <is>
          <t>K</t>
        </is>
      </c>
      <c r="O70" t="inlineStr">
        <is>
          <t>20231101</t>
        </is>
      </c>
      <c r="P70" t="inlineStr">
        <is>
          <t>Banten</t>
        </is>
      </c>
      <c r="Q70" t="inlineStr"/>
    </row>
    <row r="71">
      <c r="A71" t="inlineStr">
        <is>
          <t>MITRA DUA MUDA</t>
        </is>
      </c>
      <c r="B71" t="inlineStr">
        <is>
          <t>Kab. Pasaman</t>
        </is>
      </c>
      <c r="C71" t="inlineStr">
        <is>
          <t>081363880202</t>
        </is>
      </c>
      <c r="D71" t="inlineStr">
        <is>
          <t>cvmitradua_muda@yahoo.co.id</t>
        </is>
      </c>
      <c r="E71" t="inlineStr">
        <is>
          <t>https://lpjk.pu.go.id/search-badan-usaha-detail/N1ZhaEg0ZDhIMFY0NTVYd2NYTjRQUT09</t>
        </is>
      </c>
      <c r="F71" t="n">
        <v>1</v>
      </c>
      <c r="G71" t="inlineStr">
        <is>
          <t>BS001</t>
        </is>
      </c>
      <c r="H71" t="inlineStr">
        <is>
          <t>2 Januari 2014</t>
        </is>
      </c>
      <c r="I71" s="2" t="n">
        <v>46331</v>
      </c>
      <c r="J71" t="inlineStr">
        <is>
          <t>Disetujui</t>
        </is>
      </c>
      <c r="K71" t="n">
        <v>30</v>
      </c>
      <c r="L71" t="inlineStr">
        <is>
          <t>5 November 2026</t>
        </is>
      </c>
      <c r="M71" t="inlineStr">
        <is>
          <t>Konstruksi Bangunan Sipil Jalan</t>
        </is>
      </c>
      <c r="N71" t="inlineStr">
        <is>
          <t>K</t>
        </is>
      </c>
      <c r="O71" t="inlineStr">
        <is>
          <t>20231016</t>
        </is>
      </c>
      <c r="P71" t="inlineStr">
        <is>
          <t>Sumatera Barat</t>
        </is>
      </c>
      <c r="Q71" t="inlineStr"/>
    </row>
    <row r="72">
      <c r="A72" t="inlineStr">
        <is>
          <t>MITRA GADING</t>
        </is>
      </c>
      <c r="B72" t="inlineStr">
        <is>
          <t>Kab. Ketapang</t>
        </is>
      </c>
      <c r="C72" t="inlineStr">
        <is>
          <t>081352541234</t>
        </is>
      </c>
      <c r="D72" t="inlineStr">
        <is>
          <t>mitra_gading86@yahoo.com</t>
        </is>
      </c>
      <c r="E72" t="inlineStr">
        <is>
          <t>https://lpjk.pu.go.id/search-badan-usaha-detail/bmVKaXdXMVpTS2pyclliQnlLSkhhdz09</t>
        </is>
      </c>
      <c r="F72" t="n">
        <v>1</v>
      </c>
      <c r="G72" t="inlineStr">
        <is>
          <t>BG004</t>
        </is>
      </c>
      <c r="H72" t="inlineStr">
        <is>
          <t>7 Januari 2015</t>
        </is>
      </c>
      <c r="I72" s="2" t="n">
        <v>46331</v>
      </c>
      <c r="J72" t="inlineStr">
        <is>
          <t>Disetujui</t>
        </is>
      </c>
      <c r="K72" t="n">
        <v>30</v>
      </c>
      <c r="L72" t="inlineStr">
        <is>
          <t>5 November 2026</t>
        </is>
      </c>
      <c r="M72" t="inlineStr">
        <is>
          <t>Konstruksi Gedung Perbelanjaan</t>
        </is>
      </c>
      <c r="N72" t="inlineStr">
        <is>
          <t>K</t>
        </is>
      </c>
      <c r="O72" t="inlineStr">
        <is>
          <t>20231031</t>
        </is>
      </c>
      <c r="P72" t="inlineStr">
        <is>
          <t>Kalimantan Barat</t>
        </is>
      </c>
      <c r="Q72" t="inlineStr"/>
    </row>
    <row r="73">
      <c r="A73" t="inlineStr">
        <is>
          <t>MITRA INOVASI GEMILANG</t>
        </is>
      </c>
      <c r="B73" t="inlineStr">
        <is>
          <t>Kota Adm. Jakarta Utara</t>
        </is>
      </c>
      <c r="C73" t="inlineStr">
        <is>
          <t>0216925040</t>
        </is>
      </c>
      <c r="D73" t="inlineStr">
        <is>
          <t>mitrainovasigemilang@mingpromo.com</t>
        </is>
      </c>
      <c r="E73" t="inlineStr">
        <is>
          <t>https://lpjk.pu.go.id/search-badan-usaha-detail/S2k5azZhLzVJZmIzRSs1SllRU0FFZz09</t>
        </is>
      </c>
      <c r="F73" t="n">
        <v>1</v>
      </c>
      <c r="G73" t="inlineStr">
        <is>
          <t>BG009</t>
        </is>
      </c>
      <c r="H73" t="inlineStr">
        <is>
          <t>29 Agustus 2002</t>
        </is>
      </c>
      <c r="I73" s="2" t="n">
        <v>46331</v>
      </c>
      <c r="J73" t="inlineStr">
        <is>
          <t>Pencabutan</t>
        </is>
      </c>
      <c r="K73" t="n">
        <v>30</v>
      </c>
      <c r="L73" t="inlineStr">
        <is>
          <t>5 November 2026</t>
        </is>
      </c>
      <c r="M73" t="inlineStr">
        <is>
          <t>Konstruksi Gedung Lainnya</t>
        </is>
      </c>
      <c r="N73" t="inlineStr">
        <is>
          <t>K</t>
        </is>
      </c>
      <c r="O73" t="inlineStr">
        <is>
          <t>20231103</t>
        </is>
      </c>
      <c r="P73" t="inlineStr">
        <is>
          <t>DKI Jakarta</t>
        </is>
      </c>
      <c r="Q73" t="inlineStr"/>
    </row>
    <row r="74">
      <c r="A74" t="inlineStr">
        <is>
          <t>MITRA JAYA KREATINDO</t>
        </is>
      </c>
      <c r="B74" t="inlineStr">
        <is>
          <t>Kota Surabaya</t>
        </is>
      </c>
      <c r="C74" t="inlineStr">
        <is>
          <t>081231966966</t>
        </is>
      </c>
      <c r="D74" t="inlineStr">
        <is>
          <t>mj.kreatindo@gmail.com</t>
        </is>
      </c>
      <c r="E74" t="inlineStr">
        <is>
          <t>https://lpjk.pu.go.id/search-badan-usaha-detail/cmUxUWpacU1FVUJkTk1yaHUzR0JsQT09</t>
        </is>
      </c>
      <c r="F74" t="n">
        <v>1</v>
      </c>
      <c r="G74" t="inlineStr">
        <is>
          <t>BS004</t>
        </is>
      </c>
      <c r="H74" t="inlineStr">
        <is>
          <t>30 Januari 2018</t>
        </is>
      </c>
      <c r="I74" s="2" t="n">
        <v>46331</v>
      </c>
      <c r="J74" t="inlineStr">
        <is>
          <t>Disetujui</t>
        </is>
      </c>
      <c r="K74" t="n">
        <v>30</v>
      </c>
      <c r="L74" t="inlineStr">
        <is>
          <t>5 November 2026</t>
        </is>
      </c>
      <c r="M74" t="inlineStr">
        <is>
          <t>Konstruksi Jaringan Irigasi dan Drainase</t>
        </is>
      </c>
      <c r="N74" t="inlineStr">
        <is>
          <t>K</t>
        </is>
      </c>
      <c r="O74" t="inlineStr">
        <is>
          <t>20231101</t>
        </is>
      </c>
      <c r="P74" t="inlineStr">
        <is>
          <t>Jawa Timur</t>
        </is>
      </c>
      <c r="Q74" t="inlineStr"/>
    </row>
    <row r="75">
      <c r="A75" t="inlineStr">
        <is>
          <t>MITRA NAZLA KONTRUKSI</t>
        </is>
      </c>
      <c r="B75" t="inlineStr">
        <is>
          <t>Kab. Ketapang</t>
        </is>
      </c>
      <c r="C75" t="inlineStr">
        <is>
          <t>082354286192</t>
        </is>
      </c>
      <c r="D75" t="inlineStr">
        <is>
          <t>mitranazlakonstruksi@gmail.com</t>
        </is>
      </c>
      <c r="E75" t="inlineStr">
        <is>
          <t>https://lpjk.pu.go.id/search-badan-usaha-detail/bGtNOE0ydDRBSEhKenZJbHEwTGpwQT09</t>
        </is>
      </c>
      <c r="F75" t="n">
        <v>1</v>
      </c>
      <c r="G75" t="inlineStr">
        <is>
          <t>BS005</t>
        </is>
      </c>
      <c r="H75" t="inlineStr">
        <is>
          <t>7 Juli 2009</t>
        </is>
      </c>
      <c r="I75" s="2" t="n">
        <v>46331</v>
      </c>
      <c r="J75" t="inlineStr">
        <is>
          <t>Disetujui</t>
        </is>
      </c>
      <c r="K75" t="n">
        <v>30</v>
      </c>
      <c r="L75" t="inlineStr">
        <is>
          <t>5 November 2026</t>
        </is>
      </c>
      <c r="M75" t="inlineStr">
        <is>
          <t>Konstruksi Bangunan Sipil Pengolahan Air Bersih</t>
        </is>
      </c>
      <c r="N75" t="inlineStr">
        <is>
          <t>K</t>
        </is>
      </c>
      <c r="O75" t="inlineStr">
        <is>
          <t>20231106</t>
        </is>
      </c>
      <c r="P75" t="inlineStr">
        <is>
          <t>Kalimantan Barat</t>
        </is>
      </c>
      <c r="Q75" t="inlineStr"/>
    </row>
    <row r="76">
      <c r="A76" t="inlineStr">
        <is>
          <t>MITRA UNGGUL SUKSES ABADI</t>
        </is>
      </c>
      <c r="B76" t="inlineStr">
        <is>
          <t>Kota Jambi</t>
        </is>
      </c>
      <c r="C76" t="inlineStr">
        <is>
          <t>081366501022</t>
        </is>
      </c>
      <c r="D76" t="inlineStr">
        <is>
          <t>ptmusa.jbi@yahoo.com</t>
        </is>
      </c>
      <c r="E76" t="inlineStr">
        <is>
          <t>https://lpjk.pu.go.id/search-badan-usaha-detail/WENtL2lCNDVJS256YThhcit2bktlZz09</t>
        </is>
      </c>
      <c r="F76" t="n">
        <v>1</v>
      </c>
      <c r="G76" t="inlineStr">
        <is>
          <t>BS013</t>
        </is>
      </c>
      <c r="H76" t="inlineStr">
        <is>
          <t>23 September 2015</t>
        </is>
      </c>
      <c r="I76" s="2" t="n">
        <v>46331</v>
      </c>
      <c r="J76" t="inlineStr">
        <is>
          <t>Pembekuan</t>
        </is>
      </c>
      <c r="K76" t="n">
        <v>30</v>
      </c>
      <c r="L76" t="inlineStr">
        <is>
          <t>5 November 2026</t>
        </is>
      </c>
      <c r="M76" t="inlineStr">
        <is>
          <t>Konstruksi Bangunan Sipil Minyak dan Gas Bumi</t>
        </is>
      </c>
      <c r="N76" t="inlineStr">
        <is>
          <t>M</t>
        </is>
      </c>
      <c r="O76" t="inlineStr">
        <is>
          <t>20231025</t>
        </is>
      </c>
      <c r="P76" t="inlineStr">
        <is>
          <t>Jambi</t>
        </is>
      </c>
      <c r="Q76" t="inlineStr"/>
    </row>
    <row r="77">
      <c r="A77" t="inlineStr">
        <is>
          <t>MITRA UTAMA</t>
        </is>
      </c>
      <c r="B77" t="inlineStr">
        <is>
          <t>Kota Banjarbaru</t>
        </is>
      </c>
      <c r="C77" t="inlineStr">
        <is>
          <t>08115128117</t>
        </is>
      </c>
      <c r="D77" t="inlineStr">
        <is>
          <t>cvmitrautamabudhi@gmail.com</t>
        </is>
      </c>
      <c r="E77" t="inlineStr">
        <is>
          <t>https://lpjk.pu.go.id/search-badan-usaha-detail/bWd6cnF1N284MHgvY0dPYmZXUVVSdz09</t>
        </is>
      </c>
      <c r="F77" t="n">
        <v>1</v>
      </c>
      <c r="G77" t="inlineStr">
        <is>
          <t>BG009</t>
        </is>
      </c>
      <c r="H77" t="inlineStr">
        <is>
          <t>3 Maret 1999</t>
        </is>
      </c>
      <c r="I77" s="2" t="n">
        <v>46331</v>
      </c>
      <c r="J77" t="inlineStr">
        <is>
          <t>Disetujui</t>
        </is>
      </c>
      <c r="K77" t="n">
        <v>30</v>
      </c>
      <c r="L77" t="inlineStr">
        <is>
          <t>5 November 2026</t>
        </is>
      </c>
      <c r="M77" t="inlineStr">
        <is>
          <t>Konstruksi Gedung Lainnya</t>
        </is>
      </c>
      <c r="N77" t="inlineStr">
        <is>
          <t>K</t>
        </is>
      </c>
      <c r="O77" t="inlineStr">
        <is>
          <t>20231030</t>
        </is>
      </c>
      <c r="P77" t="inlineStr">
        <is>
          <t>Kalimantan Selatan</t>
        </is>
      </c>
      <c r="Q77" t="inlineStr"/>
    </row>
    <row r="78">
      <c r="A78" t="inlineStr">
        <is>
          <t>MITRAHARAPAN WIDYATAMA</t>
        </is>
      </c>
      <c r="B78" t="inlineStr">
        <is>
          <t>Kota Bandung</t>
        </is>
      </c>
      <c r="C78" t="inlineStr">
        <is>
          <t>087824606055</t>
        </is>
      </c>
      <c r="D78" t="inlineStr">
        <is>
          <t>mitraharapanwidyatama@yahoo.com</t>
        </is>
      </c>
      <c r="E78" t="inlineStr">
        <is>
          <t>https://lpjk.pu.go.id/search-badan-usaha-detail/RVMzOUhRQ2gwQ3FBUGk5SVY5ay9XUT09</t>
        </is>
      </c>
      <c r="F78" t="n">
        <v>4</v>
      </c>
      <c r="G78" t="inlineStr">
        <is>
          <t>BG009, BS004</t>
        </is>
      </c>
      <c r="H78" t="inlineStr">
        <is>
          <t>9 Agustus 2000</t>
        </is>
      </c>
      <c r="I78" s="2" t="n">
        <v>46331</v>
      </c>
      <c r="J78" t="inlineStr">
        <is>
          <t>Disetujui</t>
        </is>
      </c>
      <c r="K78" t="n">
        <v>30</v>
      </c>
      <c r="L78" t="inlineStr">
        <is>
          <t>5 November 2026</t>
        </is>
      </c>
      <c r="M78" t="inlineStr">
        <is>
          <t>Konstruksi Gedung Lainnya, Konstruksi Jaringan Irigasi dan Drainase</t>
        </is>
      </c>
      <c r="N78" t="inlineStr">
        <is>
          <t>K</t>
        </is>
      </c>
      <c r="O78" t="inlineStr">
        <is>
          <t>20231020</t>
        </is>
      </c>
      <c r="P78" t="inlineStr">
        <is>
          <t>Jawa Barat</t>
        </is>
      </c>
      <c r="Q78" t="inlineStr"/>
    </row>
    <row r="79">
      <c r="A79" t="inlineStr">
        <is>
          <t>MOROA</t>
        </is>
      </c>
      <c r="B79" t="inlineStr">
        <is>
          <t>Kab. Mimika</t>
        </is>
      </c>
      <c r="C79" t="inlineStr">
        <is>
          <t>081230352348</t>
        </is>
      </c>
      <c r="D79" t="inlineStr">
        <is>
          <t>moroa.timika@gmail.com</t>
        </is>
      </c>
      <c r="E79" t="inlineStr">
        <is>
          <t>https://lpjk.pu.go.id/search-badan-usaha-detail/SC9jTkZ6SXcyckhqUmtCMStEc09xQT09</t>
        </is>
      </c>
      <c r="F79" t="n">
        <v>1</v>
      </c>
      <c r="G79" t="inlineStr">
        <is>
          <t>BG006</t>
        </is>
      </c>
      <c r="H79" t="inlineStr">
        <is>
          <t>12 Januari 2015</t>
        </is>
      </c>
      <c r="I79" s="2" t="n">
        <v>46331</v>
      </c>
      <c r="J79" t="inlineStr">
        <is>
          <t>Disetujui</t>
        </is>
      </c>
      <c r="K79" t="n">
        <v>30</v>
      </c>
      <c r="L79" t="inlineStr">
        <is>
          <t>5 November 2026</t>
        </is>
      </c>
      <c r="M79" t="inlineStr">
        <is>
          <t>Konstruksi Gedung Pendidikan</t>
        </is>
      </c>
      <c r="N79" t="inlineStr">
        <is>
          <t>K</t>
        </is>
      </c>
      <c r="O79" t="inlineStr">
        <is>
          <t>20231103</t>
        </is>
      </c>
      <c r="P79" t="inlineStr">
        <is>
          <t>Papua</t>
        </is>
      </c>
      <c r="Q79" t="inlineStr"/>
    </row>
    <row r="80">
      <c r="A80" t="inlineStr">
        <is>
          <t>MUBARAK</t>
        </is>
      </c>
      <c r="B80" t="inlineStr">
        <is>
          <t>Kab. Kediri</t>
        </is>
      </c>
      <c r="C80" t="inlineStr">
        <is>
          <t>085232051444</t>
        </is>
      </c>
      <c r="D80" t="inlineStr">
        <is>
          <t>cv.mubarak.kediri@gmail.com</t>
        </is>
      </c>
      <c r="E80" t="inlineStr">
        <is>
          <t>https://lpjk.pu.go.id/search-badan-usaha-detail/WmVQQkdlT0R6UDVpeXVvTHRNREoxZz09</t>
        </is>
      </c>
      <c r="F80" t="n">
        <v>1</v>
      </c>
      <c r="G80" t="inlineStr">
        <is>
          <t>PL005</t>
        </is>
      </c>
      <c r="H80" t="inlineStr">
        <is>
          <t>28 Agustus 2019</t>
        </is>
      </c>
      <c r="I80" s="2" t="n">
        <v>46331</v>
      </c>
      <c r="J80" t="inlineStr">
        <is>
          <t>Pencabutan</t>
        </is>
      </c>
      <c r="K80" t="n">
        <v>30</v>
      </c>
      <c r="L80" t="inlineStr">
        <is>
          <t>5 November 2026</t>
        </is>
      </c>
      <c r="M80" t="inlineStr">
        <is>
          <t>Pembuatan/Pengeboran Sumur Air Tanah</t>
        </is>
      </c>
      <c r="N80" t="inlineStr">
        <is>
          <t>Spesialis</t>
        </is>
      </c>
      <c r="O80" t="inlineStr">
        <is>
          <t>20231024</t>
        </is>
      </c>
      <c r="P80" t="inlineStr">
        <is>
          <t>Jawa Timur</t>
        </is>
      </c>
      <c r="Q80" t="inlineStr"/>
    </row>
    <row r="81">
      <c r="A81" t="inlineStr">
        <is>
          <t>MUHAMMAD ARIL JAYA</t>
        </is>
      </c>
      <c r="B81" t="inlineStr">
        <is>
          <t>Kab. Kutai Kartanegara</t>
        </is>
      </c>
      <c r="C81" t="inlineStr">
        <is>
          <t>08125345584</t>
        </is>
      </c>
      <c r="D81" t="inlineStr">
        <is>
          <t>mariljaya.cv@gmail.com</t>
        </is>
      </c>
      <c r="E81" t="inlineStr">
        <is>
          <t>https://lpjk.pu.go.id/search-badan-usaha-detail/NThqVjBnc0cwWVpoL2VCUXBXNU84UT09</t>
        </is>
      </c>
      <c r="F81" t="n">
        <v>2</v>
      </c>
      <c r="G81" t="inlineStr">
        <is>
          <t>BG005, BG006</t>
        </is>
      </c>
      <c r="H81" t="inlineStr">
        <is>
          <t>2 Juli 2020</t>
        </is>
      </c>
      <c r="I81" s="2" t="n">
        <v>46331</v>
      </c>
      <c r="J81" t="inlineStr">
        <is>
          <t>Disetujui</t>
        </is>
      </c>
      <c r="K81" t="n">
        <v>30</v>
      </c>
      <c r="L81" t="inlineStr">
        <is>
          <t>5 November 2026</t>
        </is>
      </c>
      <c r="M81" t="inlineStr">
        <is>
          <t>Konstruksi Gedung Kesehatan, Konstruksi Gedung Pendidikan</t>
        </is>
      </c>
      <c r="N81" t="inlineStr">
        <is>
          <t>K</t>
        </is>
      </c>
      <c r="O81" t="inlineStr">
        <is>
          <t>20231103</t>
        </is>
      </c>
      <c r="P81" t="inlineStr">
        <is>
          <t>Kalimantan Timur</t>
        </is>
      </c>
      <c r="Q81" t="inlineStr"/>
    </row>
    <row r="82">
      <c r="A82" t="inlineStr">
        <is>
          <t>NUSA CIPTA PROPERTI</t>
        </is>
      </c>
      <c r="B82" t="inlineStr">
        <is>
          <t>Kota Makassar</t>
        </is>
      </c>
      <c r="C82" t="inlineStr">
        <is>
          <t>085298987798</t>
        </is>
      </c>
      <c r="D82" t="inlineStr">
        <is>
          <t>pt.nusaciptaproperti@gmail.com</t>
        </is>
      </c>
      <c r="E82" t="inlineStr">
        <is>
          <t>https://lpjk.pu.go.id/search-badan-usaha-detail/YnQyaWdXWlYxdll5b1NwWXJhSWVldz09</t>
        </is>
      </c>
      <c r="F82" t="n">
        <v>1</v>
      </c>
      <c r="G82" t="inlineStr">
        <is>
          <t>BG001</t>
        </is>
      </c>
      <c r="H82" t="inlineStr">
        <is>
          <t>6 September 2023</t>
        </is>
      </c>
      <c r="I82" s="2" t="n">
        <v>46331</v>
      </c>
      <c r="J82" t="inlineStr">
        <is>
          <t>Disetujui</t>
        </is>
      </c>
      <c r="K82" t="n">
        <v>30</v>
      </c>
      <c r="L82" t="inlineStr">
        <is>
          <t>5 November 2026</t>
        </is>
      </c>
      <c r="M82" t="inlineStr">
        <is>
          <t>Konstruksi Gedung Hunian</t>
        </is>
      </c>
      <c r="N82" t="inlineStr">
        <is>
          <t>K</t>
        </is>
      </c>
      <c r="O82" t="inlineStr">
        <is>
          <t>20231101</t>
        </is>
      </c>
      <c r="P82" t="inlineStr">
        <is>
          <t>Sulawesi Selatan</t>
        </is>
      </c>
      <c r="Q82" t="inlineStr"/>
    </row>
    <row r="83">
      <c r="A83" t="inlineStr">
        <is>
          <t>NUSA GRAHA CONSULTANT</t>
        </is>
      </c>
      <c r="B83" t="inlineStr">
        <is>
          <t>Kota Bandar Lampung</t>
        </is>
      </c>
      <c r="C83" t="inlineStr">
        <is>
          <t>081379943777</t>
        </is>
      </c>
      <c r="D83" t="inlineStr">
        <is>
          <t>nusagrahaconsultant@yahoo.co.id</t>
        </is>
      </c>
      <c r="E83" t="inlineStr">
        <is>
          <t>https://lpjk.pu.go.id/search-badan-usaha-detail/ZndrL3hkaVhLLzVFTTBEa2hodWl6UT09</t>
        </is>
      </c>
      <c r="F83" t="n">
        <v>1</v>
      </c>
      <c r="G83" t="inlineStr">
        <is>
          <t>RK001</t>
        </is>
      </c>
      <c r="H83" t="inlineStr">
        <is>
          <t>22 Juni 2012</t>
        </is>
      </c>
      <c r="I83" s="2" t="n">
        <v>46331</v>
      </c>
      <c r="J83" t="inlineStr">
        <is>
          <t>Disetujui</t>
        </is>
      </c>
      <c r="K83" t="n">
        <v>30</v>
      </c>
      <c r="L83" t="inlineStr">
        <is>
          <t>5 November 2026</t>
        </is>
      </c>
      <c r="M83" t="inlineStr">
        <is>
          <t>Jasa Rekayasa Konstruksi Bangunan Gedung Hunian dan Non Hunian</t>
        </is>
      </c>
      <c r="N83" t="inlineStr">
        <is>
          <t>K</t>
        </is>
      </c>
      <c r="O83" t="inlineStr">
        <is>
          <t>20231022</t>
        </is>
      </c>
      <c r="P83" t="inlineStr">
        <is>
          <t>Lampung</t>
        </is>
      </c>
      <c r="Q83" t="inlineStr"/>
    </row>
    <row r="84">
      <c r="A84" t="inlineStr">
        <is>
          <t>PANCORA JAYA</t>
        </is>
      </c>
      <c r="B84" t="inlineStr">
        <is>
          <t>Kab. Indramayu</t>
        </is>
      </c>
      <c r="C84" t="inlineStr">
        <is>
          <t>081246800234</t>
        </is>
      </c>
      <c r="D84" t="inlineStr">
        <is>
          <t>pancorajaya.cv@gmail.com</t>
        </is>
      </c>
      <c r="E84" t="inlineStr">
        <is>
          <t>https://lpjk.pu.go.id/search-badan-usaha-detail/Y3dhcXFSRjltcjl0MHFQWDg3Vmc2UT09</t>
        </is>
      </c>
      <c r="F84" t="n">
        <v>1</v>
      </c>
      <c r="G84" t="inlineStr">
        <is>
          <t>BS017</t>
        </is>
      </c>
      <c r="H84" t="inlineStr">
        <is>
          <t>7 Desember 2016</t>
        </is>
      </c>
      <c r="I84" s="2" t="n">
        <v>46331</v>
      </c>
      <c r="J84" t="inlineStr">
        <is>
          <t>Disetujui</t>
        </is>
      </c>
      <c r="K84" t="n">
        <v>30</v>
      </c>
      <c r="L84" t="inlineStr">
        <is>
          <t>5 November 2026</t>
        </is>
      </c>
      <c r="M84" t="inlineStr">
        <is>
          <t>Konstruksi Bangunan Sipil Lainnya Ytdl</t>
        </is>
      </c>
      <c r="N84" t="inlineStr">
        <is>
          <t>K</t>
        </is>
      </c>
      <c r="O84" t="inlineStr">
        <is>
          <t>20231012</t>
        </is>
      </c>
      <c r="P84" t="inlineStr">
        <is>
          <t>Jawa Barat</t>
        </is>
      </c>
      <c r="Q84" t="inlineStr"/>
    </row>
    <row r="85">
      <c r="A85" t="inlineStr">
        <is>
          <t>PONDASI STRUKTUR INDONESIA</t>
        </is>
      </c>
      <c r="B85" t="inlineStr">
        <is>
          <t>Kota Semarang</t>
        </is>
      </c>
      <c r="C85" t="inlineStr">
        <is>
          <t>08111990019</t>
        </is>
      </c>
      <c r="D85" t="inlineStr">
        <is>
          <t>pondasi.psi14@yahoo.com</t>
        </is>
      </c>
      <c r="E85" t="inlineStr">
        <is>
          <t>https://lpjk.pu.go.id/search-badan-usaha-detail/a2pWNUNZOGpNNzd4WmU3NWx4ZEJxZz09</t>
        </is>
      </c>
      <c r="F85" t="n">
        <v>1</v>
      </c>
      <c r="G85" t="inlineStr">
        <is>
          <t>KK001</t>
        </is>
      </c>
      <c r="H85" t="inlineStr">
        <is>
          <t>15 Desember 2015</t>
        </is>
      </c>
      <c r="I85" s="2" t="n">
        <v>46331</v>
      </c>
      <c r="J85" t="inlineStr">
        <is>
          <t>Disetujui</t>
        </is>
      </c>
      <c r="K85" t="n">
        <v>30</v>
      </c>
      <c r="L85" t="inlineStr">
        <is>
          <t>5 November 2026</t>
        </is>
      </c>
      <c r="M85" t="inlineStr">
        <is>
          <t>Pondasi Konstruksi</t>
        </is>
      </c>
      <c r="N85" t="inlineStr">
        <is>
          <t>Spesialis</t>
        </is>
      </c>
      <c r="O85" t="inlineStr">
        <is>
          <t>20231101</t>
        </is>
      </c>
      <c r="P85" t="inlineStr">
        <is>
          <t>Jawa Tengah</t>
        </is>
      </c>
      <c r="Q85" t="inlineStr"/>
    </row>
    <row r="86">
      <c r="A86" t="inlineStr">
        <is>
          <t>PUJA MAS NUSANTARA</t>
        </is>
      </c>
      <c r="B86" t="inlineStr">
        <is>
          <t>Kota Surabaya</t>
        </is>
      </c>
      <c r="C86" t="inlineStr">
        <is>
          <t>0818314360</t>
        </is>
      </c>
      <c r="D86" t="inlineStr">
        <is>
          <t>pt.pujamasnusantara@gmail.com</t>
        </is>
      </c>
      <c r="E86" t="inlineStr">
        <is>
          <t>https://lpjk.pu.go.id/search-badan-usaha-detail/TmlMUWpnQjE2dFg1UFpQeGRSYmdDUT09</t>
        </is>
      </c>
      <c r="F86" t="n">
        <v>3</v>
      </c>
      <c r="G86" t="inlineStr">
        <is>
          <t>BG003, BG009, BS001</t>
        </is>
      </c>
      <c r="H86" t="inlineStr">
        <is>
          <t>25 Agustus 2023</t>
        </is>
      </c>
      <c r="I86" s="2" t="n">
        <v>46331</v>
      </c>
      <c r="J86" t="inlineStr">
        <is>
          <t>Pembekuan</t>
        </is>
      </c>
      <c r="K86" t="n">
        <v>30</v>
      </c>
      <c r="L86" t="inlineStr">
        <is>
          <t>5 November 2026</t>
        </is>
      </c>
      <c r="M86" t="inlineStr">
        <is>
          <t>Konstruksi Bangunan Sipil Jalan, Konstruksi Gedung Industri, Konstruksi Gedung Lainnya</t>
        </is>
      </c>
      <c r="N86" t="inlineStr">
        <is>
          <t>K</t>
        </is>
      </c>
      <c r="O86" t="inlineStr">
        <is>
          <t>20231027</t>
        </is>
      </c>
      <c r="P86" t="inlineStr">
        <is>
          <t>Jawa Timur</t>
        </is>
      </c>
      <c r="Q86" t="inlineStr"/>
    </row>
    <row r="87">
      <c r="A87" t="inlineStr">
        <is>
          <t>PURNAMA JAYA</t>
        </is>
      </c>
      <c r="B87" t="inlineStr">
        <is>
          <t>Kab. Blora</t>
        </is>
      </c>
      <c r="C87" t="inlineStr">
        <is>
          <t>0296421681</t>
        </is>
      </c>
      <c r="D87" t="inlineStr">
        <is>
          <t>cvpurnamajayaa@gmail.com</t>
        </is>
      </c>
      <c r="E87" t="inlineStr">
        <is>
          <t>https://lpjk.pu.go.id/search-badan-usaha-detail/NEJKbVMzTVI3WHl4cHNzN1NSMDZKUT09</t>
        </is>
      </c>
      <c r="F87" t="n">
        <v>2</v>
      </c>
      <c r="G87" t="inlineStr">
        <is>
          <t>BS004</t>
        </is>
      </c>
      <c r="H87" t="inlineStr">
        <is>
          <t>7 Januari 1991</t>
        </is>
      </c>
      <c r="I87" s="2" t="n">
        <v>46331</v>
      </c>
      <c r="J87" t="inlineStr">
        <is>
          <t>Disetujui</t>
        </is>
      </c>
      <c r="K87" t="n">
        <v>30</v>
      </c>
      <c r="L87" t="inlineStr">
        <is>
          <t>5 November 2026</t>
        </is>
      </c>
      <c r="M87" t="inlineStr">
        <is>
          <t>Konstruksi Jaringan Irigasi dan Drainase</t>
        </is>
      </c>
      <c r="N87" t="inlineStr">
        <is>
          <t>K</t>
        </is>
      </c>
      <c r="O87" t="inlineStr">
        <is>
          <t>20230912</t>
        </is>
      </c>
      <c r="P87" t="inlineStr">
        <is>
          <t>Jawa Tengah</t>
        </is>
      </c>
      <c r="Q87" t="inlineStr"/>
    </row>
    <row r="88">
      <c r="A88" t="inlineStr">
        <is>
          <t>PURWA KARYA</t>
        </is>
      </c>
      <c r="B88" t="inlineStr">
        <is>
          <t>Kab. Pemalang</t>
        </is>
      </c>
      <c r="C88" t="inlineStr">
        <is>
          <t>081903608909</t>
        </is>
      </c>
      <c r="D88" t="inlineStr">
        <is>
          <t>cv.purwakarya@gmail.com</t>
        </is>
      </c>
      <c r="E88" t="inlineStr">
        <is>
          <t>https://lpjk.pu.go.id/search-badan-usaha-detail/aFI2dlZYZWJmeit2RW1HSllzUzAzdz09</t>
        </is>
      </c>
      <c r="F88" t="n">
        <v>4</v>
      </c>
      <c r="G88" t="inlineStr">
        <is>
          <t>BG005, BG008, BG009, BS004</t>
        </is>
      </c>
      <c r="H88" t="inlineStr">
        <is>
          <t>2 November 1990</t>
        </is>
      </c>
      <c r="I88" s="2" t="n">
        <v>46331</v>
      </c>
      <c r="J88" t="inlineStr">
        <is>
          <t>Disetujui</t>
        </is>
      </c>
      <c r="K88" t="n">
        <v>30</v>
      </c>
      <c r="L88" t="inlineStr">
        <is>
          <t>5 November 2026</t>
        </is>
      </c>
      <c r="M88" t="inlineStr">
        <is>
          <t>Konstruksi Gedung Kesehatan, Konstruksi Gedung Lainnya, Konstruksi Gedung Tempat Hiburan dan Olahraga, Konstruksi Jaringan Irigasi dan Drainase</t>
        </is>
      </c>
      <c r="N88" t="inlineStr">
        <is>
          <t>K</t>
        </is>
      </c>
      <c r="O88" t="inlineStr">
        <is>
          <t>20231031, 20231101</t>
        </is>
      </c>
      <c r="P88" t="inlineStr">
        <is>
          <t>Jawa Tengah</t>
        </is>
      </c>
      <c r="Q88" t="inlineStr"/>
    </row>
    <row r="89">
      <c r="A89" t="inlineStr">
        <is>
          <t>PUTRA DINAR</t>
        </is>
      </c>
      <c r="B89" t="inlineStr">
        <is>
          <t>Kab. Tangerang</t>
        </is>
      </c>
      <c r="C89" t="inlineStr">
        <is>
          <t>083874013514</t>
        </is>
      </c>
      <c r="D89" t="inlineStr">
        <is>
          <t>putradinar.cv@gmail.com</t>
        </is>
      </c>
      <c r="E89" t="inlineStr">
        <is>
          <t>https://lpjk.pu.go.id/search-badan-usaha-detail/TzhnODg4Q1RXclN4V0VNWTBscU1IQT09</t>
        </is>
      </c>
      <c r="F89" t="n">
        <v>4</v>
      </c>
      <c r="G89" t="inlineStr">
        <is>
          <t>BG001, BG005, BS001, BS004</t>
        </is>
      </c>
      <c r="H89" t="inlineStr">
        <is>
          <t>3 Juni 2021</t>
        </is>
      </c>
      <c r="I89" s="2" t="n">
        <v>46331</v>
      </c>
      <c r="J89" t="inlineStr">
        <is>
          <t>Disetujui</t>
        </is>
      </c>
      <c r="K89" t="n">
        <v>30</v>
      </c>
      <c r="L89" t="inlineStr">
        <is>
          <t>5 November 2026</t>
        </is>
      </c>
      <c r="M89" t="inlineStr">
        <is>
          <t>Konstruksi Bangunan Sipil Jalan, Konstruksi Gedung Hunian, Konstruksi Gedung Kesehatan, Konstruksi Jaringan Irigasi dan Drainase</t>
        </is>
      </c>
      <c r="N89" t="inlineStr">
        <is>
          <t>K</t>
        </is>
      </c>
      <c r="O89" t="inlineStr">
        <is>
          <t>20231101</t>
        </is>
      </c>
      <c r="P89" t="inlineStr">
        <is>
          <t>Banten</t>
        </is>
      </c>
      <c r="Q89" t="inlineStr"/>
    </row>
    <row r="90">
      <c r="A90" t="inlineStr">
        <is>
          <t>PUTRA TEGUH KARYA</t>
        </is>
      </c>
      <c r="B90" t="inlineStr">
        <is>
          <t>Kab. Pangandaran</t>
        </is>
      </c>
      <c r="C90" t="inlineStr">
        <is>
          <t>081398795215</t>
        </is>
      </c>
      <c r="D90" t="inlineStr">
        <is>
          <t>putrateguhkaryacv@gmail.com</t>
        </is>
      </c>
      <c r="E90" t="inlineStr">
        <is>
          <t>https://lpjk.pu.go.id/search-badan-usaha-detail/eWs4L3Ixa0xQb3ZjSWRLbjN4cE1DUT09</t>
        </is>
      </c>
      <c r="F90" t="n">
        <v>1</v>
      </c>
      <c r="G90" t="inlineStr">
        <is>
          <t>BG003</t>
        </is>
      </c>
      <c r="H90" t="inlineStr">
        <is>
          <t>10 Agustus 2017</t>
        </is>
      </c>
      <c r="I90" s="2" t="n">
        <v>46331</v>
      </c>
      <c r="J90" t="inlineStr">
        <is>
          <t>Pencabutan</t>
        </is>
      </c>
      <c r="K90" t="n">
        <v>30</v>
      </c>
      <c r="L90" t="inlineStr">
        <is>
          <t>5 November 2026</t>
        </is>
      </c>
      <c r="M90" t="inlineStr">
        <is>
          <t>Konstruksi Gedung Industri</t>
        </is>
      </c>
      <c r="N90" t="inlineStr">
        <is>
          <t>K</t>
        </is>
      </c>
      <c r="O90" t="inlineStr">
        <is>
          <t>20231024</t>
        </is>
      </c>
      <c r="P90" t="inlineStr">
        <is>
          <t>Jawa Barat</t>
        </is>
      </c>
      <c r="Q90" t="inlineStr"/>
    </row>
    <row r="91">
      <c r="A91" t="inlineStr">
        <is>
          <t>PUTRA TELADAN</t>
        </is>
      </c>
      <c r="B91" t="inlineStr">
        <is>
          <t>Kab. Trenggalek</t>
        </is>
      </c>
      <c r="C91" t="inlineStr">
        <is>
          <t>085334044881</t>
        </is>
      </c>
      <c r="D91" t="inlineStr">
        <is>
          <t>cvputrateladan@gmail.com</t>
        </is>
      </c>
      <c r="E91" t="inlineStr">
        <is>
          <t>https://lpjk.pu.go.id/search-badan-usaha-detail/ZWpzT1E0QWRaSW9vU3NoRzFCWUhXQT09</t>
        </is>
      </c>
      <c r="F91" t="n">
        <v>1</v>
      </c>
      <c r="G91" t="inlineStr">
        <is>
          <t>BS001</t>
        </is>
      </c>
      <c r="H91" t="inlineStr">
        <is>
          <t>26 Februari 2020</t>
        </is>
      </c>
      <c r="I91" s="2" t="n">
        <v>46331</v>
      </c>
      <c r="J91" t="inlineStr">
        <is>
          <t>Disetujui</t>
        </is>
      </c>
      <c r="K91" t="n">
        <v>30</v>
      </c>
      <c r="L91" t="inlineStr">
        <is>
          <t>5 November 2026</t>
        </is>
      </c>
      <c r="M91" t="inlineStr">
        <is>
          <t>Konstruksi Bangunan Sipil Jalan</t>
        </is>
      </c>
      <c r="N91" t="inlineStr">
        <is>
          <t>K</t>
        </is>
      </c>
      <c r="O91" t="inlineStr">
        <is>
          <t>20231031</t>
        </is>
      </c>
      <c r="P91" t="inlineStr">
        <is>
          <t>Jawa Timur</t>
        </is>
      </c>
      <c r="Q91" t="inlineStr"/>
    </row>
    <row r="92">
      <c r="A92" t="inlineStr">
        <is>
          <t>RAKA PRATAMA</t>
        </is>
      </c>
      <c r="B92" t="inlineStr">
        <is>
          <t>Kota Denpasar</t>
        </is>
      </c>
      <c r="C92" t="inlineStr">
        <is>
          <t>0361418099</t>
        </is>
      </c>
      <c r="D92" t="inlineStr">
        <is>
          <t>eka333jazz@gmail.com</t>
        </is>
      </c>
      <c r="E92" t="inlineStr">
        <is>
          <t>https://lpjk.pu.go.id/search-badan-usaha-detail/dFZpOXc2SVR2Yk1VZmFWREM0b3BTUT09</t>
        </is>
      </c>
      <c r="F92" t="n">
        <v>2</v>
      </c>
      <c r="G92" t="inlineStr">
        <is>
          <t>BG001, BG002</t>
        </is>
      </c>
      <c r="H92" t="inlineStr">
        <is>
          <t>4 Desember 2002</t>
        </is>
      </c>
      <c r="I92" s="2" t="n">
        <v>46331</v>
      </c>
      <c r="J92" t="inlineStr">
        <is>
          <t>Disetujui</t>
        </is>
      </c>
      <c r="K92" t="n">
        <v>30</v>
      </c>
      <c r="L92" t="inlineStr">
        <is>
          <t>5 November 2026</t>
        </is>
      </c>
      <c r="M92" t="inlineStr">
        <is>
          <t>Konstruksi Gedung Hunian, Konstruksi Gedung Perkantoran</t>
        </is>
      </c>
      <c r="N92" t="inlineStr">
        <is>
          <t>K</t>
        </is>
      </c>
      <c r="O92" t="inlineStr">
        <is>
          <t>20231025</t>
        </is>
      </c>
      <c r="P92" t="inlineStr">
        <is>
          <t>Bali</t>
        </is>
      </c>
      <c r="Q92" t="inlineStr"/>
    </row>
    <row r="93">
      <c r="A93" t="inlineStr">
        <is>
          <t>REZKY IQBAL MANDIRI</t>
        </is>
      </c>
      <c r="B93" t="inlineStr">
        <is>
          <t>Kab. Hulu Sungai Selatan</t>
        </is>
      </c>
      <c r="C93" t="inlineStr">
        <is>
          <t>0816977559</t>
        </is>
      </c>
      <c r="D93" t="inlineStr">
        <is>
          <t>rezkyiqbalmandiri@gmail.com</t>
        </is>
      </c>
      <c r="E93" t="inlineStr">
        <is>
          <t>https://lpjk.pu.go.id/search-badan-usaha-detail/elVheks3Z2U0V2paVHAvRm9nc0xRUT09</t>
        </is>
      </c>
      <c r="F93" t="n">
        <v>5</v>
      </c>
      <c r="G93" t="inlineStr">
        <is>
          <t>BS001, BS002, BS004, BS005, BS006</t>
        </is>
      </c>
      <c r="H93" t="inlineStr">
        <is>
          <t>11 Februari 2016</t>
        </is>
      </c>
      <c r="I93" s="2" t="n">
        <v>46331</v>
      </c>
      <c r="J93" t="inlineStr">
        <is>
          <t>Disetujui</t>
        </is>
      </c>
      <c r="K93" t="n">
        <v>30</v>
      </c>
      <c r="L93" t="inlineStr">
        <is>
          <t>5 November 2026</t>
        </is>
      </c>
      <c r="M93" t="inlineStr">
        <is>
          <t>Bangunan Sipil Jembatan, Jalan Layang, Fly Over, dan Underpass, Konstruksi Bangunan Sipil Jalan, Konstruksi Bangunan Sipil Pengolahan Air Bersih, Konstruksi Bangunan Sipil Prasarana dan Sarana Sistem Pengolahan Limbah Padat, Cair, dan Gas, Konstruksi Jaringan Irigasi dan Drainase</t>
        </is>
      </c>
      <c r="N93" t="inlineStr">
        <is>
          <t>K</t>
        </is>
      </c>
      <c r="O93" t="inlineStr">
        <is>
          <t>20231103</t>
        </is>
      </c>
      <c r="P93" t="inlineStr">
        <is>
          <t>Kalimantan Selatan</t>
        </is>
      </c>
      <c r="Q93" t="inlineStr"/>
    </row>
    <row r="94">
      <c r="A94" t="inlineStr">
        <is>
          <t>RYAN KSATRIA SISWADI</t>
        </is>
      </c>
      <c r="B94" t="inlineStr">
        <is>
          <t>Kab. Bandung</t>
        </is>
      </c>
      <c r="C94" t="inlineStr">
        <is>
          <t>081223498982</t>
        </is>
      </c>
      <c r="D94" t="inlineStr">
        <is>
          <t>cv.ryanksatriasiswadi@gmail.com</t>
        </is>
      </c>
      <c r="E94" t="inlineStr">
        <is>
          <t>https://lpjk.pu.go.id/search-badan-usaha-detail/QmxDaW5ZRlJ5TExFV1RqOTVSQ3dGUT09</t>
        </is>
      </c>
      <c r="F94" t="n">
        <v>1</v>
      </c>
      <c r="G94" t="inlineStr">
        <is>
          <t>BS001</t>
        </is>
      </c>
      <c r="H94" t="inlineStr">
        <is>
          <t>20 Oktober 2023</t>
        </is>
      </c>
      <c r="I94" s="2" t="n">
        <v>46331</v>
      </c>
      <c r="J94" t="inlineStr">
        <is>
          <t>Disetujui</t>
        </is>
      </c>
      <c r="K94" t="n">
        <v>30</v>
      </c>
      <c r="L94" t="inlineStr">
        <is>
          <t>5 November 2026</t>
        </is>
      </c>
      <c r="M94" t="inlineStr">
        <is>
          <t>Konstruksi Bangunan Sipil Jalan</t>
        </is>
      </c>
      <c r="N94" t="inlineStr">
        <is>
          <t>K</t>
        </is>
      </c>
      <c r="O94" t="inlineStr">
        <is>
          <t>20231031</t>
        </is>
      </c>
      <c r="P94" t="inlineStr">
        <is>
          <t>Jawa Barat</t>
        </is>
      </c>
      <c r="Q94" t="inlineStr"/>
    </row>
    <row r="95">
      <c r="A95" t="inlineStr">
        <is>
          <t>SAGARA AGUNG PERSADA UTAMA</t>
        </is>
      </c>
      <c r="B95" t="inlineStr">
        <is>
          <t>Kota Tangerang</t>
        </is>
      </c>
      <c r="C95" t="inlineStr">
        <is>
          <t>02129433311</t>
        </is>
      </c>
      <c r="D95" t="inlineStr">
        <is>
          <t>sap_utama@yahoo.com</t>
        </is>
      </c>
      <c r="E95" t="inlineStr">
        <is>
          <t>https://lpjk.pu.go.id/search-badan-usaha-detail/bW1HUVFBZDdSYW1JTWtTN0NtZlBOdz09</t>
        </is>
      </c>
      <c r="F95" t="n">
        <v>3</v>
      </c>
      <c r="G95" t="inlineStr">
        <is>
          <t>BG005, BG009, BS004</t>
        </is>
      </c>
      <c r="H95" t="inlineStr">
        <is>
          <t>1 September 2016</t>
        </is>
      </c>
      <c r="I95" s="2" t="n">
        <v>46331</v>
      </c>
      <c r="J95" t="inlineStr">
        <is>
          <t>Disetujui</t>
        </is>
      </c>
      <c r="K95" t="n">
        <v>30</v>
      </c>
      <c r="L95" t="inlineStr">
        <is>
          <t>5 November 2026</t>
        </is>
      </c>
      <c r="M95" t="inlineStr">
        <is>
          <t>Konstruksi Gedung Kesehatan, Konstruksi Gedung Lainnya, Konstruksi Jaringan Irigasi dan Drainase</t>
        </is>
      </c>
      <c r="N95" t="inlineStr">
        <is>
          <t>K</t>
        </is>
      </c>
      <c r="O95" t="inlineStr">
        <is>
          <t>20231101</t>
        </is>
      </c>
      <c r="P95" t="inlineStr">
        <is>
          <t>Banten</t>
        </is>
      </c>
      <c r="Q95" t="inlineStr"/>
    </row>
    <row r="96">
      <c r="A96" t="inlineStr">
        <is>
          <t>SAKA PERANTAS ANDRIANTO</t>
        </is>
      </c>
      <c r="B96" t="inlineStr">
        <is>
          <t>Kab. Banyumas</t>
        </is>
      </c>
      <c r="C96" t="inlineStr">
        <is>
          <t>087798022220</t>
        </is>
      </c>
      <c r="D96" t="inlineStr">
        <is>
          <t>sakaperantas@gmail.com</t>
        </is>
      </c>
      <c r="E96" t="inlineStr">
        <is>
          <t>https://lpjk.pu.go.id/search-badan-usaha-detail/bmZ2YTBhaXJjWnBsVUQyeWxzdE1PUT09</t>
        </is>
      </c>
      <c r="F96" t="n">
        <v>4</v>
      </c>
      <c r="G96" t="inlineStr">
        <is>
          <t>BG001, BG006, BG009, BS001</t>
        </is>
      </c>
      <c r="H96" t="inlineStr">
        <is>
          <t>20 September 2023</t>
        </is>
      </c>
      <c r="I96" s="2" t="n">
        <v>46331</v>
      </c>
      <c r="J96" t="inlineStr">
        <is>
          <t>Disetujui, Pencabutan</t>
        </is>
      </c>
      <c r="K96" t="n">
        <v>30</v>
      </c>
      <c r="L96" t="inlineStr">
        <is>
          <t>5 November 2026</t>
        </is>
      </c>
      <c r="M96" t="inlineStr">
        <is>
          <t>Konstruksi Bangunan Sipil Jalan, Konstruksi Gedung Hunian, Konstruksi Gedung Lainnya, Konstruksi Gedung Pendidikan</t>
        </is>
      </c>
      <c r="N96" t="inlineStr">
        <is>
          <t>K</t>
        </is>
      </c>
      <c r="O96" t="inlineStr">
        <is>
          <t>20231106, 20231107</t>
        </is>
      </c>
      <c r="P96" t="inlineStr">
        <is>
          <t>Jawa Tengah</t>
        </is>
      </c>
      <c r="Q96" t="inlineStr"/>
    </row>
    <row r="97">
      <c r="A97" t="inlineStr">
        <is>
          <t>SEJAHTERA</t>
        </is>
      </c>
      <c r="B97" t="inlineStr">
        <is>
          <t>Kota Malang</t>
        </is>
      </c>
      <c r="C97" t="inlineStr">
        <is>
          <t>0341801254</t>
        </is>
      </c>
      <c r="D97" t="inlineStr">
        <is>
          <t>soarditirta@gmail.com</t>
        </is>
      </c>
      <c r="E97" t="inlineStr">
        <is>
          <t>https://lpjk.pu.go.id/search-badan-usaha-detail/SlVBbGVubVd1eXpjUExzWWx2bWQ2QT09</t>
        </is>
      </c>
      <c r="F97" t="n">
        <v>1</v>
      </c>
      <c r="G97" t="inlineStr">
        <is>
          <t>BG006</t>
        </is>
      </c>
      <c r="H97" t="inlineStr">
        <is>
          <t>24 Agustus 2010</t>
        </is>
      </c>
      <c r="I97" s="2" t="n">
        <v>46331</v>
      </c>
      <c r="J97" t="inlineStr">
        <is>
          <t>Disetujui</t>
        </is>
      </c>
      <c r="K97" t="n">
        <v>30</v>
      </c>
      <c r="L97" t="inlineStr">
        <is>
          <t>5 November 2026</t>
        </is>
      </c>
      <c r="M97" t="inlineStr">
        <is>
          <t>Konstruksi Gedung Pendidikan</t>
        </is>
      </c>
      <c r="N97" t="inlineStr">
        <is>
          <t>K</t>
        </is>
      </c>
      <c r="O97" t="inlineStr">
        <is>
          <t>20231027</t>
        </is>
      </c>
      <c r="P97" t="inlineStr">
        <is>
          <t>Jawa Timur</t>
        </is>
      </c>
      <c r="Q97" t="inlineStr"/>
    </row>
    <row r="98">
      <c r="A98" t="inlineStr">
        <is>
          <t>SEMBILAN BERSAUDARA</t>
        </is>
      </c>
      <c r="B98" t="inlineStr">
        <is>
          <t>Kab. Kutai Timur</t>
        </is>
      </c>
      <c r="C98" t="inlineStr">
        <is>
          <t>081347648668</t>
        </is>
      </c>
      <c r="D98" t="inlineStr">
        <is>
          <t>sembilanbersaudaracv7@gmail.com</t>
        </is>
      </c>
      <c r="E98" t="inlineStr">
        <is>
          <t>https://lpjk.pu.go.id/search-badan-usaha-detail/SCtTbmorSkllaWFERldxODd5cVlLUT09</t>
        </is>
      </c>
      <c r="F98" t="n">
        <v>5</v>
      </c>
      <c r="G98" t="inlineStr">
        <is>
          <t>BG001, BG006, BG009, BS001, BS004</t>
        </is>
      </c>
      <c r="H98" t="inlineStr">
        <is>
          <t>9 Mei 2016</t>
        </is>
      </c>
      <c r="I98" s="2" t="n">
        <v>46331</v>
      </c>
      <c r="J98" t="inlineStr">
        <is>
          <t>Disetujui</t>
        </is>
      </c>
      <c r="K98" t="n">
        <v>30</v>
      </c>
      <c r="L98" t="inlineStr">
        <is>
          <t>5 November 2026</t>
        </is>
      </c>
      <c r="M98" t="inlineStr">
        <is>
          <t>Konstruksi Bangunan Sipil Jalan, Konstruksi Gedung Hunian, Konstruksi Gedung Lainnya, Konstruksi Gedung Pendidikan, Konstruksi Jaringan Irigasi dan Drainase</t>
        </is>
      </c>
      <c r="N98" t="inlineStr">
        <is>
          <t>K</t>
        </is>
      </c>
      <c r="O98" t="inlineStr">
        <is>
          <t>20231031, 20231103</t>
        </is>
      </c>
      <c r="P98" t="inlineStr">
        <is>
          <t>Kalimantan Timur</t>
        </is>
      </c>
      <c r="Q98" t="inlineStr"/>
    </row>
    <row r="99">
      <c r="A99" t="inlineStr">
        <is>
          <t>SEMERU CUNDRING PERKASA</t>
        </is>
      </c>
      <c r="B99" t="inlineStr">
        <is>
          <t>Kab. Jember</t>
        </is>
      </c>
      <c r="C99" t="inlineStr">
        <is>
          <t>089652258487</t>
        </is>
      </c>
      <c r="D99" t="inlineStr">
        <is>
          <t>cundringperkasa@gmail.com</t>
        </is>
      </c>
      <c r="E99" t="inlineStr">
        <is>
          <t>https://lpjk.pu.go.id/search-badan-usaha-detail/blhiQk5jcUlIem9xRVpBSWVZSURjdz09</t>
        </is>
      </c>
      <c r="F99" t="n">
        <v>1</v>
      </c>
      <c r="G99" t="inlineStr">
        <is>
          <t>BS001</t>
        </is>
      </c>
      <c r="H99" t="inlineStr">
        <is>
          <t>18 April 2023</t>
        </is>
      </c>
      <c r="I99" s="2" t="n">
        <v>46331</v>
      </c>
      <c r="J99" t="inlineStr">
        <is>
          <t>Disetujui</t>
        </is>
      </c>
      <c r="K99" t="n">
        <v>30</v>
      </c>
      <c r="L99" t="inlineStr">
        <is>
          <t>5 November 2026</t>
        </is>
      </c>
      <c r="M99" t="inlineStr">
        <is>
          <t>Konstruksi Bangunan Sipil Jalan</t>
        </is>
      </c>
      <c r="N99" t="inlineStr">
        <is>
          <t>K</t>
        </is>
      </c>
      <c r="O99" t="inlineStr">
        <is>
          <t>20231106</t>
        </is>
      </c>
      <c r="P99" t="inlineStr">
        <is>
          <t>Jawa Timur</t>
        </is>
      </c>
      <c r="Q99" t="inlineStr"/>
    </row>
    <row r="100">
      <c r="A100" t="inlineStr">
        <is>
          <t>SHANA TOVAH</t>
        </is>
      </c>
      <c r="B100" t="inlineStr">
        <is>
          <t>Kab. Kaimana</t>
        </is>
      </c>
      <c r="C100" t="inlineStr">
        <is>
          <t>081330484830</t>
        </is>
      </c>
      <c r="D100" t="inlineStr">
        <is>
          <t>shanatovah81@gmail.com</t>
        </is>
      </c>
      <c r="E100" t="inlineStr">
        <is>
          <t>https://lpjk.pu.go.id/search-badan-usaha-detail/QlhmK05mNWc0d1ovNEMxY0dWK3JvQT09</t>
        </is>
      </c>
      <c r="F100" t="n">
        <v>1</v>
      </c>
      <c r="G100" t="inlineStr">
        <is>
          <t>BG009</t>
        </is>
      </c>
      <c r="H100" t="inlineStr">
        <is>
          <t>24 Januari 2014</t>
        </is>
      </c>
      <c r="I100" s="2" t="n">
        <v>46331</v>
      </c>
      <c r="J100" t="inlineStr">
        <is>
          <t>Disetujui</t>
        </is>
      </c>
      <c r="K100" t="n">
        <v>30</v>
      </c>
      <c r="L100" t="inlineStr">
        <is>
          <t>5 November 2026</t>
        </is>
      </c>
      <c r="M100" t="inlineStr">
        <is>
          <t>Konstruksi Gedung Lainnya</t>
        </is>
      </c>
      <c r="N100" t="inlineStr">
        <is>
          <t>K</t>
        </is>
      </c>
      <c r="O100" t="inlineStr">
        <is>
          <t>20231106</t>
        </is>
      </c>
      <c r="P100" t="inlineStr">
        <is>
          <t>Papua Barat</t>
        </is>
      </c>
      <c r="Q100" t="inlineStr"/>
    </row>
    <row r="101">
      <c r="A101" t="inlineStr">
        <is>
          <t>SINAR MULYA</t>
        </is>
      </c>
      <c r="B101" t="inlineStr">
        <is>
          <t>Kota Surabaya</t>
        </is>
      </c>
      <c r="C101" t="inlineStr">
        <is>
          <t>08123122781</t>
        </is>
      </c>
      <c r="D101" t="inlineStr">
        <is>
          <t>rustiyonost@yahoo.com</t>
        </is>
      </c>
      <c r="E101" t="inlineStr">
        <is>
          <t>https://lpjk.pu.go.id/search-badan-usaha-detail/TmtzYnJYQ241UHJMQ3MwREpnL1VtZz09</t>
        </is>
      </c>
      <c r="F101" t="n">
        <v>1</v>
      </c>
      <c r="G101" t="inlineStr">
        <is>
          <t>BS004</t>
        </is>
      </c>
      <c r="H101" t="inlineStr">
        <is>
          <t>7 Juli 1993</t>
        </is>
      </c>
      <c r="I101" s="2" t="n">
        <v>46331</v>
      </c>
      <c r="J101" t="inlineStr">
        <is>
          <t>Disetujui</t>
        </is>
      </c>
      <c r="K101" t="n">
        <v>30</v>
      </c>
      <c r="L101" t="inlineStr">
        <is>
          <t>5 November 2026</t>
        </is>
      </c>
      <c r="M101" t="inlineStr">
        <is>
          <t>Konstruksi Jaringan Irigasi dan Drainase</t>
        </is>
      </c>
      <c r="N101" t="inlineStr">
        <is>
          <t>K</t>
        </is>
      </c>
      <c r="O101" t="inlineStr">
        <is>
          <t>20231026</t>
        </is>
      </c>
      <c r="P101" t="inlineStr">
        <is>
          <t>Jawa Timur</t>
        </is>
      </c>
      <c r="Q101" t="inlineStr"/>
    </row>
    <row r="102">
      <c r="A102" t="inlineStr">
        <is>
          <t>SOLUSI BHAKTI MANDIRI</t>
        </is>
      </c>
      <c r="B102" t="inlineStr">
        <is>
          <t>Kab. Pacitan</t>
        </is>
      </c>
      <c r="C102" t="inlineStr">
        <is>
          <t>081333444556</t>
        </is>
      </c>
      <c r="D102" t="inlineStr">
        <is>
          <t>solusibhaktimandiricv@gmail.com</t>
        </is>
      </c>
      <c r="E102" t="inlineStr">
        <is>
          <t>https://lpjk.pu.go.id/search-badan-usaha-detail/RGxDRTg1bVVHWmlpUmJkeC8vNVRjUT09</t>
        </is>
      </c>
      <c r="F102" t="n">
        <v>4</v>
      </c>
      <c r="G102" t="inlineStr">
        <is>
          <t>BS001, BS004</t>
        </is>
      </c>
      <c r="H102" t="inlineStr">
        <is>
          <t>7 September 2023</t>
        </is>
      </c>
      <c r="I102" s="2" t="n">
        <v>46331</v>
      </c>
      <c r="J102" t="inlineStr">
        <is>
          <t>Disetujui</t>
        </is>
      </c>
      <c r="K102" t="n">
        <v>30</v>
      </c>
      <c r="L102" t="inlineStr">
        <is>
          <t>5 November 2026</t>
        </is>
      </c>
      <c r="M102" t="inlineStr">
        <is>
          <t>Konstruksi Bangunan Sipil Jalan, Konstruksi Jaringan Irigasi dan Drainase</t>
        </is>
      </c>
      <c r="N102" t="inlineStr">
        <is>
          <t>K</t>
        </is>
      </c>
      <c r="O102" t="inlineStr">
        <is>
          <t>20231019, 20231101</t>
        </is>
      </c>
      <c r="P102" t="inlineStr">
        <is>
          <t>Jawa Timur</t>
        </is>
      </c>
      <c r="Q102" t="inlineStr"/>
    </row>
    <row r="103">
      <c r="A103" t="inlineStr">
        <is>
          <t>SRIWIJAYA MAKMUR</t>
        </is>
      </c>
      <c r="B103" t="inlineStr">
        <is>
          <t>Kab. Banyuwangi</t>
        </is>
      </c>
      <c r="C103" t="inlineStr">
        <is>
          <t>08525816570</t>
        </is>
      </c>
      <c r="D103" t="inlineStr">
        <is>
          <t>cvsriwijayamakmur1@gmail.com</t>
        </is>
      </c>
      <c r="E103" t="inlineStr">
        <is>
          <t>https://lpjk.pu.go.id/search-badan-usaha-detail/WS9PeXFLQkFOaEdWMlMxMkxEYkUvZz09</t>
        </is>
      </c>
      <c r="F103" t="n">
        <v>4</v>
      </c>
      <c r="G103" t="inlineStr">
        <is>
          <t>BG005, BG006, BG009, BS004</t>
        </is>
      </c>
      <c r="H103" t="inlineStr">
        <is>
          <t>28 Oktober 2010</t>
        </is>
      </c>
      <c r="I103" s="2" t="n">
        <v>46331</v>
      </c>
      <c r="J103" t="inlineStr">
        <is>
          <t>Disetujui</t>
        </is>
      </c>
      <c r="K103" t="n">
        <v>30</v>
      </c>
      <c r="L103" t="inlineStr">
        <is>
          <t>5 November 2026</t>
        </is>
      </c>
      <c r="M103" t="inlineStr">
        <is>
          <t>Konstruksi Gedung Kesehatan, Konstruksi Gedung Lainnya, Konstruksi Gedung Pendidikan, Konstruksi Jaringan Irigasi dan Drainase</t>
        </is>
      </c>
      <c r="N103" t="inlineStr">
        <is>
          <t>K</t>
        </is>
      </c>
      <c r="O103" t="inlineStr">
        <is>
          <t>20231027</t>
        </is>
      </c>
      <c r="P103" t="inlineStr">
        <is>
          <t>Jawa Timur</t>
        </is>
      </c>
      <c r="Q103" t="inlineStr"/>
    </row>
    <row r="104">
      <c r="A104" t="inlineStr">
        <is>
          <t>SUMBER DAYA TEKSINDO</t>
        </is>
      </c>
      <c r="B104" t="inlineStr">
        <is>
          <t>Kota Bandar Lampung</t>
        </is>
      </c>
      <c r="C104" t="inlineStr">
        <is>
          <t>08127972760</t>
        </is>
      </c>
      <c r="D104" t="inlineStr">
        <is>
          <t>sumberdayateknik7@gmail.com</t>
        </is>
      </c>
      <c r="E104" t="inlineStr">
        <is>
          <t>https://lpjk.pu.go.id/search-badan-usaha-detail/VHhHa3grbWV3aXAxVEJHbk5zYkxLUT09</t>
        </is>
      </c>
      <c r="F104" t="n">
        <v>1</v>
      </c>
      <c r="G104" t="inlineStr">
        <is>
          <t>RK001</t>
        </is>
      </c>
      <c r="H104" t="inlineStr">
        <is>
          <t>12 September 1994</t>
        </is>
      </c>
      <c r="I104" s="2" t="n">
        <v>46331</v>
      </c>
      <c r="J104" t="inlineStr">
        <is>
          <t>Disetujui</t>
        </is>
      </c>
      <c r="K104" t="n">
        <v>30</v>
      </c>
      <c r="L104" t="inlineStr">
        <is>
          <t>5 November 2026</t>
        </is>
      </c>
      <c r="M104" t="inlineStr">
        <is>
          <t>Jasa Rekayasa Konstruksi Bangunan Gedung Hunian dan Non Hunian</t>
        </is>
      </c>
      <c r="N104" t="inlineStr">
        <is>
          <t>K</t>
        </is>
      </c>
      <c r="O104" t="inlineStr">
        <is>
          <t>20231020</t>
        </is>
      </c>
      <c r="P104" t="inlineStr">
        <is>
          <t>Lampung</t>
        </is>
      </c>
      <c r="Q104" t="inlineStr"/>
    </row>
    <row r="105">
      <c r="A105" t="inlineStr">
        <is>
          <t>SUMBER MULYO</t>
        </is>
      </c>
      <c r="B105" t="inlineStr">
        <is>
          <t>Kab. Grobogan</t>
        </is>
      </c>
      <c r="C105" t="inlineStr">
        <is>
          <t>085959476567</t>
        </is>
      </c>
      <c r="D105" t="inlineStr">
        <is>
          <t>cvsumbermulyom@gmail.com</t>
        </is>
      </c>
      <c r="E105" t="inlineStr">
        <is>
          <t>https://lpjk.pu.go.id/search-badan-usaha-detail/bGlpUjlEdFRnYkVpOEJSaWxMV2taUT09</t>
        </is>
      </c>
      <c r="F105" t="n">
        <v>2</v>
      </c>
      <c r="G105" t="inlineStr">
        <is>
          <t>BS001, BS004</t>
        </is>
      </c>
      <c r="H105" t="inlineStr">
        <is>
          <t>7 Maret 2001</t>
        </is>
      </c>
      <c r="I105" s="2" t="n">
        <v>46331</v>
      </c>
      <c r="J105" t="inlineStr">
        <is>
          <t>Disetujui</t>
        </is>
      </c>
      <c r="K105" t="n">
        <v>30</v>
      </c>
      <c r="L105" t="inlineStr">
        <is>
          <t>5 November 2026</t>
        </is>
      </c>
      <c r="M105" t="inlineStr">
        <is>
          <t>Konstruksi Bangunan Sipil Jalan, Konstruksi Jaringan Irigasi dan Drainase</t>
        </is>
      </c>
      <c r="N105" t="inlineStr">
        <is>
          <t>K</t>
        </is>
      </c>
      <c r="O105" t="inlineStr">
        <is>
          <t>20231027</t>
        </is>
      </c>
      <c r="P105" t="inlineStr">
        <is>
          <t>Jawa Tengah</t>
        </is>
      </c>
      <c r="Q105" t="inlineStr"/>
    </row>
    <row r="106">
      <c r="A106" t="inlineStr">
        <is>
          <t>SURYA BALI</t>
        </is>
      </c>
      <c r="B106" t="inlineStr">
        <is>
          <t>Kota Denpasar</t>
        </is>
      </c>
      <c r="C106" t="inlineStr">
        <is>
          <t>0361420668</t>
        </is>
      </c>
      <c r="D106" t="inlineStr">
        <is>
          <t>suryabali_denpasar@yahoo.co.id</t>
        </is>
      </c>
      <c r="E106" t="inlineStr">
        <is>
          <t>https://lpjk.pu.go.id/search-badan-usaha-detail/UEVSdFgvUkI5aStVUzlRZzYxcEtBQT09</t>
        </is>
      </c>
      <c r="F106" t="n">
        <v>3</v>
      </c>
      <c r="G106" t="inlineStr">
        <is>
          <t>BG006, BS001, BS002</t>
        </is>
      </c>
      <c r="H106" t="inlineStr">
        <is>
          <t>27 Maret 1975</t>
        </is>
      </c>
      <c r="I106" s="2" t="n">
        <v>46331</v>
      </c>
      <c r="J106" t="inlineStr">
        <is>
          <t>Disetujui</t>
        </is>
      </c>
      <c r="K106" t="n">
        <v>30</v>
      </c>
      <c r="L106" t="inlineStr">
        <is>
          <t>5 November 2026</t>
        </is>
      </c>
      <c r="M106" t="inlineStr">
        <is>
          <t>Bangunan Sipil Jembatan, Jalan Layang, Fly Over, dan Underpass, Konstruksi Bangunan Sipil Jalan, Konstruksi Gedung Pendidikan</t>
        </is>
      </c>
      <c r="N106" t="inlineStr">
        <is>
          <t>K</t>
        </is>
      </c>
      <c r="O106" t="inlineStr">
        <is>
          <t>20231103, 20231107</t>
        </is>
      </c>
      <c r="P106" t="inlineStr">
        <is>
          <t>Bali</t>
        </is>
      </c>
      <c r="Q106" t="inlineStr"/>
    </row>
    <row r="107">
      <c r="A107" t="inlineStr">
        <is>
          <t>SYAFIRA ANUGRAH</t>
        </is>
      </c>
      <c r="B107" t="inlineStr">
        <is>
          <t>Kab. Sambas</t>
        </is>
      </c>
      <c r="C107" t="inlineStr">
        <is>
          <t>081350054427</t>
        </is>
      </c>
      <c r="D107" t="inlineStr">
        <is>
          <t>syafiraanugrahsbs@gmail.com</t>
        </is>
      </c>
      <c r="E107" t="inlineStr">
        <is>
          <t>https://lpjk.pu.go.id/search-badan-usaha-detail/M2xhbDhiTEg4bHBUcTV6bVRSN0xnQT09</t>
        </is>
      </c>
      <c r="F107" t="n">
        <v>1</v>
      </c>
      <c r="G107" t="inlineStr">
        <is>
          <t>BS004</t>
        </is>
      </c>
      <c r="H107" t="inlineStr">
        <is>
          <t>2 Desember 2006</t>
        </is>
      </c>
      <c r="I107" s="2" t="n">
        <v>46331</v>
      </c>
      <c r="J107" t="inlineStr">
        <is>
          <t>Disetujui</t>
        </is>
      </c>
      <c r="K107" t="n">
        <v>30</v>
      </c>
      <c r="L107" t="inlineStr">
        <is>
          <t>5 November 2026</t>
        </is>
      </c>
      <c r="M107" t="inlineStr">
        <is>
          <t>Konstruksi Jaringan Irigasi dan Drainase</t>
        </is>
      </c>
      <c r="N107" t="inlineStr">
        <is>
          <t>K</t>
        </is>
      </c>
      <c r="O107" t="inlineStr">
        <is>
          <t>20231102</t>
        </is>
      </c>
      <c r="P107" t="inlineStr">
        <is>
          <t>Kalimantan Barat</t>
        </is>
      </c>
      <c r="Q107" t="inlineStr"/>
    </row>
    <row r="108">
      <c r="A108" t="inlineStr">
        <is>
          <t>SYAMIR JAYA ABADI</t>
        </is>
      </c>
      <c r="B108" t="inlineStr">
        <is>
          <t>Kab. Lahat</t>
        </is>
      </c>
      <c r="C108" t="inlineStr">
        <is>
          <t>0</t>
        </is>
      </c>
      <c r="D108" t="inlineStr">
        <is>
          <t>cv.syamsirjayaabadi@gmail.com</t>
        </is>
      </c>
      <c r="E108" t="inlineStr">
        <is>
          <t>https://lpjk.pu.go.id/search-badan-usaha-detail/VXJDbDBKU3AySy9zckQ3cGdhWElTZz09</t>
        </is>
      </c>
      <c r="F108" t="n">
        <v>1</v>
      </c>
      <c r="G108" t="inlineStr">
        <is>
          <t>BS004</t>
        </is>
      </c>
      <c r="H108" t="inlineStr">
        <is>
          <t>20 April 2022</t>
        </is>
      </c>
      <c r="I108" s="2" t="n">
        <v>46331</v>
      </c>
      <c r="J108" t="inlineStr">
        <is>
          <t>Disetujui</t>
        </is>
      </c>
      <c r="K108" t="n">
        <v>30</v>
      </c>
      <c r="L108" t="inlineStr">
        <is>
          <t>5 November 2026</t>
        </is>
      </c>
      <c r="M108" t="inlineStr">
        <is>
          <t>Konstruksi Jaringan Irigasi dan Drainase</t>
        </is>
      </c>
      <c r="N108" t="inlineStr">
        <is>
          <t>K</t>
        </is>
      </c>
      <c r="O108" t="inlineStr">
        <is>
          <t>20230803</t>
        </is>
      </c>
      <c r="P108" t="inlineStr">
        <is>
          <t>Sumatera Selatan</t>
        </is>
      </c>
      <c r="Q108" t="inlineStr"/>
    </row>
    <row r="109">
      <c r="A109" t="inlineStr">
        <is>
          <t>TERAS TEKNIK PERDANA</t>
        </is>
      </c>
      <c r="B109" t="inlineStr">
        <is>
          <t>Kota Adm. Jakarta Selatan</t>
        </is>
      </c>
      <c r="C109" t="inlineStr">
        <is>
          <t>0217227729</t>
        </is>
      </c>
      <c r="D109" t="inlineStr">
        <is>
          <t>info@ttp.co.id</t>
        </is>
      </c>
      <c r="E109" t="inlineStr">
        <is>
          <t>https://lpjk.pu.go.id/search-badan-usaha-detail/VUhVTEJ2anBCZFBGelpYNzgxbnY0Zz09</t>
        </is>
      </c>
      <c r="F109" t="n">
        <v>2</v>
      </c>
      <c r="G109" t="inlineStr">
        <is>
          <t>IN004</t>
        </is>
      </c>
      <c r="H109" t="inlineStr">
        <is>
          <t>5 Agustus 1977</t>
        </is>
      </c>
      <c r="I109" s="2" t="n">
        <v>46331</v>
      </c>
      <c r="J109" t="inlineStr">
        <is>
          <t>Disetujui</t>
        </is>
      </c>
      <c r="K109" t="n">
        <v>30</v>
      </c>
      <c r="L109" t="inlineStr">
        <is>
          <t>5 November 2026</t>
        </is>
      </c>
      <c r="M109" t="inlineStr">
        <is>
          <t>Instalasi Minyak dan Gas</t>
        </is>
      </c>
      <c r="N109" t="inlineStr">
        <is>
          <t>Spesialis</t>
        </is>
      </c>
      <c r="O109" t="inlineStr">
        <is>
          <t>20231101</t>
        </is>
      </c>
      <c r="P109" t="inlineStr">
        <is>
          <t>DKI Jakarta</t>
        </is>
      </c>
      <c r="Q109" t="inlineStr"/>
    </row>
    <row r="110">
      <c r="A110" t="inlineStr">
        <is>
          <t>TRI PUTRA</t>
        </is>
      </c>
      <c r="B110" t="inlineStr">
        <is>
          <t>Kab. Sijunjung</t>
        </is>
      </c>
      <c r="C110" t="inlineStr">
        <is>
          <t>085263430079</t>
        </is>
      </c>
      <c r="D110" t="inlineStr">
        <is>
          <t>triekaputrasjj19@gmail.com</t>
        </is>
      </c>
      <c r="E110" t="inlineStr">
        <is>
          <t>https://lpjk.pu.go.id/search-badan-usaha-detail/elpIV1VIc2Z2N0p2a3pKOHZScUU4Zz09</t>
        </is>
      </c>
      <c r="F110" t="n">
        <v>1</v>
      </c>
      <c r="G110" t="inlineStr">
        <is>
          <t>BS005</t>
        </is>
      </c>
      <c r="H110" t="inlineStr">
        <is>
          <t>12 Juni 2001</t>
        </is>
      </c>
      <c r="I110" s="2" t="n">
        <v>46331</v>
      </c>
      <c r="J110" t="inlineStr">
        <is>
          <t>Disetujui</t>
        </is>
      </c>
      <c r="K110" t="n">
        <v>30</v>
      </c>
      <c r="L110" t="inlineStr">
        <is>
          <t>5 November 2026</t>
        </is>
      </c>
      <c r="M110" t="inlineStr">
        <is>
          <t>Konstruksi Bangunan Sipil Pengolahan Air Bersih</t>
        </is>
      </c>
      <c r="N110" t="inlineStr">
        <is>
          <t>K</t>
        </is>
      </c>
      <c r="O110" t="inlineStr">
        <is>
          <t>20230806</t>
        </is>
      </c>
      <c r="P110" t="inlineStr">
        <is>
          <t>Sumatera Barat</t>
        </is>
      </c>
      <c r="Q110" t="inlineStr"/>
    </row>
    <row r="111">
      <c r="A111" t="inlineStr">
        <is>
          <t>TRIAZ ABIWADA</t>
        </is>
      </c>
      <c r="B111" t="inlineStr">
        <is>
          <t>Kota Surabaya</t>
        </is>
      </c>
      <c r="C111" t="inlineStr">
        <is>
          <t>081295093960</t>
        </is>
      </c>
      <c r="D111" t="inlineStr">
        <is>
          <t>pttriazabiwada22@gmail.com</t>
        </is>
      </c>
      <c r="E111" t="inlineStr">
        <is>
          <t>https://lpjk.pu.go.id/search-badan-usaha-detail/MUVyMWhLU3lqRnJWdCtocWVuYU8rUT09</t>
        </is>
      </c>
      <c r="F111" t="n">
        <v>2</v>
      </c>
      <c r="G111" t="inlineStr">
        <is>
          <t>BS001</t>
        </is>
      </c>
      <c r="H111" t="inlineStr">
        <is>
          <t>23 Maret 1991</t>
        </is>
      </c>
      <c r="I111" s="2" t="n">
        <v>46331</v>
      </c>
      <c r="J111" t="inlineStr">
        <is>
          <t>Disetujui</t>
        </is>
      </c>
      <c r="K111" t="n">
        <v>30</v>
      </c>
      <c r="L111" t="inlineStr">
        <is>
          <t>5 November 2026</t>
        </is>
      </c>
      <c r="M111" t="inlineStr">
        <is>
          <t>Konstruksi Bangunan Sipil Jalan</t>
        </is>
      </c>
      <c r="N111" t="inlineStr">
        <is>
          <t>K</t>
        </is>
      </c>
      <c r="O111" t="inlineStr">
        <is>
          <t>20231103</t>
        </is>
      </c>
      <c r="P111" t="inlineStr">
        <is>
          <t>Jawa Timur</t>
        </is>
      </c>
      <c r="Q111" t="inlineStr"/>
    </row>
    <row r="112">
      <c r="A112" t="inlineStr">
        <is>
          <t>TRIKARYA NUSA KONSTRUKSI</t>
        </is>
      </c>
      <c r="B112" t="inlineStr">
        <is>
          <t>Kota Palembang</t>
        </is>
      </c>
      <c r="C112" t="inlineStr">
        <is>
          <t>081927684332</t>
        </is>
      </c>
      <c r="D112" t="inlineStr">
        <is>
          <t>triikaryanusakonstruksi@gmail.com</t>
        </is>
      </c>
      <c r="E112" t="inlineStr">
        <is>
          <t>https://lpjk.pu.go.id/search-badan-usaha-detail/elMrZEZVNGgyczl2OVJKanBKNzdOUT09</t>
        </is>
      </c>
      <c r="F112" t="n">
        <v>1</v>
      </c>
      <c r="G112" t="inlineStr">
        <is>
          <t>BS002</t>
        </is>
      </c>
      <c r="H112" t="inlineStr">
        <is>
          <t>12 Maret 2020</t>
        </is>
      </c>
      <c r="I112" s="2" t="n">
        <v>46331</v>
      </c>
      <c r="J112" t="inlineStr">
        <is>
          <t>Disetujui</t>
        </is>
      </c>
      <c r="K112" t="n">
        <v>30</v>
      </c>
      <c r="L112" t="inlineStr">
        <is>
          <t>5 November 2026</t>
        </is>
      </c>
      <c r="M112" t="inlineStr">
        <is>
          <t>Bangunan Sipil Jembatan, Jalan Layang, Fly Over, dan Underpass</t>
        </is>
      </c>
      <c r="N112" t="inlineStr">
        <is>
          <t>K</t>
        </is>
      </c>
      <c r="O112" t="inlineStr">
        <is>
          <t>20231102</t>
        </is>
      </c>
      <c r="P112" t="inlineStr">
        <is>
          <t>Sumatera Selatan</t>
        </is>
      </c>
      <c r="Q112" t="inlineStr"/>
    </row>
    <row r="113">
      <c r="A113" t="inlineStr">
        <is>
          <t>TRIMITRA SENTOSA</t>
        </is>
      </c>
      <c r="B113" t="inlineStr">
        <is>
          <t>Kab. Tulungagung</t>
        </is>
      </c>
      <c r="C113" t="inlineStr">
        <is>
          <t>081359056816</t>
        </is>
      </c>
      <c r="D113" t="inlineStr">
        <is>
          <t>trimitrasentosa25@gmail.com</t>
        </is>
      </c>
      <c r="E113" t="inlineStr">
        <is>
          <t>https://lpjk.pu.go.id/search-badan-usaha-detail/MndJVG9aSDlnbnBQRk40eWVLVUhkZz09</t>
        </is>
      </c>
      <c r="F113" t="n">
        <v>4</v>
      </c>
      <c r="G113" t="inlineStr">
        <is>
          <t>BG006, BG009</t>
        </is>
      </c>
      <c r="H113" t="inlineStr">
        <is>
          <t>6 Oktober 2001</t>
        </is>
      </c>
      <c r="I113" s="2" t="n">
        <v>46331</v>
      </c>
      <c r="J113" t="inlineStr">
        <is>
          <t>Disetujui</t>
        </is>
      </c>
      <c r="K113" t="n">
        <v>30</v>
      </c>
      <c r="L113" t="inlineStr">
        <is>
          <t>5 November 2026</t>
        </is>
      </c>
      <c r="M113" t="inlineStr">
        <is>
          <t>Konstruksi Gedung Lainnya, Konstruksi Gedung Pendidikan</t>
        </is>
      </c>
      <c r="N113" t="inlineStr">
        <is>
          <t>K</t>
        </is>
      </c>
      <c r="O113" t="inlineStr">
        <is>
          <t>20231030, 20231031</t>
        </is>
      </c>
      <c r="P113" t="inlineStr">
        <is>
          <t>Jawa Timur</t>
        </is>
      </c>
      <c r="Q113" t="inlineStr"/>
    </row>
    <row r="114">
      <c r="A114" t="inlineStr">
        <is>
          <t>VISI GLOBAL TEKNOLOGI</t>
        </is>
      </c>
      <c r="B114" t="inlineStr">
        <is>
          <t>Kota Adm. Jakarta Selatan</t>
        </is>
      </c>
      <c r="C114" t="inlineStr">
        <is>
          <t>085155034588</t>
        </is>
      </c>
      <c r="D114" t="inlineStr">
        <is>
          <t>pt.visiglobalteknologi@gmail.com</t>
        </is>
      </c>
      <c r="E114" t="inlineStr">
        <is>
          <t>https://lpjk.pu.go.id/search-badan-usaha-detail/MFRuaEVmOUhCanFoK1k3RndHcHhhZz09</t>
        </is>
      </c>
      <c r="F114" t="n">
        <v>3</v>
      </c>
      <c r="G114" t="inlineStr">
        <is>
          <t>BS001, BS007, BS009</t>
        </is>
      </c>
      <c r="H114" t="inlineStr">
        <is>
          <t>11 Oktober 2023</t>
        </is>
      </c>
      <c r="I114" s="2" t="n">
        <v>46331</v>
      </c>
      <c r="J114" t="inlineStr">
        <is>
          <t>Pencabutan</t>
        </is>
      </c>
      <c r="K114" t="n">
        <v>30</v>
      </c>
      <c r="L114" t="inlineStr">
        <is>
          <t>5 November 2026</t>
        </is>
      </c>
      <c r="M114" t="inlineStr">
        <is>
          <t>Konstruksi Bangunan Sipil Elektrikal, Konstruksi Bangunan Sipil Jalan, Konstruksi Sentral Telekomunikasi</t>
        </is>
      </c>
      <c r="N114" t="inlineStr">
        <is>
          <t>K</t>
        </is>
      </c>
      <c r="O114" t="inlineStr">
        <is>
          <t>20231030, 20231101, 20231102</t>
        </is>
      </c>
      <c r="P114" t="inlineStr">
        <is>
          <t>DKI Jakarta</t>
        </is>
      </c>
      <c r="Q114" t="inlineStr"/>
    </row>
    <row r="115">
      <c r="A115" t="inlineStr">
        <is>
          <t>WAHYU SEJATI</t>
        </is>
      </c>
      <c r="B115" t="inlineStr">
        <is>
          <t>Kab. Ngawi</t>
        </is>
      </c>
      <c r="C115" t="inlineStr">
        <is>
          <t>082133111934</t>
        </is>
      </c>
      <c r="D115" t="inlineStr">
        <is>
          <t>cv.wahyu.sejati86@gmail.com</t>
        </is>
      </c>
      <c r="E115" t="inlineStr">
        <is>
          <t>https://lpjk.pu.go.id/search-badan-usaha-detail/Z0xQYm81VDYvV000R2wraWFWZWlTUT09</t>
        </is>
      </c>
      <c r="F115" t="n">
        <v>1</v>
      </c>
      <c r="G115" t="inlineStr">
        <is>
          <t>BG005</t>
        </is>
      </c>
      <c r="H115" t="inlineStr">
        <is>
          <t>17 Januari 1997</t>
        </is>
      </c>
      <c r="I115" s="2" t="n">
        <v>46331</v>
      </c>
      <c r="J115" t="inlineStr">
        <is>
          <t>Disetujui</t>
        </is>
      </c>
      <c r="K115" t="n">
        <v>30</v>
      </c>
      <c r="L115" t="inlineStr">
        <is>
          <t>5 November 2026</t>
        </is>
      </c>
      <c r="M115" t="inlineStr">
        <is>
          <t>Konstruksi Gedung Kesehatan</t>
        </is>
      </c>
      <c r="N115" t="inlineStr">
        <is>
          <t>K</t>
        </is>
      </c>
      <c r="O115" t="inlineStr">
        <is>
          <t>20231102</t>
        </is>
      </c>
      <c r="P115" t="inlineStr">
        <is>
          <t>Jawa Timur</t>
        </is>
      </c>
      <c r="Q115" t="inlineStr"/>
    </row>
    <row r="116">
      <c r="A116" t="inlineStr">
        <is>
          <t>WIDYA TECHNO ABADI</t>
        </is>
      </c>
      <c r="B116" t="inlineStr">
        <is>
          <t>Kota Medan</t>
        </is>
      </c>
      <c r="C116" t="inlineStr">
        <is>
          <t>082165351188</t>
        </is>
      </c>
      <c r="D116" t="inlineStr">
        <is>
          <t>pt.widyatechno_abadi@yahoo.com</t>
        </is>
      </c>
      <c r="E116" t="inlineStr">
        <is>
          <t>https://lpjk.pu.go.id/search-badan-usaha-detail/WWkwcFZTYkFLU1hFdHJsc2FCc1lpUT09</t>
        </is>
      </c>
      <c r="F116" t="n">
        <v>1</v>
      </c>
      <c r="G116" t="inlineStr">
        <is>
          <t>IN004</t>
        </is>
      </c>
      <c r="H116" t="inlineStr">
        <is>
          <t>4 April 2018</t>
        </is>
      </c>
      <c r="I116" s="2" t="n">
        <v>46331</v>
      </c>
      <c r="J116" t="inlineStr">
        <is>
          <t>Pembekuan</t>
        </is>
      </c>
      <c r="K116" t="n">
        <v>30</v>
      </c>
      <c r="L116" t="inlineStr">
        <is>
          <t>5 November 2026</t>
        </is>
      </c>
      <c r="M116" t="inlineStr">
        <is>
          <t>Instalasi Minyak dan Gas</t>
        </is>
      </c>
      <c r="N116" t="inlineStr">
        <is>
          <t>Spesialis</t>
        </is>
      </c>
      <c r="O116" t="inlineStr">
        <is>
          <t>20231020</t>
        </is>
      </c>
      <c r="P116" t="inlineStr">
        <is>
          <t>Sumatera Utara</t>
        </is>
      </c>
      <c r="Q116" t="inlineStr"/>
    </row>
    <row r="117">
      <c r="A117" t="inlineStr">
        <is>
          <t>WIJAYA TEKNIK PERKASA</t>
        </is>
      </c>
      <c r="B117" t="inlineStr">
        <is>
          <t>Kota Adm. Jakarta Barat</t>
        </is>
      </c>
      <c r="C117" t="inlineStr">
        <is>
          <t>02154378011</t>
        </is>
      </c>
      <c r="D117" t="inlineStr">
        <is>
          <t>wijaya_teknik_perkasa2019@yahoo.com</t>
        </is>
      </c>
      <c r="E117" t="inlineStr">
        <is>
          <t>https://lpjk.pu.go.id/search-badan-usaha-detail/RTZKbUwxRzRnSXU1cTNCNE1KaFExZz09</t>
        </is>
      </c>
      <c r="F117" t="n">
        <v>2</v>
      </c>
      <c r="G117" t="inlineStr">
        <is>
          <t>BG003</t>
        </is>
      </c>
      <c r="H117" t="inlineStr">
        <is>
          <t>21 April 2008</t>
        </is>
      </c>
      <c r="I117" s="2" t="n">
        <v>46331</v>
      </c>
      <c r="J117" t="inlineStr">
        <is>
          <t>Disetujui</t>
        </is>
      </c>
      <c r="K117" t="n">
        <v>30</v>
      </c>
      <c r="L117" t="inlineStr">
        <is>
          <t>5 November 2026</t>
        </is>
      </c>
      <c r="M117" t="inlineStr">
        <is>
          <t>Konstruksi Gedung Industri</t>
        </is>
      </c>
      <c r="N117" t="inlineStr">
        <is>
          <t>K</t>
        </is>
      </c>
      <c r="O117" t="inlineStr">
        <is>
          <t>20231031</t>
        </is>
      </c>
      <c r="P117" t="inlineStr">
        <is>
          <t>DKI Jakarta</t>
        </is>
      </c>
      <c r="Q117" t="inlineStr"/>
    </row>
    <row r="118">
      <c r="A118" t="inlineStr">
        <is>
          <t>WIRAHADI DJAYA</t>
        </is>
      </c>
      <c r="B118" t="inlineStr">
        <is>
          <t>Kab. Indramayu</t>
        </is>
      </c>
      <c r="C118" t="inlineStr">
        <is>
          <t>0818459271</t>
        </is>
      </c>
      <c r="D118" t="inlineStr">
        <is>
          <t>cvwirahadidjaya@gmail.com</t>
        </is>
      </c>
      <c r="E118" t="inlineStr">
        <is>
          <t>https://lpjk.pu.go.id/search-badan-usaha-detail/YXlGR0RqeVJGMFBOSFF5a29KM0dQQT09</t>
        </is>
      </c>
      <c r="F118" t="n">
        <v>2</v>
      </c>
      <c r="G118" t="inlineStr">
        <is>
          <t>BG009</t>
        </is>
      </c>
      <c r="H118" t="inlineStr">
        <is>
          <t>3 April 2013</t>
        </is>
      </c>
      <c r="I118" s="2" t="n">
        <v>46331</v>
      </c>
      <c r="J118" t="inlineStr">
        <is>
          <t>Disetujui</t>
        </is>
      </c>
      <c r="K118" t="n">
        <v>30</v>
      </c>
      <c r="L118" t="inlineStr">
        <is>
          <t>5 November 2026</t>
        </is>
      </c>
      <c r="M118" t="inlineStr">
        <is>
          <t>Konstruksi Gedung Lainnya</t>
        </is>
      </c>
      <c r="N118" t="inlineStr">
        <is>
          <t>K</t>
        </is>
      </c>
      <c r="O118" t="inlineStr">
        <is>
          <t>20231102</t>
        </is>
      </c>
      <c r="P118" t="inlineStr">
        <is>
          <t>Jawa Barat</t>
        </is>
      </c>
      <c r="Q118" t="inlineStr"/>
    </row>
    <row r="119">
      <c r="A119" t="inlineStr">
        <is>
          <t>YASUBA DWI PERKASA</t>
        </is>
      </c>
      <c r="B119" t="inlineStr">
        <is>
          <t>Kab. Bandung Barat</t>
        </is>
      </c>
      <c r="C119" t="inlineStr">
        <is>
          <t>081322408207</t>
        </is>
      </c>
      <c r="D119" t="inlineStr">
        <is>
          <t>pt_yasuba@yahoo.com</t>
        </is>
      </c>
      <c r="E119" t="inlineStr">
        <is>
          <t>https://lpjk.pu.go.id/search-badan-usaha-detail/aC9GczhMVXdDTW5BL3pJak1GVlJ0NWVqZnc4OHJVM05HWmtVTVZGNXJnRT0</t>
        </is>
      </c>
      <c r="F119" t="n">
        <v>2</v>
      </c>
      <c r="G119" t="inlineStr">
        <is>
          <t>BG006, BG009</t>
        </is>
      </c>
      <c r="H119" t="inlineStr">
        <is>
          <t>26 Juli 2025</t>
        </is>
      </c>
      <c r="I119" s="2" t="n">
        <v>46331</v>
      </c>
      <c r="J119" t="inlineStr">
        <is>
          <t>Disetujui</t>
        </is>
      </c>
      <c r="K119" t="n">
        <v>30</v>
      </c>
      <c r="L119" t="inlineStr">
        <is>
          <t>5 November 2026</t>
        </is>
      </c>
      <c r="M119" t="inlineStr">
        <is>
          <t>Konstruksi Gedung Lainnya, Konstruksi Gedung Pendidikan</t>
        </is>
      </c>
      <c r="N119" t="inlineStr">
        <is>
          <t>M</t>
        </is>
      </c>
      <c r="O119" t="inlineStr">
        <is>
          <t>20231024</t>
        </is>
      </c>
      <c r="P119" t="inlineStr">
        <is>
          <t>Jawa Barat</t>
        </is>
      </c>
      <c r="Q119" t="inlineStr"/>
    </row>
    <row r="120">
      <c r="A120" t="inlineStr">
        <is>
          <t>ZAKIRA PRATAMA</t>
        </is>
      </c>
      <c r="B120" t="inlineStr">
        <is>
          <t>Kab. Halmahera Timur</t>
        </is>
      </c>
      <c r="C120" t="inlineStr">
        <is>
          <t>082252435906</t>
        </is>
      </c>
      <c r="D120" t="inlineStr">
        <is>
          <t>zakirapratama86@gmail.com</t>
        </is>
      </c>
      <c r="E120" t="inlineStr">
        <is>
          <t>https://lpjk.pu.go.id/search-badan-usaha-detail/dmk1bVRxM1ZOS1gzSWo5MjlkSTdTQT09</t>
        </is>
      </c>
      <c r="F120" t="n">
        <v>1</v>
      </c>
      <c r="G120" t="inlineStr">
        <is>
          <t>BG002</t>
        </is>
      </c>
      <c r="H120" t="inlineStr">
        <is>
          <t>21 Januari 2023</t>
        </is>
      </c>
      <c r="I120" s="2" t="n">
        <v>46331</v>
      </c>
      <c r="J120" t="inlineStr">
        <is>
          <t>Disetujui</t>
        </is>
      </c>
      <c r="K120" t="n">
        <v>30</v>
      </c>
      <c r="L120" t="inlineStr">
        <is>
          <t>5 November 2026</t>
        </is>
      </c>
      <c r="M120" t="inlineStr">
        <is>
          <t>Konstruksi Gedung Perkantoran</t>
        </is>
      </c>
      <c r="N120" t="inlineStr">
        <is>
          <t>K</t>
        </is>
      </c>
      <c r="O120" t="inlineStr">
        <is>
          <t>20231030</t>
        </is>
      </c>
      <c r="P120" t="inlineStr">
        <is>
          <t>Maluku Utara</t>
        </is>
      </c>
      <c r="Q120" t="inlineStr"/>
    </row>
    <row r="121">
      <c r="A121" t="inlineStr">
        <is>
          <t>bangun utama</t>
        </is>
      </c>
      <c r="B121" t="inlineStr">
        <is>
          <t>Kab. Banyumas</t>
        </is>
      </c>
      <c r="C121" t="inlineStr">
        <is>
          <t>0812 2708 421_</t>
        </is>
      </c>
      <c r="D121" t="inlineStr">
        <is>
          <t>cvbangunutama99@yahoo.com</t>
        </is>
      </c>
      <c r="E121" t="inlineStr">
        <is>
          <t>https://lpjk.pu.go.id/search-badan-usaha-detail/QytGdFhUQzJsV1EwNHRxbFFtWC9sZz09</t>
        </is>
      </c>
      <c r="F121" t="n">
        <v>1</v>
      </c>
      <c r="G121" t="inlineStr">
        <is>
          <t>BS001</t>
        </is>
      </c>
      <c r="H121" t="inlineStr">
        <is>
          <t>10 November 1993</t>
        </is>
      </c>
      <c r="I121" s="2" t="n">
        <v>46331</v>
      </c>
      <c r="J121" t="inlineStr">
        <is>
          <t>Disetujui</t>
        </is>
      </c>
      <c r="K121" t="n">
        <v>30</v>
      </c>
      <c r="L121" t="inlineStr">
        <is>
          <t>5 November 2026</t>
        </is>
      </c>
      <c r="M121" t="inlineStr">
        <is>
          <t>Konstruksi Bangunan Sipil Jalan</t>
        </is>
      </c>
      <c r="N121" t="inlineStr">
        <is>
          <t>K</t>
        </is>
      </c>
      <c r="O121" t="inlineStr">
        <is>
          <t>20231031</t>
        </is>
      </c>
      <c r="P121" t="inlineStr">
        <is>
          <t>Jawa Tengah</t>
        </is>
      </c>
      <c r="Q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2026-10-06T00:13:56Z</dcterms:created>
  <dcterms:modified xsi:type="dcterms:W3CDTF">2026-10-06T00:13:56Z</dcterms:modified>
</cp:coreProperties>
</file>