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27" customWidth="1" min="1" max="1"/>
    <col width="22" customWidth="1" min="2" max="2"/>
    <col width="14" customWidth="1" min="3" max="3"/>
    <col width="36"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ARTHANIA SURYA MANDIRI</t>
        </is>
      </c>
      <c r="B2" t="inlineStr">
        <is>
          <t>Kab. Bekasi</t>
        </is>
      </c>
      <c r="C2" t="inlineStr">
        <is>
          <t>082124517881</t>
        </is>
      </c>
      <c r="D2" t="inlineStr">
        <is>
          <t>arthaniasuryamandiri@gmail.com</t>
        </is>
      </c>
      <c r="E2" t="inlineStr">
        <is>
          <t>https://lpjk.pu.go.id/search-badan-usaha-detail/OTFFT0VIc2drV1FvRDVJQ0dIRjZZQT09</t>
        </is>
      </c>
      <c r="F2" t="n">
        <v>4</v>
      </c>
      <c r="G2" t="inlineStr">
        <is>
          <t>BG003, BG009</t>
        </is>
      </c>
      <c r="H2" t="inlineStr">
        <is>
          <t>22 Juli 2022</t>
        </is>
      </c>
      <c r="I2" s="2" t="n">
        <v>46253</v>
      </c>
      <c r="J2" t="inlineStr">
        <is>
          <t>Disetujui</t>
        </is>
      </c>
      <c r="K2" t="n">
        <v>90</v>
      </c>
      <c r="L2" t="inlineStr">
        <is>
          <t>19 Agustus 2026</t>
        </is>
      </c>
      <c r="M2" t="inlineStr">
        <is>
          <t>Konstruksi Gedung Industri, Konstruksi Gedung Lainnya</t>
        </is>
      </c>
      <c r="N2" t="inlineStr">
        <is>
          <t>K</t>
        </is>
      </c>
      <c r="O2" t="inlineStr">
        <is>
          <t>20230815</t>
        </is>
      </c>
      <c r="P2" t="inlineStr">
        <is>
          <t>Jawa Barat</t>
        </is>
      </c>
      <c r="Q2" s="3">
        <f>HYPERLINK("https://wa.me/6282124517881?text=Selamat siang Bapak/Ibu pimpinan ARTHANIA SURYA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
      <c r="A3" t="inlineStr">
        <is>
          <t>DUA PUTRA ABADI</t>
        </is>
      </c>
      <c r="B3" t="inlineStr">
        <is>
          <t>Kota Bekasi</t>
        </is>
      </c>
      <c r="C3" t="inlineStr">
        <is>
          <t>081287980229</t>
        </is>
      </c>
      <c r="D3" t="inlineStr">
        <is>
          <t>duaputraabadi@gmail.com</t>
        </is>
      </c>
      <c r="E3" t="inlineStr">
        <is>
          <t>https://lpjk.pu.go.id/search-badan-usaha-detail/U2NwUndheHFhYXk1OXBCaWxWaFdOUT09</t>
        </is>
      </c>
      <c r="F3" t="n">
        <v>1</v>
      </c>
      <c r="G3" t="inlineStr">
        <is>
          <t>BS001</t>
        </is>
      </c>
      <c r="H3" t="inlineStr">
        <is>
          <t>14 Januari 2015</t>
        </is>
      </c>
      <c r="I3" s="2" t="n">
        <v>46253</v>
      </c>
      <c r="J3" t="inlineStr">
        <is>
          <t>Disetujui</t>
        </is>
      </c>
      <c r="K3" t="n">
        <v>90</v>
      </c>
      <c r="L3" t="inlineStr">
        <is>
          <t>19 Agustus 2026</t>
        </is>
      </c>
      <c r="M3" t="inlineStr">
        <is>
          <t>Konstruksi Bangunan Sipil Jalan</t>
        </is>
      </c>
      <c r="N3" t="inlineStr">
        <is>
          <t>K</t>
        </is>
      </c>
      <c r="O3" t="inlineStr">
        <is>
          <t>20230818</t>
        </is>
      </c>
      <c r="P3" t="inlineStr">
        <is>
          <t>Jawa Barat</t>
        </is>
      </c>
      <c r="Q3" s="3">
        <f>HYPERLINK("https://wa.me/6281287980229?text=Selamat siang Bapak/Ibu pimpinan DUA PUTRA ABADI,%0A%0ASemoga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4">
      <c r="A4" t="inlineStr">
        <is>
          <t>NURLISTY ABADI MANDIRI</t>
        </is>
      </c>
      <c r="B4" t="inlineStr">
        <is>
          <t>Kota Depok</t>
        </is>
      </c>
      <c r="C4" t="inlineStr">
        <is>
          <t>02129389287</t>
        </is>
      </c>
      <c r="D4" t="inlineStr">
        <is>
          <t>nurlisty@yahoo.com</t>
        </is>
      </c>
      <c r="E4" t="inlineStr">
        <is>
          <t>https://lpjk.pu.go.id/search-badan-usaha-detail/c3lpZzRCUDAvdEUzYWZjdG9tRmgxUT09</t>
        </is>
      </c>
      <c r="F4" t="n">
        <v>1</v>
      </c>
      <c r="G4" t="inlineStr">
        <is>
          <t>BS006</t>
        </is>
      </c>
      <c r="H4" t="inlineStr">
        <is>
          <t>31 Oktober 2011</t>
        </is>
      </c>
      <c r="I4" s="2" t="n">
        <v>46253</v>
      </c>
      <c r="J4" t="inlineStr">
        <is>
          <t>Disetujui</t>
        </is>
      </c>
      <c r="K4" t="n">
        <v>90</v>
      </c>
      <c r="L4" t="inlineStr">
        <is>
          <t>19 Agustus 2026</t>
        </is>
      </c>
      <c r="M4" t="inlineStr">
        <is>
          <t>Konstruksi Bangunan Sipil Prasarana dan Sarana Sistem Pengolahan Limbah Padat, Cair, dan Gas</t>
        </is>
      </c>
      <c r="N4" t="inlineStr">
        <is>
          <t>K</t>
        </is>
      </c>
      <c r="O4" t="inlineStr">
        <is>
          <t>20230818</t>
        </is>
      </c>
      <c r="P4" t="inlineStr">
        <is>
          <t>Jawa Barat</t>
        </is>
      </c>
      <c r="Q4" s="3">
        <f>HYPERLINK("https://wa.me/622129389287?text=Selamat siang Bapak/Ibu pimpinan NURLISTY ABADI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5">
      <c r="A5" t="inlineStr">
        <is>
          <t>RIALDO ANUGERAH NUSANTARA</t>
        </is>
      </c>
      <c r="B5" t="inlineStr">
        <is>
          <t>Kota Bekasi</t>
        </is>
      </c>
      <c r="C5" t="inlineStr">
        <is>
          <t>085156482618</t>
        </is>
      </c>
      <c r="D5" t="inlineStr">
        <is>
          <t>pt.rialdoan0909@gmail.com</t>
        </is>
      </c>
      <c r="E5" t="inlineStr">
        <is>
          <t>https://lpjk.pu.go.id/search-badan-usaha-detail/cmNKbUFTT0x1M3Q5SnR3SlIvMUNBUT09</t>
        </is>
      </c>
      <c r="F5" t="n">
        <v>1</v>
      </c>
      <c r="G5" t="inlineStr">
        <is>
          <t>BS001</t>
        </is>
      </c>
      <c r="H5" t="inlineStr">
        <is>
          <t>9 September 2022</t>
        </is>
      </c>
      <c r="I5" s="2" t="n">
        <v>46253</v>
      </c>
      <c r="J5" t="inlineStr">
        <is>
          <t>Disetujui</t>
        </is>
      </c>
      <c r="K5" t="n">
        <v>90</v>
      </c>
      <c r="L5" t="inlineStr">
        <is>
          <t>19 Agustus 2026</t>
        </is>
      </c>
      <c r="M5" t="inlineStr">
        <is>
          <t>Konstruksi Bangunan Sipil Jalan</t>
        </is>
      </c>
      <c r="N5" t="inlineStr">
        <is>
          <t>K</t>
        </is>
      </c>
      <c r="O5" t="inlineStr">
        <is>
          <t>20230815</t>
        </is>
      </c>
      <c r="P5" t="inlineStr">
        <is>
          <t>Jawa Barat</t>
        </is>
      </c>
      <c r="Q5" s="3">
        <f>HYPERLINK("https://wa.me/6285156482618?text=Selamat siang Bapak/Ibu pimpinan RIALDO ANUGERAH NUSANTARA,%0A%0ASemoga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6">
      <c r="A6" t="inlineStr">
        <is>
          <t>ALIKA PUTRI</t>
        </is>
      </c>
      <c r="B6" t="inlineStr">
        <is>
          <t>Kab. Konawe</t>
        </is>
      </c>
      <c r="C6" t="inlineStr">
        <is>
          <t>081210584509</t>
        </is>
      </c>
      <c r="D6" t="inlineStr">
        <is>
          <t>cv.alikaputri19@gmail.com</t>
        </is>
      </c>
      <c r="E6" t="inlineStr">
        <is>
          <t>https://lpjk.pu.go.id/search-badan-usaha-detail/djNCcU9SMHgrckxzK1FWbEpsZ2JrQT09</t>
        </is>
      </c>
      <c r="F6" t="n">
        <v>2</v>
      </c>
      <c r="G6" t="inlineStr">
        <is>
          <t>BS001, BS004</t>
        </is>
      </c>
      <c r="H6" t="inlineStr">
        <is>
          <t>18 Februari 2009</t>
        </is>
      </c>
      <c r="I6" s="2" t="n">
        <v>46253</v>
      </c>
      <c r="J6" t="inlineStr">
        <is>
          <t>Disetujui</t>
        </is>
      </c>
      <c r="K6" t="n">
        <v>90</v>
      </c>
      <c r="L6" t="inlineStr">
        <is>
          <t>19 Agustus 2026</t>
        </is>
      </c>
      <c r="M6" t="inlineStr">
        <is>
          <t>Konstruksi Bangunan Sipil Jalan, Konstruksi Jaringan Irigasi dan Drainase</t>
        </is>
      </c>
      <c r="N6" t="inlineStr">
        <is>
          <t>K</t>
        </is>
      </c>
      <c r="O6" t="inlineStr">
        <is>
          <t>20230814</t>
        </is>
      </c>
      <c r="P6" t="inlineStr">
        <is>
          <t>Sulawesi Tenggara</t>
        </is>
      </c>
      <c r="Q6" s="3">
        <f>HYPERLINK("https://wa.me/6281210584509?text=Selamat siang Bapak/Ibu pimpinan ALIKA PUTRI,%0A%0ASemoga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7">
      <c r="A7" t="inlineStr">
        <is>
          <t>ANNISA PRATAMA</t>
        </is>
      </c>
      <c r="B7" t="inlineStr">
        <is>
          <t>Kab. Takalar</t>
        </is>
      </c>
      <c r="C7" t="inlineStr">
        <is>
          <t>085241648834</t>
        </is>
      </c>
      <c r="D7" t="inlineStr">
        <is>
          <t>cv.annisapratama0205@gmail.com</t>
        </is>
      </c>
      <c r="E7" t="inlineStr">
        <is>
          <t>https://lpjk.pu.go.id/search-badan-usaha-detail/YkkrbTBjV0R0K1N0eGFFVTZHOW1RQT09</t>
        </is>
      </c>
      <c r="F7" t="n">
        <v>3</v>
      </c>
      <c r="G7" t="inlineStr">
        <is>
          <t>BG004, BG006, BG009</t>
        </is>
      </c>
      <c r="H7" t="inlineStr">
        <is>
          <t>20 Februari 2003</t>
        </is>
      </c>
      <c r="I7" s="2" t="n">
        <v>46253</v>
      </c>
      <c r="J7" t="inlineStr">
        <is>
          <t>Disetujui</t>
        </is>
      </c>
      <c r="K7" t="n">
        <v>90</v>
      </c>
      <c r="L7" t="inlineStr">
        <is>
          <t>19 Agustus 2026</t>
        </is>
      </c>
      <c r="M7" t="inlineStr">
        <is>
          <t>Konstruksi Gedung Lainnya, Konstruksi Gedung Pendidikan, Konstruksi Gedung Perbelanjaan</t>
        </is>
      </c>
      <c r="N7" t="inlineStr">
        <is>
          <t>K</t>
        </is>
      </c>
      <c r="O7" t="inlineStr">
        <is>
          <t>20230409, 20230815, 20230818</t>
        </is>
      </c>
      <c r="P7" t="inlineStr">
        <is>
          <t>Sulawesi Selatan</t>
        </is>
      </c>
      <c r="Q7" s="3">
        <f>HYPERLINK("https://wa.me/6285241648834?text=Selamat siang Bapak/Ibu pimpinan ANNISA PRATAMA,%0A%0ASemoga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8">
      <c r="A8" t="inlineStr">
        <is>
          <t>AWANG KUTAI</t>
        </is>
      </c>
      <c r="B8" t="inlineStr">
        <is>
          <t>Kota Jayapura</t>
        </is>
      </c>
      <c r="C8" t="inlineStr">
        <is>
          <t>0</t>
        </is>
      </c>
      <c r="D8" t="inlineStr">
        <is>
          <t>awangkutaicv@gmail.com</t>
        </is>
      </c>
      <c r="E8" t="inlineStr">
        <is>
          <t>https://lpjk.pu.go.id/search-badan-usaha-detail/TjdMNGNBODAzcEV4cHliRzBIMThyQT09</t>
        </is>
      </c>
      <c r="F8" t="n">
        <v>2</v>
      </c>
      <c r="G8" t="inlineStr">
        <is>
          <t>BG009</t>
        </is>
      </c>
      <c r="H8" t="inlineStr">
        <is>
          <t>13 Januari 2022</t>
        </is>
      </c>
      <c r="I8" s="2" t="n">
        <v>46253</v>
      </c>
      <c r="J8" t="inlineStr">
        <is>
          <t>Disetujui</t>
        </is>
      </c>
      <c r="K8" t="n">
        <v>90</v>
      </c>
      <c r="L8" t="inlineStr">
        <is>
          <t>19 Agustus 2026</t>
        </is>
      </c>
      <c r="M8" t="inlineStr">
        <is>
          <t>Konstruksi Gedung Lainnya</t>
        </is>
      </c>
      <c r="N8" t="inlineStr">
        <is>
          <t>K</t>
        </is>
      </c>
      <c r="O8" t="inlineStr">
        <is>
          <t>20230811</t>
        </is>
      </c>
      <c r="P8" t="inlineStr">
        <is>
          <t>Papua</t>
        </is>
      </c>
      <c r="Q8" s="3">
        <f>HYPERLINK("https://wa.me/62?text=Selamat siang Bapak/Ibu pimpinan AWANG KUTAI,%0A%0ASemoga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9">
      <c r="A9" t="inlineStr">
        <is>
          <t>BERKAH</t>
        </is>
      </c>
      <c r="B9" t="inlineStr">
        <is>
          <t>Kab. Pasangkayu</t>
        </is>
      </c>
      <c r="C9" t="inlineStr">
        <is>
          <t>081240370475</t>
        </is>
      </c>
      <c r="D9" t="inlineStr">
        <is>
          <t>afnirusdin88@gmail.com</t>
        </is>
      </c>
      <c r="E9" t="inlineStr">
        <is>
          <t>https://lpjk.pu.go.id/search-badan-usaha-detail/WVNtdURMSTVIMlhqRzRzd2FIZG9zZz09</t>
        </is>
      </c>
      <c r="F9" t="n">
        <v>6</v>
      </c>
      <c r="G9" t="inlineStr">
        <is>
          <t>BG006, BG009, BS001</t>
        </is>
      </c>
      <c r="H9" t="inlineStr">
        <is>
          <t>22 Mei 2018</t>
        </is>
      </c>
      <c r="I9" s="2" t="n">
        <v>46253</v>
      </c>
      <c r="J9" t="inlineStr">
        <is>
          <t>Disetujui</t>
        </is>
      </c>
      <c r="K9" t="n">
        <v>90</v>
      </c>
      <c r="L9" t="inlineStr">
        <is>
          <t>19 Agustus 2026</t>
        </is>
      </c>
      <c r="M9" t="inlineStr">
        <is>
          <t>Konstruksi Bangunan Sipil Jalan, Konstruksi Gedung Lainnya, Konstruksi Gedung Pendidikan</t>
        </is>
      </c>
      <c r="N9" t="inlineStr">
        <is>
          <t>K</t>
        </is>
      </c>
      <c r="O9" t="inlineStr">
        <is>
          <t>20230819</t>
        </is>
      </c>
      <c r="P9" t="inlineStr">
        <is>
          <t>Sulawesi Barat</t>
        </is>
      </c>
      <c r="Q9" s="3">
        <f>HYPERLINK("https://wa.me/6281240370475?text=Selamat siang Bapak/Ibu pimpinan BERKAH,%0A%0ASemoga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0">
      <c r="A10" t="inlineStr">
        <is>
          <t>BERKAH REZEKI AZHAR</t>
        </is>
      </c>
      <c r="B10" t="inlineStr">
        <is>
          <t>Kab. Tanah Bumbu</t>
        </is>
      </c>
      <c r="C10" t="inlineStr">
        <is>
          <t>082255314060</t>
        </is>
      </c>
      <c r="D10" t="inlineStr">
        <is>
          <t>cv.berkahrezekiazhar@gmail.com</t>
        </is>
      </c>
      <c r="E10" t="inlineStr">
        <is>
          <t>https://lpjk.pu.go.id/search-badan-usaha-detail/RnNiamdYVjE0MGdxK01VcldzM3Rxdz09</t>
        </is>
      </c>
      <c r="F10" t="n">
        <v>4</v>
      </c>
      <c r="G10" t="inlineStr">
        <is>
          <t>BS001, BS004</t>
        </is>
      </c>
      <c r="H10" t="inlineStr">
        <is>
          <t>11 Mei 2023</t>
        </is>
      </c>
      <c r="I10" s="2" t="n">
        <v>46253</v>
      </c>
      <c r="J10" t="inlineStr">
        <is>
          <t>Disetujui</t>
        </is>
      </c>
      <c r="K10" t="n">
        <v>90</v>
      </c>
      <c r="L10" t="inlineStr">
        <is>
          <t>19 Agustus 2026</t>
        </is>
      </c>
      <c r="M10" t="inlineStr">
        <is>
          <t>Konstruksi Bangunan Sipil Jalan, Konstruksi Jaringan Irigasi dan Drainase</t>
        </is>
      </c>
      <c r="N10" t="inlineStr">
        <is>
          <t>K</t>
        </is>
      </c>
      <c r="O10" t="inlineStr">
        <is>
          <t>20230816</t>
        </is>
      </c>
      <c r="P10" t="inlineStr">
        <is>
          <t>Kalimantan Selatan</t>
        </is>
      </c>
      <c r="Q10" s="3">
        <f>HYPERLINK("https://wa.me/6282255314060?text=Selamat siang Bapak/Ibu pimpinan BERKAH REZEKI AZHAR,%0A%0ASemoga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1">
      <c r="A11" t="inlineStr">
        <is>
          <t>BERKAH ROBBIY</t>
        </is>
      </c>
      <c r="B11" t="inlineStr">
        <is>
          <t>Kab. Ketapang</t>
        </is>
      </c>
      <c r="C11" t="inlineStr">
        <is>
          <t>081251954151</t>
        </is>
      </c>
      <c r="D11" t="inlineStr">
        <is>
          <t>cvberkahrobbiy@gmail.com</t>
        </is>
      </c>
      <c r="E11" t="inlineStr">
        <is>
          <t>https://lpjk.pu.go.id/search-badan-usaha-detail/K0UwMG8xeERIZEJ4ckE0cUtsbFhtdz09</t>
        </is>
      </c>
      <c r="F11" t="n">
        <v>2</v>
      </c>
      <c r="G11" t="inlineStr">
        <is>
          <t>BS001</t>
        </is>
      </c>
      <c r="H11" t="inlineStr">
        <is>
          <t>18 Oktober 2021</t>
        </is>
      </c>
      <c r="I11" s="2" t="n">
        <v>46253</v>
      </c>
      <c r="J11" t="inlineStr">
        <is>
          <t>Pencabutan</t>
        </is>
      </c>
      <c r="K11" t="n">
        <v>90</v>
      </c>
      <c r="L11" t="inlineStr">
        <is>
          <t>19 Agustus 2026</t>
        </is>
      </c>
      <c r="M11" t="inlineStr">
        <is>
          <t>Konstruksi Bangunan Sipil Jalan</t>
        </is>
      </c>
      <c r="N11" t="inlineStr">
        <is>
          <t>K</t>
        </is>
      </c>
      <c r="O11" t="inlineStr">
        <is>
          <t>20230819</t>
        </is>
      </c>
      <c r="P11" t="inlineStr">
        <is>
          <t>Kalimantan Barat</t>
        </is>
      </c>
      <c r="Q11" s="3">
        <f>HYPERLINK("https://wa.me/6281251954151?text=Selamat siang Bapak/Ibu pimpinan BERKAH ROBBIY,%0A%0ASemoga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2">
      <c r="A12" t="inlineStr">
        <is>
          <t>BINA MULTIGRAHA SENTOSA</t>
        </is>
      </c>
      <c r="B12" t="inlineStr">
        <is>
          <t>Kab. Sleman</t>
        </is>
      </c>
      <c r="C12" t="inlineStr">
        <is>
          <t>08112790900</t>
        </is>
      </c>
      <c r="D12" t="inlineStr">
        <is>
          <t>pt.binamultigrahasentosa@gmail.com</t>
        </is>
      </c>
      <c r="E12" t="inlineStr">
        <is>
          <t>https://lpjk.pu.go.id/search-badan-usaha-detail/REo1SVQwOHpaRlZuTmNlOUhUV2ZKZz09</t>
        </is>
      </c>
      <c r="F12" t="n">
        <v>2</v>
      </c>
      <c r="G12" t="inlineStr">
        <is>
          <t>BG003, BG005</t>
        </is>
      </c>
      <c r="H12" t="inlineStr">
        <is>
          <t>21 Agustus 2018</t>
        </is>
      </c>
      <c r="I12" s="2" t="n">
        <v>46253</v>
      </c>
      <c r="J12" t="inlineStr">
        <is>
          <t>Disetujui</t>
        </is>
      </c>
      <c r="K12" t="n">
        <v>90</v>
      </c>
      <c r="L12" t="inlineStr">
        <is>
          <t>19 Agustus 2026</t>
        </is>
      </c>
      <c r="M12" t="inlineStr">
        <is>
          <t>Konstruksi Gedung Industri, Konstruksi Gedung Kesehatan</t>
        </is>
      </c>
      <c r="N12" t="inlineStr">
        <is>
          <t>M</t>
        </is>
      </c>
      <c r="O12" t="inlineStr">
        <is>
          <t>20230811</t>
        </is>
      </c>
      <c r="P12" t="inlineStr">
        <is>
          <t>DI Yogyakarta</t>
        </is>
      </c>
      <c r="Q12" s="3">
        <f>HYPERLINK("https://wa.me/628112790900?text=Selamat siang Bapak/Ibu pimpinan BINA MULTIGRAHA SENTOSA,%0A%0ASemoga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3">
      <c r="A13" t="inlineStr">
        <is>
          <t>BINTANG MEGA KARYA</t>
        </is>
      </c>
      <c r="B13" t="inlineStr">
        <is>
          <t>Kota Jambi</t>
        </is>
      </c>
      <c r="C13" t="inlineStr">
        <is>
          <t>08137909986</t>
        </is>
      </c>
      <c r="D13" t="inlineStr">
        <is>
          <t>cvbintangmegakarya@gmail.com</t>
        </is>
      </c>
      <c r="E13" t="inlineStr">
        <is>
          <t>https://lpjk.pu.go.id/search-badan-usaha-detail/WkZ4K0NHUGZacHNxRUlyYk5uTEhqZz09</t>
        </is>
      </c>
      <c r="F13" t="n">
        <v>2</v>
      </c>
      <c r="G13" t="inlineStr">
        <is>
          <t>BS002</t>
        </is>
      </c>
      <c r="H13" t="inlineStr">
        <is>
          <t>24 Oktober 2016</t>
        </is>
      </c>
      <c r="I13" s="2" t="n">
        <v>46253</v>
      </c>
      <c r="J13" t="inlineStr">
        <is>
          <t>Disetujui</t>
        </is>
      </c>
      <c r="K13" t="n">
        <v>90</v>
      </c>
      <c r="L13" t="inlineStr">
        <is>
          <t>19 Agustus 2026</t>
        </is>
      </c>
      <c r="M13" t="inlineStr">
        <is>
          <t>Bangunan Sipil Jembatan, Jalan Layang, Fly Over, dan Underpass</t>
        </is>
      </c>
      <c r="N13" t="inlineStr">
        <is>
          <t>K</t>
        </is>
      </c>
      <c r="O13" t="inlineStr">
        <is>
          <t>20230818</t>
        </is>
      </c>
      <c r="P13" t="inlineStr">
        <is>
          <t>Jambi</t>
        </is>
      </c>
      <c r="Q13" s="3">
        <f>HYPERLINK("https://wa.me/628137909986?text=Selamat siang Bapak/Ibu pimpinan BINTANG MEGA KARYA,%0A%0ASemoga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4">
      <c r="A14" t="inlineStr">
        <is>
          <t>CITRA KENCANA PRIMA</t>
        </is>
      </c>
      <c r="B14" t="inlineStr">
        <is>
          <t>Kota Surabaya</t>
        </is>
      </c>
      <c r="C14" t="inlineStr">
        <is>
          <t>081334233358</t>
        </is>
      </c>
      <c r="D14" t="inlineStr">
        <is>
          <t>Citrakencanaprima@gmail.com</t>
        </is>
      </c>
      <c r="E14" t="inlineStr">
        <is>
          <t>https://lpjk.pu.go.id/search-badan-usaha-detail/MVY3RGsvTUJMcXhUbGlhdDd3SzE0dz09</t>
        </is>
      </c>
      <c r="F14" t="n">
        <v>1</v>
      </c>
      <c r="G14" t="inlineStr">
        <is>
          <t>BG004</t>
        </is>
      </c>
      <c r="H14" t="inlineStr">
        <is>
          <t>11 November 2022</t>
        </is>
      </c>
      <c r="I14" s="2" t="n">
        <v>46253</v>
      </c>
      <c r="J14" t="inlineStr">
        <is>
          <t>Disetujui</t>
        </is>
      </c>
      <c r="K14" t="n">
        <v>90</v>
      </c>
      <c r="L14" t="inlineStr">
        <is>
          <t>19 Agustus 2026</t>
        </is>
      </c>
      <c r="M14" t="inlineStr">
        <is>
          <t>Konstruksi Gedung Perbelanjaan</t>
        </is>
      </c>
      <c r="N14" t="inlineStr">
        <is>
          <t>K</t>
        </is>
      </c>
      <c r="O14" t="inlineStr">
        <is>
          <t>20230818</t>
        </is>
      </c>
      <c r="P14" t="inlineStr">
        <is>
          <t>Jawa Timur</t>
        </is>
      </c>
      <c r="Q14" s="3">
        <f>HYPERLINK("https://wa.me/6281334233358?text=Selamat siang Bapak/Ibu pimpinan CITRA KENCANA PRIMA,%0A%0ASemoga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5">
      <c r="A15" t="inlineStr">
        <is>
          <t>DANNISH FARESTAMA</t>
        </is>
      </c>
      <c r="B15" t="inlineStr">
        <is>
          <t>Kota Palembang</t>
        </is>
      </c>
      <c r="C15" t="inlineStr">
        <is>
          <t>08127362165</t>
        </is>
      </c>
      <c r="D15" t="inlineStr">
        <is>
          <t>cvdannishfarestama@gmail.com</t>
        </is>
      </c>
      <c r="E15" t="inlineStr">
        <is>
          <t>https://lpjk.pu.go.id/search-badan-usaha-detail/TFB1VkhPUUpoM2hSU3poOWVtUlh2dz09</t>
        </is>
      </c>
      <c r="F15" t="n">
        <v>2</v>
      </c>
      <c r="G15" t="inlineStr">
        <is>
          <t>BG006, BG009</t>
        </is>
      </c>
      <c r="H15" t="inlineStr">
        <is>
          <t>6 Maret 2014</t>
        </is>
      </c>
      <c r="I15" s="2" t="n">
        <v>46253</v>
      </c>
      <c r="J15" t="inlineStr">
        <is>
          <t>Disetujui</t>
        </is>
      </c>
      <c r="K15" t="n">
        <v>90</v>
      </c>
      <c r="L15" t="inlineStr">
        <is>
          <t>19 Agustus 2026</t>
        </is>
      </c>
      <c r="M15" t="inlineStr">
        <is>
          <t>Konstruksi Gedung Lainnya, Konstruksi Gedung Pendidikan</t>
        </is>
      </c>
      <c r="N15" t="inlineStr">
        <is>
          <t>K</t>
        </is>
      </c>
      <c r="O15" t="inlineStr">
        <is>
          <t>20230819</t>
        </is>
      </c>
      <c r="P15" t="inlineStr">
        <is>
          <t>Sumatera Selatan</t>
        </is>
      </c>
      <c r="Q15" s="3">
        <f>HYPERLINK("https://wa.me/628127362165?text=Selamat siang Bapak/Ibu pimpinan DANNISH FARESTAMA,%0A%0ASemoga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6">
      <c r="A16" t="inlineStr">
        <is>
          <t>DUA UTAMA SEJAHTERA</t>
        </is>
      </c>
      <c r="B16" t="inlineStr">
        <is>
          <t>Kab. Sampang</t>
        </is>
      </c>
      <c r="C16" t="inlineStr">
        <is>
          <t>083849938080</t>
        </is>
      </c>
      <c r="D16" t="inlineStr">
        <is>
          <t>2utamasejahtera@gmail.com</t>
        </is>
      </c>
      <c r="E16" t="inlineStr">
        <is>
          <t>https://lpjk.pu.go.id/search-badan-usaha-detail/NWNVYWVjZ1BvQkhXdU1tQWJqNjhQQT09</t>
        </is>
      </c>
      <c r="F16" t="n">
        <v>1</v>
      </c>
      <c r="G16" t="inlineStr">
        <is>
          <t>BS005</t>
        </is>
      </c>
      <c r="H16" t="inlineStr">
        <is>
          <t>17 Oktober 2022</t>
        </is>
      </c>
      <c r="I16" s="2" t="n">
        <v>46253</v>
      </c>
      <c r="J16" t="inlineStr">
        <is>
          <t>Disetujui</t>
        </is>
      </c>
      <c r="K16" t="n">
        <v>90</v>
      </c>
      <c r="L16" t="inlineStr">
        <is>
          <t>19 Agustus 2026</t>
        </is>
      </c>
      <c r="M16" t="inlineStr">
        <is>
          <t>Konstruksi Bangunan Sipil Pengolahan Air Bersih</t>
        </is>
      </c>
      <c r="N16" t="inlineStr">
        <is>
          <t>K</t>
        </is>
      </c>
      <c r="O16" t="inlineStr">
        <is>
          <t>20230819</t>
        </is>
      </c>
      <c r="P16" t="inlineStr">
        <is>
          <t>Jawa Timur</t>
        </is>
      </c>
      <c r="Q16" s="3">
        <f>HYPERLINK("https://wa.me/6283849938080?text=Selamat siang Bapak/Ibu pimpinan DUA UTAMA SEJAHTERA,%0A%0ASemoga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7">
      <c r="A17" t="inlineStr">
        <is>
          <t>EKA ABADI JAYA</t>
        </is>
      </c>
      <c r="B17" t="inlineStr">
        <is>
          <t>Kota Manado</t>
        </is>
      </c>
      <c r="C17" t="inlineStr">
        <is>
          <t>085240271917</t>
        </is>
      </c>
      <c r="D17" t="inlineStr">
        <is>
          <t>cv.ekaabadijaya@gmail.com</t>
        </is>
      </c>
      <c r="E17" t="inlineStr">
        <is>
          <t>https://lpjk.pu.go.id/search-badan-usaha-detail/Q29NYUFMNlQ5V2JKNUsxNWpVZTJvdz09</t>
        </is>
      </c>
      <c r="F17" t="n">
        <v>2</v>
      </c>
      <c r="G17" t="inlineStr">
        <is>
          <t>BG005, BG009</t>
        </is>
      </c>
      <c r="H17" t="inlineStr">
        <is>
          <t>7 Oktober 2010</t>
        </is>
      </c>
      <c r="I17" s="2" t="n">
        <v>46253</v>
      </c>
      <c r="J17" t="inlineStr">
        <is>
          <t>Disetujui</t>
        </is>
      </c>
      <c r="K17" t="n">
        <v>90</v>
      </c>
      <c r="L17" t="inlineStr">
        <is>
          <t>19 Agustus 2026</t>
        </is>
      </c>
      <c r="M17" t="inlineStr">
        <is>
          <t>Konstruksi Gedung Kesehatan, Konstruksi Gedung Lainnya</t>
        </is>
      </c>
      <c r="N17" t="inlineStr">
        <is>
          <t>K</t>
        </is>
      </c>
      <c r="O17" t="inlineStr">
        <is>
          <t>20230811</t>
        </is>
      </c>
      <c r="P17" t="inlineStr">
        <is>
          <t>Sulawesi Utara</t>
        </is>
      </c>
      <c r="Q17" s="3">
        <f>HYPERLINK("https://wa.me/6285240271917?text=Selamat siang Bapak/Ibu pimpinan EKA ABADI JAYA,%0A%0ASemoga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8">
      <c r="A18" t="inlineStr">
        <is>
          <t>GABE JAYA MANDIRI</t>
        </is>
      </c>
      <c r="B18" t="inlineStr">
        <is>
          <t>Kab. Tanah Bumbu</t>
        </is>
      </c>
      <c r="C18" t="inlineStr">
        <is>
          <t>08115130309</t>
        </is>
      </c>
      <c r="D18" t="inlineStr">
        <is>
          <t>gabetanbu@yahoo.co.id</t>
        </is>
      </c>
      <c r="E18" t="inlineStr">
        <is>
          <t>https://lpjk.pu.go.id/search-badan-usaha-detail/U1NZSUlkT2FCbDh4NTh6STFXWWhpdz09</t>
        </is>
      </c>
      <c r="F18" t="n">
        <v>4</v>
      </c>
      <c r="G18" t="inlineStr">
        <is>
          <t>BG005, BG006, BG009, BS001</t>
        </is>
      </c>
      <c r="H18" t="inlineStr">
        <is>
          <t>7 April 2008</t>
        </is>
      </c>
      <c r="I18" s="2" t="n">
        <v>46253</v>
      </c>
      <c r="J18" t="inlineStr">
        <is>
          <t>Disetujui</t>
        </is>
      </c>
      <c r="K18" t="n">
        <v>90</v>
      </c>
      <c r="L18" t="inlineStr">
        <is>
          <t>19 Agustus 2026</t>
        </is>
      </c>
      <c r="M18" t="inlineStr">
        <is>
          <t>Konstruksi Bangunan Sipil Jalan, Konstruksi Gedung Kesehatan, Konstruksi Gedung Lainnya, Konstruksi Gedung Pendidikan</t>
        </is>
      </c>
      <c r="N18" t="inlineStr">
        <is>
          <t>K</t>
        </is>
      </c>
      <c r="O18" t="inlineStr">
        <is>
          <t>20230724, 20230815, 20230819</t>
        </is>
      </c>
      <c r="P18" t="inlineStr">
        <is>
          <t>Kalimantan Selatan</t>
        </is>
      </c>
      <c r="Q18" s="3">
        <f>HYPERLINK("https://wa.me/628115130309?text=Selamat siang Bapak/Ibu pimpinan GABE JAYA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9">
      <c r="A19" t="inlineStr">
        <is>
          <t>HALIM PRATAMA PERKASA</t>
        </is>
      </c>
      <c r="B19" t="inlineStr">
        <is>
          <t>Kab. Padang Pariaman</t>
        </is>
      </c>
      <c r="C19" t="inlineStr">
        <is>
          <t>-</t>
        </is>
      </c>
      <c r="D19" t="inlineStr">
        <is>
          <t>-</t>
        </is>
      </c>
      <c r="E19" t="inlineStr">
        <is>
          <t>https://lpjk.pu.go.id/search-badan-usaha-detail/MmJoT3l4QWQ5Y3FtcVE1amwxYnlsZz09</t>
        </is>
      </c>
      <c r="F19" t="n">
        <v>1</v>
      </c>
      <c r="G19" t="inlineStr">
        <is>
          <t>BG002</t>
        </is>
      </c>
      <c r="H19" t="inlineStr">
        <is>
          <t>19 Februari 2008</t>
        </is>
      </c>
      <c r="I19" s="2" t="n">
        <v>46253</v>
      </c>
      <c r="J19" t="inlineStr">
        <is>
          <t>Pencabutan</t>
        </is>
      </c>
      <c r="K19" t="n">
        <v>90</v>
      </c>
      <c r="L19" t="inlineStr">
        <is>
          <t>19 Agustus 2026</t>
        </is>
      </c>
      <c r="M19" t="inlineStr">
        <is>
          <t>Konstruksi Gedung Perkantoran</t>
        </is>
      </c>
      <c r="N19" t="inlineStr">
        <is>
          <t>M</t>
        </is>
      </c>
      <c r="O19" t="inlineStr">
        <is>
          <t>20230809</t>
        </is>
      </c>
      <c r="P19" t="inlineStr">
        <is>
          <t>Sumatera Barat</t>
        </is>
      </c>
      <c r="Q19" t="inlineStr"/>
    </row>
    <row r="20">
      <c r="A20" t="inlineStr">
        <is>
          <t>JAYA PANTURA</t>
        </is>
      </c>
      <c r="B20" t="inlineStr">
        <is>
          <t>Kab. Batang</t>
        </is>
      </c>
      <c r="C20" t="inlineStr">
        <is>
          <t>081328154290</t>
        </is>
      </c>
      <c r="D20" t="inlineStr">
        <is>
          <t>cvjayapantura@gmail.com</t>
        </is>
      </c>
      <c r="E20" t="inlineStr">
        <is>
          <t>https://lpjk.pu.go.id/search-badan-usaha-detail/VllkbDhZRGhwVGUzVXlpRWtoZ3dwdz09</t>
        </is>
      </c>
      <c r="F20" t="n">
        <v>1</v>
      </c>
      <c r="G20" t="inlineStr">
        <is>
          <t>BS004</t>
        </is>
      </c>
      <c r="H20" t="inlineStr">
        <is>
          <t>1 Desember 2021</t>
        </is>
      </c>
      <c r="I20" s="2" t="n">
        <v>46253</v>
      </c>
      <c r="J20" t="inlineStr">
        <is>
          <t>Disetujui</t>
        </is>
      </c>
      <c r="K20" t="n">
        <v>90</v>
      </c>
      <c r="L20" t="inlineStr">
        <is>
          <t>19 Agustus 2026</t>
        </is>
      </c>
      <c r="M20" t="inlineStr">
        <is>
          <t>Konstruksi Jaringan Irigasi dan Drainase</t>
        </is>
      </c>
      <c r="N20" t="inlineStr">
        <is>
          <t>K</t>
        </is>
      </c>
      <c r="O20" t="inlineStr">
        <is>
          <t>20230818</t>
        </is>
      </c>
      <c r="P20" t="inlineStr">
        <is>
          <t>Jawa Tengah</t>
        </is>
      </c>
      <c r="Q20" s="3">
        <f>HYPERLINK("https://wa.me/6281328154290?text=Selamat siang Bapak/Ibu pimpinan JAYA PANTURA,%0A%0ASemoga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1">
      <c r="A21" t="inlineStr">
        <is>
          <t>KARYA MUDA UTAMA</t>
        </is>
      </c>
      <c r="B21" t="inlineStr">
        <is>
          <t>Kota Solok</t>
        </is>
      </c>
      <c r="C21" t="inlineStr">
        <is>
          <t>081266231024</t>
        </is>
      </c>
      <c r="D21" t="inlineStr">
        <is>
          <t>u_karyamuda@yahoo.com</t>
        </is>
      </c>
      <c r="E21" t="inlineStr">
        <is>
          <t>https://lpjk.pu.go.id/search-badan-usaha-detail/VnlEc2lCU2tsNk1zTWwxb1I3R1JvUT09</t>
        </is>
      </c>
      <c r="F21" t="n">
        <v>1</v>
      </c>
      <c r="G21" t="inlineStr">
        <is>
          <t>BS002</t>
        </is>
      </c>
      <c r="H21" t="inlineStr">
        <is>
          <t>24 September 2012</t>
        </is>
      </c>
      <c r="I21" s="2" t="n">
        <v>46253</v>
      </c>
      <c r="J21" t="inlineStr">
        <is>
          <t>Disetujui</t>
        </is>
      </c>
      <c r="K21" t="n">
        <v>90</v>
      </c>
      <c r="L21" t="inlineStr">
        <is>
          <t>19 Agustus 2026</t>
        </is>
      </c>
      <c r="M21" t="inlineStr">
        <is>
          <t>Bangunan Sipil Jembatan, Jalan Layang, Fly Over, dan Underpass</t>
        </is>
      </c>
      <c r="N21" t="inlineStr">
        <is>
          <t>K</t>
        </is>
      </c>
      <c r="O21" t="inlineStr">
        <is>
          <t>20230602</t>
        </is>
      </c>
      <c r="P21" t="inlineStr">
        <is>
          <t>Sumatera Barat</t>
        </is>
      </c>
      <c r="Q21" s="3">
        <f>HYPERLINK("https://wa.me/6281266231024?text=Selamat siang Bapak/Ibu pimpinan KARYA MUDA UTAMA,%0A%0ASemoga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2">
      <c r="A22" t="inlineStr">
        <is>
          <t>KELUARGA JAYA MANDIRI</t>
        </is>
      </c>
      <c r="B22" t="inlineStr">
        <is>
          <t>Kab. Aceh Tamiang</t>
        </is>
      </c>
      <c r="C22" t="inlineStr">
        <is>
          <t>082129991874</t>
        </is>
      </c>
      <c r="D22" t="inlineStr">
        <is>
          <t>keluarga.jayamandiri2022@gmail.com</t>
        </is>
      </c>
      <c r="E22" t="inlineStr">
        <is>
          <t>https://lpjk.pu.go.id/search-badan-usaha-detail/bW9sZThVR1dvU3Vaak44OGN0VGpMUT09</t>
        </is>
      </c>
      <c r="F22" t="n">
        <v>1</v>
      </c>
      <c r="G22" t="inlineStr">
        <is>
          <t>BG009</t>
        </is>
      </c>
      <c r="H22" t="inlineStr">
        <is>
          <t>13 Mei 2022</t>
        </is>
      </c>
      <c r="I22" s="2" t="n">
        <v>46253</v>
      </c>
      <c r="J22" t="inlineStr">
        <is>
          <t>Disetujui</t>
        </is>
      </c>
      <c r="K22" t="n">
        <v>90</v>
      </c>
      <c r="L22" t="inlineStr">
        <is>
          <t>19 Agustus 2026</t>
        </is>
      </c>
      <c r="M22" t="inlineStr">
        <is>
          <t>Konstruksi Gedung Lainnya</t>
        </is>
      </c>
      <c r="N22" t="inlineStr">
        <is>
          <t>K</t>
        </is>
      </c>
      <c r="O22" t="inlineStr">
        <is>
          <t>20230819</t>
        </is>
      </c>
      <c r="P22" t="inlineStr">
        <is>
          <t>Aceh</t>
        </is>
      </c>
      <c r="Q22" s="3">
        <f>HYPERLINK("https://wa.me/6282129991874?text=Selamat siang Bapak/Ibu pimpinan KELUARGA JAYA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3">
      <c r="A23" t="inlineStr">
        <is>
          <t>MAX KARYA BANGUN</t>
        </is>
      </c>
      <c r="B23" t="inlineStr">
        <is>
          <t>Kab. Balangan</t>
        </is>
      </c>
      <c r="C23" t="inlineStr">
        <is>
          <t>085347626948</t>
        </is>
      </c>
      <c r="D23" t="inlineStr">
        <is>
          <t>maxkaryabangun@gmail.com</t>
        </is>
      </c>
      <c r="E23" t="inlineStr">
        <is>
          <t>https://lpjk.pu.go.id/search-badan-usaha-detail/dUdEcjkyZVhlNEVsbGIwS29YWlNUZz09</t>
        </is>
      </c>
      <c r="F23" t="n">
        <v>4</v>
      </c>
      <c r="G23" t="inlineStr">
        <is>
          <t>BG001, BG004, BG006, BG009</t>
        </is>
      </c>
      <c r="H23" t="inlineStr">
        <is>
          <t>28 Juli 2023</t>
        </is>
      </c>
      <c r="I23" s="2" t="n">
        <v>46253</v>
      </c>
      <c r="J23" t="inlineStr">
        <is>
          <t>Disetujui</t>
        </is>
      </c>
      <c r="K23" t="n">
        <v>90</v>
      </c>
      <c r="L23" t="inlineStr">
        <is>
          <t>19 Agustus 2026</t>
        </is>
      </c>
      <c r="M23" t="inlineStr">
        <is>
          <t>Konstruksi Gedung Hunian, Konstruksi Gedung Lainnya, Konstruksi Gedung Pendidikan, Konstruksi Gedung Perbelanjaan</t>
        </is>
      </c>
      <c r="N23" t="inlineStr">
        <is>
          <t>K</t>
        </is>
      </c>
      <c r="O23" t="inlineStr">
        <is>
          <t>20230816</t>
        </is>
      </c>
      <c r="P23" t="inlineStr">
        <is>
          <t>Kalimantan Selatan</t>
        </is>
      </c>
      <c r="Q23" s="3">
        <f>HYPERLINK("https://wa.me/6285347626948?text=Selamat siang Bapak/Ibu pimpinan MAX KARYA BANGUN,%0A%0ASemoga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4">
      <c r="A24" t="inlineStr">
        <is>
          <t>MUTIARA CHANIAGO</t>
        </is>
      </c>
      <c r="B24" t="inlineStr">
        <is>
          <t>Kab. Dharmasraya</t>
        </is>
      </c>
      <c r="C24" t="inlineStr">
        <is>
          <t>081270426606</t>
        </is>
      </c>
      <c r="D24" t="inlineStr">
        <is>
          <t>cvmutiarachaniago26@gmail.com</t>
        </is>
      </c>
      <c r="E24" t="inlineStr">
        <is>
          <t>https://lpjk.pu.go.id/search-badan-usaha-detail/V2xvTXAzSG5MTkJlVHFsVW1JODlDdz09</t>
        </is>
      </c>
      <c r="F24" t="n">
        <v>2</v>
      </c>
      <c r="G24" t="inlineStr">
        <is>
          <t>BS004</t>
        </is>
      </c>
      <c r="H24" t="inlineStr">
        <is>
          <t>9 Oktober 2006</t>
        </is>
      </c>
      <c r="I24" s="2" t="n">
        <v>46253</v>
      </c>
      <c r="J24" t="inlineStr">
        <is>
          <t>Disetujui</t>
        </is>
      </c>
      <c r="K24" t="n">
        <v>90</v>
      </c>
      <c r="L24" t="inlineStr">
        <is>
          <t>19 Agustus 2026</t>
        </is>
      </c>
      <c r="M24" t="inlineStr">
        <is>
          <t>Konstruksi Jaringan Irigasi dan Drainase</t>
        </is>
      </c>
      <c r="N24" t="inlineStr">
        <is>
          <t>K</t>
        </is>
      </c>
      <c r="O24" t="inlineStr">
        <is>
          <t>20230819</t>
        </is>
      </c>
      <c r="P24" t="inlineStr">
        <is>
          <t>Sumatera Barat</t>
        </is>
      </c>
      <c r="Q24" s="3">
        <f>HYPERLINK("https://wa.me/6281270426606?text=Selamat siang Bapak/Ibu pimpinan MUTIARA CHANIAGO,%0A%0ASemoga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5">
      <c r="A25" t="inlineStr">
        <is>
          <t>PERMATA JAYA KARYA</t>
        </is>
      </c>
      <c r="B25" t="inlineStr">
        <is>
          <t>Kab. Malinau</t>
        </is>
      </c>
      <c r="C25" t="inlineStr">
        <is>
          <t>085250211107</t>
        </is>
      </c>
      <c r="D25" t="inlineStr">
        <is>
          <t>permatajayakarya@gmail.com</t>
        </is>
      </c>
      <c r="E25" t="inlineStr">
        <is>
          <t>https://lpjk.pu.go.id/search-badan-usaha-detail/azAzMjdOTTB1dW13YnlJeFpiMW8wUT09</t>
        </is>
      </c>
      <c r="F25" t="n">
        <v>1</v>
      </c>
      <c r="G25" t="inlineStr">
        <is>
          <t>BG002</t>
        </is>
      </c>
      <c r="H25" t="inlineStr">
        <is>
          <t>31 Januari 2023</t>
        </is>
      </c>
      <c r="I25" s="2" t="n">
        <v>46253</v>
      </c>
      <c r="J25" t="inlineStr">
        <is>
          <t>Disetujui</t>
        </is>
      </c>
      <c r="K25" t="n">
        <v>90</v>
      </c>
      <c r="L25" t="inlineStr">
        <is>
          <t>19 Agustus 2026</t>
        </is>
      </c>
      <c r="M25" t="inlineStr">
        <is>
          <t>Konstruksi Gedung Perkantoran</t>
        </is>
      </c>
      <c r="N25" t="inlineStr">
        <is>
          <t>K</t>
        </is>
      </c>
      <c r="O25" t="inlineStr">
        <is>
          <t>20230731</t>
        </is>
      </c>
      <c r="P25" t="inlineStr">
        <is>
          <t>Kalimantan Utara</t>
        </is>
      </c>
      <c r="Q25" s="3">
        <f>HYPERLINK("https://wa.me/6285250211107?text=Selamat siang Bapak/Ibu pimpinan PERMATA JAYA KARYA,%0A%0ASemoga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6">
      <c r="A26" t="inlineStr">
        <is>
          <t>RAJAWALI KUTIM GEMILANG</t>
        </is>
      </c>
      <c r="B26" t="inlineStr">
        <is>
          <t>Kab. Kutai Timur</t>
        </is>
      </c>
      <c r="C26" t="inlineStr">
        <is>
          <t>08229800098</t>
        </is>
      </c>
      <c r="D26" t="inlineStr">
        <is>
          <t>rajawalukutimgemilangcv@gmail.com</t>
        </is>
      </c>
      <c r="E26" t="inlineStr">
        <is>
          <t>https://lpjk.pu.go.id/search-badan-usaha-detail/RGwvRWdnSkV4a0s5elArbjE1bmYydz09</t>
        </is>
      </c>
      <c r="F26" t="n">
        <v>2</v>
      </c>
      <c r="G26" t="inlineStr">
        <is>
          <t>BS005</t>
        </is>
      </c>
      <c r="H26" t="inlineStr">
        <is>
          <t>26 Juni 2023</t>
        </is>
      </c>
      <c r="I26" s="2" t="n">
        <v>46253</v>
      </c>
      <c r="J26" t="inlineStr">
        <is>
          <t>Disetujui</t>
        </is>
      </c>
      <c r="K26" t="n">
        <v>90</v>
      </c>
      <c r="L26" t="inlineStr">
        <is>
          <t>19 Agustus 2026</t>
        </is>
      </c>
      <c r="M26" t="inlineStr">
        <is>
          <t>Konstruksi Bangunan Sipil Pengolahan Air Bersih</t>
        </is>
      </c>
      <c r="N26" t="inlineStr">
        <is>
          <t>K</t>
        </is>
      </c>
      <c r="O26" t="inlineStr">
        <is>
          <t>20230815</t>
        </is>
      </c>
      <c r="P26" t="inlineStr">
        <is>
          <t>Kalimantan Timur</t>
        </is>
      </c>
      <c r="Q26" s="3">
        <f>HYPERLINK("https://wa.me/628229800098?text=Selamat siang Bapak/Ibu pimpinan RAJAWALI KUTIM GEMILANG,%0A%0ASemoga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7">
      <c r="A27" t="inlineStr">
        <is>
          <t>RAPIMA</t>
        </is>
      </c>
      <c r="B27" t="inlineStr">
        <is>
          <t>Kota Medan</t>
        </is>
      </c>
      <c r="C27" t="inlineStr">
        <is>
          <t>0614154923</t>
        </is>
      </c>
      <c r="D27" t="inlineStr">
        <is>
          <t>rapima@yahoo.co.id</t>
        </is>
      </c>
      <c r="E27" t="inlineStr">
        <is>
          <t>https://lpjk.pu.go.id/search-badan-usaha-detail/Ykk4S3ZYQStpKzBlMzk1ajZGdG5Wdz09</t>
        </is>
      </c>
      <c r="F27" t="n">
        <v>1</v>
      </c>
      <c r="G27" t="inlineStr">
        <is>
          <t>BS004</t>
        </is>
      </c>
      <c r="H27" t="inlineStr">
        <is>
          <t>6 Juni 1992</t>
        </is>
      </c>
      <c r="I27" s="2" t="n">
        <v>46253</v>
      </c>
      <c r="J27" t="inlineStr">
        <is>
          <t>Disetujui</t>
        </is>
      </c>
      <c r="K27" t="n">
        <v>90</v>
      </c>
      <c r="L27" t="inlineStr">
        <is>
          <t>19 Agustus 2026</t>
        </is>
      </c>
      <c r="M27" t="inlineStr">
        <is>
          <t>Konstruksi Jaringan Irigasi dan Drainase</t>
        </is>
      </c>
      <c r="N27" t="inlineStr">
        <is>
          <t>K</t>
        </is>
      </c>
      <c r="O27" t="inlineStr">
        <is>
          <t>20230819</t>
        </is>
      </c>
      <c r="P27" t="inlineStr">
        <is>
          <t>Sumatera Utara</t>
        </is>
      </c>
      <c r="Q27" s="3">
        <f>HYPERLINK("https://wa.me/62614154923?text=Selamat siang Bapak/Ibu pimpinan RAPIMA,%0A%0ASemoga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8">
      <c r="A28" t="inlineStr">
        <is>
          <t>RUDIATH</t>
        </is>
      </c>
      <c r="B28" t="inlineStr">
        <is>
          <t>Kab. Bireuen</t>
        </is>
      </c>
      <c r="C28" t="inlineStr">
        <is>
          <t>081360002198</t>
        </is>
      </c>
      <c r="D28" t="inlineStr">
        <is>
          <t>musliadispd@gmail.com</t>
        </is>
      </c>
      <c r="E28" t="inlineStr">
        <is>
          <t>https://lpjk.pu.go.id/search-badan-usaha-detail/dUZhQnlSV3BpRXBNcGdKVFdta0Nldz09</t>
        </is>
      </c>
      <c r="F28" t="n">
        <v>2</v>
      </c>
      <c r="G28" t="inlineStr">
        <is>
          <t>BG001, BS006</t>
        </is>
      </c>
      <c r="H28" t="inlineStr">
        <is>
          <t>22 Juli 2019</t>
        </is>
      </c>
      <c r="I28" s="2" t="n">
        <v>46253</v>
      </c>
      <c r="J28" t="inlineStr">
        <is>
          <t>Disetujui</t>
        </is>
      </c>
      <c r="K28" t="n">
        <v>90</v>
      </c>
      <c r="L28" t="inlineStr">
        <is>
          <t>19 Agustus 2026</t>
        </is>
      </c>
      <c r="M28" t="inlineStr">
        <is>
          <t>Konstruksi Bangunan Sipil Prasarana dan Sarana Sistem Pengolahan Limbah Padat, Cair, dan Gas, Konstruksi Gedung Hunian</t>
        </is>
      </c>
      <c r="N28" t="inlineStr">
        <is>
          <t>K</t>
        </is>
      </c>
      <c r="O28" t="inlineStr">
        <is>
          <t>20230819</t>
        </is>
      </c>
      <c r="P28" t="inlineStr">
        <is>
          <t>Aceh</t>
        </is>
      </c>
      <c r="Q28" s="3">
        <f>HYPERLINK("https://wa.me/6281360002198?text=Selamat siang Bapak/Ibu pimpinan RUDIATH,%0A%0ASemoga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9">
      <c r="A29" t="inlineStr">
        <is>
          <t>SABAR JAYA MULIA</t>
        </is>
      </c>
      <c r="B29" t="inlineStr">
        <is>
          <t>Kab. Cilacap</t>
        </is>
      </c>
      <c r="C29" t="inlineStr">
        <is>
          <t>0282540902</t>
        </is>
      </c>
      <c r="D29" t="inlineStr">
        <is>
          <t>sbjm211@gmail.com</t>
        </is>
      </c>
      <c r="E29" t="inlineStr">
        <is>
          <t>https://lpjk.pu.go.id/search-badan-usaha-detail/WW1La1R4d1ltWUhIdTZyNzZmVlZQdz09</t>
        </is>
      </c>
      <c r="F29" t="n">
        <v>3</v>
      </c>
      <c r="G29" t="inlineStr">
        <is>
          <t>BG001, BG006, BG009</t>
        </is>
      </c>
      <c r="H29" t="inlineStr">
        <is>
          <t>21 Januari 2014</t>
        </is>
      </c>
      <c r="I29" s="2" t="n">
        <v>46253</v>
      </c>
      <c r="J29" t="inlineStr">
        <is>
          <t>Disetujui</t>
        </is>
      </c>
      <c r="K29" t="n">
        <v>90</v>
      </c>
      <c r="L29" t="inlineStr">
        <is>
          <t>19 Agustus 2026</t>
        </is>
      </c>
      <c r="M29" t="inlineStr">
        <is>
          <t>Konstruksi Gedung Hunian, Konstruksi Gedung Lainnya, Konstruksi Gedung Pendidikan</t>
        </is>
      </c>
      <c r="N29" t="inlineStr">
        <is>
          <t>K</t>
        </is>
      </c>
      <c r="O29" t="inlineStr">
        <is>
          <t>20230819</t>
        </is>
      </c>
      <c r="P29" t="inlineStr">
        <is>
          <t>Jawa Tengah</t>
        </is>
      </c>
      <c r="Q29" s="3">
        <f>HYPERLINK("https://wa.me/62282540902?text=Selamat siang Bapak/Ibu pimpinan SABAR JAYA MULIA,%0A%0ASemoga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0">
      <c r="A30" t="inlineStr">
        <is>
          <t>SAHABAT KARYA MANDIRI</t>
        </is>
      </c>
      <c r="B30" t="inlineStr">
        <is>
          <t>Kota Pontianak</t>
        </is>
      </c>
      <c r="C30" t="inlineStr">
        <is>
          <t>08115771129</t>
        </is>
      </c>
      <c r="D30" t="inlineStr">
        <is>
          <t>cvsahabat81@gmail.com</t>
        </is>
      </c>
      <c r="E30" t="inlineStr">
        <is>
          <t>https://lpjk.pu.go.id/search-badan-usaha-detail/YkFhUzJKSEZNS2tJVER6U05kOFAzQT09</t>
        </is>
      </c>
      <c r="F30" t="n">
        <v>4</v>
      </c>
      <c r="G30" t="inlineStr">
        <is>
          <t>BG002, BG006, BS001, BS011</t>
        </is>
      </c>
      <c r="H30" t="inlineStr">
        <is>
          <t>1 Agustus 2007</t>
        </is>
      </c>
      <c r="I30" s="2" t="n">
        <v>46253</v>
      </c>
      <c r="J30" t="inlineStr">
        <is>
          <t>Disetujui</t>
        </is>
      </c>
      <c r="K30" t="n">
        <v>90</v>
      </c>
      <c r="L30" t="inlineStr">
        <is>
          <t>19 Agustus 2026</t>
        </is>
      </c>
      <c r="M30" t="inlineStr">
        <is>
          <t>Konstruksi Bangunan Pelabuhan Bukan Perikanan, Konstruksi Bangunan Sipil Jalan, Konstruksi Gedung Pendidikan, Konstruksi Gedung Perkantoran</t>
        </is>
      </c>
      <c r="N30" t="inlineStr">
        <is>
          <t>K</t>
        </is>
      </c>
      <c r="O30" t="inlineStr">
        <is>
          <t>20230819, 20230820</t>
        </is>
      </c>
      <c r="P30" t="inlineStr">
        <is>
          <t>Kalimantan Barat</t>
        </is>
      </c>
      <c r="Q30" s="3">
        <f>HYPERLINK("https://wa.me/628115771129?text=Selamat siang Bapak/Ibu pimpinan SAHABAT KARYA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1">
      <c r="A31" t="inlineStr">
        <is>
          <t>SENTRA BIRAMA ABADI</t>
        </is>
      </c>
      <c r="B31" t="inlineStr">
        <is>
          <t>Kota Payakumbuh</t>
        </is>
      </c>
      <c r="C31" t="inlineStr">
        <is>
          <t>0811663685</t>
        </is>
      </c>
      <c r="D31" t="inlineStr">
        <is>
          <t>sentrabiramaabadi@gmail.com</t>
        </is>
      </c>
      <c r="E31" t="inlineStr">
        <is>
          <t>https://lpjk.pu.go.id/search-badan-usaha-detail/N1E2YnRlY3czQUtScEJ0aGtEMGoxUT09</t>
        </is>
      </c>
      <c r="F31" t="n">
        <v>1</v>
      </c>
      <c r="G31" t="inlineStr">
        <is>
          <t>BS004</t>
        </is>
      </c>
      <c r="H31" t="inlineStr">
        <is>
          <t>27 Juli 2023</t>
        </is>
      </c>
      <c r="I31" s="2" t="n">
        <v>46253</v>
      </c>
      <c r="J31" t="inlineStr">
        <is>
          <t>Disetujui</t>
        </is>
      </c>
      <c r="K31" t="n">
        <v>90</v>
      </c>
      <c r="L31" t="inlineStr">
        <is>
          <t>19 Agustus 2026</t>
        </is>
      </c>
      <c r="M31" t="inlineStr">
        <is>
          <t>Konstruksi Jaringan Irigasi dan Drainase</t>
        </is>
      </c>
      <c r="N31" t="inlineStr">
        <is>
          <t>K</t>
        </is>
      </c>
      <c r="O31" t="inlineStr">
        <is>
          <t>20230819</t>
        </is>
      </c>
      <c r="P31" t="inlineStr">
        <is>
          <t>Sumatera Barat</t>
        </is>
      </c>
      <c r="Q31" s="3">
        <f>HYPERLINK("https://wa.me/62811663685?text=Selamat siang Bapak/Ibu pimpinan SENTRA BIRAMA ABADI,%0A%0ASemoga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2">
      <c r="A32" t="inlineStr">
        <is>
          <t>TAPAK BUANA KONSTRUKSI</t>
        </is>
      </c>
      <c r="B32" t="inlineStr">
        <is>
          <t>Kota Makassar</t>
        </is>
      </c>
      <c r="C32" t="inlineStr">
        <is>
          <t>085299931699</t>
        </is>
      </c>
      <c r="D32" t="inlineStr">
        <is>
          <t>cvtapakbuanakonstruksi@gmail.com</t>
        </is>
      </c>
      <c r="E32" t="inlineStr">
        <is>
          <t>https://lpjk.pu.go.id/search-badan-usaha-detail/VkQ2bWh0NVhCNzZNb2F4UXN6eElMOXdCd2I1WVh6czUvS0JoZGtVN0JjTT0</t>
        </is>
      </c>
      <c r="F32" t="n">
        <v>1</v>
      </c>
      <c r="G32" t="inlineStr">
        <is>
          <t>BG001</t>
        </is>
      </c>
      <c r="H32" t="inlineStr">
        <is>
          <t>17 Oktober 2022</t>
        </is>
      </c>
      <c r="I32" s="2" t="n">
        <v>46253</v>
      </c>
      <c r="J32" t="inlineStr">
        <is>
          <t>Disetujui</t>
        </is>
      </c>
      <c r="K32" t="n">
        <v>90</v>
      </c>
      <c r="L32" t="inlineStr">
        <is>
          <t>19 Agustus 2026</t>
        </is>
      </c>
      <c r="M32" t="inlineStr">
        <is>
          <t>Konstruksi Gedung Hunian</t>
        </is>
      </c>
      <c r="N32" t="inlineStr">
        <is>
          <t>K</t>
        </is>
      </c>
      <c r="O32" t="inlineStr">
        <is>
          <t>20230818</t>
        </is>
      </c>
      <c r="P32" t="inlineStr">
        <is>
          <t>Sulawesi Selatan</t>
        </is>
      </c>
      <c r="Q32" s="3">
        <f>HYPERLINK("https://wa.me/6285299931699?text=Selamat siang Bapak/Ibu pimpinan TAPAK BUANA KONSTRUKSI,%0A%0ASemoga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3">
      <c r="A33" t="inlineStr">
        <is>
          <t>WIJA MASAGENA</t>
        </is>
      </c>
      <c r="B33" t="inlineStr">
        <is>
          <t>Kab. Majene</t>
        </is>
      </c>
      <c r="C33" t="inlineStr">
        <is>
          <t>082271584191</t>
        </is>
      </c>
      <c r="D33" t="inlineStr">
        <is>
          <t>wijamasagena@gmail.com</t>
        </is>
      </c>
      <c r="E33" t="inlineStr">
        <is>
          <t>https://lpjk.pu.go.id/search-badan-usaha-detail/anhqU0dTek9ueCt2UzJaK3N0SFdwdz09</t>
        </is>
      </c>
      <c r="F33" t="n">
        <v>1</v>
      </c>
      <c r="G33" t="inlineStr">
        <is>
          <t>BG008</t>
        </is>
      </c>
      <c r="H33" t="inlineStr">
        <is>
          <t>14 Juli 2023</t>
        </is>
      </c>
      <c r="I33" s="2" t="n">
        <v>46253</v>
      </c>
      <c r="J33" t="inlineStr">
        <is>
          <t>Disetujui</t>
        </is>
      </c>
      <c r="K33" t="n">
        <v>90</v>
      </c>
      <c r="L33" t="inlineStr">
        <is>
          <t>19 Agustus 2026</t>
        </is>
      </c>
      <c r="M33" t="inlineStr">
        <is>
          <t>Konstruksi Gedung Tempat Hiburan dan Olahraga</t>
        </is>
      </c>
      <c r="N33" t="inlineStr">
        <is>
          <t>K</t>
        </is>
      </c>
      <c r="O33" t="inlineStr">
        <is>
          <t>20230819</t>
        </is>
      </c>
      <c r="P33" t="inlineStr">
        <is>
          <t>Sulawesi Barat</t>
        </is>
      </c>
      <c r="Q33" s="3">
        <f>HYPERLINK("https://wa.me/6282271584191?text=Selamat siang Bapak/Ibu pimpinan WIJA MASAGENA,%0A%0ASemoga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4"/>
  <sheetViews>
    <sheetView workbookViewId="0">
      <selection activeCell="A1" sqref="A1"/>
    </sheetView>
  </sheetViews>
  <sheetFormatPr baseColWidth="8" defaultRowHeight="15"/>
  <cols>
    <col width="33" customWidth="1" min="1" max="1"/>
    <col width="27" customWidth="1" min="2" max="2"/>
    <col width="16" customWidth="1" min="3" max="3"/>
    <col width="43" customWidth="1" min="4" max="4"/>
    <col width="50" customWidth="1" min="5" max="5"/>
    <col width="18" customWidth="1" min="6" max="6"/>
    <col width="49" customWidth="1" min="7" max="7"/>
    <col width="20" customWidth="1" min="8" max="8"/>
    <col width="28" customWidth="1" min="9" max="9"/>
    <col width="45"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BIMA ASRI INTERMITRA</t>
        </is>
      </c>
      <c r="B2" t="inlineStr">
        <is>
          <t>Kab. Bekasi</t>
        </is>
      </c>
      <c r="C2" t="inlineStr">
        <is>
          <t>0818800806</t>
        </is>
      </c>
      <c r="D2" t="inlineStr">
        <is>
          <t>lidia@bimaasri.com</t>
        </is>
      </c>
      <c r="E2" t="inlineStr">
        <is>
          <t>https://lpjk.pu.go.id/search-badan-usaha-detail/TDlodll0ZlRDdFM2OGFvaDY3anR6dz09</t>
        </is>
      </c>
      <c r="F2" t="n">
        <v>1</v>
      </c>
      <c r="G2" t="inlineStr">
        <is>
          <t>IN006</t>
        </is>
      </c>
      <c r="H2" t="inlineStr">
        <is>
          <t>7 Juni 2006</t>
        </is>
      </c>
      <c r="I2" s="2" t="n">
        <v>46223</v>
      </c>
      <c r="J2" t="inlineStr">
        <is>
          <t>Disetujui</t>
        </is>
      </c>
      <c r="K2" t="n">
        <v>60</v>
      </c>
      <c r="L2" t="inlineStr">
        <is>
          <t>20 Juli 2026</t>
        </is>
      </c>
      <c r="M2" t="inlineStr">
        <is>
          <t>Instalasi Elektronika</t>
        </is>
      </c>
      <c r="N2" t="inlineStr">
        <is>
          <t>Spesialis</t>
        </is>
      </c>
      <c r="O2" t="inlineStr">
        <is>
          <t>20230712</t>
        </is>
      </c>
      <c r="P2" t="inlineStr">
        <is>
          <t>Jawa Barat</t>
        </is>
      </c>
      <c r="Q2" s="3">
        <f>HYPERLINK("https://wa.me/62818800806?text=*[PENGINGAT MASA BERLAKU SBU BIMA ASRI INTERMITRA]*%0A%0AYth. Pimpinan BIMA ASRI INTERMITRA,%0AMohon izin menginformasikan status SBU Anda di sistem LPJK:%0A%0A📄 SBU: IN006%0A📅 Expired: 20 Juli 2026 (60 Hari Lagi)%0A%0AKami tim PT. ESDEA Assistance Management siap men-support proses perpanjangan segera.", "Hubungi")</f>
        <v/>
      </c>
    </row>
    <row r="3">
      <c r="A3" t="inlineStr">
        <is>
          <t>BINAFHIR SEJAHTERA</t>
        </is>
      </c>
      <c r="B3" t="inlineStr">
        <is>
          <t>Kota Depok</t>
        </is>
      </c>
      <c r="C3" t="inlineStr">
        <is>
          <t>0217713349</t>
        </is>
      </c>
      <c r="D3" t="inlineStr">
        <is>
          <t>binafhir.sejahtera2017@yahoo.com</t>
        </is>
      </c>
      <c r="E3" t="inlineStr">
        <is>
          <t>https://lpjk.pu.go.id/search-badan-usaha-detail/bGxOUENWdm81c3FwTFJlaWRmYjZmUT09</t>
        </is>
      </c>
      <c r="F3" t="n">
        <v>2</v>
      </c>
      <c r="G3" t="inlineStr">
        <is>
          <t>PB004</t>
        </is>
      </c>
      <c r="H3" t="inlineStr">
        <is>
          <t>11 September 2017</t>
        </is>
      </c>
      <c r="I3" s="2" t="n">
        <v>46223</v>
      </c>
      <c r="J3" t="inlineStr">
        <is>
          <t>Disetujui</t>
        </is>
      </c>
      <c r="K3" t="n">
        <v>60</v>
      </c>
      <c r="L3" t="inlineStr">
        <is>
          <t>20 Juli 2026</t>
        </is>
      </c>
      <c r="M3" t="inlineStr">
        <is>
          <t>Dekorasi Interior</t>
        </is>
      </c>
      <c r="N3" t="inlineStr">
        <is>
          <t>Spesialis</t>
        </is>
      </c>
      <c r="O3" t="inlineStr">
        <is>
          <t>20230718</t>
        </is>
      </c>
      <c r="P3" t="inlineStr">
        <is>
          <t>Jawa Barat</t>
        </is>
      </c>
      <c r="Q3" s="3">
        <f>HYPERLINK("https://wa.me/62217713349?text=*[PENGINGAT MASA BERLAKU SBU BINAFHIR SEJAHTERA]*%0A%0AYth. Pimpinan BINAFHIR SEJAHTERA,%0AMohon izin menginformasikan status SBU Anda di sistem LPJK:%0A%0A📄 SBU: PB004%0A📅 Expired: 20 Juli 2026 (60 Hari Lagi)%0A%0AKami tim PT. ESDEA Assistance Management siap men-support proses perpanjangan segera.", "Hubungi")</f>
        <v/>
      </c>
    </row>
    <row r="4">
      <c r="A4" t="inlineStr">
        <is>
          <t>BIOSANT TIRTA LESTARI</t>
        </is>
      </c>
      <c r="B4" t="inlineStr">
        <is>
          <t>Kota Depok</t>
        </is>
      </c>
      <c r="C4" t="inlineStr">
        <is>
          <t>02185508880</t>
        </is>
      </c>
      <c r="D4" t="inlineStr">
        <is>
          <t>finance@biosant.co.id</t>
        </is>
      </c>
      <c r="E4" t="inlineStr">
        <is>
          <t>https://lpjk.pu.go.id/search-badan-usaha-detail/WjM1cmF6ZU02eGdWMWVjMXF1VXJpQT09</t>
        </is>
      </c>
      <c r="F4" t="n">
        <v>1</v>
      </c>
      <c r="G4" t="inlineStr">
        <is>
          <t>IN007</t>
        </is>
      </c>
      <c r="H4" t="inlineStr">
        <is>
          <t>3 Februari 2014</t>
        </is>
      </c>
      <c r="I4" s="2" t="n">
        <v>46223</v>
      </c>
      <c r="J4" t="inlineStr">
        <is>
          <t>Disetujui</t>
        </is>
      </c>
      <c r="K4" t="n">
        <v>60</v>
      </c>
      <c r="L4" t="inlineStr">
        <is>
          <t>20 Juli 2026</t>
        </is>
      </c>
      <c r="M4" t="inlineStr">
        <is>
          <t>Instalasi Saluran Air (Plambing)</t>
        </is>
      </c>
      <c r="N4" t="inlineStr">
        <is>
          <t>Spesialis</t>
        </is>
      </c>
      <c r="O4" t="inlineStr">
        <is>
          <t>20230713</t>
        </is>
      </c>
      <c r="P4" t="inlineStr">
        <is>
          <t>Jawa Barat</t>
        </is>
      </c>
      <c r="Q4" s="3">
        <f>HYPERLINK("https://wa.me/622185508880?text=*[PENGINGAT MASA BERLAKU SBU BIOSANT TIRTA LESTARI]*%0A%0AYth. Pimpinan BIOSANT TIRTA LESTARI,%0AMohon izin menginformasikan status SBU Anda di sistem LPJK:%0A%0A📄 SBU: IN007%0A📅 Expired: 20 Juli 2026 (60 Hari Lagi)%0A%0AKami tim PT. ESDEA Assistance Management siap men-support proses perpanjangan segera.", "Hubungi")</f>
        <v/>
      </c>
    </row>
    <row r="5">
      <c r="A5" t="inlineStr">
        <is>
          <t>BONA PASOGIT JAYA</t>
        </is>
      </c>
      <c r="B5" t="inlineStr">
        <is>
          <t>Kota Adm. Jakarta Timur</t>
        </is>
      </c>
      <c r="C5" t="inlineStr">
        <is>
          <t>021</t>
        </is>
      </c>
      <c r="D5" t="inlineStr">
        <is>
          <t>bona_pasogit18@yahoo.co.id</t>
        </is>
      </c>
      <c r="E5" t="inlineStr">
        <is>
          <t>https://lpjk.pu.go.id/search-badan-usaha-detail/ZldsZ3ZBOVF2K09xeHdsRlk0cDdCUT09</t>
        </is>
      </c>
      <c r="F5" t="n">
        <v>1</v>
      </c>
      <c r="G5" t="inlineStr">
        <is>
          <t>BG006</t>
        </is>
      </c>
      <c r="H5" t="inlineStr">
        <is>
          <t>31 Maret 2022</t>
        </is>
      </c>
      <c r="I5" s="2" t="n">
        <v>46223</v>
      </c>
      <c r="J5" t="inlineStr">
        <is>
          <t>Disetujui</t>
        </is>
      </c>
      <c r="K5" t="n">
        <v>60</v>
      </c>
      <c r="L5" t="inlineStr">
        <is>
          <t>20 Juli 2026</t>
        </is>
      </c>
      <c r="M5" t="inlineStr">
        <is>
          <t>Konstruksi Gedung Pendidikan</t>
        </is>
      </c>
      <c r="N5" t="inlineStr">
        <is>
          <t>K</t>
        </is>
      </c>
      <c r="O5" t="inlineStr">
        <is>
          <t>20230621</t>
        </is>
      </c>
      <c r="P5" t="inlineStr">
        <is>
          <t>DKI Jakarta</t>
        </is>
      </c>
      <c r="Q5" s="3">
        <f>HYPERLINK("https://wa.me/6221?text=*[PENGINGAT MASA BERLAKU SBU BONA PASOGIT JAYA]*%0A%0AYth. Pimpinan BONA PASOGIT JAYA,%0AMohon izin menginformasikan status SBU Anda di sistem LPJK:%0A%0A📄 SBU: BG006%0A📅 Expired: 20 Juli 2026 (60 Hari Lagi)%0A%0AKami tim PT. ESDEA Assistance Management siap men-support proses perpanjangan segera.", "Hubungi")</f>
        <v/>
      </c>
    </row>
    <row r="6">
      <c r="A6" t="inlineStr">
        <is>
          <t>BUNGA BINTAN PERSADA</t>
        </is>
      </c>
      <c r="B6" t="inlineStr">
        <is>
          <t>Kota Bekasi</t>
        </is>
      </c>
      <c r="C6" t="inlineStr">
        <is>
          <t>081383518244</t>
        </is>
      </c>
      <c r="D6" t="inlineStr">
        <is>
          <t>bungabintan.p@gmail.com</t>
        </is>
      </c>
      <c r="E6" t="inlineStr">
        <is>
          <t>https://lpjk.pu.go.id/search-badan-usaha-detail/SlUraDNZZnRXdjhKODd4N1R1SEJvQT09</t>
        </is>
      </c>
      <c r="F6" t="n">
        <v>2</v>
      </c>
      <c r="G6" t="inlineStr">
        <is>
          <t>BS001, BS004</t>
        </is>
      </c>
      <c r="H6" t="inlineStr">
        <is>
          <t>23 Januari 2025</t>
        </is>
      </c>
      <c r="I6" s="2" t="n">
        <v>46223</v>
      </c>
      <c r="J6" t="inlineStr">
        <is>
          <t>Disetujui</t>
        </is>
      </c>
      <c r="K6" t="n">
        <v>60</v>
      </c>
      <c r="L6" t="inlineStr">
        <is>
          <t>20 Juli 2026</t>
        </is>
      </c>
      <c r="M6" t="inlineStr">
        <is>
          <t>Konstruksi Bangunan Sipil Jalan, Konstruksi Jaringan Irigasi dan Drainase</t>
        </is>
      </c>
      <c r="N6" t="inlineStr">
        <is>
          <t>K</t>
        </is>
      </c>
      <c r="O6" t="inlineStr">
        <is>
          <t>20230622</t>
        </is>
      </c>
      <c r="P6" t="inlineStr">
        <is>
          <t>Jawa Barat</t>
        </is>
      </c>
      <c r="Q6" s="3">
        <f>HYPERLINK("https://wa.me/6281383518244?text=*[PENGINGAT MASA BERLAKU SBU BUNGA BINTAN PERSADA]*%0A%0AYth. Pimpinan BUNGA BINTAN PERSADA,%0AMohon izin menginformasikan status SBU Anda di sistem LPJK:%0A%0A📄 SBU: BS001, BS004%0A📅 Expired: 20 Juli 2026 (60 Hari Lagi)%0A%0AKami tim PT. ESDEA Assistance Management siap men-support proses perpanjangan segera.", "Hubungi")</f>
        <v/>
      </c>
    </row>
    <row r="7">
      <c r="A7" t="inlineStr">
        <is>
          <t>HERU ADI KONSTRUKSI</t>
        </is>
      </c>
      <c r="B7" t="inlineStr">
        <is>
          <t>Kota Bekasi</t>
        </is>
      </c>
      <c r="C7" t="inlineStr">
        <is>
          <t>082233431118</t>
        </is>
      </c>
      <c r="D7" t="inlineStr">
        <is>
          <t>pt.hakonstruksi@gmail.com</t>
        </is>
      </c>
      <c r="E7" t="inlineStr">
        <is>
          <t>https://lpjk.pu.go.id/search-badan-usaha-detail/NUlEWFpCVmN3N3lsMkg2NlVMNzV3Zz09</t>
        </is>
      </c>
      <c r="F7" t="n">
        <v>1</v>
      </c>
      <c r="G7" t="inlineStr">
        <is>
          <t>KK001</t>
        </is>
      </c>
      <c r="H7" t="inlineStr">
        <is>
          <t>11 Desember 2020</t>
        </is>
      </c>
      <c r="I7" s="2" t="n">
        <v>46223</v>
      </c>
      <c r="J7" t="inlineStr">
        <is>
          <t>Pembekuan</t>
        </is>
      </c>
      <c r="K7" t="n">
        <v>60</v>
      </c>
      <c r="L7" t="inlineStr">
        <is>
          <t>20 Juli 2026</t>
        </is>
      </c>
      <c r="M7" t="inlineStr">
        <is>
          <t>Pondasi Konstruksi</t>
        </is>
      </c>
      <c r="N7" t="inlineStr">
        <is>
          <t>Spesialis</t>
        </is>
      </c>
      <c r="O7" t="inlineStr">
        <is>
          <t>20230720</t>
        </is>
      </c>
      <c r="P7" t="inlineStr">
        <is>
          <t>Jawa Barat</t>
        </is>
      </c>
      <c r="Q7" s="3">
        <f>HYPERLINK("https://wa.me/6282233431118?text=*[PENGINGAT MASA BERLAKU SBU HERU ADI KONSTRUKSI]*%0A%0AYth. Pimpinan HERU ADI KONSTRUKSI,%0AMohon izin menginformasikan status SBU Anda di sistem LPJK:%0A%0A📄 SBU: KK001%0A📅 Expired: 20 Juli 2026 (60 Hari Lagi)%0A%0AKami tim PT. ESDEA Assistance Management siap men-support proses perpanjangan segera.", "Hubungi")</f>
        <v/>
      </c>
    </row>
    <row r="8">
      <c r="A8" t="inlineStr">
        <is>
          <t>MAJU BERSAMA</t>
        </is>
      </c>
      <c r="B8" t="inlineStr">
        <is>
          <t>Kota Adm. Jakarta Timur</t>
        </is>
      </c>
      <c r="C8" t="inlineStr">
        <is>
          <t>02129622295</t>
        </is>
      </c>
      <c r="D8" t="inlineStr">
        <is>
          <t>maju_bersama86@yahoo.co.id</t>
        </is>
      </c>
      <c r="E8" t="inlineStr">
        <is>
          <t>https://lpjk.pu.go.id/search-badan-usaha-detail/N0FDZkF1eTJsZlZyTlZ4TFdldUVTQT09</t>
        </is>
      </c>
      <c r="F8" t="n">
        <v>1</v>
      </c>
      <c r="G8" t="inlineStr">
        <is>
          <t>BS001</t>
        </is>
      </c>
      <c r="H8" t="inlineStr">
        <is>
          <t>8 Oktober 2007</t>
        </is>
      </c>
      <c r="I8" s="2" t="n">
        <v>46223</v>
      </c>
      <c r="J8" t="inlineStr">
        <is>
          <t>Disetujui</t>
        </is>
      </c>
      <c r="K8" t="n">
        <v>60</v>
      </c>
      <c r="L8" t="inlineStr">
        <is>
          <t>20 Juli 2026</t>
        </is>
      </c>
      <c r="M8" t="inlineStr">
        <is>
          <t>Konstruksi Bangunan Sipil Jalan</t>
        </is>
      </c>
      <c r="N8" t="inlineStr">
        <is>
          <t>K</t>
        </is>
      </c>
      <c r="O8" t="inlineStr">
        <is>
          <t>20230711</t>
        </is>
      </c>
      <c r="P8" t="inlineStr">
        <is>
          <t>DKI Jakarta</t>
        </is>
      </c>
      <c r="Q8" s="3">
        <f>HYPERLINK("https://wa.me/622129622295?text=*[PENGINGAT MASA BERLAKU SBU MAJU BERSAMA]*%0A%0AYth. Pimpinan MAJU BERSAMA,%0AMohon izin menginformasikan status SBU Anda di sistem LPJK:%0A%0A📄 SBU: BS001%0A📅 Expired: 20 Juli 2026 (60 Hari Lagi)%0A%0AKami tim PT. ESDEA Assistance Management siap men-support proses perpanjangan segera.", "Hubungi")</f>
        <v/>
      </c>
    </row>
    <row r="9">
      <c r="A9" t="inlineStr">
        <is>
          <t>MATARAM ARTHA MAKMUR</t>
        </is>
      </c>
      <c r="B9" t="inlineStr">
        <is>
          <t>Kota Adm. Jakarta Timur</t>
        </is>
      </c>
      <c r="C9" t="inlineStr">
        <is>
          <t>02184306788</t>
        </is>
      </c>
      <c r="D9" t="inlineStr">
        <is>
          <t>mataramarthamakmur@gmail.com</t>
        </is>
      </c>
      <c r="E9" t="inlineStr">
        <is>
          <t>https://lpjk.pu.go.id/search-badan-usaha-detail/SWxUNWI4bW80amFwTU5iaitBalFXQT09</t>
        </is>
      </c>
      <c r="F9" t="n">
        <v>2</v>
      </c>
      <c r="G9" t="inlineStr">
        <is>
          <t>BS001</t>
        </is>
      </c>
      <c r="H9" t="inlineStr">
        <is>
          <t>5 Juni 2023</t>
        </is>
      </c>
      <c r="I9" s="2" t="n">
        <v>46223</v>
      </c>
      <c r="J9" t="inlineStr">
        <is>
          <t>Disetujui</t>
        </is>
      </c>
      <c r="K9" t="n">
        <v>60</v>
      </c>
      <c r="L9" t="inlineStr">
        <is>
          <t>20 Juli 2026</t>
        </is>
      </c>
      <c r="M9" t="inlineStr">
        <is>
          <t>Konstruksi Bangunan Sipil Jalan</t>
        </is>
      </c>
      <c r="N9" t="inlineStr">
        <is>
          <t>K</t>
        </is>
      </c>
      <c r="O9" t="inlineStr">
        <is>
          <t>20230718</t>
        </is>
      </c>
      <c r="P9" t="inlineStr">
        <is>
          <t>DKI Jakarta</t>
        </is>
      </c>
      <c r="Q9" s="3">
        <f>HYPERLINK("https://wa.me/622184306788?text=*[PENGINGAT MASA BERLAKU SBU MATARAM ARTHA MAKMUR]*%0A%0AYth. Pimpinan MATARAM ARTHA MAKMUR,%0AMohon izin menginformasikan status SBU Anda di sistem LPJK:%0A%0A📄 SBU: BS001%0A📅 Expired: 20 Juli 2026 (60 Hari Lagi)%0A%0AKami tim PT. ESDEA Assistance Management siap men-support proses perpanjangan segera.", "Hubungi")</f>
        <v/>
      </c>
    </row>
    <row r="10">
      <c r="A10" t="inlineStr">
        <is>
          <t>MAYSITA ELFI MADANI</t>
        </is>
      </c>
      <c r="B10" t="inlineStr">
        <is>
          <t>Kota Bogor</t>
        </is>
      </c>
      <c r="C10" t="inlineStr">
        <is>
          <t>087883416612</t>
        </is>
      </c>
      <c r="D10" t="inlineStr">
        <is>
          <t>maysita.travel@gmail.com</t>
        </is>
      </c>
      <c r="E10" t="inlineStr">
        <is>
          <t>https://lpjk.pu.go.id/search-badan-usaha-detail/eDZDUGVHd04vMWthU2RVTFRqUnBDZz09</t>
        </is>
      </c>
      <c r="F10" t="n">
        <v>12</v>
      </c>
      <c r="G10" t="inlineStr">
        <is>
          <t>BG002, BG005, BG006, BG008, BG009, BS004</t>
        </is>
      </c>
      <c r="H10" t="inlineStr">
        <is>
          <t>7 Juni 2023</t>
        </is>
      </c>
      <c r="I10" s="2" t="n">
        <v>46223</v>
      </c>
      <c r="J10" t="inlineStr">
        <is>
          <t>Disetujui</t>
        </is>
      </c>
      <c r="K10" t="n">
        <v>60</v>
      </c>
      <c r="L10" t="inlineStr">
        <is>
          <t>20 Juli 2026</t>
        </is>
      </c>
      <c r="M10" t="inlineStr">
        <is>
          <t>Konstruksi Gedung Kesehatan, Konstruksi Gedung Lainnya, Konstruksi Gedung Pendidikan, Konstruksi Gedung Perkantoran, Konstruksi Gedung Tempat Hiburan dan Olahraga, Konstruksi Jaringan Irigasi dan Drainase</t>
        </is>
      </c>
      <c r="N10" t="inlineStr">
        <is>
          <t>K</t>
        </is>
      </c>
      <c r="O10" t="inlineStr">
        <is>
          <t>20230614, 20230615, 20230616</t>
        </is>
      </c>
      <c r="P10" t="inlineStr">
        <is>
          <t>Jawa Barat</t>
        </is>
      </c>
      <c r="Q10" s="3">
        <f>HYPERLINK("https://wa.me/6287883416612?text=*[PENGINGAT MASA BERLAKU SBU MAYSITA ELFI MADANI]*%0A%0AYth. Pimpinan MAYSITA ELFI MADANI,%0AMohon izin menginformasikan status SBU Anda di sistem LPJK:%0A%0A📄 SBU: BG002, BG005, BG006, BG008, BG009, BS004%0A📅 Expired: 20 Juli 2026 (60 Hari Lagi)%0A%0AKami tim PT. ESDEA Assistance Management siap men-support proses perpanjangan segera.", "Hubungi")</f>
        <v/>
      </c>
    </row>
    <row r="11">
      <c r="A11" t="inlineStr">
        <is>
          <t>PILAR LUMBAN KARYA</t>
        </is>
      </c>
      <c r="B11" t="inlineStr">
        <is>
          <t>Kota Bekasi</t>
        </is>
      </c>
      <c r="C11" t="inlineStr">
        <is>
          <t>08561173842</t>
        </is>
      </c>
      <c r="D11" t="inlineStr">
        <is>
          <t>ptpilarlumbankarya@gmail.com</t>
        </is>
      </c>
      <c r="E11" t="inlineStr">
        <is>
          <t>https://lpjk.pu.go.id/search-badan-usaha-detail/eW00UVk5Q052ZDc5aFJTazRwdDU5dz09</t>
        </is>
      </c>
      <c r="F11" t="n">
        <v>2</v>
      </c>
      <c r="G11" t="inlineStr">
        <is>
          <t>BG006, BG009</t>
        </is>
      </c>
      <c r="H11" t="inlineStr">
        <is>
          <t>17 April 2020</t>
        </is>
      </c>
      <c r="I11" s="2" t="n">
        <v>46223</v>
      </c>
      <c r="J11" t="inlineStr">
        <is>
          <t>Disetujui</t>
        </is>
      </c>
      <c r="K11" t="n">
        <v>60</v>
      </c>
      <c r="L11" t="inlineStr">
        <is>
          <t>20 Juli 2026</t>
        </is>
      </c>
      <c r="M11" t="inlineStr">
        <is>
          <t>Konstruksi Gedung Lainnya, Konstruksi Gedung Pendidikan</t>
        </is>
      </c>
      <c r="N11" t="inlineStr">
        <is>
          <t>K</t>
        </is>
      </c>
      <c r="O11" t="inlineStr">
        <is>
          <t>20230627</t>
        </is>
      </c>
      <c r="P11" t="inlineStr">
        <is>
          <t>Jawa Barat</t>
        </is>
      </c>
      <c r="Q11" s="3">
        <f>HYPERLINK("https://wa.me/628561173842?text=*[PENGINGAT MASA BERLAKU SBU PILAR LUMBAN KARYA]*%0A%0AYth. Pimpinan PILAR LUMBAN KARYA,%0AMohon izin menginformasikan status SBU Anda di sistem LPJK:%0A%0A📄 SBU: BG006, BG009%0A📅 Expired: 20 Juli 2026 (60 Hari Lagi)%0A%0AKami tim PT. ESDEA Assistance Management siap men-support proses perpanjangan segera.", "Hubungi")</f>
        <v/>
      </c>
    </row>
    <row r="12">
      <c r="A12" t="inlineStr">
        <is>
          <t>SAMUEL RAMA REKSA</t>
        </is>
      </c>
      <c r="B12" t="inlineStr">
        <is>
          <t>Kota Adm. Jakarta Timur</t>
        </is>
      </c>
      <c r="C12" t="inlineStr">
        <is>
          <t>02122865084</t>
        </is>
      </c>
      <c r="D12" t="inlineStr">
        <is>
          <t>samuelramareksa@gmail.com</t>
        </is>
      </c>
      <c r="E12" t="inlineStr">
        <is>
          <t>https://lpjk.pu.go.id/search-badan-usaha-detail/ZGNCYVNTcmRqTm1oWE9iT2t4NkJsQT09</t>
        </is>
      </c>
      <c r="F12" t="n">
        <v>1</v>
      </c>
      <c r="G12" t="inlineStr">
        <is>
          <t>BS004</t>
        </is>
      </c>
      <c r="H12" t="inlineStr">
        <is>
          <t>12 Juli 2023</t>
        </is>
      </c>
      <c r="I12" s="2" t="n">
        <v>46223</v>
      </c>
      <c r="J12" t="inlineStr">
        <is>
          <t>Disetujui</t>
        </is>
      </c>
      <c r="K12" t="n">
        <v>60</v>
      </c>
      <c r="L12" t="inlineStr">
        <is>
          <t>20 Juli 2026</t>
        </is>
      </c>
      <c r="M12" t="inlineStr">
        <is>
          <t>Konstruksi Jaringan Irigasi dan Drainase</t>
        </is>
      </c>
      <c r="N12" t="inlineStr">
        <is>
          <t>K</t>
        </is>
      </c>
      <c r="O12" t="inlineStr">
        <is>
          <t>20230717</t>
        </is>
      </c>
      <c r="P12" t="inlineStr">
        <is>
          <t>DKI Jakarta</t>
        </is>
      </c>
      <c r="Q12" s="3">
        <f>HYPERLINK("https://wa.me/622122865084?text=*[PENGINGAT MASA BERLAKU SBU SAMUEL RAMA REKSA]*%0A%0AYth. Pimpinan SAMUEL RAMA REKSA,%0AMohon izin menginformasikan status SBU Anda di sistem LPJK:%0A%0A📄 SBU: BS004%0A📅 Expired: 20 Juli 2026 (60 Hari Lagi)%0A%0AKami tim PT. ESDEA Assistance Management siap men-support proses perpanjangan segera.", "Hubungi")</f>
        <v/>
      </c>
    </row>
    <row r="13">
      <c r="A13" t="inlineStr">
        <is>
          <t>TORGABE ARTHA NUGRAHA</t>
        </is>
      </c>
      <c r="B13" t="inlineStr">
        <is>
          <t>Kota Bekasi</t>
        </is>
      </c>
      <c r="C13" t="inlineStr">
        <is>
          <t>02182737324</t>
        </is>
      </c>
      <c r="D13" t="inlineStr">
        <is>
          <t>torgabecv@gmail.com</t>
        </is>
      </c>
      <c r="E13" t="inlineStr">
        <is>
          <t>https://lpjk.pu.go.id/search-badan-usaha-detail/ZkIxY2RaVjJTNExodld6bEFUdEgvUT09</t>
        </is>
      </c>
      <c r="F13" t="n">
        <v>2</v>
      </c>
      <c r="G13" t="inlineStr">
        <is>
          <t>BS001</t>
        </is>
      </c>
      <c r="H13" t="inlineStr">
        <is>
          <t>13 Maret 2017</t>
        </is>
      </c>
      <c r="I13" s="2" t="n">
        <v>46223</v>
      </c>
      <c r="J13" t="inlineStr">
        <is>
          <t>Disetujui</t>
        </is>
      </c>
      <c r="K13" t="n">
        <v>60</v>
      </c>
      <c r="L13" t="inlineStr">
        <is>
          <t>20 Juli 2026</t>
        </is>
      </c>
      <c r="M13" t="inlineStr">
        <is>
          <t>Konstruksi Bangunan Sipil Jalan</t>
        </is>
      </c>
      <c r="N13" t="inlineStr">
        <is>
          <t>K</t>
        </is>
      </c>
      <c r="O13" t="inlineStr">
        <is>
          <t>20230710</t>
        </is>
      </c>
      <c r="P13" t="inlineStr">
        <is>
          <t>Jawa Barat</t>
        </is>
      </c>
      <c r="Q13" s="3">
        <f>HYPERLINK("https://wa.me/622182737324?text=*[PENGINGAT MASA BERLAKU SBU TORGABE ARTHA NUGRAHA]*%0A%0AYth. Pimpinan TORGABE ARTHA NUGRAHA,%0AMohon izin menginformasikan status SBU Anda di sistem LPJK:%0A%0A📄 SBU: BS001%0A📅 Expired: 20 Juli 2026 (60 Hari Lagi)%0A%0AKami tim PT. ESDEA Assistance Management siap men-support proses perpanjangan segera.", "Hubungi")</f>
        <v/>
      </c>
    </row>
    <row r="14">
      <c r="A14" t="inlineStr">
        <is>
          <t>ADHI BERKAH</t>
        </is>
      </c>
      <c r="B14" t="inlineStr">
        <is>
          <t>Kota Malang</t>
        </is>
      </c>
      <c r="C14" t="inlineStr">
        <is>
          <t>08123471067</t>
        </is>
      </c>
      <c r="D14" t="inlineStr">
        <is>
          <t>cv.adhiberkah.mlg@gmail.com</t>
        </is>
      </c>
      <c r="E14" t="inlineStr">
        <is>
          <t>https://lpjk.pu.go.id/search-badan-usaha-detail/Zjc3SjBpeTBSSFhTNTdNTGdsTHFjZz09</t>
        </is>
      </c>
      <c r="F14" t="n">
        <v>1</v>
      </c>
      <c r="G14" t="inlineStr">
        <is>
          <t>BG006</t>
        </is>
      </c>
      <c r="H14" t="inlineStr">
        <is>
          <t>18 November 2022</t>
        </is>
      </c>
      <c r="I14" s="2" t="n">
        <v>46223</v>
      </c>
      <c r="J14" t="inlineStr">
        <is>
          <t>Disetujui</t>
        </is>
      </c>
      <c r="K14" t="n">
        <v>60</v>
      </c>
      <c r="L14" t="inlineStr">
        <is>
          <t>20 Juli 2026</t>
        </is>
      </c>
      <c r="M14" t="inlineStr">
        <is>
          <t>Konstruksi Gedung Pendidikan</t>
        </is>
      </c>
      <c r="N14" t="inlineStr">
        <is>
          <t>K</t>
        </is>
      </c>
      <c r="O14" t="inlineStr">
        <is>
          <t>20230712</t>
        </is>
      </c>
      <c r="P14" t="inlineStr">
        <is>
          <t>Jawa Timur</t>
        </is>
      </c>
      <c r="Q14" s="3">
        <f>HYPERLINK("https://wa.me/628123471067?text=*[PENGINGAT MASA BERLAKU SBU ADHI BERKAH]*%0A%0AYth. Pimpinan ADHI BERKAH,%0AMohon izin menginformasikan status SBU Anda di sistem LPJK:%0A%0A📄 SBU: BG006%0A📅 Expired: 20 Juli 2026 (60 Hari Lagi)%0A%0AKami tim PT. ESDEA Assistance Management siap men-support proses perpanjangan segera.", "Hubungi")</f>
        <v/>
      </c>
    </row>
    <row r="15">
      <c r="A15" t="inlineStr">
        <is>
          <t>ADHI UTAMA</t>
        </is>
      </c>
      <c r="B15" t="inlineStr">
        <is>
          <t>Kota Pangkal Pinang</t>
        </is>
      </c>
      <c r="C15" t="inlineStr">
        <is>
          <t>081271174700</t>
        </is>
      </c>
      <c r="D15" t="inlineStr">
        <is>
          <t>adhiutamapkp@gmail.com</t>
        </is>
      </c>
      <c r="E15" t="inlineStr">
        <is>
          <t>https://lpjk.pu.go.id/search-badan-usaha-detail/by9ZRS9veGRxdGVyL0g0bGFRTDFPQT09</t>
        </is>
      </c>
      <c r="F15" t="n">
        <v>2</v>
      </c>
      <c r="G15" t="inlineStr">
        <is>
          <t>BG001, BG002</t>
        </is>
      </c>
      <c r="H15" t="inlineStr">
        <is>
          <t>27 Desember 2017</t>
        </is>
      </c>
      <c r="I15" s="2" t="n">
        <v>46223</v>
      </c>
      <c r="J15" t="inlineStr">
        <is>
          <t>Pencabutan</t>
        </is>
      </c>
      <c r="K15" t="n">
        <v>60</v>
      </c>
      <c r="L15" t="inlineStr">
        <is>
          <t>20 Juli 2026</t>
        </is>
      </c>
      <c r="M15" t="inlineStr">
        <is>
          <t>Konstruksi Gedung Hunian, Konstruksi Gedung Perkantoran</t>
        </is>
      </c>
      <c r="N15" t="inlineStr">
        <is>
          <t>K</t>
        </is>
      </c>
      <c r="O15" t="inlineStr">
        <is>
          <t>20230720</t>
        </is>
      </c>
      <c r="P15" t="inlineStr">
        <is>
          <t>Kepulauan Bangka Belitung</t>
        </is>
      </c>
      <c r="Q15" s="3">
        <f>HYPERLINK("https://wa.me/6281271174700?text=*[PENGINGAT MASA BERLAKU SBU ADHI UTAMA]*%0A%0AYth. Pimpinan ADHI UTAMA,%0AMohon izin menginformasikan status SBU Anda di sistem LPJK:%0A%0A📄 SBU: BG001, BG002%0A📅 Expired: 20 Juli 2026 (60 Hari Lagi)%0A%0AKami tim PT. ESDEA Assistance Management siap men-support proses perpanjangan segera.", "Hubungi")</f>
        <v/>
      </c>
    </row>
    <row r="16">
      <c r="A16" t="inlineStr">
        <is>
          <t>ADI JAYAKARYA</t>
        </is>
      </c>
      <c r="B16" t="inlineStr">
        <is>
          <t>Kab. Bangkalan</t>
        </is>
      </c>
      <c r="C16" t="inlineStr">
        <is>
          <t>082332379949</t>
        </is>
      </c>
      <c r="D16" t="inlineStr">
        <is>
          <t>adijayakarya212@gmail.com</t>
        </is>
      </c>
      <c r="E16" t="inlineStr">
        <is>
          <t>https://lpjk.pu.go.id/search-badan-usaha-detail/T1FHd2p3L2ZqWitnZi9ZR1ZDUVZ3QT09</t>
        </is>
      </c>
      <c r="F16" t="n">
        <v>1</v>
      </c>
      <c r="G16" t="inlineStr">
        <is>
          <t>BS001</t>
        </is>
      </c>
      <c r="H16" t="inlineStr">
        <is>
          <t>4 Oktober 2022</t>
        </is>
      </c>
      <c r="I16" s="2" t="n">
        <v>46223</v>
      </c>
      <c r="J16" t="inlineStr">
        <is>
          <t>Disetujui</t>
        </is>
      </c>
      <c r="K16" t="n">
        <v>60</v>
      </c>
      <c r="L16" t="inlineStr">
        <is>
          <t>20 Juli 2026</t>
        </is>
      </c>
      <c r="M16" t="inlineStr">
        <is>
          <t>Konstruksi Bangunan Sipil Jalan</t>
        </is>
      </c>
      <c r="N16" t="inlineStr">
        <is>
          <t>K</t>
        </is>
      </c>
      <c r="O16" t="inlineStr">
        <is>
          <t>20230718</t>
        </is>
      </c>
      <c r="P16" t="inlineStr">
        <is>
          <t>Jawa Timur</t>
        </is>
      </c>
      <c r="Q16" s="3">
        <f>HYPERLINK("https://wa.me/6282332379949?text=*[PENGINGAT MASA BERLAKU SBU ADI JAYAKARYA]*%0A%0AYth. Pimpinan ADI JAYAKARYA,%0AMohon izin menginformasikan status SBU Anda di sistem LPJK:%0A%0A📄 SBU: BS001%0A📅 Expired: 20 Juli 2026 (60 Hari Lagi)%0A%0AKami tim PT. ESDEA Assistance Management siap men-support proses perpanjangan segera.", "Hubungi")</f>
        <v/>
      </c>
    </row>
    <row r="17">
      <c r="A17" t="inlineStr">
        <is>
          <t>ADI PUTRA</t>
        </is>
      </c>
      <c r="B17" t="inlineStr">
        <is>
          <t>Kab. Maros</t>
        </is>
      </c>
      <c r="C17" t="inlineStr">
        <is>
          <t>08124154757</t>
        </is>
      </c>
      <c r="D17" t="inlineStr">
        <is>
          <t>adimco2@gmail.com</t>
        </is>
      </c>
      <c r="E17" t="inlineStr">
        <is>
          <t>https://lpjk.pu.go.id/search-badan-usaha-detail/TkNkeC9vZkp4K2lhbmZnai9zNGI1dz09</t>
        </is>
      </c>
      <c r="F17" t="n">
        <v>1</v>
      </c>
      <c r="G17" t="inlineStr">
        <is>
          <t>BG005</t>
        </is>
      </c>
      <c r="H17" t="inlineStr">
        <is>
          <t>12 November 1993</t>
        </is>
      </c>
      <c r="I17" s="2" t="n">
        <v>46223</v>
      </c>
      <c r="J17" t="inlineStr">
        <is>
          <t>Disetujui</t>
        </is>
      </c>
      <c r="K17" t="n">
        <v>60</v>
      </c>
      <c r="L17" t="inlineStr">
        <is>
          <t>20 Juli 2026</t>
        </is>
      </c>
      <c r="M17" t="inlineStr">
        <is>
          <t>Konstruksi Gedung Kesehatan</t>
        </is>
      </c>
      <c r="N17" t="inlineStr">
        <is>
          <t>K</t>
        </is>
      </c>
      <c r="O17" t="inlineStr">
        <is>
          <t>20230720</t>
        </is>
      </c>
      <c r="P17" t="inlineStr">
        <is>
          <t>Sulawesi Selatan</t>
        </is>
      </c>
      <c r="Q17" s="3">
        <f>HYPERLINK("https://wa.me/628124154757?text=*[PENGINGAT MASA BERLAKU SBU ADI PUTRA]*%0A%0AYth. Pimpinan ADI PUTRA,%0AMohon izin menginformasikan status SBU Anda di sistem LPJK:%0A%0A📄 SBU: BG005%0A📅 Expired: 20 Juli 2026 (60 Hari Lagi)%0A%0AKami tim PT. ESDEA Assistance Management siap men-support proses perpanjangan segera.", "Hubungi")</f>
        <v/>
      </c>
    </row>
    <row r="18">
      <c r="A18" t="inlineStr">
        <is>
          <t>ADSKHAN PUTRA GEMILANG</t>
        </is>
      </c>
      <c r="B18" t="inlineStr">
        <is>
          <t>Kab. Rokan Hilir</t>
        </is>
      </c>
      <c r="C18" t="inlineStr">
        <is>
          <t>082180779806</t>
        </is>
      </c>
      <c r="D18" t="inlineStr">
        <is>
          <t>adskhan.engineer@gmail.com</t>
        </is>
      </c>
      <c r="E18" t="inlineStr">
        <is>
          <t>https://lpjk.pu.go.id/search-badan-usaha-detail/N2dpRTEreThnZ2UwZTl2Ry83cE5KUT09</t>
        </is>
      </c>
      <c r="F18" t="n">
        <v>1</v>
      </c>
      <c r="G18" t="inlineStr">
        <is>
          <t>BS001</t>
        </is>
      </c>
      <c r="H18" t="inlineStr">
        <is>
          <t>19 Januari 2022</t>
        </is>
      </c>
      <c r="I18" s="2" t="n">
        <v>46223</v>
      </c>
      <c r="J18" t="inlineStr">
        <is>
          <t>Disetujui</t>
        </is>
      </c>
      <c r="K18" t="n">
        <v>60</v>
      </c>
      <c r="L18" t="inlineStr">
        <is>
          <t>20 Juli 2026</t>
        </is>
      </c>
      <c r="M18" t="inlineStr">
        <is>
          <t>Konstruksi Bangunan Sipil Jalan</t>
        </is>
      </c>
      <c r="N18" t="inlineStr">
        <is>
          <t>K</t>
        </is>
      </c>
      <c r="O18" t="inlineStr">
        <is>
          <t>20230717</t>
        </is>
      </c>
      <c r="P18" t="inlineStr">
        <is>
          <t>Riau</t>
        </is>
      </c>
      <c r="Q18" s="3">
        <f>HYPERLINK("https://wa.me/6282180779806?text=*[PENGINGAT MASA BERLAKU SBU ADSKHAN PUTRA GEMILANG]*%0A%0AYth. Pimpinan ADSKHAN PUTRA GEMILANG,%0AMohon izin menginformasikan status SBU Anda di sistem LPJK:%0A%0A📄 SBU: BS001%0A📅 Expired: 20 Juli 2026 (60 Hari Lagi)%0A%0AKami tim PT. ESDEA Assistance Management siap men-support proses perpanjangan segera.", "Hubungi")</f>
        <v/>
      </c>
    </row>
    <row r="19">
      <c r="A19" t="inlineStr">
        <is>
          <t>AEK SIHORU HORU JAYA</t>
        </is>
      </c>
      <c r="B19" t="inlineStr">
        <is>
          <t>Kota Padang Sidempuan</t>
        </is>
      </c>
      <c r="C19" t="inlineStr">
        <is>
          <t>085374411548</t>
        </is>
      </c>
      <c r="D19" t="inlineStr">
        <is>
          <t>cv.aeksihoruhorujaya@gmail.com</t>
        </is>
      </c>
      <c r="E19" t="inlineStr">
        <is>
          <t>https://lpjk.pu.go.id/search-badan-usaha-detail/UWgwS3B0MnhJSVlDSUJ4WWUyc2d4QT09</t>
        </is>
      </c>
      <c r="F19" t="n">
        <v>1</v>
      </c>
      <c r="G19" t="inlineStr">
        <is>
          <t>BG006</t>
        </is>
      </c>
      <c r="H19" t="inlineStr">
        <is>
          <t>26 Juni 2023</t>
        </is>
      </c>
      <c r="I19" s="2" t="n">
        <v>46223</v>
      </c>
      <c r="J19" t="inlineStr">
        <is>
          <t>Disetujui</t>
        </is>
      </c>
      <c r="K19" t="n">
        <v>60</v>
      </c>
      <c r="L19" t="inlineStr">
        <is>
          <t>20 Juli 2026</t>
        </is>
      </c>
      <c r="M19" t="inlineStr">
        <is>
          <t>Konstruksi Gedung Pendidikan</t>
        </is>
      </c>
      <c r="N19" t="inlineStr">
        <is>
          <t>K</t>
        </is>
      </c>
      <c r="O19" t="inlineStr">
        <is>
          <t>20230720</t>
        </is>
      </c>
      <c r="P19" t="inlineStr">
        <is>
          <t>Sumatera Utara</t>
        </is>
      </c>
      <c r="Q19" s="3">
        <f>HYPERLINK("https://wa.me/6285374411548?text=*[PENGINGAT MASA BERLAKU SBU AEK SIHORU HORU JAYA]*%0A%0AYth. Pimpinan AEK SIHORU HORU JAYA,%0AMohon izin menginformasikan status SBU Anda di sistem LPJK:%0A%0A📄 SBU: BG006%0A📅 Expired: 20 Juli 2026 (60 Hari Lagi)%0A%0AKami tim PT. ESDEA Assistance Management siap men-support proses perpanjangan segera.", "Hubungi")</f>
        <v/>
      </c>
    </row>
    <row r="20">
      <c r="A20" t="inlineStr">
        <is>
          <t>AFLAH CONSTRUCTION</t>
        </is>
      </c>
      <c r="B20" t="inlineStr">
        <is>
          <t>Kab. Mamuju</t>
        </is>
      </c>
      <c r="C20" t="inlineStr">
        <is>
          <t>081241529271</t>
        </is>
      </c>
      <c r="D20" t="inlineStr">
        <is>
          <t>cv.aflah.construction47@gmail.com</t>
        </is>
      </c>
      <c r="E20" t="inlineStr">
        <is>
          <t>https://lpjk.pu.go.id/search-badan-usaha-detail/T1h2djBsTk9WOGJRZEYvVTdvSW02QT09</t>
        </is>
      </c>
      <c r="F20" t="n">
        <v>3</v>
      </c>
      <c r="G20" t="inlineStr">
        <is>
          <t>BG005, BG006, BG009</t>
        </is>
      </c>
      <c r="H20" t="inlineStr">
        <is>
          <t>14 Februari 2017</t>
        </is>
      </c>
      <c r="I20" s="2" t="n">
        <v>46223</v>
      </c>
      <c r="J20" t="inlineStr">
        <is>
          <t>Disetujui</t>
        </is>
      </c>
      <c r="K20" t="n">
        <v>60</v>
      </c>
      <c r="L20" t="inlineStr">
        <is>
          <t>20 Juli 2026</t>
        </is>
      </c>
      <c r="M20" t="inlineStr">
        <is>
          <t>Konstruksi Gedung Kesehatan, Konstruksi Gedung Lainnya, Konstruksi Gedung Pendidikan</t>
        </is>
      </c>
      <c r="N20" t="inlineStr">
        <is>
          <t>K</t>
        </is>
      </c>
      <c r="O20" t="inlineStr">
        <is>
          <t>20230720</t>
        </is>
      </c>
      <c r="P20" t="inlineStr">
        <is>
          <t>Sulawesi Barat</t>
        </is>
      </c>
      <c r="Q20" s="3">
        <f>HYPERLINK("https://wa.me/6281241529271?text=*[PENGINGAT MASA BERLAKU SBU AFLAH CONSTRUCTION]*%0A%0AYth. Pimpinan AFLAH CONSTRUCTION,%0AMohon izin menginformasikan status SBU Anda di sistem LPJK:%0A%0A📄 SBU: BG005, BG006, BG009%0A📅 Expired: 20 Juli 2026 (60 Hari Lagi)%0A%0AKami tim PT. ESDEA Assistance Management siap men-support proses perpanjangan segera.", "Hubungi")</f>
        <v/>
      </c>
    </row>
    <row r="21">
      <c r="A21" t="inlineStr">
        <is>
          <t>AGRO TEKNIK KONSULTAMA</t>
        </is>
      </c>
      <c r="B21" t="inlineStr">
        <is>
          <t>Kota Samarinda</t>
        </is>
      </c>
      <c r="C21" t="inlineStr">
        <is>
          <t>05416252145</t>
        </is>
      </c>
      <c r="D21" t="inlineStr">
        <is>
          <t>agroportal_smd@yahoo.com</t>
        </is>
      </c>
      <c r="E21" t="inlineStr">
        <is>
          <t>https://lpjk.pu.go.id/search-badan-usaha-detail/QmY3ZW01TExNaDdCVUxteTR2dmhEUT09</t>
        </is>
      </c>
      <c r="F21" t="n">
        <v>4</v>
      </c>
      <c r="G21" t="inlineStr">
        <is>
          <t>RK001, RK002, RK003, RK005</t>
        </is>
      </c>
      <c r="H21" t="inlineStr">
        <is>
          <t>15 Mei 2008</t>
        </is>
      </c>
      <c r="I21" s="2" t="n">
        <v>46223</v>
      </c>
      <c r="J21" t="inlineStr">
        <is>
          <t>Disetujui</t>
        </is>
      </c>
      <c r="K21" t="n">
        <v>60</v>
      </c>
      <c r="L21" t="inlineStr">
        <is>
          <t>20 Juli 2026</t>
        </is>
      </c>
      <c r="M21" t="inlineStr">
        <is>
          <t>Jasa Rekayasa Konstruksi Bangunan Gedung Hunian dan Non Hunian, Jasa Rekayasa Lainnya, Jasa Rekayasa Pekerjaan Teknik Sipil Sumber Daya Air, Jasa Rekayasa Pekerjaan Teknik Sipil Transportasi</t>
        </is>
      </c>
      <c r="N21" t="inlineStr">
        <is>
          <t>K</t>
        </is>
      </c>
      <c r="O21" t="inlineStr">
        <is>
          <t>20230621, 20230707</t>
        </is>
      </c>
      <c r="P21" t="inlineStr">
        <is>
          <t>Kalimantan Timur</t>
        </is>
      </c>
      <c r="Q21" s="3">
        <f>HYPERLINK("https://wa.me/625416252145?text=*[PENGINGAT MASA BERLAKU SBU AGRO TEKNIK KONSULTAMA]*%0A%0AYth. Pimpinan AGRO TEKNIK KONSULTAMA,%0AMohon izin menginformasikan status SBU Anda di sistem LPJK:%0A%0A📄 SBU: RK001, RK002, RK003, RK005%0A📅 Expired: 20 Juli 2026 (60 Hari Lagi)%0A%0AKami tim PT. ESDEA Assistance Management siap men-support proses perpanjangan segera.", "Hubungi")</f>
        <v/>
      </c>
    </row>
    <row r="22">
      <c r="A22" t="inlineStr">
        <is>
          <t>AIR PUTIH</t>
        </is>
      </c>
      <c r="B22" t="inlineStr">
        <is>
          <t>Kota Tanjung Pinang</t>
        </is>
      </c>
      <c r="C22" t="inlineStr">
        <is>
          <t>085264399639</t>
        </is>
      </c>
      <c r="D22" t="inlineStr">
        <is>
          <t>cvairputih8@gmail.com</t>
        </is>
      </c>
      <c r="E22" t="inlineStr">
        <is>
          <t>https://lpjk.pu.go.id/search-badan-usaha-detail/YzJnZTBKMFNpdTB4VmVPR2xOZE9HUT09</t>
        </is>
      </c>
      <c r="F22" t="n">
        <v>1</v>
      </c>
      <c r="G22" t="inlineStr">
        <is>
          <t>BS005</t>
        </is>
      </c>
      <c r="H22" t="inlineStr">
        <is>
          <t>28 Februari 2012</t>
        </is>
      </c>
      <c r="I22" s="2" t="n">
        <v>46223</v>
      </c>
      <c r="J22" t="inlineStr">
        <is>
          <t>Pencabutan</t>
        </is>
      </c>
      <c r="K22" t="n">
        <v>60</v>
      </c>
      <c r="L22" t="inlineStr">
        <is>
          <t>20 Juli 2026</t>
        </is>
      </c>
      <c r="M22" t="inlineStr">
        <is>
          <t>Konstruksi Bangunan Sipil Pengolahan Air Bersih</t>
        </is>
      </c>
      <c r="N22" t="inlineStr">
        <is>
          <t>K</t>
        </is>
      </c>
      <c r="O22" t="inlineStr">
        <is>
          <t>20230713</t>
        </is>
      </c>
      <c r="P22" t="inlineStr">
        <is>
          <t>Kepulauan Riau</t>
        </is>
      </c>
      <c r="Q22" s="3">
        <f>HYPERLINK("https://wa.me/6285264399639?text=*[PENGINGAT MASA BERLAKU SBU AIR PUTIH]*%0A%0AYth. Pimpinan AIR PUTIH,%0AMohon izin menginformasikan status SBU Anda di sistem LPJK:%0A%0A📄 SBU: BS005%0A📅 Expired: 20 Juli 2026 (60 Hari Lagi)%0A%0AKami tim PT. ESDEA Assistance Management siap men-support proses perpanjangan segera.", "Hubungi")</f>
        <v/>
      </c>
    </row>
    <row r="23">
      <c r="A23" t="inlineStr">
        <is>
          <t>ALAM MANDIRI CIPTA</t>
        </is>
      </c>
      <c r="B23" t="inlineStr">
        <is>
          <t>Kota Pekanbaru</t>
        </is>
      </c>
      <c r="C23" t="inlineStr">
        <is>
          <t>082268314254</t>
        </is>
      </c>
      <c r="D23" t="inlineStr">
        <is>
          <t>alammandiricipta05@gmail.com</t>
        </is>
      </c>
      <c r="E23" t="inlineStr">
        <is>
          <t>https://lpjk.pu.go.id/search-badan-usaha-detail/a1NMZURQcU1EbERFVEFFU1A5TXcxdz09</t>
        </is>
      </c>
      <c r="F23" t="n">
        <v>1</v>
      </c>
      <c r="G23" t="inlineStr">
        <is>
          <t>PB009</t>
        </is>
      </c>
      <c r="H23" t="inlineStr">
        <is>
          <t>4 Februari 2016</t>
        </is>
      </c>
      <c r="I23" s="2" t="n">
        <v>46223</v>
      </c>
      <c r="J23" t="inlineStr">
        <is>
          <t>Pencabutan</t>
        </is>
      </c>
      <c r="K23" t="n">
        <v>60</v>
      </c>
      <c r="L23" t="inlineStr">
        <is>
          <t>20 Juli 2026</t>
        </is>
      </c>
      <c r="M23" t="inlineStr">
        <is>
          <t>Pembersihan dan Perapihan Bangunan Gedung dan/atau Bangunan Sipil</t>
        </is>
      </c>
      <c r="N23" t="inlineStr">
        <is>
          <t>Spesialis</t>
        </is>
      </c>
      <c r="O23" t="inlineStr">
        <is>
          <t>20230719</t>
        </is>
      </c>
      <c r="P23" t="inlineStr">
        <is>
          <t>Riau</t>
        </is>
      </c>
      <c r="Q23" s="3">
        <f>HYPERLINK("https://wa.me/6282268314254?text=*[PENGINGAT MASA BERLAKU SBU ALAM MANDIRI CIPTA]*%0A%0AYth. Pimpinan ALAM MANDIRI CIPTA,%0AMohon izin menginformasikan status SBU Anda di sistem LPJK:%0A%0A📄 SBU: PB009%0A📅 Expired: 20 Juli 2026 (60 Hari Lagi)%0A%0AKami tim PT. ESDEA Assistance Management siap men-support proses perpanjangan segera.", "Hubungi")</f>
        <v/>
      </c>
    </row>
    <row r="24">
      <c r="A24" t="inlineStr">
        <is>
          <t>ALAM RAYA</t>
        </is>
      </c>
      <c r="B24" t="inlineStr">
        <is>
          <t>Kab. Dompu</t>
        </is>
      </c>
      <c r="C24" t="inlineStr">
        <is>
          <t>085338420939</t>
        </is>
      </c>
      <c r="D24" t="inlineStr">
        <is>
          <t>alamrayadompu11@gmail.com</t>
        </is>
      </c>
      <c r="E24" t="inlineStr">
        <is>
          <t>https://lpjk.pu.go.id/search-badan-usaha-detail/emxCYkoyNG1yR0tYRHBPd0NlY0FOUT09</t>
        </is>
      </c>
      <c r="F24" t="n">
        <v>1</v>
      </c>
      <c r="G24" t="inlineStr">
        <is>
          <t>BG003</t>
        </is>
      </c>
      <c r="H24" t="inlineStr">
        <is>
          <t>5 Februari 2011</t>
        </is>
      </c>
      <c r="I24" s="2" t="n">
        <v>46223</v>
      </c>
      <c r="J24" t="inlineStr">
        <is>
          <t>Disetujui</t>
        </is>
      </c>
      <c r="K24" t="n">
        <v>60</v>
      </c>
      <c r="L24" t="inlineStr">
        <is>
          <t>20 Juli 2026</t>
        </is>
      </c>
      <c r="M24" t="inlineStr">
        <is>
          <t>Konstruksi Gedung Industri</t>
        </is>
      </c>
      <c r="N24" t="inlineStr">
        <is>
          <t>K</t>
        </is>
      </c>
      <c r="O24" t="inlineStr">
        <is>
          <t>20230717</t>
        </is>
      </c>
      <c r="P24" t="inlineStr">
        <is>
          <t>Nusa Tenggara Barat</t>
        </is>
      </c>
      <c r="Q24" s="3">
        <f>HYPERLINK("https://wa.me/6285338420939?text=*[PENGINGAT MASA BERLAKU SBU ALAM RAYA]*%0A%0AYth. Pimpinan ALAM RAYA,%0AMohon izin menginformasikan status SBU Anda di sistem LPJK:%0A%0A📄 SBU: BG003%0A📅 Expired: 20 Juli 2026 (60 Hari Lagi)%0A%0AKami tim PT. ESDEA Assistance Management siap men-support proses perpanjangan segera.", "Hubungi")</f>
        <v/>
      </c>
    </row>
    <row r="25">
      <c r="A25" t="inlineStr">
        <is>
          <t>ALI AKBAR</t>
        </is>
      </c>
      <c r="B25" t="inlineStr">
        <is>
          <t>Kab. Wakatobi</t>
        </is>
      </c>
      <c r="C25" t="inlineStr">
        <is>
          <t>082394711155</t>
        </is>
      </c>
      <c r="D25" t="inlineStr">
        <is>
          <t>cvaliakbarrasliani@gmail.com</t>
        </is>
      </c>
      <c r="E25" t="inlineStr">
        <is>
          <t>https://lpjk.pu.go.id/search-badan-usaha-detail/NjkrODJOR2ZrTTlZSjEzcHVlWkFLZz09</t>
        </is>
      </c>
      <c r="F25" t="n">
        <v>2</v>
      </c>
      <c r="G25" t="inlineStr">
        <is>
          <t>BG006, BG008</t>
        </is>
      </c>
      <c r="H25" t="inlineStr">
        <is>
          <t>20 Desember 2000</t>
        </is>
      </c>
      <c r="I25" s="2" t="n">
        <v>46223</v>
      </c>
      <c r="J25" t="inlineStr">
        <is>
          <t>Disetujui</t>
        </is>
      </c>
      <c r="K25" t="n">
        <v>60</v>
      </c>
      <c r="L25" t="inlineStr">
        <is>
          <t>20 Juli 2026</t>
        </is>
      </c>
      <c r="M25" t="inlineStr">
        <is>
          <t>Konstruksi Gedung Pendidikan, Konstruksi Gedung Tempat Hiburan dan Olahraga</t>
        </is>
      </c>
      <c r="N25" t="inlineStr">
        <is>
          <t>K</t>
        </is>
      </c>
      <c r="O25" t="inlineStr">
        <is>
          <t>20230717</t>
        </is>
      </c>
      <c r="P25" t="inlineStr">
        <is>
          <t>Sulawesi Tenggara</t>
        </is>
      </c>
      <c r="Q25" s="3">
        <f>HYPERLINK("https://wa.me/6282394711155?text=*[PENGINGAT MASA BERLAKU SBU ALI AKBAR]*%0A%0AYth. Pimpinan ALI AKBAR,%0AMohon izin menginformasikan status SBU Anda di sistem LPJK:%0A%0A📄 SBU: BG006, BG008%0A📅 Expired: 20 Juli 2026 (60 Hari Lagi)%0A%0AKami tim PT. ESDEA Assistance Management siap men-support proses perpanjangan segera.", "Hubungi")</f>
        <v/>
      </c>
    </row>
    <row r="26">
      <c r="A26" t="inlineStr">
        <is>
          <t>ALPIN ALGANI</t>
        </is>
      </c>
      <c r="B26" t="inlineStr">
        <is>
          <t>Kab. Subang</t>
        </is>
      </c>
      <c r="C26" t="inlineStr">
        <is>
          <t>85222873550</t>
        </is>
      </c>
      <c r="D26" t="inlineStr">
        <is>
          <t>alpinalghanicv@gmail.com</t>
        </is>
      </c>
      <c r="E26" t="inlineStr">
        <is>
          <t>https://lpjk.pu.go.id/search-badan-usaha-detail/d3JkWXMzY0xGVVMxVDBuZjVrQnFKQT09</t>
        </is>
      </c>
      <c r="F26" t="n">
        <v>2</v>
      </c>
      <c r="G26" t="inlineStr">
        <is>
          <t>BG002</t>
        </is>
      </c>
      <c r="H26" t="inlineStr">
        <is>
          <t>26 Oktober 2016</t>
        </is>
      </c>
      <c r="I26" s="2" t="n">
        <v>46223</v>
      </c>
      <c r="J26" t="inlineStr">
        <is>
          <t>Pencabutan</t>
        </is>
      </c>
      <c r="K26" t="n">
        <v>60</v>
      </c>
      <c r="L26" t="inlineStr">
        <is>
          <t>20 Juli 2026</t>
        </is>
      </c>
      <c r="M26" t="inlineStr">
        <is>
          <t>Konstruksi Gedung Perkantoran</t>
        </is>
      </c>
      <c r="N26" t="inlineStr">
        <is>
          <t>K</t>
        </is>
      </c>
      <c r="O26" t="inlineStr">
        <is>
          <t>20230718</t>
        </is>
      </c>
      <c r="P26" t="inlineStr">
        <is>
          <t>Jawa Barat</t>
        </is>
      </c>
      <c r="Q26" s="3">
        <f>HYPERLINK("https://wa.me/6285222873550?text=*[PENGINGAT MASA BERLAKU SBU ALPIN ALGANI]*%0A%0AYth. Pimpinan ALPIN ALGANI,%0AMohon izin menginformasikan status SBU Anda di sistem LPJK:%0A%0A📄 SBU: BG002%0A📅 Expired: 20 Juli 2026 (60 Hari Lagi)%0A%0AKami tim PT. ESDEA Assistance Management siap men-support proses perpanjangan segera.", "Hubungi")</f>
        <v/>
      </c>
    </row>
    <row r="27">
      <c r="A27" t="inlineStr">
        <is>
          <t>ALYAH</t>
        </is>
      </c>
      <c r="B27" t="inlineStr">
        <is>
          <t>Kab. Donggala</t>
        </is>
      </c>
      <c r="C27" t="inlineStr">
        <is>
          <t>081341252789</t>
        </is>
      </c>
      <c r="D27" t="inlineStr">
        <is>
          <t>cv.alyah@gmail.com</t>
        </is>
      </c>
      <c r="E27" t="inlineStr">
        <is>
          <t>https://lpjk.pu.go.id/search-badan-usaha-detail/Z3FheDNjV2ZqZDdTa0JlQmt5dHlJZz09</t>
        </is>
      </c>
      <c r="F27" t="n">
        <v>2</v>
      </c>
      <c r="G27" t="inlineStr">
        <is>
          <t>BS004, BS005</t>
        </is>
      </c>
      <c r="H27" t="inlineStr">
        <is>
          <t>3 November 2014</t>
        </is>
      </c>
      <c r="I27" s="2" t="n">
        <v>46223</v>
      </c>
      <c r="J27" t="inlineStr">
        <is>
          <t>Disetujui</t>
        </is>
      </c>
      <c r="K27" t="n">
        <v>60</v>
      </c>
      <c r="L27" t="inlineStr">
        <is>
          <t>20 Juli 2026</t>
        </is>
      </c>
      <c r="M27" t="inlineStr">
        <is>
          <t>Konstruksi Bangunan Sipil Pengolahan Air Bersih, Konstruksi Jaringan Irigasi dan Drainase</t>
        </is>
      </c>
      <c r="N27" t="inlineStr">
        <is>
          <t>K</t>
        </is>
      </c>
      <c r="O27" t="inlineStr">
        <is>
          <t>20230720</t>
        </is>
      </c>
      <c r="P27" t="inlineStr">
        <is>
          <t>Sulawesi Tengah</t>
        </is>
      </c>
      <c r="Q27" s="3">
        <f>HYPERLINK("https://wa.me/6281341252789?text=*[PENGINGAT MASA BERLAKU SBU ALYAH]*%0A%0AYth. Pimpinan ALYAH,%0AMohon izin menginformasikan status SBU Anda di sistem LPJK:%0A%0A📄 SBU: BS004, BS005%0A📅 Expired: 20 Juli 2026 (60 Hari Lagi)%0A%0AKami tim PT. ESDEA Assistance Management siap men-support proses perpanjangan segera.", "Hubungi")</f>
        <v/>
      </c>
    </row>
    <row r="28">
      <c r="A28" t="inlineStr">
        <is>
          <t>AMANAH RIZQI BAROKAH</t>
        </is>
      </c>
      <c r="B28" t="inlineStr">
        <is>
          <t>Kab. Banyumas</t>
        </is>
      </c>
      <c r="C28" t="inlineStr">
        <is>
          <t>085642156122</t>
        </is>
      </c>
      <c r="D28" t="inlineStr">
        <is>
          <t>amanahrisqibarokah@gmail.com</t>
        </is>
      </c>
      <c r="E28" t="inlineStr">
        <is>
          <t>https://lpjk.pu.go.id/search-badan-usaha-detail/NUR3dWhRdkVjbm83Um1kVVRqTFBJZz09</t>
        </is>
      </c>
      <c r="F28" t="n">
        <v>3</v>
      </c>
      <c r="G28" t="inlineStr">
        <is>
          <t>BG008</t>
        </is>
      </c>
      <c r="H28" t="inlineStr">
        <is>
          <t>23 November 2016</t>
        </is>
      </c>
      <c r="I28" s="2" t="n">
        <v>46223</v>
      </c>
      <c r="J28" t="inlineStr">
        <is>
          <t>Disetujui</t>
        </is>
      </c>
      <c r="K28" t="n">
        <v>60</v>
      </c>
      <c r="L28" t="inlineStr">
        <is>
          <t>20 Juli 2026</t>
        </is>
      </c>
      <c r="M28" t="inlineStr">
        <is>
          <t>Konstruksi Gedung Tempat Hiburan dan Olahraga</t>
        </is>
      </c>
      <c r="N28" t="inlineStr">
        <is>
          <t>K</t>
        </is>
      </c>
      <c r="O28" t="inlineStr">
        <is>
          <t>20230719</t>
        </is>
      </c>
      <c r="P28" t="inlineStr">
        <is>
          <t>Jawa Tengah</t>
        </is>
      </c>
      <c r="Q28" s="3">
        <f>HYPERLINK("https://wa.me/6285642156122?text=*[PENGINGAT MASA BERLAKU SBU AMANAH RIZQI BAROKAH]*%0A%0AYth. Pimpinan AMANAH RIZQI BAROKAH,%0AMohon izin menginformasikan status SBU Anda di sistem LPJK:%0A%0A📄 SBU: BG008%0A📅 Expired: 20 Juli 2026 (60 Hari Lagi)%0A%0AKami tim PT. ESDEA Assistance Management siap men-support proses perpanjangan segera.", "Hubungi")</f>
        <v/>
      </c>
    </row>
    <row r="29">
      <c r="A29" t="inlineStr">
        <is>
          <t>ANGKASA JAYA</t>
        </is>
      </c>
      <c r="B29" t="inlineStr">
        <is>
          <t>Kab. Sanggau</t>
        </is>
      </c>
      <c r="C29" t="inlineStr">
        <is>
          <t>082251244888</t>
        </is>
      </c>
      <c r="D29" t="inlineStr">
        <is>
          <t>angkasajaya046@gmail.com</t>
        </is>
      </c>
      <c r="E29" t="inlineStr">
        <is>
          <t>https://lpjk.pu.go.id/search-badan-usaha-detail/bEZGMGVZbUNQdjhoSTRmZ2tLMTRVUT09</t>
        </is>
      </c>
      <c r="F29" t="n">
        <v>2</v>
      </c>
      <c r="G29" t="inlineStr">
        <is>
          <t>PB009</t>
        </is>
      </c>
      <c r="H29" t="inlineStr">
        <is>
          <t>1 September 2015</t>
        </is>
      </c>
      <c r="I29" s="2" t="n">
        <v>46223</v>
      </c>
      <c r="J29" t="inlineStr">
        <is>
          <t>Pembekuan</t>
        </is>
      </c>
      <c r="K29" t="n">
        <v>60</v>
      </c>
      <c r="L29" t="inlineStr">
        <is>
          <t>20 Juli 2026</t>
        </is>
      </c>
      <c r="M29" t="inlineStr">
        <is>
          <t>Pembersihan dan Perapihan Bangunan Gedung dan/atau Bangunan Sipil</t>
        </is>
      </c>
      <c r="N29" t="inlineStr">
        <is>
          <t>Spesialis</t>
        </is>
      </c>
      <c r="O29" t="inlineStr">
        <is>
          <t>20230720</t>
        </is>
      </c>
      <c r="P29" t="inlineStr">
        <is>
          <t>Kalimantan Barat</t>
        </is>
      </c>
      <c r="Q29" s="3">
        <f>HYPERLINK("https://wa.me/6282251244888?text=*[PENGINGAT MASA BERLAKU SBU ANGKASA JAYA]*%0A%0AYth. Pimpinan ANGKASA JAYA,%0AMohon izin menginformasikan status SBU Anda di sistem LPJK:%0A%0A📄 SBU: PB009%0A📅 Expired: 20 Juli 2026 (60 Hari Lagi)%0A%0AKami tim PT. ESDEA Assistance Management siap men-support proses perpanjangan segera.", "Hubungi")</f>
        <v/>
      </c>
    </row>
    <row r="30">
      <c r="A30" t="inlineStr">
        <is>
          <t>ANNASYA MITRA UTAMA</t>
        </is>
      </c>
      <c r="B30" t="inlineStr">
        <is>
          <t>Kota Samarinda</t>
        </is>
      </c>
      <c r="C30" t="inlineStr">
        <is>
          <t>081255567824</t>
        </is>
      </c>
      <c r="D30" t="inlineStr">
        <is>
          <t>annasyamitrautamacv@yahoo.com</t>
        </is>
      </c>
      <c r="E30" t="inlineStr">
        <is>
          <t>https://lpjk.pu.go.id/search-badan-usaha-detail/elVNTmZhV0pFUi9zS3FyTi9LalFNUT09</t>
        </is>
      </c>
      <c r="F30" t="n">
        <v>1</v>
      </c>
      <c r="G30" t="inlineStr">
        <is>
          <t>BS001</t>
        </is>
      </c>
      <c r="H30" t="inlineStr">
        <is>
          <t>18 Desember 2018</t>
        </is>
      </c>
      <c r="I30" s="2" t="n">
        <v>46223</v>
      </c>
      <c r="J30" t="inlineStr">
        <is>
          <t>Disetujui</t>
        </is>
      </c>
      <c r="K30" t="n">
        <v>60</v>
      </c>
      <c r="L30" t="inlineStr">
        <is>
          <t>20 Juli 2026</t>
        </is>
      </c>
      <c r="M30" t="inlineStr">
        <is>
          <t>Konstruksi Bangunan Sipil Jalan</t>
        </is>
      </c>
      <c r="N30" t="inlineStr">
        <is>
          <t>K</t>
        </is>
      </c>
      <c r="O30" t="inlineStr">
        <is>
          <t>20230713</t>
        </is>
      </c>
      <c r="P30" t="inlineStr">
        <is>
          <t>Kalimantan Timur</t>
        </is>
      </c>
      <c r="Q30" s="3">
        <f>HYPERLINK("https://wa.me/6281255567824?text=*[PENGINGAT MASA BERLAKU SBU ANNASYA MITRA UTAMA]*%0A%0AYth. Pimpinan ANNASYA MITRA UTAMA,%0AMohon izin menginformasikan status SBU Anda di sistem LPJK:%0A%0A📄 SBU: BS001%0A📅 Expired: 20 Juli 2026 (60 Hari Lagi)%0A%0AKami tim PT. ESDEA Assistance Management siap men-support proses perpanjangan segera.", "Hubungi")</f>
        <v/>
      </c>
    </row>
    <row r="31">
      <c r="A31" t="inlineStr">
        <is>
          <t>ANTON BRAWIJAYA MARIO</t>
        </is>
      </c>
      <c r="B31" t="inlineStr">
        <is>
          <t>Kab. Malinau</t>
        </is>
      </c>
      <c r="C31" t="inlineStr">
        <is>
          <t>082325124076</t>
        </is>
      </c>
      <c r="D31" t="inlineStr">
        <is>
          <t>antonbrawijayamario@gmail.com</t>
        </is>
      </c>
      <c r="E31" t="inlineStr">
        <is>
          <t>https://lpjk.pu.go.id/search-badan-usaha-detail/REVzL1BiZzVqZXFKYk1KVG5WaUNTQT09</t>
        </is>
      </c>
      <c r="F31" t="n">
        <v>1</v>
      </c>
      <c r="G31" t="inlineStr">
        <is>
          <t>BS001</t>
        </is>
      </c>
      <c r="H31" t="inlineStr">
        <is>
          <t>19 Juni 2023</t>
        </is>
      </c>
      <c r="I31" s="2" t="n">
        <v>46223</v>
      </c>
      <c r="J31" t="inlineStr">
        <is>
          <t>Disetujui</t>
        </is>
      </c>
      <c r="K31" t="n">
        <v>60</v>
      </c>
      <c r="L31" t="inlineStr">
        <is>
          <t>20 Juli 2026</t>
        </is>
      </c>
      <c r="M31" t="inlineStr">
        <is>
          <t>Konstruksi Bangunan Sipil Jalan</t>
        </is>
      </c>
      <c r="N31" t="inlineStr">
        <is>
          <t>K</t>
        </is>
      </c>
      <c r="O31" t="inlineStr">
        <is>
          <t>20230717</t>
        </is>
      </c>
      <c r="P31" t="inlineStr">
        <is>
          <t>Kalimantan Utara</t>
        </is>
      </c>
      <c r="Q31" s="3">
        <f>HYPERLINK("https://wa.me/6282325124076?text=*[PENGINGAT MASA BERLAKU SBU ANTON BRAWIJAYA MARIO]*%0A%0AYth. Pimpinan ANTON BRAWIJAYA MARIO,%0AMohon izin menginformasikan status SBU Anda di sistem LPJK:%0A%0A📄 SBU: BS001%0A📅 Expired: 20 Juli 2026 (60 Hari Lagi)%0A%0AKami tim PT. ESDEA Assistance Management siap men-support proses perpanjangan segera.", "Hubungi")</f>
        <v/>
      </c>
    </row>
    <row r="32">
      <c r="A32" t="inlineStr">
        <is>
          <t>ANUGERAH BINTANG PERKASA</t>
        </is>
      </c>
      <c r="B32" t="inlineStr">
        <is>
          <t>Kab. Sidoarjo</t>
        </is>
      </c>
      <c r="C32" t="inlineStr">
        <is>
          <t>085856187262</t>
        </is>
      </c>
      <c r="D32" t="inlineStr">
        <is>
          <t>cv.anugerahbintangperkasa@gmail.com</t>
        </is>
      </c>
      <c r="E32" t="inlineStr">
        <is>
          <t>https://lpjk.pu.go.id/search-badan-usaha-detail/cDhkZ1JPWFF5ek9IU2grc05rYUdJUT09</t>
        </is>
      </c>
      <c r="F32" t="n">
        <v>4</v>
      </c>
      <c r="G32" t="inlineStr">
        <is>
          <t>BG004, BG005, BG006, BG009</t>
        </is>
      </c>
      <c r="H32" t="inlineStr">
        <is>
          <t>9 Februari 2017</t>
        </is>
      </c>
      <c r="I32" s="2" t="n">
        <v>46223</v>
      </c>
      <c r="J32" t="inlineStr">
        <is>
          <t>Disetujui</t>
        </is>
      </c>
      <c r="K32" t="n">
        <v>60</v>
      </c>
      <c r="L32" t="inlineStr">
        <is>
          <t>20 Juli 2026</t>
        </is>
      </c>
      <c r="M32" t="inlineStr">
        <is>
          <t>Konstruksi Gedung Kesehatan, Konstruksi Gedung Lainnya, Konstruksi Gedung Pendidikan, Konstruksi Gedung Perbelanjaan</t>
        </is>
      </c>
      <c r="N32" t="inlineStr">
        <is>
          <t>K</t>
        </is>
      </c>
      <c r="O32" t="inlineStr">
        <is>
          <t>20230718</t>
        </is>
      </c>
      <c r="P32" t="inlineStr">
        <is>
          <t>Jawa Timur</t>
        </is>
      </c>
      <c r="Q32" s="3">
        <f>HYPERLINK("https://wa.me/6285856187262?text=*[PENGINGAT MASA BERLAKU SBU ANUGERAH BINTANG PERKASA]*%0A%0AYth. Pimpinan ANUGERAH BINTANG PERKASA,%0AMohon izin menginformasikan status SBU Anda di sistem LPJK:%0A%0A📄 SBU: BG004, BG005, BG006, BG009%0A📅 Expired: 20 Juli 2026 (60 Hari Lagi)%0A%0AKami tim PT. ESDEA Assistance Management siap men-support proses perpanjangan segera.", "Hubungi")</f>
        <v/>
      </c>
    </row>
    <row r="33">
      <c r="A33" t="inlineStr">
        <is>
          <t>ANUGERAH CITRA KELUARGA</t>
        </is>
      </c>
      <c r="B33" t="inlineStr">
        <is>
          <t>Kota Pasuruan</t>
        </is>
      </c>
      <c r="C33" t="inlineStr">
        <is>
          <t>081333127227</t>
        </is>
      </c>
      <c r="D33" t="inlineStr">
        <is>
          <t>anugerahck31@gmail.com</t>
        </is>
      </c>
      <c r="E33" t="inlineStr">
        <is>
          <t>https://lpjk.pu.go.id/search-badan-usaha-detail/WDc1Wi9uaUp1bUZxeGRTSmVOem5Edz09</t>
        </is>
      </c>
      <c r="F33" t="n">
        <v>3</v>
      </c>
      <c r="G33" t="inlineStr">
        <is>
          <t>BG005, BG006, BG009</t>
        </is>
      </c>
      <c r="H33" t="inlineStr">
        <is>
          <t>22 Juli 2002</t>
        </is>
      </c>
      <c r="I33" s="2" t="n">
        <v>46223</v>
      </c>
      <c r="J33" t="inlineStr">
        <is>
          <t>Disetujui</t>
        </is>
      </c>
      <c r="K33" t="n">
        <v>60</v>
      </c>
      <c r="L33" t="inlineStr">
        <is>
          <t>20 Juli 2026</t>
        </is>
      </c>
      <c r="M33" t="inlineStr">
        <is>
          <t>Konstruksi Gedung Kesehatan, Konstruksi Gedung Lainnya, Konstruksi Gedung Pendidikan</t>
        </is>
      </c>
      <c r="N33" t="inlineStr">
        <is>
          <t>K</t>
        </is>
      </c>
      <c r="O33" t="inlineStr">
        <is>
          <t>20230718, 20230719</t>
        </is>
      </c>
      <c r="P33" t="inlineStr">
        <is>
          <t>Jawa Timur</t>
        </is>
      </c>
      <c r="Q33" s="3">
        <f>HYPERLINK("https://wa.me/6281333127227?text=*[PENGINGAT MASA BERLAKU SBU ANUGERAH CITRA KELUARGA]*%0A%0AYth. Pimpinan ANUGERAH CITRA KELUARGA,%0AMohon izin menginformasikan status SBU Anda di sistem LPJK:%0A%0A📄 SBU: BG005, BG006, BG009%0A📅 Expired: 20 Juli 2026 (60 Hari Lagi)%0A%0AKami tim PT. ESDEA Assistance Management siap men-support proses perpanjangan segera.", "Hubungi")</f>
        <v/>
      </c>
    </row>
    <row r="34">
      <c r="A34" t="inlineStr">
        <is>
          <t>ANUGERAH JAYA CEMERLANG</t>
        </is>
      </c>
      <c r="B34" t="inlineStr">
        <is>
          <t>Kota Pontianak</t>
        </is>
      </c>
      <c r="C34" t="inlineStr">
        <is>
          <t>0815 2245 711_</t>
        </is>
      </c>
      <c r="D34" t="inlineStr">
        <is>
          <t>anugerahjaya_c@yahoo.com</t>
        </is>
      </c>
      <c r="E34" t="inlineStr">
        <is>
          <t>https://lpjk.pu.go.id/search-badan-usaha-detail/L0owc3FtZDBTUXk4NVNIS3orZ2U3Zz09</t>
        </is>
      </c>
      <c r="F34" t="n">
        <v>1</v>
      </c>
      <c r="G34" t="inlineStr">
        <is>
          <t>BG006</t>
        </is>
      </c>
      <c r="H34" t="inlineStr">
        <is>
          <t>3 Oktober 2000</t>
        </is>
      </c>
      <c r="I34" s="2" t="n">
        <v>46223</v>
      </c>
      <c r="J34" t="inlineStr">
        <is>
          <t>Disetujui</t>
        </is>
      </c>
      <c r="K34" t="n">
        <v>60</v>
      </c>
      <c r="L34" t="inlineStr">
        <is>
          <t>20 Juli 2026</t>
        </is>
      </c>
      <c r="M34" t="inlineStr">
        <is>
          <t>Konstruksi Gedung Pendidikan</t>
        </is>
      </c>
      <c r="N34" t="inlineStr">
        <is>
          <t>K</t>
        </is>
      </c>
      <c r="O34" t="inlineStr">
        <is>
          <t>20230627</t>
        </is>
      </c>
      <c r="P34" t="inlineStr">
        <is>
          <t>Kalimantan Barat</t>
        </is>
      </c>
      <c r="Q34" s="3">
        <f>HYPERLINK("https://wa.me/628152245711?text=*[PENGINGAT MASA BERLAKU SBU ANUGERAH JAYA CEMERLANG]*%0A%0AYth. Pimpinan ANUGERAH JAYA CEMERLANG,%0AMohon izin menginformasikan status SBU Anda di sistem LPJK:%0A%0A📄 SBU: BG006%0A📅 Expired: 20 Juli 2026 (60 Hari Lagi)%0A%0AKami tim PT. ESDEA Assistance Management siap men-support proses perpanjangan segera.", "Hubungi")</f>
        <v/>
      </c>
    </row>
    <row r="35">
      <c r="A35" t="inlineStr">
        <is>
          <t>ANUGRAH REZEKI PRIMA</t>
        </is>
      </c>
      <c r="B35" t="inlineStr">
        <is>
          <t>Kota Medan</t>
        </is>
      </c>
      <c r="C35" t="inlineStr">
        <is>
          <t>081263665880</t>
        </is>
      </c>
      <c r="D35" t="inlineStr">
        <is>
          <t>ptanugrahrezekiprima@gmail.com</t>
        </is>
      </c>
      <c r="E35" t="inlineStr">
        <is>
          <t>https://lpjk.pu.go.id/search-badan-usaha-detail/djNBTWVBOHZyU00wU1YzWHorK3NVZz09</t>
        </is>
      </c>
      <c r="F35" t="n">
        <v>2</v>
      </c>
      <c r="G35" t="inlineStr">
        <is>
          <t>BS001</t>
        </is>
      </c>
      <c r="H35" t="inlineStr">
        <is>
          <t>7 Februari 2006</t>
        </is>
      </c>
      <c r="I35" s="2" t="n">
        <v>46223</v>
      </c>
      <c r="J35" t="inlineStr">
        <is>
          <t>Disetujui</t>
        </is>
      </c>
      <c r="K35" t="n">
        <v>60</v>
      </c>
      <c r="L35" t="inlineStr">
        <is>
          <t>20 Juli 2026</t>
        </is>
      </c>
      <c r="M35" t="inlineStr">
        <is>
          <t>Konstruksi Bangunan Sipil Jalan</t>
        </is>
      </c>
      <c r="N35" t="inlineStr">
        <is>
          <t>M</t>
        </is>
      </c>
      <c r="O35" t="inlineStr">
        <is>
          <t>20230715</t>
        </is>
      </c>
      <c r="P35" t="inlineStr">
        <is>
          <t>Sumatera Utara</t>
        </is>
      </c>
      <c r="Q35" s="3">
        <f>HYPERLINK("https://wa.me/6281263665880?text=*[PENGINGAT MASA BERLAKU SBU ANUGRAH REZEKI PRIMA]*%0A%0AYth. Pimpinan ANUGRAH REZEKI PRIMA,%0AMohon izin menginformasikan status SBU Anda di sistem LPJK:%0A%0A📄 SBU: BS001%0A📅 Expired: 20 Juli 2026 (60 Hari Lagi)%0A%0AKami tim PT. ESDEA Assistance Management siap men-support proses perpanjangan segera.", "Hubungi")</f>
        <v/>
      </c>
    </row>
    <row r="36">
      <c r="A36" t="inlineStr">
        <is>
          <t>ARSY KARYA</t>
        </is>
      </c>
      <c r="B36" t="inlineStr">
        <is>
          <t>Kab. Jombang</t>
        </is>
      </c>
      <c r="C36" t="inlineStr">
        <is>
          <t>085859941446</t>
        </is>
      </c>
      <c r="D36" t="inlineStr">
        <is>
          <t>arsykarya@mail.com</t>
        </is>
      </c>
      <c r="E36" t="inlineStr">
        <is>
          <t>https://lpjk.pu.go.id/search-badan-usaha-detail/L2dSWTNEMmI4bzMyd3VyN1lONGlIUT09</t>
        </is>
      </c>
      <c r="F36" t="n">
        <v>1</v>
      </c>
      <c r="G36" t="inlineStr">
        <is>
          <t>BS004</t>
        </is>
      </c>
      <c r="H36" t="inlineStr">
        <is>
          <t>27 Oktober 2018</t>
        </is>
      </c>
      <c r="I36" s="2" t="n">
        <v>46223</v>
      </c>
      <c r="J36" t="inlineStr">
        <is>
          <t>Disetujui</t>
        </is>
      </c>
      <c r="K36" t="n">
        <v>60</v>
      </c>
      <c r="L36" t="inlineStr">
        <is>
          <t>20 Juli 2026</t>
        </is>
      </c>
      <c r="M36" t="inlineStr">
        <is>
          <t>Konstruksi Jaringan Irigasi dan Drainase</t>
        </is>
      </c>
      <c r="N36" t="inlineStr">
        <is>
          <t>K</t>
        </is>
      </c>
      <c r="O36" t="inlineStr">
        <is>
          <t>20230714</t>
        </is>
      </c>
      <c r="P36" t="inlineStr">
        <is>
          <t>Jawa Timur</t>
        </is>
      </c>
      <c r="Q36" s="3">
        <f>HYPERLINK("https://wa.me/6285859941446?text=*[PENGINGAT MASA BERLAKU SBU ARSY KARYA]*%0A%0AYth. Pimpinan ARSY KARYA,%0AMohon izin menginformasikan status SBU Anda di sistem LPJK:%0A%0A📄 SBU: BS004%0A📅 Expired: 20 Juli 2026 (60 Hari Lagi)%0A%0AKami tim PT. ESDEA Assistance Management siap men-support proses perpanjangan segera.", "Hubungi")</f>
        <v/>
      </c>
    </row>
    <row r="37">
      <c r="A37" t="inlineStr">
        <is>
          <t>ARSY TEHNIKA KARYA</t>
        </is>
      </c>
      <c r="B37" t="inlineStr">
        <is>
          <t>Kota Samarinda</t>
        </is>
      </c>
      <c r="C37" t="inlineStr">
        <is>
          <t>085247986666</t>
        </is>
      </c>
      <c r="D37" t="inlineStr">
        <is>
          <t>arsytehnikakarya@gmail.com</t>
        </is>
      </c>
      <c r="E37" t="inlineStr">
        <is>
          <t>https://lpjk.pu.go.id/search-badan-usaha-detail/Y3JSSTVUUHJrL1RTSTVUVGFFZkhUUT09</t>
        </is>
      </c>
      <c r="F37" t="n">
        <v>1</v>
      </c>
      <c r="G37" t="inlineStr">
        <is>
          <t>RK002</t>
        </is>
      </c>
      <c r="H37" t="inlineStr">
        <is>
          <t>20 Februari 2019</t>
        </is>
      </c>
      <c r="I37" s="2" t="n">
        <v>46223</v>
      </c>
      <c r="J37" t="inlineStr">
        <is>
          <t>Disetujui</t>
        </is>
      </c>
      <c r="K37" t="n">
        <v>60</v>
      </c>
      <c r="L37" t="inlineStr">
        <is>
          <t>20 Juli 2026</t>
        </is>
      </c>
      <c r="M37" t="inlineStr">
        <is>
          <t>Jasa Rekayasa Pekerjaan Teknik Sipil Sumber Daya Air</t>
        </is>
      </c>
      <c r="N37" t="inlineStr">
        <is>
          <t>K</t>
        </is>
      </c>
      <c r="O37" t="inlineStr">
        <is>
          <t>20230717</t>
        </is>
      </c>
      <c r="P37" t="inlineStr">
        <is>
          <t>Kalimantan Timur</t>
        </is>
      </c>
      <c r="Q37" s="3">
        <f>HYPERLINK("https://wa.me/6285247986666?text=*[PENGINGAT MASA BERLAKU SBU ARSY TEHNIKA KARYA]*%0A%0AYth. Pimpinan ARSY TEHNIKA KARYA,%0AMohon izin menginformasikan status SBU Anda di sistem LPJK:%0A%0A📄 SBU: RK002%0A📅 Expired: 20 Juli 2026 (60 Hari Lagi)%0A%0AKami tim PT. ESDEA Assistance Management siap men-support proses perpanjangan segera.", "Hubungi")</f>
        <v/>
      </c>
    </row>
    <row r="38">
      <c r="A38" t="inlineStr">
        <is>
          <t>ARTA CITRA EMAS</t>
        </is>
      </c>
      <c r="B38" t="inlineStr">
        <is>
          <t>Kota Malang</t>
        </is>
      </c>
      <c r="C38" t="inlineStr">
        <is>
          <t>0341571680</t>
        </is>
      </c>
      <c r="D38" t="inlineStr">
        <is>
          <t>artacitraemas@yahoo.co.id</t>
        </is>
      </c>
      <c r="E38" t="inlineStr">
        <is>
          <t>https://lpjk.pu.go.id/search-badan-usaha-detail/YkhDYlRUT0hsRFpnL1l6VXRQd2o0dz09</t>
        </is>
      </c>
      <c r="F38" t="n">
        <v>1</v>
      </c>
      <c r="G38" t="inlineStr">
        <is>
          <t>BS001</t>
        </is>
      </c>
      <c r="H38" t="inlineStr">
        <is>
          <t>12 Juli 2011</t>
        </is>
      </c>
      <c r="I38" s="2" t="n">
        <v>46223</v>
      </c>
      <c r="J38" t="inlineStr">
        <is>
          <t>Disetujui</t>
        </is>
      </c>
      <c r="K38" t="n">
        <v>60</v>
      </c>
      <c r="L38" t="inlineStr">
        <is>
          <t>20 Juli 2026</t>
        </is>
      </c>
      <c r="M38" t="inlineStr">
        <is>
          <t>Konstruksi Bangunan Sipil Jalan</t>
        </is>
      </c>
      <c r="N38" t="inlineStr">
        <is>
          <t>K</t>
        </is>
      </c>
      <c r="O38" t="inlineStr">
        <is>
          <t>20230704</t>
        </is>
      </c>
      <c r="P38" t="inlineStr">
        <is>
          <t>Jawa Timur</t>
        </is>
      </c>
      <c r="Q38" s="3">
        <f>HYPERLINK("https://wa.me/62341571680?text=*[PENGINGAT MASA BERLAKU SBU ARTA CITRA EMAS]*%0A%0AYth. Pimpinan ARTA CITRA EMAS,%0AMohon izin menginformasikan status SBU Anda di sistem LPJK:%0A%0A📄 SBU: BS001%0A📅 Expired: 20 Juli 2026 (60 Hari Lagi)%0A%0AKami tim PT. ESDEA Assistance Management siap men-support proses perpanjangan segera.", "Hubungi")</f>
        <v/>
      </c>
    </row>
    <row r="39">
      <c r="A39" t="inlineStr">
        <is>
          <t>ASTRINDO</t>
        </is>
      </c>
      <c r="B39" t="inlineStr">
        <is>
          <t>Kab. Jepara</t>
        </is>
      </c>
      <c r="C39" t="inlineStr">
        <is>
          <t>082325784003</t>
        </is>
      </c>
      <c r="D39" t="inlineStr">
        <is>
          <t>astrindo2017@gmail.com</t>
        </is>
      </c>
      <c r="E39" t="inlineStr">
        <is>
          <t>https://lpjk.pu.go.id/search-badan-usaha-detail/OFlqOHZiSTR4VG9IMUVhMDErN0ZPdz09</t>
        </is>
      </c>
      <c r="F39" t="n">
        <v>6</v>
      </c>
      <c r="G39" t="inlineStr">
        <is>
          <t>RK001, RK002, RK003</t>
        </is>
      </c>
      <c r="H39" t="inlineStr">
        <is>
          <t>24 Januari 2017</t>
        </is>
      </c>
      <c r="I39" s="2" t="n">
        <v>46223</v>
      </c>
      <c r="J39" t="inlineStr">
        <is>
          <t>Disetujui</t>
        </is>
      </c>
      <c r="K39" t="n">
        <v>60</v>
      </c>
      <c r="L39" t="inlineStr">
        <is>
          <t>20 Juli 2026</t>
        </is>
      </c>
      <c r="M39" t="inlineStr">
        <is>
          <t>Jasa Rekayasa Konstruksi Bangunan Gedung Hunian dan Non Hunian, Jasa Rekayasa Pekerjaan Teknik Sipil Sumber Daya Air, Jasa Rekayasa Pekerjaan Teknik Sipil Transportasi</t>
        </is>
      </c>
      <c r="N39" t="inlineStr">
        <is>
          <t>K</t>
        </is>
      </c>
      <c r="O39" t="inlineStr">
        <is>
          <t>20230711, 20230718</t>
        </is>
      </c>
      <c r="P39" t="inlineStr">
        <is>
          <t>Jawa Tengah</t>
        </is>
      </c>
      <c r="Q39" s="3">
        <f>HYPERLINK("https://wa.me/6282325784003?text=*[PENGINGAT MASA BERLAKU SBU ASTRINDO]*%0A%0AYth. Pimpinan ASTRINDO,%0AMohon izin menginformasikan status SBU Anda di sistem LPJK:%0A%0A📄 SBU: RK001, RK002, RK003%0A📅 Expired: 20 Juli 2026 (60 Hari Lagi)%0A%0AKami tim PT. ESDEA Assistance Management siap men-support proses perpanjangan segera.", "Hubungi")</f>
        <v/>
      </c>
    </row>
    <row r="40">
      <c r="A40" t="inlineStr">
        <is>
          <t>AZKA SANG PEJUANG</t>
        </is>
      </c>
      <c r="B40" t="inlineStr">
        <is>
          <t>Kab. Kampar</t>
        </is>
      </c>
      <c r="C40" t="inlineStr">
        <is>
          <t>085272689951</t>
        </is>
      </c>
      <c r="D40" t="inlineStr">
        <is>
          <t>azkasangp@gmail.com</t>
        </is>
      </c>
      <c r="E40" t="inlineStr">
        <is>
          <t>https://lpjk.pu.go.id/search-badan-usaha-detail/TW43L3F1enByR3FCQlBjeEo3S1QvUT09</t>
        </is>
      </c>
      <c r="F40" t="n">
        <v>1</v>
      </c>
      <c r="G40" t="inlineStr">
        <is>
          <t>BG002</t>
        </is>
      </c>
      <c r="H40" t="inlineStr">
        <is>
          <t>22 Juni 2023</t>
        </is>
      </c>
      <c r="I40" s="2" t="n">
        <v>46223</v>
      </c>
      <c r="J40" t="inlineStr">
        <is>
          <t>Pencabutan</t>
        </is>
      </c>
      <c r="K40" t="n">
        <v>60</v>
      </c>
      <c r="L40" t="inlineStr">
        <is>
          <t>20 Juli 2026</t>
        </is>
      </c>
      <c r="M40" t="inlineStr">
        <is>
          <t>Konstruksi Gedung Perkantoran</t>
        </is>
      </c>
      <c r="N40" t="inlineStr">
        <is>
          <t>K</t>
        </is>
      </c>
      <c r="O40" t="inlineStr">
        <is>
          <t>20230720</t>
        </is>
      </c>
      <c r="P40" t="inlineStr">
        <is>
          <t>Riau</t>
        </is>
      </c>
      <c r="Q40" s="3">
        <f>HYPERLINK("https://wa.me/6285272689951?text=*[PENGINGAT MASA BERLAKU SBU AZKA SANG PEJUANG]*%0A%0AYth. Pimpinan AZKA SANG PEJUANG,%0AMohon izin menginformasikan status SBU Anda di sistem LPJK:%0A%0A📄 SBU: BG002%0A📅 Expired: 20 Juli 2026 (60 Hari Lagi)%0A%0AKami tim PT. ESDEA Assistance Management siap men-support proses perpanjangan segera.", "Hubungi")</f>
        <v/>
      </c>
    </row>
    <row r="41">
      <c r="A41" t="inlineStr">
        <is>
          <t>BAHANA PERTIWI</t>
        </is>
      </c>
      <c r="B41" t="inlineStr">
        <is>
          <t>Kab. Kolaka</t>
        </is>
      </c>
      <c r="C41" t="inlineStr">
        <is>
          <t>085395307067</t>
        </is>
      </c>
      <c r="D41" t="inlineStr">
        <is>
          <t>cv.bahanapertiwi@gmail.com</t>
        </is>
      </c>
      <c r="E41" t="inlineStr">
        <is>
          <t>https://lpjk.pu.go.id/search-badan-usaha-detail/NEtPR2dZWS95eStWVExTRlpkcUlpUT09</t>
        </is>
      </c>
      <c r="F41" t="n">
        <v>1</v>
      </c>
      <c r="G41" t="inlineStr">
        <is>
          <t>BG009</t>
        </is>
      </c>
      <c r="H41" t="inlineStr">
        <is>
          <t>4 Juli 2008</t>
        </is>
      </c>
      <c r="I41" s="2" t="n">
        <v>46223</v>
      </c>
      <c r="J41" t="inlineStr">
        <is>
          <t>Disetujui</t>
        </is>
      </c>
      <c r="K41" t="n">
        <v>60</v>
      </c>
      <c r="L41" t="inlineStr">
        <is>
          <t>20 Juli 2026</t>
        </is>
      </c>
      <c r="M41" t="inlineStr">
        <is>
          <t>Konstruksi Gedung Lainnya</t>
        </is>
      </c>
      <c r="N41" t="inlineStr">
        <is>
          <t>K</t>
        </is>
      </c>
      <c r="O41" t="inlineStr">
        <is>
          <t>20230717</t>
        </is>
      </c>
      <c r="P41" t="inlineStr">
        <is>
          <t>Sulawesi Tenggara</t>
        </is>
      </c>
      <c r="Q41" s="3">
        <f>HYPERLINK("https://wa.me/6285395307067?text=*[PENGINGAT MASA BERLAKU SBU BAHANA PERTIWI]*%0A%0AYth. Pimpinan BAHANA PERTIWI,%0AMohon izin menginformasikan status SBU Anda di sistem LPJK:%0A%0A📄 SBU: BG009%0A📅 Expired: 20 Juli 2026 (60 Hari Lagi)%0A%0AKami tim PT. ESDEA Assistance Management siap men-support proses perpanjangan segera.", "Hubungi")</f>
        <v/>
      </c>
    </row>
    <row r="42">
      <c r="A42" t="inlineStr">
        <is>
          <t>BANGUN SARANA SINERGI</t>
        </is>
      </c>
      <c r="B42" t="inlineStr">
        <is>
          <t>Kota Tebing Tinggi</t>
        </is>
      </c>
      <c r="C42" t="inlineStr">
        <is>
          <t>081260870474</t>
        </is>
      </c>
      <c r="D42" t="inlineStr">
        <is>
          <t>ptbangunsaranasinergi@gmail.com</t>
        </is>
      </c>
      <c r="E42" t="inlineStr">
        <is>
          <t>https://lpjk.pu.go.id/search-badan-usaha-detail/NzhRZEZueGFYWjhrRjNIdVJvYjhkQT09</t>
        </is>
      </c>
      <c r="F42" t="n">
        <v>2</v>
      </c>
      <c r="G42" t="inlineStr">
        <is>
          <t>BG009, BS004</t>
        </is>
      </c>
      <c r="H42" t="inlineStr">
        <is>
          <t>31 Januari 2023</t>
        </is>
      </c>
      <c r="I42" s="2" t="n">
        <v>46223</v>
      </c>
      <c r="J42" t="inlineStr">
        <is>
          <t>Pencabutan</t>
        </is>
      </c>
      <c r="K42" t="n">
        <v>60</v>
      </c>
      <c r="L42" t="inlineStr">
        <is>
          <t>20 Juli 2026</t>
        </is>
      </c>
      <c r="M42" t="inlineStr">
        <is>
          <t>Konstruksi Gedung Lainnya, Konstruksi Jaringan Irigasi dan Drainase</t>
        </is>
      </c>
      <c r="N42" t="inlineStr">
        <is>
          <t>K</t>
        </is>
      </c>
      <c r="O42" t="inlineStr">
        <is>
          <t>20230720</t>
        </is>
      </c>
      <c r="P42" t="inlineStr">
        <is>
          <t>Sumatera Utara</t>
        </is>
      </c>
      <c r="Q42" s="3">
        <f>HYPERLINK("https://wa.me/6281260870474?text=*[PENGINGAT MASA BERLAKU SBU BANGUN SARANA SINERGI]*%0A%0AYth. Pimpinan BANGUN SARANA SINERGI,%0AMohon izin menginformasikan status SBU Anda di sistem LPJK:%0A%0A📄 SBU: BG009, BS004%0A📅 Expired: 20 Juli 2026 (60 Hari Lagi)%0A%0AKami tim PT. ESDEA Assistance Management siap men-support proses perpanjangan segera.", "Hubungi")</f>
        <v/>
      </c>
    </row>
    <row r="43">
      <c r="A43" t="inlineStr">
        <is>
          <t>BARITO PERKASA</t>
        </is>
      </c>
      <c r="B43" t="inlineStr">
        <is>
          <t>Kab. Barito Timur</t>
        </is>
      </c>
      <c r="C43" t="inlineStr">
        <is>
          <t>-</t>
        </is>
      </c>
      <c r="D43" t="inlineStr">
        <is>
          <t>cv.baritoperkasa@gmail.com</t>
        </is>
      </c>
      <c r="E43" t="inlineStr">
        <is>
          <t>https://lpjk.pu.go.id/search-badan-usaha-detail/cjFwdjE0WmZxMmREaTNuNUxDTTdPZz09</t>
        </is>
      </c>
      <c r="F43" t="n">
        <v>1</v>
      </c>
      <c r="G43" t="inlineStr">
        <is>
          <t>BS010</t>
        </is>
      </c>
      <c r="H43" t="inlineStr">
        <is>
          <t>28 Desember 2009</t>
        </is>
      </c>
      <c r="I43" s="2" t="n">
        <v>46223</v>
      </c>
      <c r="J43" t="inlineStr">
        <is>
          <t>Pencabutan</t>
        </is>
      </c>
      <c r="K43" t="n">
        <v>60</v>
      </c>
      <c r="L43" t="inlineStr">
        <is>
          <t>20 Juli 2026</t>
        </is>
      </c>
      <c r="M43" t="inlineStr">
        <is>
          <t>Konstruksi Bangunan Prasarana Sumber Daya Air</t>
        </is>
      </c>
      <c r="N43" t="inlineStr">
        <is>
          <t>K</t>
        </is>
      </c>
      <c r="O43" t="inlineStr">
        <is>
          <t>20230717</t>
        </is>
      </c>
      <c r="P43" t="inlineStr">
        <is>
          <t>Kalimantan Tengah</t>
        </is>
      </c>
      <c r="Q43" t="inlineStr"/>
    </row>
    <row r="44">
      <c r="A44" t="inlineStr">
        <is>
          <t>BATAVIA SOLUSI USAHA</t>
        </is>
      </c>
      <c r="B44" t="inlineStr">
        <is>
          <t>Kota Adm. Jakarta Pusat</t>
        </is>
      </c>
      <c r="C44" t="inlineStr">
        <is>
          <t>085691606858</t>
        </is>
      </c>
      <c r="D44" t="inlineStr">
        <is>
          <t>ptbataviasolusiusaha@gmail.com</t>
        </is>
      </c>
      <c r="E44" t="inlineStr">
        <is>
          <t>https://lpjk.pu.go.id/search-badan-usaha-detail/aUk2WHI0d3NrSmh2emVpVWxxS29zUT09</t>
        </is>
      </c>
      <c r="F44" t="n">
        <v>1</v>
      </c>
      <c r="G44" t="inlineStr">
        <is>
          <t>BG009</t>
        </is>
      </c>
      <c r="H44" t="inlineStr">
        <is>
          <t>27 Juni 2023</t>
        </is>
      </c>
      <c r="I44" s="2" t="n">
        <v>46223</v>
      </c>
      <c r="J44" t="inlineStr">
        <is>
          <t>Disetujui</t>
        </is>
      </c>
      <c r="K44" t="n">
        <v>60</v>
      </c>
      <c r="L44" t="inlineStr">
        <is>
          <t>20 Juli 2026</t>
        </is>
      </c>
      <c r="M44" t="inlineStr">
        <is>
          <t>Konstruksi Gedung Lainnya</t>
        </is>
      </c>
      <c r="N44" t="inlineStr">
        <is>
          <t>K</t>
        </is>
      </c>
      <c r="O44" t="inlineStr">
        <is>
          <t>20230719</t>
        </is>
      </c>
      <c r="P44" t="inlineStr">
        <is>
          <t>DKI Jakarta</t>
        </is>
      </c>
      <c r="Q44" s="3">
        <f>HYPERLINK("https://wa.me/6285691606858?text=*[PENGINGAT MASA BERLAKU SBU BATAVIA SOLUSI USAHA]*%0A%0AYth. Pimpinan BATAVIA SOLUSI USAHA,%0AMohon izin menginformasikan status SBU Anda di sistem LPJK:%0A%0A📄 SBU: BG009%0A📅 Expired: 20 Juli 2026 (60 Hari Lagi)%0A%0AKami tim PT. ESDEA Assistance Management siap men-support proses perpanjangan segera.", "Hubungi")</f>
        <v/>
      </c>
    </row>
    <row r="45">
      <c r="A45" t="inlineStr">
        <is>
          <t>BENGAWAN TJIPTA JAYA</t>
        </is>
      </c>
      <c r="B45" t="inlineStr">
        <is>
          <t>Kota Surakarta</t>
        </is>
      </c>
      <c r="C45" t="inlineStr">
        <is>
          <t>08129283800</t>
        </is>
      </c>
      <c r="D45" t="inlineStr">
        <is>
          <t>bengawantjipta@gmail.com</t>
        </is>
      </c>
      <c r="E45" t="inlineStr">
        <is>
          <t>https://lpjk.pu.go.id/search-badan-usaha-detail/UlF5aGZiZFRDNWMvNkN3MnViL0hDQT09</t>
        </is>
      </c>
      <c r="F45" t="n">
        <v>2</v>
      </c>
      <c r="G45" t="inlineStr">
        <is>
          <t>RK002, RK003</t>
        </is>
      </c>
      <c r="H45" t="inlineStr">
        <is>
          <t>19 November 2020</t>
        </is>
      </c>
      <c r="I45" s="2" t="n">
        <v>46223</v>
      </c>
      <c r="J45" t="inlineStr">
        <is>
          <t>Pencabutan</t>
        </is>
      </c>
      <c r="K45" t="n">
        <v>60</v>
      </c>
      <c r="L45" t="inlineStr">
        <is>
          <t>20 Juli 2026</t>
        </is>
      </c>
      <c r="M45" t="inlineStr">
        <is>
          <t>Jasa Rekayasa Pekerjaan Teknik Sipil Sumber Daya Air, Jasa Rekayasa Pekerjaan Teknik Sipil Transportasi</t>
        </is>
      </c>
      <c r="N45" t="inlineStr">
        <is>
          <t>K</t>
        </is>
      </c>
      <c r="O45" t="inlineStr">
        <is>
          <t>20230710</t>
        </is>
      </c>
      <c r="P45" t="inlineStr">
        <is>
          <t>Jawa Tengah</t>
        </is>
      </c>
      <c r="Q45" s="3">
        <f>HYPERLINK("https://wa.me/628129283800?text=*[PENGINGAT MASA BERLAKU SBU BENGAWAN TJIPTA JAYA]*%0A%0AYth. Pimpinan BENGAWAN TJIPTA JAYA,%0AMohon izin menginformasikan status SBU Anda di sistem LPJK:%0A%0A📄 SBU: RK002, RK003%0A📅 Expired: 20 Juli 2026 (60 Hari Lagi)%0A%0AKami tim PT. ESDEA Assistance Management siap men-support proses perpanjangan segera.", "Hubungi")</f>
        <v/>
      </c>
    </row>
    <row r="46">
      <c r="A46" t="inlineStr">
        <is>
          <t>BENING CONSTRUKSI</t>
        </is>
      </c>
      <c r="B46" t="inlineStr">
        <is>
          <t>Kota Bandar Lampung</t>
        </is>
      </c>
      <c r="C46" t="inlineStr">
        <is>
          <t>087864625366</t>
        </is>
      </c>
      <c r="D46" t="inlineStr">
        <is>
          <t>cv.beningconstruksi@gmail.com</t>
        </is>
      </c>
      <c r="E46" t="inlineStr">
        <is>
          <t>https://lpjk.pu.go.id/search-badan-usaha-detail/QWFvb0pLamRWdWJGM1RWdUN0NXh4Zz09</t>
        </is>
      </c>
      <c r="F46" t="n">
        <v>2</v>
      </c>
      <c r="G46" t="inlineStr">
        <is>
          <t>BG002, BS001</t>
        </is>
      </c>
      <c r="H46" t="inlineStr">
        <is>
          <t>8 Juni 2022</t>
        </is>
      </c>
      <c r="I46" s="2" t="n">
        <v>46223</v>
      </c>
      <c r="J46" t="inlineStr">
        <is>
          <t>Disetujui</t>
        </is>
      </c>
      <c r="K46" t="n">
        <v>60</v>
      </c>
      <c r="L46" t="inlineStr">
        <is>
          <t>20 Juli 2026</t>
        </is>
      </c>
      <c r="M46" t="inlineStr">
        <is>
          <t>Konstruksi Bangunan Sipil Jalan, Konstruksi Gedung Perkantoran</t>
        </is>
      </c>
      <c r="N46" t="inlineStr">
        <is>
          <t>K</t>
        </is>
      </c>
      <c r="O46" t="inlineStr">
        <is>
          <t>20230720</t>
        </is>
      </c>
      <c r="P46" t="inlineStr">
        <is>
          <t>Lampung</t>
        </is>
      </c>
      <c r="Q46" s="3">
        <f>HYPERLINK("https://wa.me/6287864625366?text=*[PENGINGAT MASA BERLAKU SBU BENING CONSTRUKSI]*%0A%0AYth. Pimpinan BENING CONSTRUKSI,%0AMohon izin menginformasikan status SBU Anda di sistem LPJK:%0A%0A📄 SBU: BG002, BS001%0A📅 Expired: 20 Juli 2026 (60 Hari Lagi)%0A%0AKami tim PT. ESDEA Assistance Management siap men-support proses perpanjangan segera.", "Hubungi")</f>
        <v/>
      </c>
    </row>
    <row r="47">
      <c r="A47" t="inlineStr">
        <is>
          <t>BERDIKARI</t>
        </is>
      </c>
      <c r="B47" t="inlineStr">
        <is>
          <t>Kab. Magetan</t>
        </is>
      </c>
      <c r="C47" t="inlineStr">
        <is>
          <t>081330209797</t>
        </is>
      </c>
      <c r="D47" t="inlineStr">
        <is>
          <t>sandiariwijaya@gmail.com</t>
        </is>
      </c>
      <c r="E47" t="inlineStr">
        <is>
          <t>https://lpjk.pu.go.id/search-badan-usaha-detail/VmM3T1MweGhpWDhHeUk2L0o2NnBkQT09</t>
        </is>
      </c>
      <c r="F47" t="n">
        <v>2</v>
      </c>
      <c r="G47" t="inlineStr">
        <is>
          <t>BG001, BG002</t>
        </is>
      </c>
      <c r="H47" t="inlineStr">
        <is>
          <t>8 Desember 2003</t>
        </is>
      </c>
      <c r="I47" s="2" t="n">
        <v>46223</v>
      </c>
      <c r="J47" t="inlineStr">
        <is>
          <t>Disetujui</t>
        </is>
      </c>
      <c r="K47" t="n">
        <v>60</v>
      </c>
      <c r="L47" t="inlineStr">
        <is>
          <t>20 Juli 2026</t>
        </is>
      </c>
      <c r="M47" t="inlineStr">
        <is>
          <t>Konstruksi Gedung Hunian, Konstruksi Gedung Perkantoran</t>
        </is>
      </c>
      <c r="N47" t="inlineStr">
        <is>
          <t>K</t>
        </is>
      </c>
      <c r="O47" t="inlineStr">
        <is>
          <t>20230718</t>
        </is>
      </c>
      <c r="P47" t="inlineStr">
        <is>
          <t>Jawa Timur</t>
        </is>
      </c>
      <c r="Q47" s="3">
        <f>HYPERLINK("https://wa.me/6281330209797?text=*[PENGINGAT MASA BERLAKU SBU BERDIKARI]*%0A%0AYth. Pimpinan BERDIKARI,%0AMohon izin menginformasikan status SBU Anda di sistem LPJK:%0A%0A📄 SBU: BG001, BG002%0A📅 Expired: 20 Juli 2026 (60 Hari Lagi)%0A%0AKami tim PT. ESDEA Assistance Management siap men-support proses perpanjangan segera.", "Hubungi")</f>
        <v/>
      </c>
    </row>
    <row r="48">
      <c r="A48" t="inlineStr">
        <is>
          <t>BERKAT WANINGGAP</t>
        </is>
      </c>
      <c r="B48" t="inlineStr">
        <is>
          <t>Kab. Merauke</t>
        </is>
      </c>
      <c r="C48" t="inlineStr">
        <is>
          <t>081319571017</t>
        </is>
      </c>
      <c r="D48" t="inlineStr">
        <is>
          <t>waninggap21@gmail.com</t>
        </is>
      </c>
      <c r="E48" t="inlineStr">
        <is>
          <t>https://lpjk.pu.go.id/search-badan-usaha-detail/WS96NFF1dEt6MWhDbEJoR1ptR0FVUT09</t>
        </is>
      </c>
      <c r="F48" t="n">
        <v>2</v>
      </c>
      <c r="G48" t="inlineStr">
        <is>
          <t>BG005</t>
        </is>
      </c>
      <c r="H48" t="inlineStr">
        <is>
          <t>16 Januari 2019</t>
        </is>
      </c>
      <c r="I48" s="2" t="n">
        <v>46223</v>
      </c>
      <c r="J48" t="inlineStr">
        <is>
          <t>Disetujui</t>
        </is>
      </c>
      <c r="K48" t="n">
        <v>60</v>
      </c>
      <c r="L48" t="inlineStr">
        <is>
          <t>20 Juli 2026</t>
        </is>
      </c>
      <c r="M48" t="inlineStr">
        <is>
          <t>Konstruksi Gedung Kesehatan</t>
        </is>
      </c>
      <c r="N48" t="inlineStr">
        <is>
          <t>K</t>
        </is>
      </c>
      <c r="O48" t="inlineStr">
        <is>
          <t>20230714</t>
        </is>
      </c>
      <c r="P48" t="inlineStr">
        <is>
          <t>Papua Selatan</t>
        </is>
      </c>
      <c r="Q48" s="3">
        <f>HYPERLINK("https://wa.me/6281319571017?text=*[PENGINGAT MASA BERLAKU SBU BERKAT WANINGGAP]*%0A%0AYth. Pimpinan BERKAT WANINGGAP,%0AMohon izin menginformasikan status SBU Anda di sistem LPJK:%0A%0A📄 SBU: BG005%0A📅 Expired: 20 Juli 2026 (60 Hari Lagi)%0A%0AKami tim PT. ESDEA Assistance Management siap men-support proses perpanjangan segera.", "Hubungi")</f>
        <v/>
      </c>
    </row>
    <row r="49">
      <c r="A49" t="inlineStr">
        <is>
          <t>BHINNEKA CITRA PRIMA</t>
        </is>
      </c>
      <c r="B49" t="inlineStr">
        <is>
          <t>Kota Yogyakarta</t>
        </is>
      </c>
      <c r="C49" t="inlineStr">
        <is>
          <t>0274513977</t>
        </is>
      </c>
      <c r="D49" t="inlineStr">
        <is>
          <t>bcp_jogja@yahoo.com</t>
        </is>
      </c>
      <c r="E49" t="inlineStr">
        <is>
          <t>https://lpjk.pu.go.id/search-badan-usaha-detail/cEVFUkVUbGoyeXk4NlcvcHFwalcrZz09</t>
        </is>
      </c>
      <c r="F49" t="n">
        <v>1</v>
      </c>
      <c r="G49" t="inlineStr">
        <is>
          <t>BG006</t>
        </is>
      </c>
      <c r="H49" t="inlineStr">
        <is>
          <t>11 September 1990</t>
        </is>
      </c>
      <c r="I49" s="2" t="n">
        <v>46223</v>
      </c>
      <c r="J49" t="inlineStr">
        <is>
          <t>Pencabutan</t>
        </is>
      </c>
      <c r="K49" t="n">
        <v>60</v>
      </c>
      <c r="L49" t="inlineStr">
        <is>
          <t>20 Juli 2026</t>
        </is>
      </c>
      <c r="M49" t="inlineStr">
        <is>
          <t>Konstruksi Gedung Pendidikan</t>
        </is>
      </c>
      <c r="N49" t="inlineStr">
        <is>
          <t>M</t>
        </is>
      </c>
      <c r="O49" t="inlineStr">
        <is>
          <t>20191230</t>
        </is>
      </c>
      <c r="P49" t="inlineStr">
        <is>
          <t>DI Yogyakarta</t>
        </is>
      </c>
      <c r="Q49" s="3">
        <f>HYPERLINK("https://wa.me/62274513977?text=*[PENGINGAT MASA BERLAKU SBU BHINNEKA CITRA PRIMA]*%0A%0AYth. Pimpinan BHINNEKA CITRA PRIMA,%0AMohon izin menginformasikan status SBU Anda di sistem LPJK:%0A%0A📄 SBU: BG006%0A📅 Expired: 20 Juli 2026 (60 Hari Lagi)%0A%0AKami tim PT. ESDEA Assistance Management siap men-support proses perpanjangan segera.", "Hubungi")</f>
        <v/>
      </c>
    </row>
    <row r="50">
      <c r="A50" t="inlineStr">
        <is>
          <t>BINAR KALASENJA</t>
        </is>
      </c>
      <c r="B50" t="inlineStr">
        <is>
          <t>Kab. Garut</t>
        </is>
      </c>
      <c r="C50" t="inlineStr">
        <is>
          <t>081313138766</t>
        </is>
      </c>
      <c r="D50" t="inlineStr">
        <is>
          <t>cvbinarkalasenja@gmail.com</t>
        </is>
      </c>
      <c r="E50" t="inlineStr">
        <is>
          <t>https://lpjk.pu.go.id/search-badan-usaha-detail/NzhVRC9DYVF5RGJNZ001WnczNmxmZz09</t>
        </is>
      </c>
      <c r="F50" t="n">
        <v>2</v>
      </c>
      <c r="G50" t="inlineStr">
        <is>
          <t>BS004</t>
        </is>
      </c>
      <c r="H50" t="inlineStr">
        <is>
          <t>25 September 2019</t>
        </is>
      </c>
      <c r="I50" s="2" t="n">
        <v>46223</v>
      </c>
      <c r="J50" t="inlineStr">
        <is>
          <t>Disetujui</t>
        </is>
      </c>
      <c r="K50" t="n">
        <v>60</v>
      </c>
      <c r="L50" t="inlineStr">
        <is>
          <t>20 Juli 2026</t>
        </is>
      </c>
      <c r="M50" t="inlineStr">
        <is>
          <t>Konstruksi Jaringan Irigasi dan Drainase</t>
        </is>
      </c>
      <c r="N50" t="inlineStr">
        <is>
          <t>K</t>
        </is>
      </c>
      <c r="O50" t="inlineStr">
        <is>
          <t>20230714</t>
        </is>
      </c>
      <c r="P50" t="inlineStr">
        <is>
          <t>Jawa Barat</t>
        </is>
      </c>
      <c r="Q50" s="3">
        <f>HYPERLINK("https://wa.me/6281313138766?text=*[PENGINGAT MASA BERLAKU SBU BINAR KALASENJA]*%0A%0AYth. Pimpinan BINAR KALASENJA,%0AMohon izin menginformasikan status SBU Anda di sistem LPJK:%0A%0A📄 SBU: BS004%0A📅 Expired: 20 Juli 2026 (60 Hari Lagi)%0A%0AKami tim PT. ESDEA Assistance Management siap men-support proses perpanjangan segera.", "Hubungi")</f>
        <v/>
      </c>
    </row>
    <row r="51">
      <c r="A51" t="inlineStr">
        <is>
          <t>BINTANG MUDA</t>
        </is>
      </c>
      <c r="B51" t="inlineStr">
        <is>
          <t>Kab. Bengkalis</t>
        </is>
      </c>
      <c r="C51" t="inlineStr">
        <is>
          <t>085278522044</t>
        </is>
      </c>
      <c r="D51" t="inlineStr">
        <is>
          <t>bintangmuda_cv@yahoo.com</t>
        </is>
      </c>
      <c r="E51" t="inlineStr">
        <is>
          <t>https://lpjk.pu.go.id/search-badan-usaha-detail/RkVONE0xVHRWaWw5ejFOY3hianBUdz09</t>
        </is>
      </c>
      <c r="F51" t="n">
        <v>4</v>
      </c>
      <c r="G51" t="inlineStr">
        <is>
          <t>BG009, BS004</t>
        </is>
      </c>
      <c r="H51" t="inlineStr">
        <is>
          <t>24 Januari 2012</t>
        </is>
      </c>
      <c r="I51" s="2" t="n">
        <v>46223</v>
      </c>
      <c r="J51" t="inlineStr">
        <is>
          <t>Disetujui</t>
        </is>
      </c>
      <c r="K51" t="n">
        <v>60</v>
      </c>
      <c r="L51" t="inlineStr">
        <is>
          <t>20 Juli 2026</t>
        </is>
      </c>
      <c r="M51" t="inlineStr">
        <is>
          <t>Konstruksi Gedung Lainnya, Konstruksi Jaringan Irigasi dan Drainase</t>
        </is>
      </c>
      <c r="N51" t="inlineStr">
        <is>
          <t>K</t>
        </is>
      </c>
      <c r="O51" t="inlineStr">
        <is>
          <t>20230720</t>
        </is>
      </c>
      <c r="P51" t="inlineStr">
        <is>
          <t>Riau</t>
        </is>
      </c>
      <c r="Q51" s="3">
        <f>HYPERLINK("https://wa.me/6285278522044?text=*[PENGINGAT MASA BERLAKU SBU BINTANG MUDA]*%0A%0AYth. Pimpinan BINTANG MUDA,%0AMohon izin menginformasikan status SBU Anda di sistem LPJK:%0A%0A📄 SBU: BG009, BS004%0A📅 Expired: 20 Juli 2026 (60 Hari Lagi)%0A%0AKami tim PT. ESDEA Assistance Management siap men-support proses perpanjangan segera.", "Hubungi")</f>
        <v/>
      </c>
    </row>
    <row r="52">
      <c r="A52" t="inlineStr">
        <is>
          <t>BINTANG SELATAN</t>
        </is>
      </c>
      <c r="B52" t="inlineStr">
        <is>
          <t>Kab. Lombok Timur</t>
        </is>
      </c>
      <c r="C52" t="inlineStr">
        <is>
          <t>081913221983</t>
        </is>
      </c>
      <c r="D52" t="inlineStr">
        <is>
          <t>bintangselatan2020@gmail.com</t>
        </is>
      </c>
      <c r="E52" t="inlineStr">
        <is>
          <t>https://lpjk.pu.go.id/search-badan-usaha-detail/V0Zkc3k2bmg5NzZ6QUZlYnpRQ25EQT09</t>
        </is>
      </c>
      <c r="F52" t="n">
        <v>2</v>
      </c>
      <c r="G52" t="inlineStr">
        <is>
          <t>BG002</t>
        </is>
      </c>
      <c r="H52" t="inlineStr">
        <is>
          <t>11 Januari 2013</t>
        </is>
      </c>
      <c r="I52" s="2" t="n">
        <v>46223</v>
      </c>
      <c r="J52" t="inlineStr">
        <is>
          <t>Pencabutan</t>
        </is>
      </c>
      <c r="K52" t="n">
        <v>60</v>
      </c>
      <c r="L52" t="inlineStr">
        <is>
          <t>20 Juli 2026</t>
        </is>
      </c>
      <c r="M52" t="inlineStr">
        <is>
          <t>Konstruksi Gedung Perkantoran</t>
        </is>
      </c>
      <c r="N52" t="inlineStr">
        <is>
          <t>K</t>
        </is>
      </c>
      <c r="O52" t="inlineStr">
        <is>
          <t>20230721</t>
        </is>
      </c>
      <c r="P52" t="inlineStr">
        <is>
          <t>Nusa Tenggara Barat</t>
        </is>
      </c>
      <c r="Q52" s="3">
        <f>HYPERLINK("https://wa.me/6281913221983?text=*[PENGINGAT MASA BERLAKU SBU BINTANG SELATAN]*%0A%0AYth. Pimpinan BINTANG SELATAN,%0AMohon izin menginformasikan status SBU Anda di sistem LPJK:%0A%0A📄 SBU: BG002%0A📅 Expired: 20 Juli 2026 (60 Hari Lagi)%0A%0AKami tim PT. ESDEA Assistance Management siap men-support proses perpanjangan segera.", "Hubungi")</f>
        <v/>
      </c>
    </row>
    <row r="53">
      <c r="A53" t="inlineStr">
        <is>
          <t>BUANA BUMI CEMERLANG</t>
        </is>
      </c>
      <c r="B53" t="inlineStr">
        <is>
          <t>Kota Bandung</t>
        </is>
      </c>
      <c r="C53" t="inlineStr">
        <is>
          <t>081221858833</t>
        </is>
      </c>
      <c r="D53" t="inlineStr">
        <is>
          <t>cv.buanabumicemerlang2018@gmail.com</t>
        </is>
      </c>
      <c r="E53" t="inlineStr">
        <is>
          <t>https://lpjk.pu.go.id/search-badan-usaha-detail/d3NQOVFuemYxbThqV3FWNG43T2dUUT09</t>
        </is>
      </c>
      <c r="F53" t="n">
        <v>1</v>
      </c>
      <c r="G53" t="inlineStr">
        <is>
          <t>BG002</t>
        </is>
      </c>
      <c r="H53" t="inlineStr">
        <is>
          <t>22 Juni 2012</t>
        </is>
      </c>
      <c r="I53" s="2" t="n">
        <v>46223</v>
      </c>
      <c r="J53" t="inlineStr">
        <is>
          <t>Disetujui</t>
        </is>
      </c>
      <c r="K53" t="n">
        <v>60</v>
      </c>
      <c r="L53" t="inlineStr">
        <is>
          <t>20 Juli 2026</t>
        </is>
      </c>
      <c r="M53" t="inlineStr">
        <is>
          <t>Konstruksi Gedung Perkantoran</t>
        </is>
      </c>
      <c r="N53" t="inlineStr">
        <is>
          <t>K</t>
        </is>
      </c>
      <c r="O53" t="inlineStr">
        <is>
          <t>20230703</t>
        </is>
      </c>
      <c r="P53" t="inlineStr">
        <is>
          <t>Jawa Barat</t>
        </is>
      </c>
      <c r="Q53" s="3">
        <f>HYPERLINK("https://wa.me/6281221858833?text=*[PENGINGAT MASA BERLAKU SBU BUANA BUMI CEMERLANG]*%0A%0AYth. Pimpinan BUANA BUMI CEMERLANG,%0AMohon izin menginformasikan status SBU Anda di sistem LPJK:%0A%0A📄 SBU: BG002%0A📅 Expired: 20 Juli 2026 (60 Hari Lagi)%0A%0AKami tim PT. ESDEA Assistance Management siap men-support proses perpanjangan segera.", "Hubungi")</f>
        <v/>
      </c>
    </row>
    <row r="54">
      <c r="A54" t="inlineStr">
        <is>
          <t>BUANA RAYA</t>
        </is>
      </c>
      <c r="B54" t="inlineStr">
        <is>
          <t>Kab. Banggai</t>
        </is>
      </c>
      <c r="C54" t="inlineStr">
        <is>
          <t>0811457700</t>
        </is>
      </c>
      <c r="D54" t="inlineStr">
        <is>
          <t>buanaraya2023@gmail.com</t>
        </is>
      </c>
      <c r="E54" t="inlineStr">
        <is>
          <t>https://lpjk.pu.go.id/search-badan-usaha-detail/ME9GVHlEb2xTcEFwK0gxeFNGMWV4dz09</t>
        </is>
      </c>
      <c r="F54" t="n">
        <v>7</v>
      </c>
      <c r="G54" t="inlineStr">
        <is>
          <t>BG001, BG002, BG005, BG006, BG009, BS001, BS004</t>
        </is>
      </c>
      <c r="H54" t="inlineStr">
        <is>
          <t>30 November 1993</t>
        </is>
      </c>
      <c r="I54" s="2" t="n">
        <v>46223</v>
      </c>
      <c r="J54" t="inlineStr">
        <is>
          <t>Disetujui</t>
        </is>
      </c>
      <c r="K54" t="n">
        <v>60</v>
      </c>
      <c r="L54" t="inlineStr">
        <is>
          <t>20 Juli 2026</t>
        </is>
      </c>
      <c r="M54" t="inlineStr">
        <is>
          <t>Konstruksi Bangunan Sipil Jalan, Konstruksi Gedung Hunian, Konstruksi Gedung Kesehatan, Konstruksi Gedung Lainnya, Konstruksi Gedung Pendidikan, Konstruksi Gedung Perkantoran, Konstruksi Jaringan Irigasi dan Drainase</t>
        </is>
      </c>
      <c r="N54" t="inlineStr">
        <is>
          <t>K</t>
        </is>
      </c>
      <c r="O54" t="inlineStr">
        <is>
          <t>20230717, 20230718</t>
        </is>
      </c>
      <c r="P54" t="inlineStr">
        <is>
          <t>Sulawesi Tengah</t>
        </is>
      </c>
      <c r="Q54" s="3">
        <f>HYPERLINK("https://wa.me/62811457700?text=*[PENGINGAT MASA BERLAKU SBU BUANA RAYA]*%0A%0AYth. Pimpinan BUANA RAYA,%0AMohon izin menginformasikan status SBU Anda di sistem LPJK:%0A%0A📄 SBU: BG001, BG002, BG005, BG006, BG009, BS001, BS004%0A📅 Expired: 20 Juli 2026 (60 Hari Lagi)%0A%0AKami tim PT. ESDEA Assistance Management siap men-support proses perpanjangan segera.", "Hubungi")</f>
        <v/>
      </c>
    </row>
    <row r="55">
      <c r="A55" t="inlineStr">
        <is>
          <t>BUDI ARTI</t>
        </is>
      </c>
      <c r="B55" t="inlineStr">
        <is>
          <t>Kab. Trenggalek</t>
        </is>
      </c>
      <c r="C55" t="inlineStr">
        <is>
          <t>081335337337</t>
        </is>
      </c>
      <c r="D55" t="inlineStr">
        <is>
          <t>cvbudiarti@gmail.com</t>
        </is>
      </c>
      <c r="E55" t="inlineStr">
        <is>
          <t>https://lpjk.pu.go.id/search-badan-usaha-detail/d2dPcWgwMHJZUXNDbzJtQXBlUmMvdz09</t>
        </is>
      </c>
      <c r="F55" t="n">
        <v>1</v>
      </c>
      <c r="G55" t="inlineStr">
        <is>
          <t>BS010</t>
        </is>
      </c>
      <c r="H55" t="inlineStr">
        <is>
          <t>13 Mei 2008</t>
        </is>
      </c>
      <c r="I55" s="2" t="n">
        <v>46223</v>
      </c>
      <c r="J55" t="inlineStr">
        <is>
          <t>Disetujui</t>
        </is>
      </c>
      <c r="K55" t="n">
        <v>60</v>
      </c>
      <c r="L55" t="inlineStr">
        <is>
          <t>20 Juli 2026</t>
        </is>
      </c>
      <c r="M55" t="inlineStr">
        <is>
          <t>Konstruksi Bangunan Prasarana Sumber Daya Air</t>
        </is>
      </c>
      <c r="N55" t="inlineStr">
        <is>
          <t>K</t>
        </is>
      </c>
      <c r="O55" t="inlineStr">
        <is>
          <t>20230717</t>
        </is>
      </c>
      <c r="P55" t="inlineStr">
        <is>
          <t>Jawa Timur</t>
        </is>
      </c>
      <c r="Q55" s="3">
        <f>HYPERLINK("https://wa.me/6281335337337?text=*[PENGINGAT MASA BERLAKU SBU BUDI ARTI]*%0A%0AYth. Pimpinan BUDI ARTI,%0AMohon izin menginformasikan status SBU Anda di sistem LPJK:%0A%0A📄 SBU: BS010%0A📅 Expired: 20 Juli 2026 (60 Hari Lagi)%0A%0AKami tim PT. ESDEA Assistance Management siap men-support proses perpanjangan segera.", "Hubungi")</f>
        <v/>
      </c>
    </row>
    <row r="56">
      <c r="A56" t="inlineStr">
        <is>
          <t>BUKIT SUKAJADI</t>
        </is>
      </c>
      <c r="B56" t="inlineStr">
        <is>
          <t>Kota Bandar Lampung</t>
        </is>
      </c>
      <c r="C56" t="inlineStr">
        <is>
          <t>082113411692</t>
        </is>
      </c>
      <c r="D56" t="inlineStr">
        <is>
          <t>bukitsukajadi109@gmail.com</t>
        </is>
      </c>
      <c r="E56" t="inlineStr">
        <is>
          <t>https://lpjk.pu.go.id/search-badan-usaha-detail/MzFvbjBoTFZEbUx4ODVQelNCeFp6dz09</t>
        </is>
      </c>
      <c r="F56" t="n">
        <v>1</v>
      </c>
      <c r="G56" t="inlineStr">
        <is>
          <t>BS001</t>
        </is>
      </c>
      <c r="H56" t="inlineStr">
        <is>
          <t>22 Juni 2023</t>
        </is>
      </c>
      <c r="I56" s="2" t="n">
        <v>46223</v>
      </c>
      <c r="J56" t="inlineStr">
        <is>
          <t>Disetujui</t>
        </is>
      </c>
      <c r="K56" t="n">
        <v>60</v>
      </c>
      <c r="L56" t="inlineStr">
        <is>
          <t>20 Juli 2026</t>
        </is>
      </c>
      <c r="M56" t="inlineStr">
        <is>
          <t>Konstruksi Bangunan Sipil Jalan</t>
        </is>
      </c>
      <c r="N56" t="inlineStr">
        <is>
          <t>K</t>
        </is>
      </c>
      <c r="O56" t="inlineStr">
        <is>
          <t>20230712</t>
        </is>
      </c>
      <c r="P56" t="inlineStr">
        <is>
          <t>Lampung</t>
        </is>
      </c>
      <c r="Q56" s="3">
        <f>HYPERLINK("https://wa.me/6282113411692?text=*[PENGINGAT MASA BERLAKU SBU BUKIT SUKAJADI]*%0A%0AYth. Pimpinan BUKIT SUKAJADI,%0AMohon izin menginformasikan status SBU Anda di sistem LPJK:%0A%0A📄 SBU: BS001%0A📅 Expired: 20 Juli 2026 (60 Hari Lagi)%0A%0AKami tim PT. ESDEA Assistance Management siap men-support proses perpanjangan segera.", "Hubungi")</f>
        <v/>
      </c>
    </row>
    <row r="57">
      <c r="A57" t="inlineStr">
        <is>
          <t>BUMI PASUNDAN</t>
        </is>
      </c>
      <c r="B57" t="inlineStr">
        <is>
          <t>Kota Jambi</t>
        </is>
      </c>
      <c r="C57" t="inlineStr">
        <is>
          <t>081368236588</t>
        </is>
      </c>
      <c r="D57" t="inlineStr">
        <is>
          <t>bumipasundan19@gmail.com</t>
        </is>
      </c>
      <c r="E57" t="inlineStr">
        <is>
          <t>https://lpjk.pu.go.id/search-badan-usaha-detail/cW5pUGsxZ25jQ3hoN2JyUnhkM1dkUT09</t>
        </is>
      </c>
      <c r="F57" t="n">
        <v>5</v>
      </c>
      <c r="G57" t="inlineStr">
        <is>
          <t>BG001, BG002, BG005, BG006, BG009</t>
        </is>
      </c>
      <c r="H57" t="inlineStr">
        <is>
          <t>8 Oktober 2019</t>
        </is>
      </c>
      <c r="I57" s="2" t="n">
        <v>46223</v>
      </c>
      <c r="J57" t="inlineStr">
        <is>
          <t>Disetujui</t>
        </is>
      </c>
      <c r="K57" t="n">
        <v>60</v>
      </c>
      <c r="L57" t="inlineStr">
        <is>
          <t>20 Juli 2026</t>
        </is>
      </c>
      <c r="M57" t="inlineStr">
        <is>
          <t>Konstruksi Gedung Hunian, Konstruksi Gedung Kesehatan, Konstruksi Gedung Lainnya, Konstruksi Gedung Pendidikan, Konstruksi Gedung Perkantoran</t>
        </is>
      </c>
      <c r="N57" t="inlineStr">
        <is>
          <t>K</t>
        </is>
      </c>
      <c r="O57" t="inlineStr">
        <is>
          <t>20230717</t>
        </is>
      </c>
      <c r="P57" t="inlineStr">
        <is>
          <t>Jambi</t>
        </is>
      </c>
      <c r="Q57" s="3">
        <f>HYPERLINK("https://wa.me/6281368236588?text=*[PENGINGAT MASA BERLAKU SBU BUMI PASUNDAN]*%0A%0AYth. Pimpinan BUMI PASUNDAN,%0AMohon izin menginformasikan status SBU Anda di sistem LPJK:%0A%0A📄 SBU: BG001, BG002, BG005, BG006, BG009%0A📅 Expired: 20 Juli 2026 (60 Hari Lagi)%0A%0AKami tim PT. ESDEA Assistance Management siap men-support proses perpanjangan segera.", "Hubungi")</f>
        <v/>
      </c>
    </row>
    <row r="58">
      <c r="A58" t="inlineStr">
        <is>
          <t>BUMI PUTRI AMANDA</t>
        </is>
      </c>
      <c r="B58" t="inlineStr">
        <is>
          <t>Kab. Indramayu</t>
        </is>
      </c>
      <c r="C58" t="inlineStr">
        <is>
          <t>081222457739</t>
        </is>
      </c>
      <c r="D58" t="inlineStr">
        <is>
          <t>ptbumiputriamnda@gmail.com</t>
        </is>
      </c>
      <c r="E58" t="inlineStr">
        <is>
          <t>https://lpjk.pu.go.id/search-badan-usaha-detail/VlM4OHhmN051bHp0NUVWNUVFMm9Kdz09</t>
        </is>
      </c>
      <c r="F58" t="n">
        <v>2</v>
      </c>
      <c r="G58" t="inlineStr">
        <is>
          <t>BG001, BG009</t>
        </is>
      </c>
      <c r="H58" t="inlineStr">
        <is>
          <t>9 April 2010</t>
        </is>
      </c>
      <c r="I58" s="2" t="n">
        <v>46223</v>
      </c>
      <c r="J58" t="inlineStr">
        <is>
          <t>Disetujui</t>
        </is>
      </c>
      <c r="K58" t="n">
        <v>60</v>
      </c>
      <c r="L58" t="inlineStr">
        <is>
          <t>20 Juli 2026</t>
        </is>
      </c>
      <c r="M58" t="inlineStr">
        <is>
          <t>Konstruksi Gedung Hunian, Konstruksi Gedung Lainnya</t>
        </is>
      </c>
      <c r="N58" t="inlineStr">
        <is>
          <t>K</t>
        </is>
      </c>
      <c r="O58" t="inlineStr">
        <is>
          <t>20230718, 20230720</t>
        </is>
      </c>
      <c r="P58" t="inlineStr">
        <is>
          <t>Jawa Barat</t>
        </is>
      </c>
      <c r="Q58" s="3">
        <f>HYPERLINK("https://wa.me/6281222457739?text=*[PENGINGAT MASA BERLAKU SBU BUMI PUTRI AMANDA]*%0A%0AYth. Pimpinan BUMI PUTRI AMANDA,%0AMohon izin menginformasikan status SBU Anda di sistem LPJK:%0A%0A📄 SBU: BG001, BG009%0A📅 Expired: 20 Juli 2026 (60 Hari Lagi)%0A%0AKami tim PT. ESDEA Assistance Management siap men-support proses perpanjangan segera.", "Hubungi")</f>
        <v/>
      </c>
    </row>
    <row r="59">
      <c r="A59" t="inlineStr">
        <is>
          <t>BUMI UTAMA</t>
        </is>
      </c>
      <c r="B59" t="inlineStr">
        <is>
          <t>Kab. Tabanan</t>
        </is>
      </c>
      <c r="C59" t="inlineStr">
        <is>
          <t>0361813398</t>
        </is>
      </c>
      <c r="D59" t="inlineStr">
        <is>
          <t>bumiutama26@yahoo.com</t>
        </is>
      </c>
      <c r="E59" t="inlineStr">
        <is>
          <t>https://lpjk.pu.go.id/search-badan-usaha-detail/ck91bWlMbDE1bWo1NlQ1aWl1Qk5ZUT09</t>
        </is>
      </c>
      <c r="F59" t="n">
        <v>1</v>
      </c>
      <c r="G59" t="inlineStr">
        <is>
          <t>BS004</t>
        </is>
      </c>
      <c r="H59" t="inlineStr">
        <is>
          <t>3 Oktober 1994</t>
        </is>
      </c>
      <c r="I59" s="2" t="n">
        <v>46223</v>
      </c>
      <c r="J59" t="inlineStr">
        <is>
          <t>Disetujui</t>
        </is>
      </c>
      <c r="K59" t="n">
        <v>60</v>
      </c>
      <c r="L59" t="inlineStr">
        <is>
          <t>20 Juli 2026</t>
        </is>
      </c>
      <c r="M59" t="inlineStr">
        <is>
          <t>Konstruksi Jaringan Irigasi dan Drainase</t>
        </is>
      </c>
      <c r="N59" t="inlineStr">
        <is>
          <t>K</t>
        </is>
      </c>
      <c r="O59" t="inlineStr">
        <is>
          <t>20230717</t>
        </is>
      </c>
      <c r="P59" t="inlineStr">
        <is>
          <t>Bali</t>
        </is>
      </c>
      <c r="Q59" s="3">
        <f>HYPERLINK("https://wa.me/62361813398?text=*[PENGINGAT MASA BERLAKU SBU BUMI UTAMA]*%0A%0AYth. Pimpinan BUMI UTAMA,%0AMohon izin menginformasikan status SBU Anda di sistem LPJK:%0A%0A📄 SBU: BS004%0A📅 Expired: 20 Juli 2026 (60 Hari Lagi)%0A%0AKami tim PT. ESDEA Assistance Management siap men-support proses perpanjangan segera.", "Hubungi")</f>
        <v/>
      </c>
    </row>
    <row r="60">
      <c r="A60" t="inlineStr">
        <is>
          <t>CAHAYA</t>
        </is>
      </c>
      <c r="B60" t="inlineStr">
        <is>
          <t>Kota Bima</t>
        </is>
      </c>
      <c r="C60" t="inlineStr">
        <is>
          <t>085205100950</t>
        </is>
      </c>
      <c r="D60" t="inlineStr">
        <is>
          <t>cahaya.syam@gmail.com</t>
        </is>
      </c>
      <c r="E60" t="inlineStr">
        <is>
          <t>https://lpjk.pu.go.id/search-badan-usaha-detail/TDkxWVBjZk00TjA0SDVSanI2S2lOQT09</t>
        </is>
      </c>
      <c r="F60" t="n">
        <v>1</v>
      </c>
      <c r="G60" t="inlineStr">
        <is>
          <t>BS005</t>
        </is>
      </c>
      <c r="H60" t="inlineStr">
        <is>
          <t>29 September 1984</t>
        </is>
      </c>
      <c r="I60" s="2" t="n">
        <v>46223</v>
      </c>
      <c r="J60" t="inlineStr">
        <is>
          <t>Pencabutan</t>
        </is>
      </c>
      <c r="K60" t="n">
        <v>60</v>
      </c>
      <c r="L60" t="inlineStr">
        <is>
          <t>20 Juli 2026</t>
        </is>
      </c>
      <c r="M60" t="inlineStr">
        <is>
          <t>Konstruksi Bangunan Sipil Pengolahan Air Bersih</t>
        </is>
      </c>
      <c r="N60" t="inlineStr">
        <is>
          <t>K</t>
        </is>
      </c>
      <c r="O60" t="inlineStr">
        <is>
          <t>20230720</t>
        </is>
      </c>
      <c r="P60" t="inlineStr">
        <is>
          <t>Nusa Tenggara Barat</t>
        </is>
      </c>
      <c r="Q60" s="3">
        <f>HYPERLINK("https://wa.me/6285205100950?text=*[PENGINGAT MASA BERLAKU SBU CAHAYA]*%0A%0AYth. Pimpinan CAHAYA,%0AMohon izin menginformasikan status SBU Anda di sistem LPJK:%0A%0A📄 SBU: BS005%0A📅 Expired: 20 Juli 2026 (60 Hari Lagi)%0A%0AKami tim PT. ESDEA Assistance Management siap men-support proses perpanjangan segera.", "Hubungi")</f>
        <v/>
      </c>
    </row>
    <row r="61">
      <c r="A61" t="inlineStr">
        <is>
          <t>CAHAYA ABADI KONSULTINDO</t>
        </is>
      </c>
      <c r="B61" t="inlineStr">
        <is>
          <t>Kota Sukabumi</t>
        </is>
      </c>
      <c r="C61" t="inlineStr">
        <is>
          <t>081573304795</t>
        </is>
      </c>
      <c r="D61" t="inlineStr">
        <is>
          <t>cahayaabadikonsultindo@gmail.com</t>
        </is>
      </c>
      <c r="E61" t="inlineStr">
        <is>
          <t>https://lpjk.pu.go.id/search-badan-usaha-detail/MGt1VkdvQldSMytzQVA5bURRWXlDUT09</t>
        </is>
      </c>
      <c r="F61" t="n">
        <v>2</v>
      </c>
      <c r="G61" t="inlineStr">
        <is>
          <t>RK001, RK002</t>
        </is>
      </c>
      <c r="H61" t="inlineStr">
        <is>
          <t>29 Mei 2023</t>
        </is>
      </c>
      <c r="I61" s="2" t="n">
        <v>46223</v>
      </c>
      <c r="J61" t="inlineStr">
        <is>
          <t>Disetujui</t>
        </is>
      </c>
      <c r="K61" t="n">
        <v>60</v>
      </c>
      <c r="L61" t="inlineStr">
        <is>
          <t>20 Juli 2026</t>
        </is>
      </c>
      <c r="M61" t="inlineStr">
        <is>
          <t>Jasa Rekayasa Konstruksi Bangunan Gedung Hunian dan Non Hunian, Jasa Rekayasa Pekerjaan Teknik Sipil Sumber Daya Air</t>
        </is>
      </c>
      <c r="N61" t="inlineStr">
        <is>
          <t>K</t>
        </is>
      </c>
      <c r="O61" t="inlineStr">
        <is>
          <t>20230707</t>
        </is>
      </c>
      <c r="P61" t="inlineStr">
        <is>
          <t>Jawa Barat</t>
        </is>
      </c>
      <c r="Q61" s="3">
        <f>HYPERLINK("https://wa.me/6281573304795?text=*[PENGINGAT MASA BERLAKU SBU CAHAYA ABADI KONSULTINDO]*%0A%0AYth. Pimpinan CAHAYA ABADI KONSULTINDO,%0AMohon izin menginformasikan status SBU Anda di sistem LPJK:%0A%0A📄 SBU: RK001, RK002%0A📅 Expired: 20 Juli 2026 (60 Hari Lagi)%0A%0AKami tim PT. ESDEA Assistance Management siap men-support proses perpanjangan segera.", "Hubungi")</f>
        <v/>
      </c>
    </row>
    <row r="62">
      <c r="A62" t="inlineStr">
        <is>
          <t>CAHAYA BARU</t>
        </is>
      </c>
      <c r="B62" t="inlineStr">
        <is>
          <t>-</t>
        </is>
      </c>
      <c r="C62" t="inlineStr">
        <is>
          <t>081365108543</t>
        </is>
      </c>
      <c r="D62" t="inlineStr">
        <is>
          <t>pt.cahayab@yahoo.co.id</t>
        </is>
      </c>
      <c r="E62" t="inlineStr">
        <is>
          <t>https://lpjk.pu.go.id/search-badan-usaha-detail/bVBFTTRCc3pUbmg1QnY0bjI5NXFldz09</t>
        </is>
      </c>
      <c r="F62" t="n">
        <v>1</v>
      </c>
      <c r="G62" t="inlineStr">
        <is>
          <t>BG001</t>
        </is>
      </c>
      <c r="H62" t="inlineStr">
        <is>
          <t>28 Oktober 2010</t>
        </is>
      </c>
      <c r="I62" s="2" t="n">
        <v>46223</v>
      </c>
      <c r="J62" t="inlineStr">
        <is>
          <t>Disetujui</t>
        </is>
      </c>
      <c r="K62" t="n">
        <v>60</v>
      </c>
      <c r="L62" t="inlineStr">
        <is>
          <t>20 Juli 2026</t>
        </is>
      </c>
      <c r="M62" t="inlineStr">
        <is>
          <t>Konstruksi Gedung Hunian</t>
        </is>
      </c>
      <c r="N62" t="inlineStr">
        <is>
          <t>K</t>
        </is>
      </c>
      <c r="O62" t="inlineStr">
        <is>
          <t>20230721</t>
        </is>
      </c>
      <c r="P62" t="inlineStr">
        <is>
          <t>Riau</t>
        </is>
      </c>
      <c r="Q62" s="3">
        <f>HYPERLINK("https://wa.me/6281365108543?text=*[PENGINGAT MASA BERLAKU SBU CAHAYA BARU]*%0A%0AYth. Pimpinan CAHAYA BARU,%0AMohon izin menginformasikan status SBU Anda di sistem LPJK:%0A%0A📄 SBU: BG001%0A📅 Expired: 20 Juli 2026 (60 Hari Lagi)%0A%0AKami tim PT. ESDEA Assistance Management siap men-support proses perpanjangan segera.", "Hubungi")</f>
        <v/>
      </c>
    </row>
    <row r="63">
      <c r="A63" t="inlineStr">
        <is>
          <t>CAHAYA PELITA</t>
        </is>
      </c>
      <c r="B63" t="inlineStr">
        <is>
          <t>Kab. Tapanuli Selatan</t>
        </is>
      </c>
      <c r="C63" t="inlineStr">
        <is>
          <t>081376044893</t>
        </is>
      </c>
      <c r="D63" t="inlineStr">
        <is>
          <t>cvcahayapelitapsp@gmail.com</t>
        </is>
      </c>
      <c r="E63" t="inlineStr">
        <is>
          <t>https://lpjk.pu.go.id/search-badan-usaha-detail/RHlQR1NvK1BFV0NDYWIyTi8wU1Bndz09</t>
        </is>
      </c>
      <c r="F63" t="n">
        <v>1</v>
      </c>
      <c r="G63" t="inlineStr">
        <is>
          <t>BS004</t>
        </is>
      </c>
      <c r="H63" t="inlineStr">
        <is>
          <t>4 Maret 1999</t>
        </is>
      </c>
      <c r="I63" s="2" t="n">
        <v>46223</v>
      </c>
      <c r="J63" t="inlineStr">
        <is>
          <t>Disetujui</t>
        </is>
      </c>
      <c r="K63" t="n">
        <v>60</v>
      </c>
      <c r="L63" t="inlineStr">
        <is>
          <t>20 Juli 2026</t>
        </is>
      </c>
      <c r="M63" t="inlineStr">
        <is>
          <t>Konstruksi Jaringan Irigasi dan Drainase</t>
        </is>
      </c>
      <c r="N63" t="inlineStr">
        <is>
          <t>K</t>
        </is>
      </c>
      <c r="O63" t="inlineStr">
        <is>
          <t>20230711</t>
        </is>
      </c>
      <c r="P63" t="inlineStr">
        <is>
          <t>Sumatera Utara</t>
        </is>
      </c>
      <c r="Q63" s="3">
        <f>HYPERLINK("https://wa.me/6281376044893?text=*[PENGINGAT MASA BERLAKU SBU CAHAYA PELITA]*%0A%0AYth. Pimpinan CAHAYA PELITA,%0AMohon izin menginformasikan status SBU Anda di sistem LPJK:%0A%0A📄 SBU: BS004%0A📅 Expired: 20 Juli 2026 (60 Hari Lagi)%0A%0AKami tim PT. ESDEA Assistance Management siap men-support proses perpanjangan segera.", "Hubungi")</f>
        <v/>
      </c>
    </row>
    <row r="64">
      <c r="A64" t="inlineStr">
        <is>
          <t>CAHAYA TUNAS MULYA</t>
        </is>
      </c>
      <c r="B64" t="inlineStr">
        <is>
          <t>Kota Pontianak</t>
        </is>
      </c>
      <c r="C64" t="inlineStr">
        <is>
          <t>085349886346</t>
        </is>
      </c>
      <c r="D64" t="inlineStr">
        <is>
          <t>cahayatunasmulya@yahoo.co.id</t>
        </is>
      </c>
      <c r="E64" t="inlineStr">
        <is>
          <t>https://lpjk.pu.go.id/search-badan-usaha-detail/SWo3eGQrRjJ3SzM4UWh2Rk80aHlQdz09</t>
        </is>
      </c>
      <c r="F64" t="n">
        <v>2</v>
      </c>
      <c r="G64" t="inlineStr">
        <is>
          <t>BG002, BG009</t>
        </is>
      </c>
      <c r="H64" t="inlineStr">
        <is>
          <t>6 Juni 2007</t>
        </is>
      </c>
      <c r="I64" s="2" t="n">
        <v>46223</v>
      </c>
      <c r="J64" t="inlineStr">
        <is>
          <t>Pencabutan</t>
        </is>
      </c>
      <c r="K64" t="n">
        <v>60</v>
      </c>
      <c r="L64" t="inlineStr">
        <is>
          <t>20 Juli 2026</t>
        </is>
      </c>
      <c r="M64" t="inlineStr">
        <is>
          <t>Konstruksi Gedung Lainnya, Konstruksi Gedung Perkantoran</t>
        </is>
      </c>
      <c r="N64" t="inlineStr">
        <is>
          <t>K</t>
        </is>
      </c>
      <c r="O64" t="inlineStr">
        <is>
          <t>20230718, 20230721</t>
        </is>
      </c>
      <c r="P64" t="inlineStr">
        <is>
          <t>Kalimantan Barat</t>
        </is>
      </c>
      <c r="Q64" s="3">
        <f>HYPERLINK("https://wa.me/6285349886346?text=*[PENGINGAT MASA BERLAKU SBU CAHAYA TUNAS MULYA]*%0A%0AYth. Pimpinan CAHAYA TUNAS MULYA,%0AMohon izin menginformasikan status SBU Anda di sistem LPJK:%0A%0A📄 SBU: BG002, BG009%0A📅 Expired: 20 Juli 2026 (60 Hari Lagi)%0A%0AKami tim PT. ESDEA Assistance Management siap men-support proses perpanjangan segera.", "Hubungi")</f>
        <v/>
      </c>
    </row>
    <row r="65">
      <c r="A65" t="inlineStr">
        <is>
          <t>CAKRA TRIBUANA CORP</t>
        </is>
      </c>
      <c r="B65" t="inlineStr">
        <is>
          <t>Kota Banda Aceh</t>
        </is>
      </c>
      <c r="C65" t="inlineStr">
        <is>
          <t>081319803370</t>
        </is>
      </c>
      <c r="D65" t="inlineStr">
        <is>
          <t>cakratribuanacorp.pt@gmail.com</t>
        </is>
      </c>
      <c r="E65" t="inlineStr">
        <is>
          <t>https://lpjk.pu.go.id/search-badan-usaha-detail/YVFoaGpxVTBwMndqZDdQNUgrZFRLZz09</t>
        </is>
      </c>
      <c r="F65" t="n">
        <v>1</v>
      </c>
      <c r="G65" t="inlineStr">
        <is>
          <t>BG005</t>
        </is>
      </c>
      <c r="H65" t="inlineStr">
        <is>
          <t>26 September 2020</t>
        </is>
      </c>
      <c r="I65" s="2" t="n">
        <v>46223</v>
      </c>
      <c r="J65" t="inlineStr">
        <is>
          <t>Disetujui</t>
        </is>
      </c>
      <c r="K65" t="n">
        <v>60</v>
      </c>
      <c r="L65" t="inlineStr">
        <is>
          <t>20 Juli 2026</t>
        </is>
      </c>
      <c r="M65" t="inlineStr">
        <is>
          <t>Konstruksi Gedung Kesehatan</t>
        </is>
      </c>
      <c r="N65" t="inlineStr">
        <is>
          <t>K</t>
        </is>
      </c>
      <c r="O65" t="inlineStr">
        <is>
          <t>20230716</t>
        </is>
      </c>
      <c r="P65" t="inlineStr">
        <is>
          <t>Aceh</t>
        </is>
      </c>
      <c r="Q65" s="3">
        <f>HYPERLINK("https://wa.me/6281319803370?text=*[PENGINGAT MASA BERLAKU SBU CAKRA TRIBUANA CORP]*%0A%0AYth. Pimpinan CAKRA TRIBUANA CORP,%0AMohon izin menginformasikan status SBU Anda di sistem LPJK:%0A%0A📄 SBU: BG005%0A📅 Expired: 20 Juli 2026 (60 Hari Lagi)%0A%0AKami tim PT. ESDEA Assistance Management siap men-support proses perpanjangan segera.", "Hubungi")</f>
        <v/>
      </c>
    </row>
    <row r="66">
      <c r="A66" t="inlineStr">
        <is>
          <t>CALLISTA</t>
        </is>
      </c>
      <c r="B66" t="inlineStr">
        <is>
          <t>Kab. Sumenep</t>
        </is>
      </c>
      <c r="C66" t="inlineStr">
        <is>
          <t>087859272737</t>
        </is>
      </c>
      <c r="D66" t="inlineStr">
        <is>
          <t>callista.sumenep@gmail.com</t>
        </is>
      </c>
      <c r="E66" t="inlineStr">
        <is>
          <t>https://lpjk.pu.go.id/search-badan-usaha-detail/ZGQ4UnNxZkU4MkVMYVJjOFN6T0FsZz09</t>
        </is>
      </c>
      <c r="F66" t="n">
        <v>1</v>
      </c>
      <c r="G66" t="inlineStr">
        <is>
          <t>BS010</t>
        </is>
      </c>
      <c r="H66" t="inlineStr">
        <is>
          <t>26 Januari 2016</t>
        </is>
      </c>
      <c r="I66" s="2" t="n">
        <v>46223</v>
      </c>
      <c r="J66" t="inlineStr">
        <is>
          <t>Disetujui</t>
        </is>
      </c>
      <c r="K66" t="n">
        <v>60</v>
      </c>
      <c r="L66" t="inlineStr">
        <is>
          <t>20 Juli 2026</t>
        </is>
      </c>
      <c r="M66" t="inlineStr">
        <is>
          <t>Konstruksi Bangunan Prasarana Sumber Daya Air</t>
        </is>
      </c>
      <c r="N66" t="inlineStr">
        <is>
          <t>K</t>
        </is>
      </c>
      <c r="O66" t="inlineStr">
        <is>
          <t>20230717</t>
        </is>
      </c>
      <c r="P66" t="inlineStr">
        <is>
          <t>Jawa Timur</t>
        </is>
      </c>
      <c r="Q66" s="3">
        <f>HYPERLINK("https://wa.me/6287859272737?text=*[PENGINGAT MASA BERLAKU SBU CALLISTA]*%0A%0AYth. Pimpinan CALLISTA,%0AMohon izin menginformasikan status SBU Anda di sistem LPJK:%0A%0A📄 SBU: BS010%0A📅 Expired: 20 Juli 2026 (60 Hari Lagi)%0A%0AKami tim PT. ESDEA Assistance Management siap men-support proses perpanjangan segera.", "Hubungi")</f>
        <v/>
      </c>
    </row>
    <row r="67">
      <c r="A67" t="inlineStr">
        <is>
          <t>CAMPAKA PERDANA</t>
        </is>
      </c>
      <c r="B67" t="inlineStr">
        <is>
          <t>Kab. Bandung</t>
        </is>
      </c>
      <c r="C67" t="inlineStr">
        <is>
          <t>085221235645</t>
        </is>
      </c>
      <c r="D67" t="inlineStr">
        <is>
          <t>campakaperdana@outlook.com</t>
        </is>
      </c>
      <c r="E67" t="inlineStr">
        <is>
          <t>https://lpjk.pu.go.id/search-badan-usaha-detail/RHdrcGlINlBqbklvcVhJM1dORisyQT09</t>
        </is>
      </c>
      <c r="F67" t="n">
        <v>1</v>
      </c>
      <c r="G67" t="inlineStr">
        <is>
          <t>BS004</t>
        </is>
      </c>
      <c r="H67" t="inlineStr">
        <is>
          <t>12 September 2006</t>
        </is>
      </c>
      <c r="I67" s="2" t="n">
        <v>46223</v>
      </c>
      <c r="J67" t="inlineStr">
        <is>
          <t>Pencabutan</t>
        </is>
      </c>
      <c r="K67" t="n">
        <v>60</v>
      </c>
      <c r="L67" t="inlineStr">
        <is>
          <t>20 Juli 2026</t>
        </is>
      </c>
      <c r="M67" t="inlineStr">
        <is>
          <t>Konstruksi Jaringan Irigasi dan Drainase</t>
        </is>
      </c>
      <c r="N67" t="inlineStr">
        <is>
          <t>K</t>
        </is>
      </c>
      <c r="O67" t="inlineStr">
        <is>
          <t>20230710</t>
        </is>
      </c>
      <c r="P67" t="inlineStr">
        <is>
          <t>Jawa Barat</t>
        </is>
      </c>
      <c r="Q67" s="3">
        <f>HYPERLINK("https://wa.me/6285221235645?text=*[PENGINGAT MASA BERLAKU SBU CAMPAKA PERDANA]*%0A%0AYth. Pimpinan CAMPAKA PERDANA,%0AMohon izin menginformasikan status SBU Anda di sistem LPJK:%0A%0A📄 SBU: BS004%0A📅 Expired: 20 Juli 2026 (60 Hari Lagi)%0A%0AKami tim PT. ESDEA Assistance Management siap men-support proses perpanjangan segera.", "Hubungi")</f>
        <v/>
      </c>
    </row>
    <row r="68">
      <c r="A68" t="inlineStr">
        <is>
          <t>CITRA INDAH SEJATI</t>
        </is>
      </c>
      <c r="B68" t="inlineStr">
        <is>
          <t>Kab. Banyumas</t>
        </is>
      </c>
      <c r="C68" t="inlineStr">
        <is>
          <t>02816577189</t>
        </is>
      </c>
      <c r="D68" t="inlineStr">
        <is>
          <t>citraindahsejati@yahoo.com</t>
        </is>
      </c>
      <c r="E68" t="inlineStr">
        <is>
          <t>https://lpjk.pu.go.id/search-badan-usaha-detail/UnFSSVI4Tm9OWlQxT2U0NWMwVFpJZz09</t>
        </is>
      </c>
      <c r="F68" t="n">
        <v>1</v>
      </c>
      <c r="G68" t="inlineStr">
        <is>
          <t>BS001</t>
        </is>
      </c>
      <c r="H68" t="inlineStr">
        <is>
          <t>8 Agustus 1992</t>
        </is>
      </c>
      <c r="I68" s="2" t="n">
        <v>46223</v>
      </c>
      <c r="J68" t="inlineStr">
        <is>
          <t>Disetujui</t>
        </is>
      </c>
      <c r="K68" t="n">
        <v>60</v>
      </c>
      <c r="L68" t="inlineStr">
        <is>
          <t>20 Juli 2026</t>
        </is>
      </c>
      <c r="M68" t="inlineStr">
        <is>
          <t>Konstruksi Bangunan Sipil Jalan</t>
        </is>
      </c>
      <c r="N68" t="inlineStr">
        <is>
          <t>K</t>
        </is>
      </c>
      <c r="O68" t="inlineStr">
        <is>
          <t>20230718</t>
        </is>
      </c>
      <c r="P68" t="inlineStr">
        <is>
          <t>Jawa Tengah</t>
        </is>
      </c>
      <c r="Q68" s="3">
        <f>HYPERLINK("https://wa.me/622816577189?text=*[PENGINGAT MASA BERLAKU SBU CITRA INDAH SEJATI]*%0A%0AYth. Pimpinan CITRA INDAH SEJATI,%0AMohon izin menginformasikan status SBU Anda di sistem LPJK:%0A%0A📄 SBU: BS001%0A📅 Expired: 20 Juli 2026 (60 Hari Lagi)%0A%0AKami tim PT. ESDEA Assistance Management siap men-support proses perpanjangan segera.", "Hubungi")</f>
        <v/>
      </c>
    </row>
    <row r="69">
      <c r="A69" t="inlineStr">
        <is>
          <t>CITRA MULIA SEJAHTERA</t>
        </is>
      </c>
      <c r="B69" t="inlineStr">
        <is>
          <t>Kota Kendari</t>
        </is>
      </c>
      <c r="C69" t="inlineStr">
        <is>
          <t>082348221222</t>
        </is>
      </c>
      <c r="D69" t="inlineStr">
        <is>
          <t>cv.citramulia2008@gmail.com</t>
        </is>
      </c>
      <c r="E69" t="inlineStr">
        <is>
          <t>https://lpjk.pu.go.id/search-badan-usaha-detail/K2MyOWFGbGxMNld4MURCTDFWY1dpQT09</t>
        </is>
      </c>
      <c r="F69" t="n">
        <v>1</v>
      </c>
      <c r="G69" t="inlineStr">
        <is>
          <t>BG009</t>
        </is>
      </c>
      <c r="H69" t="inlineStr">
        <is>
          <t>21 Januari 2010</t>
        </is>
      </c>
      <c r="I69" s="2" t="n">
        <v>46223</v>
      </c>
      <c r="J69" t="inlineStr">
        <is>
          <t>Disetujui</t>
        </is>
      </c>
      <c r="K69" t="n">
        <v>60</v>
      </c>
      <c r="L69" t="inlineStr">
        <is>
          <t>20 Juli 2026</t>
        </is>
      </c>
      <c r="M69" t="inlineStr">
        <is>
          <t>Konstruksi Gedung Lainnya</t>
        </is>
      </c>
      <c r="N69" t="inlineStr">
        <is>
          <t>K</t>
        </is>
      </c>
      <c r="O69" t="inlineStr">
        <is>
          <t>20230718</t>
        </is>
      </c>
      <c r="P69" t="inlineStr">
        <is>
          <t>Sulawesi Tenggara</t>
        </is>
      </c>
      <c r="Q69" s="3">
        <f>HYPERLINK("https://wa.me/6282348221222?text=*[PENGINGAT MASA BERLAKU SBU CITRA MULIA SEJAHTERA]*%0A%0AYth. Pimpinan CITRA MULIA SEJAHTERA,%0AMohon izin menginformasikan status SBU Anda di sistem LPJK:%0A%0A📄 SBU: BG009%0A📅 Expired: 20 Juli 2026 (60 Hari Lagi)%0A%0AKami tim PT. ESDEA Assistance Management siap men-support proses perpanjangan segera.", "Hubungi")</f>
        <v/>
      </c>
    </row>
    <row r="70">
      <c r="A70" t="inlineStr">
        <is>
          <t>CITRA SUBUR</t>
        </is>
      </c>
      <c r="B70" t="inlineStr">
        <is>
          <t>Kab. Padang Pariaman</t>
        </is>
      </c>
      <c r="C70" t="inlineStr">
        <is>
          <t>08126733425</t>
        </is>
      </c>
      <c r="D70" t="inlineStr">
        <is>
          <t>suburcitra@gmail.com</t>
        </is>
      </c>
      <c r="E70" t="inlineStr">
        <is>
          <t>https://lpjk.pu.go.id/search-badan-usaha-detail/TnhFZTMzMTlKZU4wWUZxM1R6YkJTUT09</t>
        </is>
      </c>
      <c r="F70" t="n">
        <v>1</v>
      </c>
      <c r="G70" t="inlineStr">
        <is>
          <t>BG009</t>
        </is>
      </c>
      <c r="H70" t="inlineStr">
        <is>
          <t>5 Februari 1981</t>
        </is>
      </c>
      <c r="I70" s="2" t="n">
        <v>46223</v>
      </c>
      <c r="J70" t="inlineStr">
        <is>
          <t>Pencabutan</t>
        </is>
      </c>
      <c r="K70" t="n">
        <v>60</v>
      </c>
      <c r="L70" t="inlineStr">
        <is>
          <t>20 Juli 2026</t>
        </is>
      </c>
      <c r="M70" t="inlineStr">
        <is>
          <t>Konstruksi Gedung Lainnya</t>
        </is>
      </c>
      <c r="N70" t="inlineStr">
        <is>
          <t>K</t>
        </is>
      </c>
      <c r="O70" t="inlineStr">
        <is>
          <t>20230718</t>
        </is>
      </c>
      <c r="P70" t="inlineStr">
        <is>
          <t>Sumatera Barat</t>
        </is>
      </c>
      <c r="Q70" s="3">
        <f>HYPERLINK("https://wa.me/628126733425?text=*[PENGINGAT MASA BERLAKU SBU CITRA SUBUR]*%0A%0AYth. Pimpinan CITRA SUBUR,%0AMohon izin menginformasikan status SBU Anda di sistem LPJK:%0A%0A📄 SBU: BG009%0A📅 Expired: 20 Juli 2026 (60 Hari Lagi)%0A%0AKami tim PT. ESDEA Assistance Management siap men-support proses perpanjangan segera.", "Hubungi")</f>
        <v/>
      </c>
    </row>
    <row r="71">
      <c r="A71" t="inlineStr">
        <is>
          <t>COKRO PUTRA JAYA</t>
        </is>
      </c>
      <c r="B71" t="inlineStr">
        <is>
          <t>Kota Surakarta</t>
        </is>
      </c>
      <c r="C71" t="inlineStr">
        <is>
          <t>081326149797</t>
        </is>
      </c>
      <c r="D71" t="inlineStr">
        <is>
          <t>cvcokroputrajaya@gmail.com</t>
        </is>
      </c>
      <c r="E71" t="inlineStr">
        <is>
          <t>https://lpjk.pu.go.id/search-badan-usaha-detail/VnY1cTVrME1ndUJHMkhjVmk0UGY0Zz09</t>
        </is>
      </c>
      <c r="F71" t="n">
        <v>1</v>
      </c>
      <c r="G71" t="inlineStr">
        <is>
          <t>BG001</t>
        </is>
      </c>
      <c r="H71" t="inlineStr">
        <is>
          <t>26 September 2019</t>
        </is>
      </c>
      <c r="I71" s="2" t="n">
        <v>46223</v>
      </c>
      <c r="J71" t="inlineStr">
        <is>
          <t>Disetujui</t>
        </is>
      </c>
      <c r="K71" t="n">
        <v>60</v>
      </c>
      <c r="L71" t="inlineStr">
        <is>
          <t>20 Juli 2026</t>
        </is>
      </c>
      <c r="M71" t="inlineStr">
        <is>
          <t>Konstruksi Gedung Hunian</t>
        </is>
      </c>
      <c r="N71" t="inlineStr">
        <is>
          <t>K</t>
        </is>
      </c>
      <c r="O71" t="inlineStr">
        <is>
          <t>20230719</t>
        </is>
      </c>
      <c r="P71" t="inlineStr">
        <is>
          <t>Jawa Tengah</t>
        </is>
      </c>
      <c r="Q71" s="3">
        <f>HYPERLINK("https://wa.me/6281326149797?text=*[PENGINGAT MASA BERLAKU SBU COKRO PUTRA JAYA]*%0A%0AYth. Pimpinan COKRO PUTRA JAYA,%0AMohon izin menginformasikan status SBU Anda di sistem LPJK:%0A%0A📄 SBU: BG001%0A📅 Expired: 20 Juli 2026 (60 Hari Lagi)%0A%0AKami tim PT. ESDEA Assistance Management siap men-support proses perpanjangan segera.", "Hubungi")</f>
        <v/>
      </c>
    </row>
    <row r="72">
      <c r="A72" t="inlineStr">
        <is>
          <t>CV. NATURAL PLAN KONSULTAN</t>
        </is>
      </c>
      <c r="B72" t="inlineStr">
        <is>
          <t>Kota Kendari</t>
        </is>
      </c>
      <c r="C72" t="inlineStr">
        <is>
          <t>082347991413</t>
        </is>
      </c>
      <c r="D72" t="inlineStr">
        <is>
          <t>naturalconst@yahoo.com</t>
        </is>
      </c>
      <c r="E72" t="inlineStr">
        <is>
          <t>https://lpjk.pu.go.id/search-badan-usaha-detail/VC9lcExIaTYzdHA2TVZ0R05vS3Radz09</t>
        </is>
      </c>
      <c r="F72" t="n">
        <v>2</v>
      </c>
      <c r="G72" t="inlineStr">
        <is>
          <t>AR001, RK002</t>
        </is>
      </c>
      <c r="H72" t="inlineStr">
        <is>
          <t>13 Agustus 2007</t>
        </is>
      </c>
      <c r="I72" s="2" t="n">
        <v>46223</v>
      </c>
      <c r="J72" t="inlineStr">
        <is>
          <t>Disetujui, Pencabutan</t>
        </is>
      </c>
      <c r="K72" t="n">
        <v>60</v>
      </c>
      <c r="L72" t="inlineStr">
        <is>
          <t>20 Juli 2026</t>
        </is>
      </c>
      <c r="M72" t="inlineStr">
        <is>
          <t>Jasa Arsitektural Bangunan Gedung Hunian dan Non Hunian, Jasa Rekayasa Pekerjaan Teknik Sipil Sumber Daya Air</t>
        </is>
      </c>
      <c r="N72" t="inlineStr">
        <is>
          <t>K</t>
        </is>
      </c>
      <c r="O72" t="inlineStr">
        <is>
          <t>20230706</t>
        </is>
      </c>
      <c r="P72" t="inlineStr">
        <is>
          <t>Sulawesi Tenggara</t>
        </is>
      </c>
      <c r="Q72" s="3">
        <f>HYPERLINK("https://wa.me/6282347991413?text=*[PENGINGAT MASA BERLAKU SBU CV. NATURAL PLAN KONSULTAN]*%0A%0AYth. Pimpinan CV. NATURAL PLAN KONSULTAN,%0AMohon izin menginformasikan status SBU Anda di sistem LPJK:%0A%0A📄 SBU: AR001, RK002%0A📅 Expired: 20 Juli 2026 (60 Hari Lagi)%0A%0AKami tim PT. ESDEA Assistance Management siap men-support proses perpanjangan segera.", "Hubungi")</f>
        <v/>
      </c>
    </row>
    <row r="73">
      <c r="A73" t="inlineStr">
        <is>
          <t>CV. ZHILAL PUTRA</t>
        </is>
      </c>
      <c r="B73" t="inlineStr">
        <is>
          <t>Kab. Bombana</t>
        </is>
      </c>
      <c r="C73" t="inlineStr">
        <is>
          <t>082395667546</t>
        </is>
      </c>
      <c r="D73" t="inlineStr">
        <is>
          <t>zhilalmaju@gmail.com</t>
        </is>
      </c>
      <c r="E73" t="inlineStr">
        <is>
          <t>https://lpjk.pu.go.id/search-badan-usaha-detail/VTdnbVBDOVBPdldEU0MyNkFpNFpoZz09</t>
        </is>
      </c>
      <c r="F73" t="n">
        <v>2</v>
      </c>
      <c r="G73" t="inlineStr">
        <is>
          <t>BS001, BS004</t>
        </is>
      </c>
      <c r="H73" t="inlineStr">
        <is>
          <t>14 Januari 2002</t>
        </is>
      </c>
      <c r="I73" s="2" t="n">
        <v>46223</v>
      </c>
      <c r="J73" t="inlineStr">
        <is>
          <t>Disetujui</t>
        </is>
      </c>
      <c r="K73" t="n">
        <v>60</v>
      </c>
      <c r="L73" t="inlineStr">
        <is>
          <t>20 Juli 2026</t>
        </is>
      </c>
      <c r="M73" t="inlineStr">
        <is>
          <t>Konstruksi Bangunan Sipil Jalan, Konstruksi Jaringan Irigasi dan Drainase</t>
        </is>
      </c>
      <c r="N73" t="inlineStr">
        <is>
          <t>K</t>
        </is>
      </c>
      <c r="O73" t="inlineStr">
        <is>
          <t>20230713, 20230715</t>
        </is>
      </c>
      <c r="P73" t="inlineStr">
        <is>
          <t>Sulawesi Tenggara</t>
        </is>
      </c>
      <c r="Q73" s="3">
        <f>HYPERLINK("https://wa.me/6282395667546?text=*[PENGINGAT MASA BERLAKU SBU CV. ZHILAL PUTRA]*%0A%0AYth. Pimpinan CV. ZHILAL PUTRA,%0AMohon izin menginformasikan status SBU Anda di sistem LPJK:%0A%0A📄 SBU: BS001, BS004%0A📅 Expired: 20 Juli 2026 (60 Hari Lagi)%0A%0AKami tim PT. ESDEA Assistance Management siap men-support proses perpanjangan segera.", "Hubungi")</f>
        <v/>
      </c>
    </row>
    <row r="74">
      <c r="A74" t="inlineStr">
        <is>
          <t>DAFI PILAR PERSADA</t>
        </is>
      </c>
      <c r="B74" t="inlineStr">
        <is>
          <t>Kab. Bandung</t>
        </is>
      </c>
      <c r="C74" t="inlineStr">
        <is>
          <t>081322325678</t>
        </is>
      </c>
      <c r="D74" t="inlineStr">
        <is>
          <t>dafipilarpersada@gmail.com</t>
        </is>
      </c>
      <c r="E74" t="inlineStr">
        <is>
          <t>https://lpjk.pu.go.id/search-badan-usaha-detail/ZUhiUXZUdGRUSERUWFR4Q0g0bVpidz09</t>
        </is>
      </c>
      <c r="F74" t="n">
        <v>1</v>
      </c>
      <c r="G74" t="inlineStr">
        <is>
          <t>BS001</t>
        </is>
      </c>
      <c r="H74" t="inlineStr">
        <is>
          <t>14 Februari 2023</t>
        </is>
      </c>
      <c r="I74" s="2" t="n">
        <v>46223</v>
      </c>
      <c r="J74" t="inlineStr">
        <is>
          <t>Disetujui</t>
        </is>
      </c>
      <c r="K74" t="n">
        <v>60</v>
      </c>
      <c r="L74" t="inlineStr">
        <is>
          <t>20 Juli 2026</t>
        </is>
      </c>
      <c r="M74" t="inlineStr">
        <is>
          <t>Konstruksi Bangunan Sipil Jalan</t>
        </is>
      </c>
      <c r="N74" t="inlineStr">
        <is>
          <t>K</t>
        </is>
      </c>
      <c r="O74" t="inlineStr">
        <is>
          <t>20230720</t>
        </is>
      </c>
      <c r="P74" t="inlineStr">
        <is>
          <t>Jawa Barat</t>
        </is>
      </c>
      <c r="Q74" s="3">
        <f>HYPERLINK("https://wa.me/6281322325678?text=*[PENGINGAT MASA BERLAKU SBU DAFI PILAR PERSADA]*%0A%0AYth. Pimpinan DAFI PILAR PERSADA,%0AMohon izin menginformasikan status SBU Anda di sistem LPJK:%0A%0A📄 SBU: BS001%0A📅 Expired: 20 Juli 2026 (60 Hari Lagi)%0A%0AKami tim PT. ESDEA Assistance Management siap men-support proses perpanjangan segera.", "Hubungi")</f>
        <v/>
      </c>
    </row>
    <row r="75">
      <c r="A75" t="inlineStr">
        <is>
          <t>DARREN</t>
        </is>
      </c>
      <c r="B75" t="inlineStr">
        <is>
          <t>Kota Medan</t>
        </is>
      </c>
      <c r="C75" t="inlineStr">
        <is>
          <t>081279697953</t>
        </is>
      </c>
      <c r="D75" t="inlineStr">
        <is>
          <t>cvdarren3@gmail.com</t>
        </is>
      </c>
      <c r="E75" t="inlineStr">
        <is>
          <t>https://lpjk.pu.go.id/search-badan-usaha-detail/a0VSa3NRc0R1d0dLZDhpSGg4MStmQT09</t>
        </is>
      </c>
      <c r="F75" t="n">
        <v>3</v>
      </c>
      <c r="G75" t="inlineStr">
        <is>
          <t>BG001, BG005, BG006</t>
        </is>
      </c>
      <c r="H75" t="inlineStr">
        <is>
          <t>3 Desember 2021</t>
        </is>
      </c>
      <c r="I75" s="2" t="n">
        <v>46223</v>
      </c>
      <c r="J75" t="inlineStr">
        <is>
          <t>Disetujui</t>
        </is>
      </c>
      <c r="K75" t="n">
        <v>60</v>
      </c>
      <c r="L75" t="inlineStr">
        <is>
          <t>20 Juli 2026</t>
        </is>
      </c>
      <c r="M75" t="inlineStr">
        <is>
          <t>Konstruksi Gedung Hunian, Konstruksi Gedung Kesehatan, Konstruksi Gedung Pendidikan</t>
        </is>
      </c>
      <c r="N75" t="inlineStr">
        <is>
          <t>K</t>
        </is>
      </c>
      <c r="O75" t="inlineStr">
        <is>
          <t>20230721</t>
        </is>
      </c>
      <c r="P75" t="inlineStr">
        <is>
          <t>Sumatera Utara</t>
        </is>
      </c>
      <c r="Q75" s="3">
        <f>HYPERLINK("https://wa.me/6281279697953?text=*[PENGINGAT MASA BERLAKU SBU DARREN]*%0A%0AYth. Pimpinan DARREN,%0AMohon izin menginformasikan status SBU Anda di sistem LPJK:%0A%0A📄 SBU: BG001, BG005, BG006%0A📅 Expired: 20 Juli 2026 (60 Hari Lagi)%0A%0AKami tim PT. ESDEA Assistance Management siap men-support proses perpanjangan segera.", "Hubungi")</f>
        <v/>
      </c>
    </row>
    <row r="76">
      <c r="A76" t="inlineStr">
        <is>
          <t>DELA ROHITA</t>
        </is>
      </c>
      <c r="B76" t="inlineStr">
        <is>
          <t>Kota Adm. Jakarta Selatan</t>
        </is>
      </c>
      <c r="C76" t="inlineStr">
        <is>
          <t>0217231117</t>
        </is>
      </c>
      <c r="D76" t="inlineStr">
        <is>
          <t>rohita_dela@yahoo.com</t>
        </is>
      </c>
      <c r="E76" t="inlineStr">
        <is>
          <t>https://lpjk.pu.go.id/search-badan-usaha-detail/Nnh3OXh3SStiV3UwVE83L3FBMUZxQT09</t>
        </is>
      </c>
      <c r="F76" t="n">
        <v>1</v>
      </c>
      <c r="G76" t="inlineStr">
        <is>
          <t>BG005</t>
        </is>
      </c>
      <c r="H76" t="inlineStr">
        <is>
          <t>6 Juni 1973</t>
        </is>
      </c>
      <c r="I76" s="2" t="n">
        <v>46223</v>
      </c>
      <c r="J76" t="inlineStr">
        <is>
          <t>Disetujui</t>
        </is>
      </c>
      <c r="K76" t="n">
        <v>60</v>
      </c>
      <c r="L76" t="inlineStr">
        <is>
          <t>20 Juli 2026</t>
        </is>
      </c>
      <c r="M76" t="inlineStr">
        <is>
          <t>Konstruksi Gedung Kesehatan</t>
        </is>
      </c>
      <c r="N76" t="inlineStr">
        <is>
          <t>K</t>
        </is>
      </c>
      <c r="O76" t="inlineStr">
        <is>
          <t>20230623</t>
        </is>
      </c>
      <c r="P76" t="inlineStr">
        <is>
          <t>DKI Jakarta</t>
        </is>
      </c>
      <c r="Q76" s="3">
        <f>HYPERLINK("https://wa.me/62217231117?text=*[PENGINGAT MASA BERLAKU SBU DELA ROHITA]*%0A%0AYth. Pimpinan DELA ROHITA,%0AMohon izin menginformasikan status SBU Anda di sistem LPJK:%0A%0A📄 SBU: BG005%0A📅 Expired: 20 Juli 2026 (60 Hari Lagi)%0A%0AKami tim PT. ESDEA Assistance Management siap men-support proses perpanjangan segera.", "Hubungi")</f>
        <v/>
      </c>
    </row>
    <row r="77">
      <c r="A77" t="inlineStr">
        <is>
          <t>DIANDRA PRATAMA</t>
        </is>
      </c>
      <c r="B77" t="inlineStr">
        <is>
          <t>Kota Pare Pare</t>
        </is>
      </c>
      <c r="C77" t="inlineStr">
        <is>
          <t>08114200424</t>
        </is>
      </c>
      <c r="D77" t="inlineStr">
        <is>
          <t>rendrasoewandy@yahoo.co.id</t>
        </is>
      </c>
      <c r="E77" t="inlineStr">
        <is>
          <t>https://lpjk.pu.go.id/search-badan-usaha-detail/czhFNWIzVWVzZENBcHRVQlJ1NHVTQT09</t>
        </is>
      </c>
      <c r="F77" t="n">
        <v>6</v>
      </c>
      <c r="G77" t="inlineStr">
        <is>
          <t>BG006, BG009, BS004</t>
        </is>
      </c>
      <c r="H77" t="inlineStr">
        <is>
          <t>12 Juni 2010</t>
        </is>
      </c>
      <c r="I77" s="2" t="n">
        <v>46223</v>
      </c>
      <c r="J77" t="inlineStr">
        <is>
          <t>Disetujui</t>
        </is>
      </c>
      <c r="K77" t="n">
        <v>60</v>
      </c>
      <c r="L77" t="inlineStr">
        <is>
          <t>20 Juli 2026</t>
        </is>
      </c>
      <c r="M77" t="inlineStr">
        <is>
          <t>Konstruksi Gedung Lainnya, Konstruksi Gedung Pendidikan, Konstruksi Jaringan Irigasi dan Drainase</t>
        </is>
      </c>
      <c r="N77" t="inlineStr">
        <is>
          <t>K</t>
        </is>
      </c>
      <c r="O77" t="inlineStr">
        <is>
          <t>20230719</t>
        </is>
      </c>
      <c r="P77" t="inlineStr">
        <is>
          <t>Sulawesi Selatan</t>
        </is>
      </c>
      <c r="Q77" s="3">
        <f>HYPERLINK("https://wa.me/628114200424?text=*[PENGINGAT MASA BERLAKU SBU DIANDRA PRATAMA]*%0A%0AYth. Pimpinan DIANDRA PRATAMA,%0AMohon izin menginformasikan status SBU Anda di sistem LPJK:%0A%0A📄 SBU: BG006, BG009, BS004%0A📅 Expired: 20 Juli 2026 (60 Hari Lagi)%0A%0AKami tim PT. ESDEA Assistance Management siap men-support proses perpanjangan segera.", "Hubungi")</f>
        <v/>
      </c>
    </row>
    <row r="78">
      <c r="A78" t="inlineStr">
        <is>
          <t>DORO BELO ANGKASA</t>
        </is>
      </c>
      <c r="B78" t="inlineStr">
        <is>
          <t>Kab. Bima</t>
        </is>
      </c>
      <c r="C78" t="inlineStr">
        <is>
          <t>082240091966</t>
        </is>
      </c>
      <c r="D78" t="inlineStr">
        <is>
          <t>ptdorobelo@gmail.com</t>
        </is>
      </c>
      <c r="E78" t="inlineStr">
        <is>
          <t>https://lpjk.pu.go.id/search-badan-usaha-detail/dmJ6YWRGVC9KazBHTXFqejh1RE9mZz09</t>
        </is>
      </c>
      <c r="F78" t="n">
        <v>3</v>
      </c>
      <c r="G78" t="inlineStr">
        <is>
          <t>BS001, BS002, BS004</t>
        </is>
      </c>
      <c r="H78" t="inlineStr">
        <is>
          <t>14 Desember 2018</t>
        </is>
      </c>
      <c r="I78" s="2" t="n">
        <v>46223</v>
      </c>
      <c r="J78" t="inlineStr">
        <is>
          <t>Pencabutan</t>
        </is>
      </c>
      <c r="K78" t="n">
        <v>60</v>
      </c>
      <c r="L78" t="inlineStr">
        <is>
          <t>20 Juli 2026</t>
        </is>
      </c>
      <c r="M78" t="inlineStr">
        <is>
          <t>Bangunan Sipil Jembatan, Jalan Layang, Fly Over, dan Underpass, Konstruksi Bangunan Sipil Jalan, Konstruksi Jaringan Irigasi dan Drainase</t>
        </is>
      </c>
      <c r="N78" t="inlineStr">
        <is>
          <t>K</t>
        </is>
      </c>
      <c r="O78" t="inlineStr">
        <is>
          <t>20230721</t>
        </is>
      </c>
      <c r="P78" t="inlineStr">
        <is>
          <t>Nusa Tenggara Barat</t>
        </is>
      </c>
      <c r="Q78" s="3">
        <f>HYPERLINK("https://wa.me/6282240091966?text=*[PENGINGAT MASA BERLAKU SBU DORO BELO ANGKASA]*%0A%0AYth. Pimpinan DORO BELO ANGKASA,%0AMohon izin menginformasikan status SBU Anda di sistem LPJK:%0A%0A📄 SBU: BS001, BS002, BS004%0A📅 Expired: 20 Juli 2026 (60 Hari Lagi)%0A%0AKami tim PT. ESDEA Assistance Management siap men-support proses perpanjangan segera.", "Hubungi")</f>
        <v/>
      </c>
    </row>
    <row r="79">
      <c r="A79" t="inlineStr">
        <is>
          <t>DUA BINTANG SELATAN</t>
        </is>
      </c>
      <c r="B79" t="inlineStr">
        <is>
          <t>Kota Cilegon</t>
        </is>
      </c>
      <c r="C79" t="inlineStr">
        <is>
          <t>0811860516</t>
        </is>
      </c>
      <c r="D79" t="inlineStr">
        <is>
          <t>duabintangselatan77@gmail.com</t>
        </is>
      </c>
      <c r="E79" t="inlineStr">
        <is>
          <t>https://lpjk.pu.go.id/search-badan-usaha-detail/bm8rNUFwaGJsQVZpRHpkOHdrT0ZpZz09</t>
        </is>
      </c>
      <c r="F79" t="n">
        <v>2</v>
      </c>
      <c r="G79" t="inlineStr">
        <is>
          <t>BG001, BG002</t>
        </is>
      </c>
      <c r="H79" t="inlineStr">
        <is>
          <t>10 Mei 2023</t>
        </is>
      </c>
      <c r="I79" s="2" t="n">
        <v>46223</v>
      </c>
      <c r="J79" t="inlineStr">
        <is>
          <t>Disetujui</t>
        </is>
      </c>
      <c r="K79" t="n">
        <v>60</v>
      </c>
      <c r="L79" t="inlineStr">
        <is>
          <t>20 Juli 2026</t>
        </is>
      </c>
      <c r="M79" t="inlineStr">
        <is>
          <t>Konstruksi Gedung Hunian, Konstruksi Gedung Perkantoran</t>
        </is>
      </c>
      <c r="N79" t="inlineStr">
        <is>
          <t>K</t>
        </is>
      </c>
      <c r="O79" t="inlineStr">
        <is>
          <t>20230721</t>
        </is>
      </c>
      <c r="P79" t="inlineStr">
        <is>
          <t>Banten</t>
        </is>
      </c>
      <c r="Q79" s="3">
        <f>HYPERLINK("https://wa.me/62811860516?text=*[PENGINGAT MASA BERLAKU SBU DUA BINTANG SELATAN]*%0A%0AYth. Pimpinan DUA BINTANG SELATAN,%0AMohon izin menginformasikan status SBU Anda di sistem LPJK:%0A%0A📄 SBU: BG001, BG002%0A📅 Expired: 20 Juli 2026 (60 Hari Lagi)%0A%0AKami tim PT. ESDEA Assistance Management siap men-support proses perpanjangan segera.", "Hubungi")</f>
        <v/>
      </c>
    </row>
    <row r="80">
      <c r="A80" t="inlineStr">
        <is>
          <t>EMPAT PUTRA MALAKA</t>
        </is>
      </c>
      <c r="B80" t="inlineStr">
        <is>
          <t>Kota Kupang</t>
        </is>
      </c>
      <c r="C80" t="inlineStr">
        <is>
          <t>082244699993</t>
        </is>
      </c>
      <c r="D80" t="inlineStr">
        <is>
          <t>empatputramalaka@gmail.com</t>
        </is>
      </c>
      <c r="E80" t="inlineStr">
        <is>
          <t>https://lpjk.pu.go.id/search-badan-usaha-detail/UitTRWZ2OTVqMnFJckhFWW1MNlBVUT09</t>
        </is>
      </c>
      <c r="F80" t="n">
        <v>2</v>
      </c>
      <c r="G80" t="inlineStr">
        <is>
          <t>BG005, BG006</t>
        </is>
      </c>
      <c r="H80" t="inlineStr">
        <is>
          <t>3 Januari 2014</t>
        </is>
      </c>
      <c r="I80" s="2" t="n">
        <v>46223</v>
      </c>
      <c r="J80" t="inlineStr">
        <is>
          <t>Disetujui</t>
        </is>
      </c>
      <c r="K80" t="n">
        <v>60</v>
      </c>
      <c r="L80" t="inlineStr">
        <is>
          <t>20 Juli 2026</t>
        </is>
      </c>
      <c r="M80" t="inlineStr">
        <is>
          <t>Konstruksi Gedung Kesehatan, Konstruksi Gedung Pendidikan</t>
        </is>
      </c>
      <c r="N80" t="inlineStr">
        <is>
          <t>K</t>
        </is>
      </c>
      <c r="O80" t="inlineStr">
        <is>
          <t>20230621, 20230707</t>
        </is>
      </c>
      <c r="P80" t="inlineStr">
        <is>
          <t>Nusa Tenggara Timur</t>
        </is>
      </c>
      <c r="Q80" s="3">
        <f>HYPERLINK("https://wa.me/6282244699993?text=*[PENGINGAT MASA BERLAKU SBU EMPAT PUTRA MALAKA]*%0A%0AYth. Pimpinan EMPAT PUTRA MALAKA,%0AMohon izin menginformasikan status SBU Anda di sistem LPJK:%0A%0A📄 SBU: BG005, BG006%0A📅 Expired: 20 Juli 2026 (60 Hari Lagi)%0A%0AKami tim PT. ESDEA Assistance Management siap men-support proses perpanjangan segera.", "Hubungi")</f>
        <v/>
      </c>
    </row>
    <row r="81">
      <c r="A81" t="inlineStr">
        <is>
          <t>ERTIS</t>
        </is>
      </c>
      <c r="B81" t="inlineStr">
        <is>
          <t>Kota Tasikmalaya</t>
        </is>
      </c>
      <c r="C81" t="inlineStr">
        <is>
          <t>085318802666</t>
        </is>
      </c>
      <c r="D81" t="inlineStr">
        <is>
          <t>ertis.cv@gmail.com</t>
        </is>
      </c>
      <c r="E81" t="inlineStr">
        <is>
          <t>https://lpjk.pu.go.id/search-badan-usaha-detail/QVMvd0UydHBFNElHajlUWTVWZTkrQT09</t>
        </is>
      </c>
      <c r="F81" t="n">
        <v>1</v>
      </c>
      <c r="G81" t="inlineStr">
        <is>
          <t>BS004</t>
        </is>
      </c>
      <c r="H81" t="inlineStr">
        <is>
          <t>3 Januari 2019</t>
        </is>
      </c>
      <c r="I81" s="2" t="n">
        <v>46223</v>
      </c>
      <c r="J81" t="inlineStr">
        <is>
          <t>Pencabutan</t>
        </is>
      </c>
      <c r="K81" t="n">
        <v>60</v>
      </c>
      <c r="L81" t="inlineStr">
        <is>
          <t>20 Juli 2026</t>
        </is>
      </c>
      <c r="M81" t="inlineStr">
        <is>
          <t>Konstruksi Jaringan Irigasi dan Drainase</t>
        </is>
      </c>
      <c r="N81" t="inlineStr">
        <is>
          <t>K</t>
        </is>
      </c>
      <c r="O81" t="inlineStr">
        <is>
          <t>20230718</t>
        </is>
      </c>
      <c r="P81" t="inlineStr">
        <is>
          <t>Jawa Barat</t>
        </is>
      </c>
      <c r="Q81" s="3">
        <f>HYPERLINK("https://wa.me/6285318802666?text=*[PENGINGAT MASA BERLAKU SBU ERTIS]*%0A%0AYth. Pimpinan ERTIS,%0AMohon izin menginformasikan status SBU Anda di sistem LPJK:%0A%0A📄 SBU: BS004%0A📅 Expired: 20 Juli 2026 (60 Hari Lagi)%0A%0AKami tim PT. ESDEA Assistance Management siap men-support proses perpanjangan segera.", "Hubungi")</f>
        <v/>
      </c>
    </row>
    <row r="82">
      <c r="A82" t="inlineStr">
        <is>
          <t>GAJAH MUNGKUR</t>
        </is>
      </c>
      <c r="B82" t="inlineStr">
        <is>
          <t>Kota Banjarbaru</t>
        </is>
      </c>
      <c r="C82" t="inlineStr">
        <is>
          <t>082254235371</t>
        </is>
      </c>
      <c r="D82" t="inlineStr">
        <is>
          <t>cv.gajah_mungkur@yahoo.com</t>
        </is>
      </c>
      <c r="E82" t="inlineStr">
        <is>
          <t>https://lpjk.pu.go.id/search-badan-usaha-detail/eEtSTjdGM2FuQTZHVjkvZWlkTTdtUT09</t>
        </is>
      </c>
      <c r="F82" t="n">
        <v>2</v>
      </c>
      <c r="G82" t="inlineStr">
        <is>
          <t>BS004, BS005</t>
        </is>
      </c>
      <c r="H82" t="inlineStr">
        <is>
          <t>17 November 1994</t>
        </is>
      </c>
      <c r="I82" s="2" t="n">
        <v>46223</v>
      </c>
      <c r="J82" t="inlineStr">
        <is>
          <t>Disetujui</t>
        </is>
      </c>
      <c r="K82" t="n">
        <v>60</v>
      </c>
      <c r="L82" t="inlineStr">
        <is>
          <t>20 Juli 2026</t>
        </is>
      </c>
      <c r="M82" t="inlineStr">
        <is>
          <t>Konstruksi Bangunan Sipil Pengolahan Air Bersih, Konstruksi Jaringan Irigasi dan Drainase</t>
        </is>
      </c>
      <c r="N82" t="inlineStr">
        <is>
          <t>K</t>
        </is>
      </c>
      <c r="O82" t="inlineStr">
        <is>
          <t>20230712</t>
        </is>
      </c>
      <c r="P82" t="inlineStr">
        <is>
          <t>Kalimantan Selatan</t>
        </is>
      </c>
      <c r="Q82" s="3">
        <f>HYPERLINK("https://wa.me/6282254235371?text=*[PENGINGAT MASA BERLAKU SBU GAJAH MUNGKUR]*%0A%0AYth. Pimpinan GAJAH MUNGKUR,%0AMohon izin menginformasikan status SBU Anda di sistem LPJK:%0A%0A📄 SBU: BS004, BS005%0A📅 Expired: 20 Juli 2026 (60 Hari Lagi)%0A%0AKami tim PT. ESDEA Assistance Management siap men-support proses perpanjangan segera.", "Hubungi")</f>
        <v/>
      </c>
    </row>
    <row r="83">
      <c r="A83" t="inlineStr">
        <is>
          <t>GAPURA NIRWANA AGUNG KONSULTAN</t>
        </is>
      </c>
      <c r="B83" t="inlineStr">
        <is>
          <t>Kota Adm. Jakarta Selatan</t>
        </is>
      </c>
      <c r="C83" t="inlineStr">
        <is>
          <t>081327302723</t>
        </is>
      </c>
      <c r="D83" t="inlineStr">
        <is>
          <t>gnakonsultan.lpse@gmail.com</t>
        </is>
      </c>
      <c r="E83" t="inlineStr">
        <is>
          <t>https://lpjk.pu.go.id/search-badan-usaha-detail/a2tLb2M3RGpZa0huWTNhMW1PZ1Bmdz09</t>
        </is>
      </c>
      <c r="F83" t="n">
        <v>1</v>
      </c>
      <c r="G83" t="inlineStr">
        <is>
          <t>RK003</t>
        </is>
      </c>
      <c r="H83" t="inlineStr">
        <is>
          <t>5 Desember 1986</t>
        </is>
      </c>
      <c r="I83" s="2" t="n">
        <v>46223</v>
      </c>
      <c r="J83" t="inlineStr">
        <is>
          <t>Disetujui</t>
        </is>
      </c>
      <c r="K83" t="n">
        <v>60</v>
      </c>
      <c r="L83" t="inlineStr">
        <is>
          <t>20 Juli 2026</t>
        </is>
      </c>
      <c r="M83" t="inlineStr">
        <is>
          <t>Jasa Rekayasa Pekerjaan Teknik Sipil Transportasi</t>
        </is>
      </c>
      <c r="N83" t="inlineStr">
        <is>
          <t>M</t>
        </is>
      </c>
      <c r="O83" t="inlineStr">
        <is>
          <t>20230510</t>
        </is>
      </c>
      <c r="P83" t="inlineStr">
        <is>
          <t>DKI Jakarta</t>
        </is>
      </c>
      <c r="Q83" s="3">
        <f>HYPERLINK("https://wa.me/6281327302723?text=*[PENGINGAT MASA BERLAKU SBU GAPURA NIRWANA AGUNG KONSULTAN]*%0A%0AYth. Pimpinan GAPURA NIRWANA AGUNG KONSULTAN,%0AMohon izin menginformasikan status SBU Anda di sistem LPJK:%0A%0A📄 SBU: RK003%0A📅 Expired: 20 Juli 2026 (60 Hari Lagi)%0A%0AKami tim PT. ESDEA Assistance Management siap men-support proses perpanjangan segera.", "Hubungi")</f>
        <v/>
      </c>
    </row>
    <row r="84">
      <c r="A84" t="inlineStr">
        <is>
          <t>GARUDA METTA CONSULTAN</t>
        </is>
      </c>
      <c r="B84" t="inlineStr">
        <is>
          <t>Kab. Bojonegoro</t>
        </is>
      </c>
      <c r="C84" t="inlineStr">
        <is>
          <t>0353886359</t>
        </is>
      </c>
      <c r="D84" t="inlineStr">
        <is>
          <t>garudametta.konsultan@gmail.com</t>
        </is>
      </c>
      <c r="E84" t="inlineStr">
        <is>
          <t>https://lpjk.pu.go.id/search-badan-usaha-detail/MHduLy9Uc1dtYXpLTThwa3R3cE5ydz09</t>
        </is>
      </c>
      <c r="F84" t="n">
        <v>1</v>
      </c>
      <c r="G84" t="inlineStr">
        <is>
          <t>RK001</t>
        </is>
      </c>
      <c r="H84" t="inlineStr">
        <is>
          <t>29 Agustus 2008</t>
        </is>
      </c>
      <c r="I84" s="2" t="n">
        <v>46223</v>
      </c>
      <c r="J84" t="inlineStr">
        <is>
          <t>Pencabutan</t>
        </is>
      </c>
      <c r="K84" t="n">
        <v>60</v>
      </c>
      <c r="L84" t="inlineStr">
        <is>
          <t>20 Juli 2026</t>
        </is>
      </c>
      <c r="M84" t="inlineStr">
        <is>
          <t>Jasa Rekayasa Konstruksi Bangunan Gedung Hunian dan Non Hunian</t>
        </is>
      </c>
      <c r="N84" t="inlineStr">
        <is>
          <t>K</t>
        </is>
      </c>
      <c r="O84" t="inlineStr">
        <is>
          <t>20230704</t>
        </is>
      </c>
      <c r="P84" t="inlineStr">
        <is>
          <t>Jawa Timur</t>
        </is>
      </c>
      <c r="Q84" s="3">
        <f>HYPERLINK("https://wa.me/62353886359?text=*[PENGINGAT MASA BERLAKU SBU GARUDA METTA CONSULTAN]*%0A%0AYth. Pimpinan GARUDA METTA CONSULTAN,%0AMohon izin menginformasikan status SBU Anda di sistem LPJK:%0A%0A📄 SBU: RK001%0A📅 Expired: 20 Juli 2026 (60 Hari Lagi)%0A%0AKami tim PT. ESDEA Assistance Management siap men-support proses perpanjangan segera.", "Hubungi")</f>
        <v/>
      </c>
    </row>
    <row r="85">
      <c r="A85" t="inlineStr">
        <is>
          <t>GERBANG GAYO</t>
        </is>
      </c>
      <c r="B85" t="inlineStr">
        <is>
          <t>Kab. Bener Meriah</t>
        </is>
      </c>
      <c r="C85" t="inlineStr">
        <is>
          <t>085226904396</t>
        </is>
      </c>
      <c r="D85" t="inlineStr">
        <is>
          <t>cvgerbanggayo@gmail.com</t>
        </is>
      </c>
      <c r="E85" t="inlineStr">
        <is>
          <t>https://lpjk.pu.go.id/search-badan-usaha-detail/OUJMQmltaTh2YytIWG9XaGl2M3FaUT09</t>
        </is>
      </c>
      <c r="F85" t="n">
        <v>1</v>
      </c>
      <c r="G85" t="inlineStr">
        <is>
          <t>BS005</t>
        </is>
      </c>
      <c r="H85" t="inlineStr">
        <is>
          <t>13 Juli 2007</t>
        </is>
      </c>
      <c r="I85" s="2" t="n">
        <v>46223</v>
      </c>
      <c r="J85" t="inlineStr">
        <is>
          <t>Disetujui</t>
        </is>
      </c>
      <c r="K85" t="n">
        <v>60</v>
      </c>
      <c r="L85" t="inlineStr">
        <is>
          <t>20 Juli 2026</t>
        </is>
      </c>
      <c r="M85" t="inlineStr">
        <is>
          <t>Konstruksi Bangunan Sipil Pengolahan Air Bersih</t>
        </is>
      </c>
      <c r="N85" t="inlineStr">
        <is>
          <t>K</t>
        </is>
      </c>
      <c r="O85" t="inlineStr">
        <is>
          <t>20230713</t>
        </is>
      </c>
      <c r="P85" t="inlineStr">
        <is>
          <t>Aceh</t>
        </is>
      </c>
      <c r="Q85" s="3">
        <f>HYPERLINK("https://wa.me/6285226904396?text=*[PENGINGAT MASA BERLAKU SBU GERBANG GAYO]*%0A%0AYth. Pimpinan GERBANG GAYO,%0AMohon izin menginformasikan status SBU Anda di sistem LPJK:%0A%0A📄 SBU: BS005%0A📅 Expired: 20 Juli 2026 (60 Hari Lagi)%0A%0AKami tim PT. ESDEA Assistance Management siap men-support proses perpanjangan segera.", "Hubungi")</f>
        <v/>
      </c>
    </row>
    <row r="86">
      <c r="A86" t="inlineStr">
        <is>
          <t>GINANJAR PUTRA</t>
        </is>
      </c>
      <c r="B86" t="inlineStr">
        <is>
          <t>Kota Tasikmalaya</t>
        </is>
      </c>
      <c r="C86" t="inlineStr">
        <is>
          <t>082320019498</t>
        </is>
      </c>
      <c r="D86" t="inlineStr">
        <is>
          <t>cvginanjarputra@gmail.com</t>
        </is>
      </c>
      <c r="E86" t="inlineStr">
        <is>
          <t>https://lpjk.pu.go.id/search-badan-usaha-detail/dEJTR3pkLytxOGJuMmtIMFV3OWc2QT09</t>
        </is>
      </c>
      <c r="F86" t="n">
        <v>2</v>
      </c>
      <c r="G86" t="inlineStr">
        <is>
          <t>BS001</t>
        </is>
      </c>
      <c r="H86" t="inlineStr">
        <is>
          <t>7 Maret 2023</t>
        </is>
      </c>
      <c r="I86" s="2" t="n">
        <v>46223</v>
      </c>
      <c r="J86" t="inlineStr">
        <is>
          <t>Pencabutan</t>
        </is>
      </c>
      <c r="K86" t="n">
        <v>60</v>
      </c>
      <c r="L86" t="inlineStr">
        <is>
          <t>20 Juli 2026</t>
        </is>
      </c>
      <c r="M86" t="inlineStr">
        <is>
          <t>Konstruksi Bangunan Sipil Jalan</t>
        </is>
      </c>
      <c r="N86" t="inlineStr">
        <is>
          <t>K</t>
        </is>
      </c>
      <c r="O86" t="inlineStr">
        <is>
          <t>20230720</t>
        </is>
      </c>
      <c r="P86" t="inlineStr">
        <is>
          <t>Jawa Barat</t>
        </is>
      </c>
      <c r="Q86" s="3">
        <f>HYPERLINK("https://wa.me/6282320019498?text=*[PENGINGAT MASA BERLAKU SBU GINANJAR PUTRA]*%0A%0AYth. Pimpinan GINANJAR PUTRA,%0AMohon izin menginformasikan status SBU Anda di sistem LPJK:%0A%0A📄 SBU: BS001%0A📅 Expired: 20 Juli 2026 (60 Hari Lagi)%0A%0AKami tim PT. ESDEA Assistance Management siap men-support proses perpanjangan segera.", "Hubungi")</f>
        <v/>
      </c>
    </row>
    <row r="87">
      <c r="A87" t="inlineStr">
        <is>
          <t>GLOBAL NIAGA INTERNUSA</t>
        </is>
      </c>
      <c r="B87" t="inlineStr">
        <is>
          <t>Kota Adm. Jakarta Selatan</t>
        </is>
      </c>
      <c r="C87" t="inlineStr">
        <is>
          <t>02140642051</t>
        </is>
      </c>
      <c r="D87" t="inlineStr">
        <is>
          <t>admin@globalniaga.co.id</t>
        </is>
      </c>
      <c r="E87" t="inlineStr">
        <is>
          <t>https://lpjk.pu.go.id/search-badan-usaha-detail/d1lRZnM1emd5cmlmWjg3aXViamlBUT09</t>
        </is>
      </c>
      <c r="F87" t="n">
        <v>1</v>
      </c>
      <c r="G87" t="inlineStr">
        <is>
          <t>IN001</t>
        </is>
      </c>
      <c r="H87" t="inlineStr">
        <is>
          <t>22 April 2019</t>
        </is>
      </c>
      <c r="I87" s="2" t="n">
        <v>46223</v>
      </c>
      <c r="J87" t="inlineStr">
        <is>
          <t>Disetujui</t>
        </is>
      </c>
      <c r="K87" t="n">
        <v>60</v>
      </c>
      <c r="L87" t="inlineStr">
        <is>
          <t>20 Juli 2026</t>
        </is>
      </c>
      <c r="M87" t="inlineStr">
        <is>
          <t>Instalasi Mekanikal</t>
        </is>
      </c>
      <c r="N87" t="inlineStr">
        <is>
          <t>Spesialis</t>
        </is>
      </c>
      <c r="O87" t="inlineStr">
        <is>
          <t>20230623</t>
        </is>
      </c>
      <c r="P87" t="inlineStr">
        <is>
          <t>DKI Jakarta</t>
        </is>
      </c>
      <c r="Q87" s="3">
        <f>HYPERLINK("https://wa.me/622140642051?text=*[PENGINGAT MASA BERLAKU SBU GLOBAL NIAGA INTERNUSA]*%0A%0AYth. Pimpinan GLOBAL NIAGA INTERNUSA,%0AMohon izin menginformasikan status SBU Anda di sistem LPJK:%0A%0A📄 SBU: IN001%0A📅 Expired: 20 Juli 2026 (60 Hari Lagi)%0A%0AKami tim PT. ESDEA Assistance Management siap men-support proses perpanjangan segera.", "Hubungi")</f>
        <v/>
      </c>
    </row>
    <row r="88">
      <c r="A88" t="inlineStr">
        <is>
          <t>GLORY BIG INDONESIA</t>
        </is>
      </c>
      <c r="B88" t="inlineStr">
        <is>
          <t>Kab. Tangerang</t>
        </is>
      </c>
      <c r="C88" t="inlineStr">
        <is>
          <t>085892979957</t>
        </is>
      </c>
      <c r="D88" t="inlineStr">
        <is>
          <t>cvglorybigindonesia@gmail.com</t>
        </is>
      </c>
      <c r="E88" t="inlineStr">
        <is>
          <t>https://lpjk.pu.go.id/search-badan-usaha-detail/eGs0Ky9BT21mUFNCbUNxZ0JxZWVnZz09</t>
        </is>
      </c>
      <c r="F88" t="n">
        <v>1</v>
      </c>
      <c r="G88" t="inlineStr">
        <is>
          <t>BS004</t>
        </is>
      </c>
      <c r="H88" t="inlineStr">
        <is>
          <t>31 Maret 2023</t>
        </is>
      </c>
      <c r="I88" s="2" t="n">
        <v>46223</v>
      </c>
      <c r="J88" t="inlineStr">
        <is>
          <t>Disetujui</t>
        </is>
      </c>
      <c r="K88" t="n">
        <v>60</v>
      </c>
      <c r="L88" t="inlineStr">
        <is>
          <t>20 Juli 2026</t>
        </is>
      </c>
      <c r="M88" t="inlineStr">
        <is>
          <t>Konstruksi Jaringan Irigasi dan Drainase</t>
        </is>
      </c>
      <c r="N88" t="inlineStr">
        <is>
          <t>K</t>
        </is>
      </c>
      <c r="O88" t="inlineStr">
        <is>
          <t>20230720</t>
        </is>
      </c>
      <c r="P88" t="inlineStr">
        <is>
          <t>Banten</t>
        </is>
      </c>
      <c r="Q88" s="3">
        <f>HYPERLINK("https://wa.me/6285892979957?text=*[PENGINGAT MASA BERLAKU SBU GLORY BIG INDONESIA]*%0A%0AYth. Pimpinan GLORY BIG INDONESIA,%0AMohon izin menginformasikan status SBU Anda di sistem LPJK:%0A%0A📄 SBU: BS004%0A📅 Expired: 20 Juli 2026 (60 Hari Lagi)%0A%0AKami tim PT. ESDEA Assistance Management siap men-support proses perpanjangan segera.", "Hubungi")</f>
        <v/>
      </c>
    </row>
    <row r="89">
      <c r="A89" t="inlineStr">
        <is>
          <t>GRAHA RIZKI SUKSES</t>
        </is>
      </c>
      <c r="B89" t="inlineStr">
        <is>
          <t>Kota Pangkal Pinang</t>
        </is>
      </c>
      <c r="C89" t="inlineStr">
        <is>
          <t>081294523562</t>
        </is>
      </c>
      <c r="D89" t="inlineStr">
        <is>
          <t>graharizkisukses.pt@gmail.com</t>
        </is>
      </c>
      <c r="E89" t="inlineStr">
        <is>
          <t>https://lpjk.pu.go.id/search-badan-usaha-detail/QVptbjdoUzVXbDdQKzlSa1o1RW1Ydz09</t>
        </is>
      </c>
      <c r="F89" t="n">
        <v>1</v>
      </c>
      <c r="G89" t="inlineStr">
        <is>
          <t>BS004</t>
        </is>
      </c>
      <c r="H89" t="inlineStr">
        <is>
          <t>11 Agustus 2022</t>
        </is>
      </c>
      <c r="I89" s="2" t="n">
        <v>46223</v>
      </c>
      <c r="J89" t="inlineStr">
        <is>
          <t>Disetujui</t>
        </is>
      </c>
      <c r="K89" t="n">
        <v>60</v>
      </c>
      <c r="L89" t="inlineStr">
        <is>
          <t>20 Juli 2026</t>
        </is>
      </c>
      <c r="M89" t="inlineStr">
        <is>
          <t>Konstruksi Jaringan Irigasi dan Drainase</t>
        </is>
      </c>
      <c r="N89" t="inlineStr">
        <is>
          <t>K</t>
        </is>
      </c>
      <c r="O89" t="inlineStr">
        <is>
          <t>20230713</t>
        </is>
      </c>
      <c r="P89" t="inlineStr">
        <is>
          <t>Kepulauan Bangka Belitung</t>
        </is>
      </c>
      <c r="Q89" s="3">
        <f>HYPERLINK("https://wa.me/6281294523562?text=*[PENGINGAT MASA BERLAKU SBU GRAHA RIZKI SUKSES]*%0A%0AYth. Pimpinan GRAHA RIZKI SUKSES,%0AMohon izin menginformasikan status SBU Anda di sistem LPJK:%0A%0A📄 SBU: BS004%0A📅 Expired: 20 Juli 2026 (60 Hari Lagi)%0A%0AKami tim PT. ESDEA Assistance Management siap men-support proses perpanjangan segera.", "Hubungi")</f>
        <v/>
      </c>
    </row>
    <row r="90">
      <c r="A90" t="inlineStr">
        <is>
          <t>GRHA PUTRA TIMUR</t>
        </is>
      </c>
      <c r="B90" t="inlineStr">
        <is>
          <t>Kota Kupang</t>
        </is>
      </c>
      <c r="C90" t="inlineStr">
        <is>
          <t>085161099925</t>
        </is>
      </c>
      <c r="D90" t="inlineStr">
        <is>
          <t>grhaputratimor13@gmail.com</t>
        </is>
      </c>
      <c r="E90" t="inlineStr">
        <is>
          <t>https://lpjk.pu.go.id/search-badan-usaha-detail/OFZNNzgyOGJib0VJeGxaRDBTQUxqdz09</t>
        </is>
      </c>
      <c r="F90" t="n">
        <v>1</v>
      </c>
      <c r="G90" t="inlineStr">
        <is>
          <t>BG009</t>
        </is>
      </c>
      <c r="H90" t="inlineStr">
        <is>
          <t>26 Juni 2023</t>
        </is>
      </c>
      <c r="I90" s="2" t="n">
        <v>46223</v>
      </c>
      <c r="J90" t="inlineStr">
        <is>
          <t>Pencabutan</t>
        </is>
      </c>
      <c r="K90" t="n">
        <v>60</v>
      </c>
      <c r="L90" t="inlineStr">
        <is>
          <t>20 Juli 2026</t>
        </is>
      </c>
      <c r="M90" t="inlineStr">
        <is>
          <t>Konstruksi Gedung Lainnya</t>
        </is>
      </c>
      <c r="N90" t="inlineStr">
        <is>
          <t>K</t>
        </is>
      </c>
      <c r="O90" t="inlineStr">
        <is>
          <t>20230720</t>
        </is>
      </c>
      <c r="P90" t="inlineStr">
        <is>
          <t>Nusa Tenggara Timur</t>
        </is>
      </c>
      <c r="Q90" s="3">
        <f>HYPERLINK("https://wa.me/6285161099925?text=*[PENGINGAT MASA BERLAKU SBU GRHA PUTRA TIMUR]*%0A%0AYth. Pimpinan GRHA PUTRA TIMUR,%0AMohon izin menginformasikan status SBU Anda di sistem LPJK:%0A%0A📄 SBU: BG009%0A📅 Expired: 20 Juli 2026 (60 Hari Lagi)%0A%0AKami tim PT. ESDEA Assistance Management siap men-support proses perpanjangan segera.", "Hubungi")</f>
        <v/>
      </c>
    </row>
    <row r="91">
      <c r="A91" t="inlineStr">
        <is>
          <t>GUNUNG GUNTUR</t>
        </is>
      </c>
      <c r="B91" t="inlineStr">
        <is>
          <t>Kab. Indragiri Hilir</t>
        </is>
      </c>
      <c r="C91" t="inlineStr">
        <is>
          <t>0</t>
        </is>
      </c>
      <c r="D91" t="inlineStr">
        <is>
          <t>-</t>
        </is>
      </c>
      <c r="E91" t="inlineStr">
        <is>
          <t>https://lpjk.pu.go.id/search-badan-usaha-detail/RGRjbTc1TlBwYkI0emhrNHJEM0s1QT09</t>
        </is>
      </c>
      <c r="F91" t="n">
        <v>1</v>
      </c>
      <c r="G91" t="inlineStr">
        <is>
          <t>BS001</t>
        </is>
      </c>
      <c r="H91" t="inlineStr">
        <is>
          <t>14 Agustus 2007</t>
        </is>
      </c>
      <c r="I91" s="2" t="n">
        <v>46223</v>
      </c>
      <c r="J91" t="inlineStr">
        <is>
          <t>Pencabutan</t>
        </is>
      </c>
      <c r="K91" t="n">
        <v>60</v>
      </c>
      <c r="L91" t="inlineStr">
        <is>
          <t>20 Juli 2026</t>
        </is>
      </c>
      <c r="M91" t="inlineStr">
        <is>
          <t>Konstruksi Bangunan Sipil Jalan</t>
        </is>
      </c>
      <c r="N91" t="inlineStr">
        <is>
          <t>M</t>
        </is>
      </c>
      <c r="O91" t="inlineStr">
        <is>
          <t>20230704</t>
        </is>
      </c>
      <c r="P91" t="inlineStr">
        <is>
          <t>Riau</t>
        </is>
      </c>
      <c r="Q91" s="3">
        <f>HYPERLINK("https://wa.me/62?text=*[PENGINGAT MASA BERLAKU SBU GUNUNG GUNTUR]*%0A%0AYth. Pimpinan GUNUNG GUNTUR,%0AMohon izin menginformasikan status SBU Anda di sistem LPJK:%0A%0A📄 SBU: BS001%0A📅 Expired: 20 Juli 2026 (60 Hari Lagi)%0A%0AKami tim PT. ESDEA Assistance Management siap men-support proses perpanjangan segera.", "Hubungi")</f>
        <v/>
      </c>
    </row>
    <row r="92">
      <c r="A92" t="inlineStr">
        <is>
          <t>GUNUNG PARANG</t>
        </is>
      </c>
      <c r="B92" t="inlineStr">
        <is>
          <t>Kab. Cirebon</t>
        </is>
      </c>
      <c r="C92" t="inlineStr">
        <is>
          <t>02318250927</t>
        </is>
      </c>
      <c r="D92" t="inlineStr">
        <is>
          <t>cvgunungparangcrb@gmail.com</t>
        </is>
      </c>
      <c r="E92" t="inlineStr">
        <is>
          <t>https://lpjk.pu.go.id/search-badan-usaha-detail/Uk4zNUxkc3Q3WkdLVnhWaFJHUU5nZz09</t>
        </is>
      </c>
      <c r="F92" t="n">
        <v>1</v>
      </c>
      <c r="G92" t="inlineStr">
        <is>
          <t>BG001</t>
        </is>
      </c>
      <c r="H92" t="inlineStr">
        <is>
          <t>24 April 2007</t>
        </is>
      </c>
      <c r="I92" s="2" t="n">
        <v>46223</v>
      </c>
      <c r="J92" t="inlineStr">
        <is>
          <t>Disetujui</t>
        </is>
      </c>
      <c r="K92" t="n">
        <v>60</v>
      </c>
      <c r="L92" t="inlineStr">
        <is>
          <t>20 Juli 2026</t>
        </is>
      </c>
      <c r="M92" t="inlineStr">
        <is>
          <t>Konstruksi Gedung Hunian</t>
        </is>
      </c>
      <c r="N92" t="inlineStr">
        <is>
          <t>K</t>
        </is>
      </c>
      <c r="O92" t="inlineStr">
        <is>
          <t>20230717</t>
        </is>
      </c>
      <c r="P92" t="inlineStr">
        <is>
          <t>Jawa Barat</t>
        </is>
      </c>
      <c r="Q92" s="3">
        <f>HYPERLINK("https://wa.me/622318250927?text=*[PENGINGAT MASA BERLAKU SBU GUNUNG PARANG]*%0A%0AYth. Pimpinan GUNUNG PARANG,%0AMohon izin menginformasikan status SBU Anda di sistem LPJK:%0A%0A📄 SBU: BG001%0A📅 Expired: 20 Juli 2026 (60 Hari Lagi)%0A%0AKami tim PT. ESDEA Assistance Management siap men-support proses perpanjangan segera.", "Hubungi")</f>
        <v/>
      </c>
    </row>
    <row r="93">
      <c r="A93" t="inlineStr">
        <is>
          <t>HABIBI BANGUN NUSA</t>
        </is>
      </c>
      <c r="B93" t="inlineStr">
        <is>
          <t>Kota Ternate</t>
        </is>
      </c>
      <c r="C93" t="inlineStr">
        <is>
          <t>081328822330</t>
        </is>
      </c>
      <c r="D93" t="inlineStr">
        <is>
          <t>habibibangunnusantara@gmail.com</t>
        </is>
      </c>
      <c r="E93" t="inlineStr">
        <is>
          <t>https://lpjk.pu.go.id/search-badan-usaha-detail/ZjZkbGZSelh3VDUxeHRPVmE5YVJuUT09</t>
        </is>
      </c>
      <c r="F93" t="n">
        <v>1</v>
      </c>
      <c r="G93" t="inlineStr">
        <is>
          <t>BG006</t>
        </is>
      </c>
      <c r="H93" t="inlineStr">
        <is>
          <t>11 Maret 2019</t>
        </is>
      </c>
      <c r="I93" s="2" t="n">
        <v>46223</v>
      </c>
      <c r="J93" t="inlineStr">
        <is>
          <t>Disetujui</t>
        </is>
      </c>
      <c r="K93" t="n">
        <v>60</v>
      </c>
      <c r="L93" t="inlineStr">
        <is>
          <t>20 Juli 2026</t>
        </is>
      </c>
      <c r="M93" t="inlineStr">
        <is>
          <t>Konstruksi Gedung Pendidikan</t>
        </is>
      </c>
      <c r="N93" t="inlineStr">
        <is>
          <t>K</t>
        </is>
      </c>
      <c r="O93" t="inlineStr">
        <is>
          <t>20230718</t>
        </is>
      </c>
      <c r="P93" t="inlineStr">
        <is>
          <t>Maluku Utara</t>
        </is>
      </c>
      <c r="Q93" s="3">
        <f>HYPERLINK("https://wa.me/6281328822330?text=*[PENGINGAT MASA BERLAKU SBU HABIBI BANGUN NUSA]*%0A%0AYth. Pimpinan HABIBI BANGUN NUSA,%0AMohon izin menginformasikan status SBU Anda di sistem LPJK:%0A%0A📄 SBU: BG006%0A📅 Expired: 20 Juli 2026 (60 Hari Lagi)%0A%0AKami tim PT. ESDEA Assistance Management siap men-support proses perpanjangan segera.", "Hubungi")</f>
        <v/>
      </c>
    </row>
    <row r="94">
      <c r="A94" t="inlineStr">
        <is>
          <t>HARMONI BANGUN SEJAHTERA</t>
        </is>
      </c>
      <c r="B94" t="inlineStr">
        <is>
          <t>Kota Adm. Jakarta Selatan</t>
        </is>
      </c>
      <c r="C94" t="inlineStr">
        <is>
          <t>089655567399</t>
        </is>
      </c>
      <c r="D94" t="inlineStr">
        <is>
          <t>harmonibangunsejahtera@outlook.com</t>
        </is>
      </c>
      <c r="E94" t="inlineStr">
        <is>
          <t>https://lpjk.pu.go.id/search-badan-usaha-detail/TGRWaVhPMzhMN3NmTkZlNTdnMnRYQT09</t>
        </is>
      </c>
      <c r="F94" t="n">
        <v>1</v>
      </c>
      <c r="G94" t="inlineStr">
        <is>
          <t>BG002</t>
        </is>
      </c>
      <c r="H94" t="inlineStr">
        <is>
          <t>10 Juni 2020</t>
        </is>
      </c>
      <c r="I94" s="2" t="n">
        <v>46223</v>
      </c>
      <c r="J94" t="inlineStr">
        <is>
          <t>Disetujui</t>
        </is>
      </c>
      <c r="K94" t="n">
        <v>60</v>
      </c>
      <c r="L94" t="inlineStr">
        <is>
          <t>20 Juli 2026</t>
        </is>
      </c>
      <c r="M94" t="inlineStr">
        <is>
          <t>Konstruksi Gedung Perkantoran</t>
        </is>
      </c>
      <c r="N94" t="inlineStr">
        <is>
          <t>K</t>
        </is>
      </c>
      <c r="O94" t="inlineStr">
        <is>
          <t>20230714</t>
        </is>
      </c>
      <c r="P94" t="inlineStr">
        <is>
          <t>DKI Jakarta</t>
        </is>
      </c>
      <c r="Q94" s="3">
        <f>HYPERLINK("https://wa.me/6289655567399?text=*[PENGINGAT MASA BERLAKU SBU HARMONI BANGUN SEJAHTERA]*%0A%0AYth. Pimpinan HARMONI BANGUN SEJAHTERA,%0AMohon izin menginformasikan status SBU Anda di sistem LPJK:%0A%0A📄 SBU: BG002%0A📅 Expired: 20 Juli 2026 (60 Hari Lagi)%0A%0AKami tim PT. ESDEA Assistance Management siap men-support proses perpanjangan segera.", "Hubungi")</f>
        <v/>
      </c>
    </row>
    <row r="95">
      <c r="A95" t="inlineStr">
        <is>
          <t>HASIL BUMI</t>
        </is>
      </c>
      <c r="B95" t="inlineStr">
        <is>
          <t>Kab. Cilacap</t>
        </is>
      </c>
      <c r="C95" t="inlineStr">
        <is>
          <t>082137456522</t>
        </is>
      </c>
      <c r="D95" t="inlineStr">
        <is>
          <t>hasil_bumi81@yahoo.co.id</t>
        </is>
      </c>
      <c r="E95" t="inlineStr">
        <is>
          <t>https://lpjk.pu.go.id/search-badan-usaha-detail/bE5lN2E1cVRzMnFiSEJRdTIxYytZdz09</t>
        </is>
      </c>
      <c r="F95" t="n">
        <v>5</v>
      </c>
      <c r="G95" t="inlineStr">
        <is>
          <t>BG001, BG002, BG009, BS001, BS004</t>
        </is>
      </c>
      <c r="H95" t="inlineStr">
        <is>
          <t>22 Oktober 1986</t>
        </is>
      </c>
      <c r="I95" s="2" t="n">
        <v>46223</v>
      </c>
      <c r="J95" t="inlineStr">
        <is>
          <t>Disetujui</t>
        </is>
      </c>
      <c r="K95" t="n">
        <v>60</v>
      </c>
      <c r="L95" t="inlineStr">
        <is>
          <t>20 Juli 2026</t>
        </is>
      </c>
      <c r="M95" t="inlineStr">
        <is>
          <t>Konstruksi Bangunan Sipil Jalan, Konstruksi Gedung Hunian, Konstruksi Gedung Lainnya, Konstruksi Gedung Perkantoran, Konstruksi Jaringan Irigasi dan Drainase</t>
        </is>
      </c>
      <c r="N95" t="inlineStr">
        <is>
          <t>K</t>
        </is>
      </c>
      <c r="O95" t="inlineStr">
        <is>
          <t>20230706, 20230718</t>
        </is>
      </c>
      <c r="P95" t="inlineStr">
        <is>
          <t>Jawa Tengah</t>
        </is>
      </c>
      <c r="Q95" s="3">
        <f>HYPERLINK("https://wa.me/6282137456522?text=*[PENGINGAT MASA BERLAKU SBU HASIL BUMI]*%0A%0AYth. Pimpinan HASIL BUMI,%0AMohon izin menginformasikan status SBU Anda di sistem LPJK:%0A%0A📄 SBU: BG001, BG002, BG009, BS001, BS004%0A📅 Expired: 20 Juli 2026 (60 Hari Lagi)%0A%0AKami tim PT. ESDEA Assistance Management siap men-support proses perpanjangan segera.", "Hubungi")</f>
        <v/>
      </c>
    </row>
    <row r="96">
      <c r="A96" t="inlineStr">
        <is>
          <t>HASTA KARYA NUSA</t>
        </is>
      </c>
      <c r="B96" t="inlineStr">
        <is>
          <t>Kota Surabaya</t>
        </is>
      </c>
      <c r="C96" t="inlineStr">
        <is>
          <t>081235090905</t>
        </is>
      </c>
      <c r="D96" t="inlineStr">
        <is>
          <t>h_nusa@yahoo.com</t>
        </is>
      </c>
      <c r="E96" t="inlineStr">
        <is>
          <t>https://lpjk.pu.go.id/search-badan-usaha-detail/Sm4yNkMyZUw5NGlJZXlhVGZYZTNoZz09</t>
        </is>
      </c>
      <c r="F96" t="n">
        <v>2</v>
      </c>
      <c r="G96" t="inlineStr">
        <is>
          <t>RK002, RK003</t>
        </is>
      </c>
      <c r="H96" t="inlineStr">
        <is>
          <t>24 Februari 2023</t>
        </is>
      </c>
      <c r="I96" s="2" t="n">
        <v>46223</v>
      </c>
      <c r="J96" t="inlineStr">
        <is>
          <t>Disetujui</t>
        </is>
      </c>
      <c r="K96" t="n">
        <v>60</v>
      </c>
      <c r="L96" t="inlineStr">
        <is>
          <t>20 Juli 2026</t>
        </is>
      </c>
      <c r="M96" t="inlineStr">
        <is>
          <t>Jasa Rekayasa Pekerjaan Teknik Sipil Sumber Daya Air, Jasa Rekayasa Pekerjaan Teknik Sipil Transportasi</t>
        </is>
      </c>
      <c r="N96" t="inlineStr">
        <is>
          <t>K</t>
        </is>
      </c>
      <c r="O96" t="inlineStr">
        <is>
          <t>20230713</t>
        </is>
      </c>
      <c r="P96" t="inlineStr">
        <is>
          <t>Jawa Timur</t>
        </is>
      </c>
      <c r="Q96" s="3">
        <f>HYPERLINK("https://wa.me/6281235090905?text=*[PENGINGAT MASA BERLAKU SBU HASTA KARYA NUSA]*%0A%0AYth. Pimpinan HASTA KARYA NUSA,%0AMohon izin menginformasikan status SBU Anda di sistem LPJK:%0A%0A📄 SBU: RK002, RK003%0A📅 Expired: 20 Juli 2026 (60 Hari Lagi)%0A%0AKami tim PT. ESDEA Assistance Management siap men-support proses perpanjangan segera.", "Hubungi")</f>
        <v/>
      </c>
    </row>
    <row r="97">
      <c r="A97" t="inlineStr">
        <is>
          <t>HUDAN ALFATIH KONSTRUKSI</t>
        </is>
      </c>
      <c r="B97" t="inlineStr">
        <is>
          <t>Kab. Bengkalis</t>
        </is>
      </c>
      <c r="C97" t="inlineStr">
        <is>
          <t>082241512244</t>
        </is>
      </c>
      <c r="D97" t="inlineStr">
        <is>
          <t>hudanalfatihkonstruksi@gmail.com</t>
        </is>
      </c>
      <c r="E97" t="inlineStr">
        <is>
          <t>https://lpjk.pu.go.id/search-badan-usaha-detail/THVoV04zK3pPN1VJSFdQRk5acTlWUT09</t>
        </is>
      </c>
      <c r="F97" t="n">
        <v>1</v>
      </c>
      <c r="G97" t="inlineStr">
        <is>
          <t>BS004</t>
        </is>
      </c>
      <c r="H97" t="inlineStr">
        <is>
          <t>10 Januari 2023</t>
        </is>
      </c>
      <c r="I97" s="2" t="n">
        <v>46223</v>
      </c>
      <c r="J97" t="inlineStr">
        <is>
          <t>Disetujui</t>
        </is>
      </c>
      <c r="K97" t="n">
        <v>60</v>
      </c>
      <c r="L97" t="inlineStr">
        <is>
          <t>20 Juli 2026</t>
        </is>
      </c>
      <c r="M97" t="inlineStr">
        <is>
          <t>Konstruksi Jaringan Irigasi dan Drainase</t>
        </is>
      </c>
      <c r="N97" t="inlineStr">
        <is>
          <t>K</t>
        </is>
      </c>
      <c r="O97" t="inlineStr">
        <is>
          <t>20230718</t>
        </is>
      </c>
      <c r="P97" t="inlineStr">
        <is>
          <t>Riau</t>
        </is>
      </c>
      <c r="Q97" s="3">
        <f>HYPERLINK("https://wa.me/6282241512244?text=*[PENGINGAT MASA BERLAKU SBU HUDAN ALFATIH KONSTRUKSI]*%0A%0AYth. Pimpinan HUDAN ALFATIH KONSTRUKSI,%0AMohon izin menginformasikan status SBU Anda di sistem LPJK:%0A%0A📄 SBU: BS004%0A📅 Expired: 20 Juli 2026 (60 Hari Lagi)%0A%0AKami tim PT. ESDEA Assistance Management siap men-support proses perpanjangan segera.", "Hubungi")</f>
        <v/>
      </c>
    </row>
    <row r="98">
      <c r="A98" t="inlineStr">
        <is>
          <t>HUTAMAYASA KREASI</t>
        </is>
      </c>
      <c r="B98" t="inlineStr">
        <is>
          <t>Kota Adm. Jakarta Utara</t>
        </is>
      </c>
      <c r="C98" t="inlineStr">
        <is>
          <t>02164712160</t>
        </is>
      </c>
      <c r="D98" t="inlineStr">
        <is>
          <t>info@hutamayk.com</t>
        </is>
      </c>
      <c r="E98" t="inlineStr">
        <is>
          <t>https://lpjk.pu.go.id/search-badan-usaha-detail/MkMzaGtXUE81M0NFajl1ZzAzc04zdz09</t>
        </is>
      </c>
      <c r="F98" t="n">
        <v>8</v>
      </c>
      <c r="G98" t="inlineStr">
        <is>
          <t>BG001, BG003, BG008, BG009</t>
        </is>
      </c>
      <c r="H98" t="inlineStr">
        <is>
          <t>21 Februari 1989</t>
        </is>
      </c>
      <c r="I98" s="2" t="n">
        <v>46223</v>
      </c>
      <c r="J98" t="inlineStr">
        <is>
          <t>Disetujui</t>
        </is>
      </c>
      <c r="K98" t="n">
        <v>60</v>
      </c>
      <c r="L98" t="inlineStr">
        <is>
          <t>20 Juli 2026</t>
        </is>
      </c>
      <c r="M98" t="inlineStr">
        <is>
          <t>Konstruksi Gedung Hunian, Konstruksi Gedung Industri, Konstruksi Gedung Lainnya, Konstruksi Gedung Tempat Hiburan dan Olahraga</t>
        </is>
      </c>
      <c r="N98" t="inlineStr">
        <is>
          <t>K</t>
        </is>
      </c>
      <c r="O98" t="inlineStr">
        <is>
          <t>20230715</t>
        </is>
      </c>
      <c r="P98" t="inlineStr">
        <is>
          <t>DKI Jakarta</t>
        </is>
      </c>
      <c r="Q98" s="3">
        <f>HYPERLINK("https://wa.me/622164712160?text=*[PENGINGAT MASA BERLAKU SBU HUTAMAYASA KREASI]*%0A%0AYth. Pimpinan HUTAMAYASA KREASI,%0AMohon izin menginformasikan status SBU Anda di sistem LPJK:%0A%0A📄 SBU: BG001, BG003, BG008, BG009%0A📅 Expired: 20 Juli 2026 (60 Hari Lagi)%0A%0AKami tim PT. ESDEA Assistance Management siap men-support proses perpanjangan segera.", "Hubungi")</f>
        <v/>
      </c>
    </row>
    <row r="99">
      <c r="A99" t="inlineStr">
        <is>
          <t>HUTAMI KARYA</t>
        </is>
      </c>
      <c r="B99" t="inlineStr">
        <is>
          <t>Kab. Barru</t>
        </is>
      </c>
      <c r="C99" t="inlineStr">
        <is>
          <t>085322335577</t>
        </is>
      </c>
      <c r="D99" t="inlineStr">
        <is>
          <t>hutamikaryacv@gmail.com</t>
        </is>
      </c>
      <c r="E99" t="inlineStr">
        <is>
          <t>https://lpjk.pu.go.id/search-badan-usaha-detail/RktDMkpOSnBWd0tpVmhiSXI5cmhCZz09</t>
        </is>
      </c>
      <c r="F99" t="n">
        <v>2</v>
      </c>
      <c r="G99" t="inlineStr">
        <is>
          <t>BG008</t>
        </is>
      </c>
      <c r="H99" t="inlineStr">
        <is>
          <t>10 Januari 2017</t>
        </is>
      </c>
      <c r="I99" s="2" t="n">
        <v>46223</v>
      </c>
      <c r="J99" t="inlineStr">
        <is>
          <t>Disetujui</t>
        </is>
      </c>
      <c r="K99" t="n">
        <v>60</v>
      </c>
      <c r="L99" t="inlineStr">
        <is>
          <t>20 Juli 2026</t>
        </is>
      </c>
      <c r="M99" t="inlineStr">
        <is>
          <t>Konstruksi Gedung Tempat Hiburan dan Olahraga</t>
        </is>
      </c>
      <c r="N99" t="inlineStr">
        <is>
          <t>K</t>
        </is>
      </c>
      <c r="O99" t="inlineStr">
        <is>
          <t>20230719</t>
        </is>
      </c>
      <c r="P99" t="inlineStr">
        <is>
          <t>Sulawesi Selatan</t>
        </is>
      </c>
      <c r="Q99" s="3">
        <f>HYPERLINK("https://wa.me/6285322335577?text=*[PENGINGAT MASA BERLAKU SBU HUTAMI KARYA]*%0A%0AYth. Pimpinan HUTAMI KARYA,%0AMohon izin menginformasikan status SBU Anda di sistem LPJK:%0A%0A📄 SBU: BG008%0A📅 Expired: 20 Juli 2026 (60 Hari Lagi)%0A%0AKami tim PT. ESDEA Assistance Management siap men-support proses perpanjangan segera.", "Hubungi")</f>
        <v/>
      </c>
    </row>
    <row r="100">
      <c r="A100" t="inlineStr">
        <is>
          <t>ILHAM</t>
        </is>
      </c>
      <c r="B100" t="inlineStr">
        <is>
          <t>Kab. Tanah Datar</t>
        </is>
      </c>
      <c r="C100" t="inlineStr">
        <is>
          <t>081275445633</t>
        </is>
      </c>
      <c r="D100" t="inlineStr">
        <is>
          <t>ilhamhardi.cv@gmail.com</t>
        </is>
      </c>
      <c r="E100" t="inlineStr">
        <is>
          <t>https://lpjk.pu.go.id/search-badan-usaha-detail/VjBaU1dDSFJxNWRRVkVDVXVpU2dEdz09</t>
        </is>
      </c>
      <c r="F100" t="n">
        <v>1</v>
      </c>
      <c r="G100" t="inlineStr">
        <is>
          <t>BG006</t>
        </is>
      </c>
      <c r="H100" t="inlineStr">
        <is>
          <t>28 April 1999</t>
        </is>
      </c>
      <c r="I100" s="2" t="n">
        <v>46223</v>
      </c>
      <c r="J100" t="inlineStr">
        <is>
          <t>Disetujui</t>
        </is>
      </c>
      <c r="K100" t="n">
        <v>60</v>
      </c>
      <c r="L100" t="inlineStr">
        <is>
          <t>20 Juli 2026</t>
        </is>
      </c>
      <c r="M100" t="inlineStr">
        <is>
          <t>Konstruksi Gedung Pendidikan</t>
        </is>
      </c>
      <c r="N100" t="inlineStr">
        <is>
          <t>K</t>
        </is>
      </c>
      <c r="O100" t="inlineStr">
        <is>
          <t>20230716</t>
        </is>
      </c>
      <c r="P100" t="inlineStr">
        <is>
          <t>Sumatera Barat</t>
        </is>
      </c>
      <c r="Q100" s="3">
        <f>HYPERLINK("https://wa.me/6281275445633?text=*[PENGINGAT MASA BERLAKU SBU ILHAM]*%0A%0AYth. Pimpinan ILHAM,%0AMohon izin menginformasikan status SBU Anda di sistem LPJK:%0A%0A📄 SBU: BG006%0A📅 Expired: 20 Juli 2026 (60 Hari Lagi)%0A%0AKami tim PT. ESDEA Assistance Management siap men-support proses perpanjangan segera.", "Hubungi")</f>
        <v/>
      </c>
    </row>
    <row r="101">
      <c r="A101" t="inlineStr">
        <is>
          <t>INDO BUANA NUSANTARA</t>
        </is>
      </c>
      <c r="B101" t="inlineStr">
        <is>
          <t>Kab. Aceh Utara</t>
        </is>
      </c>
      <c r="C101" t="inlineStr">
        <is>
          <t>085297451806</t>
        </is>
      </c>
      <c r="D101" t="inlineStr">
        <is>
          <t>indobuananusantara17@gmail.com</t>
        </is>
      </c>
      <c r="E101" t="inlineStr">
        <is>
          <t>https://lpjk.pu.go.id/search-badan-usaha-detail/VlJBR0JxT3hCTnVDcHBxQ0h1VWpZQT09</t>
        </is>
      </c>
      <c r="F101" t="n">
        <v>1</v>
      </c>
      <c r="G101" t="inlineStr">
        <is>
          <t>BS001</t>
        </is>
      </c>
      <c r="H101" t="inlineStr">
        <is>
          <t>4 November 1992</t>
        </is>
      </c>
      <c r="I101" s="2" t="n">
        <v>46223</v>
      </c>
      <c r="J101" t="inlineStr">
        <is>
          <t>Disetujui</t>
        </is>
      </c>
      <c r="K101" t="n">
        <v>60</v>
      </c>
      <c r="L101" t="inlineStr">
        <is>
          <t>20 Juli 2026</t>
        </is>
      </c>
      <c r="M101" t="inlineStr">
        <is>
          <t>Konstruksi Bangunan Sipil Jalan</t>
        </is>
      </c>
      <c r="N101" t="inlineStr">
        <is>
          <t>M</t>
        </is>
      </c>
      <c r="O101" t="inlineStr">
        <is>
          <t>20230718</t>
        </is>
      </c>
      <c r="P101" t="inlineStr">
        <is>
          <t>Aceh</t>
        </is>
      </c>
      <c r="Q101" s="3">
        <f>HYPERLINK("https://wa.me/6285297451806?text=*[PENGINGAT MASA BERLAKU SBU INDO BUANA NUSANTARA]*%0A%0AYth. Pimpinan INDO BUANA NUSANTARA,%0AMohon izin menginformasikan status SBU Anda di sistem LPJK:%0A%0A📄 SBU: BS001%0A📅 Expired: 20 Juli 2026 (60 Hari Lagi)%0A%0AKami tim PT. ESDEA Assistance Management siap men-support proses perpanjangan segera.", "Hubungi")</f>
        <v/>
      </c>
    </row>
    <row r="102">
      <c r="A102" t="inlineStr">
        <is>
          <t>INDOKARYA SEJAHTERA</t>
        </is>
      </c>
      <c r="B102" t="inlineStr">
        <is>
          <t>Kab. Kudus</t>
        </is>
      </c>
      <c r="C102" t="inlineStr">
        <is>
          <t>081286951726</t>
        </is>
      </c>
      <c r="D102" t="inlineStr">
        <is>
          <t>cv.indokaryasejahtera@yahoo.com</t>
        </is>
      </c>
      <c r="E102" t="inlineStr">
        <is>
          <t>https://lpjk.pu.go.id/search-badan-usaha-detail/ZUV6YmhWYmY1azNLYjFCSC9iUFV1Zz09</t>
        </is>
      </c>
      <c r="F102" t="n">
        <v>2</v>
      </c>
      <c r="G102" t="inlineStr">
        <is>
          <t>BG004</t>
        </is>
      </c>
      <c r="H102" t="inlineStr">
        <is>
          <t>27 Februari 2016</t>
        </is>
      </c>
      <c r="I102" s="2" t="n">
        <v>46223</v>
      </c>
      <c r="J102" t="inlineStr">
        <is>
          <t>Disetujui</t>
        </is>
      </c>
      <c r="K102" t="n">
        <v>60</v>
      </c>
      <c r="L102" t="inlineStr">
        <is>
          <t>20 Juli 2026</t>
        </is>
      </c>
      <c r="M102" t="inlineStr">
        <is>
          <t>Konstruksi Gedung Perbelanjaan</t>
        </is>
      </c>
      <c r="N102" t="inlineStr">
        <is>
          <t>K</t>
        </is>
      </c>
      <c r="O102" t="inlineStr">
        <is>
          <t>20230718</t>
        </is>
      </c>
      <c r="P102" t="inlineStr">
        <is>
          <t>Jawa Tengah</t>
        </is>
      </c>
      <c r="Q102" s="3">
        <f>HYPERLINK("https://wa.me/6281286951726?text=*[PENGINGAT MASA BERLAKU SBU INDOKARYA SEJAHTERA]*%0A%0AYth. Pimpinan INDOKARYA SEJAHTERA,%0AMohon izin menginformasikan status SBU Anda di sistem LPJK:%0A%0A📄 SBU: BG004%0A📅 Expired: 20 Juli 2026 (60 Hari Lagi)%0A%0AKami tim PT. ESDEA Assistance Management siap men-support proses perpanjangan segera.", "Hubungi")</f>
        <v/>
      </c>
    </row>
    <row r="103">
      <c r="A103" t="inlineStr">
        <is>
          <t>INDOTECH KARYA MANDIRI</t>
        </is>
      </c>
      <c r="B103" t="inlineStr">
        <is>
          <t>Kota Tangerang</t>
        </is>
      </c>
      <c r="C103" t="inlineStr">
        <is>
          <t>02122052029</t>
        </is>
      </c>
      <c r="D103" t="inlineStr">
        <is>
          <t>indokarman2022@gmail.co</t>
        </is>
      </c>
      <c r="E103" t="inlineStr">
        <is>
          <t>https://lpjk.pu.go.id/search-badan-usaha-detail/Ylg2a3VMZ3oyMllJbERmMnZLdjlGUT09</t>
        </is>
      </c>
      <c r="F103" t="n">
        <v>1</v>
      </c>
      <c r="G103" t="inlineStr">
        <is>
          <t>BG003</t>
        </is>
      </c>
      <c r="H103" t="inlineStr">
        <is>
          <t>29 Januari 2011</t>
        </is>
      </c>
      <c r="I103" s="2" t="n">
        <v>46223</v>
      </c>
      <c r="J103" t="inlineStr">
        <is>
          <t>Pencabutan</t>
        </is>
      </c>
      <c r="K103" t="n">
        <v>60</v>
      </c>
      <c r="L103" t="inlineStr">
        <is>
          <t>20 Juli 2026</t>
        </is>
      </c>
      <c r="M103" t="inlineStr">
        <is>
          <t>Konstruksi Gedung Industri</t>
        </is>
      </c>
      <c r="N103" t="inlineStr">
        <is>
          <t>B</t>
        </is>
      </c>
      <c r="O103" t="inlineStr">
        <is>
          <t>20230706</t>
        </is>
      </c>
      <c r="P103" t="inlineStr">
        <is>
          <t>Banten</t>
        </is>
      </c>
      <c r="Q103" s="3">
        <f>HYPERLINK("https://wa.me/622122052029?text=*[PENGINGAT MASA BERLAKU SBU INDOTECH KARYA MANDIRI]*%0A%0AYth. Pimpinan INDOTECH KARYA MANDIRI,%0AMohon izin menginformasikan status SBU Anda di sistem LPJK:%0A%0A📄 SBU: BG003%0A📅 Expired: 20 Juli 2026 (60 Hari Lagi)%0A%0AKami tim PT. ESDEA Assistance Management siap men-support proses perpanjangan segera.", "Hubungi")</f>
        <v/>
      </c>
    </row>
    <row r="104">
      <c r="A104" t="inlineStr">
        <is>
          <t>INOVASI KARYA PRIMA</t>
        </is>
      </c>
      <c r="B104" t="inlineStr">
        <is>
          <t>Kota Medan</t>
        </is>
      </c>
      <c r="C104" t="inlineStr">
        <is>
          <t>081264663600</t>
        </is>
      </c>
      <c r="D104" t="inlineStr">
        <is>
          <t>oykead@yahoo.co.id</t>
        </is>
      </c>
      <c r="E104" t="inlineStr">
        <is>
          <t>https://lpjk.pu.go.id/search-badan-usaha-detail/dUpLaUhQMFI2cEY2UEt1a0pVM0VpQT09</t>
        </is>
      </c>
      <c r="F104" t="n">
        <v>1</v>
      </c>
      <c r="G104" t="inlineStr">
        <is>
          <t>BG008</t>
        </is>
      </c>
      <c r="H104" t="inlineStr">
        <is>
          <t>10 Maret 2003</t>
        </is>
      </c>
      <c r="I104" s="2" t="n">
        <v>46223</v>
      </c>
      <c r="J104" t="inlineStr">
        <is>
          <t>Disetujui</t>
        </is>
      </c>
      <c r="K104" t="n">
        <v>60</v>
      </c>
      <c r="L104" t="inlineStr">
        <is>
          <t>20 Juli 2026</t>
        </is>
      </c>
      <c r="M104" t="inlineStr">
        <is>
          <t>Konstruksi Gedung Tempat Hiburan dan Olahraga</t>
        </is>
      </c>
      <c r="N104" t="inlineStr">
        <is>
          <t>K</t>
        </is>
      </c>
      <c r="O104" t="inlineStr">
        <is>
          <t>20230720</t>
        </is>
      </c>
      <c r="P104" t="inlineStr">
        <is>
          <t>Sumatera Utara</t>
        </is>
      </c>
      <c r="Q104" s="3">
        <f>HYPERLINK("https://wa.me/6281264663600?text=*[PENGINGAT MASA BERLAKU SBU INOVASI KARYA PRIMA]*%0A%0AYth. Pimpinan INOVASI KARYA PRIMA,%0AMohon izin menginformasikan status SBU Anda di sistem LPJK:%0A%0A📄 SBU: BG008%0A📅 Expired: 20 Juli 2026 (60 Hari Lagi)%0A%0AKami tim PT. ESDEA Assistance Management siap men-support proses perpanjangan segera.", "Hubungi")</f>
        <v/>
      </c>
    </row>
    <row r="105">
      <c r="A105" t="inlineStr">
        <is>
          <t>INTI MULIA SEJAHTERA</t>
        </is>
      </c>
      <c r="B105" t="inlineStr">
        <is>
          <t>Kota Malang</t>
        </is>
      </c>
      <c r="C105" t="inlineStr">
        <is>
          <t>081230938765</t>
        </is>
      </c>
      <c r="D105" t="inlineStr">
        <is>
          <t>intimuliasejahtera20@gmail.com</t>
        </is>
      </c>
      <c r="E105" t="inlineStr">
        <is>
          <t>https://lpjk.pu.go.id/search-badan-usaha-detail/Rlc2WkdSbDFkK3RhYUFpNXdkekxoUT09</t>
        </is>
      </c>
      <c r="F105" t="n">
        <v>2</v>
      </c>
      <c r="G105" t="inlineStr">
        <is>
          <t>BG005, BG006</t>
        </is>
      </c>
      <c r="H105" t="inlineStr">
        <is>
          <t>20 Oktober 2001</t>
        </is>
      </c>
      <c r="I105" s="2" t="n">
        <v>46223</v>
      </c>
      <c r="J105" t="inlineStr">
        <is>
          <t>Disetujui</t>
        </is>
      </c>
      <c r="K105" t="n">
        <v>60</v>
      </c>
      <c r="L105" t="inlineStr">
        <is>
          <t>20 Juli 2026</t>
        </is>
      </c>
      <c r="M105" t="inlineStr">
        <is>
          <t>Konstruksi Gedung Kesehatan, Konstruksi Gedung Pendidikan</t>
        </is>
      </c>
      <c r="N105" t="inlineStr">
        <is>
          <t>K</t>
        </is>
      </c>
      <c r="O105" t="inlineStr">
        <is>
          <t>20230715</t>
        </is>
      </c>
      <c r="P105" t="inlineStr">
        <is>
          <t>Jawa Timur</t>
        </is>
      </c>
      <c r="Q105" s="3">
        <f>HYPERLINK("https://wa.me/6281230938765?text=*[PENGINGAT MASA BERLAKU SBU INTI MULIA SEJAHTERA]*%0A%0AYth. Pimpinan INTI MULIA SEJAHTERA,%0AMohon izin menginformasikan status SBU Anda di sistem LPJK:%0A%0A📄 SBU: BG005, BG006%0A📅 Expired: 20 Juli 2026 (60 Hari Lagi)%0A%0AKami tim PT. ESDEA Assistance Management siap men-support proses perpanjangan segera.", "Hubungi")</f>
        <v/>
      </c>
    </row>
    <row r="106">
      <c r="A106" t="inlineStr">
        <is>
          <t>JASA INTI PERSADA</t>
        </is>
      </c>
      <c r="B106" t="inlineStr">
        <is>
          <t>Kab. Lombok Barat</t>
        </is>
      </c>
      <c r="C106" t="inlineStr">
        <is>
          <t>087865610050</t>
        </is>
      </c>
      <c r="D106" t="inlineStr">
        <is>
          <t>halimjasainti@yahoo.co.id</t>
        </is>
      </c>
      <c r="E106" t="inlineStr">
        <is>
          <t>https://lpjk.pu.go.id/search-badan-usaha-detail/Y2NNY2Rsd0pFRTFLL0V3ejRJUjViQT09</t>
        </is>
      </c>
      <c r="F106" t="n">
        <v>1</v>
      </c>
      <c r="G106" t="inlineStr">
        <is>
          <t>RK001</t>
        </is>
      </c>
      <c r="H106" t="inlineStr">
        <is>
          <t>26 April 2001</t>
        </is>
      </c>
      <c r="I106" s="2" t="n">
        <v>46223</v>
      </c>
      <c r="J106" t="inlineStr">
        <is>
          <t>Disetujui</t>
        </is>
      </c>
      <c r="K106" t="n">
        <v>60</v>
      </c>
      <c r="L106" t="inlineStr">
        <is>
          <t>20 Juli 2026</t>
        </is>
      </c>
      <c r="M106" t="inlineStr">
        <is>
          <t>Jasa Rekayasa Konstruksi Bangunan Gedung Hunian dan Non Hunian</t>
        </is>
      </c>
      <c r="N106" t="inlineStr">
        <is>
          <t>K</t>
        </is>
      </c>
      <c r="O106" t="inlineStr">
        <is>
          <t>20230712</t>
        </is>
      </c>
      <c r="P106" t="inlineStr">
        <is>
          <t>Nusa Tenggara Barat</t>
        </is>
      </c>
      <c r="Q106" s="3">
        <f>HYPERLINK("https://wa.me/6287865610050?text=*[PENGINGAT MASA BERLAKU SBU JASA INTI PERSADA]*%0A%0AYth. Pimpinan JASA INTI PERSADA,%0AMohon izin menginformasikan status SBU Anda di sistem LPJK:%0A%0A📄 SBU: RK001%0A📅 Expired: 20 Juli 2026 (60 Hari Lagi)%0A%0AKami tim PT. ESDEA Assistance Management siap men-support proses perpanjangan segera.", "Hubungi")</f>
        <v/>
      </c>
    </row>
    <row r="107">
      <c r="A107" t="inlineStr">
        <is>
          <t>JAWAI ABADI</t>
        </is>
      </c>
      <c r="B107" t="inlineStr">
        <is>
          <t>Kab. Kubu Raya</t>
        </is>
      </c>
      <c r="C107" t="inlineStr">
        <is>
          <t>087885750915</t>
        </is>
      </c>
      <c r="D107" t="inlineStr">
        <is>
          <t>edybudiansyah7@gmail.com</t>
        </is>
      </c>
      <c r="E107" t="inlineStr">
        <is>
          <t>https://lpjk.pu.go.id/search-badan-usaha-detail/QzZFRXB5Q1ZseW5IV0JWcnBRZnpYdz09</t>
        </is>
      </c>
      <c r="F107" t="n">
        <v>1</v>
      </c>
      <c r="G107" t="inlineStr">
        <is>
          <t>BG006</t>
        </is>
      </c>
      <c r="H107" t="inlineStr">
        <is>
          <t>3 Desember 2009</t>
        </is>
      </c>
      <c r="I107" s="2" t="n">
        <v>46223</v>
      </c>
      <c r="J107" t="inlineStr">
        <is>
          <t>Pencabutan</t>
        </is>
      </c>
      <c r="K107" t="n">
        <v>60</v>
      </c>
      <c r="L107" t="inlineStr">
        <is>
          <t>20 Juli 2026</t>
        </is>
      </c>
      <c r="M107" t="inlineStr">
        <is>
          <t>Konstruksi Gedung Pendidikan</t>
        </is>
      </c>
      <c r="N107" t="inlineStr">
        <is>
          <t>K</t>
        </is>
      </c>
      <c r="O107" t="inlineStr">
        <is>
          <t>20230721</t>
        </is>
      </c>
      <c r="P107" t="inlineStr">
        <is>
          <t>Kalimantan Barat</t>
        </is>
      </c>
      <c r="Q107" s="3">
        <f>HYPERLINK("https://wa.me/6287885750915?text=*[PENGINGAT MASA BERLAKU SBU JAWAI ABADI]*%0A%0AYth. Pimpinan JAWAI ABADI,%0AMohon izin menginformasikan status SBU Anda di sistem LPJK:%0A%0A📄 SBU: BG006%0A📅 Expired: 20 Juli 2026 (60 Hari Lagi)%0A%0AKami tim PT. ESDEA Assistance Management siap men-support proses perpanjangan segera.", "Hubungi")</f>
        <v/>
      </c>
    </row>
    <row r="108">
      <c r="A108" t="inlineStr">
        <is>
          <t>JAYA ABADI</t>
        </is>
      </c>
      <c r="B108" t="inlineStr">
        <is>
          <t>Kota Padang Sidempuan</t>
        </is>
      </c>
      <c r="C108" t="inlineStr">
        <is>
          <t>081376992356</t>
        </is>
      </c>
      <c r="D108" t="inlineStr">
        <is>
          <t>tajulpan77@gmail.com</t>
        </is>
      </c>
      <c r="E108" t="inlineStr">
        <is>
          <t>https://lpjk.pu.go.id/search-badan-usaha-detail/bGx4N2NTVlpwSmJseUd3b1UrSU9vUT09</t>
        </is>
      </c>
      <c r="F108" t="n">
        <v>1</v>
      </c>
      <c r="G108" t="inlineStr">
        <is>
          <t>BS002</t>
        </is>
      </c>
      <c r="H108" t="inlineStr">
        <is>
          <t>22 Juni 2012</t>
        </is>
      </c>
      <c r="I108" s="2" t="n">
        <v>46223</v>
      </c>
      <c r="J108" t="inlineStr">
        <is>
          <t>Disetujui</t>
        </is>
      </c>
      <c r="K108" t="n">
        <v>60</v>
      </c>
      <c r="L108" t="inlineStr">
        <is>
          <t>20 Juli 2026</t>
        </is>
      </c>
      <c r="M108" t="inlineStr">
        <is>
          <t>Bangunan Sipil Jembatan, Jalan Layang, Fly Over, dan Underpass</t>
        </is>
      </c>
      <c r="N108" t="inlineStr">
        <is>
          <t>K</t>
        </is>
      </c>
      <c r="O108" t="inlineStr">
        <is>
          <t>20230717</t>
        </is>
      </c>
      <c r="P108" t="inlineStr">
        <is>
          <t>Sumatera Utara</t>
        </is>
      </c>
      <c r="Q108" s="3">
        <f>HYPERLINK("https://wa.me/6281376992356?text=*[PENGINGAT MASA BERLAKU SBU JAYA ABADI]*%0A%0AYth. Pimpinan JAYA ABADI,%0AMohon izin menginformasikan status SBU Anda di sistem LPJK:%0A%0A📄 SBU: BS002%0A📅 Expired: 20 Juli 2026 (60 Hari Lagi)%0A%0AKami tim PT. ESDEA Assistance Management siap men-support proses perpanjangan segera.", "Hubungi")</f>
        <v/>
      </c>
    </row>
    <row r="109">
      <c r="A109" t="inlineStr">
        <is>
          <t>JAYA BERSATU</t>
        </is>
      </c>
      <c r="B109" t="inlineStr">
        <is>
          <t>Kab. Kotawaringin Barat</t>
        </is>
      </c>
      <c r="C109" t="inlineStr">
        <is>
          <t>081351855466</t>
        </is>
      </c>
      <c r="D109" t="inlineStr">
        <is>
          <t>jayabersatucv@gmail.com</t>
        </is>
      </c>
      <c r="E109" t="inlineStr">
        <is>
          <t>https://lpjk.pu.go.id/search-badan-usaha-detail/TGV2R3M4NkJhR25uWUNyRGU2NEFRUT09</t>
        </is>
      </c>
      <c r="F109" t="n">
        <v>1</v>
      </c>
      <c r="G109" t="inlineStr">
        <is>
          <t>BG001</t>
        </is>
      </c>
      <c r="H109" t="inlineStr">
        <is>
          <t>19 Mei 2014</t>
        </is>
      </c>
      <c r="I109" s="2" t="n">
        <v>46223</v>
      </c>
      <c r="J109" t="inlineStr">
        <is>
          <t>Pencabutan</t>
        </is>
      </c>
      <c r="K109" t="n">
        <v>60</v>
      </c>
      <c r="L109" t="inlineStr">
        <is>
          <t>20 Juli 2026</t>
        </is>
      </c>
      <c r="M109" t="inlineStr">
        <is>
          <t>Konstruksi Gedung Hunian</t>
        </is>
      </c>
      <c r="N109" t="inlineStr">
        <is>
          <t>K</t>
        </is>
      </c>
      <c r="O109" t="inlineStr">
        <is>
          <t>20230716</t>
        </is>
      </c>
      <c r="P109" t="inlineStr">
        <is>
          <t>Kalimantan Tengah</t>
        </is>
      </c>
      <c r="Q109" s="3">
        <f>HYPERLINK("https://wa.me/6281351855466?text=*[PENGINGAT MASA BERLAKU SBU JAYA BERSATU]*%0A%0AYth. Pimpinan JAYA BERSATU,%0AMohon izin menginformasikan status SBU Anda di sistem LPJK:%0A%0A📄 SBU: BG001%0A📅 Expired: 20 Juli 2026 (60 Hari Lagi)%0A%0AKami tim PT. ESDEA Assistance Management siap men-support proses perpanjangan segera.", "Hubungi")</f>
        <v/>
      </c>
    </row>
    <row r="110">
      <c r="A110" t="inlineStr">
        <is>
          <t>JAYA LAMPUNG ABADI</t>
        </is>
      </c>
      <c r="B110" t="inlineStr">
        <is>
          <t>Kab. Lampung Selatan</t>
        </is>
      </c>
      <c r="C110" t="inlineStr">
        <is>
          <t>081286370828</t>
        </is>
      </c>
      <c r="D110" t="inlineStr">
        <is>
          <t>cv.jayalampungabadi@gmail.com</t>
        </is>
      </c>
      <c r="E110" t="inlineStr">
        <is>
          <t>https://lpjk.pu.go.id/search-badan-usaha-detail/Q2pPVm1VYnhhZEdLczNTR3pMK3dzQT09</t>
        </is>
      </c>
      <c r="F110" t="n">
        <v>1</v>
      </c>
      <c r="G110" t="inlineStr">
        <is>
          <t>BS010</t>
        </is>
      </c>
      <c r="H110" t="inlineStr">
        <is>
          <t>21 Februari 2022</t>
        </is>
      </c>
      <c r="I110" s="2" t="n">
        <v>46223</v>
      </c>
      <c r="J110" t="inlineStr">
        <is>
          <t>Pencabutan</t>
        </is>
      </c>
      <c r="K110" t="n">
        <v>60</v>
      </c>
      <c r="L110" t="inlineStr">
        <is>
          <t>20 Juli 2026</t>
        </is>
      </c>
      <c r="M110" t="inlineStr">
        <is>
          <t>Konstruksi Bangunan Prasarana Sumber Daya Air</t>
        </is>
      </c>
      <c r="N110" t="inlineStr">
        <is>
          <t>K</t>
        </is>
      </c>
      <c r="O110" t="inlineStr">
        <is>
          <t>20230714</t>
        </is>
      </c>
      <c r="P110" t="inlineStr">
        <is>
          <t>Lampung</t>
        </is>
      </c>
      <c r="Q110" s="3">
        <f>HYPERLINK("https://wa.me/6281286370828?text=*[PENGINGAT MASA BERLAKU SBU JAYA LAMPUNG ABADI]*%0A%0AYth. Pimpinan JAYA LAMPUNG ABADI,%0AMohon izin menginformasikan status SBU Anda di sistem LPJK:%0A%0A📄 SBU: BS010%0A📅 Expired: 20 Juli 2026 (60 Hari Lagi)%0A%0AKami tim PT. ESDEA Assistance Management siap men-support proses perpanjangan segera.", "Hubungi")</f>
        <v/>
      </c>
    </row>
    <row r="111">
      <c r="A111" t="inlineStr">
        <is>
          <t>JAYA SAKTI PRATAMA</t>
        </is>
      </c>
      <c r="B111" t="inlineStr">
        <is>
          <t>Kota Mataram</t>
        </is>
      </c>
      <c r="C111" t="inlineStr">
        <is>
          <t>087765101550</t>
        </is>
      </c>
      <c r="D111" t="inlineStr">
        <is>
          <t>cvjayasaktipratama@gmail.com</t>
        </is>
      </c>
      <c r="E111" t="inlineStr">
        <is>
          <t>https://lpjk.pu.go.id/search-badan-usaha-detail/RFdCWWxGZVJaYjMraXpCSExtQWRhdz09</t>
        </is>
      </c>
      <c r="F111" t="n">
        <v>2</v>
      </c>
      <c r="G111" t="inlineStr">
        <is>
          <t>BG006, BG009</t>
        </is>
      </c>
      <c r="H111" t="inlineStr">
        <is>
          <t>11 September 2019</t>
        </is>
      </c>
      <c r="I111" s="2" t="n">
        <v>46223</v>
      </c>
      <c r="J111" t="inlineStr">
        <is>
          <t>Disetujui</t>
        </is>
      </c>
      <c r="K111" t="n">
        <v>60</v>
      </c>
      <c r="L111" t="inlineStr">
        <is>
          <t>20 Juli 2026</t>
        </is>
      </c>
      <c r="M111" t="inlineStr">
        <is>
          <t>Konstruksi Gedung Lainnya, Konstruksi Gedung Pendidikan</t>
        </is>
      </c>
      <c r="N111" t="inlineStr">
        <is>
          <t>K</t>
        </is>
      </c>
      <c r="O111" t="inlineStr">
        <is>
          <t>20230718</t>
        </is>
      </c>
      <c r="P111" t="inlineStr">
        <is>
          <t>Nusa Tenggara Barat</t>
        </is>
      </c>
      <c r="Q111" s="3">
        <f>HYPERLINK("https://wa.me/6287765101550?text=*[PENGINGAT MASA BERLAKU SBU JAYA SAKTI PRATAMA]*%0A%0AYth. Pimpinan JAYA SAKTI PRATAMA,%0AMohon izin menginformasikan status SBU Anda di sistem LPJK:%0A%0A📄 SBU: BG006, BG009%0A📅 Expired: 20 Juli 2026 (60 Hari Lagi)%0A%0AKami tim PT. ESDEA Assistance Management siap men-support proses perpanjangan segera.", "Hubungi")</f>
        <v/>
      </c>
    </row>
    <row r="112">
      <c r="A112" t="inlineStr">
        <is>
          <t>JUANDA PRIMA ENGINERING</t>
        </is>
      </c>
      <c r="B112" t="inlineStr">
        <is>
          <t>Kota Padang Sidempuan</t>
        </is>
      </c>
      <c r="C112" t="inlineStr">
        <is>
          <t>08228778077</t>
        </is>
      </c>
      <c r="D112" t="inlineStr">
        <is>
          <t>juandaprimaenginering@gmail.com</t>
        </is>
      </c>
      <c r="E112" t="inlineStr">
        <is>
          <t>https://lpjk.pu.go.id/search-badan-usaha-detail/RERXSytlVFhUYnM4YlN5MUVhdVhrdz09</t>
        </is>
      </c>
      <c r="F112" t="n">
        <v>2</v>
      </c>
      <c r="G112" t="inlineStr">
        <is>
          <t>BS001</t>
        </is>
      </c>
      <c r="H112" t="inlineStr">
        <is>
          <t>29 Mei 2008</t>
        </is>
      </c>
      <c r="I112" s="2" t="n">
        <v>46223</v>
      </c>
      <c r="J112" t="inlineStr">
        <is>
          <t>Pencabutan</t>
        </is>
      </c>
      <c r="K112" t="n">
        <v>60</v>
      </c>
      <c r="L112" t="inlineStr">
        <is>
          <t>20 Juli 2026</t>
        </is>
      </c>
      <c r="M112" t="inlineStr">
        <is>
          <t>Konstruksi Bangunan Sipil Jalan</t>
        </is>
      </c>
      <c r="N112" t="inlineStr">
        <is>
          <t>M</t>
        </is>
      </c>
      <c r="O112" t="inlineStr">
        <is>
          <t>20230718</t>
        </is>
      </c>
      <c r="P112" t="inlineStr">
        <is>
          <t>Sumatera Utara</t>
        </is>
      </c>
      <c r="Q112" s="3">
        <f>HYPERLINK("https://wa.me/628228778077?text=*[PENGINGAT MASA BERLAKU SBU JUANDA PRIMA ENGINERING]*%0A%0AYth. Pimpinan JUANDA PRIMA ENGINERING,%0AMohon izin menginformasikan status SBU Anda di sistem LPJK:%0A%0A📄 SBU: BS001%0A📅 Expired: 20 Juli 2026 (60 Hari Lagi)%0A%0AKami tim PT. ESDEA Assistance Management siap men-support proses perpanjangan segera.", "Hubungi")</f>
        <v/>
      </c>
    </row>
    <row r="113">
      <c r="A113" t="inlineStr">
        <is>
          <t>KARYA DWI PUTRI</t>
        </is>
      </c>
      <c r="B113" t="inlineStr">
        <is>
          <t>Kab. Blora</t>
        </is>
      </c>
      <c r="C113" t="inlineStr">
        <is>
          <t>085212848598</t>
        </is>
      </c>
      <c r="D113" t="inlineStr">
        <is>
          <t>cvkaryadwiputri2023@gmail.com</t>
        </is>
      </c>
      <c r="E113" t="inlineStr">
        <is>
          <t>https://lpjk.pu.go.id/search-badan-usaha-detail/MXEwZzN4bVFaQTFYNGFJOWNKZ2JWUT09</t>
        </is>
      </c>
      <c r="F113" t="n">
        <v>4</v>
      </c>
      <c r="G113" t="inlineStr">
        <is>
          <t>BG006, BG009, BS001, BS004</t>
        </is>
      </c>
      <c r="H113" t="inlineStr">
        <is>
          <t>22 November 2002</t>
        </is>
      </c>
      <c r="I113" s="2" t="n">
        <v>46223</v>
      </c>
      <c r="J113" t="inlineStr">
        <is>
          <t>Disetujui</t>
        </is>
      </c>
      <c r="K113" t="n">
        <v>60</v>
      </c>
      <c r="L113" t="inlineStr">
        <is>
          <t>20 Juli 2026</t>
        </is>
      </c>
      <c r="M113" t="inlineStr">
        <is>
          <t>Konstruksi Bangunan Sipil Jalan, Konstruksi Gedung Lainnya, Konstruksi Gedung Pendidikan, Konstruksi Jaringan Irigasi dan Drainase</t>
        </is>
      </c>
      <c r="N113" t="inlineStr">
        <is>
          <t>K</t>
        </is>
      </c>
      <c r="O113" t="inlineStr">
        <is>
          <t>20230721</t>
        </is>
      </c>
      <c r="P113" t="inlineStr">
        <is>
          <t>Jawa Tengah</t>
        </is>
      </c>
      <c r="Q113" s="3">
        <f>HYPERLINK("https://wa.me/6285212848598?text=*[PENGINGAT MASA BERLAKU SBU KARYA DWI PUTRI]*%0A%0AYth. Pimpinan KARYA DWI PUTRI,%0AMohon izin menginformasikan status SBU Anda di sistem LPJK:%0A%0A📄 SBU: BG006, BG009, BS001, BS004%0A📅 Expired: 20 Juli 2026 (60 Hari Lagi)%0A%0AKami tim PT. ESDEA Assistance Management siap men-support proses perpanjangan segera.", "Hubungi")</f>
        <v/>
      </c>
    </row>
    <row r="114">
      <c r="A114" t="inlineStr">
        <is>
          <t>KARYA DWIPUTRA PRATAMA</t>
        </is>
      </c>
      <c r="B114" t="inlineStr">
        <is>
          <t>Kota Bandung</t>
        </is>
      </c>
      <c r="C114" t="inlineStr">
        <is>
          <t>081221391162</t>
        </is>
      </c>
      <c r="D114" t="inlineStr">
        <is>
          <t>karya.dwiputra.pratama@gmail.com</t>
        </is>
      </c>
      <c r="E114" t="inlineStr">
        <is>
          <t>https://lpjk.pu.go.id/search-badan-usaha-detail/ZzRVeG1MWEZ4R0EyeVU0b3B5bW42Zz09</t>
        </is>
      </c>
      <c r="F114" t="n">
        <v>1</v>
      </c>
      <c r="G114" t="inlineStr">
        <is>
          <t>IN008</t>
        </is>
      </c>
      <c r="H114" t="inlineStr">
        <is>
          <t>28 April 2009</t>
        </is>
      </c>
      <c r="I114" s="2" t="n">
        <v>46223</v>
      </c>
      <c r="J114" t="inlineStr">
        <is>
          <t>Pencabutan</t>
        </is>
      </c>
      <c r="K114" t="n">
        <v>60</v>
      </c>
      <c r="L114" t="inlineStr">
        <is>
          <t>20 Juli 2026</t>
        </is>
      </c>
      <c r="M114" t="inlineStr">
        <is>
          <t>Instalasi Pendingin Dan Ventilasi Udara</t>
        </is>
      </c>
      <c r="N114" t="inlineStr">
        <is>
          <t>Spesialis</t>
        </is>
      </c>
      <c r="O114" t="inlineStr">
        <is>
          <t>20230712</t>
        </is>
      </c>
      <c r="P114" t="inlineStr">
        <is>
          <t>Jawa Barat</t>
        </is>
      </c>
      <c r="Q114" s="3">
        <f>HYPERLINK("https://wa.me/6281221391162?text=*[PENGINGAT MASA BERLAKU SBU KARYA DWIPUTRA PRATAMA]*%0A%0AYth. Pimpinan KARYA DWIPUTRA PRATAMA,%0AMohon izin menginformasikan status SBU Anda di sistem LPJK:%0A%0A📄 SBU: IN008%0A📅 Expired: 20 Juli 2026 (60 Hari Lagi)%0A%0AKami tim PT. ESDEA Assistance Management siap men-support proses perpanjangan segera.", "Hubungi")</f>
        <v/>
      </c>
    </row>
    <row r="115">
      <c r="A115" t="inlineStr">
        <is>
          <t>KARYA GEMILANG</t>
        </is>
      </c>
      <c r="B115" t="inlineStr">
        <is>
          <t>Kota Tanjung Pinang</t>
        </is>
      </c>
      <c r="C115" t="inlineStr">
        <is>
          <t>085386634495</t>
        </is>
      </c>
      <c r="D115" t="inlineStr">
        <is>
          <t>karyagemilang.tpi@gmail.com</t>
        </is>
      </c>
      <c r="E115" t="inlineStr">
        <is>
          <t>https://lpjk.pu.go.id/search-badan-usaha-detail/UDA0NStpSUU3TWtKdGVQUndLVWJqZz09</t>
        </is>
      </c>
      <c r="F115" t="n">
        <v>1</v>
      </c>
      <c r="G115" t="inlineStr">
        <is>
          <t>BS001</t>
        </is>
      </c>
      <c r="H115" t="inlineStr">
        <is>
          <t>24 September 2014</t>
        </is>
      </c>
      <c r="I115" s="2" t="n">
        <v>46223</v>
      </c>
      <c r="J115" t="inlineStr">
        <is>
          <t>Disetujui</t>
        </is>
      </c>
      <c r="K115" t="n">
        <v>60</v>
      </c>
      <c r="L115" t="inlineStr">
        <is>
          <t>20 Juli 2026</t>
        </is>
      </c>
      <c r="M115" t="inlineStr">
        <is>
          <t>Konstruksi Bangunan Sipil Jalan</t>
        </is>
      </c>
      <c r="N115" t="inlineStr">
        <is>
          <t>K</t>
        </is>
      </c>
      <c r="O115" t="inlineStr">
        <is>
          <t>20230508</t>
        </is>
      </c>
      <c r="P115" t="inlineStr">
        <is>
          <t>Kepulauan Riau</t>
        </is>
      </c>
      <c r="Q115" s="3">
        <f>HYPERLINK("https://wa.me/6285386634495?text=*[PENGINGAT MASA BERLAKU SBU KARYA GEMILANG]*%0A%0AYth. Pimpinan KARYA GEMILANG,%0AMohon izin menginformasikan status SBU Anda di sistem LPJK:%0A%0A📄 SBU: BS001%0A📅 Expired: 20 Juli 2026 (60 Hari Lagi)%0A%0AKami tim PT. ESDEA Assistance Management siap men-support proses perpanjangan segera.", "Hubungi")</f>
        <v/>
      </c>
    </row>
    <row r="116">
      <c r="A116" t="inlineStr">
        <is>
          <t>KARYA MANDIRI PARAHYANGAN</t>
        </is>
      </c>
      <c r="B116" t="inlineStr">
        <is>
          <t>Kota Bandung</t>
        </is>
      </c>
      <c r="C116" t="inlineStr">
        <is>
          <t>-</t>
        </is>
      </c>
      <c r="D116" t="inlineStr">
        <is>
          <t>cv.karyamandiriparahyangan@gmail.com</t>
        </is>
      </c>
      <c r="E116" t="inlineStr">
        <is>
          <t>https://lpjk.pu.go.id/search-badan-usaha-detail/ZE5KaWNUSWRYd2FjL3E4ckxyVUJEdz09</t>
        </is>
      </c>
      <c r="F116" t="n">
        <v>1</v>
      </c>
      <c r="G116" t="inlineStr">
        <is>
          <t>BG005</t>
        </is>
      </c>
      <c r="H116" t="inlineStr">
        <is>
          <t>21 Februari 2015</t>
        </is>
      </c>
      <c r="I116" s="2" t="n">
        <v>46223</v>
      </c>
      <c r="J116" t="inlineStr">
        <is>
          <t>Pencabutan</t>
        </is>
      </c>
      <c r="K116" t="n">
        <v>60</v>
      </c>
      <c r="L116" t="inlineStr">
        <is>
          <t>20 Juli 2026</t>
        </is>
      </c>
      <c r="M116" t="inlineStr">
        <is>
          <t>Konstruksi Gedung Kesehatan</t>
        </is>
      </c>
      <c r="N116" t="inlineStr">
        <is>
          <t>K</t>
        </is>
      </c>
      <c r="O116" t="inlineStr">
        <is>
          <t>20230721</t>
        </is>
      </c>
      <c r="P116" t="inlineStr">
        <is>
          <t>Jawa Barat</t>
        </is>
      </c>
      <c r="Q116" t="inlineStr"/>
    </row>
    <row r="117">
      <c r="A117" t="inlineStr">
        <is>
          <t>KARYA MILIK ABADI</t>
        </is>
      </c>
      <c r="B117" t="inlineStr">
        <is>
          <t>Kota Serang</t>
        </is>
      </c>
      <c r="C117" t="inlineStr">
        <is>
          <t>0878790814689</t>
        </is>
      </c>
      <c r="D117" t="inlineStr">
        <is>
          <t>karyamilikabadi.cv@gmail.com</t>
        </is>
      </c>
      <c r="E117" t="inlineStr">
        <is>
          <t>https://lpjk.pu.go.id/search-badan-usaha-detail/MitTczZXTzhVSDhxaUVsUVhSbmVuQT09</t>
        </is>
      </c>
      <c r="F117" t="n">
        <v>1</v>
      </c>
      <c r="G117" t="inlineStr">
        <is>
          <t>BS001</t>
        </is>
      </c>
      <c r="H117" t="inlineStr">
        <is>
          <t>21 Januari 2016</t>
        </is>
      </c>
      <c r="I117" s="2" t="n">
        <v>46223</v>
      </c>
      <c r="J117" t="inlineStr">
        <is>
          <t>Disetujui</t>
        </is>
      </c>
      <c r="K117" t="n">
        <v>60</v>
      </c>
      <c r="L117" t="inlineStr">
        <is>
          <t>20 Juli 2026</t>
        </is>
      </c>
      <c r="M117" t="inlineStr">
        <is>
          <t>Konstruksi Bangunan Sipil Jalan</t>
        </is>
      </c>
      <c r="N117" t="inlineStr">
        <is>
          <t>K</t>
        </is>
      </c>
      <c r="O117" t="inlineStr">
        <is>
          <t>20230712</t>
        </is>
      </c>
      <c r="P117" t="inlineStr">
        <is>
          <t>Banten</t>
        </is>
      </c>
      <c r="Q117" s="3">
        <f>HYPERLINK("https://wa.me/62878790814689?text=*[PENGINGAT MASA BERLAKU SBU KARYA MILIK ABADI]*%0A%0AYth. Pimpinan KARYA MILIK ABADI,%0AMohon izin menginformasikan status SBU Anda di sistem LPJK:%0A%0A📄 SBU: BS001%0A📅 Expired: 20 Juli 2026 (60 Hari Lagi)%0A%0AKami tim PT. ESDEA Assistance Management siap men-support proses perpanjangan segera.", "Hubungi")</f>
        <v/>
      </c>
    </row>
    <row r="118">
      <c r="A118" t="inlineStr">
        <is>
          <t>KARYA NYATA</t>
        </is>
      </c>
      <c r="B118" t="inlineStr">
        <is>
          <t>Kab. Sumbawa</t>
        </is>
      </c>
      <c r="C118" t="inlineStr">
        <is>
          <t>082341939022</t>
        </is>
      </c>
      <c r="D118" t="inlineStr">
        <is>
          <t>cvkaryanyata80@gmail.com</t>
        </is>
      </c>
      <c r="E118" t="inlineStr">
        <is>
          <t>https://lpjk.pu.go.id/search-badan-usaha-detail/TCs0V2RDZHAxNTVydzB3TkV3RTl3QT09</t>
        </is>
      </c>
      <c r="F118" t="n">
        <v>2</v>
      </c>
      <c r="G118" t="inlineStr">
        <is>
          <t>BS001, BS004</t>
        </is>
      </c>
      <c r="H118" t="inlineStr">
        <is>
          <t>19 Desember 1985</t>
        </is>
      </c>
      <c r="I118" s="2" t="n">
        <v>46223</v>
      </c>
      <c r="J118" t="inlineStr">
        <is>
          <t>Disetujui</t>
        </is>
      </c>
      <c r="K118" t="n">
        <v>60</v>
      </c>
      <c r="L118" t="inlineStr">
        <is>
          <t>20 Juli 2026</t>
        </is>
      </c>
      <c r="M118" t="inlineStr">
        <is>
          <t>Konstruksi Bangunan Sipil Jalan, Konstruksi Jaringan Irigasi dan Drainase</t>
        </is>
      </c>
      <c r="N118" t="inlineStr">
        <is>
          <t>K</t>
        </is>
      </c>
      <c r="O118" t="inlineStr">
        <is>
          <t>20230719</t>
        </is>
      </c>
      <c r="P118" t="inlineStr">
        <is>
          <t>Nusa Tenggara Barat</t>
        </is>
      </c>
      <c r="Q118" s="3">
        <f>HYPERLINK("https://wa.me/6282341939022?text=*[PENGINGAT MASA BERLAKU SBU KARYA NYATA]*%0A%0AYth. Pimpinan KARYA NYATA,%0AMohon izin menginformasikan status SBU Anda di sistem LPJK:%0A%0A📄 SBU: BS001, BS004%0A📅 Expired: 20 Juli 2026 (60 Hari Lagi)%0A%0AKami tim PT. ESDEA Assistance Management siap men-support proses perpanjangan segera.", "Hubungi")</f>
        <v/>
      </c>
    </row>
    <row r="119">
      <c r="A119" t="inlineStr">
        <is>
          <t>KARYA SARIKA SEJAHTERA</t>
        </is>
      </c>
      <c r="B119" t="inlineStr">
        <is>
          <t>Kota Surabaya</t>
        </is>
      </c>
      <c r="C119" t="inlineStr">
        <is>
          <t>0313298490</t>
        </is>
      </c>
      <c r="D119" t="inlineStr">
        <is>
          <t>kss.surabaya@yahoo.co.id</t>
        </is>
      </c>
      <c r="E119" t="inlineStr">
        <is>
          <t>https://lpjk.pu.go.id/search-badan-usaha-detail/K2wrN1QzbFJjakdyOTc2SWdXaFlQdz09</t>
        </is>
      </c>
      <c r="F119" t="n">
        <v>2</v>
      </c>
      <c r="G119" t="inlineStr">
        <is>
          <t>BG003, BG005</t>
        </is>
      </c>
      <c r="H119" t="inlineStr">
        <is>
          <t>12 Juni 2007</t>
        </is>
      </c>
      <c r="I119" s="2" t="n">
        <v>46223</v>
      </c>
      <c r="J119" t="inlineStr">
        <is>
          <t>Pencabutan</t>
        </is>
      </c>
      <c r="K119" t="n">
        <v>60</v>
      </c>
      <c r="L119" t="inlineStr">
        <is>
          <t>20 Juli 2026</t>
        </is>
      </c>
      <c r="M119" t="inlineStr">
        <is>
          <t>Konstruksi Gedung Industri, Konstruksi Gedung Kesehatan</t>
        </is>
      </c>
      <c r="N119" t="inlineStr">
        <is>
          <t>K</t>
        </is>
      </c>
      <c r="O119" t="inlineStr">
        <is>
          <t>20230710, 20230720</t>
        </is>
      </c>
      <c r="P119" t="inlineStr">
        <is>
          <t>Jawa Timur</t>
        </is>
      </c>
      <c r="Q119" s="3">
        <f>HYPERLINK("https://wa.me/62313298490?text=*[PENGINGAT MASA BERLAKU SBU KARYA SARIKA SEJAHTERA]*%0A%0AYth. Pimpinan KARYA SARIKA SEJAHTERA,%0AMohon izin menginformasikan status SBU Anda di sistem LPJK:%0A%0A📄 SBU: BG003, BG005%0A📅 Expired: 20 Juli 2026 (60 Hari Lagi)%0A%0AKami tim PT. ESDEA Assistance Management siap men-support proses perpanjangan segera.", "Hubungi")</f>
        <v/>
      </c>
    </row>
    <row r="120">
      <c r="A120" t="inlineStr">
        <is>
          <t>KARYA SEJAHTERA</t>
        </is>
      </c>
      <c r="B120" t="inlineStr">
        <is>
          <t>Kota Gunungsitoli</t>
        </is>
      </c>
      <c r="C120" t="inlineStr">
        <is>
          <t>085270920123</t>
        </is>
      </c>
      <c r="D120" t="inlineStr">
        <is>
          <t>cv_karya.sejahtera@yahoo.com</t>
        </is>
      </c>
      <c r="E120" t="inlineStr">
        <is>
          <t>https://lpjk.pu.go.id/search-badan-usaha-detail/MXB4NmdRNjducm51MW1mU0VOMzl1UT09</t>
        </is>
      </c>
      <c r="F120" t="n">
        <v>1</v>
      </c>
      <c r="G120" t="inlineStr">
        <is>
          <t>BG009</t>
        </is>
      </c>
      <c r="H120" t="inlineStr">
        <is>
          <t>22 Juni 2012</t>
        </is>
      </c>
      <c r="I120" s="2" t="n">
        <v>46223</v>
      </c>
      <c r="J120" t="inlineStr">
        <is>
          <t>Disetujui</t>
        </is>
      </c>
      <c r="K120" t="n">
        <v>60</v>
      </c>
      <c r="L120" t="inlineStr">
        <is>
          <t>20 Juli 2026</t>
        </is>
      </c>
      <c r="M120" t="inlineStr">
        <is>
          <t>Konstruksi Gedung Lainnya</t>
        </is>
      </c>
      <c r="N120" t="inlineStr">
        <is>
          <t>K</t>
        </is>
      </c>
      <c r="O120" t="inlineStr">
        <is>
          <t>20230720</t>
        </is>
      </c>
      <c r="P120" t="inlineStr">
        <is>
          <t>Sumatera Utara</t>
        </is>
      </c>
      <c r="Q120" s="3">
        <f>HYPERLINK("https://wa.me/6285270920123?text=*[PENGINGAT MASA BERLAKU SBU KARYA SEJAHTERA]*%0A%0AYth. Pimpinan KARYA SEJAHTERA,%0AMohon izin menginformasikan status SBU Anda di sistem LPJK:%0A%0A📄 SBU: BG009%0A📅 Expired: 20 Juli 2026 (60 Hari Lagi)%0A%0AKami tim PT. ESDEA Assistance Management siap men-support proses perpanjangan segera.", "Hubungi")</f>
        <v/>
      </c>
    </row>
    <row r="121">
      <c r="A121" t="inlineStr">
        <is>
          <t>KAWANINDO MENTARI ABADI</t>
        </is>
      </c>
      <c r="B121" t="inlineStr">
        <is>
          <t>Kota Tangerang Selatan</t>
        </is>
      </c>
      <c r="C121" t="inlineStr">
        <is>
          <t>0217414018</t>
        </is>
      </c>
      <c r="D121" t="inlineStr">
        <is>
          <t>kawanindo.mentari@gmail.com</t>
        </is>
      </c>
      <c r="E121" t="inlineStr">
        <is>
          <t>https://lpjk.pu.go.id/search-badan-usaha-detail/SERpMFpvSGJybVNscGRaSWhnK2JvQT09</t>
        </is>
      </c>
      <c r="F121" t="n">
        <v>3</v>
      </c>
      <c r="G121" t="inlineStr">
        <is>
          <t>BS001</t>
        </is>
      </c>
      <c r="H121" t="inlineStr">
        <is>
          <t>6 September 2018</t>
        </is>
      </c>
      <c r="I121" s="2" t="n">
        <v>46223</v>
      </c>
      <c r="J121" t="inlineStr">
        <is>
          <t>Disetujui</t>
        </is>
      </c>
      <c r="K121" t="n">
        <v>60</v>
      </c>
      <c r="L121" t="inlineStr">
        <is>
          <t>20 Juli 2026</t>
        </is>
      </c>
      <c r="M121" t="inlineStr">
        <is>
          <t>Konstruksi Bangunan Sipil Jalan</t>
        </is>
      </c>
      <c r="N121" t="inlineStr">
        <is>
          <t>K</t>
        </is>
      </c>
      <c r="O121" t="inlineStr">
        <is>
          <t>20230707</t>
        </is>
      </c>
      <c r="P121" t="inlineStr">
        <is>
          <t>Banten</t>
        </is>
      </c>
      <c r="Q121" s="3">
        <f>HYPERLINK("https://wa.me/62217414018?text=*[PENGINGAT MASA BERLAKU SBU KAWANINDO MENTARI ABADI]*%0A%0AYth. Pimpinan KAWANINDO MENTARI ABADI,%0AMohon izin menginformasikan status SBU Anda di sistem LPJK:%0A%0A📄 SBU: BS001%0A📅 Expired: 20 Juli 2026 (60 Hari Lagi)%0A%0AKami tim PT. ESDEA Assistance Management siap men-support proses perpanjangan segera.", "Hubungi")</f>
        <v/>
      </c>
    </row>
    <row r="122">
      <c r="A122" t="inlineStr">
        <is>
          <t>KAYA MEKAR MAKMUR</t>
        </is>
      </c>
      <c r="B122" t="inlineStr">
        <is>
          <t>Kab. Deli Serdang</t>
        </is>
      </c>
      <c r="C122" t="inlineStr">
        <is>
          <t>082367688889</t>
        </is>
      </c>
      <c r="D122" t="inlineStr">
        <is>
          <t>cvkayamekarmakmur@gmail.com</t>
        </is>
      </c>
      <c r="E122" t="inlineStr">
        <is>
          <t>https://lpjk.pu.go.id/search-badan-usaha-detail/TVMvTXlkOS9QNHJVWEh5THVtbWZtUT09</t>
        </is>
      </c>
      <c r="F122" t="n">
        <v>1</v>
      </c>
      <c r="G122" t="inlineStr">
        <is>
          <t>BS001</t>
        </is>
      </c>
      <c r="H122" t="inlineStr">
        <is>
          <t>13 Juni 2023</t>
        </is>
      </c>
      <c r="I122" s="2" t="n">
        <v>46223</v>
      </c>
      <c r="J122" t="inlineStr">
        <is>
          <t>Disetujui</t>
        </is>
      </c>
      <c r="K122" t="n">
        <v>60</v>
      </c>
      <c r="L122" t="inlineStr">
        <is>
          <t>20 Juli 2026</t>
        </is>
      </c>
      <c r="M122" t="inlineStr">
        <is>
          <t>Konstruksi Bangunan Sipil Jalan</t>
        </is>
      </c>
      <c r="N122" t="inlineStr">
        <is>
          <t>K</t>
        </is>
      </c>
      <c r="O122" t="inlineStr">
        <is>
          <t>20230721</t>
        </is>
      </c>
      <c r="P122" t="inlineStr">
        <is>
          <t>Sumatera Utara</t>
        </is>
      </c>
      <c r="Q122" s="3">
        <f>HYPERLINK("https://wa.me/6282367688889?text=*[PENGINGAT MASA BERLAKU SBU KAYA MEKAR MAKMUR]*%0A%0AYth. Pimpinan KAYA MEKAR MAKMUR,%0AMohon izin menginformasikan status SBU Anda di sistem LPJK:%0A%0A📄 SBU: BS001%0A📅 Expired: 20 Juli 2026 (60 Hari Lagi)%0A%0AKami tim PT. ESDEA Assistance Management siap men-support proses perpanjangan segera.", "Hubungi")</f>
        <v/>
      </c>
    </row>
    <row r="123">
      <c r="A123" t="inlineStr">
        <is>
          <t>KEMBANG RAYA</t>
        </is>
      </c>
      <c r="B123" t="inlineStr">
        <is>
          <t>Kota Tanjung Pinang</t>
        </is>
      </c>
      <c r="C123" t="inlineStr">
        <is>
          <t>081364427272</t>
        </is>
      </c>
      <c r="D123" t="inlineStr">
        <is>
          <t>raya.kembang60@yahoo.com</t>
        </is>
      </c>
      <c r="E123" t="inlineStr">
        <is>
          <t>https://lpjk.pu.go.id/search-badan-usaha-detail/NUYwa0Y4VzA3TTNNeUJpbEE3Q3dGQT09</t>
        </is>
      </c>
      <c r="F123" t="n">
        <v>1</v>
      </c>
      <c r="G123" t="inlineStr">
        <is>
          <t>BS001</t>
        </is>
      </c>
      <c r="H123" t="inlineStr">
        <is>
          <t>27 Februari 2008</t>
        </is>
      </c>
      <c r="I123" s="2" t="n">
        <v>46223</v>
      </c>
      <c r="J123" t="inlineStr">
        <is>
          <t>Disetujui</t>
        </is>
      </c>
      <c r="K123" t="n">
        <v>60</v>
      </c>
      <c r="L123" t="inlineStr">
        <is>
          <t>20 Juli 2026</t>
        </is>
      </c>
      <c r="M123" t="inlineStr">
        <is>
          <t>Konstruksi Bangunan Sipil Jalan</t>
        </is>
      </c>
      <c r="N123" t="inlineStr">
        <is>
          <t>K</t>
        </is>
      </c>
      <c r="O123" t="inlineStr">
        <is>
          <t>20230717</t>
        </is>
      </c>
      <c r="P123" t="inlineStr">
        <is>
          <t>Kepulauan Riau</t>
        </is>
      </c>
      <c r="Q123" s="3">
        <f>HYPERLINK("https://wa.me/6281364427272?text=*[PENGINGAT MASA BERLAKU SBU KEMBANG RAYA]*%0A%0AYth. Pimpinan KEMBANG RAYA,%0AMohon izin menginformasikan status SBU Anda di sistem LPJK:%0A%0A📄 SBU: BS001%0A📅 Expired: 20 Juli 2026 (60 Hari Lagi)%0A%0AKami tim PT. ESDEA Assistance Management siap men-support proses perpanjangan segera.", "Hubungi")</f>
        <v/>
      </c>
    </row>
    <row r="124">
      <c r="A124" t="inlineStr">
        <is>
          <t>KHARISMA TEHNIK</t>
        </is>
      </c>
      <c r="B124" t="inlineStr">
        <is>
          <t>Kab. Jombang</t>
        </is>
      </c>
      <c r="C124" t="inlineStr">
        <is>
          <t>082140804173</t>
        </is>
      </c>
      <c r="D124" t="inlineStr">
        <is>
          <t>jonnylionodinata@gmail.com</t>
        </is>
      </c>
      <c r="E124" t="inlineStr">
        <is>
          <t>https://lpjk.pu.go.id/search-badan-usaha-detail/VEVMV0RScnhyWjlZUVpSYkdRdFU2QT09</t>
        </is>
      </c>
      <c r="F124" t="n">
        <v>2</v>
      </c>
      <c r="G124" t="inlineStr">
        <is>
          <t>BS001</t>
        </is>
      </c>
      <c r="H124" t="inlineStr">
        <is>
          <t>22 Maret 1990</t>
        </is>
      </c>
      <c r="I124" s="2" t="n">
        <v>46223</v>
      </c>
      <c r="J124" t="inlineStr">
        <is>
          <t>Disetujui</t>
        </is>
      </c>
      <c r="K124" t="n">
        <v>60</v>
      </c>
      <c r="L124" t="inlineStr">
        <is>
          <t>20 Juli 2026</t>
        </is>
      </c>
      <c r="M124" t="inlineStr">
        <is>
          <t>Konstruksi Bangunan Sipil Jalan</t>
        </is>
      </c>
      <c r="N124" t="inlineStr">
        <is>
          <t>K</t>
        </is>
      </c>
      <c r="O124" t="inlineStr">
        <is>
          <t>20230717</t>
        </is>
      </c>
      <c r="P124" t="inlineStr">
        <is>
          <t>Jawa Timur</t>
        </is>
      </c>
      <c r="Q124" s="3">
        <f>HYPERLINK("https://wa.me/6282140804173?text=*[PENGINGAT MASA BERLAKU SBU KHARISMA TEHNIK]*%0A%0AYth. Pimpinan KHARISMA TEHNIK,%0AMohon izin menginformasikan status SBU Anda di sistem LPJK:%0A%0A📄 SBU: BS001%0A📅 Expired: 20 Juli 2026 (60 Hari Lagi)%0A%0AKami tim PT. ESDEA Assistance Management siap men-support proses perpanjangan segera.", "Hubungi")</f>
        <v/>
      </c>
    </row>
    <row r="125">
      <c r="A125" t="inlineStr">
        <is>
          <t>KILAT JAYA</t>
        </is>
      </c>
      <c r="B125" t="inlineStr">
        <is>
          <t>Kota Manado</t>
        </is>
      </c>
      <c r="C125" t="inlineStr">
        <is>
          <t>08114309181</t>
        </is>
      </c>
      <c r="D125" t="inlineStr">
        <is>
          <t>kilatjaya2016@gmail.com</t>
        </is>
      </c>
      <c r="E125" t="inlineStr">
        <is>
          <t>https://lpjk.pu.go.id/search-badan-usaha-detail/YWJld3dFNTRQcm8ydFRzelY1U3Y2QT09</t>
        </is>
      </c>
      <c r="F125" t="n">
        <v>1</v>
      </c>
      <c r="G125" t="inlineStr">
        <is>
          <t>BG001</t>
        </is>
      </c>
      <c r="H125" t="inlineStr">
        <is>
          <t>6 April 2016</t>
        </is>
      </c>
      <c r="I125" s="2" t="n">
        <v>46223</v>
      </c>
      <c r="J125" t="inlineStr">
        <is>
          <t>Disetujui</t>
        </is>
      </c>
      <c r="K125" t="n">
        <v>60</v>
      </c>
      <c r="L125" t="inlineStr">
        <is>
          <t>20 Juli 2026</t>
        </is>
      </c>
      <c r="M125" t="inlineStr">
        <is>
          <t>Konstruksi Gedung Hunian</t>
        </is>
      </c>
      <c r="N125" t="inlineStr">
        <is>
          <t>K</t>
        </is>
      </c>
      <c r="O125" t="inlineStr">
        <is>
          <t>20230720</t>
        </is>
      </c>
      <c r="P125" t="inlineStr">
        <is>
          <t>Sulawesi Utara</t>
        </is>
      </c>
      <c r="Q125" s="3">
        <f>HYPERLINK("https://wa.me/628114309181?text=*[PENGINGAT MASA BERLAKU SBU KILAT JAYA]*%0A%0AYth. Pimpinan KILAT JAYA,%0AMohon izin menginformasikan status SBU Anda di sistem LPJK:%0A%0A📄 SBU: BG001%0A📅 Expired: 20 Juli 2026 (60 Hari Lagi)%0A%0AKami tim PT. ESDEA Assistance Management siap men-support proses perpanjangan segera.", "Hubungi")</f>
        <v/>
      </c>
    </row>
    <row r="126">
      <c r="A126" t="inlineStr">
        <is>
          <t>KREASI MANDIRI KONSULTAN</t>
        </is>
      </c>
      <c r="B126" t="inlineStr">
        <is>
          <t>Kota Adm. Jakarta Selatan</t>
        </is>
      </c>
      <c r="C126" t="inlineStr">
        <is>
          <t>02173584692</t>
        </is>
      </c>
      <c r="D126" t="inlineStr">
        <is>
          <t>kmk.konsultan@gmail.com</t>
        </is>
      </c>
      <c r="E126" t="inlineStr">
        <is>
          <t>https://lpjk.pu.go.id/search-badan-usaha-detail/MUFYYnFJb1lvZU4rckhia2Y5NXN2Zz09</t>
        </is>
      </c>
      <c r="F126" t="n">
        <v>1</v>
      </c>
      <c r="G126" t="inlineStr">
        <is>
          <t>RK003</t>
        </is>
      </c>
      <c r="H126" t="inlineStr">
        <is>
          <t>1 Februari 2021</t>
        </is>
      </c>
      <c r="I126" s="2" t="n">
        <v>46223</v>
      </c>
      <c r="J126" t="inlineStr">
        <is>
          <t>Disetujui</t>
        </is>
      </c>
      <c r="K126" t="n">
        <v>60</v>
      </c>
      <c r="L126" t="inlineStr">
        <is>
          <t>20 Juli 2026</t>
        </is>
      </c>
      <c r="M126" t="inlineStr">
        <is>
          <t>Jasa Rekayasa Pekerjaan Teknik Sipil Transportasi</t>
        </is>
      </c>
      <c r="N126" t="inlineStr">
        <is>
          <t>K</t>
        </is>
      </c>
      <c r="O126" t="inlineStr">
        <is>
          <t>20230706</t>
        </is>
      </c>
      <c r="P126" t="inlineStr">
        <is>
          <t>DKI Jakarta</t>
        </is>
      </c>
      <c r="Q126" s="3">
        <f>HYPERLINK("https://wa.me/622173584692?text=*[PENGINGAT MASA BERLAKU SBU KREASI MANDIRI KONSULTAN]*%0A%0AYth. Pimpinan KREASI MANDIRI KONSULTAN,%0AMohon izin menginformasikan status SBU Anda di sistem LPJK:%0A%0A📄 SBU: RK003%0A📅 Expired: 20 Juli 2026 (60 Hari Lagi)%0A%0AKami tim PT. ESDEA Assistance Management siap men-support proses perpanjangan segera.", "Hubungi")</f>
        <v/>
      </c>
    </row>
    <row r="127">
      <c r="A127" t="inlineStr">
        <is>
          <t>KRISNA JAYA KAHURIPAN</t>
        </is>
      </c>
      <c r="B127" t="inlineStr">
        <is>
          <t>Kab. Lamongan</t>
        </is>
      </c>
      <c r="C127" t="inlineStr">
        <is>
          <t>081357910677</t>
        </is>
      </c>
      <c r="D127" t="inlineStr">
        <is>
          <t>krisnajayakahuripan123@yahoo.com</t>
        </is>
      </c>
      <c r="E127" t="inlineStr">
        <is>
          <t>https://lpjk.pu.go.id/search-badan-usaha-detail/TlVPUWtZenVzeG1MVzNpVjAwT0c3UT09</t>
        </is>
      </c>
      <c r="F127" t="n">
        <v>1</v>
      </c>
      <c r="G127" t="inlineStr">
        <is>
          <t>BG009</t>
        </is>
      </c>
      <c r="H127" t="inlineStr">
        <is>
          <t>31 Oktober 2022</t>
        </is>
      </c>
      <c r="I127" s="2" t="n">
        <v>46223</v>
      </c>
      <c r="J127" t="inlineStr">
        <is>
          <t>Disetujui</t>
        </is>
      </c>
      <c r="K127" t="n">
        <v>60</v>
      </c>
      <c r="L127" t="inlineStr">
        <is>
          <t>20 Juli 2026</t>
        </is>
      </c>
      <c r="M127" t="inlineStr">
        <is>
          <t>Konstruksi Gedung Lainnya</t>
        </is>
      </c>
      <c r="N127" t="inlineStr">
        <is>
          <t>K</t>
        </is>
      </c>
      <c r="O127" t="inlineStr">
        <is>
          <t>20230301</t>
        </is>
      </c>
      <c r="P127" t="inlineStr">
        <is>
          <t>Jawa Timur</t>
        </is>
      </c>
      <c r="Q127" s="3">
        <f>HYPERLINK("https://wa.me/6281357910677?text=*[PENGINGAT MASA BERLAKU SBU KRISNA JAYA KAHURIPAN]*%0A%0AYth. Pimpinan KRISNA JAYA KAHURIPAN,%0AMohon izin menginformasikan status SBU Anda di sistem LPJK:%0A%0A📄 SBU: BG009%0A📅 Expired: 20 Juli 2026 (60 Hari Lagi)%0A%0AKami tim PT. ESDEA Assistance Management siap men-support proses perpanjangan segera.", "Hubungi")</f>
        <v/>
      </c>
    </row>
    <row r="128">
      <c r="A128" t="inlineStr">
        <is>
          <t>KUALA PERSADA PAPUA NUSANTARA</t>
        </is>
      </c>
      <c r="B128" t="inlineStr">
        <is>
          <t>Kab. Mimika</t>
        </is>
      </c>
      <c r="C128" t="inlineStr">
        <is>
          <t>085241700502</t>
        </is>
      </c>
      <c r="D128" t="inlineStr">
        <is>
          <t>pt.kualapersadapapuanusantara01@gmail.com</t>
        </is>
      </c>
      <c r="E128" t="inlineStr">
        <is>
          <t>https://lpjk.pu.go.id/search-badan-usaha-detail/TTh3YVVBa2pJQmVyQW1KMVdXTm4rZz09</t>
        </is>
      </c>
      <c r="F128" t="n">
        <v>1</v>
      </c>
      <c r="G128" t="inlineStr">
        <is>
          <t>BG001</t>
        </is>
      </c>
      <c r="H128" t="inlineStr">
        <is>
          <t>4 November 2004</t>
        </is>
      </c>
      <c r="I128" s="2" t="n">
        <v>46223</v>
      </c>
      <c r="J128" t="inlineStr">
        <is>
          <t>Pembekuan</t>
        </is>
      </c>
      <c r="K128" t="n">
        <v>60</v>
      </c>
      <c r="L128" t="inlineStr">
        <is>
          <t>20 Juli 2026</t>
        </is>
      </c>
      <c r="M128" t="inlineStr">
        <is>
          <t>Konstruksi Gedung Hunian</t>
        </is>
      </c>
      <c r="N128" t="inlineStr">
        <is>
          <t>M</t>
        </is>
      </c>
      <c r="O128" t="inlineStr">
        <is>
          <t>20230713</t>
        </is>
      </c>
      <c r="P128" t="inlineStr">
        <is>
          <t>Papua</t>
        </is>
      </c>
      <c r="Q128" s="3">
        <f>HYPERLINK("https://wa.me/6285241700502?text=*[PENGINGAT MASA BERLAKU SBU KUALA PERSADA PAPUA NUSANTARA]*%0A%0AYth. Pimpinan KUALA PERSADA PAPUA NUSANTARA,%0AMohon izin menginformasikan status SBU Anda di sistem LPJK:%0A%0A📄 SBU: BG001%0A📅 Expired: 20 Juli 2026 (60 Hari Lagi)%0A%0AKami tim PT. ESDEA Assistance Management siap men-support proses perpanjangan segera.", "Hubungi")</f>
        <v/>
      </c>
    </row>
    <row r="129">
      <c r="A129" t="inlineStr">
        <is>
          <t>LIMA DIMENSI</t>
        </is>
      </c>
      <c r="B129" t="inlineStr">
        <is>
          <t>Kota Palu</t>
        </is>
      </c>
      <c r="C129" t="inlineStr">
        <is>
          <t>085242800248</t>
        </is>
      </c>
      <c r="D129" t="inlineStr">
        <is>
          <t>limasimensi10@gmail.com</t>
        </is>
      </c>
      <c r="E129" t="inlineStr">
        <is>
          <t>https://lpjk.pu.go.id/search-badan-usaha-detail/K3NKaXhmdXBOck9ncHJ6NGtVRlhodz09</t>
        </is>
      </c>
      <c r="F129" t="n">
        <v>2</v>
      </c>
      <c r="G129" t="inlineStr">
        <is>
          <t>AR001, AR002</t>
        </is>
      </c>
      <c r="H129" t="inlineStr">
        <is>
          <t>27 Desember 2016</t>
        </is>
      </c>
      <c r="I129" s="2" t="n">
        <v>46223</v>
      </c>
      <c r="J129" t="inlineStr">
        <is>
          <t>Pencabutan</t>
        </is>
      </c>
      <c r="K129" t="n">
        <v>60</v>
      </c>
      <c r="L129" t="inlineStr">
        <is>
          <t>20 Juli 2026</t>
        </is>
      </c>
      <c r="M129" t="inlineStr">
        <is>
          <t>Jasa Arsitektural Bangunan Gedung Hunian dan Non Hunian, Jasa Arsitektural Lainnya</t>
        </is>
      </c>
      <c r="N129" t="inlineStr">
        <is>
          <t>K</t>
        </is>
      </c>
      <c r="O129" t="inlineStr">
        <is>
          <t>20230621</t>
        </is>
      </c>
      <c r="P129" t="inlineStr">
        <is>
          <t>Sulawesi Tengah</t>
        </is>
      </c>
      <c r="Q129" s="3">
        <f>HYPERLINK("https://wa.me/6285242800248?text=*[PENGINGAT MASA BERLAKU SBU LIMA DIMENSI]*%0A%0AYth. Pimpinan LIMA DIMENSI,%0AMohon izin menginformasikan status SBU Anda di sistem LPJK:%0A%0A📄 SBU: AR001, AR002%0A📅 Expired: 20 Juli 2026 (60 Hari Lagi)%0A%0AKami tim PT. ESDEA Assistance Management siap men-support proses perpanjangan segera.", "Hubungi")</f>
        <v/>
      </c>
    </row>
    <row r="130">
      <c r="A130" t="inlineStr">
        <is>
          <t>LITAC</t>
        </is>
      </c>
      <c r="B130" t="inlineStr">
        <is>
          <t>Kota Adm. Jakarta Pusat</t>
        </is>
      </c>
      <c r="C130" t="inlineStr">
        <is>
          <t>0215213030</t>
        </is>
      </c>
      <c r="D130" t="inlineStr">
        <is>
          <t>litac@litac-consultant.com</t>
        </is>
      </c>
      <c r="E130" t="inlineStr">
        <is>
          <t>https://lpjk.pu.go.id/search-badan-usaha-detail/aWtZOXdZMjBWNENoWDMvbzdMSG1wQT09</t>
        </is>
      </c>
      <c r="F130" t="n">
        <v>1</v>
      </c>
      <c r="G130" t="inlineStr">
        <is>
          <t>AR003</t>
        </is>
      </c>
      <c r="H130" t="inlineStr">
        <is>
          <t>25 Juni 1966</t>
        </is>
      </c>
      <c r="I130" s="2" t="n">
        <v>46223</v>
      </c>
      <c r="J130" t="inlineStr">
        <is>
          <t>Disetujui</t>
        </is>
      </c>
      <c r="K130" t="n">
        <v>60</v>
      </c>
      <c r="L130" t="inlineStr">
        <is>
          <t>20 Juli 2026</t>
        </is>
      </c>
      <c r="M130" t="inlineStr">
        <is>
          <t>Jasa Desain Interior pada Bangunan Gedung dan Bangunan Sipil</t>
        </is>
      </c>
      <c r="N130" t="inlineStr">
        <is>
          <t>K</t>
        </is>
      </c>
      <c r="O130" t="inlineStr">
        <is>
          <t>20230621</t>
        </is>
      </c>
      <c r="P130" t="inlineStr">
        <is>
          <t>DKI Jakarta</t>
        </is>
      </c>
      <c r="Q130" s="3">
        <f>HYPERLINK("https://wa.me/62215213030?text=*[PENGINGAT MASA BERLAKU SBU LITAC]*%0A%0AYth. Pimpinan LITAC,%0AMohon izin menginformasikan status SBU Anda di sistem LPJK:%0A%0A📄 SBU: AR003%0A📅 Expired: 20 Juli 2026 (60 Hari Lagi)%0A%0AKami tim PT. ESDEA Assistance Management siap men-support proses perpanjangan segera.", "Hubungi")</f>
        <v/>
      </c>
    </row>
    <row r="131">
      <c r="A131" t="inlineStr">
        <is>
          <t>MAKMUR</t>
        </is>
      </c>
      <c r="B131" t="inlineStr">
        <is>
          <t>Kota Pariaman</t>
        </is>
      </c>
      <c r="C131" t="inlineStr">
        <is>
          <t>085274273295</t>
        </is>
      </c>
      <c r="D131" t="inlineStr">
        <is>
          <t>makmurpariaman@yahoo.com</t>
        </is>
      </c>
      <c r="E131" t="inlineStr">
        <is>
          <t>https://lpjk.pu.go.id/search-badan-usaha-detail/Qy9SdklreHJGQ01wSmd1dlVqZDVrZz09</t>
        </is>
      </c>
      <c r="F131" t="n">
        <v>3</v>
      </c>
      <c r="G131" t="inlineStr">
        <is>
          <t>BG005, BG006, BG009</t>
        </is>
      </c>
      <c r="H131" t="inlineStr">
        <is>
          <t>28 Agustus 1991</t>
        </is>
      </c>
      <c r="I131" s="2" t="n">
        <v>46223</v>
      </c>
      <c r="J131" t="inlineStr">
        <is>
          <t>Disetujui</t>
        </is>
      </c>
      <c r="K131" t="n">
        <v>60</v>
      </c>
      <c r="L131" t="inlineStr">
        <is>
          <t>20 Juli 2026</t>
        </is>
      </c>
      <c r="M131" t="inlineStr">
        <is>
          <t>Konstruksi Gedung Kesehatan, Konstruksi Gedung Lainnya, Konstruksi Gedung Pendidikan</t>
        </is>
      </c>
      <c r="N131" t="inlineStr">
        <is>
          <t>K</t>
        </is>
      </c>
      <c r="O131" t="inlineStr">
        <is>
          <t>20230712</t>
        </is>
      </c>
      <c r="P131" t="inlineStr">
        <is>
          <t>Sumatera Barat</t>
        </is>
      </c>
      <c r="Q131" s="3">
        <f>HYPERLINK("https://wa.me/6285274273295?text=*[PENGINGAT MASA BERLAKU SBU MAKMUR]*%0A%0AYth. Pimpinan MAKMUR,%0AMohon izin menginformasikan status SBU Anda di sistem LPJK:%0A%0A📄 SBU: BG005, BG006, BG009%0A📅 Expired: 20 Juli 2026 (60 Hari Lagi)%0A%0AKami tim PT. ESDEA Assistance Management siap men-support proses perpanjangan segera.", "Hubungi")</f>
        <v/>
      </c>
    </row>
    <row r="132">
      <c r="A132" t="inlineStr">
        <is>
          <t>MAKMUR SEJAHTERA TANETE</t>
        </is>
      </c>
      <c r="B132" t="inlineStr">
        <is>
          <t>Kab. Bulukumba</t>
        </is>
      </c>
      <c r="C132" t="inlineStr">
        <is>
          <t>081345307123</t>
        </is>
      </c>
      <c r="D132" t="inlineStr">
        <is>
          <t>cv.makmursejahteratanete@gmail.com</t>
        </is>
      </c>
      <c r="E132" t="inlineStr">
        <is>
          <t>https://lpjk.pu.go.id/search-badan-usaha-detail/czgyd25EdDlzME5pb3RMTzVJRGZBZz09</t>
        </is>
      </c>
      <c r="F132" t="n">
        <v>3</v>
      </c>
      <c r="G132" t="inlineStr">
        <is>
          <t>BG002, BG009, BS012</t>
        </is>
      </c>
      <c r="H132" t="inlineStr">
        <is>
          <t>6 Maret 2023</t>
        </is>
      </c>
      <c r="I132" s="2" t="n">
        <v>46223</v>
      </c>
      <c r="J132" t="inlineStr">
        <is>
          <t>Disetujui</t>
        </is>
      </c>
      <c r="K132" t="n">
        <v>60</v>
      </c>
      <c r="L132" t="inlineStr">
        <is>
          <t>20 Juli 2026</t>
        </is>
      </c>
      <c r="M132" t="inlineStr">
        <is>
          <t>Konstruksi Bangunan Pelabuhan Perikanan, Konstruksi Gedung Lainnya, Konstruksi Gedung Perkantoran</t>
        </is>
      </c>
      <c r="N132" t="inlineStr">
        <is>
          <t>K</t>
        </is>
      </c>
      <c r="O132" t="inlineStr">
        <is>
          <t>20230615, 20230712</t>
        </is>
      </c>
      <c r="P132" t="inlineStr">
        <is>
          <t>Sulawesi Selatan</t>
        </is>
      </c>
      <c r="Q132" s="3">
        <f>HYPERLINK("https://wa.me/6281345307123?text=*[PENGINGAT MASA BERLAKU SBU MAKMUR SEJAHTERA TANETE]*%0A%0AYth. Pimpinan MAKMUR SEJAHTERA TANETE,%0AMohon izin menginformasikan status SBU Anda di sistem LPJK:%0A%0A📄 SBU: BG002, BG009, BS012%0A📅 Expired: 20 Juli 2026 (60 Hari Lagi)%0A%0AKami tim PT. ESDEA Assistance Management siap men-support proses perpanjangan segera.", "Hubungi")</f>
        <v/>
      </c>
    </row>
    <row r="133">
      <c r="A133" t="inlineStr">
        <is>
          <t>MALEO GALERI UTAMA</t>
        </is>
      </c>
      <c r="B133" t="inlineStr">
        <is>
          <t>Kota Palu</t>
        </is>
      </c>
      <c r="C133" t="inlineStr">
        <is>
          <t>08114530918</t>
        </is>
      </c>
      <c r="D133" t="inlineStr">
        <is>
          <t>maleogaleriutama@gmail.com</t>
        </is>
      </c>
      <c r="E133" t="inlineStr">
        <is>
          <t>https://lpjk.pu.go.id/search-badan-usaha-detail/YWJOVnB0VGtzeHUwTW5UU1BReG82UT09</t>
        </is>
      </c>
      <c r="F133" t="n">
        <v>2</v>
      </c>
      <c r="G133" t="inlineStr">
        <is>
          <t>BG004</t>
        </is>
      </c>
      <c r="H133" t="inlineStr">
        <is>
          <t>14 Maret 2012</t>
        </is>
      </c>
      <c r="I133" s="2" t="n">
        <v>46223</v>
      </c>
      <c r="J133" t="inlineStr">
        <is>
          <t>Disetujui</t>
        </is>
      </c>
      <c r="K133" t="n">
        <v>60</v>
      </c>
      <c r="L133" t="inlineStr">
        <is>
          <t>20 Juli 2026</t>
        </is>
      </c>
      <c r="M133" t="inlineStr">
        <is>
          <t>Konstruksi Gedung Perbelanjaan</t>
        </is>
      </c>
      <c r="N133" t="inlineStr">
        <is>
          <t>K</t>
        </is>
      </c>
      <c r="O133" t="inlineStr">
        <is>
          <t>20230718</t>
        </is>
      </c>
      <c r="P133" t="inlineStr">
        <is>
          <t>Sulawesi Tengah</t>
        </is>
      </c>
      <c r="Q133" s="3">
        <f>HYPERLINK("https://wa.me/628114530918?text=*[PENGINGAT MASA BERLAKU SBU MALEO GALERI UTAMA]*%0A%0AYth. Pimpinan MALEO GALERI UTAMA,%0AMohon izin menginformasikan status SBU Anda di sistem LPJK:%0A%0A📄 SBU: BG004%0A📅 Expired: 20 Juli 2026 (60 Hari Lagi)%0A%0AKami tim PT. ESDEA Assistance Management siap men-support proses perpanjangan segera.", "Hubungi")</f>
        <v/>
      </c>
    </row>
    <row r="134">
      <c r="A134" t="inlineStr">
        <is>
          <t>MANDALA</t>
        </is>
      </c>
      <c r="B134" t="inlineStr">
        <is>
          <t>Kab. Pangandaran</t>
        </is>
      </c>
      <c r="C134" t="inlineStr">
        <is>
          <t>081323175206</t>
        </is>
      </c>
      <c r="D134" t="inlineStr">
        <is>
          <t>cv.mandalapnd@gmail.com</t>
        </is>
      </c>
      <c r="E134" t="inlineStr">
        <is>
          <t>https://lpjk.pu.go.id/search-badan-usaha-detail/U0ZNUnhzSGtadDZJQUZJREU3ajlmZz09</t>
        </is>
      </c>
      <c r="F134" t="n">
        <v>4</v>
      </c>
      <c r="G134" t="inlineStr">
        <is>
          <t>BS001, BS004</t>
        </is>
      </c>
      <c r="H134" t="inlineStr">
        <is>
          <t>27 Januari 2016</t>
        </is>
      </c>
      <c r="I134" s="2" t="n">
        <v>46223</v>
      </c>
      <c r="J134" t="inlineStr">
        <is>
          <t>Pencabutan</t>
        </is>
      </c>
      <c r="K134" t="n">
        <v>60</v>
      </c>
      <c r="L134" t="inlineStr">
        <is>
          <t>20 Juli 2026</t>
        </is>
      </c>
      <c r="M134" t="inlineStr">
        <is>
          <t>Konstruksi Bangunan Sipil Jalan, Konstruksi Jaringan Irigasi dan Drainase</t>
        </is>
      </c>
      <c r="N134" t="inlineStr">
        <is>
          <t>K</t>
        </is>
      </c>
      <c r="O134" t="inlineStr">
        <is>
          <t>20230720</t>
        </is>
      </c>
      <c r="P134" t="inlineStr">
        <is>
          <t>Jawa Barat</t>
        </is>
      </c>
      <c r="Q134" s="3">
        <f>HYPERLINK("https://wa.me/6281323175206?text=*[PENGINGAT MASA BERLAKU SBU MANDALA]*%0A%0AYth. Pimpinan MANDALA,%0AMohon izin menginformasikan status SBU Anda di sistem LPJK:%0A%0A📄 SBU: BS001, BS004%0A📅 Expired: 20 Juli 2026 (60 Hari Lagi)%0A%0AKami tim PT. ESDEA Assistance Management siap men-support proses perpanjangan segera.", "Hubungi")</f>
        <v/>
      </c>
    </row>
    <row r="135">
      <c r="A135" t="inlineStr">
        <is>
          <t>MANUNGGAL I</t>
        </is>
      </c>
      <c r="B135" t="inlineStr">
        <is>
          <t>Kota Pekalongan</t>
        </is>
      </c>
      <c r="C135" t="inlineStr">
        <is>
          <t>087711572550</t>
        </is>
      </c>
      <c r="D135" t="inlineStr">
        <is>
          <t>manunggalcv7@gmail.com</t>
        </is>
      </c>
      <c r="E135" t="inlineStr">
        <is>
          <t>https://lpjk.pu.go.id/search-badan-usaha-detail/bjBhdTVRRVRiS3lkdjJIV1JMY1ZyZz09</t>
        </is>
      </c>
      <c r="F135" t="n">
        <v>2</v>
      </c>
      <c r="G135" t="inlineStr">
        <is>
          <t>BS004</t>
        </is>
      </c>
      <c r="H135" t="inlineStr">
        <is>
          <t>23 Januari 1984</t>
        </is>
      </c>
      <c r="I135" s="2" t="n">
        <v>46223</v>
      </c>
      <c r="J135" t="inlineStr">
        <is>
          <t>Disetujui</t>
        </is>
      </c>
      <c r="K135" t="n">
        <v>60</v>
      </c>
      <c r="L135" t="inlineStr">
        <is>
          <t>20 Juli 2026</t>
        </is>
      </c>
      <c r="M135" t="inlineStr">
        <is>
          <t>Konstruksi Jaringan Irigasi dan Drainase</t>
        </is>
      </c>
      <c r="N135" t="inlineStr">
        <is>
          <t>K</t>
        </is>
      </c>
      <c r="O135" t="inlineStr">
        <is>
          <t>20230717</t>
        </is>
      </c>
      <c r="P135" t="inlineStr">
        <is>
          <t>Jawa Tengah</t>
        </is>
      </c>
      <c r="Q135" s="3">
        <f>HYPERLINK("https://wa.me/6287711572550?text=*[PENGINGAT MASA BERLAKU SBU MANUNGGAL I]*%0A%0AYth. Pimpinan MANUNGGAL I,%0AMohon izin menginformasikan status SBU Anda di sistem LPJK:%0A%0A📄 SBU: BS004%0A📅 Expired: 20 Juli 2026 (60 Hari Lagi)%0A%0AKami tim PT. ESDEA Assistance Management siap men-support proses perpanjangan segera.", "Hubungi")</f>
        <v/>
      </c>
    </row>
    <row r="136">
      <c r="A136" t="inlineStr">
        <is>
          <t>MARKINDO MITRA SUKSES</t>
        </is>
      </c>
      <c r="B136" t="inlineStr">
        <is>
          <t>Kota Adm. Jakarta Barat</t>
        </is>
      </c>
      <c r="C136" t="inlineStr">
        <is>
          <t>02158907445</t>
        </is>
      </c>
      <c r="D136" t="inlineStr">
        <is>
          <t>markindomitrasukses@gmail.com</t>
        </is>
      </c>
      <c r="E136" t="inlineStr">
        <is>
          <t>https://lpjk.pu.go.id/search-badan-usaha-detail/YVE0cXhXM1VnaGcrZUl0VXZPa0VhZz09</t>
        </is>
      </c>
      <c r="F136" t="n">
        <v>1</v>
      </c>
      <c r="G136" t="inlineStr">
        <is>
          <t>BG001</t>
        </is>
      </c>
      <c r="H136" t="inlineStr">
        <is>
          <t>31 Januari 1997</t>
        </is>
      </c>
      <c r="I136" s="2" t="n">
        <v>46223</v>
      </c>
      <c r="J136" t="inlineStr">
        <is>
          <t>Pencabutan</t>
        </is>
      </c>
      <c r="K136" t="n">
        <v>60</v>
      </c>
      <c r="L136" t="inlineStr">
        <is>
          <t>20 Juli 2026</t>
        </is>
      </c>
      <c r="M136" t="inlineStr">
        <is>
          <t>Konstruksi Gedung Hunian</t>
        </is>
      </c>
      <c r="N136" t="inlineStr">
        <is>
          <t>K</t>
        </is>
      </c>
      <c r="O136" t="inlineStr">
        <is>
          <t>20230710</t>
        </is>
      </c>
      <c r="P136" t="inlineStr">
        <is>
          <t>DKI Jakarta</t>
        </is>
      </c>
      <c r="Q136" s="3">
        <f>HYPERLINK("https://wa.me/622158907445?text=*[PENGINGAT MASA BERLAKU SBU MARKINDO MITRA SUKSES]*%0A%0AYth. Pimpinan MARKINDO MITRA SUKSES,%0AMohon izin menginformasikan status SBU Anda di sistem LPJK:%0A%0A📄 SBU: BG001%0A📅 Expired: 20 Juli 2026 (60 Hari Lagi)%0A%0AKami tim PT. ESDEA Assistance Management siap men-support proses perpanjangan segera.", "Hubungi")</f>
        <v/>
      </c>
    </row>
    <row r="137">
      <c r="A137" t="inlineStr">
        <is>
          <t>MARTHA KUSUMA</t>
        </is>
      </c>
      <c r="B137" t="inlineStr">
        <is>
          <t>Kab. Gresik</t>
        </is>
      </c>
      <c r="C137" t="inlineStr">
        <is>
          <t>081234612234</t>
        </is>
      </c>
      <c r="D137" t="inlineStr">
        <is>
          <t>cv.marthakusuma@gmail.com</t>
        </is>
      </c>
      <c r="E137" t="inlineStr">
        <is>
          <t>https://lpjk.pu.go.id/search-badan-usaha-detail/WTRtNDdiaG80UGdZbmFydWpldXV3Zz09</t>
        </is>
      </c>
      <c r="F137" t="n">
        <v>1</v>
      </c>
      <c r="G137" t="inlineStr">
        <is>
          <t>BG001</t>
        </is>
      </c>
      <c r="H137" t="inlineStr">
        <is>
          <t>14 Desember 2017</t>
        </is>
      </c>
      <c r="I137" s="2" t="n">
        <v>46223</v>
      </c>
      <c r="J137" t="inlineStr">
        <is>
          <t>Disetujui</t>
        </is>
      </c>
      <c r="K137" t="n">
        <v>60</v>
      </c>
      <c r="L137" t="inlineStr">
        <is>
          <t>20 Juli 2026</t>
        </is>
      </c>
      <c r="M137" t="inlineStr">
        <is>
          <t>Konstruksi Gedung Hunian</t>
        </is>
      </c>
      <c r="N137" t="inlineStr">
        <is>
          <t>K</t>
        </is>
      </c>
      <c r="O137" t="inlineStr">
        <is>
          <t>20230718</t>
        </is>
      </c>
      <c r="P137" t="inlineStr">
        <is>
          <t>Jawa Timur</t>
        </is>
      </c>
      <c r="Q137" s="3">
        <f>HYPERLINK("https://wa.me/6281234612234?text=*[PENGINGAT MASA BERLAKU SBU MARTHA KUSUMA]*%0A%0AYth. Pimpinan MARTHA KUSUMA,%0AMohon izin menginformasikan status SBU Anda di sistem LPJK:%0A%0A📄 SBU: BG001%0A📅 Expired: 20 Juli 2026 (60 Hari Lagi)%0A%0AKami tim PT. ESDEA Assistance Management siap men-support proses perpanjangan segera.", "Hubungi")</f>
        <v/>
      </c>
    </row>
    <row r="138">
      <c r="A138" t="inlineStr">
        <is>
          <t>MARWAH JAYA</t>
        </is>
      </c>
      <c r="B138" t="inlineStr">
        <is>
          <t>Kab. Sikka</t>
        </is>
      </c>
      <c r="C138" t="inlineStr">
        <is>
          <t>082237423666</t>
        </is>
      </c>
      <c r="D138" t="inlineStr">
        <is>
          <t>cv.marwah.jaya@gmail.com</t>
        </is>
      </c>
      <c r="E138" t="inlineStr">
        <is>
          <t>https://lpjk.pu.go.id/search-badan-usaha-detail/RkgxT093eVBXNDl3WXJGdkZhUXhFUT09</t>
        </is>
      </c>
      <c r="F138" t="n">
        <v>1</v>
      </c>
      <c r="G138" t="inlineStr">
        <is>
          <t>BG009</t>
        </is>
      </c>
      <c r="H138" t="inlineStr">
        <is>
          <t>24 November 2017</t>
        </is>
      </c>
      <c r="I138" s="2" t="n">
        <v>46223</v>
      </c>
      <c r="J138" t="inlineStr">
        <is>
          <t>Disetujui</t>
        </is>
      </c>
      <c r="K138" t="n">
        <v>60</v>
      </c>
      <c r="L138" t="inlineStr">
        <is>
          <t>20 Juli 2026</t>
        </is>
      </c>
      <c r="M138" t="inlineStr">
        <is>
          <t>Konstruksi Gedung Lainnya</t>
        </is>
      </c>
      <c r="N138" t="inlineStr">
        <is>
          <t>K</t>
        </is>
      </c>
      <c r="O138" t="inlineStr">
        <is>
          <t>20230714</t>
        </is>
      </c>
      <c r="P138" t="inlineStr">
        <is>
          <t>Nusa Tenggara Timur</t>
        </is>
      </c>
      <c r="Q138" s="3">
        <f>HYPERLINK("https://wa.me/6282237423666?text=*[PENGINGAT MASA BERLAKU SBU MARWAH JAYA]*%0A%0AYth. Pimpinan MARWAH JAYA,%0AMohon izin menginformasikan status SBU Anda di sistem LPJK:%0A%0A📄 SBU: BG009%0A📅 Expired: 20 Juli 2026 (60 Hari Lagi)%0A%0AKami tim PT. ESDEA Assistance Management siap men-support proses perpanjangan segera.", "Hubungi")</f>
        <v/>
      </c>
    </row>
    <row r="139">
      <c r="A139" t="inlineStr">
        <is>
          <t>MAULIDA JAYA</t>
        </is>
      </c>
      <c r="B139" t="inlineStr">
        <is>
          <t>Kota Surabaya</t>
        </is>
      </c>
      <c r="C139" t="inlineStr">
        <is>
          <t>082233939897</t>
        </is>
      </c>
      <c r="D139" t="inlineStr">
        <is>
          <t>maulidajaya.cont@gmail.com</t>
        </is>
      </c>
      <c r="E139" t="inlineStr">
        <is>
          <t>https://lpjk.pu.go.id/search-badan-usaha-detail/T3oxK2RrSnJWU1M1SkdCMzRhclhUZz09</t>
        </is>
      </c>
      <c r="F139" t="n">
        <v>1</v>
      </c>
      <c r="G139" t="inlineStr">
        <is>
          <t>BS001</t>
        </is>
      </c>
      <c r="H139" t="inlineStr">
        <is>
          <t>3 Mei 2013</t>
        </is>
      </c>
      <c r="I139" s="2" t="n">
        <v>46223</v>
      </c>
      <c r="J139" t="inlineStr">
        <is>
          <t>Disetujui</t>
        </is>
      </c>
      <c r="K139" t="n">
        <v>60</v>
      </c>
      <c r="L139" t="inlineStr">
        <is>
          <t>20 Juli 2026</t>
        </is>
      </c>
      <c r="M139" t="inlineStr">
        <is>
          <t>Konstruksi Bangunan Sipil Jalan</t>
        </is>
      </c>
      <c r="N139" t="inlineStr">
        <is>
          <t>K</t>
        </is>
      </c>
      <c r="O139" t="inlineStr">
        <is>
          <t>20230714</t>
        </is>
      </c>
      <c r="P139" t="inlineStr">
        <is>
          <t>Jawa Timur</t>
        </is>
      </c>
      <c r="Q139" s="3">
        <f>HYPERLINK("https://wa.me/6282233939897?text=*[PENGINGAT MASA BERLAKU SBU MAULIDA JAYA]*%0A%0AYth. Pimpinan MAULIDA JAYA,%0AMohon izin menginformasikan status SBU Anda di sistem LPJK:%0A%0A📄 SBU: BS001%0A📅 Expired: 20 Juli 2026 (60 Hari Lagi)%0A%0AKami tim PT. ESDEA Assistance Management siap men-support proses perpanjangan segera.", "Hubungi")</f>
        <v/>
      </c>
    </row>
    <row r="140">
      <c r="A140" t="inlineStr">
        <is>
          <t>MAYA GROUP</t>
        </is>
      </c>
      <c r="B140" t="inlineStr">
        <is>
          <t>Kab. Pasaman Barat</t>
        </is>
      </c>
      <c r="C140" t="inlineStr">
        <is>
          <t>081270379540</t>
        </is>
      </c>
      <c r="D140" t="inlineStr">
        <is>
          <t>rahmanmayagroup@gmail.com</t>
        </is>
      </c>
      <c r="E140" t="inlineStr">
        <is>
          <t>https://lpjk.pu.go.id/search-badan-usaha-detail/UE5KZ2ZmU2pBNlh4TVcwR0lKdnVndz09</t>
        </is>
      </c>
      <c r="F140" t="n">
        <v>1</v>
      </c>
      <c r="G140" t="inlineStr">
        <is>
          <t>BS004</t>
        </is>
      </c>
      <c r="H140" t="inlineStr">
        <is>
          <t>23 Mei 2013</t>
        </is>
      </c>
      <c r="I140" s="2" t="n">
        <v>46223</v>
      </c>
      <c r="J140" t="inlineStr">
        <is>
          <t>Disetujui</t>
        </is>
      </c>
      <c r="K140" t="n">
        <v>60</v>
      </c>
      <c r="L140" t="inlineStr">
        <is>
          <t>20 Juli 2026</t>
        </is>
      </c>
      <c r="M140" t="inlineStr">
        <is>
          <t>Konstruksi Jaringan Irigasi dan Drainase</t>
        </is>
      </c>
      <c r="N140" t="inlineStr">
        <is>
          <t>K</t>
        </is>
      </c>
      <c r="O140" t="inlineStr">
        <is>
          <t>20230718</t>
        </is>
      </c>
      <c r="P140" t="inlineStr">
        <is>
          <t>Sumatera Barat</t>
        </is>
      </c>
      <c r="Q140" s="3">
        <f>HYPERLINK("https://wa.me/6281270379540?text=*[PENGINGAT MASA BERLAKU SBU MAYA GROUP]*%0A%0AYth. Pimpinan MAYA GROUP,%0AMohon izin menginformasikan status SBU Anda di sistem LPJK:%0A%0A📄 SBU: BS004%0A📅 Expired: 20 Juli 2026 (60 Hari Lagi)%0A%0AKami tim PT. ESDEA Assistance Management siap men-support proses perpanjangan segera.", "Hubungi")</f>
        <v/>
      </c>
    </row>
    <row r="141">
      <c r="A141" t="inlineStr">
        <is>
          <t>MEGA WAHANA</t>
        </is>
      </c>
      <c r="B141" t="inlineStr">
        <is>
          <t>Kota Tanjung Pinang</t>
        </is>
      </c>
      <c r="C141" t="inlineStr">
        <is>
          <t>081270778888</t>
        </is>
      </c>
      <c r="D141" t="inlineStr">
        <is>
          <t>megawahana.cv@gmail.com</t>
        </is>
      </c>
      <c r="E141" t="inlineStr">
        <is>
          <t>https://lpjk.pu.go.id/search-badan-usaha-detail/U1pBYU9sUysweUJOYXdjUjh5ajJkdz09</t>
        </is>
      </c>
      <c r="F141" t="n">
        <v>1</v>
      </c>
      <c r="G141" t="inlineStr">
        <is>
          <t>BS001</t>
        </is>
      </c>
      <c r="H141" t="inlineStr">
        <is>
          <t>30 Desember 2005</t>
        </is>
      </c>
      <c r="I141" s="2" t="n">
        <v>46223</v>
      </c>
      <c r="J141" t="inlineStr">
        <is>
          <t>Disetujui</t>
        </is>
      </c>
      <c r="K141" t="n">
        <v>60</v>
      </c>
      <c r="L141" t="inlineStr">
        <is>
          <t>20 Juli 2026</t>
        </is>
      </c>
      <c r="M141" t="inlineStr">
        <is>
          <t>Konstruksi Bangunan Sipil Jalan</t>
        </is>
      </c>
      <c r="N141" t="inlineStr">
        <is>
          <t>K</t>
        </is>
      </c>
      <c r="O141" t="inlineStr">
        <is>
          <t>20230714</t>
        </is>
      </c>
      <c r="P141" t="inlineStr">
        <is>
          <t>Kepulauan Riau</t>
        </is>
      </c>
      <c r="Q141" s="3">
        <f>HYPERLINK("https://wa.me/6281270778888?text=*[PENGINGAT MASA BERLAKU SBU MEGA WAHANA]*%0A%0AYth. Pimpinan MEGA WAHANA,%0AMohon izin menginformasikan status SBU Anda di sistem LPJK:%0A%0A📄 SBU: BS001%0A📅 Expired: 20 Juli 2026 (60 Hari Lagi)%0A%0AKami tim PT. ESDEA Assistance Management siap men-support proses perpanjangan segera.", "Hubungi")</f>
        <v/>
      </c>
    </row>
    <row r="142">
      <c r="A142" t="inlineStr">
        <is>
          <t>METRIK ARSIPLAN INDONESIA</t>
        </is>
      </c>
      <c r="B142" t="inlineStr">
        <is>
          <t>Kota Bandung</t>
        </is>
      </c>
      <c r="C142" t="inlineStr">
        <is>
          <t>08112454888</t>
        </is>
      </c>
      <c r="D142" t="inlineStr">
        <is>
          <t>metrikarsiplan.indo@gmail.com</t>
        </is>
      </c>
      <c r="E142" t="inlineStr">
        <is>
          <t>https://lpjk.pu.go.id/search-badan-usaha-detail/aWVucHBYVkNIL0xCRFViMmtvdkorZz09</t>
        </is>
      </c>
      <c r="F142" t="n">
        <v>1</v>
      </c>
      <c r="G142" t="inlineStr">
        <is>
          <t>RK002</t>
        </is>
      </c>
      <c r="H142" t="inlineStr">
        <is>
          <t>15 Desember 2020</t>
        </is>
      </c>
      <c r="I142" s="2" t="n">
        <v>46223</v>
      </c>
      <c r="J142" t="inlineStr">
        <is>
          <t>Pencabutan</t>
        </is>
      </c>
      <c r="K142" t="n">
        <v>60</v>
      </c>
      <c r="L142" t="inlineStr">
        <is>
          <t>20 Juli 2026</t>
        </is>
      </c>
      <c r="M142" t="inlineStr">
        <is>
          <t>Jasa Rekayasa Pekerjaan Teknik Sipil Sumber Daya Air</t>
        </is>
      </c>
      <c r="N142" t="inlineStr">
        <is>
          <t>K</t>
        </is>
      </c>
      <c r="O142" t="inlineStr">
        <is>
          <t>20230706</t>
        </is>
      </c>
      <c r="P142" t="inlineStr">
        <is>
          <t>Jawa Barat</t>
        </is>
      </c>
      <c r="Q142" s="3">
        <f>HYPERLINK("https://wa.me/628112454888?text=*[PENGINGAT MASA BERLAKU SBU METRIK ARSIPLAN INDONESIA]*%0A%0AYth. Pimpinan METRIK ARSIPLAN INDONESIA,%0AMohon izin menginformasikan status SBU Anda di sistem LPJK:%0A%0A📄 SBU: RK002%0A📅 Expired: 20 Juli 2026 (60 Hari Lagi)%0A%0AKami tim PT. ESDEA Assistance Management siap men-support proses perpanjangan segera.", "Hubungi")</f>
        <v/>
      </c>
    </row>
    <row r="143">
      <c r="A143" t="inlineStr">
        <is>
          <t>MITRA ADIL</t>
        </is>
      </c>
      <c r="B143" t="inlineStr">
        <is>
          <t>Kab. Pemalang</t>
        </is>
      </c>
      <c r="C143" t="inlineStr">
        <is>
          <t>082326610004</t>
        </is>
      </c>
      <c r="D143" t="inlineStr">
        <is>
          <t>ossmitraadil@gmail.com</t>
        </is>
      </c>
      <c r="E143" t="inlineStr">
        <is>
          <t>https://lpjk.pu.go.id/search-badan-usaha-detail/U3dqNVoraTRaSUdBclRKUUVyUW9ndz09</t>
        </is>
      </c>
      <c r="F143" t="n">
        <v>1</v>
      </c>
      <c r="G143" t="inlineStr">
        <is>
          <t>BG006</t>
        </is>
      </c>
      <c r="H143" t="inlineStr">
        <is>
          <t>16 Oktober 2003</t>
        </is>
      </c>
      <c r="I143" s="2" t="n">
        <v>46223</v>
      </c>
      <c r="J143" t="inlineStr">
        <is>
          <t>Pencabutan</t>
        </is>
      </c>
      <c r="K143" t="n">
        <v>60</v>
      </c>
      <c r="L143" t="inlineStr">
        <is>
          <t>20 Juli 2026</t>
        </is>
      </c>
      <c r="M143" t="inlineStr">
        <is>
          <t>Konstruksi Gedung Pendidikan</t>
        </is>
      </c>
      <c r="N143" t="inlineStr">
        <is>
          <t>K</t>
        </is>
      </c>
      <c r="O143" t="inlineStr">
        <is>
          <t>20230719</t>
        </is>
      </c>
      <c r="P143" t="inlineStr">
        <is>
          <t>Jawa Tengah</t>
        </is>
      </c>
      <c r="Q143" s="3">
        <f>HYPERLINK("https://wa.me/6282326610004?text=*[PENGINGAT MASA BERLAKU SBU MITRA ADIL]*%0A%0AYth. Pimpinan MITRA ADIL,%0AMohon izin menginformasikan status SBU Anda di sistem LPJK:%0A%0A📄 SBU: BG006%0A📅 Expired: 20 Juli 2026 (60 Hari Lagi)%0A%0AKami tim PT. ESDEA Assistance Management siap men-support proses perpanjangan segera.", "Hubungi")</f>
        <v/>
      </c>
    </row>
    <row r="144">
      <c r="A144" t="inlineStr">
        <is>
          <t>MITRA DWI UTAMA</t>
        </is>
      </c>
      <c r="B144" t="inlineStr">
        <is>
          <t>Kab. Gresik</t>
        </is>
      </c>
      <c r="C144" t="inlineStr">
        <is>
          <t>081217810765</t>
        </is>
      </c>
      <c r="D144" t="inlineStr">
        <is>
          <t>kanjawi@yahoo.co.id</t>
        </is>
      </c>
      <c r="E144" t="inlineStr">
        <is>
          <t>https://lpjk.pu.go.id/search-badan-usaha-detail/UnM5Z0ZKOGM4TCtrVVVtcE9oTlVRZz09</t>
        </is>
      </c>
      <c r="F144" t="n">
        <v>3</v>
      </c>
      <c r="G144" t="inlineStr">
        <is>
          <t>BG005, BG006, BG009</t>
        </is>
      </c>
      <c r="H144" t="inlineStr">
        <is>
          <t>22 Desember 2011</t>
        </is>
      </c>
      <c r="I144" s="2" t="n">
        <v>46223</v>
      </c>
      <c r="J144" t="inlineStr">
        <is>
          <t>Disetujui</t>
        </is>
      </c>
      <c r="K144" t="n">
        <v>60</v>
      </c>
      <c r="L144" t="inlineStr">
        <is>
          <t>20 Juli 2026</t>
        </is>
      </c>
      <c r="M144" t="inlineStr">
        <is>
          <t>Konstruksi Gedung Kesehatan, Konstruksi Gedung Lainnya, Konstruksi Gedung Pendidikan</t>
        </is>
      </c>
      <c r="N144" t="inlineStr">
        <is>
          <t>K</t>
        </is>
      </c>
      <c r="O144" t="inlineStr">
        <is>
          <t>20230621, 20230623</t>
        </is>
      </c>
      <c r="P144" t="inlineStr">
        <is>
          <t>Jawa Timur</t>
        </is>
      </c>
      <c r="Q144" s="3">
        <f>HYPERLINK("https://wa.me/6281217810765?text=*[PENGINGAT MASA BERLAKU SBU MITRA DWI UTAMA]*%0A%0AYth. Pimpinan MITRA DWI UTAMA,%0AMohon izin menginformasikan status SBU Anda di sistem LPJK:%0A%0A📄 SBU: BG005, BG006, BG009%0A📅 Expired: 20 Juli 2026 (60 Hari Lagi)%0A%0AKami tim PT. ESDEA Assistance Management siap men-support proses perpanjangan segera.", "Hubungi")</f>
        <v/>
      </c>
    </row>
    <row r="145">
      <c r="A145" t="inlineStr">
        <is>
          <t>MITRA ENGINEERING GRUP</t>
        </is>
      </c>
      <c r="B145" t="inlineStr">
        <is>
          <t>Kota Medan</t>
        </is>
      </c>
      <c r="C145" t="inlineStr">
        <is>
          <t>08116545245</t>
        </is>
      </c>
      <c r="D145" t="inlineStr">
        <is>
          <t>ptmitraengineeringgrup2022@gmail.com</t>
        </is>
      </c>
      <c r="E145" t="inlineStr">
        <is>
          <t>https://lpjk.pu.go.id/search-badan-usaha-detail/TXpxNFNQQ3RrZUpIWCtuNGpRbDl1QT09</t>
        </is>
      </c>
      <c r="F145" t="n">
        <v>1</v>
      </c>
      <c r="G145" t="inlineStr">
        <is>
          <t>BS002</t>
        </is>
      </c>
      <c r="H145" t="inlineStr">
        <is>
          <t>27 April 2004</t>
        </is>
      </c>
      <c r="I145" s="2" t="n">
        <v>46223</v>
      </c>
      <c r="J145" t="inlineStr">
        <is>
          <t>Disetujui</t>
        </is>
      </c>
      <c r="K145" t="n">
        <v>60</v>
      </c>
      <c r="L145" t="inlineStr">
        <is>
          <t>20 Juli 2026</t>
        </is>
      </c>
      <c r="M145" t="inlineStr">
        <is>
          <t>Bangunan Sipil Jembatan, Jalan Layang, Fly Over, dan Underpass</t>
        </is>
      </c>
      <c r="N145" t="inlineStr">
        <is>
          <t>B</t>
        </is>
      </c>
      <c r="O145" t="inlineStr">
        <is>
          <t>20230704</t>
        </is>
      </c>
      <c r="P145" t="inlineStr">
        <is>
          <t>Sumatera Utara</t>
        </is>
      </c>
      <c r="Q145" s="3">
        <f>HYPERLINK("https://wa.me/628116545245?text=*[PENGINGAT MASA BERLAKU SBU MITRA ENGINEERING GRUP]*%0A%0AYth. Pimpinan MITRA ENGINEERING GRUP,%0AMohon izin menginformasikan status SBU Anda di sistem LPJK:%0A%0A📄 SBU: BS002%0A📅 Expired: 20 Juli 2026 (60 Hari Lagi)%0A%0AKami tim PT. ESDEA Assistance Management siap men-support proses perpanjangan segera.", "Hubungi")</f>
        <v/>
      </c>
    </row>
    <row r="146">
      <c r="A146" t="inlineStr">
        <is>
          <t>MITRA MEDIA GEMILANG</t>
        </is>
      </c>
      <c r="B146" t="inlineStr">
        <is>
          <t>Kab. Malang</t>
        </is>
      </c>
      <c r="C146" t="inlineStr">
        <is>
          <t>081259607451</t>
        </is>
      </c>
      <c r="D146" t="inlineStr">
        <is>
          <t>mitramg12@gmail.com</t>
        </is>
      </c>
      <c r="E146" t="inlineStr">
        <is>
          <t>https://lpjk.pu.go.id/search-badan-usaha-detail/czhXS2VxaGVzUmN0WEx6NkFSdU12QT09</t>
        </is>
      </c>
      <c r="F146" t="n">
        <v>1</v>
      </c>
      <c r="G146" t="inlineStr">
        <is>
          <t>BG002</t>
        </is>
      </c>
      <c r="H146" t="inlineStr">
        <is>
          <t>24 November 2009</t>
        </is>
      </c>
      <c r="I146" s="2" t="n">
        <v>46223</v>
      </c>
      <c r="J146" t="inlineStr">
        <is>
          <t>Pencabutan</t>
        </is>
      </c>
      <c r="K146" t="n">
        <v>60</v>
      </c>
      <c r="L146" t="inlineStr">
        <is>
          <t>20 Juli 2026</t>
        </is>
      </c>
      <c r="M146" t="inlineStr">
        <is>
          <t>Konstruksi Gedung Perkantoran</t>
        </is>
      </c>
      <c r="N146" t="inlineStr">
        <is>
          <t>K</t>
        </is>
      </c>
      <c r="O146" t="inlineStr">
        <is>
          <t>20230707</t>
        </is>
      </c>
      <c r="P146" t="inlineStr">
        <is>
          <t>Jawa Timur</t>
        </is>
      </c>
      <c r="Q146" s="3">
        <f>HYPERLINK("https://wa.me/6281259607451?text=*[PENGINGAT MASA BERLAKU SBU MITRA MEDIA GEMILANG]*%0A%0AYth. Pimpinan MITRA MEDIA GEMILANG,%0AMohon izin menginformasikan status SBU Anda di sistem LPJK:%0A%0A📄 SBU: BG002%0A📅 Expired: 20 Juli 2026 (60 Hari Lagi)%0A%0AKami tim PT. ESDEA Assistance Management siap men-support proses perpanjangan segera.", "Hubungi")</f>
        <v/>
      </c>
    </row>
    <row r="147">
      <c r="A147" t="inlineStr">
        <is>
          <t>MITRA SELARAS</t>
        </is>
      </c>
      <c r="B147" t="inlineStr">
        <is>
          <t>Kota Kendari</t>
        </is>
      </c>
      <c r="C147" t="inlineStr">
        <is>
          <t>081245900751</t>
        </is>
      </c>
      <c r="D147" t="inlineStr">
        <is>
          <t>fransduppa2019@gmail.com</t>
        </is>
      </c>
      <c r="E147" t="inlineStr">
        <is>
          <t>https://lpjk.pu.go.id/search-badan-usaha-detail/c3VVTlpUdVhQelVQK1dnZ1QzSUE5QT09</t>
        </is>
      </c>
      <c r="F147" t="n">
        <v>3</v>
      </c>
      <c r="G147" t="inlineStr">
        <is>
          <t>BG002, BG006, BS004</t>
        </is>
      </c>
      <c r="H147" t="inlineStr">
        <is>
          <t>26 Januari 2011</t>
        </is>
      </c>
      <c r="I147" s="2" t="n">
        <v>46223</v>
      </c>
      <c r="J147" t="inlineStr">
        <is>
          <t>Disetujui</t>
        </is>
      </c>
      <c r="K147" t="n">
        <v>60</v>
      </c>
      <c r="L147" t="inlineStr">
        <is>
          <t>20 Juli 2026</t>
        </is>
      </c>
      <c r="M147" t="inlineStr">
        <is>
          <t>Konstruksi Gedung Pendidikan, Konstruksi Gedung Perkantoran, Konstruksi Jaringan Irigasi dan Drainase</t>
        </is>
      </c>
      <c r="N147" t="inlineStr">
        <is>
          <t>K</t>
        </is>
      </c>
      <c r="O147" t="inlineStr">
        <is>
          <t>20230717, 20230718</t>
        </is>
      </c>
      <c r="P147" t="inlineStr">
        <is>
          <t>Sulawesi Tenggara</t>
        </is>
      </c>
      <c r="Q147" s="3">
        <f>HYPERLINK("https://wa.me/6281245900751?text=*[PENGINGAT MASA BERLAKU SBU MITRA SELARAS]*%0A%0AYth. Pimpinan MITRA SELARAS,%0AMohon izin menginformasikan status SBU Anda di sistem LPJK:%0A%0A📄 SBU: BG002, BG006, BS004%0A📅 Expired: 20 Juli 2026 (60 Hari Lagi)%0A%0AKami tim PT. ESDEA Assistance Management siap men-support proses perpanjangan segera.", "Hubungi")</f>
        <v/>
      </c>
    </row>
    <row r="148">
      <c r="A148" t="inlineStr">
        <is>
          <t>MITRA USAHA JAYA</t>
        </is>
      </c>
      <c r="B148" t="inlineStr">
        <is>
          <t>Kab. Kapuas Hulu</t>
        </is>
      </c>
      <c r="C148" t="inlineStr">
        <is>
          <t>081352188236</t>
        </is>
      </c>
      <c r="D148" t="inlineStr">
        <is>
          <t>mitrausahajaya.cv73@gmail.com</t>
        </is>
      </c>
      <c r="E148" t="inlineStr">
        <is>
          <t>https://lpjk.pu.go.id/search-badan-usaha-detail/N1Jib3VBRXlvdG8vSnNIWlp4NEcvUT09</t>
        </is>
      </c>
      <c r="F148" t="n">
        <v>1</v>
      </c>
      <c r="G148" t="inlineStr">
        <is>
          <t>BS002</t>
        </is>
      </c>
      <c r="H148" t="inlineStr">
        <is>
          <t>14 Mei 2004</t>
        </is>
      </c>
      <c r="I148" s="2" t="n">
        <v>46223</v>
      </c>
      <c r="J148" t="inlineStr">
        <is>
          <t>Disetujui</t>
        </is>
      </c>
      <c r="K148" t="n">
        <v>60</v>
      </c>
      <c r="L148" t="inlineStr">
        <is>
          <t>20 Juli 2026</t>
        </is>
      </c>
      <c r="M148" t="inlineStr">
        <is>
          <t>Bangunan Sipil Jembatan, Jalan Layang, Fly Over, dan Underpass</t>
        </is>
      </c>
      <c r="N148" t="inlineStr">
        <is>
          <t>K</t>
        </is>
      </c>
      <c r="O148" t="inlineStr">
        <is>
          <t>20230711</t>
        </is>
      </c>
      <c r="P148" t="inlineStr">
        <is>
          <t>Kalimantan Barat</t>
        </is>
      </c>
      <c r="Q148" s="3">
        <f>HYPERLINK("https://wa.me/6281352188236?text=*[PENGINGAT MASA BERLAKU SBU MITRA USAHA JAYA]*%0A%0AYth. Pimpinan MITRA USAHA JAYA,%0AMohon izin menginformasikan status SBU Anda di sistem LPJK:%0A%0A📄 SBU: BS002%0A📅 Expired: 20 Juli 2026 (60 Hari Lagi)%0A%0AKami tim PT. ESDEA Assistance Management siap men-support proses perpanjangan segera.", "Hubungi")</f>
        <v/>
      </c>
    </row>
    <row r="149">
      <c r="A149" t="inlineStr">
        <is>
          <t>MUARA KEMUANG RAYA</t>
        </is>
      </c>
      <c r="B149" t="inlineStr">
        <is>
          <t>Kab. Sekadau</t>
        </is>
      </c>
      <c r="C149" t="inlineStr">
        <is>
          <t>081256989945</t>
        </is>
      </c>
      <c r="D149" t="inlineStr">
        <is>
          <t>cv.muarakemuangraya@gmail.com</t>
        </is>
      </c>
      <c r="E149" t="inlineStr">
        <is>
          <t>https://lpjk.pu.go.id/search-badan-usaha-detail/Q24rRHdVM080RGxKdlJwd0kxeVF1Zz09</t>
        </is>
      </c>
      <c r="F149" t="n">
        <v>2</v>
      </c>
      <c r="G149" t="inlineStr">
        <is>
          <t>BG005, BG006</t>
        </is>
      </c>
      <c r="H149" t="inlineStr">
        <is>
          <t>3 Juni 2022</t>
        </is>
      </c>
      <c r="I149" s="2" t="n">
        <v>46223</v>
      </c>
      <c r="J149" t="inlineStr">
        <is>
          <t>Disetujui</t>
        </is>
      </c>
      <c r="K149" t="n">
        <v>60</v>
      </c>
      <c r="L149" t="inlineStr">
        <is>
          <t>20 Juli 2026</t>
        </is>
      </c>
      <c r="M149" t="inlineStr">
        <is>
          <t>Konstruksi Gedung Kesehatan, Konstruksi Gedung Pendidikan</t>
        </is>
      </c>
      <c r="N149" t="inlineStr">
        <is>
          <t>K</t>
        </is>
      </c>
      <c r="O149" t="inlineStr">
        <is>
          <t>20230718</t>
        </is>
      </c>
      <c r="P149" t="inlineStr">
        <is>
          <t>Kalimantan Barat</t>
        </is>
      </c>
      <c r="Q149" s="3">
        <f>HYPERLINK("https://wa.me/6281256989945?text=*[PENGINGAT MASA BERLAKU SBU MUARA KEMUANG RAYA]*%0A%0AYth. Pimpinan MUARA KEMUANG RAYA,%0AMohon izin menginformasikan status SBU Anda di sistem LPJK:%0A%0A📄 SBU: BG005, BG006%0A📅 Expired: 20 Juli 2026 (60 Hari Lagi)%0A%0AKami tim PT. ESDEA Assistance Management siap men-support proses perpanjangan segera.", "Hubungi")</f>
        <v/>
      </c>
    </row>
    <row r="150">
      <c r="A150" t="inlineStr">
        <is>
          <t>MULTI ERAGUNA USAHA</t>
        </is>
      </c>
      <c r="B150" t="inlineStr">
        <is>
          <t>Kab. Tangerang</t>
        </is>
      </c>
      <c r="C150" t="inlineStr">
        <is>
          <t>02159304329</t>
        </is>
      </c>
      <c r="D150" t="inlineStr">
        <is>
          <t>multieraguna_usaha@yahoo.co.id</t>
        </is>
      </c>
      <c r="E150" t="inlineStr">
        <is>
          <t>https://lpjk.pu.go.id/search-badan-usaha-detail/TVY3L2ZCa3NPaGpiWU9GRGkvZVB4Zz09</t>
        </is>
      </c>
      <c r="F150" t="n">
        <v>2</v>
      </c>
      <c r="G150" t="inlineStr">
        <is>
          <t>BG002</t>
        </is>
      </c>
      <c r="H150" t="inlineStr">
        <is>
          <t>3 Mei 1989</t>
        </is>
      </c>
      <c r="I150" s="2" t="n">
        <v>46223</v>
      </c>
      <c r="J150" t="inlineStr">
        <is>
          <t>Pencabutan</t>
        </is>
      </c>
      <c r="K150" t="n">
        <v>60</v>
      </c>
      <c r="L150" t="inlineStr">
        <is>
          <t>20 Juli 2026</t>
        </is>
      </c>
      <c r="M150" t="inlineStr">
        <is>
          <t>Konstruksi Gedung Perkantoran</t>
        </is>
      </c>
      <c r="N150" t="inlineStr">
        <is>
          <t>M</t>
        </is>
      </c>
      <c r="O150" t="inlineStr">
        <is>
          <t>20230608</t>
        </is>
      </c>
      <c r="P150" t="inlineStr">
        <is>
          <t>Banten</t>
        </is>
      </c>
      <c r="Q150" s="3">
        <f>HYPERLINK("https://wa.me/622159304329?text=*[PENGINGAT MASA BERLAKU SBU MULTI ERAGUNA USAHA]*%0A%0AYth. Pimpinan MULTI ERAGUNA USAHA,%0AMohon izin menginformasikan status SBU Anda di sistem LPJK:%0A%0A📄 SBU: BG002%0A📅 Expired: 20 Juli 2026 (60 Hari Lagi)%0A%0AKami tim PT. ESDEA Assistance Management siap men-support proses perpanjangan segera.", "Hubungi")</f>
        <v/>
      </c>
    </row>
    <row r="151">
      <c r="A151" t="inlineStr">
        <is>
          <t>MULTI TALENTA</t>
        </is>
      </c>
      <c r="B151" t="inlineStr">
        <is>
          <t>Kab. Manggarai Barat</t>
        </is>
      </c>
      <c r="C151" t="inlineStr">
        <is>
          <t>081238166459</t>
        </is>
      </c>
      <c r="D151" t="inlineStr">
        <is>
          <t>yustinusterang@gmail.com</t>
        </is>
      </c>
      <c r="E151" t="inlineStr">
        <is>
          <t>https://lpjk.pu.go.id/search-badan-usaha-detail/Tmo5U21NK3hhRmRFd0EvQmZhUWM0dz09</t>
        </is>
      </c>
      <c r="F151" t="n">
        <v>1</v>
      </c>
      <c r="G151" t="inlineStr">
        <is>
          <t>BG009</t>
        </is>
      </c>
      <c r="H151" t="inlineStr">
        <is>
          <t>30 Januari 2013</t>
        </is>
      </c>
      <c r="I151" s="2" t="n">
        <v>46223</v>
      </c>
      <c r="J151" t="inlineStr">
        <is>
          <t>Disetujui</t>
        </is>
      </c>
      <c r="K151" t="n">
        <v>60</v>
      </c>
      <c r="L151" t="inlineStr">
        <is>
          <t>20 Juli 2026</t>
        </is>
      </c>
      <c r="M151" t="inlineStr">
        <is>
          <t>Konstruksi Gedung Lainnya</t>
        </is>
      </c>
      <c r="N151" t="inlineStr">
        <is>
          <t>K</t>
        </is>
      </c>
      <c r="O151" t="inlineStr">
        <is>
          <t>20230704</t>
        </is>
      </c>
      <c r="P151" t="inlineStr">
        <is>
          <t>Nusa Tenggara Timur</t>
        </is>
      </c>
      <c r="Q151" s="3">
        <f>HYPERLINK("https://wa.me/6281238166459?text=*[PENGINGAT MASA BERLAKU SBU MULTI TALENTA]*%0A%0AYth. Pimpinan MULTI TALENTA,%0AMohon izin menginformasikan status SBU Anda di sistem LPJK:%0A%0A📄 SBU: BG009%0A📅 Expired: 20 Juli 2026 (60 Hari Lagi)%0A%0AKami tim PT. ESDEA Assistance Management siap men-support proses perpanjangan segera.", "Hubungi")</f>
        <v/>
      </c>
    </row>
    <row r="152">
      <c r="A152" t="inlineStr">
        <is>
          <t>NARA SOMA</t>
        </is>
      </c>
      <c r="B152" t="inlineStr">
        <is>
          <t>Kab. Nganjuk</t>
        </is>
      </c>
      <c r="C152" t="inlineStr">
        <is>
          <t>081259150151</t>
        </is>
      </c>
      <c r="D152" t="inlineStr">
        <is>
          <t>cvnarasoma@yahoo.com</t>
        </is>
      </c>
      <c r="E152" t="inlineStr">
        <is>
          <t>https://lpjk.pu.go.id/search-badan-usaha-detail/STRiZk5PMG04eGhNYVhPRFpTVHA2QT09</t>
        </is>
      </c>
      <c r="F152" t="n">
        <v>3</v>
      </c>
      <c r="G152" t="inlineStr">
        <is>
          <t>BG006, BS001, BS004</t>
        </is>
      </c>
      <c r="H152" t="inlineStr">
        <is>
          <t>21 Desember 2006</t>
        </is>
      </c>
      <c r="I152" s="2" t="n">
        <v>46223</v>
      </c>
      <c r="J152" t="inlineStr">
        <is>
          <t>Disetujui</t>
        </is>
      </c>
      <c r="K152" t="n">
        <v>60</v>
      </c>
      <c r="L152" t="inlineStr">
        <is>
          <t>20 Juli 2026</t>
        </is>
      </c>
      <c r="M152" t="inlineStr">
        <is>
          <t>Konstruksi Bangunan Sipil Jalan, Konstruksi Gedung Pendidikan, Konstruksi Jaringan Irigasi dan Drainase</t>
        </is>
      </c>
      <c r="N152" t="inlineStr">
        <is>
          <t>K</t>
        </is>
      </c>
      <c r="O152" t="inlineStr">
        <is>
          <t>20230713</t>
        </is>
      </c>
      <c r="P152" t="inlineStr">
        <is>
          <t>Jawa Timur</t>
        </is>
      </c>
      <c r="Q152" s="3">
        <f>HYPERLINK("https://wa.me/6281259150151?text=*[PENGINGAT MASA BERLAKU SBU NARA SOMA]*%0A%0AYth. Pimpinan NARA SOMA,%0AMohon izin menginformasikan status SBU Anda di sistem LPJK:%0A%0A📄 SBU: BG006, BS001, BS004%0A📅 Expired: 20 Juli 2026 (60 Hari Lagi)%0A%0AKami tim PT. ESDEA Assistance Management siap men-support proses perpanjangan segera.", "Hubungi")</f>
        <v/>
      </c>
    </row>
    <row r="153">
      <c r="A153" t="inlineStr">
        <is>
          <t>NAYOTTAMA PERKASA</t>
        </is>
      </c>
      <c r="B153" t="inlineStr">
        <is>
          <t>Kab. Sleman</t>
        </is>
      </c>
      <c r="C153" t="inlineStr">
        <is>
          <t>0274798354</t>
        </is>
      </c>
      <c r="D153" t="inlineStr">
        <is>
          <t>nayottamaperkasa@gmail.com</t>
        </is>
      </c>
      <c r="E153" t="inlineStr">
        <is>
          <t>https://lpjk.pu.go.id/search-badan-usaha-detail/SUdNdnlMOUY2ZTdHbEJseUtqOER0QT09</t>
        </is>
      </c>
      <c r="F153" t="n">
        <v>3</v>
      </c>
      <c r="G153" t="inlineStr">
        <is>
          <t>BG006, BG009, BS004</t>
        </is>
      </c>
      <c r="H153" t="inlineStr">
        <is>
          <t>10 Desember 2020</t>
        </is>
      </c>
      <c r="I153" s="2" t="n">
        <v>46223</v>
      </c>
      <c r="J153" t="inlineStr">
        <is>
          <t>Disetujui</t>
        </is>
      </c>
      <c r="K153" t="n">
        <v>60</v>
      </c>
      <c r="L153" t="inlineStr">
        <is>
          <t>20 Juli 2026</t>
        </is>
      </c>
      <c r="M153" t="inlineStr">
        <is>
          <t>Konstruksi Gedung Lainnya, Konstruksi Gedung Pendidikan, Konstruksi Jaringan Irigasi dan Drainase</t>
        </is>
      </c>
      <c r="N153" t="inlineStr">
        <is>
          <t>K</t>
        </is>
      </c>
      <c r="O153" t="inlineStr">
        <is>
          <t>20230707, 20230718</t>
        </is>
      </c>
      <c r="P153" t="inlineStr">
        <is>
          <t>DI Yogyakarta</t>
        </is>
      </c>
      <c r="Q153" s="3">
        <f>HYPERLINK("https://wa.me/62274798354?text=*[PENGINGAT MASA BERLAKU SBU NAYOTTAMA PERKASA]*%0A%0AYth. Pimpinan NAYOTTAMA PERKASA,%0AMohon izin menginformasikan status SBU Anda di sistem LPJK:%0A%0A📄 SBU: BG006, BG009, BS004%0A📅 Expired: 20 Juli 2026 (60 Hari Lagi)%0A%0AKami tim PT. ESDEA Assistance Management siap men-support proses perpanjangan segera.", "Hubungi")</f>
        <v/>
      </c>
    </row>
    <row r="154">
      <c r="A154" t="inlineStr">
        <is>
          <t>NUR ALPAN</t>
        </is>
      </c>
      <c r="B154" t="inlineStr">
        <is>
          <t>Kab. Subang</t>
        </is>
      </c>
      <c r="C154" t="inlineStr">
        <is>
          <t>082115310412</t>
        </is>
      </c>
      <c r="D154" t="inlineStr">
        <is>
          <t>nuralpandani@gmail.com</t>
        </is>
      </c>
      <c r="E154" t="inlineStr">
        <is>
          <t>https://lpjk.pu.go.id/search-badan-usaha-detail/TWZZR0tRMnVTSk9mUlBJMkJXdkR4UT09</t>
        </is>
      </c>
      <c r="F154" t="n">
        <v>1</v>
      </c>
      <c r="G154" t="inlineStr">
        <is>
          <t>BG006</t>
        </is>
      </c>
      <c r="H154" t="inlineStr">
        <is>
          <t>13 Desember 2006</t>
        </is>
      </c>
      <c r="I154" s="2" t="n">
        <v>46223</v>
      </c>
      <c r="J154" t="inlineStr">
        <is>
          <t>Pencabutan</t>
        </is>
      </c>
      <c r="K154" t="n">
        <v>60</v>
      </c>
      <c r="L154" t="inlineStr">
        <is>
          <t>20 Juli 2026</t>
        </is>
      </c>
      <c r="M154" t="inlineStr">
        <is>
          <t>Konstruksi Gedung Pendidikan</t>
        </is>
      </c>
      <c r="N154" t="inlineStr">
        <is>
          <t>K</t>
        </is>
      </c>
      <c r="O154" t="inlineStr">
        <is>
          <t>20230718</t>
        </is>
      </c>
      <c r="P154" t="inlineStr">
        <is>
          <t>Jawa Barat</t>
        </is>
      </c>
      <c r="Q154" s="3">
        <f>HYPERLINK("https://wa.me/6282115310412?text=*[PENGINGAT MASA BERLAKU SBU NUR ALPAN]*%0A%0AYth. Pimpinan NUR ALPAN,%0AMohon izin menginformasikan status SBU Anda di sistem LPJK:%0A%0A📄 SBU: BG006%0A📅 Expired: 20 Juli 2026 (60 Hari Lagi)%0A%0AKami tim PT. ESDEA Assistance Management siap men-support proses perpanjangan segera.", "Hubungi")</f>
        <v/>
      </c>
    </row>
    <row r="155">
      <c r="A155" t="inlineStr">
        <is>
          <t>PANDU JAYA</t>
        </is>
      </c>
      <c r="B155" t="inlineStr">
        <is>
          <t>Kab. Pacitan</t>
        </is>
      </c>
      <c r="C155" t="inlineStr">
        <is>
          <t>087719271922</t>
        </is>
      </c>
      <c r="D155" t="inlineStr">
        <is>
          <t>pandupacitan08@gmail.com</t>
        </is>
      </c>
      <c r="E155" t="inlineStr">
        <is>
          <t>https://lpjk.pu.go.id/search-badan-usaha-detail/MjRZc2JFTmswK1IxbVlYZTFpcFh6dz09</t>
        </is>
      </c>
      <c r="F155" t="n">
        <v>1</v>
      </c>
      <c r="G155" t="inlineStr">
        <is>
          <t>BG005</t>
        </is>
      </c>
      <c r="H155" t="inlineStr">
        <is>
          <t>28 Mei 2001</t>
        </is>
      </c>
      <c r="I155" s="2" t="n">
        <v>46223</v>
      </c>
      <c r="J155" t="inlineStr">
        <is>
          <t>Disetujui</t>
        </is>
      </c>
      <c r="K155" t="n">
        <v>60</v>
      </c>
      <c r="L155" t="inlineStr">
        <is>
          <t>20 Juli 2026</t>
        </is>
      </c>
      <c r="M155" t="inlineStr">
        <is>
          <t>Konstruksi Gedung Kesehatan</t>
        </is>
      </c>
      <c r="N155" t="inlineStr">
        <is>
          <t>K</t>
        </is>
      </c>
      <c r="O155" t="inlineStr">
        <is>
          <t>20230713</t>
        </is>
      </c>
      <c r="P155" t="inlineStr">
        <is>
          <t>Jawa Timur</t>
        </is>
      </c>
      <c r="Q155" s="3">
        <f>HYPERLINK("https://wa.me/6287719271922?text=*[PENGINGAT MASA BERLAKU SBU PANDU JAYA]*%0A%0AYth. Pimpinan PANDU JAYA,%0AMohon izin menginformasikan status SBU Anda di sistem LPJK:%0A%0A📄 SBU: BG005%0A📅 Expired: 20 Juli 2026 (60 Hari Lagi)%0A%0AKami tim PT. ESDEA Assistance Management siap men-support proses perpanjangan segera.", "Hubungi")</f>
        <v/>
      </c>
    </row>
    <row r="156">
      <c r="A156" t="inlineStr">
        <is>
          <t>PARAMA DHARMA</t>
        </is>
      </c>
      <c r="B156" t="inlineStr">
        <is>
          <t>Kota Adm. Jakarta Selatan</t>
        </is>
      </c>
      <c r="C156" t="inlineStr">
        <is>
          <t>0217253008</t>
        </is>
      </c>
      <c r="D156" t="inlineStr">
        <is>
          <t>construction@paramadharma.co.id</t>
        </is>
      </c>
      <c r="E156" t="inlineStr">
        <is>
          <t>https://lpjk.pu.go.id/search-badan-usaha-detail/MEFuU0I3U0kxQi83UFJqQXFac0xFQT09</t>
        </is>
      </c>
      <c r="F156" t="n">
        <v>2</v>
      </c>
      <c r="G156" t="inlineStr">
        <is>
          <t>BG001, IN008</t>
        </is>
      </c>
      <c r="H156" t="inlineStr">
        <is>
          <t>8 November 1982</t>
        </is>
      </c>
      <c r="I156" s="2" t="n">
        <v>46223</v>
      </c>
      <c r="J156" t="inlineStr">
        <is>
          <t>Disetujui</t>
        </is>
      </c>
      <c r="K156" t="n">
        <v>60</v>
      </c>
      <c r="L156" t="inlineStr">
        <is>
          <t>20 Juli 2026</t>
        </is>
      </c>
      <c r="M156" t="inlineStr">
        <is>
          <t>Instalasi Pendingin Dan Ventilasi Udara, Konstruksi Gedung Hunian</t>
        </is>
      </c>
      <c r="N156" t="inlineStr">
        <is>
          <t>M, Spesialis</t>
        </is>
      </c>
      <c r="O156" t="inlineStr">
        <is>
          <t>20230705</t>
        </is>
      </c>
      <c r="P156" t="inlineStr">
        <is>
          <t>DKI Jakarta</t>
        </is>
      </c>
      <c r="Q156" s="3">
        <f>HYPERLINK("https://wa.me/62217253008?text=*[PENGINGAT MASA BERLAKU SBU PARAMA DHARMA]*%0A%0AYth. Pimpinan PARAMA DHARMA,%0AMohon izin menginformasikan status SBU Anda di sistem LPJK:%0A%0A📄 SBU: BG001, IN008%0A📅 Expired: 20 Juli 2026 (60 Hari Lagi)%0A%0AKami tim PT. ESDEA Assistance Management siap men-support proses perpanjangan segera.", "Hubungi")</f>
        <v/>
      </c>
    </row>
    <row r="157">
      <c r="A157" t="inlineStr">
        <is>
          <t>PENDAWA LESTARI PERKASA</t>
        </is>
      </c>
      <c r="B157" t="inlineStr">
        <is>
          <t>Kota Adm. Jakarta Selatan</t>
        </is>
      </c>
      <c r="C157" t="inlineStr">
        <is>
          <t>02129861000</t>
        </is>
      </c>
      <c r="D157" t="inlineStr">
        <is>
          <t>plp.jeladri@gmail.com</t>
        </is>
      </c>
      <c r="E157" t="inlineStr">
        <is>
          <t>https://lpjk.pu.go.id/search-badan-usaha-detail/bGx6UmRmNGp3Sm4vL3JCYUF3R05vQT09</t>
        </is>
      </c>
      <c r="F157" t="n">
        <v>2</v>
      </c>
      <c r="G157" t="inlineStr">
        <is>
          <t>BG004, BG009</t>
        </is>
      </c>
      <c r="H157" t="inlineStr">
        <is>
          <t>21 Agustus 1993</t>
        </is>
      </c>
      <c r="I157" s="2" t="n">
        <v>46223</v>
      </c>
      <c r="J157" t="inlineStr">
        <is>
          <t>Disetujui</t>
        </is>
      </c>
      <c r="K157" t="n">
        <v>60</v>
      </c>
      <c r="L157" t="inlineStr">
        <is>
          <t>20 Juli 2026</t>
        </is>
      </c>
      <c r="M157" t="inlineStr">
        <is>
          <t>Konstruksi Gedung Lainnya, Konstruksi Gedung Perbelanjaan</t>
        </is>
      </c>
      <c r="N157" t="inlineStr">
        <is>
          <t>K, M</t>
        </is>
      </c>
      <c r="O157" t="inlineStr">
        <is>
          <t>20230713</t>
        </is>
      </c>
      <c r="P157" t="inlineStr">
        <is>
          <t>DKI Jakarta</t>
        </is>
      </c>
      <c r="Q157" s="3">
        <f>HYPERLINK("https://wa.me/622129861000?text=*[PENGINGAT MASA BERLAKU SBU PENDAWA LESTARI PERKASA]*%0A%0AYth. Pimpinan PENDAWA LESTARI PERKASA,%0AMohon izin menginformasikan status SBU Anda di sistem LPJK:%0A%0A📄 SBU: BG004, BG009%0A📅 Expired: 20 Juli 2026 (60 Hari Lagi)%0A%0AKami tim PT. ESDEA Assistance Management siap men-support proses perpanjangan segera.", "Hubungi")</f>
        <v/>
      </c>
    </row>
    <row r="158">
      <c r="A158" t="inlineStr">
        <is>
          <t>PILARINDO BAKTI PERTIWI</t>
        </is>
      </c>
      <c r="B158" t="inlineStr">
        <is>
          <t>Kota Surabaya</t>
        </is>
      </c>
      <c r="C158" t="inlineStr">
        <is>
          <t>0315012536</t>
        </is>
      </c>
      <c r="D158" t="inlineStr">
        <is>
          <t>PILARINDOBAKTIPERTIWI@GMAIL.COM</t>
        </is>
      </c>
      <c r="E158" t="inlineStr">
        <is>
          <t>https://lpjk.pu.go.id/search-badan-usaha-detail/RzB5RFZUVXEycmpnYnFQT2ppcmdlZz09</t>
        </is>
      </c>
      <c r="F158" t="n">
        <v>2</v>
      </c>
      <c r="G158" t="inlineStr">
        <is>
          <t>BG009, BS003</t>
        </is>
      </c>
      <c r="H158" t="inlineStr">
        <is>
          <t>4 Februari 2013</t>
        </is>
      </c>
      <c r="I158" s="2" t="n">
        <v>46223</v>
      </c>
      <c r="J158" t="inlineStr">
        <is>
          <t>Disetujui</t>
        </is>
      </c>
      <c r="K158" t="n">
        <v>60</v>
      </c>
      <c r="L158" t="inlineStr">
        <is>
          <t>20 Juli 2026</t>
        </is>
      </c>
      <c r="M158" t="inlineStr">
        <is>
          <t>Konstruksi Gedung Lainnya, Konstruksi Jalan Rel</t>
        </is>
      </c>
      <c r="N158" t="inlineStr">
        <is>
          <t>K</t>
        </is>
      </c>
      <c r="O158" t="inlineStr">
        <is>
          <t>20230720</t>
        </is>
      </c>
      <c r="P158" t="inlineStr">
        <is>
          <t>Jawa Timur</t>
        </is>
      </c>
      <c r="Q158" s="3">
        <f>HYPERLINK("https://wa.me/62315012536?text=*[PENGINGAT MASA BERLAKU SBU PILARINDO BAKTI PERTIWI]*%0A%0AYth. Pimpinan PILARINDO BAKTI PERTIWI,%0AMohon izin menginformasikan status SBU Anda di sistem LPJK:%0A%0A📄 SBU: BG009, BS003%0A📅 Expired: 20 Juli 2026 (60 Hari Lagi)%0A%0AKami tim PT. ESDEA Assistance Management siap men-support proses perpanjangan segera.", "Hubungi")</f>
        <v/>
      </c>
    </row>
    <row r="159">
      <c r="A159" t="inlineStr">
        <is>
          <t>POLA AGUNG</t>
        </is>
      </c>
      <c r="B159" t="inlineStr">
        <is>
          <t>Kota Adm. Jakarta Selatan</t>
        </is>
      </c>
      <c r="C159" t="inlineStr">
        <is>
          <t>0213929688</t>
        </is>
      </c>
      <c r="D159" t="inlineStr">
        <is>
          <t>polajkt@polaagung.co.id</t>
        </is>
      </c>
      <c r="E159" t="inlineStr">
        <is>
          <t>https://lpjk.pu.go.id/search-badan-usaha-detail/M1BydUphOENueEVOenFJcHpGa2xvSVhiZ1d6cDhTaVpmcUsyaTkvS0RCZz0</t>
        </is>
      </c>
      <c r="F159" t="n">
        <v>1</v>
      </c>
      <c r="G159" t="inlineStr">
        <is>
          <t>RK003</t>
        </is>
      </c>
      <c r="H159" t="inlineStr">
        <is>
          <t>25 Juli 2025</t>
        </is>
      </c>
      <c r="I159" s="2" t="n">
        <v>46223</v>
      </c>
      <c r="J159" t="inlineStr">
        <is>
          <t>Dokumen Lengkap</t>
        </is>
      </c>
      <c r="K159" t="n">
        <v>60</v>
      </c>
      <c r="L159" t="inlineStr">
        <is>
          <t>20 Juli 2026</t>
        </is>
      </c>
      <c r="M159" t="inlineStr">
        <is>
          <t>Jasa Rekayasa Pekerjaan Teknik Sipil Transportasi</t>
        </is>
      </c>
      <c r="N159" t="inlineStr">
        <is>
          <t>B</t>
        </is>
      </c>
      <c r="O159" t="inlineStr">
        <is>
          <t>20230626</t>
        </is>
      </c>
      <c r="P159" t="inlineStr">
        <is>
          <t>DKI Jakarta</t>
        </is>
      </c>
      <c r="Q159" s="3">
        <f>HYPERLINK("https://wa.me/62213929688?text=*[PENGINGAT MASA BERLAKU SBU POLA AGUNG]*%0A%0AYth. Pimpinan POLA AGUNG,%0AMohon izin menginformasikan status SBU Anda di sistem LPJK:%0A%0A📄 SBU: RK003%0A📅 Expired: 20 Juli 2026 (60 Hari Lagi)%0A%0AKami tim PT. ESDEA Assistance Management siap men-support proses perpanjangan segera.", "Hubungi")</f>
        <v/>
      </c>
    </row>
    <row r="160">
      <c r="A160" t="inlineStr">
        <is>
          <t>PRO MILENIAL MANDIRI</t>
        </is>
      </c>
      <c r="B160" t="inlineStr">
        <is>
          <t>Kota Serang</t>
        </is>
      </c>
      <c r="C160" t="inlineStr">
        <is>
          <t>081286463546</t>
        </is>
      </c>
      <c r="D160" t="inlineStr">
        <is>
          <t>cv.promilenialmandiri@gmail.com</t>
        </is>
      </c>
      <c r="E160" t="inlineStr">
        <is>
          <t>https://lpjk.pu.go.id/search-badan-usaha-detail/VVM2Q05oNmtzVXlpNUZ4U1VMODYrQT09</t>
        </is>
      </c>
      <c r="F160" t="n">
        <v>1</v>
      </c>
      <c r="G160" t="inlineStr">
        <is>
          <t>BS001</t>
        </is>
      </c>
      <c r="H160" t="inlineStr">
        <is>
          <t>15 Juli 2020</t>
        </is>
      </c>
      <c r="I160" s="2" t="n">
        <v>46223</v>
      </c>
      <c r="J160" t="inlineStr">
        <is>
          <t>Disetujui</t>
        </is>
      </c>
      <c r="K160" t="n">
        <v>60</v>
      </c>
      <c r="L160" t="inlineStr">
        <is>
          <t>20 Juli 2026</t>
        </is>
      </c>
      <c r="M160" t="inlineStr">
        <is>
          <t>Konstruksi Bangunan Sipil Jalan</t>
        </is>
      </c>
      <c r="N160" t="inlineStr">
        <is>
          <t>K</t>
        </is>
      </c>
      <c r="O160" t="inlineStr">
        <is>
          <t>20230705</t>
        </is>
      </c>
      <c r="P160" t="inlineStr">
        <is>
          <t>Banten</t>
        </is>
      </c>
      <c r="Q160" s="3">
        <f>HYPERLINK("https://wa.me/6281286463546?text=*[PENGINGAT MASA BERLAKU SBU PRO MILENIAL MANDIRI]*%0A%0AYth. Pimpinan PRO MILENIAL MANDIRI,%0AMohon izin menginformasikan status SBU Anda di sistem LPJK:%0A%0A📄 SBU: BS001%0A📅 Expired: 20 Juli 2026 (60 Hari Lagi)%0A%0AKami tim PT. ESDEA Assistance Management siap men-support proses perpanjangan segera.", "Hubungi")</f>
        <v/>
      </c>
    </row>
    <row r="161">
      <c r="A161" t="inlineStr">
        <is>
          <t>PT. CEMERLANG MULTI GUNA</t>
        </is>
      </c>
      <c r="B161" t="inlineStr">
        <is>
          <t>Kota Tanjung Pinang</t>
        </is>
      </c>
      <c r="C161" t="inlineStr">
        <is>
          <t>08127743748</t>
        </is>
      </c>
      <c r="D161" t="inlineStr">
        <is>
          <t>cemerlang_multiguna@yahoo.com</t>
        </is>
      </c>
      <c r="E161" t="inlineStr">
        <is>
          <t>https://lpjk.pu.go.id/search-badan-usaha-detail/U3d5R3U5M0FOYmlNbVVZVUdxbzU3dz09</t>
        </is>
      </c>
      <c r="F161" t="n">
        <v>6</v>
      </c>
      <c r="G161" t="inlineStr">
        <is>
          <t>RK001, RK002, RK003</t>
        </is>
      </c>
      <c r="H161" t="inlineStr">
        <is>
          <t>31 Maret 2021</t>
        </is>
      </c>
      <c r="I161" s="2" t="n">
        <v>46223</v>
      </c>
      <c r="J161" t="inlineStr">
        <is>
          <t>Disetujui</t>
        </is>
      </c>
      <c r="K161" t="n">
        <v>60</v>
      </c>
      <c r="L161" t="inlineStr">
        <is>
          <t>20 Juli 2026</t>
        </is>
      </c>
      <c r="M161" t="inlineStr">
        <is>
          <t>Jasa Rekayasa Konstruksi Bangunan Gedung Hunian dan Non Hunian, Jasa Rekayasa Pekerjaan Teknik Sipil Sumber Daya Air, Jasa Rekayasa Pekerjaan Teknik Sipil Transportasi</t>
        </is>
      </c>
      <c r="N161" t="inlineStr">
        <is>
          <t>K</t>
        </is>
      </c>
      <c r="O161" t="inlineStr">
        <is>
          <t>20230227, 20230301, 20230704</t>
        </is>
      </c>
      <c r="P161" t="inlineStr">
        <is>
          <t>Kepulauan Riau</t>
        </is>
      </c>
      <c r="Q161" s="3">
        <f>HYPERLINK("https://wa.me/628127743748?text=*[PENGINGAT MASA BERLAKU SBU PT. CEMERLANG MULTI GUNA]*%0A%0AYth. Pimpinan PT. CEMERLANG MULTI GUNA,%0AMohon izin menginformasikan status SBU Anda di sistem LPJK:%0A%0A📄 SBU: RK001, RK002, RK003%0A📅 Expired: 20 Juli 2026 (60 Hari Lagi)%0A%0AKami tim PT. ESDEA Assistance Management siap men-support proses perpanjangan segera.", "Hubungi")</f>
        <v/>
      </c>
    </row>
    <row r="162">
      <c r="A162" t="inlineStr">
        <is>
          <t>PUTERA PERSADA BALANGAN</t>
        </is>
      </c>
      <c r="B162" t="inlineStr">
        <is>
          <t>Kab. Balangan</t>
        </is>
      </c>
      <c r="C162" t="inlineStr">
        <is>
          <t>082254603790</t>
        </is>
      </c>
      <c r="D162" t="inlineStr">
        <is>
          <t>persadacvputera@gmail.com</t>
        </is>
      </c>
      <c r="E162" t="inlineStr">
        <is>
          <t>https://lpjk.pu.go.id/search-badan-usaha-detail/dnZRelI3Y0hITjZ5c0Y3R2lmSStxUT09</t>
        </is>
      </c>
      <c r="F162" t="n">
        <v>1</v>
      </c>
      <c r="G162" t="inlineStr">
        <is>
          <t>BG002</t>
        </is>
      </c>
      <c r="H162" t="inlineStr">
        <is>
          <t>29 Agustus 2022</t>
        </is>
      </c>
      <c r="I162" s="2" t="n">
        <v>46223</v>
      </c>
      <c r="J162" t="inlineStr">
        <is>
          <t>Disetujui</t>
        </is>
      </c>
      <c r="K162" t="n">
        <v>60</v>
      </c>
      <c r="L162" t="inlineStr">
        <is>
          <t>20 Juli 2026</t>
        </is>
      </c>
      <c r="M162" t="inlineStr">
        <is>
          <t>Konstruksi Gedung Perkantoran</t>
        </is>
      </c>
      <c r="N162" t="inlineStr">
        <is>
          <t>K</t>
        </is>
      </c>
      <c r="O162" t="inlineStr">
        <is>
          <t>20230619</t>
        </is>
      </c>
      <c r="P162" t="inlineStr">
        <is>
          <t>Kalimantan Selatan</t>
        </is>
      </c>
      <c r="Q162" s="3">
        <f>HYPERLINK("https://wa.me/6282254603790?text=*[PENGINGAT MASA BERLAKU SBU PUTERA PERSADA BALANGAN]*%0A%0AYth. Pimpinan PUTERA PERSADA BALANGAN,%0AMohon izin menginformasikan status SBU Anda di sistem LPJK:%0A%0A📄 SBU: BG002%0A📅 Expired: 20 Juli 2026 (60 Hari Lagi)%0A%0AKami tim PT. ESDEA Assistance Management siap men-support proses perpanjangan segera.", "Hubungi")</f>
        <v/>
      </c>
    </row>
    <row r="163">
      <c r="A163" t="inlineStr">
        <is>
          <t>PUTRI MEMBANGUN</t>
        </is>
      </c>
      <c r="B163" t="inlineStr">
        <is>
          <t>Kota Palu</t>
        </is>
      </c>
      <c r="C163" t="inlineStr">
        <is>
          <t>081245384740</t>
        </is>
      </c>
      <c r="D163" t="inlineStr">
        <is>
          <t>cv.putrimembangun@gmail.com</t>
        </is>
      </c>
      <c r="E163" t="inlineStr">
        <is>
          <t>https://lpjk.pu.go.id/search-badan-usaha-detail/eHY5VFo1Q2F1Ylo4eGZNY3lrcjAxZz09</t>
        </is>
      </c>
      <c r="F163" t="n">
        <v>2</v>
      </c>
      <c r="G163" t="inlineStr">
        <is>
          <t>BG006, BG008</t>
        </is>
      </c>
      <c r="H163" t="inlineStr">
        <is>
          <t>23 Maret 2020</t>
        </is>
      </c>
      <c r="I163" s="2" t="n">
        <v>46223</v>
      </c>
      <c r="J163" t="inlineStr">
        <is>
          <t>Disetujui</t>
        </is>
      </c>
      <c r="K163" t="n">
        <v>60</v>
      </c>
      <c r="L163" t="inlineStr">
        <is>
          <t>20 Juli 2026</t>
        </is>
      </c>
      <c r="M163" t="inlineStr">
        <is>
          <t>Konstruksi Gedung Pendidikan, Konstruksi Gedung Tempat Hiburan dan Olahraga</t>
        </is>
      </c>
      <c r="N163" t="inlineStr">
        <is>
          <t>K</t>
        </is>
      </c>
      <c r="O163" t="inlineStr">
        <is>
          <t>20230714</t>
        </is>
      </c>
      <c r="P163" t="inlineStr">
        <is>
          <t>Sulawesi Tengah</t>
        </is>
      </c>
      <c r="Q163" s="3">
        <f>HYPERLINK("https://wa.me/6281245384740?text=*[PENGINGAT MASA BERLAKU SBU PUTRI MEMBANGUN]*%0A%0AYth. Pimpinan PUTRI MEMBANGUN,%0AMohon izin menginformasikan status SBU Anda di sistem LPJK:%0A%0A📄 SBU: BG006, BG008%0A📅 Expired: 20 Juli 2026 (60 Hari Lagi)%0A%0AKami tim PT. ESDEA Assistance Management siap men-support proses perpanjangan segera.", "Hubungi")</f>
        <v/>
      </c>
    </row>
    <row r="164">
      <c r="A164" t="inlineStr">
        <is>
          <t>PUTRI SULUNG</t>
        </is>
      </c>
      <c r="B164" t="inlineStr">
        <is>
          <t>Kab. Lahat</t>
        </is>
      </c>
      <c r="C164" t="inlineStr">
        <is>
          <t>081386440123</t>
        </is>
      </c>
      <c r="D164" t="inlineStr">
        <is>
          <t>cvputrisulung@yahoo.com</t>
        </is>
      </c>
      <c r="E164" t="inlineStr">
        <is>
          <t>https://lpjk.pu.go.id/search-badan-usaha-detail/WjFGc2FIQzE1bWVML3dkUmNvYzNPdz09</t>
        </is>
      </c>
      <c r="F164" t="n">
        <v>3</v>
      </c>
      <c r="G164" t="inlineStr">
        <is>
          <t>BG004, BG006, BG009</t>
        </is>
      </c>
      <c r="H164" t="inlineStr">
        <is>
          <t>4 Januari 2003</t>
        </is>
      </c>
      <c r="I164" s="2" t="n">
        <v>46223</v>
      </c>
      <c r="J164" t="inlineStr">
        <is>
          <t>Pencabutan</t>
        </is>
      </c>
      <c r="K164" t="n">
        <v>60</v>
      </c>
      <c r="L164" t="inlineStr">
        <is>
          <t>20 Juli 2026</t>
        </is>
      </c>
      <c r="M164" t="inlineStr">
        <is>
          <t>Konstruksi Gedung Lainnya, Konstruksi Gedung Pendidikan, Konstruksi Gedung Perbelanjaan</t>
        </is>
      </c>
      <c r="N164" t="inlineStr">
        <is>
          <t>K</t>
        </is>
      </c>
      <c r="O164" t="inlineStr">
        <is>
          <t>20230719, 20230721</t>
        </is>
      </c>
      <c r="P164" t="inlineStr">
        <is>
          <t>Sumatera Selatan</t>
        </is>
      </c>
      <c r="Q164" s="3">
        <f>HYPERLINK("https://wa.me/6281386440123?text=*[PENGINGAT MASA BERLAKU SBU PUTRI SULUNG]*%0A%0AYth. Pimpinan PUTRI SULUNG,%0AMohon izin menginformasikan status SBU Anda di sistem LPJK:%0A%0A📄 SBU: BG004, BG006, BG009%0A📅 Expired: 20 Juli 2026 (60 Hari Lagi)%0A%0AKami tim PT. ESDEA Assistance Management siap men-support proses perpanjangan segera.", "Hubungi")</f>
        <v/>
      </c>
    </row>
    <row r="165">
      <c r="A165" t="inlineStr">
        <is>
          <t>RAFANDA</t>
        </is>
      </c>
      <c r="B165" t="inlineStr">
        <is>
          <t>Kab. Kotawaringin Barat</t>
        </is>
      </c>
      <c r="C165" t="inlineStr">
        <is>
          <t>0</t>
        </is>
      </c>
      <c r="D165" t="inlineStr">
        <is>
          <t>cvrafanda1@gmail.com</t>
        </is>
      </c>
      <c r="E165" t="inlineStr">
        <is>
          <t>https://lpjk.pu.go.id/search-badan-usaha-detail/QmN6bk9sdkE4dWlZYlBnaitKOEF6QT09</t>
        </is>
      </c>
      <c r="F165" t="n">
        <v>1</v>
      </c>
      <c r="G165" t="inlineStr">
        <is>
          <t>BG001</t>
        </is>
      </c>
      <c r="H165" t="inlineStr">
        <is>
          <t>15 Januari 2020</t>
        </is>
      </c>
      <c r="I165" s="2" t="n">
        <v>46223</v>
      </c>
      <c r="J165" t="inlineStr">
        <is>
          <t>Disetujui</t>
        </is>
      </c>
      <c r="K165" t="n">
        <v>60</v>
      </c>
      <c r="L165" t="inlineStr">
        <is>
          <t>20 Juli 2026</t>
        </is>
      </c>
      <c r="M165" t="inlineStr">
        <is>
          <t>Konstruksi Gedung Hunian</t>
        </is>
      </c>
      <c r="N165" t="inlineStr">
        <is>
          <t>K</t>
        </is>
      </c>
      <c r="O165" t="inlineStr">
        <is>
          <t>20230718</t>
        </is>
      </c>
      <c r="P165" t="inlineStr">
        <is>
          <t>Kalimantan Tengah</t>
        </is>
      </c>
      <c r="Q165" s="3">
        <f>HYPERLINK("https://wa.me/62?text=*[PENGINGAT MASA BERLAKU SBU RAFANDA]*%0A%0AYth. Pimpinan RAFANDA,%0AMohon izin menginformasikan status SBU Anda di sistem LPJK:%0A%0A📄 SBU: BG001%0A📅 Expired: 20 Juli 2026 (60 Hari Lagi)%0A%0AKami tim PT. ESDEA Assistance Management siap men-support proses perpanjangan segera.", "Hubungi")</f>
        <v/>
      </c>
    </row>
    <row r="166">
      <c r="A166" t="inlineStr">
        <is>
          <t>RAFI PRATAMA</t>
        </is>
      </c>
      <c r="B166" t="inlineStr">
        <is>
          <t>Kota Kendari</t>
        </is>
      </c>
      <c r="C166" t="inlineStr">
        <is>
          <t>085395915263</t>
        </is>
      </c>
      <c r="D166" t="inlineStr">
        <is>
          <t>rafipratama49@gmail.com</t>
        </is>
      </c>
      <c r="E166" t="inlineStr">
        <is>
          <t>https://lpjk.pu.go.id/search-badan-usaha-detail/TVV3Syt0QnJLcHdQWllybTFmTlJRdz09</t>
        </is>
      </c>
      <c r="F166" t="n">
        <v>1</v>
      </c>
      <c r="G166" t="inlineStr">
        <is>
          <t>BG009</t>
        </is>
      </c>
      <c r="H166" t="inlineStr">
        <is>
          <t>30 April 2013</t>
        </is>
      </c>
      <c r="I166" s="2" t="n">
        <v>46223</v>
      </c>
      <c r="J166" t="inlineStr">
        <is>
          <t>Disetujui</t>
        </is>
      </c>
      <c r="K166" t="n">
        <v>60</v>
      </c>
      <c r="L166" t="inlineStr">
        <is>
          <t>20 Juli 2026</t>
        </is>
      </c>
      <c r="M166" t="inlineStr">
        <is>
          <t>Konstruksi Gedung Lainnya</t>
        </is>
      </c>
      <c r="N166" t="inlineStr">
        <is>
          <t>K</t>
        </is>
      </c>
      <c r="O166" t="inlineStr">
        <is>
          <t>20230714</t>
        </is>
      </c>
      <c r="P166" t="inlineStr">
        <is>
          <t>Sulawesi Tenggara</t>
        </is>
      </c>
      <c r="Q166" s="3">
        <f>HYPERLINK("https://wa.me/6285395915263?text=*[PENGINGAT MASA BERLAKU SBU RAFI PRATAMA]*%0A%0AYth. Pimpinan RAFI PRATAMA,%0AMohon izin menginformasikan status SBU Anda di sistem LPJK:%0A%0A📄 SBU: BG009%0A📅 Expired: 20 Juli 2026 (60 Hari Lagi)%0A%0AKami tim PT. ESDEA Assistance Management siap men-support proses perpanjangan segera.", "Hubungi")</f>
        <v/>
      </c>
    </row>
    <row r="167">
      <c r="A167" t="inlineStr">
        <is>
          <t>RAFIKA PASIFIK UTAMA</t>
        </is>
      </c>
      <c r="B167" t="inlineStr">
        <is>
          <t>Kota Bontang</t>
        </is>
      </c>
      <c r="C167" t="inlineStr">
        <is>
          <t>081345785758</t>
        </is>
      </c>
      <c r="D167" t="inlineStr">
        <is>
          <t>cv.rafikapasifikutama@gmail.com</t>
        </is>
      </c>
      <c r="E167" t="inlineStr">
        <is>
          <t>https://lpjk.pu.go.id/search-badan-usaha-detail/RjRlK004eHVoZDJWaDJEK3Zyc2p0Zz09</t>
        </is>
      </c>
      <c r="F167" t="n">
        <v>1</v>
      </c>
      <c r="G167" t="inlineStr">
        <is>
          <t>IN001</t>
        </is>
      </c>
      <c r="H167" t="inlineStr">
        <is>
          <t>2 April 2014</t>
        </is>
      </c>
      <c r="I167" s="2" t="n">
        <v>46223</v>
      </c>
      <c r="J167" t="inlineStr">
        <is>
          <t>Pembekuan</t>
        </is>
      </c>
      <c r="K167" t="n">
        <v>60</v>
      </c>
      <c r="L167" t="inlineStr">
        <is>
          <t>20 Juli 2026</t>
        </is>
      </c>
      <c r="M167" t="inlineStr">
        <is>
          <t>Instalasi Mekanikal</t>
        </is>
      </c>
      <c r="N167" t="inlineStr">
        <is>
          <t>Spesialis</t>
        </is>
      </c>
      <c r="O167" t="inlineStr">
        <is>
          <t>20230718</t>
        </is>
      </c>
      <c r="P167" t="inlineStr">
        <is>
          <t>Kalimantan Timur</t>
        </is>
      </c>
      <c r="Q167" s="3">
        <f>HYPERLINK("https://wa.me/6281345785758?text=*[PENGINGAT MASA BERLAKU SBU RAFIKA PASIFIK UTAMA]*%0A%0AYth. Pimpinan RAFIKA PASIFIK UTAMA,%0AMohon izin menginformasikan status SBU Anda di sistem LPJK:%0A%0A📄 SBU: IN001%0A📅 Expired: 20 Juli 2026 (60 Hari Lagi)%0A%0AKami tim PT. ESDEA Assistance Management siap men-support proses perpanjangan segera.", "Hubungi")</f>
        <v/>
      </c>
    </row>
    <row r="168">
      <c r="A168" t="inlineStr">
        <is>
          <t>RAFLESIA CONS</t>
        </is>
      </c>
      <c r="B168" t="inlineStr">
        <is>
          <t>Kota Bengkulu</t>
        </is>
      </c>
      <c r="C168" t="inlineStr">
        <is>
          <t>0736346704</t>
        </is>
      </c>
      <c r="D168" t="inlineStr">
        <is>
          <t>raflesiakonsultan@yahoo.co.id</t>
        </is>
      </c>
      <c r="E168" t="inlineStr">
        <is>
          <t>https://lpjk.pu.go.id/search-badan-usaha-detail/cTA1V05nd3llOHJ5dGhERXRNcHhsZz09</t>
        </is>
      </c>
      <c r="F168" t="n">
        <v>6</v>
      </c>
      <c r="G168" t="inlineStr">
        <is>
          <t>AR001, AR002, AR003, RK001, RK002, RK003</t>
        </is>
      </c>
      <c r="H168" t="inlineStr">
        <is>
          <t>17 September 1990</t>
        </is>
      </c>
      <c r="I168" s="2" t="n">
        <v>46223</v>
      </c>
      <c r="J168" t="inlineStr">
        <is>
          <t>Disetujui</t>
        </is>
      </c>
      <c r="K168" t="n">
        <v>60</v>
      </c>
      <c r="L168" t="inlineStr">
        <is>
          <t>20 Juli 2026</t>
        </is>
      </c>
      <c r="M168"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168" t="inlineStr">
        <is>
          <t>K</t>
        </is>
      </c>
      <c r="O168" t="inlineStr">
        <is>
          <t>20230613</t>
        </is>
      </c>
      <c r="P168" t="inlineStr">
        <is>
          <t>Bengkulu</t>
        </is>
      </c>
      <c r="Q168" s="3">
        <f>HYPERLINK("https://wa.me/62736346704?text=*[PENGINGAT MASA BERLAKU SBU RAFLESIA CONS]*%0A%0AYth. Pimpinan RAFLESIA CONS,%0AMohon izin menginformasikan status SBU Anda di sistem LPJK:%0A%0A📄 SBU: AR001, AR002, AR003, RK001, RK002, RK003%0A📅 Expired: 20 Juli 2026 (60 Hari Lagi)%0A%0AKami tim PT. ESDEA Assistance Management siap men-support proses perpanjangan segera.", "Hubungi")</f>
        <v/>
      </c>
    </row>
    <row r="169">
      <c r="A169" t="inlineStr">
        <is>
          <t>RAHMAT JAYA</t>
        </is>
      </c>
      <c r="B169" t="inlineStr">
        <is>
          <t>Kota Gorontalo</t>
        </is>
      </c>
      <c r="C169" t="inlineStr">
        <is>
          <t>085255483166</t>
        </is>
      </c>
      <c r="D169" t="inlineStr">
        <is>
          <t>andirahmanazis92@gmail.com</t>
        </is>
      </c>
      <c r="E169" t="inlineStr">
        <is>
          <t>https://lpjk.pu.go.id/search-badan-usaha-detail/MFJNQmk0MUpXdEhTN2RSYjhuclpvUT09</t>
        </is>
      </c>
      <c r="F169" t="n">
        <v>4</v>
      </c>
      <c r="G169" t="inlineStr">
        <is>
          <t>BG002, BG005</t>
        </is>
      </c>
      <c r="H169" t="inlineStr">
        <is>
          <t>13 November 2014</t>
        </is>
      </c>
      <c r="I169" s="2" t="n">
        <v>46223</v>
      </c>
      <c r="J169" t="inlineStr">
        <is>
          <t>Disetujui</t>
        </is>
      </c>
      <c r="K169" t="n">
        <v>60</v>
      </c>
      <c r="L169" t="inlineStr">
        <is>
          <t>20 Juli 2026</t>
        </is>
      </c>
      <c r="M169" t="inlineStr">
        <is>
          <t>Konstruksi Gedung Kesehatan, Konstruksi Gedung Perkantoran</t>
        </is>
      </c>
      <c r="N169" t="inlineStr">
        <is>
          <t>K</t>
        </is>
      </c>
      <c r="O169" t="inlineStr">
        <is>
          <t>20230718</t>
        </is>
      </c>
      <c r="P169" t="inlineStr">
        <is>
          <t>Gorontalo</t>
        </is>
      </c>
      <c r="Q169" s="3">
        <f>HYPERLINK("https://wa.me/6285255483166?text=*[PENGINGAT MASA BERLAKU SBU RAHMAT JAYA]*%0A%0AYth. Pimpinan RAHMAT JAYA,%0AMohon izin menginformasikan status SBU Anda di sistem LPJK:%0A%0A📄 SBU: BG002, BG005%0A📅 Expired: 20 Juli 2026 (60 Hari Lagi)%0A%0AKami tim PT. ESDEA Assistance Management siap men-support proses perpanjangan segera.", "Hubungi")</f>
        <v/>
      </c>
    </row>
    <row r="170">
      <c r="A170" t="inlineStr">
        <is>
          <t>RAJA PUTRA MATITI</t>
        </is>
      </c>
      <c r="B170" t="inlineStr">
        <is>
          <t>Kab. Humbang Hasundutan</t>
        </is>
      </c>
      <c r="C170" t="inlineStr">
        <is>
          <t>081264360979</t>
        </is>
      </c>
      <c r="D170" t="inlineStr">
        <is>
          <t>rajaputra.matiti@yahoo.com</t>
        </is>
      </c>
      <c r="E170" t="inlineStr">
        <is>
          <t>https://lpjk.pu.go.id/search-badan-usaha-detail/NW8wTS9xWXpQL29ITVp6dVp1NmdEZz09</t>
        </is>
      </c>
      <c r="F170" t="n">
        <v>1</v>
      </c>
      <c r="G170" t="inlineStr">
        <is>
          <t>BS001</t>
        </is>
      </c>
      <c r="H170" t="inlineStr">
        <is>
          <t>1 November 2006</t>
        </is>
      </c>
      <c r="I170" s="2" t="n">
        <v>46223</v>
      </c>
      <c r="J170" t="inlineStr">
        <is>
          <t>Pencabutan</t>
        </is>
      </c>
      <c r="K170" t="n">
        <v>60</v>
      </c>
      <c r="L170" t="inlineStr">
        <is>
          <t>20 Juli 2026</t>
        </is>
      </c>
      <c r="M170" t="inlineStr">
        <is>
          <t>Konstruksi Bangunan Sipil Jalan</t>
        </is>
      </c>
      <c r="N170" t="inlineStr">
        <is>
          <t>K</t>
        </is>
      </c>
      <c r="O170" t="inlineStr">
        <is>
          <t>20230720</t>
        </is>
      </c>
      <c r="P170" t="inlineStr">
        <is>
          <t>Sumatera Utara</t>
        </is>
      </c>
      <c r="Q170" s="3">
        <f>HYPERLINK("https://wa.me/6281264360979?text=*[PENGINGAT MASA BERLAKU SBU RAJA PUTRA MATITI]*%0A%0AYth. Pimpinan RAJA PUTRA MATITI,%0AMohon izin menginformasikan status SBU Anda di sistem LPJK:%0A%0A📄 SBU: BS001%0A📅 Expired: 20 Juli 2026 (60 Hari Lagi)%0A%0AKami tim PT. ESDEA Assistance Management siap men-support proses perpanjangan segera.", "Hubungi")</f>
        <v/>
      </c>
    </row>
    <row r="171">
      <c r="A171" t="inlineStr">
        <is>
          <t>RAJA SILAT MEGA PERKASA</t>
        </is>
      </c>
      <c r="B171" t="inlineStr">
        <is>
          <t>Kab. Kapuas Hulu</t>
        </is>
      </c>
      <c r="C171" t="inlineStr">
        <is>
          <t>081345000949</t>
        </is>
      </c>
      <c r="D171" t="inlineStr">
        <is>
          <t>rajasilat.megaperkasa@gmail.com</t>
        </is>
      </c>
      <c r="E171" t="inlineStr">
        <is>
          <t>https://lpjk.pu.go.id/search-badan-usaha-detail/cERoRUF6ZDlIWEhBQWRqMzNjTGpqQT09</t>
        </is>
      </c>
      <c r="F171" t="n">
        <v>1</v>
      </c>
      <c r="G171" t="inlineStr">
        <is>
          <t>BG006</t>
        </is>
      </c>
      <c r="H171" t="inlineStr">
        <is>
          <t>8 Januari 2020</t>
        </is>
      </c>
      <c r="I171" s="2" t="n">
        <v>46223</v>
      </c>
      <c r="J171" t="inlineStr">
        <is>
          <t>Disetujui</t>
        </is>
      </c>
      <c r="K171" t="n">
        <v>60</v>
      </c>
      <c r="L171" t="inlineStr">
        <is>
          <t>20 Juli 2026</t>
        </is>
      </c>
      <c r="M171" t="inlineStr">
        <is>
          <t>Konstruksi Gedung Pendidikan</t>
        </is>
      </c>
      <c r="N171" t="inlineStr">
        <is>
          <t>K</t>
        </is>
      </c>
      <c r="O171" t="inlineStr">
        <is>
          <t>20230717</t>
        </is>
      </c>
      <c r="P171" t="inlineStr">
        <is>
          <t>Kalimantan Barat</t>
        </is>
      </c>
      <c r="Q171" s="3">
        <f>HYPERLINK("https://wa.me/6281345000949?text=*[PENGINGAT MASA BERLAKU SBU RAJA SILAT MEGA PERKASA]*%0A%0AYth. Pimpinan RAJA SILAT MEGA PERKASA,%0AMohon izin menginformasikan status SBU Anda di sistem LPJK:%0A%0A📄 SBU: BG006%0A📅 Expired: 20 Juli 2026 (60 Hari Lagi)%0A%0AKami tim PT. ESDEA Assistance Management siap men-support proses perpanjangan segera.", "Hubungi")</f>
        <v/>
      </c>
    </row>
    <row r="172">
      <c r="A172" t="inlineStr">
        <is>
          <t>RAMA KARYA ABADI</t>
        </is>
      </c>
      <c r="B172" t="inlineStr">
        <is>
          <t>Kab. Pasuruan</t>
        </is>
      </c>
      <c r="C172" t="inlineStr">
        <is>
          <t>082131876010</t>
        </is>
      </c>
      <c r="D172" t="inlineStr">
        <is>
          <t>ramakaryaabadi@gmail.com</t>
        </is>
      </c>
      <c r="E172" t="inlineStr">
        <is>
          <t>https://lpjk.pu.go.id/search-badan-usaha-detail/RktGREU5K3YyNk16SHJQdjdneWQvZz09</t>
        </is>
      </c>
      <c r="F172" t="n">
        <v>1</v>
      </c>
      <c r="G172" t="inlineStr">
        <is>
          <t>BG006</t>
        </is>
      </c>
      <c r="H172" t="inlineStr">
        <is>
          <t>8 Desember 2016</t>
        </is>
      </c>
      <c r="I172" s="2" t="n">
        <v>46223</v>
      </c>
      <c r="J172" t="inlineStr">
        <is>
          <t>Disetujui</t>
        </is>
      </c>
      <c r="K172" t="n">
        <v>60</v>
      </c>
      <c r="L172" t="inlineStr">
        <is>
          <t>20 Juli 2026</t>
        </is>
      </c>
      <c r="M172" t="inlineStr">
        <is>
          <t>Konstruksi Gedung Pendidikan</t>
        </is>
      </c>
      <c r="N172" t="inlineStr">
        <is>
          <t>K</t>
        </is>
      </c>
      <c r="O172" t="inlineStr">
        <is>
          <t>20230714</t>
        </is>
      </c>
      <c r="P172" t="inlineStr">
        <is>
          <t>Jawa Timur</t>
        </is>
      </c>
      <c r="Q172" s="3">
        <f>HYPERLINK("https://wa.me/6282131876010?text=*[PENGINGAT MASA BERLAKU SBU RAMA KARYA ABADI]*%0A%0AYth. Pimpinan RAMA KARYA ABADI,%0AMohon izin menginformasikan status SBU Anda di sistem LPJK:%0A%0A📄 SBU: BG006%0A📅 Expired: 20 Juli 2026 (60 Hari Lagi)%0A%0AKami tim PT. ESDEA Assistance Management siap men-support proses perpanjangan segera.", "Hubungi")</f>
        <v/>
      </c>
    </row>
    <row r="173">
      <c r="A173" t="inlineStr">
        <is>
          <t>RAMA OKSIBIL SEJAHTERA</t>
        </is>
      </c>
      <c r="B173" t="inlineStr">
        <is>
          <t>Kab Pegunungan Bintang</t>
        </is>
      </c>
      <c r="C173" t="inlineStr">
        <is>
          <t>082337195698</t>
        </is>
      </c>
      <c r="D173" t="inlineStr">
        <is>
          <t>cvramaoks@gmail.com</t>
        </is>
      </c>
      <c r="E173" t="inlineStr">
        <is>
          <t>https://lpjk.pu.go.id/search-badan-usaha-detail/enVSTUw0NGZNR2pEblBBQnQrakJDZz09</t>
        </is>
      </c>
      <c r="F173" t="n">
        <v>1</v>
      </c>
      <c r="G173" t="inlineStr">
        <is>
          <t>BS001</t>
        </is>
      </c>
      <c r="H173" t="inlineStr">
        <is>
          <t>15 Januari 2020</t>
        </is>
      </c>
      <c r="I173" s="2" t="n">
        <v>46223</v>
      </c>
      <c r="J173" t="inlineStr">
        <is>
          <t>Disetujui</t>
        </is>
      </c>
      <c r="K173" t="n">
        <v>60</v>
      </c>
      <c r="L173" t="inlineStr">
        <is>
          <t>20 Juli 2026</t>
        </is>
      </c>
      <c r="M173" t="inlineStr">
        <is>
          <t>Konstruksi Bangunan Sipil Jalan</t>
        </is>
      </c>
      <c r="N173" t="inlineStr">
        <is>
          <t>K</t>
        </is>
      </c>
      <c r="O173" t="inlineStr">
        <is>
          <t>20230714</t>
        </is>
      </c>
      <c r="P173" t="inlineStr">
        <is>
          <t>Papua</t>
        </is>
      </c>
      <c r="Q173" s="3">
        <f>HYPERLINK("https://wa.me/6282337195698?text=*[PENGINGAT MASA BERLAKU SBU RAMA OKSIBIL SEJAHTERA]*%0A%0AYth. Pimpinan RAMA OKSIBIL SEJAHTERA,%0AMohon izin menginformasikan status SBU Anda di sistem LPJK:%0A%0A📄 SBU: BS001%0A📅 Expired: 20 Juli 2026 (60 Hari Lagi)%0A%0AKami tim PT. ESDEA Assistance Management siap men-support proses perpanjangan segera.", "Hubungi")</f>
        <v/>
      </c>
    </row>
    <row r="174">
      <c r="A174" t="inlineStr">
        <is>
          <t>REZKY ARNAS MANDIRI</t>
        </is>
      </c>
      <c r="B174" t="inlineStr">
        <is>
          <t>Kota Palu</t>
        </is>
      </c>
      <c r="C174" t="inlineStr">
        <is>
          <t>08115482333</t>
        </is>
      </c>
      <c r="D174" t="inlineStr">
        <is>
          <t>rezkyarnasmandiricv@gmail.com</t>
        </is>
      </c>
      <c r="E174" t="inlineStr">
        <is>
          <t>https://lpjk.pu.go.id/search-badan-usaha-detail/Smo0UU9SRVUvUHBDdGRKenhYMnNwZz09</t>
        </is>
      </c>
      <c r="F174" t="n">
        <v>1</v>
      </c>
      <c r="G174" t="inlineStr">
        <is>
          <t>BG001</t>
        </is>
      </c>
      <c r="H174" t="inlineStr">
        <is>
          <t>10 Januari 2011</t>
        </is>
      </c>
      <c r="I174" s="2" t="n">
        <v>46223</v>
      </c>
      <c r="J174" t="inlineStr">
        <is>
          <t>Disetujui</t>
        </is>
      </c>
      <c r="K174" t="n">
        <v>60</v>
      </c>
      <c r="L174" t="inlineStr">
        <is>
          <t>20 Juli 2026</t>
        </is>
      </c>
      <c r="M174" t="inlineStr">
        <is>
          <t>Konstruksi Gedung Hunian</t>
        </is>
      </c>
      <c r="N174" t="inlineStr">
        <is>
          <t>K</t>
        </is>
      </c>
      <c r="O174" t="inlineStr">
        <is>
          <t>20230720</t>
        </is>
      </c>
      <c r="P174" t="inlineStr">
        <is>
          <t>Sulawesi Tengah</t>
        </is>
      </c>
      <c r="Q174" s="3">
        <f>HYPERLINK("https://wa.me/628115482333?text=*[PENGINGAT MASA BERLAKU SBU REZKY ARNAS MANDIRI]*%0A%0AYth. Pimpinan REZKY ARNAS MANDIRI,%0AMohon izin menginformasikan status SBU Anda di sistem LPJK:%0A%0A📄 SBU: BG001%0A📅 Expired: 20 Juli 2026 (60 Hari Lagi)%0A%0AKami tim PT. ESDEA Assistance Management siap men-support proses perpanjangan segera.", "Hubungi")</f>
        <v/>
      </c>
    </row>
    <row r="175">
      <c r="A175" t="inlineStr">
        <is>
          <t>RICCATD</t>
        </is>
      </c>
      <c r="B175" t="inlineStr">
        <is>
          <t>Kab. Humbang Hasundutan</t>
        </is>
      </c>
      <c r="C175" t="inlineStr">
        <is>
          <t>081397200904</t>
        </is>
      </c>
      <c r="D175" t="inlineStr">
        <is>
          <t>cvriccat@gmail.com</t>
        </is>
      </c>
      <c r="E175" t="inlineStr">
        <is>
          <t>https://lpjk.pu.go.id/search-badan-usaha-detail/MmhoLzIwY25vNmRoWUdlcDNodDdwUT09</t>
        </is>
      </c>
      <c r="F175" t="n">
        <v>1</v>
      </c>
      <c r="G175" t="inlineStr">
        <is>
          <t>BS001</t>
        </is>
      </c>
      <c r="H175" t="inlineStr">
        <is>
          <t>21 Januari 2020</t>
        </is>
      </c>
      <c r="I175" s="2" t="n">
        <v>46223</v>
      </c>
      <c r="J175" t="inlineStr">
        <is>
          <t>Disetujui</t>
        </is>
      </c>
      <c r="K175" t="n">
        <v>60</v>
      </c>
      <c r="L175" t="inlineStr">
        <is>
          <t>20 Juli 2026</t>
        </is>
      </c>
      <c r="M175" t="inlineStr">
        <is>
          <t>Konstruksi Bangunan Sipil Jalan</t>
        </is>
      </c>
      <c r="N175" t="inlineStr">
        <is>
          <t>K</t>
        </is>
      </c>
      <c r="O175" t="inlineStr">
        <is>
          <t>20230721</t>
        </is>
      </c>
      <c r="P175" t="inlineStr">
        <is>
          <t>Sumatera Utara</t>
        </is>
      </c>
      <c r="Q175" s="3">
        <f>HYPERLINK("https://wa.me/6281397200904?text=*[PENGINGAT MASA BERLAKU SBU RICCATD]*%0A%0AYth. Pimpinan RICCATD,%0AMohon izin menginformasikan status SBU Anda di sistem LPJK:%0A%0A📄 SBU: BS001%0A📅 Expired: 20 Juli 2026 (60 Hari Lagi)%0A%0AKami tim PT. ESDEA Assistance Management siap men-support proses perpanjangan segera.", "Hubungi")</f>
        <v/>
      </c>
    </row>
    <row r="176">
      <c r="A176" t="inlineStr">
        <is>
          <t>RIVAL KARYA KONSTRUKSI</t>
        </is>
      </c>
      <c r="B176" t="inlineStr">
        <is>
          <t>Kota Serang</t>
        </is>
      </c>
      <c r="C176" t="inlineStr">
        <is>
          <t>08176646217</t>
        </is>
      </c>
      <c r="D176" t="inlineStr">
        <is>
          <t>rivalkaryakonstruksi@gmail.com</t>
        </is>
      </c>
      <c r="E176" t="inlineStr">
        <is>
          <t>https://lpjk.pu.go.id/search-badan-usaha-detail/YzNXRXljdGkxWkVqa2VFUWNNYlVXQT09</t>
        </is>
      </c>
      <c r="F176" t="n">
        <v>2</v>
      </c>
      <c r="G176" t="inlineStr">
        <is>
          <t>BS002</t>
        </is>
      </c>
      <c r="H176" t="inlineStr">
        <is>
          <t>13 Maret 2023</t>
        </is>
      </c>
      <c r="I176" s="2" t="n">
        <v>46223</v>
      </c>
      <c r="J176" t="inlineStr">
        <is>
          <t>Pencabutan</t>
        </is>
      </c>
      <c r="K176" t="n">
        <v>60</v>
      </c>
      <c r="L176" t="inlineStr">
        <is>
          <t>20 Juli 2026</t>
        </is>
      </c>
      <c r="M176" t="inlineStr">
        <is>
          <t>Bangunan Sipil Jembatan, Jalan Layang, Fly Over, dan Underpass</t>
        </is>
      </c>
      <c r="N176" t="inlineStr">
        <is>
          <t>K</t>
        </is>
      </c>
      <c r="O176" t="inlineStr">
        <is>
          <t>20230516</t>
        </is>
      </c>
      <c r="P176" t="inlineStr">
        <is>
          <t>Banten</t>
        </is>
      </c>
      <c r="Q176" s="3">
        <f>HYPERLINK("https://wa.me/628176646217?text=*[PENGINGAT MASA BERLAKU SBU RIVAL KARYA KONSTRUKSI]*%0A%0AYth. Pimpinan RIVAL KARYA KONSTRUKSI,%0AMohon izin menginformasikan status SBU Anda di sistem LPJK:%0A%0A📄 SBU: BS002%0A📅 Expired: 20 Juli 2026 (60 Hari Lagi)%0A%0AKami tim PT. ESDEA Assistance Management siap men-support proses perpanjangan segera.", "Hubungi")</f>
        <v/>
      </c>
    </row>
    <row r="177">
      <c r="A177" t="inlineStr">
        <is>
          <t>RIYADI</t>
        </is>
      </c>
      <c r="B177" t="inlineStr">
        <is>
          <t>Kota Bandar Lampung</t>
        </is>
      </c>
      <c r="C177" t="inlineStr">
        <is>
          <t>088267093793</t>
        </is>
      </c>
      <c r="D177" t="inlineStr">
        <is>
          <t>riyadicv2004@gmail.com</t>
        </is>
      </c>
      <c r="E177" t="inlineStr">
        <is>
          <t>https://lpjk.pu.go.id/search-badan-usaha-detail/VUZ2SGNEblJQTkJXU0FCTVBzQzRrZz09</t>
        </is>
      </c>
      <c r="F177" t="n">
        <v>3</v>
      </c>
      <c r="G177" t="inlineStr">
        <is>
          <t>BG002, BG006, BG009</t>
        </is>
      </c>
      <c r="H177" t="inlineStr">
        <is>
          <t>29 Maret 1986</t>
        </is>
      </c>
      <c r="I177" s="2" t="n">
        <v>46223</v>
      </c>
      <c r="J177" t="inlineStr">
        <is>
          <t>Disetujui</t>
        </is>
      </c>
      <c r="K177" t="n">
        <v>60</v>
      </c>
      <c r="L177" t="inlineStr">
        <is>
          <t>20 Juli 2026</t>
        </is>
      </c>
      <c r="M177" t="inlineStr">
        <is>
          <t>Konstruksi Gedung Lainnya, Konstruksi Gedung Pendidikan, Konstruksi Gedung Perkantoran</t>
        </is>
      </c>
      <c r="N177" t="inlineStr">
        <is>
          <t>K</t>
        </is>
      </c>
      <c r="O177" t="inlineStr">
        <is>
          <t>20230719</t>
        </is>
      </c>
      <c r="P177" t="inlineStr">
        <is>
          <t>Lampung</t>
        </is>
      </c>
      <c r="Q177" s="3">
        <f>HYPERLINK("https://wa.me/6288267093793?text=*[PENGINGAT MASA BERLAKU SBU RIYADI]*%0A%0AYth. Pimpinan RIYADI,%0AMohon izin menginformasikan status SBU Anda di sistem LPJK:%0A%0A📄 SBU: BG002, BG006, BG009%0A📅 Expired: 20 Juli 2026 (60 Hari Lagi)%0A%0AKami tim PT. ESDEA Assistance Management siap men-support proses perpanjangan segera.", "Hubungi")</f>
        <v/>
      </c>
    </row>
    <row r="178">
      <c r="A178" t="inlineStr">
        <is>
          <t>RIZKI ENGINERING CONSULTAN</t>
        </is>
      </c>
      <c r="B178" t="inlineStr">
        <is>
          <t>Kab. Pacitan</t>
        </is>
      </c>
      <c r="C178" t="inlineStr">
        <is>
          <t>081359481820</t>
        </is>
      </c>
      <c r="D178" t="inlineStr">
        <is>
          <t>cv.rizkienginering123@gmail.com</t>
        </is>
      </c>
      <c r="E178" t="inlineStr">
        <is>
          <t>https://lpjk.pu.go.id/search-badan-usaha-detail/QVh2SXJac0RuNGpqdUk0ZFlXV1Yzdz09</t>
        </is>
      </c>
      <c r="F178" t="n">
        <v>1</v>
      </c>
      <c r="G178" t="inlineStr">
        <is>
          <t>RK001</t>
        </is>
      </c>
      <c r="H178" t="inlineStr">
        <is>
          <t>18 Januari 2012</t>
        </is>
      </c>
      <c r="I178" s="2" t="n">
        <v>46223</v>
      </c>
      <c r="J178" t="inlineStr">
        <is>
          <t>Disetujui</t>
        </is>
      </c>
      <c r="K178" t="n">
        <v>60</v>
      </c>
      <c r="L178" t="inlineStr">
        <is>
          <t>20 Juli 2026</t>
        </is>
      </c>
      <c r="M178" t="inlineStr">
        <is>
          <t>Jasa Rekayasa Konstruksi Bangunan Gedung Hunian dan Non Hunian</t>
        </is>
      </c>
      <c r="N178" t="inlineStr">
        <is>
          <t>K</t>
        </is>
      </c>
      <c r="O178" t="inlineStr">
        <is>
          <t>20230711</t>
        </is>
      </c>
      <c r="P178" t="inlineStr">
        <is>
          <t>Jawa Timur</t>
        </is>
      </c>
      <c r="Q178" s="3">
        <f>HYPERLINK("https://wa.me/6281359481820?text=*[PENGINGAT MASA BERLAKU SBU RIZKI ENGINERING CONSULTAN]*%0A%0AYth. Pimpinan RIZKI ENGINERING CONSULTAN,%0AMohon izin menginformasikan status SBU Anda di sistem LPJK:%0A%0A📄 SBU: RK001%0A📅 Expired: 20 Juli 2026 (60 Hari Lagi)%0A%0AKami tim PT. ESDEA Assistance Management siap men-support proses perpanjangan segera.", "Hubungi")</f>
        <v/>
      </c>
    </row>
    <row r="179">
      <c r="A179" t="inlineStr">
        <is>
          <t>RIZQI BADDAR</t>
        </is>
      </c>
      <c r="B179" t="inlineStr">
        <is>
          <t>Kab. Indramayu</t>
        </is>
      </c>
      <c r="C179" t="inlineStr">
        <is>
          <t>02347122758</t>
        </is>
      </c>
      <c r="D179" t="inlineStr">
        <is>
          <t>cv.rizqibaddar26@gmail.com</t>
        </is>
      </c>
      <c r="E179" t="inlineStr">
        <is>
          <t>https://lpjk.pu.go.id/search-badan-usaha-detail/NFN2YkpMSGk3TlBaU1ZSSGdHSGUxZz09</t>
        </is>
      </c>
      <c r="F179" t="n">
        <v>3</v>
      </c>
      <c r="G179" t="inlineStr">
        <is>
          <t>BG005, BG006, BG009</t>
        </is>
      </c>
      <c r="H179" t="inlineStr">
        <is>
          <t>24 Januari 2020</t>
        </is>
      </c>
      <c r="I179" s="2" t="n">
        <v>46223</v>
      </c>
      <c r="J179" t="inlineStr">
        <is>
          <t>Disetujui</t>
        </is>
      </c>
      <c r="K179" t="n">
        <v>60</v>
      </c>
      <c r="L179" t="inlineStr">
        <is>
          <t>20 Juli 2026</t>
        </is>
      </c>
      <c r="M179" t="inlineStr">
        <is>
          <t>Konstruksi Gedung Kesehatan, Konstruksi Gedung Lainnya, Konstruksi Gedung Pendidikan</t>
        </is>
      </c>
      <c r="N179" t="inlineStr">
        <is>
          <t>K</t>
        </is>
      </c>
      <c r="O179" t="inlineStr">
        <is>
          <t>20230718</t>
        </is>
      </c>
      <c r="P179" t="inlineStr">
        <is>
          <t>Jawa Barat</t>
        </is>
      </c>
      <c r="Q179" s="3">
        <f>HYPERLINK("https://wa.me/622347122758?text=*[PENGINGAT MASA BERLAKU SBU RIZQI BADDAR]*%0A%0AYth. Pimpinan RIZQI BADDAR,%0AMohon izin menginformasikan status SBU Anda di sistem LPJK:%0A%0A📄 SBU: BG005, BG006, BG009%0A📅 Expired: 20 Juli 2026 (60 Hari Lagi)%0A%0AKami tim PT. ESDEA Assistance Management siap men-support proses perpanjangan segera.", "Hubungi")</f>
        <v/>
      </c>
    </row>
    <row r="180">
      <c r="A180" t="inlineStr">
        <is>
          <t>RODA JAYA MANDIRI KONTRACTION</t>
        </is>
      </c>
      <c r="B180" t="inlineStr">
        <is>
          <t>Kab. Bantul</t>
        </is>
      </c>
      <c r="C180" t="inlineStr">
        <is>
          <t>081212605727</t>
        </is>
      </c>
      <c r="D180" t="inlineStr">
        <is>
          <t>rodajayamandirikontraction@gmail.com</t>
        </is>
      </c>
      <c r="E180" t="inlineStr">
        <is>
          <t>https://lpjk.pu.go.id/search-badan-usaha-detail/SzE0d0J2UCsreWlyNkIvUFpoOUFoZnVuUjRiVVZrWXpoZlVhMW45NkFzdz0</t>
        </is>
      </c>
      <c r="F180" t="n">
        <v>3</v>
      </c>
      <c r="G180" t="inlineStr">
        <is>
          <t>BG006, BG009, BS004</t>
        </is>
      </c>
      <c r="H180" t="inlineStr">
        <is>
          <t>1 Januari 1970</t>
        </is>
      </c>
      <c r="I180" s="2" t="n">
        <v>46223</v>
      </c>
      <c r="J180" t="inlineStr">
        <is>
          <t>Disetujui</t>
        </is>
      </c>
      <c r="K180" t="n">
        <v>60</v>
      </c>
      <c r="L180" t="inlineStr">
        <is>
          <t>20 Juli 2026</t>
        </is>
      </c>
      <c r="M180" t="inlineStr">
        <is>
          <t>Konstruksi Gedung Lainnya, Konstruksi Gedung Pendidikan, Konstruksi Jaringan Irigasi dan Drainase</t>
        </is>
      </c>
      <c r="N180" t="inlineStr">
        <is>
          <t>K</t>
        </is>
      </c>
      <c r="O180" t="inlineStr">
        <is>
          <t>20230714</t>
        </is>
      </c>
      <c r="P180" t="inlineStr">
        <is>
          <t>DI Yogyakarta</t>
        </is>
      </c>
      <c r="Q180" s="3">
        <f>HYPERLINK("https://wa.me/6281212605727?text=*[PENGINGAT MASA BERLAKU SBU RODA JAYA MANDIRI KONTRACTION]*%0A%0AYth. Pimpinan RODA JAYA MANDIRI KONTRACTION,%0AMohon izin menginformasikan status SBU Anda di sistem LPJK:%0A%0A📄 SBU: BG006, BG009, BS004%0A📅 Expired: 20 Juli 2026 (60 Hari Lagi)%0A%0AKami tim PT. ESDEA Assistance Management siap men-support proses perpanjangan segera.", "Hubungi")</f>
        <v/>
      </c>
    </row>
    <row r="181">
      <c r="A181" t="inlineStr">
        <is>
          <t>RUMAH BERNEH</t>
        </is>
      </c>
      <c r="B181" t="inlineStr">
        <is>
          <t>Kab. Karo</t>
        </is>
      </c>
      <c r="C181" t="inlineStr">
        <is>
          <t>628324569</t>
        </is>
      </c>
      <c r="D181" t="inlineStr">
        <is>
          <t>rb_bage@yahoo.com</t>
        </is>
      </c>
      <c r="E181" t="inlineStr">
        <is>
          <t>https://lpjk.pu.go.id/search-badan-usaha-detail/WWpsWDg3RFBWZVlsOHlxWmVsZzhRZz09</t>
        </is>
      </c>
      <c r="F181" t="n">
        <v>1</v>
      </c>
      <c r="G181" t="inlineStr">
        <is>
          <t>BS001</t>
        </is>
      </c>
      <c r="H181" t="inlineStr">
        <is>
          <t>21 Oktober 2010</t>
        </is>
      </c>
      <c r="I181" s="2" t="n">
        <v>46223</v>
      </c>
      <c r="J181" t="inlineStr">
        <is>
          <t>Pencabutan</t>
        </is>
      </c>
      <c r="K181" t="n">
        <v>60</v>
      </c>
      <c r="L181" t="inlineStr">
        <is>
          <t>20 Juli 2026</t>
        </is>
      </c>
      <c r="M181" t="inlineStr">
        <is>
          <t>Konstruksi Bangunan Sipil Jalan</t>
        </is>
      </c>
      <c r="N181" t="inlineStr">
        <is>
          <t>B</t>
        </is>
      </c>
      <c r="O181" t="inlineStr">
        <is>
          <t>20230720</t>
        </is>
      </c>
      <c r="P181" t="inlineStr">
        <is>
          <t>Sumatera Utara</t>
        </is>
      </c>
      <c r="Q181" s="3">
        <f>HYPERLINK("https://wa.me/628324569?text=*[PENGINGAT MASA BERLAKU SBU RUMAH BERNEH]*%0A%0AYth. Pimpinan RUMAH BERNEH,%0AMohon izin menginformasikan status SBU Anda di sistem LPJK:%0A%0A📄 SBU: BS001%0A📅 Expired: 20 Juli 2026 (60 Hari Lagi)%0A%0AKami tim PT. ESDEA Assistance Management siap men-support proses perpanjangan segera.", "Hubungi")</f>
        <v/>
      </c>
    </row>
    <row r="182">
      <c r="A182" t="inlineStr">
        <is>
          <t>SAKTI JAYA PERKASA</t>
        </is>
      </c>
      <c r="B182" t="inlineStr">
        <is>
          <t>Kab. Pidie</t>
        </is>
      </c>
      <c r="C182" t="inlineStr">
        <is>
          <t>082267538789</t>
        </is>
      </c>
      <c r="D182" t="inlineStr">
        <is>
          <t>yusuf_lpm@yahoo.co.id</t>
        </is>
      </c>
      <c r="E182" t="inlineStr">
        <is>
          <t>https://lpjk.pu.go.id/search-badan-usaha-detail/SmJidllyQXZ1bGlhZ2ZBeEpETThJdz09</t>
        </is>
      </c>
      <c r="F182" t="n">
        <v>2</v>
      </c>
      <c r="G182" t="inlineStr">
        <is>
          <t>BG009, BS001</t>
        </is>
      </c>
      <c r="H182" t="inlineStr">
        <is>
          <t>27 April 2016</t>
        </is>
      </c>
      <c r="I182" s="2" t="n">
        <v>46223</v>
      </c>
      <c r="J182" t="inlineStr">
        <is>
          <t>Disetujui</t>
        </is>
      </c>
      <c r="K182" t="n">
        <v>60</v>
      </c>
      <c r="L182" t="inlineStr">
        <is>
          <t>20 Juli 2026</t>
        </is>
      </c>
      <c r="M182" t="inlineStr">
        <is>
          <t>Konstruksi Bangunan Sipil Jalan, Konstruksi Gedung Lainnya</t>
        </is>
      </c>
      <c r="N182" t="inlineStr">
        <is>
          <t>K</t>
        </is>
      </c>
      <c r="O182" t="inlineStr">
        <is>
          <t>20230714</t>
        </is>
      </c>
      <c r="P182" t="inlineStr">
        <is>
          <t>Aceh</t>
        </is>
      </c>
      <c r="Q182" s="3">
        <f>HYPERLINK("https://wa.me/6282267538789?text=*[PENGINGAT MASA BERLAKU SBU SAKTI JAYA PERKASA]*%0A%0AYth. Pimpinan SAKTI JAYA PERKASA,%0AMohon izin menginformasikan status SBU Anda di sistem LPJK:%0A%0A📄 SBU: BG009, BS001%0A📅 Expired: 20 Juli 2026 (60 Hari Lagi)%0A%0AKami tim PT. ESDEA Assistance Management siap men-support proses perpanjangan segera.", "Hubungi")</f>
        <v/>
      </c>
    </row>
    <row r="183">
      <c r="A183" t="inlineStr">
        <is>
          <t>SANTANADI</t>
        </is>
      </c>
      <c r="B183" t="inlineStr">
        <is>
          <t>Kab. Sumbawa Barat</t>
        </is>
      </c>
      <c r="C183" t="inlineStr">
        <is>
          <t>081236674899</t>
        </is>
      </c>
      <c r="D183" t="inlineStr">
        <is>
          <t>cv.santanadi@gmail.com</t>
        </is>
      </c>
      <c r="E183" t="inlineStr">
        <is>
          <t>https://lpjk.pu.go.id/search-badan-usaha-detail/YUdVKzlmZU9lcmUyVXU4TzU0NkFSQT09</t>
        </is>
      </c>
      <c r="F183" t="n">
        <v>1</v>
      </c>
      <c r="G183" t="inlineStr">
        <is>
          <t>BG009</t>
        </is>
      </c>
      <c r="H183" t="inlineStr">
        <is>
          <t>5 Januari 2011</t>
        </is>
      </c>
      <c r="I183" s="2" t="n">
        <v>46223</v>
      </c>
      <c r="J183" t="inlineStr">
        <is>
          <t>Disetujui</t>
        </is>
      </c>
      <c r="K183" t="n">
        <v>60</v>
      </c>
      <c r="L183" t="inlineStr">
        <is>
          <t>20 Juli 2026</t>
        </is>
      </c>
      <c r="M183" t="inlineStr">
        <is>
          <t>Konstruksi Gedung Lainnya</t>
        </is>
      </c>
      <c r="N183" t="inlineStr">
        <is>
          <t>K</t>
        </is>
      </c>
      <c r="O183" t="inlineStr">
        <is>
          <t>20230618</t>
        </is>
      </c>
      <c r="P183" t="inlineStr">
        <is>
          <t>Nusa Tenggara Barat</t>
        </is>
      </c>
      <c r="Q183" s="3">
        <f>HYPERLINK("https://wa.me/6281236674899?text=*[PENGINGAT MASA BERLAKU SBU SANTANADI]*%0A%0AYth. Pimpinan SANTANADI,%0AMohon izin menginformasikan status SBU Anda di sistem LPJK:%0A%0A📄 SBU: BG009%0A📅 Expired: 20 Juli 2026 (60 Hari Lagi)%0A%0AKami tim PT. ESDEA Assistance Management siap men-support proses perpanjangan segera.", "Hubungi")</f>
        <v/>
      </c>
    </row>
    <row r="184">
      <c r="A184" t="inlineStr">
        <is>
          <t>SATRIA MAHKOTA TUNGGAL</t>
        </is>
      </c>
      <c r="B184" t="inlineStr">
        <is>
          <t>Kota Samarinda</t>
        </is>
      </c>
      <c r="C184" t="inlineStr">
        <is>
          <t>082251464889</t>
        </is>
      </c>
      <c r="D184" t="inlineStr">
        <is>
          <t>cvmahkotatunggal@gmail.com</t>
        </is>
      </c>
      <c r="E184" t="inlineStr">
        <is>
          <t>https://lpjk.pu.go.id/search-badan-usaha-detail/ODlkc2VOUWptRVRpeDJWRkhYbVVPZz09</t>
        </is>
      </c>
      <c r="F184" t="n">
        <v>3</v>
      </c>
      <c r="G184" t="inlineStr">
        <is>
          <t>BG006, BG009, BS001</t>
        </is>
      </c>
      <c r="H184" t="inlineStr">
        <is>
          <t>10 Juli 2023</t>
        </is>
      </c>
      <c r="I184" s="2" t="n">
        <v>46223</v>
      </c>
      <c r="J184" t="inlineStr">
        <is>
          <t>Disetujui</t>
        </is>
      </c>
      <c r="K184" t="n">
        <v>60</v>
      </c>
      <c r="L184" t="inlineStr">
        <is>
          <t>20 Juli 2026</t>
        </is>
      </c>
      <c r="M184" t="inlineStr">
        <is>
          <t>Konstruksi Bangunan Sipil Jalan, Konstruksi Gedung Lainnya, Konstruksi Gedung Pendidikan</t>
        </is>
      </c>
      <c r="N184" t="inlineStr">
        <is>
          <t>K</t>
        </is>
      </c>
      <c r="O184" t="inlineStr">
        <is>
          <t>20230721</t>
        </is>
      </c>
      <c r="P184" t="inlineStr">
        <is>
          <t>Kalimantan Timur</t>
        </is>
      </c>
      <c r="Q184" s="3">
        <f>HYPERLINK("https://wa.me/6282251464889?text=*[PENGINGAT MASA BERLAKU SBU SATRIA MAHKOTA TUNGGAL]*%0A%0AYth. Pimpinan SATRIA MAHKOTA TUNGGAL,%0AMohon izin menginformasikan status SBU Anda di sistem LPJK:%0A%0A📄 SBU: BG006, BG009, BS001%0A📅 Expired: 20 Juli 2026 (60 Hari Lagi)%0A%0AKami tim PT. ESDEA Assistance Management siap men-support proses perpanjangan segera.", "Hubungi")</f>
        <v/>
      </c>
    </row>
    <row r="185">
      <c r="A185" t="inlineStr">
        <is>
          <t>SATRIA PININGIT</t>
        </is>
      </c>
      <c r="B185" t="inlineStr">
        <is>
          <t>Kota Cimahi</t>
        </is>
      </c>
      <c r="C185" t="inlineStr">
        <is>
          <t>085974205111</t>
        </is>
      </c>
      <c r="D185" t="inlineStr">
        <is>
          <t>cv.satriapiningit01@gmail.com</t>
        </is>
      </c>
      <c r="E185" t="inlineStr">
        <is>
          <t>https://lpjk.pu.go.id/search-badan-usaha-detail/Qk1jd0I0MlgydDh1QXR6U2haY0Z6UT09</t>
        </is>
      </c>
      <c r="F185" t="n">
        <v>1</v>
      </c>
      <c r="G185" t="inlineStr">
        <is>
          <t>BG009</t>
        </is>
      </c>
      <c r="H185" t="inlineStr">
        <is>
          <t>7 Februari 2019</t>
        </is>
      </c>
      <c r="I185" s="2" t="n">
        <v>46223</v>
      </c>
      <c r="J185" t="inlineStr">
        <is>
          <t>Disetujui</t>
        </is>
      </c>
      <c r="K185" t="n">
        <v>60</v>
      </c>
      <c r="L185" t="inlineStr">
        <is>
          <t>20 Juli 2026</t>
        </is>
      </c>
      <c r="M185" t="inlineStr">
        <is>
          <t>Konstruksi Gedung Lainnya</t>
        </is>
      </c>
      <c r="N185" t="inlineStr">
        <is>
          <t>K</t>
        </is>
      </c>
      <c r="O185" t="inlineStr">
        <is>
          <t>20230721</t>
        </is>
      </c>
      <c r="P185" t="inlineStr">
        <is>
          <t>Jawa Barat</t>
        </is>
      </c>
      <c r="Q185" s="3">
        <f>HYPERLINK("https://wa.me/6285974205111?text=*[PENGINGAT MASA BERLAKU SBU SATRIA PININGIT]*%0A%0AYth. Pimpinan SATRIA PININGIT,%0AMohon izin menginformasikan status SBU Anda di sistem LPJK:%0A%0A📄 SBU: BG009%0A📅 Expired: 20 Juli 2026 (60 Hari Lagi)%0A%0AKami tim PT. ESDEA Assistance Management siap men-support proses perpanjangan segera.", "Hubungi")</f>
        <v/>
      </c>
    </row>
    <row r="186">
      <c r="A186" t="inlineStr">
        <is>
          <t>SAWANG PERSADA KONSTRUKSI</t>
        </is>
      </c>
      <c r="B186" t="inlineStr">
        <is>
          <t>Kota Jambi</t>
        </is>
      </c>
      <c r="C186" t="inlineStr">
        <is>
          <t>081282192922</t>
        </is>
      </c>
      <c r="D186" t="inlineStr">
        <is>
          <t>sawangpersadakontruksi01@gmail.com</t>
        </is>
      </c>
      <c r="E186" t="inlineStr">
        <is>
          <t>https://lpjk.pu.go.id/search-badan-usaha-detail/VjVNdzFrdEYveGZ1aVBMTm14UHFiZz09</t>
        </is>
      </c>
      <c r="F186" t="n">
        <v>4</v>
      </c>
      <c r="G186" t="inlineStr">
        <is>
          <t>BG002, BG005, BG006, BG009</t>
        </is>
      </c>
      <c r="H186" t="inlineStr">
        <is>
          <t>1 Juli 2019</t>
        </is>
      </c>
      <c r="I186" s="2" t="n">
        <v>46223</v>
      </c>
      <c r="J186" t="inlineStr">
        <is>
          <t>Pencabutan</t>
        </is>
      </c>
      <c r="K186" t="n">
        <v>60</v>
      </c>
      <c r="L186" t="inlineStr">
        <is>
          <t>20 Juli 2026</t>
        </is>
      </c>
      <c r="M186" t="inlineStr">
        <is>
          <t>Konstruksi Gedung Kesehatan, Konstruksi Gedung Lainnya, Konstruksi Gedung Pendidikan, Konstruksi Gedung Perkantoran</t>
        </is>
      </c>
      <c r="N186" t="inlineStr">
        <is>
          <t>K</t>
        </is>
      </c>
      <c r="O186" t="inlineStr">
        <is>
          <t>20230717</t>
        </is>
      </c>
      <c r="P186" t="inlineStr">
        <is>
          <t>Jambi</t>
        </is>
      </c>
      <c r="Q186" s="3">
        <f>HYPERLINK("https://wa.me/6281282192922?text=*[PENGINGAT MASA BERLAKU SBU SAWANG PERSADA KONSTRUKSI]*%0A%0AYth. Pimpinan SAWANG PERSADA KONSTRUKSI,%0AMohon izin menginformasikan status SBU Anda di sistem LPJK:%0A%0A📄 SBU: BG002, BG005, BG006, BG009%0A📅 Expired: 20 Juli 2026 (60 Hari Lagi)%0A%0AKami tim PT. ESDEA Assistance Management siap men-support proses perpanjangan segera.", "Hubungi")</f>
        <v/>
      </c>
    </row>
    <row r="187">
      <c r="A187" t="inlineStr">
        <is>
          <t>SEJAHTERA BERSAMA MEGA RAYA</t>
        </is>
      </c>
      <c r="B187" t="inlineStr">
        <is>
          <t>Kab. Nganjuk</t>
        </is>
      </c>
      <c r="C187" t="inlineStr">
        <is>
          <t>081289929270</t>
        </is>
      </c>
      <c r="D187" t="inlineStr">
        <is>
          <t>sbmrcakep100@gmail.com</t>
        </is>
      </c>
      <c r="E187" t="inlineStr">
        <is>
          <t>https://lpjk.pu.go.id/search-badan-usaha-detail/c0x3R0ZyRzk2bWVpeGYyNW1pSHU4dz09</t>
        </is>
      </c>
      <c r="F187" t="n">
        <v>3</v>
      </c>
      <c r="G187" t="inlineStr">
        <is>
          <t>BG004, BG005, BG006</t>
        </is>
      </c>
      <c r="H187" t="inlineStr">
        <is>
          <t>11 Februari 2020</t>
        </is>
      </c>
      <c r="I187" s="2" t="n">
        <v>46223</v>
      </c>
      <c r="J187" t="inlineStr">
        <is>
          <t>Disetujui</t>
        </is>
      </c>
      <c r="K187" t="n">
        <v>60</v>
      </c>
      <c r="L187" t="inlineStr">
        <is>
          <t>20 Juli 2026</t>
        </is>
      </c>
      <c r="M187" t="inlineStr">
        <is>
          <t>Konstruksi Gedung Kesehatan, Konstruksi Gedung Pendidikan, Konstruksi Gedung Perbelanjaan</t>
        </is>
      </c>
      <c r="N187" t="inlineStr">
        <is>
          <t>K</t>
        </is>
      </c>
      <c r="O187" t="inlineStr">
        <is>
          <t>20230714, 20230715</t>
        </is>
      </c>
      <c r="P187" t="inlineStr">
        <is>
          <t>Jawa Timur</t>
        </is>
      </c>
      <c r="Q187" s="3">
        <f>HYPERLINK("https://wa.me/6281289929270?text=*[PENGINGAT MASA BERLAKU SBU SEJAHTERA BERSAMA MEGA RAYA]*%0A%0AYth. Pimpinan SEJAHTERA BERSAMA MEGA RAYA,%0AMohon izin menginformasikan status SBU Anda di sistem LPJK:%0A%0A📄 SBU: BG004, BG005, BG006%0A📅 Expired: 20 Juli 2026 (60 Hari Lagi)%0A%0AKami tim PT. ESDEA Assistance Management siap men-support proses perpanjangan segera.", "Hubungi")</f>
        <v/>
      </c>
    </row>
    <row r="188">
      <c r="A188" t="inlineStr">
        <is>
          <t>SEJAHTERA UTAMA</t>
        </is>
      </c>
      <c r="B188" t="inlineStr">
        <is>
          <t>Kab. Samosir</t>
        </is>
      </c>
      <c r="C188" t="inlineStr">
        <is>
          <t>081375231348</t>
        </is>
      </c>
      <c r="D188" t="inlineStr">
        <is>
          <t>cvsejahterautama20@gmail.com</t>
        </is>
      </c>
      <c r="E188" t="inlineStr">
        <is>
          <t>https://lpjk.pu.go.id/search-badan-usaha-detail/WHA4UGpROHhTdk9VWFU3Wk95ZGNwdz09</t>
        </is>
      </c>
      <c r="F188" t="n">
        <v>1</v>
      </c>
      <c r="G188" t="inlineStr">
        <is>
          <t>BG001</t>
        </is>
      </c>
      <c r="H188" t="inlineStr">
        <is>
          <t>13 Januari 2011</t>
        </is>
      </c>
      <c r="I188" s="2" t="n">
        <v>46223</v>
      </c>
      <c r="J188" t="inlineStr">
        <is>
          <t>Disetujui</t>
        </is>
      </c>
      <c r="K188" t="n">
        <v>60</v>
      </c>
      <c r="L188" t="inlineStr">
        <is>
          <t>20 Juli 2026</t>
        </is>
      </c>
      <c r="M188" t="inlineStr">
        <is>
          <t>Konstruksi Gedung Hunian</t>
        </is>
      </c>
      <c r="N188" t="inlineStr">
        <is>
          <t>K</t>
        </is>
      </c>
      <c r="O188" t="inlineStr">
        <is>
          <t>20230718</t>
        </is>
      </c>
      <c r="P188" t="inlineStr">
        <is>
          <t>Sumatera Utara</t>
        </is>
      </c>
      <c r="Q188" s="3">
        <f>HYPERLINK("https://wa.me/6281375231348?text=*[PENGINGAT MASA BERLAKU SBU SEJAHTERA UTAMA]*%0A%0AYth. Pimpinan SEJAHTERA UTAMA,%0AMohon izin menginformasikan status SBU Anda di sistem LPJK:%0A%0A📄 SBU: BG001%0A📅 Expired: 20 Juli 2026 (60 Hari Lagi)%0A%0AKami tim PT. ESDEA Assistance Management siap men-support proses perpanjangan segera.", "Hubungi")</f>
        <v/>
      </c>
    </row>
    <row r="189">
      <c r="A189" t="inlineStr">
        <is>
          <t>SEJATI SENTOSA</t>
        </is>
      </c>
      <c r="B189" t="inlineStr">
        <is>
          <t>Kab. Tasikmalaya</t>
        </is>
      </c>
      <c r="C189" t="inlineStr">
        <is>
          <t>082119353197</t>
        </is>
      </c>
      <c r="D189" t="inlineStr">
        <is>
          <t>sentosacvsejati@gmail.com</t>
        </is>
      </c>
      <c r="E189" t="inlineStr">
        <is>
          <t>https://lpjk.pu.go.id/search-badan-usaha-detail/emltYkxsKzRveFYzVmc0cnRseVZVZz09</t>
        </is>
      </c>
      <c r="F189" t="n">
        <v>1</v>
      </c>
      <c r="G189" t="inlineStr">
        <is>
          <t>BS001</t>
        </is>
      </c>
      <c r="H189" t="inlineStr">
        <is>
          <t>27 Maret 2023</t>
        </is>
      </c>
      <c r="I189" s="2" t="n">
        <v>46223</v>
      </c>
      <c r="J189" t="inlineStr">
        <is>
          <t>Disetujui</t>
        </is>
      </c>
      <c r="K189" t="n">
        <v>60</v>
      </c>
      <c r="L189" t="inlineStr">
        <is>
          <t>20 Juli 2026</t>
        </is>
      </c>
      <c r="M189" t="inlineStr">
        <is>
          <t>Konstruksi Bangunan Sipil Jalan</t>
        </is>
      </c>
      <c r="N189" t="inlineStr">
        <is>
          <t>K</t>
        </is>
      </c>
      <c r="O189" t="inlineStr">
        <is>
          <t>20230720</t>
        </is>
      </c>
      <c r="P189" t="inlineStr">
        <is>
          <t>Jawa Barat</t>
        </is>
      </c>
      <c r="Q189" s="3">
        <f>HYPERLINK("https://wa.me/6282119353197?text=*[PENGINGAT MASA BERLAKU SBU SEJATI SENTOSA]*%0A%0AYth. Pimpinan SEJATI SENTOSA,%0AMohon izin menginformasikan status SBU Anda di sistem LPJK:%0A%0A📄 SBU: BS001%0A📅 Expired: 20 Juli 2026 (60 Hari Lagi)%0A%0AKami tim PT. ESDEA Assistance Management siap men-support proses perpanjangan segera.", "Hubungi")</f>
        <v/>
      </c>
    </row>
    <row r="190">
      <c r="A190" t="inlineStr">
        <is>
          <t>SEKAWAN KONSULTAN</t>
        </is>
      </c>
      <c r="B190" t="inlineStr">
        <is>
          <t>Kab. Kulon Progo</t>
        </is>
      </c>
      <c r="C190" t="inlineStr">
        <is>
          <t>081328211500</t>
        </is>
      </c>
      <c r="D190" t="inlineStr">
        <is>
          <t>sekawankonsultanindonesia@gmail.com</t>
        </is>
      </c>
      <c r="E190" t="inlineStr">
        <is>
          <t>https://lpjk.pu.go.id/search-badan-usaha-detail/cm1PSU9id1dHWkx6K0E0UHNIYmNHQT09</t>
        </is>
      </c>
      <c r="F190" t="n">
        <v>4</v>
      </c>
      <c r="G190" t="inlineStr">
        <is>
          <t>AR001, AR002</t>
        </is>
      </c>
      <c r="H190" t="inlineStr">
        <is>
          <t>15 Oktober 2020</t>
        </is>
      </c>
      <c r="I190" s="2" t="n">
        <v>46223</v>
      </c>
      <c r="J190" t="inlineStr">
        <is>
          <t>Pencabutan</t>
        </is>
      </c>
      <c r="K190" t="n">
        <v>60</v>
      </c>
      <c r="L190" t="inlineStr">
        <is>
          <t>20 Juli 2026</t>
        </is>
      </c>
      <c r="M190" t="inlineStr">
        <is>
          <t>Jasa Arsitektural Bangunan Gedung Hunian dan Non Hunian, Jasa Arsitektural Lainnya</t>
        </is>
      </c>
      <c r="N190" t="inlineStr">
        <is>
          <t>K</t>
        </is>
      </c>
      <c r="O190" t="inlineStr">
        <is>
          <t>20230711</t>
        </is>
      </c>
      <c r="P190" t="inlineStr">
        <is>
          <t>DI Yogyakarta</t>
        </is>
      </c>
      <c r="Q190" s="3">
        <f>HYPERLINK("https://wa.me/6281328211500?text=*[PENGINGAT MASA BERLAKU SBU SEKAWAN KONSULTAN]*%0A%0AYth. Pimpinan SEKAWAN KONSULTAN,%0AMohon izin menginformasikan status SBU Anda di sistem LPJK:%0A%0A📄 SBU: AR001, AR002%0A📅 Expired: 20 Juli 2026 (60 Hari Lagi)%0A%0AKami tim PT. ESDEA Assistance Management siap men-support proses perpanjangan segera.", "Hubungi")</f>
        <v/>
      </c>
    </row>
    <row r="191">
      <c r="A191" t="inlineStr">
        <is>
          <t>SELOMAESO</t>
        </is>
      </c>
      <c r="B191" t="inlineStr">
        <is>
          <t>Kab. Banyuwangi</t>
        </is>
      </c>
      <c r="C191" t="inlineStr">
        <is>
          <t>085330088957</t>
        </is>
      </c>
      <c r="D191" t="inlineStr">
        <is>
          <t>selomaesobanyuwangi@gmail.com</t>
        </is>
      </c>
      <c r="E191" t="inlineStr">
        <is>
          <t>https://lpjk.pu.go.id/search-badan-usaha-detail/TWxDQUhWMmJIc25HdmdXOU4vbTZrUT09</t>
        </is>
      </c>
      <c r="F191" t="n">
        <v>1</v>
      </c>
      <c r="G191" t="inlineStr">
        <is>
          <t>BS004</t>
        </is>
      </c>
      <c r="H191" t="inlineStr">
        <is>
          <t>6 Februari 2018</t>
        </is>
      </c>
      <c r="I191" s="2" t="n">
        <v>46223</v>
      </c>
      <c r="J191" t="inlineStr">
        <is>
          <t>Disetujui</t>
        </is>
      </c>
      <c r="K191" t="n">
        <v>60</v>
      </c>
      <c r="L191" t="inlineStr">
        <is>
          <t>20 Juli 2026</t>
        </is>
      </c>
      <c r="M191" t="inlineStr">
        <is>
          <t>Konstruksi Jaringan Irigasi dan Drainase</t>
        </is>
      </c>
      <c r="N191" t="inlineStr">
        <is>
          <t>K</t>
        </is>
      </c>
      <c r="O191" t="inlineStr">
        <is>
          <t>20230405</t>
        </is>
      </c>
      <c r="P191" t="inlineStr">
        <is>
          <t>Jawa Timur</t>
        </is>
      </c>
      <c r="Q191" s="3">
        <f>HYPERLINK("https://wa.me/6285330088957?text=*[PENGINGAT MASA BERLAKU SBU SELOMAESO]*%0A%0AYth. Pimpinan SELOMAESO,%0AMohon izin menginformasikan status SBU Anda di sistem LPJK:%0A%0A📄 SBU: BS004%0A📅 Expired: 20 Juli 2026 (60 Hari Lagi)%0A%0AKami tim PT. ESDEA Assistance Management siap men-support proses perpanjangan segera.", "Hubungi")</f>
        <v/>
      </c>
    </row>
    <row r="192">
      <c r="A192" t="inlineStr">
        <is>
          <t>SEMANGAT MERAIH CITA (SMART CO)</t>
        </is>
      </c>
      <c r="B192" t="inlineStr">
        <is>
          <t>Kab. Klaten</t>
        </is>
      </c>
      <c r="C192" t="inlineStr">
        <is>
          <t>0272322564</t>
        </is>
      </c>
      <c r="D192" t="inlineStr">
        <is>
          <t>hasta.smartco@gmail.com</t>
        </is>
      </c>
      <c r="E192" t="inlineStr">
        <is>
          <t>https://lpjk.pu.go.id/search-badan-usaha-detail/T1hXL0hSb2l4TnlCZkZHejFrZit3Zz09</t>
        </is>
      </c>
      <c r="F192" t="n">
        <v>1</v>
      </c>
      <c r="G192" t="inlineStr">
        <is>
          <t>BG009</t>
        </is>
      </c>
      <c r="H192" t="inlineStr">
        <is>
          <t>14 April 2011</t>
        </is>
      </c>
      <c r="I192" s="2" t="n">
        <v>46223</v>
      </c>
      <c r="J192" t="inlineStr">
        <is>
          <t>Disetujui</t>
        </is>
      </c>
      <c r="K192" t="n">
        <v>60</v>
      </c>
      <c r="L192" t="inlineStr">
        <is>
          <t>20 Juli 2026</t>
        </is>
      </c>
      <c r="M192" t="inlineStr">
        <is>
          <t>Konstruksi Gedung Lainnya</t>
        </is>
      </c>
      <c r="N192" t="inlineStr">
        <is>
          <t>K</t>
        </is>
      </c>
      <c r="O192" t="inlineStr">
        <is>
          <t>20230718</t>
        </is>
      </c>
      <c r="P192" t="inlineStr">
        <is>
          <t>Jawa Tengah</t>
        </is>
      </c>
      <c r="Q192" s="3">
        <f>HYPERLINK("https://wa.me/62272322564?text=*[PENGINGAT MASA BERLAKU SBU SEMANGAT MERAIH CITA (SMART CO)]*%0A%0AYth. Pimpinan SEMANGAT MERAIH CITA (SMART CO),%0AMohon izin menginformasikan status SBU Anda di sistem LPJK:%0A%0A📄 SBU: BG009%0A📅 Expired: 20 Juli 2026 (60 Hari Lagi)%0A%0AKami tim PT. ESDEA Assistance Management siap men-support proses perpanjangan segera.", "Hubungi")</f>
        <v/>
      </c>
    </row>
    <row r="193">
      <c r="A193" t="inlineStr">
        <is>
          <t>SENTOSA PELING SEJAHTERA</t>
        </is>
      </c>
      <c r="B193" t="inlineStr">
        <is>
          <t>Kab. Banggai Kepulauan</t>
        </is>
      </c>
      <c r="C193" t="inlineStr">
        <is>
          <t>082292000919</t>
        </is>
      </c>
      <c r="D193" t="inlineStr">
        <is>
          <t>abdillahyudha67@gmail.com</t>
        </is>
      </c>
      <c r="E193" t="inlineStr">
        <is>
          <t>https://lpjk.pu.go.id/search-badan-usaha-detail/RVRtUmJkRFRVbWZWL3BMb0djVWZ3UT09</t>
        </is>
      </c>
      <c r="F193" t="n">
        <v>1</v>
      </c>
      <c r="G193" t="inlineStr">
        <is>
          <t>BS001</t>
        </is>
      </c>
      <c r="H193" t="inlineStr">
        <is>
          <t>3 Juni 2016</t>
        </is>
      </c>
      <c r="I193" s="2" t="n">
        <v>46223</v>
      </c>
      <c r="J193" t="inlineStr">
        <is>
          <t>Disetujui</t>
        </is>
      </c>
      <c r="K193" t="n">
        <v>60</v>
      </c>
      <c r="L193" t="inlineStr">
        <is>
          <t>20 Juli 2026</t>
        </is>
      </c>
      <c r="M193" t="inlineStr">
        <is>
          <t>Konstruksi Bangunan Sipil Jalan</t>
        </is>
      </c>
      <c r="N193" t="inlineStr">
        <is>
          <t>K</t>
        </is>
      </c>
      <c r="O193" t="inlineStr">
        <is>
          <t>20230720</t>
        </is>
      </c>
      <c r="P193" t="inlineStr">
        <is>
          <t>Sulawesi Tengah</t>
        </is>
      </c>
      <c r="Q193" s="3">
        <f>HYPERLINK("https://wa.me/6282292000919?text=*[PENGINGAT MASA BERLAKU SBU SENTOSA PELING SEJAHTERA]*%0A%0AYth. Pimpinan SENTOSA PELING SEJAHTERA,%0AMohon izin menginformasikan status SBU Anda di sistem LPJK:%0A%0A📄 SBU: BS001%0A📅 Expired: 20 Juli 2026 (60 Hari Lagi)%0A%0AKami tim PT. ESDEA Assistance Management siap men-support proses perpanjangan segera.", "Hubungi")</f>
        <v/>
      </c>
    </row>
    <row r="194">
      <c r="A194" t="inlineStr">
        <is>
          <t>SENTRA PRIMA SERVICES</t>
        </is>
      </c>
      <c r="B194" t="inlineStr">
        <is>
          <t>Kab. Sidoarjo</t>
        </is>
      </c>
      <c r="C194" t="inlineStr">
        <is>
          <t>0318553205</t>
        </is>
      </c>
      <c r="D194" t="inlineStr">
        <is>
          <t>sentrapriserv@indo.net.id</t>
        </is>
      </c>
      <c r="E194" t="inlineStr">
        <is>
          <t>https://lpjk.pu.go.id/search-badan-usaha-detail/aXJIK2tleUwxRmJlYlFUdW9ZWVNhQT09</t>
        </is>
      </c>
      <c r="F194" t="n">
        <v>2</v>
      </c>
      <c r="G194" t="inlineStr">
        <is>
          <t>BG003, IN001</t>
        </is>
      </c>
      <c r="H194" t="inlineStr">
        <is>
          <t>9 Maret 2004</t>
        </is>
      </c>
      <c r="I194" s="2" t="n">
        <v>46223</v>
      </c>
      <c r="J194" t="inlineStr">
        <is>
          <t>Disetujui</t>
        </is>
      </c>
      <c r="K194" t="n">
        <v>60</v>
      </c>
      <c r="L194" t="inlineStr">
        <is>
          <t>20 Juli 2026</t>
        </is>
      </c>
      <c r="M194" t="inlineStr">
        <is>
          <t>Instalasi Mekanikal, Konstruksi Gedung Industri</t>
        </is>
      </c>
      <c r="N194" t="inlineStr">
        <is>
          <t>K, Spesialis</t>
        </is>
      </c>
      <c r="O194" t="inlineStr">
        <is>
          <t>20230714</t>
        </is>
      </c>
      <c r="P194" t="inlineStr">
        <is>
          <t>Jawa Timur</t>
        </is>
      </c>
      <c r="Q194" s="3">
        <f>HYPERLINK("https://wa.me/62318553205?text=*[PENGINGAT MASA BERLAKU SBU SENTRA PRIMA SERVICES]*%0A%0AYth. Pimpinan SENTRA PRIMA SERVICES,%0AMohon izin menginformasikan status SBU Anda di sistem LPJK:%0A%0A📄 SBU: BG003, IN001%0A📅 Expired: 20 Juli 2026 (60 Hari Lagi)%0A%0AKami tim PT. ESDEA Assistance Management siap men-support proses perpanjangan segera.", "Hubungi")</f>
        <v/>
      </c>
    </row>
    <row r="195">
      <c r="A195" t="inlineStr">
        <is>
          <t>SHERIL PUTRI MANDIRI</t>
        </is>
      </c>
      <c r="B195" t="inlineStr">
        <is>
          <t>Kab. Cirebon</t>
        </is>
      </c>
      <c r="C195" t="inlineStr">
        <is>
          <t>081313117751</t>
        </is>
      </c>
      <c r="D195" t="inlineStr">
        <is>
          <t>CVSHERILPUTRIMANDIRI@GMAIL.COM</t>
        </is>
      </c>
      <c r="E195" t="inlineStr">
        <is>
          <t>https://lpjk.pu.go.id/search-badan-usaha-detail/OW5CcFNxUHlvVmRsa1ZvM0Vha0t3dz09</t>
        </is>
      </c>
      <c r="F195" t="n">
        <v>1</v>
      </c>
      <c r="G195" t="inlineStr">
        <is>
          <t>BG006</t>
        </is>
      </c>
      <c r="H195" t="inlineStr">
        <is>
          <t>8 Juni 2023</t>
        </is>
      </c>
      <c r="I195" s="2" t="n">
        <v>46223</v>
      </c>
      <c r="J195" t="inlineStr">
        <is>
          <t>Disetujui</t>
        </is>
      </c>
      <c r="K195" t="n">
        <v>60</v>
      </c>
      <c r="L195" t="inlineStr">
        <is>
          <t>20 Juli 2026</t>
        </is>
      </c>
      <c r="M195" t="inlineStr">
        <is>
          <t>Konstruksi Gedung Pendidikan</t>
        </is>
      </c>
      <c r="N195" t="inlineStr">
        <is>
          <t>K</t>
        </is>
      </c>
      <c r="O195" t="inlineStr">
        <is>
          <t>20230713</t>
        </is>
      </c>
      <c r="P195" t="inlineStr">
        <is>
          <t>Jawa Barat</t>
        </is>
      </c>
      <c r="Q195" s="3">
        <f>HYPERLINK("https://wa.me/6281313117751?text=*[PENGINGAT MASA BERLAKU SBU SHERIL PUTRI MANDIRI]*%0A%0AYth. Pimpinan SHERIL PUTRI MANDIRI,%0AMohon izin menginformasikan status SBU Anda di sistem LPJK:%0A%0A📄 SBU: BG006%0A📅 Expired: 20 Juli 2026 (60 Hari Lagi)%0A%0AKami tim PT. ESDEA Assistance Management siap men-support proses perpanjangan segera.", "Hubungi")</f>
        <v/>
      </c>
    </row>
    <row r="196">
      <c r="A196" t="inlineStr">
        <is>
          <t>SINAR JAYA LANCAR</t>
        </is>
      </c>
      <c r="B196" t="inlineStr">
        <is>
          <t>Kab. Malinau</t>
        </is>
      </c>
      <c r="C196" t="inlineStr">
        <is>
          <t>081250078067</t>
        </is>
      </c>
      <c r="D196" t="inlineStr">
        <is>
          <t>sinarjayalancar10@gmail.com</t>
        </is>
      </c>
      <c r="E196" t="inlineStr">
        <is>
          <t>https://lpjk.pu.go.id/search-badan-usaha-detail/VVRMbDM0R255ZWhHTTRYd2YybGdLUT09</t>
        </is>
      </c>
      <c r="F196" t="n">
        <v>2</v>
      </c>
      <c r="G196" t="inlineStr">
        <is>
          <t>BG006, BS001</t>
        </is>
      </c>
      <c r="H196" t="inlineStr">
        <is>
          <t>26 Juni 2023</t>
        </is>
      </c>
      <c r="I196" s="2" t="n">
        <v>46223</v>
      </c>
      <c r="J196" t="inlineStr">
        <is>
          <t>Disetujui</t>
        </is>
      </c>
      <c r="K196" t="n">
        <v>60</v>
      </c>
      <c r="L196" t="inlineStr">
        <is>
          <t>20 Juli 2026</t>
        </is>
      </c>
      <c r="M196" t="inlineStr">
        <is>
          <t>Konstruksi Bangunan Sipil Jalan, Konstruksi Gedung Pendidikan</t>
        </is>
      </c>
      <c r="N196" t="inlineStr">
        <is>
          <t>K</t>
        </is>
      </c>
      <c r="O196" t="inlineStr">
        <is>
          <t>20230703, 20230721</t>
        </is>
      </c>
      <c r="P196" t="inlineStr">
        <is>
          <t>Kalimantan Utara</t>
        </is>
      </c>
      <c r="Q196" s="3">
        <f>HYPERLINK("https://wa.me/6281250078067?text=*[PENGINGAT MASA BERLAKU SBU SINAR JAYA LANCAR]*%0A%0AYth. Pimpinan SINAR JAYA LANCAR,%0AMohon izin menginformasikan status SBU Anda di sistem LPJK:%0A%0A📄 SBU: BG006, BS001%0A📅 Expired: 20 Juli 2026 (60 Hari Lagi)%0A%0AKami tim PT. ESDEA Assistance Management siap men-support proses perpanjangan segera.", "Hubungi")</f>
        <v/>
      </c>
    </row>
    <row r="197">
      <c r="A197" t="inlineStr">
        <is>
          <t>SINERGI KARYA HUTAMA</t>
        </is>
      </c>
      <c r="B197" t="inlineStr">
        <is>
          <t>Kab. Pasuruan</t>
        </is>
      </c>
      <c r="C197" t="inlineStr">
        <is>
          <t>081234970660</t>
        </is>
      </c>
      <c r="D197" t="inlineStr">
        <is>
          <t>sinergi.karyah@gmail.com</t>
        </is>
      </c>
      <c r="E197" t="inlineStr">
        <is>
          <t>https://lpjk.pu.go.id/search-badan-usaha-detail/dm9aSG5ZWFNUbXBrWDJJaDBXdFB1QT09</t>
        </is>
      </c>
      <c r="F197" t="n">
        <v>1</v>
      </c>
      <c r="G197" t="inlineStr">
        <is>
          <t>BS004</t>
        </is>
      </c>
      <c r="H197" t="inlineStr">
        <is>
          <t>21 Maret 2023</t>
        </is>
      </c>
      <c r="I197" s="2" t="n">
        <v>46223</v>
      </c>
      <c r="J197" t="inlineStr">
        <is>
          <t>Disetujui</t>
        </is>
      </c>
      <c r="K197" t="n">
        <v>60</v>
      </c>
      <c r="L197" t="inlineStr">
        <is>
          <t>20 Juli 2026</t>
        </is>
      </c>
      <c r="M197" t="inlineStr">
        <is>
          <t>Konstruksi Jaringan Irigasi dan Drainase</t>
        </is>
      </c>
      <c r="N197" t="inlineStr">
        <is>
          <t>K</t>
        </is>
      </c>
      <c r="O197" t="inlineStr">
        <is>
          <t>20230717</t>
        </is>
      </c>
      <c r="P197" t="inlineStr">
        <is>
          <t>Jawa Timur</t>
        </is>
      </c>
      <c r="Q197" s="3">
        <f>HYPERLINK("https://wa.me/6281234970660?text=*[PENGINGAT MASA BERLAKU SBU SINERGI KARYA HUTAMA]*%0A%0AYth. Pimpinan SINERGI KARYA HUTAMA,%0AMohon izin menginformasikan status SBU Anda di sistem LPJK:%0A%0A📄 SBU: BS004%0A📅 Expired: 20 Juli 2026 (60 Hari Lagi)%0A%0AKami tim PT. ESDEA Assistance Management siap men-support proses perpanjangan segera.", "Hubungi")</f>
        <v/>
      </c>
    </row>
    <row r="198">
      <c r="A198" t="inlineStr">
        <is>
          <t>SINERGI SOLUSI</t>
        </is>
      </c>
      <c r="B198" t="inlineStr">
        <is>
          <t>Kab. Jombang</t>
        </is>
      </c>
      <c r="C198" t="inlineStr">
        <is>
          <t>08563692877</t>
        </is>
      </c>
      <c r="D198" t="inlineStr">
        <is>
          <t>sis.sinergi.solusi@gmail.com</t>
        </is>
      </c>
      <c r="E198" t="inlineStr">
        <is>
          <t>https://lpjk.pu.go.id/search-badan-usaha-detail/bmg3UjRkU0JlSUFROXJVeDYvcnNvQT09</t>
        </is>
      </c>
      <c r="F198" t="n">
        <v>2</v>
      </c>
      <c r="G198" t="inlineStr">
        <is>
          <t>AR001, RK001</t>
        </is>
      </c>
      <c r="H198" t="inlineStr">
        <is>
          <t>25 Agustus 2022</t>
        </is>
      </c>
      <c r="I198" s="2" t="n">
        <v>46223</v>
      </c>
      <c r="J198" t="inlineStr">
        <is>
          <t>Disetujui</t>
        </is>
      </c>
      <c r="K198" t="n">
        <v>60</v>
      </c>
      <c r="L198" t="inlineStr">
        <is>
          <t>20 Juli 2026</t>
        </is>
      </c>
      <c r="M198" t="inlineStr">
        <is>
          <t>Jasa Arsitektural Bangunan Gedung Hunian dan Non Hunian, Jasa Rekayasa Konstruksi Bangunan Gedung Hunian dan Non Hunian</t>
        </is>
      </c>
      <c r="N198" t="inlineStr">
        <is>
          <t>K</t>
        </is>
      </c>
      <c r="O198" t="inlineStr">
        <is>
          <t>20230713</t>
        </is>
      </c>
      <c r="P198" t="inlineStr">
        <is>
          <t>Jawa Timur</t>
        </is>
      </c>
      <c r="Q198" s="3">
        <f>HYPERLINK("https://wa.me/628563692877?text=*[PENGINGAT MASA BERLAKU SBU SINERGI SOLUSI]*%0A%0AYth. Pimpinan SINERGI SOLUSI,%0AMohon izin menginformasikan status SBU Anda di sistem LPJK:%0A%0A📄 SBU: AR001, RK001%0A📅 Expired: 20 Juli 2026 (60 Hari Lagi)%0A%0AKami tim PT. ESDEA Assistance Management siap men-support proses perpanjangan segera.", "Hubungi")</f>
        <v/>
      </c>
    </row>
    <row r="199">
      <c r="A199" t="inlineStr">
        <is>
          <t>SONI PUTRA</t>
        </is>
      </c>
      <c r="B199" t="inlineStr">
        <is>
          <t>Kota Banjar</t>
        </is>
      </c>
      <c r="C199" t="inlineStr">
        <is>
          <t>082116073566</t>
        </is>
      </c>
      <c r="D199" t="inlineStr">
        <is>
          <t>cvsoniputra@gmail.com</t>
        </is>
      </c>
      <c r="E199" t="inlineStr">
        <is>
          <t>https://lpjk.pu.go.id/search-badan-usaha-detail/RXpQWjMwMDkzK0lJR2RhQmNET0thUT09</t>
        </is>
      </c>
      <c r="F199" t="n">
        <v>1</v>
      </c>
      <c r="G199" t="inlineStr">
        <is>
          <t>BG009</t>
        </is>
      </c>
      <c r="H199" t="inlineStr">
        <is>
          <t>14 Oktober 2019</t>
        </is>
      </c>
      <c r="I199" s="2" t="n">
        <v>46223</v>
      </c>
      <c r="J199" t="inlineStr">
        <is>
          <t>Disetujui</t>
        </is>
      </c>
      <c r="K199" t="n">
        <v>60</v>
      </c>
      <c r="L199" t="inlineStr">
        <is>
          <t>20 Juli 2026</t>
        </is>
      </c>
      <c r="M199" t="inlineStr">
        <is>
          <t>Konstruksi Gedung Lainnya</t>
        </is>
      </c>
      <c r="N199" t="inlineStr">
        <is>
          <t>K</t>
        </is>
      </c>
      <c r="O199" t="inlineStr">
        <is>
          <t>20230627</t>
        </is>
      </c>
      <c r="P199" t="inlineStr">
        <is>
          <t>Jawa Barat</t>
        </is>
      </c>
      <c r="Q199" s="3">
        <f>HYPERLINK("https://wa.me/6282116073566?text=*[PENGINGAT MASA BERLAKU SBU SONI PUTRA]*%0A%0AYth. Pimpinan SONI PUTRA,%0AMohon izin menginformasikan status SBU Anda di sistem LPJK:%0A%0A📄 SBU: BG009%0A📅 Expired: 20 Juli 2026 (60 Hari Lagi)%0A%0AKami tim PT. ESDEA Assistance Management siap men-support proses perpanjangan segera.", "Hubungi")</f>
        <v/>
      </c>
    </row>
    <row r="200">
      <c r="A200" t="inlineStr">
        <is>
          <t>STARINDO KONSTRUKSI</t>
        </is>
      </c>
      <c r="B200" t="inlineStr">
        <is>
          <t>Kab. Banyuwangi</t>
        </is>
      </c>
      <c r="C200" t="inlineStr">
        <is>
          <t>081259752381</t>
        </is>
      </c>
      <c r="D200" t="inlineStr">
        <is>
          <t>piyu.uyip@gmail.com</t>
        </is>
      </c>
      <c r="E200" t="inlineStr">
        <is>
          <t>https://lpjk.pu.go.id/search-badan-usaha-detail/ak5IU2diL1JmWkxzdVV6UzJlUUNhZz09</t>
        </is>
      </c>
      <c r="F200" t="n">
        <v>1</v>
      </c>
      <c r="G200" t="inlineStr">
        <is>
          <t>BG002</t>
        </is>
      </c>
      <c r="H200" t="inlineStr">
        <is>
          <t>5 Oktober 2015</t>
        </is>
      </c>
      <c r="I200" s="2" t="n">
        <v>46223</v>
      </c>
      <c r="J200" t="inlineStr">
        <is>
          <t>Disetujui</t>
        </is>
      </c>
      <c r="K200" t="n">
        <v>60</v>
      </c>
      <c r="L200" t="inlineStr">
        <is>
          <t>20 Juli 2026</t>
        </is>
      </c>
      <c r="M200" t="inlineStr">
        <is>
          <t>Konstruksi Gedung Perkantoran</t>
        </is>
      </c>
      <c r="N200" t="inlineStr">
        <is>
          <t>K</t>
        </is>
      </c>
      <c r="O200" t="inlineStr">
        <is>
          <t>20230718</t>
        </is>
      </c>
      <c r="P200" t="inlineStr">
        <is>
          <t>Jawa Timur</t>
        </is>
      </c>
      <c r="Q200" s="3">
        <f>HYPERLINK("https://wa.me/6281259752381?text=*[PENGINGAT MASA BERLAKU SBU STARINDO KONSTRUKSI]*%0A%0AYth. Pimpinan STARINDO KONSTRUKSI,%0AMohon izin menginformasikan status SBU Anda di sistem LPJK:%0A%0A📄 SBU: BG002%0A📅 Expired: 20 Juli 2026 (60 Hari Lagi)%0A%0AKami tim PT. ESDEA Assistance Management siap men-support proses perpanjangan segera.", "Hubungi")</f>
        <v/>
      </c>
    </row>
    <row r="201">
      <c r="A201" t="inlineStr">
        <is>
          <t>SUGIH MUKTI KANCANA</t>
        </is>
      </c>
      <c r="B201" t="inlineStr">
        <is>
          <t>Kota Bandung</t>
        </is>
      </c>
      <c r="C201" t="inlineStr">
        <is>
          <t>0811203423</t>
        </is>
      </c>
      <c r="D201" t="inlineStr">
        <is>
          <t>pt.gimika@gmail.com</t>
        </is>
      </c>
      <c r="E201" t="inlineStr">
        <is>
          <t>https://lpjk.pu.go.id/search-badan-usaha-detail/ZjZKWmw0RFZtSnlEMlNML21UT0IrQT09</t>
        </is>
      </c>
      <c r="F201" t="n">
        <v>1</v>
      </c>
      <c r="G201" t="inlineStr">
        <is>
          <t>BG009</t>
        </is>
      </c>
      <c r="H201" t="inlineStr">
        <is>
          <t>14 November 2019</t>
        </is>
      </c>
      <c r="I201" s="2" t="n">
        <v>46223</v>
      </c>
      <c r="J201" t="inlineStr">
        <is>
          <t>Disetujui</t>
        </is>
      </c>
      <c r="K201" t="n">
        <v>60</v>
      </c>
      <c r="L201" t="inlineStr">
        <is>
          <t>20 Juli 2026</t>
        </is>
      </c>
      <c r="M201" t="inlineStr">
        <is>
          <t>Konstruksi Gedung Lainnya</t>
        </is>
      </c>
      <c r="N201" t="inlineStr">
        <is>
          <t>M</t>
        </is>
      </c>
      <c r="O201" t="inlineStr">
        <is>
          <t>20230606</t>
        </is>
      </c>
      <c r="P201" t="inlineStr">
        <is>
          <t>Jawa Barat</t>
        </is>
      </c>
      <c r="Q201" s="3">
        <f>HYPERLINK("https://wa.me/62811203423?text=*[PENGINGAT MASA BERLAKU SBU SUGIH MUKTI KANCANA]*%0A%0AYth. Pimpinan SUGIH MUKTI KANCANA,%0AMohon izin menginformasikan status SBU Anda di sistem LPJK:%0A%0A📄 SBU: BG009%0A📅 Expired: 20 Juli 2026 (60 Hari Lagi)%0A%0AKami tim PT. ESDEA Assistance Management siap men-support proses perpanjangan segera.", "Hubungi")</f>
        <v/>
      </c>
    </row>
    <row r="202">
      <c r="A202" t="inlineStr">
        <is>
          <t>SUMBER WIJAYA SAKTI 1</t>
        </is>
      </c>
      <c r="B202" t="inlineStr">
        <is>
          <t>Kab. Magelang</t>
        </is>
      </c>
      <c r="C202" t="inlineStr">
        <is>
          <t>0293 589144</t>
        </is>
      </c>
      <c r="D202" t="inlineStr">
        <is>
          <t>cvsumberwijayasakti01@gmail.com</t>
        </is>
      </c>
      <c r="E202" t="inlineStr">
        <is>
          <t>https://lpjk.pu.go.id/search-badan-usaha-detail/SkRPMk5OUm9mT3FhTk9XSi92NkVLQT09</t>
        </is>
      </c>
      <c r="F202" t="n">
        <v>1</v>
      </c>
      <c r="G202" t="inlineStr">
        <is>
          <t>BG008</t>
        </is>
      </c>
      <c r="H202" t="inlineStr">
        <is>
          <t>15 Desember 2015</t>
        </is>
      </c>
      <c r="I202" s="2" t="n">
        <v>46223</v>
      </c>
      <c r="J202" t="inlineStr">
        <is>
          <t>Disetujui</t>
        </is>
      </c>
      <c r="K202" t="n">
        <v>60</v>
      </c>
      <c r="L202" t="inlineStr">
        <is>
          <t>20 Juli 2026</t>
        </is>
      </c>
      <c r="M202" t="inlineStr">
        <is>
          <t>Konstruksi Gedung Tempat Hiburan dan Olahraga</t>
        </is>
      </c>
      <c r="N202" t="inlineStr">
        <is>
          <t>K</t>
        </is>
      </c>
      <c r="O202" t="inlineStr">
        <is>
          <t>20230721</t>
        </is>
      </c>
      <c r="P202" t="inlineStr">
        <is>
          <t>Jawa Tengah</t>
        </is>
      </c>
      <c r="Q202" s="3">
        <f>HYPERLINK("https://wa.me/62293589144?text=*[PENGINGAT MASA BERLAKU SBU SUMBER WIJAYA SAKTI 1]*%0A%0AYth. Pimpinan SUMBER WIJAYA SAKTI 1,%0AMohon izin menginformasikan status SBU Anda di sistem LPJK:%0A%0A📄 SBU: BG008%0A📅 Expired: 20 Juli 2026 (60 Hari Lagi)%0A%0AKami tim PT. ESDEA Assistance Management siap men-support proses perpanjangan segera.", "Hubungi")</f>
        <v/>
      </c>
    </row>
    <row r="203">
      <c r="A203" t="inlineStr">
        <is>
          <t>SUNDAWA KARYA</t>
        </is>
      </c>
      <c r="B203" t="inlineStr">
        <is>
          <t>Kab. Purbalingga</t>
        </is>
      </c>
      <c r="C203" t="inlineStr">
        <is>
          <t>081391302799</t>
        </is>
      </c>
      <c r="D203" t="inlineStr">
        <is>
          <t>cv.sundawakarya@gmail.com</t>
        </is>
      </c>
      <c r="E203" t="inlineStr">
        <is>
          <t>https://lpjk.pu.go.id/search-badan-usaha-detail/MzIvWVpQMStLT2NuWGRnc0FoOUFJQT09</t>
        </is>
      </c>
      <c r="F203" t="n">
        <v>2</v>
      </c>
      <c r="G203" t="inlineStr">
        <is>
          <t>BG006</t>
        </is>
      </c>
      <c r="H203" t="inlineStr">
        <is>
          <t>10 Agustus 2020</t>
        </is>
      </c>
      <c r="I203" s="2" t="n">
        <v>46223</v>
      </c>
      <c r="J203" t="inlineStr">
        <is>
          <t>Disetujui</t>
        </is>
      </c>
      <c r="K203" t="n">
        <v>60</v>
      </c>
      <c r="L203" t="inlineStr">
        <is>
          <t>20 Juli 2026</t>
        </is>
      </c>
      <c r="M203" t="inlineStr">
        <is>
          <t>Konstruksi Gedung Pendidikan</t>
        </is>
      </c>
      <c r="N203" t="inlineStr">
        <is>
          <t>K</t>
        </is>
      </c>
      <c r="O203" t="inlineStr">
        <is>
          <t>20230618</t>
        </is>
      </c>
      <c r="P203" t="inlineStr">
        <is>
          <t>Jawa Tengah</t>
        </is>
      </c>
      <c r="Q203" s="3">
        <f>HYPERLINK("https://wa.me/6281391302799?text=*[PENGINGAT MASA BERLAKU SBU SUNDAWA KARYA]*%0A%0AYth. Pimpinan SUNDAWA KARYA,%0AMohon izin menginformasikan status SBU Anda di sistem LPJK:%0A%0A📄 SBU: BG006%0A📅 Expired: 20 Juli 2026 (60 Hari Lagi)%0A%0AKami tim PT. ESDEA Assistance Management siap men-support proses perpanjangan segera.", "Hubungi")</f>
        <v/>
      </c>
    </row>
    <row r="204">
      <c r="A204" t="inlineStr">
        <is>
          <t>SURYA NUANSA BERSAMA</t>
        </is>
      </c>
      <c r="B204" t="inlineStr">
        <is>
          <t>-</t>
        </is>
      </c>
      <c r="C204" t="inlineStr">
        <is>
          <t>082388236777</t>
        </is>
      </c>
      <c r="D204" t="inlineStr">
        <is>
          <t>surya.nuansa.bersama@gmail.com</t>
        </is>
      </c>
      <c r="E204" t="inlineStr">
        <is>
          <t>https://lpjk.pu.go.id/search-badan-usaha-detail/M2gwczltcCtYL3lxV3RhZmc4YytTUT09</t>
        </is>
      </c>
      <c r="F204" t="n">
        <v>1</v>
      </c>
      <c r="G204" t="inlineStr">
        <is>
          <t>BG009</t>
        </is>
      </c>
      <c r="H204" t="inlineStr">
        <is>
          <t>25 Mei 2022</t>
        </is>
      </c>
      <c r="I204" s="2" t="n">
        <v>46223</v>
      </c>
      <c r="J204" t="inlineStr">
        <is>
          <t>Pencabutan</t>
        </is>
      </c>
      <c r="K204" t="n">
        <v>60</v>
      </c>
      <c r="L204" t="inlineStr">
        <is>
          <t>20 Juli 2026</t>
        </is>
      </c>
      <c r="M204" t="inlineStr">
        <is>
          <t>Konstruksi Gedung Lainnya</t>
        </is>
      </c>
      <c r="N204" t="inlineStr">
        <is>
          <t>K</t>
        </is>
      </c>
      <c r="O204" t="inlineStr">
        <is>
          <t>20230720</t>
        </is>
      </c>
      <c r="P204" t="inlineStr">
        <is>
          <t>Riau</t>
        </is>
      </c>
      <c r="Q204" s="3">
        <f>HYPERLINK("https://wa.me/6282388236777?text=*[PENGINGAT MASA BERLAKU SBU SURYA NUANSA BERSAMA]*%0A%0AYth. Pimpinan SURYA NUANSA BERSAMA,%0AMohon izin menginformasikan status SBU Anda di sistem LPJK:%0A%0A📄 SBU: BG009%0A📅 Expired: 20 Juli 2026 (60 Hari Lagi)%0A%0AKami tim PT. ESDEA Assistance Management siap men-support proses perpanjangan segera.", "Hubungi")</f>
        <v/>
      </c>
    </row>
    <row r="205">
      <c r="A205" t="inlineStr">
        <is>
          <t>SURYA PANTAI TIMUR</t>
        </is>
      </c>
      <c r="B205" t="inlineStr">
        <is>
          <t>Kab. Bireuen</t>
        </is>
      </c>
      <c r="C205" t="inlineStr">
        <is>
          <t>081269117008</t>
        </is>
      </c>
      <c r="D205" t="inlineStr">
        <is>
          <t>cv.suryapantaitimur@gmail.com</t>
        </is>
      </c>
      <c r="E205" t="inlineStr">
        <is>
          <t>https://lpjk.pu.go.id/search-badan-usaha-detail/b3Roem9reEZpTTVxSktlaytFbXZQQT09</t>
        </is>
      </c>
      <c r="F205" t="n">
        <v>2</v>
      </c>
      <c r="G205" t="inlineStr">
        <is>
          <t>BG001, BS001</t>
        </is>
      </c>
      <c r="H205" t="inlineStr">
        <is>
          <t>25 September 2010</t>
        </is>
      </c>
      <c r="I205" s="2" t="n">
        <v>46223</v>
      </c>
      <c r="J205" t="inlineStr">
        <is>
          <t>Disetujui</t>
        </is>
      </c>
      <c r="K205" t="n">
        <v>60</v>
      </c>
      <c r="L205" t="inlineStr">
        <is>
          <t>20 Juli 2026</t>
        </is>
      </c>
      <c r="M205" t="inlineStr">
        <is>
          <t>Konstruksi Bangunan Sipil Jalan, Konstruksi Gedung Hunian</t>
        </is>
      </c>
      <c r="N205" t="inlineStr">
        <is>
          <t>K</t>
        </is>
      </c>
      <c r="O205" t="inlineStr">
        <is>
          <t>20230720</t>
        </is>
      </c>
      <c r="P205" t="inlineStr">
        <is>
          <t>Aceh</t>
        </is>
      </c>
      <c r="Q205" s="3">
        <f>HYPERLINK("https://wa.me/6281269117008?text=*[PENGINGAT MASA BERLAKU SBU SURYA PANTAI TIMUR]*%0A%0AYth. Pimpinan SURYA PANTAI TIMUR,%0AMohon izin menginformasikan status SBU Anda di sistem LPJK:%0A%0A📄 SBU: BG001, BS001%0A📅 Expired: 20 Juli 2026 (60 Hari Lagi)%0A%0AKami tim PT. ESDEA Assistance Management siap men-support proses perpanjangan segera.", "Hubungi")</f>
        <v/>
      </c>
    </row>
    <row r="206">
      <c r="A206" t="inlineStr">
        <is>
          <t>TAKASHITA HOBASHI</t>
        </is>
      </c>
      <c r="B206" t="inlineStr">
        <is>
          <t>Kota Adm. Jakarta Pusat</t>
        </is>
      </c>
      <c r="C206" t="inlineStr">
        <is>
          <t>081296782794</t>
        </is>
      </c>
      <c r="D206" t="inlineStr">
        <is>
          <t>cv.takashita@gmail.com</t>
        </is>
      </c>
      <c r="E206" t="inlineStr">
        <is>
          <t>https://lpjk.pu.go.id/search-badan-usaha-detail/RzJKTjBOYkVqUHhOZ21CeExIY2J0Y3pvOWV3NzZyeE1IMFlUZk11UjN6az0</t>
        </is>
      </c>
      <c r="F206" t="n">
        <v>2</v>
      </c>
      <c r="G206" t="inlineStr">
        <is>
          <t>BG001</t>
        </is>
      </c>
      <c r="H206" t="inlineStr">
        <is>
          <t>8 April 2022</t>
        </is>
      </c>
      <c r="I206" s="2" t="n">
        <v>46223</v>
      </c>
      <c r="J206" t="inlineStr">
        <is>
          <t>Disetujui, Permohonan Perubahan Non Asesmen</t>
        </is>
      </c>
      <c r="K206" t="n">
        <v>60</v>
      </c>
      <c r="L206" t="inlineStr">
        <is>
          <t>20 Juli 2026</t>
        </is>
      </c>
      <c r="M206" t="inlineStr">
        <is>
          <t>Konstruksi Gedung Hunian</t>
        </is>
      </c>
      <c r="N206" t="inlineStr">
        <is>
          <t>K</t>
        </is>
      </c>
      <c r="O206" t="inlineStr">
        <is>
          <t>20230621</t>
        </is>
      </c>
      <c r="P206" t="inlineStr">
        <is>
          <t>DKI Jakarta</t>
        </is>
      </c>
      <c r="Q206" s="3">
        <f>HYPERLINK("https://wa.me/6281296782794?text=*[PENGINGAT MASA BERLAKU SBU TAKASHITA HOBASHI]*%0A%0AYth. Pimpinan TAKASHITA HOBASHI,%0AMohon izin menginformasikan status SBU Anda di sistem LPJK:%0A%0A📄 SBU: BG001%0A📅 Expired: 20 Juli 2026 (60 Hari Lagi)%0A%0AKami tim PT. ESDEA Assistance Management siap men-support proses perpanjangan segera.", "Hubungi")</f>
        <v/>
      </c>
    </row>
    <row r="207">
      <c r="A207" t="inlineStr">
        <is>
          <t>TALENTA KARYA KONSTRUKSI</t>
        </is>
      </c>
      <c r="B207" t="inlineStr">
        <is>
          <t>Kota Bengkulu</t>
        </is>
      </c>
      <c r="C207" t="inlineStr">
        <is>
          <t>089639655428</t>
        </is>
      </c>
      <c r="D207" t="inlineStr">
        <is>
          <t>cvtalentak@gmail.com</t>
        </is>
      </c>
      <c r="E207" t="inlineStr">
        <is>
          <t>https://lpjk.pu.go.id/search-badan-usaha-detail/OGN5Z1RnYmlWYUl3RFNmQVdid09nQT09</t>
        </is>
      </c>
      <c r="F207" t="n">
        <v>1</v>
      </c>
      <c r="G207" t="inlineStr">
        <is>
          <t>BG002</t>
        </is>
      </c>
      <c r="H207" t="inlineStr">
        <is>
          <t>31 Maret 2023</t>
        </is>
      </c>
      <c r="I207" s="2" t="n">
        <v>46223</v>
      </c>
      <c r="J207" t="inlineStr">
        <is>
          <t>Disetujui</t>
        </is>
      </c>
      <c r="K207" t="n">
        <v>60</v>
      </c>
      <c r="L207" t="inlineStr">
        <is>
          <t>20 Juli 2026</t>
        </is>
      </c>
      <c r="M207" t="inlineStr">
        <is>
          <t>Konstruksi Gedung Perkantoran</t>
        </is>
      </c>
      <c r="N207" t="inlineStr">
        <is>
          <t>K</t>
        </is>
      </c>
      <c r="O207" t="inlineStr">
        <is>
          <t>20230714</t>
        </is>
      </c>
      <c r="P207" t="inlineStr">
        <is>
          <t>Bengkulu</t>
        </is>
      </c>
      <c r="Q207" s="3">
        <f>HYPERLINK("https://wa.me/6289639655428?text=*[PENGINGAT MASA BERLAKU SBU TALENTA KARYA KONSTRUKSI]*%0A%0AYth. Pimpinan TALENTA KARYA KONSTRUKSI,%0AMohon izin menginformasikan status SBU Anda di sistem LPJK:%0A%0A📄 SBU: BG002%0A📅 Expired: 20 Juli 2026 (60 Hari Lagi)%0A%0AKami tim PT. ESDEA Assistance Management siap men-support proses perpanjangan segera.", "Hubungi")</f>
        <v/>
      </c>
    </row>
    <row r="208">
      <c r="A208" t="inlineStr">
        <is>
          <t>TEKNO FLUIDA INDONESIA</t>
        </is>
      </c>
      <c r="B208" t="inlineStr">
        <is>
          <t>Kota Tangerang Selatan</t>
        </is>
      </c>
      <c r="C208" t="inlineStr">
        <is>
          <t>02175876582</t>
        </is>
      </c>
      <c r="D208" t="inlineStr">
        <is>
          <t>info@teknofluida.id</t>
        </is>
      </c>
      <c r="E208" t="inlineStr">
        <is>
          <t>https://lpjk.pu.go.id/search-badan-usaha-detail/ckF4Skk3TnlkK1FyaEdZQWcvRzdrUT09</t>
        </is>
      </c>
      <c r="F208" t="n">
        <v>1</v>
      </c>
      <c r="G208" t="inlineStr">
        <is>
          <t>IN010</t>
        </is>
      </c>
      <c r="H208" t="inlineStr">
        <is>
          <t>22 November 2011</t>
        </is>
      </c>
      <c r="I208" s="2" t="n">
        <v>46223</v>
      </c>
      <c r="J208" t="inlineStr">
        <is>
          <t>Disetujui</t>
        </is>
      </c>
      <c r="K208" t="n">
        <v>60</v>
      </c>
      <c r="L208" t="inlineStr">
        <is>
          <t>20 Juli 2026</t>
        </is>
      </c>
      <c r="M208" t="inlineStr">
        <is>
          <t>Instalasi Pengolahan Air Untuk Pembangkit Listrik</t>
        </is>
      </c>
      <c r="N208" t="inlineStr">
        <is>
          <t>Spesialis</t>
        </is>
      </c>
      <c r="O208" t="inlineStr">
        <is>
          <t>20230714</t>
        </is>
      </c>
      <c r="P208" t="inlineStr">
        <is>
          <t>Banten</t>
        </is>
      </c>
      <c r="Q208" s="3">
        <f>HYPERLINK("https://wa.me/622175876582?text=*[PENGINGAT MASA BERLAKU SBU TEKNO FLUIDA INDONESIA]*%0A%0AYth. Pimpinan TEKNO FLUIDA INDONESIA,%0AMohon izin menginformasikan status SBU Anda di sistem LPJK:%0A%0A📄 SBU: IN010%0A📅 Expired: 20 Juli 2026 (60 Hari Lagi)%0A%0AKami tim PT. ESDEA Assistance Management siap men-support proses perpanjangan segera.", "Hubungi")</f>
        <v/>
      </c>
    </row>
    <row r="209">
      <c r="A209" t="inlineStr">
        <is>
          <t>TIGA PUTRI</t>
        </is>
      </c>
      <c r="B209" t="inlineStr">
        <is>
          <t>Kab. Manokwari</t>
        </is>
      </c>
      <c r="C209" t="inlineStr">
        <is>
          <t>085244836282</t>
        </is>
      </c>
      <c r="D209" t="inlineStr">
        <is>
          <t>cvtigaputri5@gmail.com</t>
        </is>
      </c>
      <c r="E209" t="inlineStr">
        <is>
          <t>https://lpjk.pu.go.id/search-badan-usaha-detail/VmRLZUh2TEFsT1hpeW1aMnlHdTFlZz09</t>
        </is>
      </c>
      <c r="F209" t="n">
        <v>2</v>
      </c>
      <c r="G209" t="inlineStr">
        <is>
          <t>BG002, BG009</t>
        </is>
      </c>
      <c r="H209" t="inlineStr">
        <is>
          <t>13 Maret 2013</t>
        </is>
      </c>
      <c r="I209" s="2" t="n">
        <v>46223</v>
      </c>
      <c r="J209" t="inlineStr">
        <is>
          <t>Pencabutan</t>
        </is>
      </c>
      <c r="K209" t="n">
        <v>60</v>
      </c>
      <c r="L209" t="inlineStr">
        <is>
          <t>20 Juli 2026</t>
        </is>
      </c>
      <c r="M209" t="inlineStr">
        <is>
          <t>Konstruksi Gedung Lainnya, Konstruksi Gedung Perkantoran</t>
        </is>
      </c>
      <c r="N209" t="inlineStr">
        <is>
          <t>K</t>
        </is>
      </c>
      <c r="O209" t="inlineStr">
        <is>
          <t>20230413, 20230718</t>
        </is>
      </c>
      <c r="P209" t="inlineStr">
        <is>
          <t>Papua Barat</t>
        </is>
      </c>
      <c r="Q209" s="3">
        <f>HYPERLINK("https://wa.me/6285244836282?text=*[PENGINGAT MASA BERLAKU SBU TIGA PUTRI]*%0A%0AYth. Pimpinan TIGA PUTRI,%0AMohon izin menginformasikan status SBU Anda di sistem LPJK:%0A%0A📄 SBU: BG002, BG009%0A📅 Expired: 20 Juli 2026 (60 Hari Lagi)%0A%0AKami tim PT. ESDEA Assistance Management siap men-support proses perpanjangan segera.", "Hubungi")</f>
        <v/>
      </c>
    </row>
    <row r="210">
      <c r="A210" t="inlineStr">
        <is>
          <t>TIGAN PRODUCTION</t>
        </is>
      </c>
      <c r="B210" t="inlineStr">
        <is>
          <t>Kota Manado</t>
        </is>
      </c>
      <c r="C210" t="inlineStr">
        <is>
          <t>085256709997</t>
        </is>
      </c>
      <c r="D210" t="inlineStr">
        <is>
          <t>tiganproductionmdc@gmail.com</t>
        </is>
      </c>
      <c r="E210" t="inlineStr">
        <is>
          <t>https://lpjk.pu.go.id/search-badan-usaha-detail/ZG1yQ2ZoOWtwM2VYeFJTWWdIbW9Fdz09</t>
        </is>
      </c>
      <c r="F210" t="n">
        <v>1</v>
      </c>
      <c r="G210" t="inlineStr">
        <is>
          <t>BG001</t>
        </is>
      </c>
      <c r="H210" t="inlineStr">
        <is>
          <t>22 Desember 2017</t>
        </is>
      </c>
      <c r="I210" s="2" t="n">
        <v>46223</v>
      </c>
      <c r="J210" t="inlineStr">
        <is>
          <t>Disetujui</t>
        </is>
      </c>
      <c r="K210" t="n">
        <v>60</v>
      </c>
      <c r="L210" t="inlineStr">
        <is>
          <t>20 Juli 2026</t>
        </is>
      </c>
      <c r="M210" t="inlineStr">
        <is>
          <t>Konstruksi Gedung Hunian</t>
        </is>
      </c>
      <c r="N210" t="inlineStr">
        <is>
          <t>K</t>
        </is>
      </c>
      <c r="O210" t="inlineStr">
        <is>
          <t>20230714</t>
        </is>
      </c>
      <c r="P210" t="inlineStr">
        <is>
          <t>Sulawesi Utara</t>
        </is>
      </c>
      <c r="Q210" s="3">
        <f>HYPERLINK("https://wa.me/6285256709997?text=*[PENGINGAT MASA BERLAKU SBU TIGAN PRODUCTION]*%0A%0AYth. Pimpinan TIGAN PRODUCTION,%0AMohon izin menginformasikan status SBU Anda di sistem LPJK:%0A%0A📄 SBU: BG001%0A📅 Expired: 20 Juli 2026 (60 Hari Lagi)%0A%0AKami tim PT. ESDEA Assistance Management siap men-support proses perpanjangan segera.", "Hubungi")</f>
        <v/>
      </c>
    </row>
    <row r="211">
      <c r="A211" t="inlineStr">
        <is>
          <t>TIGANNA MANDIRI KONSULTAN</t>
        </is>
      </c>
      <c r="B211" t="inlineStr">
        <is>
          <t>Kota Sorong</t>
        </is>
      </c>
      <c r="C211" t="inlineStr">
        <is>
          <t>085244789075</t>
        </is>
      </c>
      <c r="D211" t="inlineStr">
        <is>
          <t>tiganna_mandiri@outlook.com</t>
        </is>
      </c>
      <c r="E211" t="inlineStr">
        <is>
          <t>https://lpjk.pu.go.id/search-badan-usaha-detail/aGFkb2dqdTdOTDhrcVZBZSs0NDNNQT09</t>
        </is>
      </c>
      <c r="F211" t="n">
        <v>2</v>
      </c>
      <c r="G211" t="inlineStr">
        <is>
          <t>RK001, RK003</t>
        </is>
      </c>
      <c r="H211" t="inlineStr">
        <is>
          <t>17 Februari 2016</t>
        </is>
      </c>
      <c r="I211" s="2" t="n">
        <v>46223</v>
      </c>
      <c r="J211" t="inlineStr">
        <is>
          <t>Disetujui</t>
        </is>
      </c>
      <c r="K211" t="n">
        <v>60</v>
      </c>
      <c r="L211" t="inlineStr">
        <is>
          <t>20 Juli 2026</t>
        </is>
      </c>
      <c r="M211" t="inlineStr">
        <is>
          <t>Jasa Rekayasa Konstruksi Bangunan Gedung Hunian dan Non Hunian, Jasa Rekayasa Pekerjaan Teknik Sipil Transportasi</t>
        </is>
      </c>
      <c r="N211" t="inlineStr">
        <is>
          <t>K</t>
        </is>
      </c>
      <c r="O211" t="inlineStr">
        <is>
          <t>20230713</t>
        </is>
      </c>
      <c r="P211" t="inlineStr">
        <is>
          <t>Papua Barat</t>
        </is>
      </c>
      <c r="Q211" s="3">
        <f>HYPERLINK("https://wa.me/6285244789075?text=*[PENGINGAT MASA BERLAKU SBU TIGANNA MANDIRI KONSULTAN]*%0A%0AYth. Pimpinan TIGANNA MANDIRI KONSULTAN,%0AMohon izin menginformasikan status SBU Anda di sistem LPJK:%0A%0A📄 SBU: RK001, RK003%0A📅 Expired: 20 Juli 2026 (60 Hari Lagi)%0A%0AKami tim PT. ESDEA Assistance Management siap men-support proses perpanjangan segera.", "Hubungi")</f>
        <v/>
      </c>
    </row>
    <row r="212">
      <c r="A212" t="inlineStr">
        <is>
          <t>TIRTA KENCANA</t>
        </is>
      </c>
      <c r="B212" t="inlineStr">
        <is>
          <t>Kab. Barito Selatan</t>
        </is>
      </c>
      <c r="C212" t="inlineStr">
        <is>
          <t>085327719999</t>
        </is>
      </c>
      <c r="D212" t="inlineStr">
        <is>
          <t>cvtirtakencana75@gmail.com</t>
        </is>
      </c>
      <c r="E212" t="inlineStr">
        <is>
          <t>https://lpjk.pu.go.id/search-badan-usaha-detail/TVBudkJxSHBmS0pRMllzNk5IdVhQZz09</t>
        </is>
      </c>
      <c r="F212" t="n">
        <v>1</v>
      </c>
      <c r="G212" t="inlineStr">
        <is>
          <t>BG002</t>
        </is>
      </c>
      <c r="H212" t="inlineStr">
        <is>
          <t>31 Maret 2008</t>
        </is>
      </c>
      <c r="I212" s="2" t="n">
        <v>46223</v>
      </c>
      <c r="J212" t="inlineStr">
        <is>
          <t>Disetujui</t>
        </is>
      </c>
      <c r="K212" t="n">
        <v>60</v>
      </c>
      <c r="L212" t="inlineStr">
        <is>
          <t>20 Juli 2026</t>
        </is>
      </c>
      <c r="M212" t="inlineStr">
        <is>
          <t>Konstruksi Gedung Perkantoran</t>
        </is>
      </c>
      <c r="N212" t="inlineStr">
        <is>
          <t>K</t>
        </is>
      </c>
      <c r="O212" t="inlineStr">
        <is>
          <t>20230720</t>
        </is>
      </c>
      <c r="P212" t="inlineStr">
        <is>
          <t>Kalimantan Tengah</t>
        </is>
      </c>
      <c r="Q212" s="3">
        <f>HYPERLINK("https://wa.me/6285327719999?text=*[PENGINGAT MASA BERLAKU SBU TIRTA KENCANA]*%0A%0AYth. Pimpinan TIRTA KENCANA,%0AMohon izin menginformasikan status SBU Anda di sistem LPJK:%0A%0A📄 SBU: BG002%0A📅 Expired: 20 Juli 2026 (60 Hari Lagi)%0A%0AKami tim PT. ESDEA Assistance Management siap men-support proses perpanjangan segera.", "Hubungi")</f>
        <v/>
      </c>
    </row>
    <row r="213">
      <c r="A213" t="inlineStr">
        <is>
          <t>TIRTA KENCANA</t>
        </is>
      </c>
      <c r="B213" t="inlineStr">
        <is>
          <t>Kab. Tanjung Jabung Timur</t>
        </is>
      </c>
      <c r="C213" t="inlineStr">
        <is>
          <t>082280641219</t>
        </is>
      </c>
      <c r="D213" t="inlineStr">
        <is>
          <t>kencanatirta72@gmail.com</t>
        </is>
      </c>
      <c r="E213" t="inlineStr">
        <is>
          <t>https://lpjk.pu.go.id/search-badan-usaha-detail/TmtVVmo1aUQ2MXFjMXM4eDc1blZQUT09</t>
        </is>
      </c>
      <c r="F213" t="n">
        <v>4</v>
      </c>
      <c r="G213" t="inlineStr">
        <is>
          <t>BG005, BG006, BS001, BS004</t>
        </is>
      </c>
      <c r="H213" t="inlineStr">
        <is>
          <t>14 Januari 2016</t>
        </is>
      </c>
      <c r="I213" s="2" t="n">
        <v>46223</v>
      </c>
      <c r="J213" t="inlineStr">
        <is>
          <t>Disetujui</t>
        </is>
      </c>
      <c r="K213" t="n">
        <v>60</v>
      </c>
      <c r="L213" t="inlineStr">
        <is>
          <t>20 Juli 2026</t>
        </is>
      </c>
      <c r="M213" t="inlineStr">
        <is>
          <t>Konstruksi Bangunan Sipil Jalan, Konstruksi Gedung Kesehatan, Konstruksi Gedung Pendidikan, Konstruksi Jaringan Irigasi dan Drainase</t>
        </is>
      </c>
      <c r="N213" t="inlineStr">
        <is>
          <t>K</t>
        </is>
      </c>
      <c r="O213" t="inlineStr">
        <is>
          <t>20230606, 20230718</t>
        </is>
      </c>
      <c r="P213" t="inlineStr">
        <is>
          <t>Jambi</t>
        </is>
      </c>
      <c r="Q213" s="3">
        <f>HYPERLINK("https://wa.me/6282280641219?text=*[PENGINGAT MASA BERLAKU SBU TIRTA KENCANA]*%0A%0AYth. Pimpinan TIRTA KENCANA,%0AMohon izin menginformasikan status SBU Anda di sistem LPJK:%0A%0A📄 SBU: BG005, BG006, BS001, BS004%0A📅 Expired: 20 Juli 2026 (60 Hari Lagi)%0A%0AKami tim PT. ESDEA Assistance Management siap men-support proses perpanjangan segera.", "Hubungi")</f>
        <v/>
      </c>
    </row>
    <row r="214">
      <c r="A214" t="inlineStr">
        <is>
          <t>TRI BETA KONSULINDO</t>
        </is>
      </c>
      <c r="B214" t="inlineStr">
        <is>
          <t>Kota Tasikmalaya</t>
        </is>
      </c>
      <c r="C214" t="inlineStr">
        <is>
          <t>085317714528</t>
        </is>
      </c>
      <c r="D214" t="inlineStr">
        <is>
          <t>Tribetakonsulindo@gmail.com</t>
        </is>
      </c>
      <c r="E214" t="inlineStr">
        <is>
          <t>https://lpjk.pu.go.id/search-badan-usaha-detail/anBPTC9lckZla0gwSkttR0FDSzVQQT09</t>
        </is>
      </c>
      <c r="F214" t="n">
        <v>1</v>
      </c>
      <c r="G214" t="inlineStr">
        <is>
          <t>AR001</t>
        </is>
      </c>
      <c r="H214" t="inlineStr">
        <is>
          <t>14 Februari 2022</t>
        </is>
      </c>
      <c r="I214" s="2" t="n">
        <v>46223</v>
      </c>
      <c r="J214" t="inlineStr">
        <is>
          <t>Pencabutan</t>
        </is>
      </c>
      <c r="K214" t="n">
        <v>60</v>
      </c>
      <c r="L214" t="inlineStr">
        <is>
          <t>20 Juli 2026</t>
        </is>
      </c>
      <c r="M214" t="inlineStr">
        <is>
          <t>Jasa Arsitektural Bangunan Gedung Hunian dan Non Hunian</t>
        </is>
      </c>
      <c r="N214" t="inlineStr">
        <is>
          <t>K</t>
        </is>
      </c>
      <c r="O214" t="inlineStr">
        <is>
          <t>20230614</t>
        </is>
      </c>
      <c r="P214" t="inlineStr">
        <is>
          <t>Jawa Barat</t>
        </is>
      </c>
      <c r="Q214" s="3">
        <f>HYPERLINK("https://wa.me/6285317714528?text=*[PENGINGAT MASA BERLAKU SBU TRI BETA KONSULINDO]*%0A%0AYth. Pimpinan TRI BETA KONSULINDO,%0AMohon izin menginformasikan status SBU Anda di sistem LPJK:%0A%0A📄 SBU: AR001%0A📅 Expired: 20 Juli 2026 (60 Hari Lagi)%0A%0AKami tim PT. ESDEA Assistance Management siap men-support proses perpanjangan segera.", "Hubungi")</f>
        <v/>
      </c>
    </row>
    <row r="215">
      <c r="A215" t="inlineStr">
        <is>
          <t>TRI PUTRA PRAKARSA</t>
        </is>
      </c>
      <c r="B215" t="inlineStr">
        <is>
          <t>Kab. Tanjung Jabung Barat</t>
        </is>
      </c>
      <c r="C215" t="inlineStr">
        <is>
          <t>085379362407</t>
        </is>
      </c>
      <c r="D215" t="inlineStr">
        <is>
          <t>triputraprakarsa@gmail.com</t>
        </is>
      </c>
      <c r="E215" t="inlineStr">
        <is>
          <t>https://lpjk.pu.go.id/search-badan-usaha-detail/SytSYWExWkYzM3JTeEhxR2I5cFpqZz09</t>
        </is>
      </c>
      <c r="F215" t="n">
        <v>1</v>
      </c>
      <c r="G215" t="inlineStr">
        <is>
          <t>BG004</t>
        </is>
      </c>
      <c r="H215" t="inlineStr">
        <is>
          <t>3 Juli 2023</t>
        </is>
      </c>
      <c r="I215" s="2" t="n">
        <v>46223</v>
      </c>
      <c r="J215" t="inlineStr">
        <is>
          <t>Disetujui</t>
        </is>
      </c>
      <c r="K215" t="n">
        <v>60</v>
      </c>
      <c r="L215" t="inlineStr">
        <is>
          <t>20 Juli 2026</t>
        </is>
      </c>
      <c r="M215" t="inlineStr">
        <is>
          <t>Konstruksi Gedung Perbelanjaan</t>
        </is>
      </c>
      <c r="N215" t="inlineStr">
        <is>
          <t>K</t>
        </is>
      </c>
      <c r="O215" t="inlineStr">
        <is>
          <t>20230717</t>
        </is>
      </c>
      <c r="P215" t="inlineStr">
        <is>
          <t>Jambi</t>
        </is>
      </c>
      <c r="Q215" s="3">
        <f>HYPERLINK("https://wa.me/6285379362407?text=*[PENGINGAT MASA BERLAKU SBU TRI PUTRA PRAKARSA]*%0A%0AYth. Pimpinan TRI PUTRA PRAKARSA,%0AMohon izin menginformasikan status SBU Anda di sistem LPJK:%0A%0A📄 SBU: BG004%0A📅 Expired: 20 Juli 2026 (60 Hari Lagi)%0A%0AKami tim PT. ESDEA Assistance Management siap men-support proses perpanjangan segera.", "Hubungi")</f>
        <v/>
      </c>
    </row>
    <row r="216">
      <c r="A216" t="inlineStr">
        <is>
          <t>TUGU PRIMA PERKASA</t>
        </is>
      </c>
      <c r="B216" t="inlineStr">
        <is>
          <t>Kab. Indramayu</t>
        </is>
      </c>
      <c r="C216" t="inlineStr">
        <is>
          <t>081324292352</t>
        </is>
      </c>
      <c r="D216" t="inlineStr">
        <is>
          <t>tugu_primaperkasa@yahoo.com</t>
        </is>
      </c>
      <c r="E216" t="inlineStr">
        <is>
          <t>https://lpjk.pu.go.id/search-badan-usaha-detail/THhSUHZVOTBnYjZFaXZTWWpjRVNUQT09</t>
        </is>
      </c>
      <c r="F216" t="n">
        <v>1</v>
      </c>
      <c r="G216" t="inlineStr">
        <is>
          <t>BG009</t>
        </is>
      </c>
      <c r="H216" t="inlineStr">
        <is>
          <t>3 April 2013</t>
        </is>
      </c>
      <c r="I216" s="2" t="n">
        <v>46223</v>
      </c>
      <c r="J216" t="inlineStr">
        <is>
          <t>Disetujui</t>
        </is>
      </c>
      <c r="K216" t="n">
        <v>60</v>
      </c>
      <c r="L216" t="inlineStr">
        <is>
          <t>20 Juli 2026</t>
        </is>
      </c>
      <c r="M216" t="inlineStr">
        <is>
          <t>Konstruksi Gedung Lainnya</t>
        </is>
      </c>
      <c r="N216" t="inlineStr">
        <is>
          <t>K</t>
        </is>
      </c>
      <c r="O216" t="inlineStr">
        <is>
          <t>20230721</t>
        </is>
      </c>
      <c r="P216" t="inlineStr">
        <is>
          <t>Jawa Barat</t>
        </is>
      </c>
      <c r="Q216" s="3">
        <f>HYPERLINK("https://wa.me/6281324292352?text=*[PENGINGAT MASA BERLAKU SBU TUGU PRIMA PERKASA]*%0A%0AYth. Pimpinan TUGU PRIMA PERKASA,%0AMohon izin menginformasikan status SBU Anda di sistem LPJK:%0A%0A📄 SBU: BG009%0A📅 Expired: 20 Juli 2026 (60 Hari Lagi)%0A%0AKami tim PT. ESDEA Assistance Management siap men-support proses perpanjangan segera.", "Hubungi")</f>
        <v/>
      </c>
    </row>
    <row r="217">
      <c r="A217" t="inlineStr">
        <is>
          <t>TUNAS HARAPAN</t>
        </is>
      </c>
      <c r="B217" t="inlineStr">
        <is>
          <t>Kab. Banjarnegara</t>
        </is>
      </c>
      <c r="C217" t="inlineStr">
        <is>
          <t>085227992156</t>
        </is>
      </c>
      <c r="D217" t="inlineStr">
        <is>
          <t>tunasharapancv2014@yahoo.com</t>
        </is>
      </c>
      <c r="E217" t="inlineStr">
        <is>
          <t>https://lpjk.pu.go.id/search-badan-usaha-detail/L0tTb1ozblF0WG5YdEhZMmFOUW0ydz09</t>
        </is>
      </c>
      <c r="F217" t="n">
        <v>1</v>
      </c>
      <c r="G217" t="inlineStr">
        <is>
          <t>BS004</t>
        </is>
      </c>
      <c r="H217" t="inlineStr">
        <is>
          <t>26 November 2014</t>
        </is>
      </c>
      <c r="I217" s="2" t="n">
        <v>46223</v>
      </c>
      <c r="J217" t="inlineStr">
        <is>
          <t>Dokumen Tidak Lengkap</t>
        </is>
      </c>
      <c r="K217" t="n">
        <v>60</v>
      </c>
      <c r="L217" t="inlineStr">
        <is>
          <t>20 Juli 2026</t>
        </is>
      </c>
      <c r="M217" t="inlineStr">
        <is>
          <t>Konstruksi Jaringan Irigasi dan Drainase</t>
        </is>
      </c>
      <c r="N217" t="inlineStr">
        <is>
          <t>K</t>
        </is>
      </c>
      <c r="O217" t="inlineStr">
        <is>
          <t>20230703</t>
        </is>
      </c>
      <c r="P217" t="inlineStr">
        <is>
          <t>Jawa Tengah</t>
        </is>
      </c>
      <c r="Q217" s="3">
        <f>HYPERLINK("https://wa.me/6285227992156?text=*[PENGINGAT MASA BERLAKU SBU TUNAS HARAPAN]*%0A%0AYth. Pimpinan TUNAS HARAPAN,%0AMohon izin menginformasikan status SBU Anda di sistem LPJK:%0A%0A📄 SBU: BS004%0A📅 Expired: 20 Juli 2026 (60 Hari Lagi)%0A%0AKami tim PT. ESDEA Assistance Management siap men-support proses perpanjangan segera.", "Hubungi")</f>
        <v/>
      </c>
    </row>
    <row r="218">
      <c r="A218" t="inlineStr">
        <is>
          <t>TUNAS MANDIRI</t>
        </is>
      </c>
      <c r="B218" t="inlineStr">
        <is>
          <t>Kab. Sumenep</t>
        </is>
      </c>
      <c r="C218" t="inlineStr">
        <is>
          <t>087850170017</t>
        </is>
      </c>
      <c r="D218" t="inlineStr">
        <is>
          <t>cvtunasmandiri63@gmail.com</t>
        </is>
      </c>
      <c r="E218" t="inlineStr">
        <is>
          <t>https://lpjk.pu.go.id/search-badan-usaha-detail/TnRNbmFtdWxjeGNJMWN2UG9XK01UUT09</t>
        </is>
      </c>
      <c r="F218" t="n">
        <v>1</v>
      </c>
      <c r="G218" t="inlineStr">
        <is>
          <t>BG006</t>
        </is>
      </c>
      <c r="H218" t="inlineStr">
        <is>
          <t>11 Maret 2002</t>
        </is>
      </c>
      <c r="I218" s="2" t="n">
        <v>46223</v>
      </c>
      <c r="J218" t="inlineStr">
        <is>
          <t>Disetujui</t>
        </is>
      </c>
      <c r="K218" t="n">
        <v>60</v>
      </c>
      <c r="L218" t="inlineStr">
        <is>
          <t>20 Juli 2026</t>
        </is>
      </c>
      <c r="M218" t="inlineStr">
        <is>
          <t>Konstruksi Gedung Pendidikan</t>
        </is>
      </c>
      <c r="N218" t="inlineStr">
        <is>
          <t>K</t>
        </is>
      </c>
      <c r="O218" t="inlineStr">
        <is>
          <t>20230714</t>
        </is>
      </c>
      <c r="P218" t="inlineStr">
        <is>
          <t>Jawa Timur</t>
        </is>
      </c>
      <c r="Q218" s="3">
        <f>HYPERLINK("https://wa.me/6287850170017?text=*[PENGINGAT MASA BERLAKU SBU TUNAS MANDIRI]*%0A%0AYth. Pimpinan TUNAS MANDIRI,%0AMohon izin menginformasikan status SBU Anda di sistem LPJK:%0A%0A📄 SBU: BG006%0A📅 Expired: 20 Juli 2026 (60 Hari Lagi)%0A%0AKami tim PT. ESDEA Assistance Management siap men-support proses perpanjangan segera.", "Hubungi")</f>
        <v/>
      </c>
    </row>
    <row r="219">
      <c r="A219" t="inlineStr">
        <is>
          <t>TUNAS SOWEK</t>
        </is>
      </c>
      <c r="B219" t="inlineStr">
        <is>
          <t>Kab. Biak Numfor</t>
        </is>
      </c>
      <c r="C219" t="inlineStr">
        <is>
          <t>0811487236</t>
        </is>
      </c>
      <c r="D219" t="inlineStr">
        <is>
          <t>abdullah.pribadi06@gmail.com</t>
        </is>
      </c>
      <c r="E219" t="inlineStr">
        <is>
          <t>https://lpjk.pu.go.id/search-badan-usaha-detail/dkJzaERQb1lheFUvVEsyWWR0bkF2QT09</t>
        </is>
      </c>
      <c r="F219" t="n">
        <v>3</v>
      </c>
      <c r="G219" t="inlineStr">
        <is>
          <t>BG005, BG006, BG009</t>
        </is>
      </c>
      <c r="H219" t="inlineStr">
        <is>
          <t>18 November 2013</t>
        </is>
      </c>
      <c r="I219" s="2" t="n">
        <v>46223</v>
      </c>
      <c r="J219" t="inlineStr">
        <is>
          <t>Disetujui</t>
        </is>
      </c>
      <c r="K219" t="n">
        <v>60</v>
      </c>
      <c r="L219" t="inlineStr">
        <is>
          <t>20 Juli 2026</t>
        </is>
      </c>
      <c r="M219" t="inlineStr">
        <is>
          <t>Konstruksi Gedung Kesehatan, Konstruksi Gedung Lainnya, Konstruksi Gedung Pendidikan</t>
        </is>
      </c>
      <c r="N219" t="inlineStr">
        <is>
          <t>K</t>
        </is>
      </c>
      <c r="O219" t="inlineStr">
        <is>
          <t>20230720</t>
        </is>
      </c>
      <c r="P219" t="inlineStr">
        <is>
          <t>Papua</t>
        </is>
      </c>
      <c r="Q219" s="3">
        <f>HYPERLINK("https://wa.me/62811487236?text=*[PENGINGAT MASA BERLAKU SBU TUNAS SOWEK]*%0A%0AYth. Pimpinan TUNAS SOWEK,%0AMohon izin menginformasikan status SBU Anda di sistem LPJK:%0A%0A📄 SBU: BG005, BG006, BG009%0A📅 Expired: 20 Juli 2026 (60 Hari Lagi)%0A%0AKami tim PT. ESDEA Assistance Management siap men-support proses perpanjangan segera.", "Hubungi")</f>
        <v/>
      </c>
    </row>
    <row r="220">
      <c r="A220" t="inlineStr">
        <is>
          <t>USAHA MANDIRI KONSTRUKSI</t>
        </is>
      </c>
      <c r="B220" t="inlineStr">
        <is>
          <t>Kab. Jember</t>
        </is>
      </c>
      <c r="C220" t="inlineStr">
        <is>
          <t>081358004967</t>
        </is>
      </c>
      <c r="D220" t="inlineStr">
        <is>
          <t>cv.usahamandirikonstruksi@gmail.com</t>
        </is>
      </c>
      <c r="E220" t="inlineStr">
        <is>
          <t>https://lpjk.pu.go.id/search-badan-usaha-detail/eXhhS2h1Wis2RGZpSURYbS9Pd2N3UT09</t>
        </is>
      </c>
      <c r="F220" t="n">
        <v>4</v>
      </c>
      <c r="G220" t="inlineStr">
        <is>
          <t>BG005, BS001, BS002, BS004</t>
        </is>
      </c>
      <c r="H220" t="inlineStr">
        <is>
          <t>5 April 2022</t>
        </is>
      </c>
      <c r="I220" s="2" t="n">
        <v>46223</v>
      </c>
      <c r="J220" t="inlineStr">
        <is>
          <t>Disetujui, Pencabutan</t>
        </is>
      </c>
      <c r="K220" t="n">
        <v>60</v>
      </c>
      <c r="L220" t="inlineStr">
        <is>
          <t>20 Juli 2026</t>
        </is>
      </c>
      <c r="M220" t="inlineStr">
        <is>
          <t>Bangunan Sipil Jembatan, Jalan Layang, Fly Over, dan Underpass, Konstruksi Bangunan Sipil Jalan, Konstruksi Gedung Kesehatan, Konstruksi Jaringan Irigasi dan Drainase</t>
        </is>
      </c>
      <c r="N220" t="inlineStr">
        <is>
          <t>K</t>
        </is>
      </c>
      <c r="O220" t="inlineStr">
        <is>
          <t>20230717</t>
        </is>
      </c>
      <c r="P220" t="inlineStr">
        <is>
          <t>Jawa Timur</t>
        </is>
      </c>
      <c r="Q220" s="3">
        <f>HYPERLINK("https://wa.me/6281358004967?text=*[PENGINGAT MASA BERLAKU SBU USAHA MANDIRI KONSTRUKSI]*%0A%0AYth. Pimpinan USAHA MANDIRI KONSTRUKSI,%0AMohon izin menginformasikan status SBU Anda di sistem LPJK:%0A%0A📄 SBU: BG005, BS001, BS002, BS004%0A📅 Expired: 20 Juli 2026 (60 Hari Lagi)%0A%0AKami tim PT. ESDEA Assistance Management siap men-support proses perpanjangan segera.", "Hubungi")</f>
        <v/>
      </c>
    </row>
    <row r="221">
      <c r="A221" t="inlineStr">
        <is>
          <t>VAN VICTORY</t>
        </is>
      </c>
      <c r="B221" t="inlineStr">
        <is>
          <t>Kab. Dairi</t>
        </is>
      </c>
      <c r="C221" t="inlineStr">
        <is>
          <t>081260909707</t>
        </is>
      </c>
      <c r="D221" t="inlineStr">
        <is>
          <t>cvvanvictory@gmail.com</t>
        </is>
      </c>
      <c r="E221" t="inlineStr">
        <is>
          <t>https://lpjk.pu.go.id/search-badan-usaha-detail/NmV6cWcrRW56M3dwZEg5cWFoaWJ1UT09</t>
        </is>
      </c>
      <c r="F221" t="n">
        <v>3</v>
      </c>
      <c r="G221" t="inlineStr">
        <is>
          <t>BG002, BG005, BG006</t>
        </is>
      </c>
      <c r="H221" t="inlineStr">
        <is>
          <t>24 Juni 2019</t>
        </is>
      </c>
      <c r="I221" s="2" t="n">
        <v>46223</v>
      </c>
      <c r="J221" t="inlineStr">
        <is>
          <t>Disetujui</t>
        </is>
      </c>
      <c r="K221" t="n">
        <v>60</v>
      </c>
      <c r="L221" t="inlineStr">
        <is>
          <t>20 Juli 2026</t>
        </is>
      </c>
      <c r="M221" t="inlineStr">
        <is>
          <t>Konstruksi Gedung Kesehatan, Konstruksi Gedung Pendidikan, Konstruksi Gedung Perkantoran</t>
        </is>
      </c>
      <c r="N221" t="inlineStr">
        <is>
          <t>K</t>
        </is>
      </c>
      <c r="O221" t="inlineStr">
        <is>
          <t>20230718, 20230720</t>
        </is>
      </c>
      <c r="P221" t="inlineStr">
        <is>
          <t>Sumatera Utara</t>
        </is>
      </c>
      <c r="Q221" s="3">
        <f>HYPERLINK("https://wa.me/6281260909707?text=*[PENGINGAT MASA BERLAKU SBU VAN VICTORY]*%0A%0AYth. Pimpinan VAN VICTORY,%0AMohon izin menginformasikan status SBU Anda di sistem LPJK:%0A%0A📄 SBU: BG002, BG005, BG006%0A📅 Expired: 20 Juli 2026 (60 Hari Lagi)%0A%0AKami tim PT. ESDEA Assistance Management siap men-support proses perpanjangan segera.", "Hubungi")</f>
        <v/>
      </c>
    </row>
    <row r="222">
      <c r="A222" t="inlineStr">
        <is>
          <t>VERA JUWITA</t>
        </is>
      </c>
      <c r="B222" t="inlineStr">
        <is>
          <t>Kab. Asahan</t>
        </is>
      </c>
      <c r="C222" t="inlineStr">
        <is>
          <t>082368446996</t>
        </is>
      </c>
      <c r="D222" t="inlineStr">
        <is>
          <t>cv_verajuwita777@yahoo.com</t>
        </is>
      </c>
      <c r="E222" t="inlineStr">
        <is>
          <t>https://lpjk.pu.go.id/search-badan-usaha-detail/b0YvbXZnNGdnM01MMWl5YkhzVkRUQT09</t>
        </is>
      </c>
      <c r="F222" t="n">
        <v>2</v>
      </c>
      <c r="G222" t="inlineStr">
        <is>
          <t>BG006, BS001</t>
        </is>
      </c>
      <c r="H222" t="inlineStr">
        <is>
          <t>9 Januari 2001</t>
        </is>
      </c>
      <c r="I222" s="2" t="n">
        <v>46223</v>
      </c>
      <c r="J222" t="inlineStr">
        <is>
          <t>Disetujui</t>
        </is>
      </c>
      <c r="K222" t="n">
        <v>60</v>
      </c>
      <c r="L222" t="inlineStr">
        <is>
          <t>20 Juli 2026</t>
        </is>
      </c>
      <c r="M222" t="inlineStr">
        <is>
          <t>Konstruksi Bangunan Sipil Jalan, Konstruksi Gedung Pendidikan</t>
        </is>
      </c>
      <c r="N222" t="inlineStr">
        <is>
          <t>K</t>
        </is>
      </c>
      <c r="O222" t="inlineStr">
        <is>
          <t>20230616</t>
        </is>
      </c>
      <c r="P222" t="inlineStr">
        <is>
          <t>Sumatera Utara</t>
        </is>
      </c>
      <c r="Q222" s="3">
        <f>HYPERLINK("https://wa.me/6282368446996?text=*[PENGINGAT MASA BERLAKU SBU VERA JUWITA]*%0A%0AYth. Pimpinan VERA JUWITA,%0AMohon izin menginformasikan status SBU Anda di sistem LPJK:%0A%0A📄 SBU: BG006, BS001%0A📅 Expired: 20 Juli 2026 (60 Hari Lagi)%0A%0AKami tim PT. ESDEA Assistance Management siap men-support proses perpanjangan segera.", "Hubungi")</f>
        <v/>
      </c>
    </row>
    <row r="223">
      <c r="A223" t="inlineStr">
        <is>
          <t>WIJAYA KUSUMA</t>
        </is>
      </c>
      <c r="B223" t="inlineStr">
        <is>
          <t>Kab. Sragen</t>
        </is>
      </c>
      <c r="C223" t="inlineStr">
        <is>
          <t>0822 4333 7222</t>
        </is>
      </c>
      <c r="D223" t="inlineStr">
        <is>
          <t>wijayakusuma@contractor.net</t>
        </is>
      </c>
      <c r="E223" t="inlineStr">
        <is>
          <t>https://lpjk.pu.go.id/search-badan-usaha-detail/TGJhYUMwc1VHcERTdmFUeGhtdU1MQT09</t>
        </is>
      </c>
      <c r="F223" t="n">
        <v>2</v>
      </c>
      <c r="G223" t="inlineStr">
        <is>
          <t>BG005</t>
        </is>
      </c>
      <c r="H223" t="inlineStr">
        <is>
          <t>29 Desember 2001</t>
        </is>
      </c>
      <c r="I223" s="2" t="n">
        <v>46223</v>
      </c>
      <c r="J223" t="inlineStr">
        <is>
          <t>Disetujui</t>
        </is>
      </c>
      <c r="K223" t="n">
        <v>60</v>
      </c>
      <c r="L223" t="inlineStr">
        <is>
          <t>20 Juli 2026</t>
        </is>
      </c>
      <c r="M223" t="inlineStr">
        <is>
          <t>Konstruksi Gedung Kesehatan</t>
        </is>
      </c>
      <c r="N223" t="inlineStr">
        <is>
          <t>K</t>
        </is>
      </c>
      <c r="O223" t="inlineStr">
        <is>
          <t>20230720</t>
        </is>
      </c>
      <c r="P223" t="inlineStr">
        <is>
          <t>Jawa Tengah</t>
        </is>
      </c>
      <c r="Q223" s="3">
        <f>HYPERLINK("https://wa.me/6282243337222?text=*[PENGINGAT MASA BERLAKU SBU WIJAYA KUSUMA]*%0A%0AYth. Pimpinan WIJAYA KUSUMA,%0AMohon izin menginformasikan status SBU Anda di sistem LPJK:%0A%0A📄 SBU: BG005%0A📅 Expired: 20 Juli 2026 (60 Hari Lagi)%0A%0AKami tim PT. ESDEA Assistance Management siap men-support proses perpanjangan segera.", "Hubungi")</f>
        <v/>
      </c>
    </row>
    <row r="224">
      <c r="A224" t="inlineStr">
        <is>
          <t>YUDHA PRATAMA</t>
        </is>
      </c>
      <c r="B224" t="inlineStr">
        <is>
          <t>Kab. Kepulauan Anambas</t>
        </is>
      </c>
      <c r="C224" t="inlineStr">
        <is>
          <t>082284749292</t>
        </is>
      </c>
      <c r="D224" t="inlineStr">
        <is>
          <t>yudhapratama123.cv@gmail.com</t>
        </is>
      </c>
      <c r="E224" t="inlineStr">
        <is>
          <t>https://lpjk.pu.go.id/search-badan-usaha-detail/MVNDUkNWTHo1MUh2RkdDOE9jQW81QT09</t>
        </is>
      </c>
      <c r="F224" t="n">
        <v>2</v>
      </c>
      <c r="G224" t="inlineStr">
        <is>
          <t>BS001, BS010</t>
        </is>
      </c>
      <c r="H224" t="inlineStr">
        <is>
          <t>12 Januari 2007</t>
        </is>
      </c>
      <c r="I224" s="2" t="n">
        <v>46223</v>
      </c>
      <c r="J224" t="inlineStr">
        <is>
          <t>Disetujui</t>
        </is>
      </c>
      <c r="K224" t="n">
        <v>60</v>
      </c>
      <c r="L224" t="inlineStr">
        <is>
          <t>20 Juli 2026</t>
        </is>
      </c>
      <c r="M224" t="inlineStr">
        <is>
          <t>Konstruksi Bangunan Prasarana Sumber Daya Air, Konstruksi Bangunan Sipil Jalan</t>
        </is>
      </c>
      <c r="N224" t="inlineStr">
        <is>
          <t>K</t>
        </is>
      </c>
      <c r="O224" t="inlineStr">
        <is>
          <t>20230720</t>
        </is>
      </c>
      <c r="P224" t="inlineStr">
        <is>
          <t>Kepulauan Riau</t>
        </is>
      </c>
      <c r="Q224" s="3">
        <f>HYPERLINK("https://wa.me/6282284749292?text=*[PENGINGAT MASA BERLAKU SBU YUDHA PRATAMA]*%0A%0AYth. Pimpinan YUDHA PRATAMA,%0AMohon izin menginformasikan status SBU Anda di sistem LPJK:%0A%0A📄 SBU: BS001, BS010%0A📅 Expired: 20 Juli 2026 (60 Hari Lagi)%0A%0AKami tim PT. ESDEA Assistance Management siap men-support proses perpanjangan segera.", "Hubungi")</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cols>
    <col width="50" customWidth="1" min="1" max="1"/>
    <col width="27" customWidth="1" min="2" max="2"/>
    <col width="18"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ALAM ANGGUN SEJAHTERA</t>
        </is>
      </c>
      <c r="B2" t="inlineStr">
        <is>
          <t>Kab. Bekasi</t>
        </is>
      </c>
      <c r="C2" t="inlineStr">
        <is>
          <t>081288738818</t>
        </is>
      </c>
      <c r="D2" t="inlineStr">
        <is>
          <t>alamanggun212@gmail.com</t>
        </is>
      </c>
      <c r="E2" t="inlineStr">
        <is>
          <t>https://lpjk.pu.go.id/search-badan-usaha-detail/ZUFhbmFhckZPdGxmbDA3RkxKcStaUT09</t>
        </is>
      </c>
      <c r="F2" t="n">
        <v>1</v>
      </c>
      <c r="G2" t="inlineStr">
        <is>
          <t>BS005</t>
        </is>
      </c>
      <c r="H2" t="inlineStr">
        <is>
          <t>13 Februari 2019</t>
        </is>
      </c>
      <c r="I2" s="2" t="n">
        <v>46193</v>
      </c>
      <c r="J2" t="inlineStr">
        <is>
          <t>Disetujui</t>
        </is>
      </c>
      <c r="K2" t="n">
        <v>30</v>
      </c>
      <c r="L2" t="inlineStr">
        <is>
          <t>20 Juni 2026</t>
        </is>
      </c>
      <c r="M2" t="inlineStr">
        <is>
          <t>Konstruksi Bangunan Sipil Pengolahan Air Bersih</t>
        </is>
      </c>
      <c r="N2" t="inlineStr">
        <is>
          <t>M</t>
        </is>
      </c>
      <c r="O2" t="inlineStr">
        <is>
          <t>20230609</t>
        </is>
      </c>
      <c r="P2" t="inlineStr">
        <is>
          <t>Jawa Barat</t>
        </is>
      </c>
      <c r="Q2" s="3">
        <f>HYPERLINK("https://wa.me/6281288738818?text=*[PERINGATAN DARURAT SBU ALAM ANGGUN SEJAHTERA]*%0A%0AYth. Pimpinan ALAM ANGGUN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
      <c r="A3" t="inlineStr">
        <is>
          <t>BUDIZ KARYA</t>
        </is>
      </c>
      <c r="B3" t="inlineStr">
        <is>
          <t>Kota Bekasi</t>
        </is>
      </c>
      <c r="C3" t="inlineStr">
        <is>
          <t>081398776605</t>
        </is>
      </c>
      <c r="D3" t="inlineStr">
        <is>
          <t>budizkarya01@gmail.com</t>
        </is>
      </c>
      <c r="E3" t="inlineStr">
        <is>
          <t>https://lpjk.pu.go.id/search-badan-usaha-detail/NjRVcWQ4MDQ1Zit0azN0M0N5L21kUT09</t>
        </is>
      </c>
      <c r="F3" t="n">
        <v>4</v>
      </c>
      <c r="G3" t="inlineStr">
        <is>
          <t>BG005, BG009</t>
        </is>
      </c>
      <c r="H3" t="inlineStr">
        <is>
          <t>1 September 2022</t>
        </is>
      </c>
      <c r="I3" s="2" t="n">
        <v>46193</v>
      </c>
      <c r="J3" t="inlineStr">
        <is>
          <t>Disetujui</t>
        </is>
      </c>
      <c r="K3" t="n">
        <v>30</v>
      </c>
      <c r="L3" t="inlineStr">
        <is>
          <t>20 Juni 2026</t>
        </is>
      </c>
      <c r="M3" t="inlineStr">
        <is>
          <t>Konstruksi Gedung Kesehatan, Konstruksi Gedung Lainnya</t>
        </is>
      </c>
      <c r="N3" t="inlineStr">
        <is>
          <t>K</t>
        </is>
      </c>
      <c r="O3" t="inlineStr">
        <is>
          <t>20230616</t>
        </is>
      </c>
      <c r="P3" t="inlineStr">
        <is>
          <t>Jawa Barat</t>
        </is>
      </c>
      <c r="Q3" s="3">
        <f>HYPERLINK("https://wa.me/6281398776605?text=*[PERINGATAN DARURAT SBU BUDIZ KARYA]*%0A%0AYth. Pimpinan BUDIZ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
      <c r="A4" t="inlineStr">
        <is>
          <t>CHANDRA GRAHA PRATAMA</t>
        </is>
      </c>
      <c r="B4" t="inlineStr">
        <is>
          <t>Kab. Bogor</t>
        </is>
      </c>
      <c r="C4" t="inlineStr">
        <is>
          <t>081908007667</t>
        </is>
      </c>
      <c r="D4" t="inlineStr">
        <is>
          <t>chandra_gp4@yahoo.com</t>
        </is>
      </c>
      <c r="E4" t="inlineStr">
        <is>
          <t>https://lpjk.pu.go.id/search-badan-usaha-detail/VncyckU0RER0YUhQb3lYMG5oU2Z3UT09</t>
        </is>
      </c>
      <c r="F4" t="n">
        <v>1</v>
      </c>
      <c r="G4" t="inlineStr">
        <is>
          <t>BS001</t>
        </is>
      </c>
      <c r="H4" t="inlineStr">
        <is>
          <t>14 Juli 2014</t>
        </is>
      </c>
      <c r="I4" s="2" t="n">
        <v>46193</v>
      </c>
      <c r="J4" t="inlineStr">
        <is>
          <t>Disetujui</t>
        </is>
      </c>
      <c r="K4" t="n">
        <v>30</v>
      </c>
      <c r="L4" t="inlineStr">
        <is>
          <t>20 Juni 2026</t>
        </is>
      </c>
      <c r="M4" t="inlineStr">
        <is>
          <t>Konstruksi Bangunan Sipil Jalan</t>
        </is>
      </c>
      <c r="N4" t="inlineStr">
        <is>
          <t>K</t>
        </is>
      </c>
      <c r="O4" t="inlineStr">
        <is>
          <t>20230617</t>
        </is>
      </c>
      <c r="P4" t="inlineStr">
        <is>
          <t>Jawa Barat</t>
        </is>
      </c>
      <c r="Q4" s="3">
        <f>HYPERLINK("https://wa.me/6281908007667?text=*[PERINGATAN DARURAT SBU CHANDRA GRAHA PRATAMA]*%0A%0AYth. Pimpinan CHANDRA GRAHA PRATAMA,%0AMasa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
      <c r="A5" t="inlineStr">
        <is>
          <t>ELIAZER NAHOR PRATAMA</t>
        </is>
      </c>
      <c r="B5" t="inlineStr">
        <is>
          <t>Kab. Bogor</t>
        </is>
      </c>
      <c r="C5" t="inlineStr">
        <is>
          <t>087872030003</t>
        </is>
      </c>
      <c r="D5" t="inlineStr">
        <is>
          <t>pt.eliazernahorpratama@gmail.com</t>
        </is>
      </c>
      <c r="E5" t="inlineStr">
        <is>
          <t>https://lpjk.pu.go.id/search-badan-usaha-detail/K2xCL3Q4YXlaZHVUR3lwUmRhL0xwZz09</t>
        </is>
      </c>
      <c r="F5" t="n">
        <v>4</v>
      </c>
      <c r="G5" t="inlineStr">
        <is>
          <t>BG001, BG009, IN001, KK001</t>
        </is>
      </c>
      <c r="H5" t="inlineStr">
        <is>
          <t>17 April 2023</t>
        </is>
      </c>
      <c r="I5" s="2" t="n">
        <v>46193</v>
      </c>
      <c r="J5" t="inlineStr">
        <is>
          <t>Disetujui</t>
        </is>
      </c>
      <c r="K5" t="n">
        <v>30</v>
      </c>
      <c r="L5" t="inlineStr">
        <is>
          <t>20 Juni 2026</t>
        </is>
      </c>
      <c r="M5" t="inlineStr">
        <is>
          <t>Instalasi Mekanikal, Konstruksi Gedung Hunian, Konstruksi Gedung Lainnya, Pondasi Konstruksi</t>
        </is>
      </c>
      <c r="N5" t="inlineStr">
        <is>
          <t>K, Spesialis</t>
        </is>
      </c>
      <c r="O5" t="inlineStr">
        <is>
          <t>20230523</t>
        </is>
      </c>
      <c r="P5" t="inlineStr">
        <is>
          <t>Jawa Barat</t>
        </is>
      </c>
      <c r="Q5" s="3">
        <f>HYPERLINK("https://wa.me/6287872030003?text=*[PERINGATAN DARURAT SBU ELIAZER NAHOR PRATAMA]*%0A%0AYth. Pimpinan ELIAZER NAHOR PRATAMA,%0AMasa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
      <c r="A6" t="inlineStr">
        <is>
          <t>GEMILANG KARYA</t>
        </is>
      </c>
      <c r="B6" t="inlineStr">
        <is>
          <t>Kota Bekasi</t>
        </is>
      </c>
      <c r="C6" t="inlineStr">
        <is>
          <t>02182624515</t>
        </is>
      </c>
      <c r="D6" t="inlineStr">
        <is>
          <t>gemilang2022@yahoo.com</t>
        </is>
      </c>
      <c r="E6" t="inlineStr">
        <is>
          <t>https://lpjk.pu.go.id/search-badan-usaha-detail/MDJGR1QwUkxsWTNWN2pTZWIzRnpxZz09</t>
        </is>
      </c>
      <c r="F6" t="n">
        <v>1</v>
      </c>
      <c r="G6" t="inlineStr">
        <is>
          <t>PB004</t>
        </is>
      </c>
      <c r="H6" t="inlineStr">
        <is>
          <t>1 Agustus 2022</t>
        </is>
      </c>
      <c r="I6" s="2" t="n">
        <v>46193</v>
      </c>
      <c r="J6" t="inlineStr">
        <is>
          <t>Pembekuan</t>
        </is>
      </c>
      <c r="K6" t="n">
        <v>30</v>
      </c>
      <c r="L6" t="inlineStr">
        <is>
          <t>20 Juni 2026</t>
        </is>
      </c>
      <c r="M6" t="inlineStr">
        <is>
          <t>Dekorasi Interior</t>
        </is>
      </c>
      <c r="N6" t="inlineStr">
        <is>
          <t>Spesialis</t>
        </is>
      </c>
      <c r="O6" t="inlineStr">
        <is>
          <t>20230324</t>
        </is>
      </c>
      <c r="P6" t="inlineStr">
        <is>
          <t>Jawa Barat</t>
        </is>
      </c>
      <c r="Q6" s="3">
        <f>HYPERLINK("https://wa.me/622182624515?text=*[PERINGATAN DARURAT SBU GEMILANG KARYA]*%0A%0AYth. Pimpinan GEMILANG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
      <c r="A7" t="inlineStr">
        <is>
          <t>MIRAHEN INDRA PERSADA</t>
        </is>
      </c>
      <c r="B7" t="inlineStr">
        <is>
          <t>Kota Bekasi</t>
        </is>
      </c>
      <c r="C7" t="inlineStr">
        <is>
          <t>081282709917</t>
        </is>
      </c>
      <c r="D7" t="inlineStr">
        <is>
          <t>pt.mirahenindrapersada@gmail.com</t>
        </is>
      </c>
      <c r="E7" t="inlineStr">
        <is>
          <t>https://lpjk.pu.go.id/search-badan-usaha-detail/OXRXRmJqd2dGSXZsbWdhZVd4cTU1UT09</t>
        </is>
      </c>
      <c r="F7" t="n">
        <v>1</v>
      </c>
      <c r="G7" t="inlineStr">
        <is>
          <t>BS004</t>
        </is>
      </c>
      <c r="H7" t="inlineStr">
        <is>
          <t>17 November 2022</t>
        </is>
      </c>
      <c r="I7" s="2" t="n">
        <v>46193</v>
      </c>
      <c r="J7" t="inlineStr">
        <is>
          <t>Disetujui</t>
        </is>
      </c>
      <c r="K7" t="n">
        <v>30</v>
      </c>
      <c r="L7" t="inlineStr">
        <is>
          <t>20 Juni 2026</t>
        </is>
      </c>
      <c r="M7" t="inlineStr">
        <is>
          <t>Konstruksi Jaringan Irigasi dan Drainase</t>
        </is>
      </c>
      <c r="N7" t="inlineStr">
        <is>
          <t>K</t>
        </is>
      </c>
      <c r="O7" t="inlineStr">
        <is>
          <t>20230619</t>
        </is>
      </c>
      <c r="P7" t="inlineStr">
        <is>
          <t>Jawa Barat</t>
        </is>
      </c>
      <c r="Q7" s="3">
        <f>HYPERLINK("https://wa.me/6281282709917?text=*[PERINGATAN DARURAT SBU MIRAHEN INDRA PERSADA]*%0A%0AYth. Pimpinan MIRAHEN INDRA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
      <c r="A8" t="inlineStr">
        <is>
          <t>SANDI MULYA MANDIRI</t>
        </is>
      </c>
      <c r="B8" t="inlineStr">
        <is>
          <t>Kota Adm. Jakarta Timur</t>
        </is>
      </c>
      <c r="C8" t="inlineStr">
        <is>
          <t>081280970240</t>
        </is>
      </c>
      <c r="D8" t="inlineStr">
        <is>
          <t>sandhika2202@gmail.com</t>
        </is>
      </c>
      <c r="E8" t="inlineStr">
        <is>
          <t>https://lpjk.pu.go.id/search-badan-usaha-detail/RGtqL25iM01qS2hhZ0Q3bU1lWEtjdz09</t>
        </is>
      </c>
      <c r="F8" t="n">
        <v>1</v>
      </c>
      <c r="G8" t="inlineStr">
        <is>
          <t>PB004</t>
        </is>
      </c>
      <c r="H8" t="inlineStr">
        <is>
          <t>12 April 2023</t>
        </is>
      </c>
      <c r="I8" s="2" t="n">
        <v>46193</v>
      </c>
      <c r="J8" t="inlineStr">
        <is>
          <t>Disetujui</t>
        </is>
      </c>
      <c r="K8" t="n">
        <v>30</v>
      </c>
      <c r="L8" t="inlineStr">
        <is>
          <t>20 Juni 2026</t>
        </is>
      </c>
      <c r="M8" t="inlineStr">
        <is>
          <t>Dekorasi Interior</t>
        </is>
      </c>
      <c r="N8" t="inlineStr">
        <is>
          <t>Spesialis</t>
        </is>
      </c>
      <c r="O8" t="inlineStr">
        <is>
          <t>20230620</t>
        </is>
      </c>
      <c r="P8" t="inlineStr">
        <is>
          <t>DKI Jakarta</t>
        </is>
      </c>
      <c r="Q8" s="3">
        <f>HYPERLINK("https://wa.me/6281280970240?text=*[PERINGATAN DARURAT SBU SANDI MULYA MANDIRI]*%0A%0AYth. Pimpinan SANDI MULYA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
      <c r="A9" t="inlineStr">
        <is>
          <t>SARANA KOMUNIKASI DATA</t>
        </is>
      </c>
      <c r="B9" t="inlineStr">
        <is>
          <t>Kab. Bekasi</t>
        </is>
      </c>
      <c r="C9" t="inlineStr">
        <is>
          <t>081398498583</t>
        </is>
      </c>
      <c r="D9" t="inlineStr">
        <is>
          <t>marketing.skd83@gmail.com</t>
        </is>
      </c>
      <c r="E9" t="inlineStr">
        <is>
          <t>https://lpjk.pu.go.id/search-badan-usaha-detail/RmJqWGplQ2RnQzYweWNWdExLdlJSQT09</t>
        </is>
      </c>
      <c r="F9" t="n">
        <v>1</v>
      </c>
      <c r="G9" t="inlineStr">
        <is>
          <t>IN002</t>
        </is>
      </c>
      <c r="H9" t="inlineStr">
        <is>
          <t>26 Juni 2018</t>
        </is>
      </c>
      <c r="I9" s="2" t="n">
        <v>46193</v>
      </c>
      <c r="J9" t="inlineStr">
        <is>
          <t>Disetujui</t>
        </is>
      </c>
      <c r="K9" t="n">
        <v>30</v>
      </c>
      <c r="L9" t="inlineStr">
        <is>
          <t>20 Juni 2026</t>
        </is>
      </c>
      <c r="M9" t="inlineStr">
        <is>
          <t>Instalasi Telekomunikasi</t>
        </is>
      </c>
      <c r="N9" t="inlineStr">
        <is>
          <t>Spesialis</t>
        </is>
      </c>
      <c r="O9" t="inlineStr">
        <is>
          <t>20230618</t>
        </is>
      </c>
      <c r="P9" t="inlineStr">
        <is>
          <t>Jawa Barat</t>
        </is>
      </c>
      <c r="Q9" s="3">
        <f>HYPERLINK("https://wa.me/6281398498583?text=*[PERINGATAN DARURAT SBU SARANA KOMUNIKASI DATA]*%0A%0AYth. Pimpinan SARANA KOMUNIKASI DATA,%0AMasa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
      <c r="A10" t="inlineStr">
        <is>
          <t>TAMSI KARYA SUKSES</t>
        </is>
      </c>
      <c r="B10" t="inlineStr">
        <is>
          <t>Kota Bekasi</t>
        </is>
      </c>
      <c r="C10" t="inlineStr">
        <is>
          <t>02182766394</t>
        </is>
      </c>
      <c r="D10" t="inlineStr">
        <is>
          <t>tamsikaryasukses@yahoo.com</t>
        </is>
      </c>
      <c r="E10" t="inlineStr">
        <is>
          <t>https://lpjk.pu.go.id/search-badan-usaha-detail/SW5xSTVVelZmQzA1QkZmeVA1Sk4xdz09</t>
        </is>
      </c>
      <c r="F10" t="n">
        <v>1</v>
      </c>
      <c r="G10" t="inlineStr">
        <is>
          <t>BG006</t>
        </is>
      </c>
      <c r="H10" t="inlineStr">
        <is>
          <t>27 Januari 2020</t>
        </is>
      </c>
      <c r="I10" s="2" t="n">
        <v>46193</v>
      </c>
      <c r="J10" t="inlineStr">
        <is>
          <t>Disetujui</t>
        </is>
      </c>
      <c r="K10" t="n">
        <v>30</v>
      </c>
      <c r="L10" t="inlineStr">
        <is>
          <t>20 Juni 2026</t>
        </is>
      </c>
      <c r="M10" t="inlineStr">
        <is>
          <t>Konstruksi Gedung Pendidikan</t>
        </is>
      </c>
      <c r="N10" t="inlineStr">
        <is>
          <t>K</t>
        </is>
      </c>
      <c r="O10" t="inlineStr">
        <is>
          <t>20230619</t>
        </is>
      </c>
      <c r="P10" t="inlineStr">
        <is>
          <t>Jawa Barat</t>
        </is>
      </c>
      <c r="Q10" s="3">
        <f>HYPERLINK("https://wa.me/622182766394?text=*[PERINGATAN DARURAT SBU TAMSI KARYA SUKSES]*%0A%0AYth. Pimpinan TAMSI KARYA SUKSES,%0AMasa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
      <c r="A11" t="inlineStr">
        <is>
          <t>TOBA DUTA PERSADA</t>
        </is>
      </c>
      <c r="B11" t="inlineStr">
        <is>
          <t>Kota Depok</t>
        </is>
      </c>
      <c r="C11" t="inlineStr">
        <is>
          <t>081319921606</t>
        </is>
      </c>
      <c r="D11" t="inlineStr">
        <is>
          <t>pt.tobadutapersada@yahoo.com</t>
        </is>
      </c>
      <c r="E11" t="inlineStr">
        <is>
          <t>https://lpjk.pu.go.id/search-badan-usaha-detail/dzZ1UUZUb3FLdmxmMWlYUUVzeGp0dz09</t>
        </is>
      </c>
      <c r="F11" t="n">
        <v>1</v>
      </c>
      <c r="G11" t="inlineStr">
        <is>
          <t>BS004</t>
        </is>
      </c>
      <c r="H11" t="inlineStr">
        <is>
          <t>10 November 2020</t>
        </is>
      </c>
      <c r="I11" s="2" t="n">
        <v>46193</v>
      </c>
      <c r="J11" t="inlineStr">
        <is>
          <t>Disetujui</t>
        </is>
      </c>
      <c r="K11" t="n">
        <v>30</v>
      </c>
      <c r="L11" t="inlineStr">
        <is>
          <t>20 Juni 2026</t>
        </is>
      </c>
      <c r="M11" t="inlineStr">
        <is>
          <t>Konstruksi Jaringan Irigasi dan Drainase</t>
        </is>
      </c>
      <c r="N11" t="inlineStr">
        <is>
          <t>K</t>
        </is>
      </c>
      <c r="O11" t="inlineStr">
        <is>
          <t>20230610</t>
        </is>
      </c>
      <c r="P11" t="inlineStr">
        <is>
          <t>Jawa Barat</t>
        </is>
      </c>
      <c r="Q11" s="3">
        <f>HYPERLINK("https://wa.me/6281319921606?text=*[PERINGATAN DARURAT SBU TOBA DUTA PERSADA]*%0A%0AYth. Pimpinan TOBA DUTA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
      <c r="A12" t="inlineStr">
        <is>
          <t>ADE PUTRA BUNGSU</t>
        </is>
      </c>
      <c r="B12" t="inlineStr">
        <is>
          <t>Kab. Merangin</t>
        </is>
      </c>
      <c r="C12" t="inlineStr">
        <is>
          <t>081373444333</t>
        </is>
      </c>
      <c r="D12" t="inlineStr">
        <is>
          <t>cv.adeputrabungsu@gmail.com</t>
        </is>
      </c>
      <c r="E12" t="inlineStr">
        <is>
          <t>https://lpjk.pu.go.id/search-badan-usaha-detail/RndHWmdnUlBRNkhCT3RIbEVSNjBZZz09</t>
        </is>
      </c>
      <c r="F12" t="n">
        <v>1</v>
      </c>
      <c r="G12" t="inlineStr">
        <is>
          <t>BS001</t>
        </is>
      </c>
      <c r="H12" t="inlineStr">
        <is>
          <t>4 November 1991</t>
        </is>
      </c>
      <c r="I12" s="2" t="n">
        <v>46193</v>
      </c>
      <c r="J12" t="inlineStr">
        <is>
          <t>Disetujui</t>
        </is>
      </c>
      <c r="K12" t="n">
        <v>30</v>
      </c>
      <c r="L12" t="inlineStr">
        <is>
          <t>20 Juni 2026</t>
        </is>
      </c>
      <c r="M12" t="inlineStr">
        <is>
          <t>Konstruksi Bangunan Sipil Jalan</t>
        </is>
      </c>
      <c r="N12" t="inlineStr">
        <is>
          <t>K</t>
        </is>
      </c>
      <c r="O12" t="inlineStr">
        <is>
          <t>20230614</t>
        </is>
      </c>
      <c r="P12" t="inlineStr">
        <is>
          <t>Jambi</t>
        </is>
      </c>
      <c r="Q12" s="3">
        <f>HYPERLINK("https://wa.me/6281373444333?text=*[PERINGATAN DARURAT SBU ADE PUTRA BUNGSU]*%0A%0AYth. Pimpinan ADE PUTRA BUNGSU,%0AMasa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
      <c r="A13" t="inlineStr">
        <is>
          <t>ADHI KARYA MEMBANGUN</t>
        </is>
      </c>
      <c r="B13" t="inlineStr">
        <is>
          <t>Kab. Banggai Laut</t>
        </is>
      </c>
      <c r="C13" t="inlineStr">
        <is>
          <t>082190205113</t>
        </is>
      </c>
      <c r="D13" t="inlineStr">
        <is>
          <t>cv.adhikaryamembangun@gmail.com</t>
        </is>
      </c>
      <c r="E13" t="inlineStr">
        <is>
          <t>https://lpjk.pu.go.id/search-badan-usaha-detail/SnA3Vk5xaU5uU0NiS053ZUxyK3VLQT09</t>
        </is>
      </c>
      <c r="F13" t="n">
        <v>1</v>
      </c>
      <c r="G13" t="inlineStr">
        <is>
          <t>BS001</t>
        </is>
      </c>
      <c r="H13" t="inlineStr">
        <is>
          <t>20 Januari 2017</t>
        </is>
      </c>
      <c r="I13" s="2" t="n">
        <v>46193</v>
      </c>
      <c r="J13" t="inlineStr">
        <is>
          <t>Disetujui</t>
        </is>
      </c>
      <c r="K13" t="n">
        <v>30</v>
      </c>
      <c r="L13" t="inlineStr">
        <is>
          <t>20 Juni 2026</t>
        </is>
      </c>
      <c r="M13" t="inlineStr">
        <is>
          <t>Konstruksi Bangunan Sipil Jalan</t>
        </is>
      </c>
      <c r="N13" t="inlineStr">
        <is>
          <t>K</t>
        </is>
      </c>
      <c r="O13" t="inlineStr">
        <is>
          <t>20230619</t>
        </is>
      </c>
      <c r="P13" t="inlineStr">
        <is>
          <t>Sulawesi Tengah</t>
        </is>
      </c>
      <c r="Q13" s="3">
        <f>HYPERLINK("https://wa.me/6282190205113?text=*[PERINGATAN DARURAT SBU ADHI KARYA MEMBANGUN]*%0A%0AYth. Pimpinan ADHI KARYA MEMBANGUN,%0AMasa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
      <c r="A14" t="inlineStr">
        <is>
          <t>ADICIPTA MARITIM HUTAMA</t>
        </is>
      </c>
      <c r="B14" t="inlineStr">
        <is>
          <t>Kota Adm. Jakarta Selatan</t>
        </is>
      </c>
      <c r="C14" t="inlineStr">
        <is>
          <t>085894717473</t>
        </is>
      </c>
      <c r="D14" t="inlineStr">
        <is>
          <t>adiciptamaritimhutama@yahoo.com</t>
        </is>
      </c>
      <c r="E14" t="inlineStr">
        <is>
          <t>https://lpjk.pu.go.id/search-badan-usaha-detail/L1A0TVN0TzBRVnJBUHpKejRuNWdhZz09</t>
        </is>
      </c>
      <c r="F14" t="n">
        <v>1</v>
      </c>
      <c r="G14" t="inlineStr">
        <is>
          <t>BG009</t>
        </is>
      </c>
      <c r="H14" t="inlineStr">
        <is>
          <t>18 April 2022</t>
        </is>
      </c>
      <c r="I14" s="2" t="n">
        <v>46193</v>
      </c>
      <c r="J14" t="inlineStr">
        <is>
          <t>Disetujui</t>
        </is>
      </c>
      <c r="K14" t="n">
        <v>30</v>
      </c>
      <c r="L14" t="inlineStr">
        <is>
          <t>20 Juni 2026</t>
        </is>
      </c>
      <c r="M14" t="inlineStr">
        <is>
          <t>Konstruksi Gedung Lainnya</t>
        </is>
      </c>
      <c r="N14" t="inlineStr">
        <is>
          <t>K</t>
        </is>
      </c>
      <c r="O14" t="inlineStr">
        <is>
          <t>20230619</t>
        </is>
      </c>
      <c r="P14" t="inlineStr">
        <is>
          <t>DKI Jakarta</t>
        </is>
      </c>
      <c r="Q14" s="3">
        <f>HYPERLINK("https://wa.me/6285894717473?text=*[PERINGATAN DARURAT SBU ADICIPTA MARITIM HUTAMA]*%0A%0AYth. Pimpinan ADICIPTA MARITIM HUTAMA,%0AMasa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
      <c r="A15" t="inlineStr">
        <is>
          <t>AFDHAL NADIRA RAFIF FAMILY</t>
        </is>
      </c>
      <c r="B15" t="inlineStr">
        <is>
          <t>Kota Bandar Lampung</t>
        </is>
      </c>
      <c r="C15" t="inlineStr">
        <is>
          <t>082376997451</t>
        </is>
      </c>
      <c r="D15" t="inlineStr">
        <is>
          <t>cvafdhalnadirarafiffamily@gmail.com</t>
        </is>
      </c>
      <c r="E15" t="inlineStr">
        <is>
          <t>https://lpjk.pu.go.id/search-badan-usaha-detail/dGhXWXMzYVhESWhRK0loMTBVYXNDdz09</t>
        </is>
      </c>
      <c r="F15" t="n">
        <v>2</v>
      </c>
      <c r="G15" t="inlineStr">
        <is>
          <t>BG002, BG009</t>
        </is>
      </c>
      <c r="H15" t="inlineStr">
        <is>
          <t>2 Januari 2023</t>
        </is>
      </c>
      <c r="I15" s="2" t="n">
        <v>46193</v>
      </c>
      <c r="J15" t="inlineStr">
        <is>
          <t>Disetujui</t>
        </is>
      </c>
      <c r="K15" t="n">
        <v>30</v>
      </c>
      <c r="L15" t="inlineStr">
        <is>
          <t>20 Juni 2026</t>
        </is>
      </c>
      <c r="M15" t="inlineStr">
        <is>
          <t>Konstruksi Gedung Lainnya, Konstruksi Gedung Perkantoran</t>
        </is>
      </c>
      <c r="N15" t="inlineStr">
        <is>
          <t>K</t>
        </is>
      </c>
      <c r="O15" t="inlineStr">
        <is>
          <t>20230615, 20230619</t>
        </is>
      </c>
      <c r="P15" t="inlineStr">
        <is>
          <t>Lampung</t>
        </is>
      </c>
      <c r="Q15" s="3">
        <f>HYPERLINK("https://wa.me/6282376997451?text=*[PERINGATAN DARURAT SBU AFDHAL NADIRA RAFIF FAMILY]*%0A%0AYth. Pimpinan AFDHAL NADIRA RAFIF FAMILY,%0AMasa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
      <c r="A16" t="inlineStr">
        <is>
          <t>ALFA ALMAHYRA JAYA</t>
        </is>
      </c>
      <c r="B16" t="inlineStr">
        <is>
          <t>Kota Makassar</t>
        </is>
      </c>
      <c r="C16" t="inlineStr">
        <is>
          <t>082241171788</t>
        </is>
      </c>
      <c r="D16" t="inlineStr">
        <is>
          <t>cvalfaalmahyrajaya@gmail.com</t>
        </is>
      </c>
      <c r="E16" t="inlineStr">
        <is>
          <t>https://lpjk.pu.go.id/search-badan-usaha-detail/ZFJyVDhlVjVxK3VIVUM3YVJ6cHJNdz09</t>
        </is>
      </c>
      <c r="F16" t="n">
        <v>1</v>
      </c>
      <c r="G16" t="inlineStr">
        <is>
          <t>PB004</t>
        </is>
      </c>
      <c r="H16" t="inlineStr">
        <is>
          <t>8 Juni 2022</t>
        </is>
      </c>
      <c r="I16" s="2" t="n">
        <v>46193</v>
      </c>
      <c r="J16" t="inlineStr">
        <is>
          <t>Pencabutan</t>
        </is>
      </c>
      <c r="K16" t="n">
        <v>30</v>
      </c>
      <c r="L16" t="inlineStr">
        <is>
          <t>20 Juni 2026</t>
        </is>
      </c>
      <c r="M16" t="inlineStr">
        <is>
          <t>Dekorasi Interior</t>
        </is>
      </c>
      <c r="N16" t="inlineStr">
        <is>
          <t>Spesialis</t>
        </is>
      </c>
      <c r="O16" t="inlineStr">
        <is>
          <t>20230613</t>
        </is>
      </c>
      <c r="P16" t="inlineStr">
        <is>
          <t>Sulawesi Selatan</t>
        </is>
      </c>
      <c r="Q16" s="3">
        <f>HYPERLINK("https://wa.me/6282241171788?text=*[PERINGATAN DARURAT SBU ALFA ALMAHYRA JAYA]*%0A%0AYth. Pimpinan ALFA ALMAHYRA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
      <c r="A17" t="inlineStr">
        <is>
          <t>ALMA DUA KONSTRUKSI</t>
        </is>
      </c>
      <c r="B17" t="inlineStr">
        <is>
          <t>Kab. Mamuju</t>
        </is>
      </c>
      <c r="C17" t="inlineStr">
        <is>
          <t>08114181093</t>
        </is>
      </c>
      <c r="D17" t="inlineStr">
        <is>
          <t>almaduakonstruksi@gmail.com</t>
        </is>
      </c>
      <c r="E17" t="inlineStr">
        <is>
          <t>https://lpjk.pu.go.id/search-badan-usaha-detail/YkJrYVkwcEcvbnF1U1kwSlh6TGJHUT09</t>
        </is>
      </c>
      <c r="F17" t="n">
        <v>3</v>
      </c>
      <c r="G17" t="inlineStr">
        <is>
          <t>BG006, BS004, BS005</t>
        </is>
      </c>
      <c r="H17" t="inlineStr">
        <is>
          <t>30 Mei 2023</t>
        </is>
      </c>
      <c r="I17" s="2" t="n">
        <v>46193</v>
      </c>
      <c r="J17" t="inlineStr">
        <is>
          <t>Disetujui</t>
        </is>
      </c>
      <c r="K17" t="n">
        <v>30</v>
      </c>
      <c r="L17" t="inlineStr">
        <is>
          <t>20 Juni 2026</t>
        </is>
      </c>
      <c r="M17" t="inlineStr">
        <is>
          <t>Konstruksi Bangunan Sipil Pengolahan Air Bersih, Konstruksi Gedung Pendidikan, Konstruksi Jaringan Irigasi dan Drainase</t>
        </is>
      </c>
      <c r="N17" t="inlineStr">
        <is>
          <t>K</t>
        </is>
      </c>
      <c r="O17" t="inlineStr">
        <is>
          <t>20230616</t>
        </is>
      </c>
      <c r="P17" t="inlineStr">
        <is>
          <t>Sulawesi Barat</t>
        </is>
      </c>
      <c r="Q17" s="3">
        <f>HYPERLINK("https://wa.me/628114181093?text=*[PERINGATAN DARURAT SBU ALMA DUA KONSTRUKSI]*%0A%0AYth. Pimpinan ALMA DUA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
      <c r="A18" t="inlineStr">
        <is>
          <t>AMERTA ARTARAYA</t>
        </is>
      </c>
      <c r="B18" t="inlineStr">
        <is>
          <t>Kab. Sragen</t>
        </is>
      </c>
      <c r="C18" t="inlineStr">
        <is>
          <t>085799107820</t>
        </is>
      </c>
      <c r="D18" t="inlineStr">
        <is>
          <t>amertaartaraya@gmail.com</t>
        </is>
      </c>
      <c r="E18" t="inlineStr">
        <is>
          <t>https://lpjk.pu.go.id/search-badan-usaha-detail/MFhmNlIwZEVFNDhwczdiV3B1UlE2Zz09</t>
        </is>
      </c>
      <c r="F18" t="n">
        <v>4</v>
      </c>
      <c r="G18" t="inlineStr">
        <is>
          <t>BG006, BG009</t>
        </is>
      </c>
      <c r="H18" t="inlineStr">
        <is>
          <t>6 Januari 2023</t>
        </is>
      </c>
      <c r="I18" s="2" t="n">
        <v>46193</v>
      </c>
      <c r="J18" t="inlineStr">
        <is>
          <t>Disetujui</t>
        </is>
      </c>
      <c r="K18" t="n">
        <v>30</v>
      </c>
      <c r="L18" t="inlineStr">
        <is>
          <t>20 Juni 2026</t>
        </is>
      </c>
      <c r="M18" t="inlineStr">
        <is>
          <t>Konstruksi Gedung Lainnya, Konstruksi Gedung Pendidikan</t>
        </is>
      </c>
      <c r="N18" t="inlineStr">
        <is>
          <t>K</t>
        </is>
      </c>
      <c r="O18" t="inlineStr">
        <is>
          <t>20230619</t>
        </is>
      </c>
      <c r="P18" t="inlineStr">
        <is>
          <t>Jawa Tengah</t>
        </is>
      </c>
      <c r="Q18" s="3">
        <f>HYPERLINK("https://wa.me/6285799107820?text=*[PERINGATAN DARURAT SBU AMERTA ARTARAYA]*%0A%0AYth. Pimpinan AMERTA ARTARAYA,%0AMasa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
      <c r="A19" t="inlineStr">
        <is>
          <t>AMIN ABADI SEJAHTERA</t>
        </is>
      </c>
      <c r="B19" t="inlineStr">
        <is>
          <t>Kab. Gowa</t>
        </is>
      </c>
      <c r="C19" t="inlineStr">
        <is>
          <t>085255805079</t>
        </is>
      </c>
      <c r="D19" t="inlineStr">
        <is>
          <t>amin_abadisejahtera@outlook.co.id</t>
        </is>
      </c>
      <c r="E19" t="inlineStr">
        <is>
          <t>https://lpjk.pu.go.id/search-badan-usaha-detail/Q3NzbnREcGFZdTFjUHUxVHkzRllSdz09</t>
        </is>
      </c>
      <c r="F19" t="n">
        <v>2</v>
      </c>
      <c r="G19" t="inlineStr">
        <is>
          <t>BS001, BS004</t>
        </is>
      </c>
      <c r="H19" t="inlineStr">
        <is>
          <t>14 Januari 2020</t>
        </is>
      </c>
      <c r="I19" s="2" t="n">
        <v>46193</v>
      </c>
      <c r="J19" t="inlineStr">
        <is>
          <t>Disetujui</t>
        </is>
      </c>
      <c r="K19" t="n">
        <v>30</v>
      </c>
      <c r="L19" t="inlineStr">
        <is>
          <t>20 Juni 2026</t>
        </is>
      </c>
      <c r="M19" t="inlineStr">
        <is>
          <t>Konstruksi Bangunan Sipil Jalan, Konstruksi Jaringan Irigasi dan Drainase</t>
        </is>
      </c>
      <c r="N19" t="inlineStr">
        <is>
          <t>K</t>
        </is>
      </c>
      <c r="O19" t="inlineStr">
        <is>
          <t>20230606</t>
        </is>
      </c>
      <c r="P19" t="inlineStr">
        <is>
          <t>Sulawesi Selatan</t>
        </is>
      </c>
      <c r="Q19" s="3">
        <f>HYPERLINK("https://wa.me/6285255805079?text=*[PERINGATAN DARURAT SBU AMIN ABADI SEJAHTERA]*%0A%0AYth. Pimpinan AMIN ABADI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
      <c r="A20" t="inlineStr">
        <is>
          <t>ANDI KARYA</t>
        </is>
      </c>
      <c r="B20" t="inlineStr">
        <is>
          <t>Kab. Sumenep</t>
        </is>
      </c>
      <c r="C20" t="inlineStr">
        <is>
          <t>08179311342</t>
        </is>
      </c>
      <c r="D20" t="inlineStr">
        <is>
          <t>abdurrahman.andikarya1972@yahoo.com</t>
        </is>
      </c>
      <c r="E20" t="inlineStr">
        <is>
          <t>https://lpjk.pu.go.id/search-badan-usaha-detail/aTNhNTIzU1JZR3gvWEJpTUR5YkJMQT09</t>
        </is>
      </c>
      <c r="F20" t="n">
        <v>1</v>
      </c>
      <c r="G20" t="inlineStr">
        <is>
          <t>BG009</t>
        </is>
      </c>
      <c r="H20" t="inlineStr">
        <is>
          <t>29 April 1997</t>
        </is>
      </c>
      <c r="I20" s="2" t="n">
        <v>46193</v>
      </c>
      <c r="J20" t="inlineStr">
        <is>
          <t>Disetujui</t>
        </is>
      </c>
      <c r="K20" t="n">
        <v>30</v>
      </c>
      <c r="L20" t="inlineStr">
        <is>
          <t>20 Juni 2026</t>
        </is>
      </c>
      <c r="M20" t="inlineStr">
        <is>
          <t>Konstruksi Gedung Lainnya</t>
        </is>
      </c>
      <c r="N20" t="inlineStr">
        <is>
          <t>K</t>
        </is>
      </c>
      <c r="O20" t="inlineStr">
        <is>
          <t>20230523</t>
        </is>
      </c>
      <c r="P20" t="inlineStr">
        <is>
          <t>Jawa Timur</t>
        </is>
      </c>
      <c r="Q20" s="3">
        <f>HYPERLINK("https://wa.me/628179311342?text=*[PERINGATAN DARURAT SBU ANDI KARYA]*%0A%0AYth. Pimpinan ANDI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
      <c r="A21" t="inlineStr">
        <is>
          <t>ANNISA BERSINAR SEJAHTERA</t>
        </is>
      </c>
      <c r="B21" t="inlineStr">
        <is>
          <t>Kota Lubuk Linggau</t>
        </is>
      </c>
      <c r="C21" t="inlineStr">
        <is>
          <t>0813921870257290</t>
        </is>
      </c>
      <c r="D21" t="inlineStr">
        <is>
          <t>annisabersinarsejahtera@yahoo.com</t>
        </is>
      </c>
      <c r="E21" t="inlineStr">
        <is>
          <t>https://lpjk.pu.go.id/search-badan-usaha-detail/OFlLcDBPZHN2R0Q3NElweVVlRHZmdz09</t>
        </is>
      </c>
      <c r="F21" t="n">
        <v>1</v>
      </c>
      <c r="G21" t="inlineStr">
        <is>
          <t>BS002</t>
        </is>
      </c>
      <c r="H21" t="inlineStr">
        <is>
          <t>2 Mei 2015</t>
        </is>
      </c>
      <c r="I21" s="2" t="n">
        <v>46193</v>
      </c>
      <c r="J21" t="inlineStr">
        <is>
          <t>Disetujui</t>
        </is>
      </c>
      <c r="K21" t="n">
        <v>30</v>
      </c>
      <c r="L21" t="inlineStr">
        <is>
          <t>20 Juni 2026</t>
        </is>
      </c>
      <c r="M21" t="inlineStr">
        <is>
          <t>Bangunan Sipil Jembatan, Jalan Layang, Fly Over, dan Underpass</t>
        </is>
      </c>
      <c r="N21" t="inlineStr">
        <is>
          <t>K</t>
        </is>
      </c>
      <c r="O21" t="inlineStr">
        <is>
          <t>20230611</t>
        </is>
      </c>
      <c r="P21" t="inlineStr">
        <is>
          <t>Sumatera Selatan</t>
        </is>
      </c>
      <c r="Q21" s="3">
        <f>HYPERLINK("https://wa.me/62813921870257290?text=*[PERINGATAN DARURAT SBU ANNISA BERSINAR SEJAHTERA]*%0A%0AYth. Pimpinan ANNISA BERSINAR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2">
      <c r="A22" t="inlineStr">
        <is>
          <t>ANTAR INDONESIA S.A (SUPPLIER &amp; AGENT)</t>
        </is>
      </c>
      <c r="B22" t="inlineStr">
        <is>
          <t>Kota Makassar</t>
        </is>
      </c>
      <c r="C22" t="inlineStr">
        <is>
          <t>0411448276</t>
        </is>
      </c>
      <c r="D22" t="inlineStr">
        <is>
          <t>cv.antarindonesia245@gmail.com</t>
        </is>
      </c>
      <c r="E22" t="inlineStr">
        <is>
          <t>https://lpjk.pu.go.id/search-badan-usaha-detail/em1EK0ZKQkpBOVIySTd1MVU0YjRLUT09</t>
        </is>
      </c>
      <c r="F22" t="n">
        <v>2</v>
      </c>
      <c r="G22" t="inlineStr">
        <is>
          <t>BG005, BG006</t>
        </is>
      </c>
      <c r="H22" t="inlineStr">
        <is>
          <t>17 Januari 1985</t>
        </is>
      </c>
      <c r="I22" s="2" t="n">
        <v>46193</v>
      </c>
      <c r="J22" t="inlineStr">
        <is>
          <t>Disetujui</t>
        </is>
      </c>
      <c r="K22" t="n">
        <v>30</v>
      </c>
      <c r="L22" t="inlineStr">
        <is>
          <t>20 Juni 2026</t>
        </is>
      </c>
      <c r="M22" t="inlineStr">
        <is>
          <t>Konstruksi Gedung Kesehatan, Konstruksi Gedung Pendidikan</t>
        </is>
      </c>
      <c r="N22" t="inlineStr">
        <is>
          <t>K</t>
        </is>
      </c>
      <c r="O22" t="inlineStr">
        <is>
          <t>20230619</t>
        </is>
      </c>
      <c r="P22" t="inlineStr">
        <is>
          <t>Sulawesi Selatan</t>
        </is>
      </c>
      <c r="Q22" s="3">
        <f>HYPERLINK("https://wa.me/62411448276?text=*[PERINGATAN DARURAT SBU ANTAR INDONESIA S.A (SUPPLIER &amp; AGENT)]*%0A%0AYth. Pimpinan ANTAR INDONESIA S.A (SUPPLIER &amp; AGENT),%0AMasa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3">
      <c r="A23" t="inlineStr">
        <is>
          <t>ARIFIN FAMILY GROUP</t>
        </is>
      </c>
      <c r="B23" t="inlineStr">
        <is>
          <t>Kab. Sukabumi</t>
        </is>
      </c>
      <c r="C23" t="inlineStr">
        <is>
          <t>085703000380</t>
        </is>
      </c>
      <c r="D23" t="inlineStr">
        <is>
          <t>arifinfamilygroup@gmail.com</t>
        </is>
      </c>
      <c r="E23" t="inlineStr">
        <is>
          <t>https://lpjk.pu.go.id/search-badan-usaha-detail/YWEyMEc0YzYxQlZxYjViakd0dVZCUT09</t>
        </is>
      </c>
      <c r="F23" t="n">
        <v>6</v>
      </c>
      <c r="G23" t="inlineStr">
        <is>
          <t>BG006, BG009, BS004</t>
        </is>
      </c>
      <c r="H23" t="inlineStr">
        <is>
          <t>3 Februari 2020</t>
        </is>
      </c>
      <c r="I23" s="2" t="n">
        <v>46193</v>
      </c>
      <c r="J23" t="inlineStr">
        <is>
          <t>Disetujui</t>
        </is>
      </c>
      <c r="K23" t="n">
        <v>30</v>
      </c>
      <c r="L23" t="inlineStr">
        <is>
          <t>20 Juni 2026</t>
        </is>
      </c>
      <c r="M23" t="inlineStr">
        <is>
          <t>Konstruksi Gedung Lainnya, Konstruksi Gedung Pendidikan, Konstruksi Jaringan Irigasi dan Drainase</t>
        </is>
      </c>
      <c r="N23" t="inlineStr">
        <is>
          <t>K</t>
        </is>
      </c>
      <c r="O23" t="inlineStr">
        <is>
          <t>20230620</t>
        </is>
      </c>
      <c r="P23" t="inlineStr">
        <is>
          <t>Jawa Barat</t>
        </is>
      </c>
      <c r="Q23" s="3">
        <f>HYPERLINK("https://wa.me/6285703000380?text=*[PERINGATAN DARURAT SBU ARIFIN FAMILY GROUP]*%0A%0AYth. Pimpinan ARIFIN FAMILY GROUP,%0AMasa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4">
      <c r="A24" t="inlineStr">
        <is>
          <t>ARTHA GEMILANG ARISENTOSA</t>
        </is>
      </c>
      <c r="B24" t="inlineStr">
        <is>
          <t>Kab. Karawang</t>
        </is>
      </c>
      <c r="C24" t="inlineStr">
        <is>
          <t>085780004997</t>
        </is>
      </c>
      <c r="D24" t="inlineStr">
        <is>
          <t>cv.arthagemilangarisentosa@gmail.com</t>
        </is>
      </c>
      <c r="E24" t="inlineStr">
        <is>
          <t>https://lpjk.pu.go.id/search-badan-usaha-detail/dXpjNFhPSFhwK0s0bE1wNGNLSVZxZz09</t>
        </is>
      </c>
      <c r="F24" t="n">
        <v>1</v>
      </c>
      <c r="G24" t="inlineStr">
        <is>
          <t>BS004</t>
        </is>
      </c>
      <c r="H24" t="inlineStr">
        <is>
          <t>5 Mei 2017</t>
        </is>
      </c>
      <c r="I24" s="2" t="n">
        <v>46193</v>
      </c>
      <c r="J24" t="inlineStr">
        <is>
          <t>Pencabutan</t>
        </is>
      </c>
      <c r="K24" t="n">
        <v>30</v>
      </c>
      <c r="L24" t="inlineStr">
        <is>
          <t>20 Juni 2026</t>
        </is>
      </c>
      <c r="M24" t="inlineStr">
        <is>
          <t>Konstruksi Jaringan Irigasi dan Drainase</t>
        </is>
      </c>
      <c r="N24" t="inlineStr">
        <is>
          <t>K</t>
        </is>
      </c>
      <c r="O24" t="inlineStr">
        <is>
          <t>20230618</t>
        </is>
      </c>
      <c r="P24" t="inlineStr">
        <is>
          <t>Jawa Barat</t>
        </is>
      </c>
      <c r="Q24" s="3">
        <f>HYPERLINK("https://wa.me/6285780004997?text=*[PERINGATAN DARURAT SBU ARTHA GEMILANG ARISENTOSA]*%0A%0AYth. Pimpinan ARTHA GEMILANG ARISENTOSA,%0AMasa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5">
      <c r="A25" t="inlineStr">
        <is>
          <t>ARYA MANDIRI</t>
        </is>
      </c>
      <c r="B25" t="inlineStr">
        <is>
          <t>Kota Bandar Lampung</t>
        </is>
      </c>
      <c r="C25" t="inlineStr">
        <is>
          <t>082177620881</t>
        </is>
      </c>
      <c r="D25" t="inlineStr">
        <is>
          <t>aryamandiri2023@gmail.com</t>
        </is>
      </c>
      <c r="E25" t="inlineStr">
        <is>
          <t>https://lpjk.pu.go.id/search-badan-usaha-detail/dmUyU2VVTGZUMTlLcldFOEl3Mk9NUT09</t>
        </is>
      </c>
      <c r="F25" t="n">
        <v>1</v>
      </c>
      <c r="G25" t="inlineStr">
        <is>
          <t>BG009</t>
        </is>
      </c>
      <c r="H25" t="inlineStr">
        <is>
          <t>4 Januari 2017</t>
        </is>
      </c>
      <c r="I25" s="2" t="n">
        <v>46193</v>
      </c>
      <c r="J25" t="inlineStr">
        <is>
          <t>Disetujui</t>
        </is>
      </c>
      <c r="K25" t="n">
        <v>30</v>
      </c>
      <c r="L25" t="inlineStr">
        <is>
          <t>20 Juni 2026</t>
        </is>
      </c>
      <c r="M25" t="inlineStr">
        <is>
          <t>Konstruksi Gedung Lainnya</t>
        </is>
      </c>
      <c r="N25" t="inlineStr">
        <is>
          <t>K</t>
        </is>
      </c>
      <c r="O25" t="inlineStr">
        <is>
          <t>20230620</t>
        </is>
      </c>
      <c r="P25" t="inlineStr">
        <is>
          <t>Lampung</t>
        </is>
      </c>
      <c r="Q25" s="3">
        <f>HYPERLINK("https://wa.me/6282177620881?text=*[PERINGATAN DARURAT SBU ARYA MANDIRI]*%0A%0AYth. Pimpinan ARYA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6">
      <c r="A26" t="inlineStr">
        <is>
          <t>ASPIRASI LUHUR</t>
        </is>
      </c>
      <c r="B26" t="inlineStr">
        <is>
          <t>Kab. Karawang</t>
        </is>
      </c>
      <c r="C26" t="inlineStr">
        <is>
          <t>81381123417</t>
        </is>
      </c>
      <c r="D26" t="inlineStr">
        <is>
          <t>aspirasiluhur10@gmail.com</t>
        </is>
      </c>
      <c r="E26" t="inlineStr">
        <is>
          <t>https://lpjk.pu.go.id/search-badan-usaha-detail/RjZWUzRoNHI1cnh5OEJpdVdUSjR2QT09</t>
        </is>
      </c>
      <c r="F26" t="n">
        <v>2</v>
      </c>
      <c r="G26" t="inlineStr">
        <is>
          <t>BS004</t>
        </is>
      </c>
      <c r="H26" t="inlineStr">
        <is>
          <t>14 Maret 2019</t>
        </is>
      </c>
      <c r="I26" s="2" t="n">
        <v>46193</v>
      </c>
      <c r="J26" t="inlineStr">
        <is>
          <t>Disetujui</t>
        </is>
      </c>
      <c r="K26" t="n">
        <v>30</v>
      </c>
      <c r="L26" t="inlineStr">
        <is>
          <t>20 Juni 2026</t>
        </is>
      </c>
      <c r="M26" t="inlineStr">
        <is>
          <t>Konstruksi Jaringan Irigasi dan Drainase</t>
        </is>
      </c>
      <c r="N26" t="inlineStr">
        <is>
          <t>K</t>
        </is>
      </c>
      <c r="O26" t="inlineStr">
        <is>
          <t>20230618</t>
        </is>
      </c>
      <c r="P26" t="inlineStr">
        <is>
          <t>Jawa Barat</t>
        </is>
      </c>
      <c r="Q26" s="3">
        <f>HYPERLINK("https://wa.me/6281381123417?text=*[PERINGATAN DARURAT SBU ASPIRASI LUHUR]*%0A%0AYth. Pimpinan ASPIRASI LUHUR,%0AMasa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7">
      <c r="A27" t="inlineStr">
        <is>
          <t>ASTRINA BANGKIT</t>
        </is>
      </c>
      <c r="B27" t="inlineStr">
        <is>
          <t>Kab. Muna</t>
        </is>
      </c>
      <c r="C27" t="inlineStr">
        <is>
          <t>085397363335</t>
        </is>
      </c>
      <c r="D27" t="inlineStr">
        <is>
          <t>astrinabangkit2020@gmail.com</t>
        </is>
      </c>
      <c r="E27" t="inlineStr">
        <is>
          <t>https://lpjk.pu.go.id/search-badan-usaha-detail/Y0lDTWY4WjVYU0pURTF1d0xiUUlhZz09</t>
        </is>
      </c>
      <c r="F27" t="n">
        <v>2</v>
      </c>
      <c r="G27" t="inlineStr">
        <is>
          <t>BG009</t>
        </is>
      </c>
      <c r="H27" t="inlineStr">
        <is>
          <t>17 September 2003</t>
        </is>
      </c>
      <c r="I27" s="2" t="n">
        <v>46193</v>
      </c>
      <c r="J27" t="inlineStr">
        <is>
          <t>Disetujui</t>
        </is>
      </c>
      <c r="K27" t="n">
        <v>30</v>
      </c>
      <c r="L27" t="inlineStr">
        <is>
          <t>20 Juni 2026</t>
        </is>
      </c>
      <c r="M27" t="inlineStr">
        <is>
          <t>Konstruksi Gedung Lainnya</t>
        </is>
      </c>
      <c r="N27" t="inlineStr">
        <is>
          <t>K</t>
        </is>
      </c>
      <c r="O27" t="inlineStr">
        <is>
          <t>20230605</t>
        </is>
      </c>
      <c r="P27" t="inlineStr">
        <is>
          <t>Sulawesi Tenggara</t>
        </is>
      </c>
      <c r="Q27" s="3">
        <f>HYPERLINK("https://wa.me/6285397363335?text=*[PERINGATAN DARURAT SBU ASTRINA BANGKIT]*%0A%0AYth. Pimpinan ASTRINA BANGKIT,%0AMasa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8">
      <c r="A28" t="inlineStr">
        <is>
          <t>AUFA ADHYAKSA</t>
        </is>
      </c>
      <c r="B28" t="inlineStr">
        <is>
          <t>Kota Medan</t>
        </is>
      </c>
      <c r="C28" t="inlineStr">
        <is>
          <t>081263763601</t>
        </is>
      </c>
      <c r="D28" t="inlineStr">
        <is>
          <t>aufaadhyaksa13@gmail.com</t>
        </is>
      </c>
      <c r="E28" t="inlineStr">
        <is>
          <t>https://lpjk.pu.go.id/search-badan-usaha-detail/akJLVWhTQlgweEh1KzV1YXZnZ0o2Zz09</t>
        </is>
      </c>
      <c r="F28" t="n">
        <v>1</v>
      </c>
      <c r="G28" t="inlineStr">
        <is>
          <t>BS006</t>
        </is>
      </c>
      <c r="H28" t="inlineStr">
        <is>
          <t>22 Juni 2012</t>
        </is>
      </c>
      <c r="I28" s="2" t="n">
        <v>46193</v>
      </c>
      <c r="J28" t="inlineStr">
        <is>
          <t>Disetujui</t>
        </is>
      </c>
      <c r="K28" t="n">
        <v>30</v>
      </c>
      <c r="L28" t="inlineStr">
        <is>
          <t>20 Juni 2026</t>
        </is>
      </c>
      <c r="M28" t="inlineStr">
        <is>
          <t>Konstruksi Bangunan Sipil Prasarana dan Sarana Sistem Pengolahan Limbah Padat, Cair, dan Gas</t>
        </is>
      </c>
      <c r="N28" t="inlineStr">
        <is>
          <t>K</t>
        </is>
      </c>
      <c r="O28" t="inlineStr">
        <is>
          <t>20230608</t>
        </is>
      </c>
      <c r="P28" t="inlineStr">
        <is>
          <t>Sumatera Utara</t>
        </is>
      </c>
      <c r="Q28" s="3">
        <f>HYPERLINK("https://wa.me/6281263763601?text=*[PERINGATAN DARURAT SBU AUFA ADHYAKSA]*%0A%0AYth. Pimpinan AUFA ADHYAKSA,%0AMasa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9">
      <c r="A29" t="inlineStr">
        <is>
          <t>AURA SINAR BARU</t>
        </is>
      </c>
      <c r="B29" t="inlineStr">
        <is>
          <t>Kota Surabaya</t>
        </is>
      </c>
      <c r="C29" t="inlineStr">
        <is>
          <t>0318280866</t>
        </is>
      </c>
      <c r="D29" t="inlineStr">
        <is>
          <t>sinarbarutirta@gmail.com</t>
        </is>
      </c>
      <c r="E29" t="inlineStr">
        <is>
          <t>https://lpjk.pu.go.id/search-badan-usaha-detail/MkZUaTV4MXZsaVBwYXo3dkxBZWtUZz09</t>
        </is>
      </c>
      <c r="F29" t="n">
        <v>1</v>
      </c>
      <c r="G29" t="inlineStr">
        <is>
          <t>PL004</t>
        </is>
      </c>
      <c r="H29" t="inlineStr">
        <is>
          <t>9 November 2006</t>
        </is>
      </c>
      <c r="I29" s="2" t="n">
        <v>46193</v>
      </c>
      <c r="J29" t="inlineStr">
        <is>
          <t>Disetujui</t>
        </is>
      </c>
      <c r="K29" t="n">
        <v>30</v>
      </c>
      <c r="L29" t="inlineStr">
        <is>
          <t>20 Juni 2026</t>
        </is>
      </c>
      <c r="M29" t="inlineStr">
        <is>
          <t>Pekerjaan Tanah</t>
        </is>
      </c>
      <c r="N29" t="inlineStr">
        <is>
          <t>Spesialis</t>
        </is>
      </c>
      <c r="O29" t="inlineStr">
        <is>
          <t>20230613</t>
        </is>
      </c>
      <c r="P29" t="inlineStr">
        <is>
          <t>Jawa Timur</t>
        </is>
      </c>
      <c r="Q29" s="3">
        <f>HYPERLINK("https://wa.me/62318280866?text=*[PERINGATAN DARURAT SBU AURA SINAR BARU]*%0A%0AYth. Pimpinan AURA SINAR BARU,%0AMasa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0">
      <c r="A30" t="inlineStr">
        <is>
          <t>AVINDO</t>
        </is>
      </c>
      <c r="B30" t="inlineStr">
        <is>
          <t>Kota Padang</t>
        </is>
      </c>
      <c r="C30" t="inlineStr">
        <is>
          <t>08116666493</t>
        </is>
      </c>
      <c r="D30" t="inlineStr">
        <is>
          <t>putraagera@gmail.com</t>
        </is>
      </c>
      <c r="E30" t="inlineStr">
        <is>
          <t>https://lpjk.pu.go.id/search-badan-usaha-detail/STFzeHI2Z3l6Vzd3YXJpWGtMeU1kZz09</t>
        </is>
      </c>
      <c r="F30" t="n">
        <v>1</v>
      </c>
      <c r="G30" t="inlineStr">
        <is>
          <t>BG007</t>
        </is>
      </c>
      <c r="H30" t="inlineStr">
        <is>
          <t>8 Agustus 2000</t>
        </is>
      </c>
      <c r="I30" s="2" t="n">
        <v>46193</v>
      </c>
      <c r="J30" t="inlineStr">
        <is>
          <t>Disetujui</t>
        </is>
      </c>
      <c r="K30" t="n">
        <v>30</v>
      </c>
      <c r="L30" t="inlineStr">
        <is>
          <t>20 Juni 2026</t>
        </is>
      </c>
      <c r="M30" t="inlineStr">
        <is>
          <t>Konstruksi Gedung Penginapan</t>
        </is>
      </c>
      <c r="N30" t="inlineStr">
        <is>
          <t>K</t>
        </is>
      </c>
      <c r="O30" t="inlineStr">
        <is>
          <t>20230620</t>
        </is>
      </c>
      <c r="P30" t="inlineStr">
        <is>
          <t>Sumatera Barat</t>
        </is>
      </c>
      <c r="Q30" s="3">
        <f>HYPERLINK("https://wa.me/628116666493?text=*[PERINGATAN DARURAT SBU AVINDO]*%0A%0AYth. Pimpinan AVINDO,%0AMasa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1">
      <c r="A31" t="inlineStr">
        <is>
          <t>AZ-ZAHRA</t>
        </is>
      </c>
      <c r="B31" t="inlineStr">
        <is>
          <t>Kab. Luwu Timur</t>
        </is>
      </c>
      <c r="C31" t="inlineStr">
        <is>
          <t>081342076038</t>
        </is>
      </c>
      <c r="D31" t="inlineStr">
        <is>
          <t>azzahracv01@gmail.com</t>
        </is>
      </c>
      <c r="E31" t="inlineStr">
        <is>
          <t>https://lpjk.pu.go.id/search-badan-usaha-detail/MVJuYkhFTXpQNVZ1Skw1SmZ3ek9vdz09</t>
        </is>
      </c>
      <c r="F31" t="n">
        <v>1</v>
      </c>
      <c r="G31" t="inlineStr">
        <is>
          <t>BG002</t>
        </is>
      </c>
      <c r="H31" t="inlineStr">
        <is>
          <t>25 Agustus 2005</t>
        </is>
      </c>
      <c r="I31" s="2" t="n">
        <v>46193</v>
      </c>
      <c r="J31" t="inlineStr">
        <is>
          <t>Disetujui</t>
        </is>
      </c>
      <c r="K31" t="n">
        <v>30</v>
      </c>
      <c r="L31" t="inlineStr">
        <is>
          <t>20 Juni 2026</t>
        </is>
      </c>
      <c r="M31" t="inlineStr">
        <is>
          <t>Konstruksi Gedung Perkantoran</t>
        </is>
      </c>
      <c r="N31" t="inlineStr">
        <is>
          <t>K</t>
        </is>
      </c>
      <c r="O31" t="inlineStr">
        <is>
          <t>20230608</t>
        </is>
      </c>
      <c r="P31" t="inlineStr">
        <is>
          <t>Sulawesi Selatan</t>
        </is>
      </c>
      <c r="Q31" s="3">
        <f>HYPERLINK("https://wa.me/6281342076038?text=*[PERINGATAN DARURAT SBU AZ-ZAHRA]*%0A%0AYth. Pimpinan AZ-ZAHRA,%0AMasa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2">
      <c r="A32" t="inlineStr">
        <is>
          <t>AZKA KARYA UTAMA</t>
        </is>
      </c>
      <c r="B32" t="inlineStr">
        <is>
          <t>Kota Palembang</t>
        </is>
      </c>
      <c r="C32" t="inlineStr">
        <is>
          <t>081369023764</t>
        </is>
      </c>
      <c r="D32" t="inlineStr">
        <is>
          <t>azka.karyautama2019@gmail.com</t>
        </is>
      </c>
      <c r="E32" t="inlineStr">
        <is>
          <t>https://lpjk.pu.go.id/search-badan-usaha-detail/QmJsbGttUGMrUmloZ3pNbGdETUZ4Zz09</t>
        </is>
      </c>
      <c r="F32" t="n">
        <v>1</v>
      </c>
      <c r="G32" t="inlineStr">
        <is>
          <t>BG009</t>
        </is>
      </c>
      <c r="H32" t="inlineStr">
        <is>
          <t>18 Januari 2016</t>
        </is>
      </c>
      <c r="I32" s="2" t="n">
        <v>46193</v>
      </c>
      <c r="J32" t="inlineStr">
        <is>
          <t>Disetujui</t>
        </is>
      </c>
      <c r="K32" t="n">
        <v>30</v>
      </c>
      <c r="L32" t="inlineStr">
        <is>
          <t>20 Juni 2026</t>
        </is>
      </c>
      <c r="M32" t="inlineStr">
        <is>
          <t>Konstruksi Gedung Lainnya</t>
        </is>
      </c>
      <c r="N32" t="inlineStr">
        <is>
          <t>K</t>
        </is>
      </c>
      <c r="O32" t="inlineStr">
        <is>
          <t>20230616</t>
        </is>
      </c>
      <c r="P32" t="inlineStr">
        <is>
          <t>Sumatera Selatan</t>
        </is>
      </c>
      <c r="Q32" s="3">
        <f>HYPERLINK("https://wa.me/6281369023764?text=*[PERINGATAN DARURAT SBU AZKA KARYA UTAMA]*%0A%0AYth. Pimpinan AZKA KARYA UTAMA,%0AMasa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3">
      <c r="A33" t="inlineStr">
        <is>
          <t>AZZAM</t>
        </is>
      </c>
      <c r="B33" t="inlineStr">
        <is>
          <t>Kota Banda Aceh</t>
        </is>
      </c>
      <c r="C33" t="inlineStr">
        <is>
          <t>085207104119</t>
        </is>
      </c>
      <c r="D33" t="inlineStr">
        <is>
          <t>cv.azzam@gmail.com</t>
        </is>
      </c>
      <c r="E33" t="inlineStr">
        <is>
          <t>https://lpjk.pu.go.id/search-badan-usaha-detail/Y3VXSFYrdXpXZFNkQ25GMDUvTnJFUT09</t>
        </is>
      </c>
      <c r="F33" t="n">
        <v>4</v>
      </c>
      <c r="G33" t="inlineStr">
        <is>
          <t>BG002, BG004</t>
        </is>
      </c>
      <c r="H33" t="inlineStr">
        <is>
          <t>27 November 2012</t>
        </is>
      </c>
      <c r="I33" s="2" t="n">
        <v>46193</v>
      </c>
      <c r="J33" t="inlineStr">
        <is>
          <t>Disetujui</t>
        </is>
      </c>
      <c r="K33" t="n">
        <v>30</v>
      </c>
      <c r="L33" t="inlineStr">
        <is>
          <t>20 Juni 2026</t>
        </is>
      </c>
      <c r="M33" t="inlineStr">
        <is>
          <t>Konstruksi Gedung Perbelanjaan, Konstruksi Gedung Perkantoran</t>
        </is>
      </c>
      <c r="N33" t="inlineStr">
        <is>
          <t>K</t>
        </is>
      </c>
      <c r="O33" t="inlineStr">
        <is>
          <t>20230608</t>
        </is>
      </c>
      <c r="P33" t="inlineStr">
        <is>
          <t>Aceh</t>
        </is>
      </c>
      <c r="Q33" s="3">
        <f>HYPERLINK("https://wa.me/6285207104119?text=*[PERINGATAN DARURAT SBU AZZAM]*%0A%0AYth. Pimpinan AZZAM,%0AMasa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4">
      <c r="A34" t="inlineStr">
        <is>
          <t>BAJRA ABIESEKA</t>
        </is>
      </c>
      <c r="B34" t="inlineStr">
        <is>
          <t>Kab. Cilacap</t>
        </is>
      </c>
      <c r="C34" t="inlineStr">
        <is>
          <t>082134244608</t>
        </is>
      </c>
      <c r="D34" t="inlineStr">
        <is>
          <t>cvbrajaabieseka@gmail.com</t>
        </is>
      </c>
      <c r="E34" t="inlineStr">
        <is>
          <t>https://lpjk.pu.go.id/search-badan-usaha-detail/Z0Vuc2xvMTNGRU83a0llaHYrcGFDZz09</t>
        </is>
      </c>
      <c r="F34" t="n">
        <v>1</v>
      </c>
      <c r="G34" t="inlineStr">
        <is>
          <t>BG005</t>
        </is>
      </c>
      <c r="H34" t="inlineStr">
        <is>
          <t>19 Juni 2020</t>
        </is>
      </c>
      <c r="I34" s="2" t="n">
        <v>46193</v>
      </c>
      <c r="J34" t="inlineStr">
        <is>
          <t>Disetujui</t>
        </is>
      </c>
      <c r="K34" t="n">
        <v>30</v>
      </c>
      <c r="L34" t="inlineStr">
        <is>
          <t>20 Juni 2026</t>
        </is>
      </c>
      <c r="M34" t="inlineStr">
        <is>
          <t>Konstruksi Gedung Kesehatan</t>
        </is>
      </c>
      <c r="N34" t="inlineStr">
        <is>
          <t>K</t>
        </is>
      </c>
      <c r="O34" t="inlineStr">
        <is>
          <t>20230618</t>
        </is>
      </c>
      <c r="P34" t="inlineStr">
        <is>
          <t>Jawa Tengah</t>
        </is>
      </c>
      <c r="Q34" s="3">
        <f>HYPERLINK("https://wa.me/6282134244608?text=*[PERINGATAN DARURAT SBU BAJRA ABIESEKA]*%0A%0AYth. Pimpinan BAJRA ABIESEKA,%0AMasa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5">
      <c r="A35" t="inlineStr">
        <is>
          <t>BARACCA PANTURA</t>
        </is>
      </c>
      <c r="B35" t="inlineStr">
        <is>
          <t>Kab. Teluk Bintuni</t>
        </is>
      </c>
      <c r="C35" t="inlineStr">
        <is>
          <t>081240375527</t>
        </is>
      </c>
      <c r="D35" t="inlineStr">
        <is>
          <t>panturacvbaracca@gmail.com</t>
        </is>
      </c>
      <c r="E35" t="inlineStr">
        <is>
          <t>https://lpjk.pu.go.id/search-badan-usaha-detail/dTB4dmJQREJBMlUvcDhWbUd1SUJ4Zz09</t>
        </is>
      </c>
      <c r="F35" t="n">
        <v>8</v>
      </c>
      <c r="G35" t="inlineStr">
        <is>
          <t>BG001, BG009, BS001, BS004</t>
        </is>
      </c>
      <c r="H35" t="inlineStr">
        <is>
          <t>12 Juni 2023</t>
        </is>
      </c>
      <c r="I35" s="2" t="n">
        <v>46193</v>
      </c>
      <c r="J35" t="inlineStr">
        <is>
          <t>Pencabutan</t>
        </is>
      </c>
      <c r="K35" t="n">
        <v>30</v>
      </c>
      <c r="L35" t="inlineStr">
        <is>
          <t>20 Juni 2026</t>
        </is>
      </c>
      <c r="M35" t="inlineStr">
        <is>
          <t>Konstruksi Bangunan Sipil Jalan, Konstruksi Gedung Hunian, Konstruksi Gedung Lainnya, Konstruksi Jaringan Irigasi dan Drainase</t>
        </is>
      </c>
      <c r="N35" t="inlineStr">
        <is>
          <t>K</t>
        </is>
      </c>
      <c r="O35" t="inlineStr">
        <is>
          <t>20230618</t>
        </is>
      </c>
      <c r="P35" t="inlineStr">
        <is>
          <t>Papua Barat</t>
        </is>
      </c>
      <c r="Q35" s="3">
        <f>HYPERLINK("https://wa.me/6281240375527?text=*[PERINGATAN DARURAT SBU BARACCA PANTURA]*%0A%0AYth. Pimpinan BARACCA PANTURA,%0AMasa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6">
      <c r="A36" t="inlineStr">
        <is>
          <t>BARATA SUMATERA</t>
        </is>
      </c>
      <c r="B36" t="inlineStr">
        <is>
          <t>Kota Pekanbaru</t>
        </is>
      </c>
      <c r="C36" t="inlineStr">
        <is>
          <t>081218888837</t>
        </is>
      </c>
      <c r="D36" t="inlineStr">
        <is>
          <t>barata.sumatera@gmail.com</t>
        </is>
      </c>
      <c r="E36" t="inlineStr">
        <is>
          <t>https://lpjk.pu.go.id/search-badan-usaha-detail/OENjTGozZkxKOVR2d0lrYlZRbG1uUT09</t>
        </is>
      </c>
      <c r="F36" t="n">
        <v>5</v>
      </c>
      <c r="G36" t="inlineStr">
        <is>
          <t>BS016</t>
        </is>
      </c>
      <c r="H36" t="inlineStr">
        <is>
          <t>14 Oktober 2019</t>
        </is>
      </c>
      <c r="I36" s="2" t="n">
        <v>46193</v>
      </c>
      <c r="J36" t="inlineStr">
        <is>
          <t>Pencabutan</t>
        </is>
      </c>
      <c r="K36" t="n">
        <v>30</v>
      </c>
      <c r="L36" t="inlineStr">
        <is>
          <t>20 Juni 2026</t>
        </is>
      </c>
      <c r="M36" t="inlineStr">
        <is>
          <t>Konstruksi Bangunan Sipil Fasilitas Olah Raga</t>
        </is>
      </c>
      <c r="N36" t="inlineStr">
        <is>
          <t>K</t>
        </is>
      </c>
      <c r="O36" t="inlineStr">
        <is>
          <t>20230620</t>
        </is>
      </c>
      <c r="P36" t="inlineStr">
        <is>
          <t>Riau</t>
        </is>
      </c>
      <c r="Q36" s="3">
        <f>HYPERLINK("https://wa.me/6281218888837?text=*[PERINGATAN DARURAT SBU BARATA SUMATERA]*%0A%0AYth. Pimpinan BARATA SUMATERA,%0AMasa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7">
      <c r="A37" t="inlineStr">
        <is>
          <t>BAROKAH</t>
        </is>
      </c>
      <c r="B37" t="inlineStr">
        <is>
          <t>Kota Malang</t>
        </is>
      </c>
      <c r="C37" t="inlineStr">
        <is>
          <t>081232298298</t>
        </is>
      </c>
      <c r="D37" t="inlineStr">
        <is>
          <t>barokah61@gmail.com</t>
        </is>
      </c>
      <c r="E37" t="inlineStr">
        <is>
          <t>https://lpjk.pu.go.id/search-badan-usaha-detail/QkowaUU0OE9rbTFreGpzckVxenh3QT09</t>
        </is>
      </c>
      <c r="F37" t="n">
        <v>2</v>
      </c>
      <c r="G37" t="inlineStr">
        <is>
          <t>BG009</t>
        </is>
      </c>
      <c r="H37" t="inlineStr">
        <is>
          <t>17 Maret 2012</t>
        </is>
      </c>
      <c r="I37" s="2" t="n">
        <v>46193</v>
      </c>
      <c r="J37" t="inlineStr">
        <is>
          <t>Disetujui</t>
        </is>
      </c>
      <c r="K37" t="n">
        <v>30</v>
      </c>
      <c r="L37" t="inlineStr">
        <is>
          <t>20 Juni 2026</t>
        </is>
      </c>
      <c r="M37" t="inlineStr">
        <is>
          <t>Konstruksi Gedung Lainnya</t>
        </is>
      </c>
      <c r="N37" t="inlineStr">
        <is>
          <t>K</t>
        </is>
      </c>
      <c r="O37" t="inlineStr">
        <is>
          <t>20230620</t>
        </is>
      </c>
      <c r="P37" t="inlineStr">
        <is>
          <t>Jawa Timur</t>
        </is>
      </c>
      <c r="Q37" s="3">
        <f>HYPERLINK("https://wa.me/6281232298298?text=*[PERINGATAN DARURAT SBU BAROKAH]*%0A%0AYth. Pimpinan BAROKAH,%0AMasa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8">
      <c r="A38" t="inlineStr">
        <is>
          <t>BENUA CITRA LESTARI</t>
        </is>
      </c>
      <c r="B38" t="inlineStr">
        <is>
          <t>Kota Balikpapan</t>
        </is>
      </c>
      <c r="C38" t="inlineStr">
        <is>
          <t>081250614805</t>
        </is>
      </c>
      <c r="D38" t="inlineStr">
        <is>
          <t>cv.benuacitralestari19@gmail.com</t>
        </is>
      </c>
      <c r="E38" t="inlineStr">
        <is>
          <t>https://lpjk.pu.go.id/search-badan-usaha-detail/RkZRRHplNk5kejQ3TDFQZy9FbEJaUT09</t>
        </is>
      </c>
      <c r="F38" t="n">
        <v>1</v>
      </c>
      <c r="G38" t="inlineStr">
        <is>
          <t>BS004</t>
        </is>
      </c>
      <c r="H38" t="inlineStr">
        <is>
          <t>1 Oktober 2019</t>
        </is>
      </c>
      <c r="I38" s="2" t="n">
        <v>46193</v>
      </c>
      <c r="J38" t="inlineStr">
        <is>
          <t>Disetujui</t>
        </is>
      </c>
      <c r="K38" t="n">
        <v>30</v>
      </c>
      <c r="L38" t="inlineStr">
        <is>
          <t>20 Juni 2026</t>
        </is>
      </c>
      <c r="M38" t="inlineStr">
        <is>
          <t>Konstruksi Jaringan Irigasi dan Drainase</t>
        </is>
      </c>
      <c r="N38" t="inlineStr">
        <is>
          <t>K</t>
        </is>
      </c>
      <c r="O38" t="inlineStr">
        <is>
          <t>20230620</t>
        </is>
      </c>
      <c r="P38" t="inlineStr">
        <is>
          <t>Kalimantan Timur</t>
        </is>
      </c>
      <c r="Q38" s="3">
        <f>HYPERLINK("https://wa.me/6281250614805?text=*[PERINGATAN DARURAT SBU BENUA CITRA LESTARI]*%0A%0AYth. Pimpinan BENUA CITRA LESTARI,%0AMasa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39">
      <c r="A39" t="inlineStr">
        <is>
          <t>BERJAYA MEGAH KONSTRUKSI</t>
        </is>
      </c>
      <c r="B39" t="inlineStr">
        <is>
          <t>Kab. Simeulue</t>
        </is>
      </c>
      <c r="C39" t="inlineStr">
        <is>
          <t>085340422282</t>
        </is>
      </c>
      <c r="D39" t="inlineStr">
        <is>
          <t>berjayakonstruksi09@gmail.com</t>
        </is>
      </c>
      <c r="E39" t="inlineStr">
        <is>
          <t>https://lpjk.pu.go.id/search-badan-usaha-detail/OFkzbzljeThEQzBBOHVHQXlKbFp5QT09</t>
        </is>
      </c>
      <c r="F39" t="n">
        <v>1</v>
      </c>
      <c r="G39" t="inlineStr">
        <is>
          <t>BS001</t>
        </is>
      </c>
      <c r="H39" t="inlineStr">
        <is>
          <t>17 April 2023</t>
        </is>
      </c>
      <c r="I39" s="2" t="n">
        <v>46193</v>
      </c>
      <c r="J39" t="inlineStr">
        <is>
          <t>Disetujui</t>
        </is>
      </c>
      <c r="K39" t="n">
        <v>30</v>
      </c>
      <c r="L39" t="inlineStr">
        <is>
          <t>20 Juni 2026</t>
        </is>
      </c>
      <c r="M39" t="inlineStr">
        <is>
          <t>Konstruksi Bangunan Sipil Jalan</t>
        </is>
      </c>
      <c r="N39" t="inlineStr">
        <is>
          <t>K</t>
        </is>
      </c>
      <c r="O39" t="inlineStr">
        <is>
          <t>20230601</t>
        </is>
      </c>
      <c r="P39" t="inlineStr">
        <is>
          <t>Aceh</t>
        </is>
      </c>
      <c r="Q39" s="3">
        <f>HYPERLINK("https://wa.me/6285340422282?text=*[PERINGATAN DARURAT SBU BERJAYA MEGAH KONSTRUKSI]*%0A%0AYth. Pimpinan BERJAYA MEGAH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0">
      <c r="A40" t="inlineStr">
        <is>
          <t>BERKAH RAHAYU</t>
        </is>
      </c>
      <c r="B40" t="inlineStr">
        <is>
          <t>Kab. Cirebon</t>
        </is>
      </c>
      <c r="C40" t="inlineStr">
        <is>
          <t>0231207195</t>
        </is>
      </c>
      <c r="D40" t="inlineStr">
        <is>
          <t>berkahrahayu89@gmail.com</t>
        </is>
      </c>
      <c r="E40" t="inlineStr">
        <is>
          <t>https://lpjk.pu.go.id/search-badan-usaha-detail/ckZMK1FBUUJqZTZDcmJYTWtCTjBtdz09</t>
        </is>
      </c>
      <c r="F40" t="n">
        <v>1</v>
      </c>
      <c r="G40" t="inlineStr">
        <is>
          <t>BG008</t>
        </is>
      </c>
      <c r="H40" t="inlineStr">
        <is>
          <t>27 Desember 2018</t>
        </is>
      </c>
      <c r="I40" s="2" t="n">
        <v>46193</v>
      </c>
      <c r="J40" t="inlineStr">
        <is>
          <t>Pencabutan</t>
        </is>
      </c>
      <c r="K40" t="n">
        <v>30</v>
      </c>
      <c r="L40" t="inlineStr">
        <is>
          <t>20 Juni 2026</t>
        </is>
      </c>
      <c r="M40" t="inlineStr">
        <is>
          <t>Konstruksi Gedung Tempat Hiburan dan Olahraga</t>
        </is>
      </c>
      <c r="N40" t="inlineStr">
        <is>
          <t>K</t>
        </is>
      </c>
      <c r="O40" t="inlineStr">
        <is>
          <t>20230515</t>
        </is>
      </c>
      <c r="P40" t="inlineStr">
        <is>
          <t>Jawa Barat</t>
        </is>
      </c>
      <c r="Q40" s="3">
        <f>HYPERLINK("https://wa.me/62231207195?text=*[PERINGATAN DARURAT SBU BERKAH RAHAYU]*%0A%0AYth. Pimpinan BERKAH RAHAYU,%0AMasa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1">
      <c r="A41" t="inlineStr">
        <is>
          <t>BERKAH TERANG RAHMAT</t>
        </is>
      </c>
      <c r="B41" t="inlineStr">
        <is>
          <t>Kab. Tanah Laut</t>
        </is>
      </c>
      <c r="C41" t="inlineStr">
        <is>
          <t>085345480000</t>
        </is>
      </c>
      <c r="D41" t="inlineStr">
        <is>
          <t>rahmatberkahterang@gmail.com</t>
        </is>
      </c>
      <c r="E41" t="inlineStr">
        <is>
          <t>https://lpjk.pu.go.id/search-badan-usaha-detail/cGZIK2hXYlJTcDcwZDhCb0ZkVzFGQT09</t>
        </is>
      </c>
      <c r="F41" t="n">
        <v>2</v>
      </c>
      <c r="G41" t="inlineStr">
        <is>
          <t>BS001</t>
        </is>
      </c>
      <c r="H41" t="inlineStr">
        <is>
          <t>3 Agustus 2016</t>
        </is>
      </c>
      <c r="I41" s="2" t="n">
        <v>46193</v>
      </c>
      <c r="J41" t="inlineStr">
        <is>
          <t>Disetujui</t>
        </is>
      </c>
      <c r="K41" t="n">
        <v>30</v>
      </c>
      <c r="L41" t="inlineStr">
        <is>
          <t>20 Juni 2026</t>
        </is>
      </c>
      <c r="M41" t="inlineStr">
        <is>
          <t>Konstruksi Bangunan Sipil Jalan</t>
        </is>
      </c>
      <c r="N41" t="inlineStr">
        <is>
          <t>K</t>
        </is>
      </c>
      <c r="O41" t="inlineStr">
        <is>
          <t>20230515</t>
        </is>
      </c>
      <c r="P41" t="inlineStr">
        <is>
          <t>Kalimantan Selatan</t>
        </is>
      </c>
      <c r="Q41" s="3">
        <f>HYPERLINK("https://wa.me/6285345480000?text=*[PERINGATAN DARURAT SBU BERKAH TERANG RAHMAT]*%0A%0AYth. Pimpinan BERKAH TERANG RAHMAT,%0AMasa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2">
      <c r="A42" t="inlineStr">
        <is>
          <t>BINTANG BUMI BAHARI</t>
        </is>
      </c>
      <c r="B42" t="inlineStr">
        <is>
          <t>Kab. Cilacap</t>
        </is>
      </c>
      <c r="C42" t="inlineStr">
        <is>
          <t>081332145012</t>
        </is>
      </c>
      <c r="D42" t="inlineStr">
        <is>
          <t>bintangbumibahari@gmail.com</t>
        </is>
      </c>
      <c r="E42" t="inlineStr">
        <is>
          <t>https://lpjk.pu.go.id/search-badan-usaha-detail/NENKeTVOajU5N3FhcEd6OXlUaGJCdz09</t>
        </is>
      </c>
      <c r="F42" t="n">
        <v>4</v>
      </c>
      <c r="G42" t="inlineStr">
        <is>
          <t>BG001, BG003</t>
        </is>
      </c>
      <c r="H42" t="inlineStr">
        <is>
          <t>12 Februari 1993</t>
        </is>
      </c>
      <c r="I42" s="2" t="n">
        <v>46193</v>
      </c>
      <c r="J42" t="inlineStr">
        <is>
          <t>Pencabutan</t>
        </is>
      </c>
      <c r="K42" t="n">
        <v>30</v>
      </c>
      <c r="L42" t="inlineStr">
        <is>
          <t>20 Juni 2026</t>
        </is>
      </c>
      <c r="M42" t="inlineStr">
        <is>
          <t>Konstruksi Gedung Hunian, Konstruksi Gedung Industri</t>
        </is>
      </c>
      <c r="N42" t="inlineStr">
        <is>
          <t>K</t>
        </is>
      </c>
      <c r="O42" t="inlineStr">
        <is>
          <t>20230613, 20230614</t>
        </is>
      </c>
      <c r="P42" t="inlineStr">
        <is>
          <t>Jawa Tengah</t>
        </is>
      </c>
      <c r="Q42" s="3">
        <f>HYPERLINK("https://wa.me/6281332145012?text=*[PERINGATAN DARURAT SBU BINTANG BUMI BAHARI]*%0A%0AYth. Pimpinan BINTANG BUMI BAHARI,%0AMasa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3">
      <c r="A43" t="inlineStr">
        <is>
          <t>BINTANG MEGAH ELEMEN</t>
        </is>
      </c>
      <c r="B43" t="inlineStr">
        <is>
          <t>Kota Batam</t>
        </is>
      </c>
      <c r="C43" t="inlineStr">
        <is>
          <t>0778324922</t>
        </is>
      </c>
      <c r="D43" t="inlineStr">
        <is>
          <t>ptbintangmegahelemen@gmail.com</t>
        </is>
      </c>
      <c r="E43" t="inlineStr">
        <is>
          <t>https://lpjk.pu.go.id/search-badan-usaha-detail/bnNYVjVYOFlubnBSZkxobmJFcXY0Zz09</t>
        </is>
      </c>
      <c r="F43" t="n">
        <v>2</v>
      </c>
      <c r="G43" t="inlineStr">
        <is>
          <t>BG006</t>
        </is>
      </c>
      <c r="H43" t="inlineStr">
        <is>
          <t>29 Januari 2022</t>
        </is>
      </c>
      <c r="I43" s="2" t="n">
        <v>46193</v>
      </c>
      <c r="J43" t="inlineStr">
        <is>
          <t>Pencabutan</t>
        </is>
      </c>
      <c r="K43" t="n">
        <v>30</v>
      </c>
      <c r="L43" t="inlineStr">
        <is>
          <t>20 Juni 2026</t>
        </is>
      </c>
      <c r="M43" t="inlineStr">
        <is>
          <t>Konstruksi Gedung Pendidikan</t>
        </is>
      </c>
      <c r="N43" t="inlineStr">
        <is>
          <t>K</t>
        </is>
      </c>
      <c r="O43" t="inlineStr">
        <is>
          <t>20230621</t>
        </is>
      </c>
      <c r="P43" t="inlineStr">
        <is>
          <t>Kepulauan Riau</t>
        </is>
      </c>
      <c r="Q43" s="3">
        <f>HYPERLINK("https://wa.me/62778324922?text=*[PERINGATAN DARURAT SBU BINTANG MEGAH ELEMEN]*%0A%0AYth. Pimpinan BINTANG MEGAH ELEMEN,%0AMasa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4">
      <c r="A44" t="inlineStr">
        <is>
          <t>BINTANG PURNAMA PUTRA</t>
        </is>
      </c>
      <c r="B44" t="inlineStr">
        <is>
          <t>Kab. Ponorogo</t>
        </is>
      </c>
      <c r="C44" t="inlineStr">
        <is>
          <t>085330333939</t>
        </is>
      </c>
      <c r="D44" t="inlineStr">
        <is>
          <t>bintangpurnamaputra2012@gmail.com</t>
        </is>
      </c>
      <c r="E44" t="inlineStr">
        <is>
          <t>https://lpjk.pu.go.id/search-badan-usaha-detail/aFJZOElVdVk2TitLWlZFSkNaMmgydz09</t>
        </is>
      </c>
      <c r="F44" t="n">
        <v>2</v>
      </c>
      <c r="G44" t="inlineStr">
        <is>
          <t>BS004</t>
        </is>
      </c>
      <c r="H44" t="inlineStr">
        <is>
          <t>23 April 2012</t>
        </is>
      </c>
      <c r="I44" s="2" t="n">
        <v>46193</v>
      </c>
      <c r="J44" t="inlineStr">
        <is>
          <t>Disetujui</t>
        </is>
      </c>
      <c r="K44" t="n">
        <v>30</v>
      </c>
      <c r="L44" t="inlineStr">
        <is>
          <t>20 Juni 2026</t>
        </is>
      </c>
      <c r="M44" t="inlineStr">
        <is>
          <t>Konstruksi Jaringan Irigasi dan Drainase</t>
        </is>
      </c>
      <c r="N44" t="inlineStr">
        <is>
          <t>K</t>
        </is>
      </c>
      <c r="O44" t="inlineStr">
        <is>
          <t>20230615</t>
        </is>
      </c>
      <c r="P44" t="inlineStr">
        <is>
          <t>Jawa Timur</t>
        </is>
      </c>
      <c r="Q44" s="3">
        <f>HYPERLINK("https://wa.me/6285330333939?text=*[PERINGATAN DARURAT SBU BINTANG PURNAMA PUTRA]*%0A%0AYth. Pimpinan BINTANG PURNAMA PUTRA,%0AMasa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5">
      <c r="A45" t="inlineStr">
        <is>
          <t>BINTANG SERASAN</t>
        </is>
      </c>
      <c r="B45" t="inlineStr">
        <is>
          <t>Kab. Muara Enim</t>
        </is>
      </c>
      <c r="C45" t="inlineStr">
        <is>
          <t>082186570087</t>
        </is>
      </c>
      <c r="D45" t="inlineStr">
        <is>
          <t>cvbintangserasan3012@gmail.com</t>
        </is>
      </c>
      <c r="E45" t="inlineStr">
        <is>
          <t>https://lpjk.pu.go.id/search-badan-usaha-detail/ZUVjM2RnMHQzVDlrVXJwRnY4Q0ZqQT09</t>
        </is>
      </c>
      <c r="F45" t="n">
        <v>2</v>
      </c>
      <c r="G45" t="inlineStr">
        <is>
          <t>BS004</t>
        </is>
      </c>
      <c r="H45" t="inlineStr">
        <is>
          <t>8 Oktober 2019</t>
        </is>
      </c>
      <c r="I45" s="2" t="n">
        <v>46193</v>
      </c>
      <c r="J45" t="inlineStr">
        <is>
          <t>Pencabutan</t>
        </is>
      </c>
      <c r="K45" t="n">
        <v>30</v>
      </c>
      <c r="L45" t="inlineStr">
        <is>
          <t>20 Juni 2026</t>
        </is>
      </c>
      <c r="M45" t="inlineStr">
        <is>
          <t>Konstruksi Jaringan Irigasi dan Drainase</t>
        </is>
      </c>
      <c r="N45" t="inlineStr">
        <is>
          <t>K</t>
        </is>
      </c>
      <c r="O45" t="inlineStr">
        <is>
          <t>20230619</t>
        </is>
      </c>
      <c r="P45" t="inlineStr">
        <is>
          <t>Sumatera Selatan</t>
        </is>
      </c>
      <c r="Q45" s="3">
        <f>HYPERLINK("https://wa.me/6282186570087?text=*[PERINGATAN DARURAT SBU BINTANG SERASAN]*%0A%0AYth. Pimpinan BINTANG SERASAN,%0AMasa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6">
      <c r="A46" t="inlineStr">
        <is>
          <t>BINTANG TOP</t>
        </is>
      </c>
      <c r="B46" t="inlineStr">
        <is>
          <t>Kab. Tapanuli Tengah</t>
        </is>
      </c>
      <c r="C46" t="inlineStr">
        <is>
          <t>085362580080</t>
        </is>
      </c>
      <c r="D46" t="inlineStr">
        <is>
          <t>bintangtop.cv2023@gmail.com</t>
        </is>
      </c>
      <c r="E46" t="inlineStr">
        <is>
          <t>https://lpjk.pu.go.id/search-badan-usaha-detail/cVREb3pSb011eVJGSHlyUHFNSHI5dz09</t>
        </is>
      </c>
      <c r="F46" t="n">
        <v>6</v>
      </c>
      <c r="G46" t="inlineStr">
        <is>
          <t>BG005, BG006, BG009</t>
        </is>
      </c>
      <c r="H46" t="inlineStr">
        <is>
          <t>28 Februari 2023</t>
        </is>
      </c>
      <c r="I46" s="2" t="n">
        <v>46193</v>
      </c>
      <c r="J46" t="inlineStr">
        <is>
          <t>Disetujui</t>
        </is>
      </c>
      <c r="K46" t="n">
        <v>30</v>
      </c>
      <c r="L46" t="inlineStr">
        <is>
          <t>20 Juni 2026</t>
        </is>
      </c>
      <c r="M46" t="inlineStr">
        <is>
          <t>Konstruksi Gedung Kesehatan, Konstruksi Gedung Lainnya, Konstruksi Gedung Pendidikan</t>
        </is>
      </c>
      <c r="N46" t="inlineStr">
        <is>
          <t>K</t>
        </is>
      </c>
      <c r="O46" t="inlineStr">
        <is>
          <t>20230620</t>
        </is>
      </c>
      <c r="P46" t="inlineStr">
        <is>
          <t>Sumatera Utara</t>
        </is>
      </c>
      <c r="Q46" s="3">
        <f>HYPERLINK("https://wa.me/6285362580080?text=*[PERINGATAN DARURAT SBU BINTANG TOP]*%0A%0AYth. Pimpinan BINTANG TOP,%0AMasa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7">
      <c r="A47" t="inlineStr">
        <is>
          <t>BINTANG UTARA</t>
        </is>
      </c>
      <c r="B47" t="inlineStr">
        <is>
          <t>Kab. Jombang</t>
        </is>
      </c>
      <c r="C47" t="inlineStr">
        <is>
          <t>083115653917</t>
        </is>
      </c>
      <c r="D47" t="inlineStr">
        <is>
          <t>cvbintangutaraossrba@gmail.com</t>
        </is>
      </c>
      <c r="E47" t="inlineStr">
        <is>
          <t>https://lpjk.pu.go.id/search-badan-usaha-detail/WGxIWWpWZXZTYVZRSDFMQ2Y1Q1RhUT09</t>
        </is>
      </c>
      <c r="F47" t="n">
        <v>4</v>
      </c>
      <c r="G47" t="inlineStr">
        <is>
          <t>BS001, BS004</t>
        </is>
      </c>
      <c r="H47" t="inlineStr">
        <is>
          <t>24 Desember 2008</t>
        </is>
      </c>
      <c r="I47" s="2" t="n">
        <v>46193</v>
      </c>
      <c r="J47" t="inlineStr">
        <is>
          <t>Disetujui</t>
        </is>
      </c>
      <c r="K47" t="n">
        <v>30</v>
      </c>
      <c r="L47" t="inlineStr">
        <is>
          <t>20 Juni 2026</t>
        </is>
      </c>
      <c r="M47" t="inlineStr">
        <is>
          <t>Konstruksi Bangunan Sipil Jalan, Konstruksi Jaringan Irigasi dan Drainase</t>
        </is>
      </c>
      <c r="N47" t="inlineStr">
        <is>
          <t>K</t>
        </is>
      </c>
      <c r="O47" t="inlineStr">
        <is>
          <t>20230620</t>
        </is>
      </c>
      <c r="P47" t="inlineStr">
        <is>
          <t>Jawa Timur</t>
        </is>
      </c>
      <c r="Q47" s="3">
        <f>HYPERLINK("https://wa.me/6283115653917?text=*[PERINGATAN DARURAT SBU BINTANG UTARA]*%0A%0AYth. Pimpinan BINTANG UTARA,%0AMasa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8">
      <c r="A48" t="inlineStr">
        <is>
          <t>BIRU LANGIT ENGINEERING</t>
        </is>
      </c>
      <c r="B48" t="inlineStr">
        <is>
          <t>Kota Makassar</t>
        </is>
      </c>
      <c r="C48" t="inlineStr">
        <is>
          <t>081253383973</t>
        </is>
      </c>
      <c r="D48" t="inlineStr">
        <is>
          <t>alimanarang69@gmail.com</t>
        </is>
      </c>
      <c r="E48" t="inlineStr">
        <is>
          <t>https://lpjk.pu.go.id/search-badan-usaha-detail/UElxK0ZXMG1QQnZlRXd4ckhaZ1lrQT09</t>
        </is>
      </c>
      <c r="F48" t="n">
        <v>4</v>
      </c>
      <c r="G48" t="inlineStr">
        <is>
          <t>RK001, RK002, RK003, RK005</t>
        </is>
      </c>
      <c r="H48" t="inlineStr">
        <is>
          <t>16 Januari 2019</t>
        </is>
      </c>
      <c r="I48" s="2" t="n">
        <v>46193</v>
      </c>
      <c r="J48" t="inlineStr">
        <is>
          <t>Disetujui</t>
        </is>
      </c>
      <c r="K48" t="n">
        <v>30</v>
      </c>
      <c r="L48" t="inlineStr">
        <is>
          <t>20 Juni 2026</t>
        </is>
      </c>
      <c r="M48" t="inlineStr">
        <is>
          <t>Jasa Rekayasa Konstruksi Bangunan Gedung Hunian dan Non Hunian, Jasa Rekayasa Lainnya, Jasa Rekayasa Pekerjaan Teknik Sipil Sumber Daya Air, Jasa Rekayasa Pekerjaan Teknik Sipil Transportasi</t>
        </is>
      </c>
      <c r="N48" t="inlineStr">
        <is>
          <t>K</t>
        </is>
      </c>
      <c r="O48" t="inlineStr">
        <is>
          <t>20230606, 20230609</t>
        </is>
      </c>
      <c r="P48" t="inlineStr">
        <is>
          <t>Sulawesi Selatan</t>
        </is>
      </c>
      <c r="Q48" s="3">
        <f>HYPERLINK("https://wa.me/6281253383973?text=*[PERINGATAN DARURAT SBU BIRU LANGIT ENGINEERING]*%0A%0AYth. Pimpinan BIRU LANGIT ENGINEERING,%0AMasa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49">
      <c r="A49" t="inlineStr">
        <is>
          <t>BORNEO MANTUIL CONSTRUCTION</t>
        </is>
      </c>
      <c r="B49" t="inlineStr">
        <is>
          <t>Kota Banjarmasin</t>
        </is>
      </c>
      <c r="C49" t="inlineStr">
        <is>
          <t>085389097771</t>
        </is>
      </c>
      <c r="D49" t="inlineStr">
        <is>
          <t>cvborneomantuilconstruction@gmail.com</t>
        </is>
      </c>
      <c r="E49" t="inlineStr">
        <is>
          <t>https://lpjk.pu.go.id/search-badan-usaha-detail/bS9DcEVsbWpCQWFmazgwSVo4QzZtZz09</t>
        </is>
      </c>
      <c r="F49" t="n">
        <v>3</v>
      </c>
      <c r="G49" t="inlineStr">
        <is>
          <t>BS001, BS002, BS004</t>
        </is>
      </c>
      <c r="H49" t="inlineStr">
        <is>
          <t>14 Maret 2022</t>
        </is>
      </c>
      <c r="I49" s="2" t="n">
        <v>46193</v>
      </c>
      <c r="J49" t="inlineStr">
        <is>
          <t>Disetujui</t>
        </is>
      </c>
      <c r="K49" t="n">
        <v>30</v>
      </c>
      <c r="L49" t="inlineStr">
        <is>
          <t>20 Juni 2026</t>
        </is>
      </c>
      <c r="M49" t="inlineStr">
        <is>
          <t>Bangunan Sipil Jembatan, Jalan Layang, Fly Over, dan Underpass, Konstruksi Bangunan Sipil Jalan, Konstruksi Jaringan Irigasi dan Drainase</t>
        </is>
      </c>
      <c r="N49" t="inlineStr">
        <is>
          <t>K</t>
        </is>
      </c>
      <c r="O49" t="inlineStr">
        <is>
          <t>20230617, 20230621</t>
        </is>
      </c>
      <c r="P49" t="inlineStr">
        <is>
          <t>Kalimantan Selatan</t>
        </is>
      </c>
      <c r="Q49" s="3">
        <f>HYPERLINK("https://wa.me/6285389097771?text=*[PERINGATAN DARURAT SBU BORNEO MANTUIL CONSTRUCTION]*%0A%0AYth. Pimpinan BORNEO MANTUIL CONSTRUCTION,%0AMasa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0">
      <c r="A50" t="inlineStr">
        <is>
          <t>BUKIT TABOR</t>
        </is>
      </c>
      <c r="B50" t="inlineStr">
        <is>
          <t>Kota Sorong</t>
        </is>
      </c>
      <c r="C50" t="inlineStr">
        <is>
          <t>082324661475</t>
        </is>
      </c>
      <c r="D50" t="inlineStr">
        <is>
          <t>richardo_talla@yahoo.com</t>
        </is>
      </c>
      <c r="E50" t="inlineStr">
        <is>
          <t>https://lpjk.pu.go.id/search-badan-usaha-detail/djFhTzVqbUIybCtCdkNod2Z2bnlmUT09</t>
        </is>
      </c>
      <c r="F50" t="n">
        <v>1</v>
      </c>
      <c r="G50" t="inlineStr">
        <is>
          <t>BG005</t>
        </is>
      </c>
      <c r="H50" t="inlineStr">
        <is>
          <t>18 Juni 2016</t>
        </is>
      </c>
      <c r="I50" s="2" t="n">
        <v>46193</v>
      </c>
      <c r="J50" t="inlineStr">
        <is>
          <t>Pencabutan</t>
        </is>
      </c>
      <c r="K50" t="n">
        <v>30</v>
      </c>
      <c r="L50" t="inlineStr">
        <is>
          <t>20 Juni 2026</t>
        </is>
      </c>
      <c r="M50" t="inlineStr">
        <is>
          <t>Konstruksi Gedung Kesehatan</t>
        </is>
      </c>
      <c r="N50" t="inlineStr">
        <is>
          <t>K</t>
        </is>
      </c>
      <c r="O50" t="inlineStr">
        <is>
          <t>20230617</t>
        </is>
      </c>
      <c r="P50" t="inlineStr">
        <is>
          <t>Papua Barat</t>
        </is>
      </c>
      <c r="Q50" s="3">
        <f>HYPERLINK("https://wa.me/6282324661475?text=*[PERINGATAN DARURAT SBU BUKIT TABOR]*%0A%0AYth. Pimpinan BUKIT TABOR,%0AMasa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1">
      <c r="A51" t="inlineStr">
        <is>
          <t>BUMI PRATAMA</t>
        </is>
      </c>
      <c r="B51" t="inlineStr">
        <is>
          <t>Kab. Tabanan</t>
        </is>
      </c>
      <c r="C51" t="inlineStr">
        <is>
          <t>081338609117</t>
        </is>
      </c>
      <c r="D51" t="inlineStr">
        <is>
          <t>suhariadhi1959@gmail.com</t>
        </is>
      </c>
      <c r="E51" t="inlineStr">
        <is>
          <t>https://lpjk.pu.go.id/search-badan-usaha-detail/RHhyclc4M29BM2J0UXowWkpLTHBYdz09</t>
        </is>
      </c>
      <c r="F51" t="n">
        <v>2</v>
      </c>
      <c r="G51" t="inlineStr">
        <is>
          <t>BS001, BS005</t>
        </is>
      </c>
      <c r="H51" t="inlineStr">
        <is>
          <t>14 Mei 1988</t>
        </is>
      </c>
      <c r="I51" s="2" t="n">
        <v>46193</v>
      </c>
      <c r="J51" t="inlineStr">
        <is>
          <t>Disetujui</t>
        </is>
      </c>
      <c r="K51" t="n">
        <v>30</v>
      </c>
      <c r="L51" t="inlineStr">
        <is>
          <t>20 Juni 2026</t>
        </is>
      </c>
      <c r="M51" t="inlineStr">
        <is>
          <t>Konstruksi Bangunan Sipil Jalan, Konstruksi Bangunan Sipil Pengolahan Air Bersih</t>
        </is>
      </c>
      <c r="N51" t="inlineStr">
        <is>
          <t>K</t>
        </is>
      </c>
      <c r="O51" t="inlineStr">
        <is>
          <t>20230609, 20230612</t>
        </is>
      </c>
      <c r="P51" t="inlineStr">
        <is>
          <t>Bali</t>
        </is>
      </c>
      <c r="Q51" s="3">
        <f>HYPERLINK("https://wa.me/6281338609117?text=*[PERINGATAN DARURAT SBU BUMI PRATAMA]*%0A%0AYth. Pimpinan BUMI PRATAMA,%0AMasa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2">
      <c r="A52" t="inlineStr">
        <is>
          <t>CAHAYA JANNAH</t>
        </is>
      </c>
      <c r="B52" t="inlineStr">
        <is>
          <t>Kab. Belitung Timur</t>
        </is>
      </c>
      <c r="C52" t="inlineStr">
        <is>
          <t>087896433053</t>
        </is>
      </c>
      <c r="D52" t="inlineStr">
        <is>
          <t>momonrusmansyah@gmail.com</t>
        </is>
      </c>
      <c r="E52" t="inlineStr">
        <is>
          <t>https://lpjk.pu.go.id/search-badan-usaha-detail/bFZ6NXJVV1JRNGQ0NzFCK1dPZ1phQT09</t>
        </is>
      </c>
      <c r="F52" t="n">
        <v>1</v>
      </c>
      <c r="G52" t="inlineStr">
        <is>
          <t>BS004</t>
        </is>
      </c>
      <c r="H52" t="inlineStr">
        <is>
          <t>6 Desember 2019</t>
        </is>
      </c>
      <c r="I52" s="2" t="n">
        <v>46193</v>
      </c>
      <c r="J52" t="inlineStr">
        <is>
          <t>Disetujui</t>
        </is>
      </c>
      <c r="K52" t="n">
        <v>30</v>
      </c>
      <c r="L52" t="inlineStr">
        <is>
          <t>20 Juni 2026</t>
        </is>
      </c>
      <c r="M52" t="inlineStr">
        <is>
          <t>Konstruksi Jaringan Irigasi dan Drainase</t>
        </is>
      </c>
      <c r="N52" t="inlineStr">
        <is>
          <t>K</t>
        </is>
      </c>
      <c r="O52" t="inlineStr">
        <is>
          <t>20230608</t>
        </is>
      </c>
      <c r="P52" t="inlineStr">
        <is>
          <t>Kepulauan Bangka Belitung</t>
        </is>
      </c>
      <c r="Q52" s="3">
        <f>HYPERLINK("https://wa.me/6287896433053?text=*[PERINGATAN DARURAT SBU CAHAYA JANNAH]*%0A%0AYth. Pimpinan CAHAYA JANNAH,%0AMasa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3">
      <c r="A53" t="inlineStr">
        <is>
          <t>CAHYA KONTRUKSI</t>
        </is>
      </c>
      <c r="B53" t="inlineStr">
        <is>
          <t>Kab. Ponorogo</t>
        </is>
      </c>
      <c r="C53" t="inlineStr">
        <is>
          <t>081234975348</t>
        </is>
      </c>
      <c r="D53" t="inlineStr">
        <is>
          <t>cahyakontruksi@gmail.com</t>
        </is>
      </c>
      <c r="E53" t="inlineStr">
        <is>
          <t>https://lpjk.pu.go.id/search-badan-usaha-detail/Q04vWjJySmZ2RjVxWlZiREd3aDVsUT09</t>
        </is>
      </c>
      <c r="F53" t="n">
        <v>4</v>
      </c>
      <c r="G53" t="inlineStr">
        <is>
          <t>BG002, BG006, BG008, BS004</t>
        </is>
      </c>
      <c r="H53" t="inlineStr">
        <is>
          <t>27 Januari 2016</t>
        </is>
      </c>
      <c r="I53" s="2" t="n">
        <v>46193</v>
      </c>
      <c r="J53" t="inlineStr">
        <is>
          <t>Disetujui</t>
        </is>
      </c>
      <c r="K53" t="n">
        <v>30</v>
      </c>
      <c r="L53" t="inlineStr">
        <is>
          <t>20 Juni 2026</t>
        </is>
      </c>
      <c r="M53" t="inlineStr">
        <is>
          <t>Konstruksi Gedung Pendidikan, Konstruksi Gedung Perkantoran, Konstruksi Gedung Tempat Hiburan dan Olahraga, Konstruksi Jaringan Irigasi dan Drainase</t>
        </is>
      </c>
      <c r="N53" t="inlineStr">
        <is>
          <t>K</t>
        </is>
      </c>
      <c r="O53" t="inlineStr">
        <is>
          <t>20230615, 20230616, 20230620</t>
        </is>
      </c>
      <c r="P53" t="inlineStr">
        <is>
          <t>Jawa Timur</t>
        </is>
      </c>
      <c r="Q53" s="3">
        <f>HYPERLINK("https://wa.me/6281234975348?text=*[PERINGATAN DARURAT SBU CAHYA KONTRUKSI]*%0A%0AYth. Pimpinan CAHYA KONTRUKSI,%0AMasa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4">
      <c r="A54" t="inlineStr">
        <is>
          <t>CEMARA MEGAH PERSADA</t>
        </is>
      </c>
      <c r="B54" t="inlineStr">
        <is>
          <t>Kab. Berau</t>
        </is>
      </c>
      <c r="C54" t="inlineStr">
        <is>
          <t>081350302130</t>
        </is>
      </c>
      <c r="D54" t="inlineStr">
        <is>
          <t>cemarabeton.cv@gmail.com</t>
        </is>
      </c>
      <c r="E54" t="inlineStr">
        <is>
          <t>https://lpjk.pu.go.id/search-badan-usaha-detail/RHFHa0ozZWtZcTdXMTdPTHN1Sm9YUT09</t>
        </is>
      </c>
      <c r="F54" t="n">
        <v>1</v>
      </c>
      <c r="G54" t="inlineStr">
        <is>
          <t>BS001</t>
        </is>
      </c>
      <c r="H54" t="inlineStr">
        <is>
          <t>1 Februari 1994</t>
        </is>
      </c>
      <c r="I54" s="2" t="n">
        <v>46193</v>
      </c>
      <c r="J54" t="inlineStr">
        <is>
          <t>Disetujui</t>
        </is>
      </c>
      <c r="K54" t="n">
        <v>30</v>
      </c>
      <c r="L54" t="inlineStr">
        <is>
          <t>20 Juni 2026</t>
        </is>
      </c>
      <c r="M54" t="inlineStr">
        <is>
          <t>Konstruksi Bangunan Sipil Jalan</t>
        </is>
      </c>
      <c r="N54" t="inlineStr">
        <is>
          <t>K</t>
        </is>
      </c>
      <c r="O54" t="inlineStr">
        <is>
          <t>20230617</t>
        </is>
      </c>
      <c r="P54" t="inlineStr">
        <is>
          <t>Kalimantan Timur</t>
        </is>
      </c>
      <c r="Q54" s="3">
        <f>HYPERLINK("https://wa.me/6281350302130?text=*[PERINGATAN DARURAT SBU CEMARA MEGAH PERSADA]*%0A%0AYth. Pimpinan CEMARA MEGAH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5">
      <c r="A55" t="inlineStr">
        <is>
          <t>CENTRAL ANUGRAH ABADI</t>
        </is>
      </c>
      <c r="B55" t="inlineStr">
        <is>
          <t>Kab. Sintang</t>
        </is>
      </c>
      <c r="C55" t="inlineStr">
        <is>
          <t>081347054925</t>
        </is>
      </c>
      <c r="D55" t="inlineStr">
        <is>
          <t>centralanugrahabadi@gmail.com</t>
        </is>
      </c>
      <c r="E55" t="inlineStr">
        <is>
          <t>https://lpjk.pu.go.id/search-badan-usaha-detail/Sm41SzAyUW9WWmRkSkVicVNlajNzZz09</t>
        </is>
      </c>
      <c r="F55" t="n">
        <v>2</v>
      </c>
      <c r="G55" t="inlineStr">
        <is>
          <t>BG006</t>
        </is>
      </c>
      <c r="H55" t="inlineStr">
        <is>
          <t>30 Agustus 2019</t>
        </is>
      </c>
      <c r="I55" s="2" t="n">
        <v>46193</v>
      </c>
      <c r="J55" t="inlineStr">
        <is>
          <t>Disetujui</t>
        </is>
      </c>
      <c r="K55" t="n">
        <v>30</v>
      </c>
      <c r="L55" t="inlineStr">
        <is>
          <t>20 Juni 2026</t>
        </is>
      </c>
      <c r="M55" t="inlineStr">
        <is>
          <t>Konstruksi Gedung Pendidikan</t>
        </is>
      </c>
      <c r="N55" t="inlineStr">
        <is>
          <t>K</t>
        </is>
      </c>
      <c r="O55" t="inlineStr">
        <is>
          <t>20230615</t>
        </is>
      </c>
      <c r="P55" t="inlineStr">
        <is>
          <t>Kalimantan Barat</t>
        </is>
      </c>
      <c r="Q55" s="3">
        <f>HYPERLINK("https://wa.me/6281347054925?text=*[PERINGATAN DARURAT SBU CENTRAL ANUGRAH ABADI]*%0A%0AYth. Pimpinan CENTRAL ANUGRAH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6">
      <c r="A56" t="inlineStr">
        <is>
          <t>CIPTA KREASINDO CONSULTANT</t>
        </is>
      </c>
      <c r="B56" t="inlineStr">
        <is>
          <t>Kota Magelang</t>
        </is>
      </c>
      <c r="C56" t="inlineStr">
        <is>
          <t>0293325000</t>
        </is>
      </c>
      <c r="D56" t="inlineStr">
        <is>
          <t>pt.cipta.kreasindo@gmail.com</t>
        </is>
      </c>
      <c r="E56" t="inlineStr">
        <is>
          <t>https://lpjk.pu.go.id/search-badan-usaha-detail/MWdrY2YrVlhiVk5STHRSdy9OQjVEdz09</t>
        </is>
      </c>
      <c r="F56" t="n">
        <v>2</v>
      </c>
      <c r="G56" t="inlineStr">
        <is>
          <t>RK003</t>
        </is>
      </c>
      <c r="H56" t="inlineStr">
        <is>
          <t>15 Maret 2011</t>
        </is>
      </c>
      <c r="I56" s="2" t="n">
        <v>46193</v>
      </c>
      <c r="J56" t="inlineStr">
        <is>
          <t>Disetujui</t>
        </is>
      </c>
      <c r="K56" t="n">
        <v>30</v>
      </c>
      <c r="L56" t="inlineStr">
        <is>
          <t>20 Juni 2026</t>
        </is>
      </c>
      <c r="M56" t="inlineStr">
        <is>
          <t>Jasa Rekayasa Pekerjaan Teknik Sipil Transportasi</t>
        </is>
      </c>
      <c r="N56" t="inlineStr">
        <is>
          <t>K</t>
        </is>
      </c>
      <c r="O56" t="inlineStr">
        <is>
          <t>20230615</t>
        </is>
      </c>
      <c r="P56" t="inlineStr">
        <is>
          <t>Jawa Tengah</t>
        </is>
      </c>
      <c r="Q56" s="3">
        <f>HYPERLINK("https://wa.me/62293325000?text=*[PERINGATAN DARURAT SBU CIPTA KREASINDO CONSULTANT]*%0A%0AYth. Pimpinan CIPTA KREASINDO CONSULTANT,%0AMasa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7">
      <c r="A57" t="inlineStr">
        <is>
          <t>CIPTA LESMANA</t>
        </is>
      </c>
      <c r="B57" t="inlineStr">
        <is>
          <t>Kab. Bangkalan</t>
        </is>
      </c>
      <c r="C57" t="inlineStr">
        <is>
          <t>081331299544</t>
        </is>
      </c>
      <c r="D57" t="inlineStr">
        <is>
          <t>cv.ciptalesmana@gmail.com</t>
        </is>
      </c>
      <c r="E57" t="inlineStr">
        <is>
          <t>https://lpjk.pu.go.id/search-badan-usaha-detail/SEI1elY0ZlVnVUJWN25HUXhpUTNVUT09</t>
        </is>
      </c>
      <c r="F57" t="n">
        <v>1</v>
      </c>
      <c r="G57" t="inlineStr">
        <is>
          <t>BS004</t>
        </is>
      </c>
      <c r="H57" t="inlineStr">
        <is>
          <t>22 Maret 2003</t>
        </is>
      </c>
      <c r="I57" s="2" t="n">
        <v>46193</v>
      </c>
      <c r="J57" t="inlineStr">
        <is>
          <t>Disetujui</t>
        </is>
      </c>
      <c r="K57" t="n">
        <v>30</v>
      </c>
      <c r="L57" t="inlineStr">
        <is>
          <t>20 Juni 2026</t>
        </is>
      </c>
      <c r="M57" t="inlineStr">
        <is>
          <t>Konstruksi Jaringan Irigasi dan Drainase</t>
        </is>
      </c>
      <c r="N57" t="inlineStr">
        <is>
          <t>K</t>
        </is>
      </c>
      <c r="O57" t="inlineStr">
        <is>
          <t>20230617</t>
        </is>
      </c>
      <c r="P57" t="inlineStr">
        <is>
          <t>Jawa Timur</t>
        </is>
      </c>
      <c r="Q57" s="3">
        <f>HYPERLINK("https://wa.me/6281331299544?text=*[PERINGATAN DARURAT SBU CIPTA LESMANA]*%0A%0AYth. Pimpinan CIPTA LESMANA,%0AMasa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8">
      <c r="A58" t="inlineStr">
        <is>
          <t>CIPTANUGRAHA CONTRINDO</t>
        </is>
      </c>
      <c r="B58" t="inlineStr">
        <is>
          <t>Kota Adm. Jakarta Utara</t>
        </is>
      </c>
      <c r="C58" t="inlineStr">
        <is>
          <t>0216456774</t>
        </is>
      </c>
      <c r="D58" t="inlineStr">
        <is>
          <t>contrindocipta@yahoo.com</t>
        </is>
      </c>
      <c r="E58" t="inlineStr">
        <is>
          <t>https://lpjk.pu.go.id/search-badan-usaha-detail/MlROaHlWSVN4dXFZT0J3ZnFrSDhXUT09</t>
        </is>
      </c>
      <c r="F58" t="n">
        <v>1</v>
      </c>
      <c r="G58" t="inlineStr">
        <is>
          <t>BG003</t>
        </is>
      </c>
      <c r="H58" t="inlineStr">
        <is>
          <t>22 April 1994</t>
        </is>
      </c>
      <c r="I58" s="2" t="n">
        <v>46193</v>
      </c>
      <c r="J58" t="inlineStr">
        <is>
          <t>Disetujui</t>
        </is>
      </c>
      <c r="K58" t="n">
        <v>30</v>
      </c>
      <c r="L58" t="inlineStr">
        <is>
          <t>20 Juni 2026</t>
        </is>
      </c>
      <c r="M58" t="inlineStr">
        <is>
          <t>Konstruksi Gedung Industri</t>
        </is>
      </c>
      <c r="N58" t="inlineStr">
        <is>
          <t>M</t>
        </is>
      </c>
      <c r="O58" t="inlineStr">
        <is>
          <t>20230418</t>
        </is>
      </c>
      <c r="P58" t="inlineStr">
        <is>
          <t>DKI Jakarta</t>
        </is>
      </c>
      <c r="Q58" s="3">
        <f>HYPERLINK("https://wa.me/62216456774?text=*[PERINGATAN DARURAT SBU CIPTANUGRAHA CONTRINDO]*%0A%0AYth. Pimpinan CIPTANUGRAHA CONTRINDO,%0AMasa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59">
      <c r="A59" t="inlineStr">
        <is>
          <t>CITRA EXACT ENGINEERING</t>
        </is>
      </c>
      <c r="B59" t="inlineStr">
        <is>
          <t>Kab. Badung</t>
        </is>
      </c>
      <c r="C59" t="inlineStr">
        <is>
          <t>0361766632</t>
        </is>
      </c>
      <c r="D59" t="inlineStr">
        <is>
          <t>ptcee_bali@pttjs.com</t>
        </is>
      </c>
      <c r="E59" t="inlineStr">
        <is>
          <t>https://lpjk.pu.go.id/search-badan-usaha-detail/SEhDanJLeUY2bHAvMWxyS3NQY2hoQT09</t>
        </is>
      </c>
      <c r="F59" t="n">
        <v>1</v>
      </c>
      <c r="G59" t="inlineStr">
        <is>
          <t>IN008</t>
        </is>
      </c>
      <c r="H59" t="inlineStr">
        <is>
          <t>3 Oktober 1991</t>
        </is>
      </c>
      <c r="I59" s="2" t="n">
        <v>46193</v>
      </c>
      <c r="J59" t="inlineStr">
        <is>
          <t>Disetujui</t>
        </is>
      </c>
      <c r="K59" t="n">
        <v>30</v>
      </c>
      <c r="L59" t="inlineStr">
        <is>
          <t>20 Juni 2026</t>
        </is>
      </c>
      <c r="M59" t="inlineStr">
        <is>
          <t>Instalasi Pendingin Dan Ventilasi Udara</t>
        </is>
      </c>
      <c r="N59" t="inlineStr">
        <is>
          <t>Spesialis</t>
        </is>
      </c>
      <c r="O59" t="inlineStr">
        <is>
          <t>20230614</t>
        </is>
      </c>
      <c r="P59" t="inlineStr">
        <is>
          <t>Bali</t>
        </is>
      </c>
      <c r="Q59" s="3">
        <f>HYPERLINK("https://wa.me/62361766632?text=*[PERINGATAN DARURAT SBU CITRA EXACT ENGINEERING]*%0A%0AYth. Pimpinan CITRA EXACT ENGINEERING,%0AMasa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0">
      <c r="A60" t="inlineStr">
        <is>
          <t>CITRA LAMPUNG PERMAI</t>
        </is>
      </c>
      <c r="B60" t="inlineStr">
        <is>
          <t>Kab. Lampung Timur</t>
        </is>
      </c>
      <c r="C60" t="inlineStr">
        <is>
          <t>082281293446</t>
        </is>
      </c>
      <c r="D60" t="inlineStr">
        <is>
          <t>clp_konstruksi23@yahoo.com</t>
        </is>
      </c>
      <c r="E60" t="inlineStr">
        <is>
          <t>https://lpjk.pu.go.id/search-badan-usaha-detail/akp6MGxDamdwSmZlL2hSNy94WEUvZz09</t>
        </is>
      </c>
      <c r="F60" t="n">
        <v>2</v>
      </c>
      <c r="G60" t="inlineStr">
        <is>
          <t>BG002, BG006</t>
        </is>
      </c>
      <c r="H60" t="inlineStr">
        <is>
          <t>21 Januari 2008</t>
        </is>
      </c>
      <c r="I60" s="2" t="n">
        <v>46193</v>
      </c>
      <c r="J60" t="inlineStr">
        <is>
          <t>Disetujui</t>
        </is>
      </c>
      <c r="K60" t="n">
        <v>30</v>
      </c>
      <c r="L60" t="inlineStr">
        <is>
          <t>20 Juni 2026</t>
        </is>
      </c>
      <c r="M60" t="inlineStr">
        <is>
          <t>Konstruksi Gedung Pendidikan, Konstruksi Gedung Perkantoran</t>
        </is>
      </c>
      <c r="N60" t="inlineStr">
        <is>
          <t>K</t>
        </is>
      </c>
      <c r="O60" t="inlineStr">
        <is>
          <t>20230607</t>
        </is>
      </c>
      <c r="P60" t="inlineStr">
        <is>
          <t>Lampung</t>
        </is>
      </c>
      <c r="Q60" s="3">
        <f>HYPERLINK("https://wa.me/6282281293446?text=*[PERINGATAN DARURAT SBU CITRA LAMPUNG PERMAI]*%0A%0AYth. Pimpinan CITRA LAMPUNG PERMAI,%0AMasa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1">
      <c r="A61" t="inlineStr">
        <is>
          <t>CITRA PERDANA MUDA</t>
        </is>
      </c>
      <c r="B61" t="inlineStr">
        <is>
          <t>Kota Medan</t>
        </is>
      </c>
      <c r="C61" t="inlineStr">
        <is>
          <t>08126595820</t>
        </is>
      </c>
      <c r="D61" t="inlineStr">
        <is>
          <t>rikymeinaldhi@yahoo.com</t>
        </is>
      </c>
      <c r="E61" t="inlineStr">
        <is>
          <t>https://lpjk.pu.go.id/search-badan-usaha-detail/OEE5dEt6UTNWV3RxT1hLVy9wSDJOQT09</t>
        </is>
      </c>
      <c r="F61" t="n">
        <v>1</v>
      </c>
      <c r="G61" t="inlineStr">
        <is>
          <t>BS009</t>
        </is>
      </c>
      <c r="H61" t="inlineStr">
        <is>
          <t>7 September 1995</t>
        </is>
      </c>
      <c r="I61" s="2" t="n">
        <v>46193</v>
      </c>
      <c r="J61" t="inlineStr">
        <is>
          <t>Disetujui</t>
        </is>
      </c>
      <c r="K61" t="n">
        <v>30</v>
      </c>
      <c r="L61" t="inlineStr">
        <is>
          <t>20 Juni 2026</t>
        </is>
      </c>
      <c r="M61" t="inlineStr">
        <is>
          <t>Konstruksi Sentral Telekomunikasi</t>
        </is>
      </c>
      <c r="N61" t="inlineStr">
        <is>
          <t>K</t>
        </is>
      </c>
      <c r="O61" t="inlineStr">
        <is>
          <t>20230614</t>
        </is>
      </c>
      <c r="P61" t="inlineStr">
        <is>
          <t>Sumatera Utara</t>
        </is>
      </c>
      <c r="Q61" s="3">
        <f>HYPERLINK("https://wa.me/628126595820?text=*[PERINGATAN DARURAT SBU CITRA PERDANA MUDA]*%0A%0AYth. Pimpinan CITRA PERDANA MUDA,%0AMasa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2">
      <c r="A62" t="inlineStr">
        <is>
          <t>CV. MOMEN AREA CONSULTANT</t>
        </is>
      </c>
      <c r="B62" t="inlineStr">
        <is>
          <t>Kab. Konawe</t>
        </is>
      </c>
      <c r="C62" t="inlineStr">
        <is>
          <t>085381772279</t>
        </is>
      </c>
      <c r="D62" t="inlineStr">
        <is>
          <t>momen.ac@yahoo.com</t>
        </is>
      </c>
      <c r="E62" t="inlineStr">
        <is>
          <t>https://lpjk.pu.go.id/search-badan-usaha-detail/d2lzcTc4amxwb29lR2oySnVYZmRWZz09</t>
        </is>
      </c>
      <c r="F62" t="n">
        <v>1</v>
      </c>
      <c r="G62" t="inlineStr">
        <is>
          <t>AR001</t>
        </is>
      </c>
      <c r="H62" t="inlineStr">
        <is>
          <t>16 Maret 2017</t>
        </is>
      </c>
      <c r="I62" s="2" t="n">
        <v>46193</v>
      </c>
      <c r="J62" t="inlineStr">
        <is>
          <t>Disetujui</t>
        </is>
      </c>
      <c r="K62" t="n">
        <v>30</v>
      </c>
      <c r="L62" t="inlineStr">
        <is>
          <t>20 Juni 2026</t>
        </is>
      </c>
      <c r="M62" t="inlineStr">
        <is>
          <t>Jasa Arsitektural Bangunan Gedung Hunian dan Non Hunian</t>
        </is>
      </c>
      <c r="N62" t="inlineStr">
        <is>
          <t>K</t>
        </is>
      </c>
      <c r="O62" t="inlineStr">
        <is>
          <t>20230609</t>
        </is>
      </c>
      <c r="P62" t="inlineStr">
        <is>
          <t>Sulawesi Tenggara</t>
        </is>
      </c>
      <c r="Q62" s="3">
        <f>HYPERLINK("https://wa.me/6285381772279?text=*[PERINGATAN DARURAT SBU CV. MOMEN AREA CONSULTANT]*%0A%0AYth. Pimpinan CV. MOMEN AREA CONSULTANT,%0AMasa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3">
      <c r="A63" t="inlineStr">
        <is>
          <t>DENITA PUTRI</t>
        </is>
      </c>
      <c r="B63" t="inlineStr">
        <is>
          <t>Kab. Lampung Barat</t>
        </is>
      </c>
      <c r="C63" t="inlineStr">
        <is>
          <t>0812 7970 212_</t>
        </is>
      </c>
      <c r="D63" t="inlineStr">
        <is>
          <t>cv.denitaputri@gmail.com</t>
        </is>
      </c>
      <c r="E63" t="inlineStr">
        <is>
          <t>https://lpjk.pu.go.id/search-badan-usaha-detail/NjVCa0pYaTh3YU1JUnhBeUJ4Y2lvdz09</t>
        </is>
      </c>
      <c r="F63" t="n">
        <v>1</v>
      </c>
      <c r="G63" t="inlineStr">
        <is>
          <t>BS004</t>
        </is>
      </c>
      <c r="H63" t="inlineStr">
        <is>
          <t>18 Februari 2016</t>
        </is>
      </c>
      <c r="I63" s="2" t="n">
        <v>46193</v>
      </c>
      <c r="J63" t="inlineStr">
        <is>
          <t>Disetujui</t>
        </is>
      </c>
      <c r="K63" t="n">
        <v>30</v>
      </c>
      <c r="L63" t="inlineStr">
        <is>
          <t>20 Juni 2026</t>
        </is>
      </c>
      <c r="M63" t="inlineStr">
        <is>
          <t>Konstruksi Jaringan Irigasi dan Drainase</t>
        </is>
      </c>
      <c r="N63" t="inlineStr">
        <is>
          <t>K</t>
        </is>
      </c>
      <c r="O63" t="inlineStr">
        <is>
          <t>20230619</t>
        </is>
      </c>
      <c r="P63" t="inlineStr">
        <is>
          <t>Lampung</t>
        </is>
      </c>
      <c r="Q63" s="3">
        <f>HYPERLINK("https://wa.me/628127970212?text=*[PERINGATAN DARURAT SBU DENITA PUTRI]*%0A%0AYth. Pimpinan DENITA PUTRI,%0AMasa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4">
      <c r="A64" t="inlineStr">
        <is>
          <t>DEWI CONSTRUCTION</t>
        </is>
      </c>
      <c r="B64" t="inlineStr">
        <is>
          <t>Kab. Tuban</t>
        </is>
      </c>
      <c r="C64" t="inlineStr">
        <is>
          <t>082234727374</t>
        </is>
      </c>
      <c r="D64" t="inlineStr">
        <is>
          <t>dewiconstructioncv@gmail.com</t>
        </is>
      </c>
      <c r="E64" t="inlineStr">
        <is>
          <t>https://lpjk.pu.go.id/search-badan-usaha-detail/S0xEZUxIZFJ0SVhSZ1Z4NkJGUW1QZz09</t>
        </is>
      </c>
      <c r="F64" t="n">
        <v>1</v>
      </c>
      <c r="G64" t="inlineStr">
        <is>
          <t>BS004</t>
        </is>
      </c>
      <c r="H64" t="inlineStr">
        <is>
          <t>23 November 2016</t>
        </is>
      </c>
      <c r="I64" s="2" t="n">
        <v>46193</v>
      </c>
      <c r="J64" t="inlineStr">
        <is>
          <t>Pencabutan</t>
        </is>
      </c>
      <c r="K64" t="n">
        <v>30</v>
      </c>
      <c r="L64" t="inlineStr">
        <is>
          <t>20 Juni 2026</t>
        </is>
      </c>
      <c r="M64" t="inlineStr">
        <is>
          <t>Konstruksi Jaringan Irigasi dan Drainase</t>
        </is>
      </c>
      <c r="N64" t="inlineStr">
        <is>
          <t>K</t>
        </is>
      </c>
      <c r="O64" t="inlineStr">
        <is>
          <t>20230620</t>
        </is>
      </c>
      <c r="P64" t="inlineStr">
        <is>
          <t>Jawa Timur</t>
        </is>
      </c>
      <c r="Q64" s="3">
        <f>HYPERLINK("https://wa.me/6282234727374?text=*[PERINGATAN DARURAT SBU DEWI CONSTRUCTION]*%0A%0AYth. Pimpinan DEWI CONSTRUCTION,%0AMasa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5">
      <c r="A65" t="inlineStr">
        <is>
          <t>DHARMABHAKTI EKAPERDANA</t>
        </is>
      </c>
      <c r="B65" t="inlineStr">
        <is>
          <t>Kab. Minahasa Utara</t>
        </is>
      </c>
      <c r="C65" t="inlineStr">
        <is>
          <t>0431891456</t>
        </is>
      </c>
      <c r="D65" t="inlineStr">
        <is>
          <t>Admin@dharmabhakti-ekaperdana.com</t>
        </is>
      </c>
      <c r="E65" t="inlineStr">
        <is>
          <t>https://lpjk.pu.go.id/search-badan-usaha-detail/WHg2dXFiTzJtVjFRbitvUzhXZ1M1dz09</t>
        </is>
      </c>
      <c r="F65" t="n">
        <v>1</v>
      </c>
      <c r="G65" t="inlineStr">
        <is>
          <t>BG001</t>
        </is>
      </c>
      <c r="H65" t="inlineStr">
        <is>
          <t>9 Mei 1990</t>
        </is>
      </c>
      <c r="I65" s="2" t="n">
        <v>46193</v>
      </c>
      <c r="J65" t="inlineStr">
        <is>
          <t>Disetujui</t>
        </is>
      </c>
      <c r="K65" t="n">
        <v>30</v>
      </c>
      <c r="L65" t="inlineStr">
        <is>
          <t>20 Juni 2026</t>
        </is>
      </c>
      <c r="M65" t="inlineStr">
        <is>
          <t>Konstruksi Gedung Hunian</t>
        </is>
      </c>
      <c r="N65" t="inlineStr">
        <is>
          <t>K</t>
        </is>
      </c>
      <c r="O65" t="inlineStr">
        <is>
          <t>20230620</t>
        </is>
      </c>
      <c r="P65" t="inlineStr">
        <is>
          <t>Sulawesi Utara</t>
        </is>
      </c>
      <c r="Q65" s="3">
        <f>HYPERLINK("https://wa.me/62431891456?text=*[PERINGATAN DARURAT SBU DHARMABHAKTI EKAPERDANA]*%0A%0AYth. Pimpinan DHARMABHAKTI EKAPERDANA,%0AMasa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6">
      <c r="A66" t="inlineStr">
        <is>
          <t>DIAZ PUTRA JAYA</t>
        </is>
      </c>
      <c r="B66" t="inlineStr">
        <is>
          <t>Kab. Maros</t>
        </is>
      </c>
      <c r="C66" t="inlineStr">
        <is>
          <t>081355344133</t>
        </is>
      </c>
      <c r="D66" t="inlineStr">
        <is>
          <t>cvdiazputrajaya@yahoo.co.id</t>
        </is>
      </c>
      <c r="E66" t="inlineStr">
        <is>
          <t>https://lpjk.pu.go.id/search-badan-usaha-detail/eW9xclg2bU1qV1R4MzhzbGJyRnZyZz09</t>
        </is>
      </c>
      <c r="F66" t="n">
        <v>6</v>
      </c>
      <c r="G66" t="inlineStr">
        <is>
          <t>BG002, BG005, BG006, BG009, BS001, BS004</t>
        </is>
      </c>
      <c r="H66" t="inlineStr">
        <is>
          <t>26 Februari 1999</t>
        </is>
      </c>
      <c r="I66" s="2" t="n">
        <v>46193</v>
      </c>
      <c r="J66" t="inlineStr">
        <is>
          <t>Disetujui</t>
        </is>
      </c>
      <c r="K66" t="n">
        <v>30</v>
      </c>
      <c r="L66" t="inlineStr">
        <is>
          <t>20 Juni 2026</t>
        </is>
      </c>
      <c r="M66" t="inlineStr">
        <is>
          <t>Konstruksi Bangunan Sipil Jalan, Konstruksi Gedung Kesehatan, Konstruksi Gedung Lainnya, Konstruksi Gedung Pendidikan, Konstruksi Gedung Perkantoran, Konstruksi Jaringan Irigasi dan Drainase</t>
        </is>
      </c>
      <c r="N66" t="inlineStr">
        <is>
          <t>K</t>
        </is>
      </c>
      <c r="O66" t="inlineStr">
        <is>
          <t>20230613</t>
        </is>
      </c>
      <c r="P66" t="inlineStr">
        <is>
          <t>Sulawesi Selatan</t>
        </is>
      </c>
      <c r="Q66" s="3">
        <f>HYPERLINK("https://wa.me/6281355344133?text=*[PERINGATAN DARURAT SBU DIAZ PUTRA JAYA]*%0A%0AYth. Pimpinan DIAZ PUTRA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7">
      <c r="A67" t="inlineStr">
        <is>
          <t>DWIPA ABIDAYA</t>
        </is>
      </c>
      <c r="B67" t="inlineStr">
        <is>
          <t>Kab. Kebumen</t>
        </is>
      </c>
      <c r="C67" t="inlineStr">
        <is>
          <t>081294626148</t>
        </is>
      </c>
      <c r="D67" t="inlineStr">
        <is>
          <t>dwipaabidaya@gmail.com</t>
        </is>
      </c>
      <c r="E67" t="inlineStr">
        <is>
          <t>https://lpjk.pu.go.id/search-badan-usaha-detail/TUxzTHVESzY1amgvbWVrM1VWYmhMZz09</t>
        </is>
      </c>
      <c r="F67" t="n">
        <v>1</v>
      </c>
      <c r="G67" t="inlineStr">
        <is>
          <t>BS005</t>
        </is>
      </c>
      <c r="H67" t="inlineStr">
        <is>
          <t>26 November 2015</t>
        </is>
      </c>
      <c r="I67" s="2" t="n">
        <v>46193</v>
      </c>
      <c r="J67" t="inlineStr">
        <is>
          <t>Disetujui</t>
        </is>
      </c>
      <c r="K67" t="n">
        <v>30</v>
      </c>
      <c r="L67" t="inlineStr">
        <is>
          <t>20 Juni 2026</t>
        </is>
      </c>
      <c r="M67" t="inlineStr">
        <is>
          <t>Konstruksi Bangunan Sipil Pengolahan Air Bersih</t>
        </is>
      </c>
      <c r="N67" t="inlineStr">
        <is>
          <t>K</t>
        </is>
      </c>
      <c r="O67" t="inlineStr">
        <is>
          <t>20230616</t>
        </is>
      </c>
      <c r="P67" t="inlineStr">
        <is>
          <t>Jawa Tengah</t>
        </is>
      </c>
      <c r="Q67" s="3">
        <f>HYPERLINK("https://wa.me/6281294626148?text=*[PERINGATAN DARURAT SBU DWIPA ABIDAYA]*%0A%0AYth. Pimpinan DWIPA ABIDAYA,%0AMasa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8">
      <c r="A68" t="inlineStr">
        <is>
          <t>DWITAMA CIGAS KONSTRUKSI</t>
        </is>
      </c>
      <c r="B68" t="inlineStr">
        <is>
          <t>Kab. Bintan</t>
        </is>
      </c>
      <c r="C68" t="inlineStr">
        <is>
          <t>085272365041</t>
        </is>
      </c>
      <c r="D68" t="inlineStr">
        <is>
          <t>khairuddin250572@gmail.com</t>
        </is>
      </c>
      <c r="E68" t="inlineStr">
        <is>
          <t>https://lpjk.pu.go.id/search-badan-usaha-detail/SFEwdlhjdjVBYUdXcGc4ME1zT1N4Zz09</t>
        </is>
      </c>
      <c r="F68" t="n">
        <v>2</v>
      </c>
      <c r="G68" t="inlineStr">
        <is>
          <t>BG006</t>
        </is>
      </c>
      <c r="H68" t="inlineStr">
        <is>
          <t>22 Juni 2012</t>
        </is>
      </c>
      <c r="I68" s="2" t="n">
        <v>46193</v>
      </c>
      <c r="J68" t="inlineStr">
        <is>
          <t>Disetujui</t>
        </is>
      </c>
      <c r="K68" t="n">
        <v>30</v>
      </c>
      <c r="L68" t="inlineStr">
        <is>
          <t>20 Juni 2026</t>
        </is>
      </c>
      <c r="M68" t="inlineStr">
        <is>
          <t>Konstruksi Gedung Pendidikan</t>
        </is>
      </c>
      <c r="N68" t="inlineStr">
        <is>
          <t>K</t>
        </is>
      </c>
      <c r="O68" t="inlineStr">
        <is>
          <t>20230616</t>
        </is>
      </c>
      <c r="P68" t="inlineStr">
        <is>
          <t>Kepulauan Riau</t>
        </is>
      </c>
      <c r="Q68" s="3">
        <f>HYPERLINK("https://wa.me/6285272365041?text=*[PERINGATAN DARURAT SBU DWITAMA CIGAS KONSTRUKSI]*%0A%0AYth. Pimpinan DWITAMA CIGAS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69">
      <c r="A69" t="inlineStr">
        <is>
          <t>EMBUN HERMON JAYA</t>
        </is>
      </c>
      <c r="B69" t="inlineStr">
        <is>
          <t>Kab. Fak Fak</t>
        </is>
      </c>
      <c r="C69" t="inlineStr">
        <is>
          <t>08124852951</t>
        </is>
      </c>
      <c r="D69" t="inlineStr">
        <is>
          <t>embunhermonjaya@gmail.com</t>
        </is>
      </c>
      <c r="E69" t="inlineStr">
        <is>
          <t>https://lpjk.pu.go.id/search-badan-usaha-detail/K3E2QmliSytGQ1lPYnlMbkNmMG95dz09</t>
        </is>
      </c>
      <c r="F69" t="n">
        <v>4</v>
      </c>
      <c r="G69" t="inlineStr">
        <is>
          <t>BG001, BG002, BG006, BG008</t>
        </is>
      </c>
      <c r="H69" t="inlineStr">
        <is>
          <t>28 Februari 2023</t>
        </is>
      </c>
      <c r="I69" s="2" t="n">
        <v>46193</v>
      </c>
      <c r="J69" t="inlineStr">
        <is>
          <t>Disetujui</t>
        </is>
      </c>
      <c r="K69" t="n">
        <v>30</v>
      </c>
      <c r="L69" t="inlineStr">
        <is>
          <t>20 Juni 2026</t>
        </is>
      </c>
      <c r="M69" t="inlineStr">
        <is>
          <t>Konstruksi Gedung Hunian, Konstruksi Gedung Pendidikan, Konstruksi Gedung Perkantoran, Konstruksi Gedung Tempat Hiburan dan Olahraga</t>
        </is>
      </c>
      <c r="N69" t="inlineStr">
        <is>
          <t>K</t>
        </is>
      </c>
      <c r="O69" t="inlineStr">
        <is>
          <t>20230620</t>
        </is>
      </c>
      <c r="P69" t="inlineStr">
        <is>
          <t>Papua Barat</t>
        </is>
      </c>
      <c r="Q69" s="3">
        <f>HYPERLINK("https://wa.me/628124852951?text=*[PERINGATAN DARURAT SBU EMBUN HERMON JAYA]*%0A%0AYth. Pimpinan EMBUN HERMON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0">
      <c r="A70" t="inlineStr">
        <is>
          <t>EMBUN JAYA</t>
        </is>
      </c>
      <c r="B70" t="inlineStr">
        <is>
          <t>Kab. Tanjung Jabung Timur</t>
        </is>
      </c>
      <c r="C70" t="inlineStr">
        <is>
          <t>085380830458</t>
        </is>
      </c>
      <c r="D70" t="inlineStr">
        <is>
          <t>cvembunjaya@gmail.com</t>
        </is>
      </c>
      <c r="E70" t="inlineStr">
        <is>
          <t>https://lpjk.pu.go.id/search-badan-usaha-detail/elhHWWV3NlZPeXFNTkw4VDdpQlQydz09</t>
        </is>
      </c>
      <c r="F70" t="n">
        <v>1</v>
      </c>
      <c r="G70" t="inlineStr">
        <is>
          <t>BG002</t>
        </is>
      </c>
      <c r="H70" t="inlineStr">
        <is>
          <t>29 Oktober 2001</t>
        </is>
      </c>
      <c r="I70" s="2" t="n">
        <v>46193</v>
      </c>
      <c r="J70" t="inlineStr">
        <is>
          <t>Disetujui</t>
        </is>
      </c>
      <c r="K70" t="n">
        <v>30</v>
      </c>
      <c r="L70" t="inlineStr">
        <is>
          <t>20 Juni 2026</t>
        </is>
      </c>
      <c r="M70" t="inlineStr">
        <is>
          <t>Konstruksi Gedung Perkantoran</t>
        </is>
      </c>
      <c r="N70" t="inlineStr">
        <is>
          <t>K</t>
        </is>
      </c>
      <c r="O70" t="inlineStr">
        <is>
          <t>20230609</t>
        </is>
      </c>
      <c r="P70" t="inlineStr">
        <is>
          <t>Jambi</t>
        </is>
      </c>
      <c r="Q70" s="3">
        <f>HYPERLINK("https://wa.me/6285380830458?text=*[PERINGATAN DARURAT SBU EMBUN JAYA]*%0A%0AYth. Pimpinan EMBUN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1">
      <c r="A71" t="inlineStr">
        <is>
          <t>ERA MUSTIKA GRAHA</t>
        </is>
      </c>
      <c r="B71" t="inlineStr">
        <is>
          <t>Kota Makassar</t>
        </is>
      </c>
      <c r="C71" t="inlineStr">
        <is>
          <t>0411490528</t>
        </is>
      </c>
      <c r="D71" t="inlineStr">
        <is>
          <t>era13@ymail.com</t>
        </is>
      </c>
      <c r="E71" t="inlineStr">
        <is>
          <t>https://lpjk.pu.go.id/search-badan-usaha-detail/NGR4S3g1YUZETUZyeXlFakZ1VUh1Zz09</t>
        </is>
      </c>
      <c r="F71" t="n">
        <v>2</v>
      </c>
      <c r="G71" t="inlineStr">
        <is>
          <t>BG005, BS004</t>
        </is>
      </c>
      <c r="H71" t="inlineStr">
        <is>
          <t>12 April 1999</t>
        </is>
      </c>
      <c r="I71" s="2" t="n">
        <v>46193</v>
      </c>
      <c r="J71" t="inlineStr">
        <is>
          <t>Disetujui</t>
        </is>
      </c>
      <c r="K71" t="n">
        <v>30</v>
      </c>
      <c r="L71" t="inlineStr">
        <is>
          <t>20 Juni 2026</t>
        </is>
      </c>
      <c r="M71" t="inlineStr">
        <is>
          <t>Konstruksi Gedung Kesehatan, Konstruksi Jaringan Irigasi dan Drainase</t>
        </is>
      </c>
      <c r="N71" t="inlineStr">
        <is>
          <t>K</t>
        </is>
      </c>
      <c r="O71" t="inlineStr">
        <is>
          <t>20230613, 20230614</t>
        </is>
      </c>
      <c r="P71" t="inlineStr">
        <is>
          <t>Sulawesi Selatan</t>
        </is>
      </c>
      <c r="Q71" s="3">
        <f>HYPERLINK("https://wa.me/62411490528?text=*[PERINGATAN DARURAT SBU ERA MUSTIKA GRAHA]*%0A%0AYth. Pimpinan ERA MUSTIKA GRAHA,%0AMasa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2">
      <c r="A72" t="inlineStr">
        <is>
          <t>ETIKA SARANA ABADI</t>
        </is>
      </c>
      <c r="B72" t="inlineStr">
        <is>
          <t>Kab. Indramayu</t>
        </is>
      </c>
      <c r="C72" t="inlineStr">
        <is>
          <t>087875121651</t>
        </is>
      </c>
      <c r="D72" t="inlineStr">
        <is>
          <t>etikasaranaabadipt@gmail.com</t>
        </is>
      </c>
      <c r="E72" t="inlineStr">
        <is>
          <t>https://lpjk.pu.go.id/search-badan-usaha-detail/ZHlZTUFwaXRwbmNua2hsaUt5eUtvZz09</t>
        </is>
      </c>
      <c r="F72" t="n">
        <v>1</v>
      </c>
      <c r="G72" t="inlineStr">
        <is>
          <t>BG006</t>
        </is>
      </c>
      <c r="H72" t="inlineStr">
        <is>
          <t>8 Maret 2021</t>
        </is>
      </c>
      <c r="I72" s="2" t="n">
        <v>46193</v>
      </c>
      <c r="J72" t="inlineStr">
        <is>
          <t>Disetujui</t>
        </is>
      </c>
      <c r="K72" t="n">
        <v>30</v>
      </c>
      <c r="L72" t="inlineStr">
        <is>
          <t>20 Juni 2026</t>
        </is>
      </c>
      <c r="M72" t="inlineStr">
        <is>
          <t>Konstruksi Gedung Pendidikan</t>
        </is>
      </c>
      <c r="N72" t="inlineStr">
        <is>
          <t>K</t>
        </is>
      </c>
      <c r="O72" t="inlineStr">
        <is>
          <t>20230618</t>
        </is>
      </c>
      <c r="P72" t="inlineStr">
        <is>
          <t>Jawa Barat</t>
        </is>
      </c>
      <c r="Q72" s="3">
        <f>HYPERLINK("https://wa.me/6287875121651?text=*[PERINGATAN DARURAT SBU ETIKA SARANA ABADI]*%0A%0AYth. Pimpinan ETIKA SARANA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3">
      <c r="A73" t="inlineStr">
        <is>
          <t>FADIA</t>
        </is>
      </c>
      <c r="B73" t="inlineStr">
        <is>
          <t>Kab. Probolinggo</t>
        </is>
      </c>
      <c r="C73" t="inlineStr">
        <is>
          <t>085204849237</t>
        </is>
      </c>
      <c r="D73" t="inlineStr">
        <is>
          <t>cvfadia@gmail.com</t>
        </is>
      </c>
      <c r="E73" t="inlineStr">
        <is>
          <t>https://lpjk.pu.go.id/search-badan-usaha-detail/YThFaVlScFhnR2IvRkdPYzBNUytVdz09</t>
        </is>
      </c>
      <c r="F73" t="n">
        <v>2</v>
      </c>
      <c r="G73" t="inlineStr">
        <is>
          <t>BG009, BS005</t>
        </is>
      </c>
      <c r="H73" t="inlineStr">
        <is>
          <t>31 Mei 2004</t>
        </is>
      </c>
      <c r="I73" s="2" t="n">
        <v>46193</v>
      </c>
      <c r="J73" t="inlineStr">
        <is>
          <t>Disetujui</t>
        </is>
      </c>
      <c r="K73" t="n">
        <v>30</v>
      </c>
      <c r="L73" t="inlineStr">
        <is>
          <t>20 Juni 2026</t>
        </is>
      </c>
      <c r="M73" t="inlineStr">
        <is>
          <t>Konstruksi Bangunan Sipil Pengolahan Air Bersih, Konstruksi Gedung Lainnya</t>
        </is>
      </c>
      <c r="N73" t="inlineStr">
        <is>
          <t>K</t>
        </is>
      </c>
      <c r="O73" t="inlineStr">
        <is>
          <t>20230611</t>
        </is>
      </c>
      <c r="P73" t="inlineStr">
        <is>
          <t>Jawa Timur</t>
        </is>
      </c>
      <c r="Q73" s="3">
        <f>HYPERLINK("https://wa.me/6285204849237?text=*[PERINGATAN DARURAT SBU FADIA]*%0A%0AYth. Pimpinan FADIA,%0AMasa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4">
      <c r="A74" t="inlineStr">
        <is>
          <t>FARIZ JASA CONTRACTORS</t>
        </is>
      </c>
      <c r="B74" t="inlineStr">
        <is>
          <t>Kab. Tanjung Jabung Barat</t>
        </is>
      </c>
      <c r="C74" t="inlineStr">
        <is>
          <t>081278227313</t>
        </is>
      </c>
      <c r="D74" t="inlineStr">
        <is>
          <t>farizjasa2009@gmail.com</t>
        </is>
      </c>
      <c r="E74" t="inlineStr">
        <is>
          <t>https://lpjk.pu.go.id/search-badan-usaha-detail/alhaeHFMSStnN2dVN0UrQnJLRTREdz09</t>
        </is>
      </c>
      <c r="F74" t="n">
        <v>4</v>
      </c>
      <c r="G74" t="inlineStr">
        <is>
          <t>BG005, BG006, BG009, BS001</t>
        </is>
      </c>
      <c r="H74" t="inlineStr">
        <is>
          <t>19 Agustus 2009</t>
        </is>
      </c>
      <c r="I74" s="2" t="n">
        <v>46193</v>
      </c>
      <c r="J74" t="inlineStr">
        <is>
          <t>Disetujui, Pencabutan</t>
        </is>
      </c>
      <c r="K74" t="n">
        <v>30</v>
      </c>
      <c r="L74" t="inlineStr">
        <is>
          <t>20 Juni 2026</t>
        </is>
      </c>
      <c r="M74" t="inlineStr">
        <is>
          <t>Konstruksi Bangunan Sipil Jalan, Konstruksi Gedung Kesehatan, Konstruksi Gedung Lainnya, Konstruksi Gedung Pendidikan</t>
        </is>
      </c>
      <c r="N74" t="inlineStr">
        <is>
          <t>K</t>
        </is>
      </c>
      <c r="O74" t="inlineStr">
        <is>
          <t>20230616</t>
        </is>
      </c>
      <c r="P74" t="inlineStr">
        <is>
          <t>Jambi</t>
        </is>
      </c>
      <c r="Q74" s="3">
        <f>HYPERLINK("https://wa.me/6281278227313?text=*[PERINGATAN DARURAT SBU FARIZ JASA CONTRACTORS]*%0A%0AYth. Pimpinan FARIZ JASA CONTRACTORS,%0AMasa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5">
      <c r="A75" t="inlineStr">
        <is>
          <t>FARSYOS INDAH</t>
        </is>
      </c>
      <c r="B75" t="inlineStr">
        <is>
          <t>Kab. Manokwari</t>
        </is>
      </c>
      <c r="C75" t="inlineStr">
        <is>
          <t>082199277843</t>
        </is>
      </c>
      <c r="D75" t="inlineStr">
        <is>
          <t>farsyosindah23@gmail.com</t>
        </is>
      </c>
      <c r="E75" t="inlineStr">
        <is>
          <t>https://lpjk.pu.go.id/search-badan-usaha-detail/RmdLR0RDUGhFRDRSOHdETTIyNDlTZz09</t>
        </is>
      </c>
      <c r="F75" t="n">
        <v>3</v>
      </c>
      <c r="G75" t="inlineStr">
        <is>
          <t>BG005, BG006, BG009</t>
        </is>
      </c>
      <c r="H75" t="inlineStr">
        <is>
          <t>17 April 2023</t>
        </is>
      </c>
      <c r="I75" s="2" t="n">
        <v>46193</v>
      </c>
      <c r="J75" t="inlineStr">
        <is>
          <t>Pencabutan</t>
        </is>
      </c>
      <c r="K75" t="n">
        <v>30</v>
      </c>
      <c r="L75" t="inlineStr">
        <is>
          <t>20 Juni 2026</t>
        </is>
      </c>
      <c r="M75" t="inlineStr">
        <is>
          <t>Konstruksi Gedung Kesehatan, Konstruksi Gedung Lainnya, Konstruksi Gedung Pendidikan</t>
        </is>
      </c>
      <c r="N75" t="inlineStr">
        <is>
          <t>K</t>
        </is>
      </c>
      <c r="O75" t="inlineStr">
        <is>
          <t>20230608, 20230609</t>
        </is>
      </c>
      <c r="P75" t="inlineStr">
        <is>
          <t>Papua Barat</t>
        </is>
      </c>
      <c r="Q75" s="3">
        <f>HYPERLINK("https://wa.me/6282199277843?text=*[PERINGATAN DARURAT SBU FARSYOS INDAH]*%0A%0AYth. Pimpinan FARSYOS INDAH,%0AMasa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6">
      <c r="A76" t="inlineStr">
        <is>
          <t>FAUZAN INTI LESTARI</t>
        </is>
      </c>
      <c r="B76" t="inlineStr">
        <is>
          <t>Kab. Bandung</t>
        </is>
      </c>
      <c r="C76" t="inlineStr">
        <is>
          <t>087821423167</t>
        </is>
      </c>
      <c r="D76" t="inlineStr">
        <is>
          <t>ridwanrohani@yahoo.co.id</t>
        </is>
      </c>
      <c r="E76" t="inlineStr">
        <is>
          <t>https://lpjk.pu.go.id/search-badan-usaha-detail/Q3FKeERVc0dxWTg1M3R5aVZxQ2xxUT09</t>
        </is>
      </c>
      <c r="F76" t="n">
        <v>2</v>
      </c>
      <c r="G76" t="inlineStr">
        <is>
          <t>BS001</t>
        </is>
      </c>
      <c r="H76" t="inlineStr">
        <is>
          <t>23 Mei 2005</t>
        </is>
      </c>
      <c r="I76" s="2" t="n">
        <v>46193</v>
      </c>
      <c r="J76" t="inlineStr">
        <is>
          <t>Pencabutan</t>
        </is>
      </c>
      <c r="K76" t="n">
        <v>30</v>
      </c>
      <c r="L76" t="inlineStr">
        <is>
          <t>20 Juni 2026</t>
        </is>
      </c>
      <c r="M76" t="inlineStr">
        <is>
          <t>Konstruksi Bangunan Sipil Jalan</t>
        </is>
      </c>
      <c r="N76" t="inlineStr">
        <is>
          <t>K</t>
        </is>
      </c>
      <c r="O76" t="inlineStr">
        <is>
          <t>20230620</t>
        </is>
      </c>
      <c r="P76" t="inlineStr">
        <is>
          <t>Jawa Barat</t>
        </is>
      </c>
      <c r="Q76" s="3">
        <f>HYPERLINK("https://wa.me/6287821423167?text=*[PERINGATAN DARURAT SBU FAUZAN INTI LESTARI]*%0A%0AYth. Pimpinan FAUZAN INTI LESTARI,%0AMasa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7">
      <c r="A77" t="inlineStr">
        <is>
          <t>FIKRI PRIMA PERKASA</t>
        </is>
      </c>
      <c r="B77" t="inlineStr">
        <is>
          <t>Kab. Sukabumi</t>
        </is>
      </c>
      <c r="C77" t="inlineStr">
        <is>
          <t>085793928539</t>
        </is>
      </c>
      <c r="D77" t="inlineStr">
        <is>
          <t>fikriprimaperkasa@gmail.com</t>
        </is>
      </c>
      <c r="E77" t="inlineStr">
        <is>
          <t>https://lpjk.pu.go.id/search-badan-usaha-detail/eTFEMVVpN1c0d3hHZXA4Rlp3WEkyUT09</t>
        </is>
      </c>
      <c r="F77" t="n">
        <v>3</v>
      </c>
      <c r="G77" t="inlineStr">
        <is>
          <t>BG008, BG009, BS001</t>
        </is>
      </c>
      <c r="H77" t="inlineStr">
        <is>
          <t>30 Januari 2020</t>
        </is>
      </c>
      <c r="I77" s="2" t="n">
        <v>46193</v>
      </c>
      <c r="J77" t="inlineStr">
        <is>
          <t>Pencabutan</t>
        </is>
      </c>
      <c r="K77" t="n">
        <v>30</v>
      </c>
      <c r="L77" t="inlineStr">
        <is>
          <t>20 Juni 2026</t>
        </is>
      </c>
      <c r="M77" t="inlineStr">
        <is>
          <t>Konstruksi Bangunan Sipil Jalan, Konstruksi Gedung Lainnya, Konstruksi Gedung Tempat Hiburan dan Olahraga</t>
        </is>
      </c>
      <c r="N77" t="inlineStr">
        <is>
          <t>K</t>
        </is>
      </c>
      <c r="O77" t="inlineStr">
        <is>
          <t>20230615</t>
        </is>
      </c>
      <c r="P77" t="inlineStr">
        <is>
          <t>Jawa Barat</t>
        </is>
      </c>
      <c r="Q77" s="3">
        <f>HYPERLINK("https://wa.me/6285793928539?text=*[PERINGATAN DARURAT SBU FIKRI PRIMA PERKASA]*%0A%0AYth. Pimpinan FIKRI PRIMA PERKASA,%0AMasa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8">
      <c r="A78" t="inlineStr">
        <is>
          <t>FITRIAH ALADIN</t>
        </is>
      </c>
      <c r="B78" t="inlineStr">
        <is>
          <t>Kab. Pasuruan</t>
        </is>
      </c>
      <c r="C78" t="inlineStr">
        <is>
          <t>081233024338</t>
        </is>
      </c>
      <c r="D78" t="inlineStr">
        <is>
          <t>fitriahaladin@gmail.com</t>
        </is>
      </c>
      <c r="E78" t="inlineStr">
        <is>
          <t>https://lpjk.pu.go.id/search-badan-usaha-detail/R0h2cXVhVDk3anJFbjRONkx5Nnh1dz09</t>
        </is>
      </c>
      <c r="F78" t="n">
        <v>2</v>
      </c>
      <c r="G78" t="inlineStr">
        <is>
          <t>BG005</t>
        </is>
      </c>
      <c r="H78" t="inlineStr">
        <is>
          <t>12 Januari 2006</t>
        </is>
      </c>
      <c r="I78" s="2" t="n">
        <v>46193</v>
      </c>
      <c r="J78" t="inlineStr">
        <is>
          <t>Disetujui</t>
        </is>
      </c>
      <c r="K78" t="n">
        <v>30</v>
      </c>
      <c r="L78" t="inlineStr">
        <is>
          <t>20 Juni 2026</t>
        </is>
      </c>
      <c r="M78" t="inlineStr">
        <is>
          <t>Konstruksi Gedung Kesehatan</t>
        </is>
      </c>
      <c r="N78" t="inlineStr">
        <is>
          <t>K</t>
        </is>
      </c>
      <c r="O78" t="inlineStr">
        <is>
          <t>20230620</t>
        </is>
      </c>
      <c r="P78" t="inlineStr">
        <is>
          <t>Jawa Timur</t>
        </is>
      </c>
      <c r="Q78" s="3">
        <f>HYPERLINK("https://wa.me/6281233024338?text=*[PERINGATAN DARURAT SBU FITRIAH ALADIN]*%0A%0AYth. Pimpinan FITRIAH ALADIN,%0AMasa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79">
      <c r="A79" t="inlineStr">
        <is>
          <t>GANENDRA DIRANDRA</t>
        </is>
      </c>
      <c r="B79" t="inlineStr">
        <is>
          <t>Kab. Indramayu</t>
        </is>
      </c>
      <c r="C79" t="inlineStr">
        <is>
          <t>08386865691</t>
        </is>
      </c>
      <c r="D79" t="inlineStr">
        <is>
          <t>ganendradirandra@gmail.com</t>
        </is>
      </c>
      <c r="E79" t="inlineStr">
        <is>
          <t>https://lpjk.pu.go.id/search-badan-usaha-detail/Y2Z4alFiSldCY2Evem42OWRhUWhxQT09</t>
        </is>
      </c>
      <c r="F79" t="n">
        <v>3</v>
      </c>
      <c r="G79" t="inlineStr">
        <is>
          <t>BS001, BS004, BS005</t>
        </is>
      </c>
      <c r="H79" t="inlineStr">
        <is>
          <t>4 April 2023</t>
        </is>
      </c>
      <c r="I79" s="2" t="n">
        <v>46193</v>
      </c>
      <c r="J79" t="inlineStr">
        <is>
          <t>Disetujui</t>
        </is>
      </c>
      <c r="K79" t="n">
        <v>30</v>
      </c>
      <c r="L79" t="inlineStr">
        <is>
          <t>20 Juni 2026</t>
        </is>
      </c>
      <c r="M79" t="inlineStr">
        <is>
          <t>Konstruksi Bangunan Sipil Jalan, Konstruksi Bangunan Sipil Pengolahan Air Bersih, Konstruksi Jaringan Irigasi dan Drainase</t>
        </is>
      </c>
      <c r="N79" t="inlineStr">
        <is>
          <t>K</t>
        </is>
      </c>
      <c r="O79" t="inlineStr">
        <is>
          <t>20230621</t>
        </is>
      </c>
      <c r="P79" t="inlineStr">
        <is>
          <t>Jawa Barat</t>
        </is>
      </c>
      <c r="Q79" s="3">
        <f>HYPERLINK("https://wa.me/628386865691?text=*[PERINGATAN DARURAT SBU GANENDRA DIRANDRA]*%0A%0AYth. Pimpinan GANENDRA DIRANDRA,%0AMasa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0">
      <c r="A80" t="inlineStr">
        <is>
          <t>GARUDA KONSTRUKSI</t>
        </is>
      </c>
      <c r="B80" t="inlineStr">
        <is>
          <t>Kab. Kapuas Hulu</t>
        </is>
      </c>
      <c r="C80" t="inlineStr">
        <is>
          <t>081345140952</t>
        </is>
      </c>
      <c r="D80" t="inlineStr">
        <is>
          <t>cv.garudakonstruksi@gmail.com</t>
        </is>
      </c>
      <c r="E80" t="inlineStr">
        <is>
          <t>https://lpjk.pu.go.id/search-badan-usaha-detail/bTZPTk0vVTYvSnFZRDNhMk1hUHVNUT09</t>
        </is>
      </c>
      <c r="F80" t="n">
        <v>1</v>
      </c>
      <c r="G80" t="inlineStr">
        <is>
          <t>BS002</t>
        </is>
      </c>
      <c r="H80" t="inlineStr">
        <is>
          <t>22 Januari 2016</t>
        </is>
      </c>
      <c r="I80" s="2" t="n">
        <v>46193</v>
      </c>
      <c r="J80" t="inlineStr">
        <is>
          <t>Disetujui</t>
        </is>
      </c>
      <c r="K80" t="n">
        <v>30</v>
      </c>
      <c r="L80" t="inlineStr">
        <is>
          <t>20 Juni 2026</t>
        </is>
      </c>
      <c r="M80" t="inlineStr">
        <is>
          <t>Bangunan Sipil Jembatan, Jalan Layang, Fly Over, dan Underpass</t>
        </is>
      </c>
      <c r="N80" t="inlineStr">
        <is>
          <t>K</t>
        </is>
      </c>
      <c r="O80" t="inlineStr">
        <is>
          <t>20230611</t>
        </is>
      </c>
      <c r="P80" t="inlineStr">
        <is>
          <t>Kalimantan Barat</t>
        </is>
      </c>
      <c r="Q80" s="3">
        <f>HYPERLINK("https://wa.me/6281345140952?text=*[PERINGATAN DARURAT SBU GARUDA KONSTRUKSI]*%0A%0AYth. Pimpinan GARUDA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1">
      <c r="A81" t="inlineStr">
        <is>
          <t>GARUDA PUTRA GROUP</t>
        </is>
      </c>
      <c r="B81" t="inlineStr">
        <is>
          <t>Kab. Aceh Barat</t>
        </is>
      </c>
      <c r="C81" t="inlineStr">
        <is>
          <t>0811680798</t>
        </is>
      </c>
      <c r="D81" t="inlineStr">
        <is>
          <t>garuda.putragroup@yahoo.com</t>
        </is>
      </c>
      <c r="E81" t="inlineStr">
        <is>
          <t>https://lpjk.pu.go.id/search-badan-usaha-detail/NHVUV0V1RXVXamcrRnhyVXd5THh0UT09</t>
        </is>
      </c>
      <c r="F81" t="n">
        <v>5</v>
      </c>
      <c r="G81" t="inlineStr">
        <is>
          <t>BG001, BG005, BG006, BG009, BS001</t>
        </is>
      </c>
      <c r="H81" t="inlineStr">
        <is>
          <t>19 Desember 1996</t>
        </is>
      </c>
      <c r="I81" s="2" t="n">
        <v>46193</v>
      </c>
      <c r="J81" t="inlineStr">
        <is>
          <t>Disetujui</t>
        </is>
      </c>
      <c r="K81" t="n">
        <v>30</v>
      </c>
      <c r="L81" t="inlineStr">
        <is>
          <t>20 Juni 2026</t>
        </is>
      </c>
      <c r="M81" t="inlineStr">
        <is>
          <t>Konstruksi Bangunan Sipil Jalan, Konstruksi Gedung Hunian, Konstruksi Gedung Kesehatan, Konstruksi Gedung Lainnya, Konstruksi Gedung Pendidikan</t>
        </is>
      </c>
      <c r="N81" t="inlineStr">
        <is>
          <t>K</t>
        </is>
      </c>
      <c r="O81" t="inlineStr">
        <is>
          <t>20230613, 20230615</t>
        </is>
      </c>
      <c r="P81" t="inlineStr">
        <is>
          <t>Aceh</t>
        </is>
      </c>
      <c r="Q81" s="3">
        <f>HYPERLINK("https://wa.me/62811680798?text=*[PERINGATAN DARURAT SBU GARUDA PUTRA GROUP]*%0A%0AYth. Pimpinan GARUDA PUTRA GROUP,%0AMasa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2">
      <c r="A82" t="inlineStr">
        <is>
          <t>GELORA JAYA</t>
        </is>
      </c>
      <c r="B82" t="inlineStr">
        <is>
          <t>Kab. Sanggau</t>
        </is>
      </c>
      <c r="C82" t="inlineStr">
        <is>
          <t>085751700688</t>
        </is>
      </c>
      <c r="D82" t="inlineStr">
        <is>
          <t>gelora_jaya88@yahoo.com</t>
        </is>
      </c>
      <c r="E82" t="inlineStr">
        <is>
          <t>https://lpjk.pu.go.id/search-badan-usaha-detail/YXFURXJWZDVNMHZIK1FMZmdUK2RZZz09</t>
        </is>
      </c>
      <c r="F82" t="n">
        <v>3</v>
      </c>
      <c r="G82" t="inlineStr">
        <is>
          <t>BG002, BG005, BG006</t>
        </is>
      </c>
      <c r="H82" t="inlineStr">
        <is>
          <t>4 Mei 1984</t>
        </is>
      </c>
      <c r="I82" s="2" t="n">
        <v>46193</v>
      </c>
      <c r="J82" t="inlineStr">
        <is>
          <t>Disetujui</t>
        </is>
      </c>
      <c r="K82" t="n">
        <v>30</v>
      </c>
      <c r="L82" t="inlineStr">
        <is>
          <t>20 Juni 2026</t>
        </is>
      </c>
      <c r="M82" t="inlineStr">
        <is>
          <t>Konstruksi Gedung Kesehatan, Konstruksi Gedung Pendidikan, Konstruksi Gedung Perkantoran</t>
        </is>
      </c>
      <c r="N82" t="inlineStr">
        <is>
          <t>K</t>
        </is>
      </c>
      <c r="O82" t="inlineStr">
        <is>
          <t>20230616</t>
        </is>
      </c>
      <c r="P82" t="inlineStr">
        <is>
          <t>Kalimantan Barat</t>
        </is>
      </c>
      <c r="Q82" s="3">
        <f>HYPERLINK("https://wa.me/6285751700688?text=*[PERINGATAN DARURAT SBU GELORA JAYA]*%0A%0AYth. Pimpinan GELORA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3">
      <c r="A83" t="inlineStr">
        <is>
          <t>GIA HUTAMA MANDIRI</t>
        </is>
      </c>
      <c r="B83" t="inlineStr">
        <is>
          <t>Kota Adm. Jakarta Utara</t>
        </is>
      </c>
      <c r="C83" t="inlineStr">
        <is>
          <t>081282772777</t>
        </is>
      </c>
      <c r="D83" t="inlineStr">
        <is>
          <t>ptgiahutamamandiri@gmail.com</t>
        </is>
      </c>
      <c r="E83" t="inlineStr">
        <is>
          <t>https://lpjk.pu.go.id/search-badan-usaha-detail/SUYwZGRIK2dVOFJCTkhDQ1RGZ3dSQT09</t>
        </is>
      </c>
      <c r="F83" t="n">
        <v>1</v>
      </c>
      <c r="G83" t="inlineStr">
        <is>
          <t>BS016</t>
        </is>
      </c>
      <c r="H83" t="inlineStr">
        <is>
          <t>4 April 2022</t>
        </is>
      </c>
      <c r="I83" s="2" t="n">
        <v>46193</v>
      </c>
      <c r="J83" t="inlineStr">
        <is>
          <t>Disetujui</t>
        </is>
      </c>
      <c r="K83" t="n">
        <v>30</v>
      </c>
      <c r="L83" t="inlineStr">
        <is>
          <t>20 Juni 2026</t>
        </is>
      </c>
      <c r="M83" t="inlineStr">
        <is>
          <t>Konstruksi Bangunan Sipil Fasilitas Olah Raga</t>
        </is>
      </c>
      <c r="N83" t="inlineStr">
        <is>
          <t>K</t>
        </is>
      </c>
      <c r="O83" t="inlineStr">
        <is>
          <t>20230614</t>
        </is>
      </c>
      <c r="P83" t="inlineStr">
        <is>
          <t>DKI Jakarta</t>
        </is>
      </c>
      <c r="Q83" s="3">
        <f>HYPERLINK("https://wa.me/6281282772777?text=*[PERINGATAN DARURAT SBU GIA HUTAMA MANDIRI]*%0A%0AYth. Pimpinan GIA HUTAMA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4">
      <c r="A84" t="inlineStr">
        <is>
          <t>GOLDEN MANDIRI GLOBAL</t>
        </is>
      </c>
      <c r="B84" t="inlineStr">
        <is>
          <t>Kota Medan</t>
        </is>
      </c>
      <c r="C84" t="inlineStr">
        <is>
          <t>082368499990</t>
        </is>
      </c>
      <c r="D84" t="inlineStr">
        <is>
          <t>goldenmandiri11@yahoo.com</t>
        </is>
      </c>
      <c r="E84" t="inlineStr">
        <is>
          <t>https://lpjk.pu.go.id/search-badan-usaha-detail/bUlPUjY1cmE1V1FmaHBXYmxTcU1aUT09</t>
        </is>
      </c>
      <c r="F84" t="n">
        <v>2</v>
      </c>
      <c r="G84" t="inlineStr">
        <is>
          <t>BG001</t>
        </is>
      </c>
      <c r="H84" t="inlineStr">
        <is>
          <t>25 April 2014</t>
        </is>
      </c>
      <c r="I84" s="2" t="n">
        <v>46193</v>
      </c>
      <c r="J84" t="inlineStr">
        <is>
          <t>Pencabutan</t>
        </is>
      </c>
      <c r="K84" t="n">
        <v>30</v>
      </c>
      <c r="L84" t="inlineStr">
        <is>
          <t>20 Juni 2026</t>
        </is>
      </c>
      <c r="M84" t="inlineStr">
        <is>
          <t>Konstruksi Gedung Hunian</t>
        </is>
      </c>
      <c r="N84" t="inlineStr">
        <is>
          <t>K</t>
        </is>
      </c>
      <c r="O84" t="inlineStr">
        <is>
          <t>20230620</t>
        </is>
      </c>
      <c r="P84" t="inlineStr">
        <is>
          <t>Sumatera Utara</t>
        </is>
      </c>
      <c r="Q84" s="3">
        <f>HYPERLINK("https://wa.me/6282368499990?text=*[PERINGATAN DARURAT SBU GOLDEN MANDIRI GLOBAL]*%0A%0AYth. Pimpinan GOLDEN MANDIRI GLOBAL,%0AMasa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5">
      <c r="A85" t="inlineStr">
        <is>
          <t>GUNTUR GEMILANG PUTRA</t>
        </is>
      </c>
      <c r="B85" t="inlineStr">
        <is>
          <t>Kab. Cianjur</t>
        </is>
      </c>
      <c r="C85" t="inlineStr">
        <is>
          <t>081322815288</t>
        </is>
      </c>
      <c r="D85" t="inlineStr">
        <is>
          <t>gunturgemilangputra@gmail.com</t>
        </is>
      </c>
      <c r="E85" t="inlineStr">
        <is>
          <t>https://lpjk.pu.go.id/search-badan-usaha-detail/QzF5bjA4MU9mUjNoVkMvcHpKTEJBdz09</t>
        </is>
      </c>
      <c r="F85" t="n">
        <v>1</v>
      </c>
      <c r="G85" t="inlineStr">
        <is>
          <t>BS004</t>
        </is>
      </c>
      <c r="H85" t="inlineStr">
        <is>
          <t>29 Desember 2011</t>
        </is>
      </c>
      <c r="I85" s="2" t="n">
        <v>46193</v>
      </c>
      <c r="J85" t="inlineStr">
        <is>
          <t>Disetujui</t>
        </is>
      </c>
      <c r="K85" t="n">
        <v>30</v>
      </c>
      <c r="L85" t="inlineStr">
        <is>
          <t>20 Juni 2026</t>
        </is>
      </c>
      <c r="M85" t="inlineStr">
        <is>
          <t>Konstruksi Jaringan Irigasi dan Drainase</t>
        </is>
      </c>
      <c r="N85" t="inlineStr">
        <is>
          <t>K</t>
        </is>
      </c>
      <c r="O85" t="inlineStr">
        <is>
          <t>20230619</t>
        </is>
      </c>
      <c r="P85" t="inlineStr">
        <is>
          <t>Jawa Barat</t>
        </is>
      </c>
      <c r="Q85" s="3">
        <f>HYPERLINK("https://wa.me/6281322815288?text=*[PERINGATAN DARURAT SBU GUNTUR GEMILANG PUTRA]*%0A%0AYth. Pimpinan GUNTUR GEMILANG PUTRA,%0AMasa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6">
      <c r="A86" t="inlineStr">
        <is>
          <t>HADIYAH</t>
        </is>
      </c>
      <c r="B86" t="inlineStr">
        <is>
          <t>Kota Surabaya</t>
        </is>
      </c>
      <c r="C86" t="inlineStr">
        <is>
          <t>081333786909</t>
        </is>
      </c>
      <c r="D86" t="inlineStr">
        <is>
          <t>hadiyah.cv123@gmail.com</t>
        </is>
      </c>
      <c r="E86" t="inlineStr">
        <is>
          <t>https://lpjk.pu.go.id/search-badan-usaha-detail/aTI2Nzh1bHQxa00zMWNXUWpSMkI3UT09</t>
        </is>
      </c>
      <c r="F86" t="n">
        <v>1</v>
      </c>
      <c r="G86" t="inlineStr">
        <is>
          <t>BG001</t>
        </is>
      </c>
      <c r="H86" t="inlineStr">
        <is>
          <t>11 Februari 2010</t>
        </is>
      </c>
      <c r="I86" s="2" t="n">
        <v>46193</v>
      </c>
      <c r="J86" t="inlineStr">
        <is>
          <t>Disetujui</t>
        </is>
      </c>
      <c r="K86" t="n">
        <v>30</v>
      </c>
      <c r="L86" t="inlineStr">
        <is>
          <t>20 Juni 2026</t>
        </is>
      </c>
      <c r="M86" t="inlineStr">
        <is>
          <t>Konstruksi Gedung Hunian</t>
        </is>
      </c>
      <c r="N86" t="inlineStr">
        <is>
          <t>K</t>
        </is>
      </c>
      <c r="O86" t="inlineStr">
        <is>
          <t>20230619</t>
        </is>
      </c>
      <c r="P86" t="inlineStr">
        <is>
          <t>Jawa Timur</t>
        </is>
      </c>
      <c r="Q86" s="3">
        <f>HYPERLINK("https://wa.me/6281333786909?text=*[PERINGATAN DARURAT SBU HADIYAH]*%0A%0AYth. Pimpinan HADIYAH,%0AMasa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7">
      <c r="A87" t="inlineStr">
        <is>
          <t>HAKARINDO BERSAUDARA</t>
        </is>
      </c>
      <c r="B87" t="inlineStr">
        <is>
          <t>Kab. Banjar</t>
        </is>
      </c>
      <c r="C87" t="inlineStr">
        <is>
          <t>08115035799</t>
        </is>
      </c>
      <c r="D87" t="inlineStr">
        <is>
          <t>norhayati.nunu97@gmail.com</t>
        </is>
      </c>
      <c r="E87" t="inlineStr">
        <is>
          <t>https://lpjk.pu.go.id/search-badan-usaha-detail/ZDV6UzNLNVowWE1RSnhWUjhFQklzUT09</t>
        </is>
      </c>
      <c r="F87" t="n">
        <v>1</v>
      </c>
      <c r="G87" t="inlineStr">
        <is>
          <t>BS004</t>
        </is>
      </c>
      <c r="H87" t="inlineStr">
        <is>
          <t>19 Mei 2011</t>
        </is>
      </c>
      <c r="I87" s="2" t="n">
        <v>46193</v>
      </c>
      <c r="J87" t="inlineStr">
        <is>
          <t>Disetujui</t>
        </is>
      </c>
      <c r="K87" t="n">
        <v>30</v>
      </c>
      <c r="L87" t="inlineStr">
        <is>
          <t>20 Juni 2026</t>
        </is>
      </c>
      <c r="M87" t="inlineStr">
        <is>
          <t>Konstruksi Jaringan Irigasi dan Drainase</t>
        </is>
      </c>
      <c r="N87" t="inlineStr">
        <is>
          <t>K</t>
        </is>
      </c>
      <c r="O87" t="inlineStr">
        <is>
          <t>20230620</t>
        </is>
      </c>
      <c r="P87" t="inlineStr">
        <is>
          <t>Kalimantan Selatan</t>
        </is>
      </c>
      <c r="Q87" s="3">
        <f>HYPERLINK("https://wa.me/628115035799?text=*[PERINGATAN DARURAT SBU HAKARINDO BERSAUDARA]*%0A%0AYth. Pimpinan HAKARINDO BERSAUDARA,%0AMasa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8">
      <c r="A88" t="inlineStr">
        <is>
          <t>HANIF</t>
        </is>
      </c>
      <c r="B88" t="inlineStr">
        <is>
          <t>Kota Sawahlunto</t>
        </is>
      </c>
      <c r="C88" t="inlineStr">
        <is>
          <t>081363377199</t>
        </is>
      </c>
      <c r="D88" t="inlineStr">
        <is>
          <t>hanif.konstruksi@gmail.com</t>
        </is>
      </c>
      <c r="E88" t="inlineStr">
        <is>
          <t>https://lpjk.pu.go.id/search-badan-usaha-detail/dUQrb2NYeVNXTzVCSWx4WWZJeVFmdz09</t>
        </is>
      </c>
      <c r="F88" t="n">
        <v>2</v>
      </c>
      <c r="G88" t="inlineStr">
        <is>
          <t>BG009</t>
        </is>
      </c>
      <c r="H88" t="inlineStr">
        <is>
          <t>18 Oktober 2011</t>
        </is>
      </c>
      <c r="I88" s="2" t="n">
        <v>46193</v>
      </c>
      <c r="J88" t="inlineStr">
        <is>
          <t>Disetujui</t>
        </is>
      </c>
      <c r="K88" t="n">
        <v>30</v>
      </c>
      <c r="L88" t="inlineStr">
        <is>
          <t>20 Juni 2026</t>
        </is>
      </c>
      <c r="M88" t="inlineStr">
        <is>
          <t>Konstruksi Gedung Lainnya</t>
        </is>
      </c>
      <c r="N88" t="inlineStr">
        <is>
          <t>K</t>
        </is>
      </c>
      <c r="O88" t="inlineStr">
        <is>
          <t>20230614</t>
        </is>
      </c>
      <c r="P88" t="inlineStr">
        <is>
          <t>Sumatera Barat</t>
        </is>
      </c>
      <c r="Q88" s="3">
        <f>HYPERLINK("https://wa.me/6281363377199?text=*[PERINGATAN DARURAT SBU HANIF]*%0A%0AYth. Pimpinan HANIF,%0AMasa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89">
      <c r="A89" t="inlineStr">
        <is>
          <t>HARMONI KARYA</t>
        </is>
      </c>
      <c r="B89" t="inlineStr">
        <is>
          <t>Kota Sukabumi</t>
        </is>
      </c>
      <c r="C89" t="inlineStr">
        <is>
          <t>081563770269</t>
        </is>
      </c>
      <c r="D89" t="inlineStr">
        <is>
          <t>cv.harmonikarya@gmail.com</t>
        </is>
      </c>
      <c r="E89" t="inlineStr">
        <is>
          <t>https://lpjk.pu.go.id/search-badan-usaha-detail/QWIxVGYwamRhUGpiNDE4WEZsTUprdz09</t>
        </is>
      </c>
      <c r="F89" t="n">
        <v>1</v>
      </c>
      <c r="G89" t="inlineStr">
        <is>
          <t>RK001</t>
        </is>
      </c>
      <c r="H89" t="inlineStr">
        <is>
          <t>3 Mei 2013</t>
        </is>
      </c>
      <c r="I89" s="2" t="n">
        <v>46193</v>
      </c>
      <c r="J89" t="inlineStr">
        <is>
          <t>Disetujui</t>
        </is>
      </c>
      <c r="K89" t="n">
        <v>30</v>
      </c>
      <c r="L89" t="inlineStr">
        <is>
          <t>20 Juni 2026</t>
        </is>
      </c>
      <c r="M89" t="inlineStr">
        <is>
          <t>Jasa Rekayasa Konstruksi Bangunan Gedung Hunian dan Non Hunian</t>
        </is>
      </c>
      <c r="N89" t="inlineStr">
        <is>
          <t>K</t>
        </is>
      </c>
      <c r="O89" t="inlineStr">
        <is>
          <t>20230608</t>
        </is>
      </c>
      <c r="P89" t="inlineStr">
        <is>
          <t>Jawa Barat</t>
        </is>
      </c>
      <c r="Q89" s="3">
        <f>HYPERLINK("https://wa.me/6281563770269?text=*[PERINGATAN DARURAT SBU HARMONI KARYA]*%0A%0AYth. Pimpinan HARMONI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0">
      <c r="A90" t="inlineStr">
        <is>
          <t>HUTAMA KARYA KONSTRUKSI</t>
        </is>
      </c>
      <c r="B90" t="inlineStr">
        <is>
          <t>Kab. Kayong Utara</t>
        </is>
      </c>
      <c r="C90" t="inlineStr">
        <is>
          <t>081258245062</t>
        </is>
      </c>
      <c r="D90" t="inlineStr">
        <is>
          <t>hutamakarya2023konstruksi@gmail.com</t>
        </is>
      </c>
      <c r="E90" t="inlineStr">
        <is>
          <t>https://lpjk.pu.go.id/search-badan-usaha-detail/RTdVcE9VQ3RlMnhSdGFldUVCZFBXUT09</t>
        </is>
      </c>
      <c r="F90" t="n">
        <v>2</v>
      </c>
      <c r="G90" t="inlineStr">
        <is>
          <t>BG006</t>
        </is>
      </c>
      <c r="H90" t="inlineStr">
        <is>
          <t>18 April 2023</t>
        </is>
      </c>
      <c r="I90" s="2" t="n">
        <v>46193</v>
      </c>
      <c r="J90" t="inlineStr">
        <is>
          <t>Disetujui</t>
        </is>
      </c>
      <c r="K90" t="n">
        <v>30</v>
      </c>
      <c r="L90" t="inlineStr">
        <is>
          <t>20 Juni 2026</t>
        </is>
      </c>
      <c r="M90" t="inlineStr">
        <is>
          <t>Konstruksi Gedung Pendidikan</t>
        </is>
      </c>
      <c r="N90" t="inlineStr">
        <is>
          <t>K</t>
        </is>
      </c>
      <c r="O90" t="inlineStr">
        <is>
          <t>20230619</t>
        </is>
      </c>
      <c r="P90" t="inlineStr">
        <is>
          <t>Kalimantan Barat</t>
        </is>
      </c>
      <c r="Q90" s="3">
        <f>HYPERLINK("https://wa.me/6281258245062?text=*[PERINGATAN DARURAT SBU HUTAMA KARYA KONSTRUKSI]*%0A%0AYth. Pimpinan HUTAMA KARYA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1">
      <c r="A91" t="inlineStr">
        <is>
          <t>INDAH MULTI NIAGA</t>
        </is>
      </c>
      <c r="B91" t="inlineStr">
        <is>
          <t>Kab. Kupang</t>
        </is>
      </c>
      <c r="C91" t="inlineStr">
        <is>
          <t>081353410129</t>
        </is>
      </c>
      <c r="D91" t="inlineStr">
        <is>
          <t>indahmultiniaga.cv@gmail.com</t>
        </is>
      </c>
      <c r="E91" t="inlineStr">
        <is>
          <t>https://lpjk.pu.go.id/search-badan-usaha-detail/SFpkNHF4Qk1ZYUZYU3BUNHU0bHVVQT09</t>
        </is>
      </c>
      <c r="F91" t="n">
        <v>2</v>
      </c>
      <c r="G91" t="inlineStr">
        <is>
          <t>BG005, BG006</t>
        </is>
      </c>
      <c r="H91" t="inlineStr">
        <is>
          <t>29 November 2022</t>
        </is>
      </c>
      <c r="I91" s="2" t="n">
        <v>46193</v>
      </c>
      <c r="J91" t="inlineStr">
        <is>
          <t>Pencabutan</t>
        </is>
      </c>
      <c r="K91" t="n">
        <v>30</v>
      </c>
      <c r="L91" t="inlineStr">
        <is>
          <t>20 Juni 2026</t>
        </is>
      </c>
      <c r="M91" t="inlineStr">
        <is>
          <t>Konstruksi Gedung Kesehatan, Konstruksi Gedung Pendidikan</t>
        </is>
      </c>
      <c r="N91" t="inlineStr">
        <is>
          <t>K</t>
        </is>
      </c>
      <c r="O91" t="inlineStr">
        <is>
          <t>20230620</t>
        </is>
      </c>
      <c r="P91" t="inlineStr">
        <is>
          <t>Nusa Tenggara Timur</t>
        </is>
      </c>
      <c r="Q91" s="3">
        <f>HYPERLINK("https://wa.me/6281353410129?text=*[PERINGATAN DARURAT SBU INDAH MULTI NIAGA]*%0A%0AYth. Pimpinan INDAH MULTI NIAGA,%0AMasa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2">
      <c r="A92" t="inlineStr">
        <is>
          <t>INDEPMOR</t>
        </is>
      </c>
      <c r="B92" t="inlineStr">
        <is>
          <t>Kab. Manokwari</t>
        </is>
      </c>
      <c r="C92" t="inlineStr">
        <is>
          <t>082199277843</t>
        </is>
      </c>
      <c r="D92" t="inlineStr">
        <is>
          <t>indepmorr@gmail.com</t>
        </is>
      </c>
      <c r="E92" t="inlineStr">
        <is>
          <t>https://lpjk.pu.go.id/search-badan-usaha-detail/Q3RYb1gvV3dBbHlLZWxmZ0t6K3ZWZz09</t>
        </is>
      </c>
      <c r="F92" t="n">
        <v>4</v>
      </c>
      <c r="G92" t="inlineStr">
        <is>
          <t>BG001, BG005, BG006, BG009</t>
        </is>
      </c>
      <c r="H92" t="inlineStr">
        <is>
          <t>3 Mei 2023</t>
        </is>
      </c>
      <c r="I92" s="2" t="n">
        <v>46193</v>
      </c>
      <c r="J92" t="inlineStr">
        <is>
          <t>Pencabutan</t>
        </is>
      </c>
      <c r="K92" t="n">
        <v>30</v>
      </c>
      <c r="L92" t="inlineStr">
        <is>
          <t>20 Juni 2026</t>
        </is>
      </c>
      <c r="M92" t="inlineStr">
        <is>
          <t>Konstruksi Gedung Hunian, Konstruksi Gedung Kesehatan, Konstruksi Gedung Lainnya, Konstruksi Gedung Pendidikan</t>
        </is>
      </c>
      <c r="N92" t="inlineStr">
        <is>
          <t>K</t>
        </is>
      </c>
      <c r="O92" t="inlineStr">
        <is>
          <t>20230608, 20230612</t>
        </is>
      </c>
      <c r="P92" t="inlineStr">
        <is>
          <t>Papua Barat</t>
        </is>
      </c>
      <c r="Q92" s="3">
        <f>HYPERLINK("https://wa.me/6282199277843?text=*[PERINGATAN DARURAT SBU INDEPMOR]*%0A%0AYth. Pimpinan INDEPMOR,%0AMasa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3">
      <c r="A93" t="inlineStr">
        <is>
          <t>INTAN RATU MAKMUR</t>
        </is>
      </c>
      <c r="B93" t="inlineStr">
        <is>
          <t>Kota Bandar Lampung</t>
        </is>
      </c>
      <c r="C93" t="inlineStr">
        <is>
          <t>088268119099</t>
        </is>
      </c>
      <c r="D93" t="inlineStr">
        <is>
          <t>pt_intanratumakmur@yahoo.co.id</t>
        </is>
      </c>
      <c r="E93" t="inlineStr">
        <is>
          <t>https://lpjk.pu.go.id/search-badan-usaha-detail/dVFCVHc5YmR3UzYvTDY1Y1VEdUEyQT09</t>
        </is>
      </c>
      <c r="F93" t="n">
        <v>3</v>
      </c>
      <c r="G93" t="inlineStr">
        <is>
          <t>BG001, BG002, BG009</t>
        </is>
      </c>
      <c r="H93" t="inlineStr">
        <is>
          <t>24 Januari 2014</t>
        </is>
      </c>
      <c r="I93" s="2" t="n">
        <v>46193</v>
      </c>
      <c r="J93" t="inlineStr">
        <is>
          <t>Disetujui</t>
        </is>
      </c>
      <c r="K93" t="n">
        <v>30</v>
      </c>
      <c r="L93" t="inlineStr">
        <is>
          <t>20 Juni 2026</t>
        </is>
      </c>
      <c r="M93" t="inlineStr">
        <is>
          <t>Konstruksi Gedung Hunian, Konstruksi Gedung Lainnya, Konstruksi Gedung Perkantoran</t>
        </is>
      </c>
      <c r="N93" t="inlineStr">
        <is>
          <t>K</t>
        </is>
      </c>
      <c r="O93" t="inlineStr">
        <is>
          <t>20230531, 20230619</t>
        </is>
      </c>
      <c r="P93" t="inlineStr">
        <is>
          <t>Lampung</t>
        </is>
      </c>
      <c r="Q93" s="3">
        <f>HYPERLINK("https://wa.me/6288268119099?text=*[PERINGATAN DARURAT SBU INTAN RATU MAKMUR]*%0A%0AYth. Pimpinan INTAN RATU MAKMUR,%0AMasa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4">
      <c r="A94" t="inlineStr">
        <is>
          <t>INTI CIPTA KONSTRUKSI</t>
        </is>
      </c>
      <c r="B94" t="inlineStr">
        <is>
          <t>Kab. Sukoharjo</t>
        </is>
      </c>
      <c r="C94" t="inlineStr">
        <is>
          <t>082372360445</t>
        </is>
      </c>
      <c r="D94" t="inlineStr">
        <is>
          <t>ekojokoparyanto@gmail.com</t>
        </is>
      </c>
      <c r="E94" t="inlineStr">
        <is>
          <t>https://lpjk.pu.go.id/search-badan-usaha-detail/ajZpd2V2Nmlicko2RWlRL3VtMENJQT09</t>
        </is>
      </c>
      <c r="F94" t="n">
        <v>1</v>
      </c>
      <c r="G94" t="inlineStr">
        <is>
          <t>BG009</t>
        </is>
      </c>
      <c r="H94" t="inlineStr">
        <is>
          <t>10 April 2023</t>
        </is>
      </c>
      <c r="I94" s="2" t="n">
        <v>46193</v>
      </c>
      <c r="J94" t="inlineStr">
        <is>
          <t>Disetujui</t>
        </is>
      </c>
      <c r="K94" t="n">
        <v>30</v>
      </c>
      <c r="L94" t="inlineStr">
        <is>
          <t>20 Juni 2026</t>
        </is>
      </c>
      <c r="M94" t="inlineStr">
        <is>
          <t>Konstruksi Gedung Lainnya</t>
        </is>
      </c>
      <c r="N94" t="inlineStr">
        <is>
          <t>K</t>
        </is>
      </c>
      <c r="O94" t="inlineStr">
        <is>
          <t>20230614</t>
        </is>
      </c>
      <c r="P94" t="inlineStr">
        <is>
          <t>Jawa Tengah</t>
        </is>
      </c>
      <c r="Q94" s="3">
        <f>HYPERLINK("https://wa.me/6282372360445?text=*[PERINGATAN DARURAT SBU INTI CIPTA KONSTRUKSI]*%0A%0AYth. Pimpinan INTI CIPTA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5">
      <c r="A95" t="inlineStr">
        <is>
          <t>JANUR KUNING SENTOSA</t>
        </is>
      </c>
      <c r="B95" t="inlineStr">
        <is>
          <t>Kab. Jombang</t>
        </is>
      </c>
      <c r="C95" t="inlineStr">
        <is>
          <t>081335017770</t>
        </is>
      </c>
      <c r="D95" t="inlineStr">
        <is>
          <t>wicaksonoariiii02@gmail.com</t>
        </is>
      </c>
      <c r="E95" t="inlineStr">
        <is>
          <t>https://lpjk.pu.go.id/search-badan-usaha-detail/enBJVHluTjBxYjFkU0JnNUdVa2d6Zz09</t>
        </is>
      </c>
      <c r="F95" t="n">
        <v>1</v>
      </c>
      <c r="G95" t="inlineStr">
        <is>
          <t>KK012</t>
        </is>
      </c>
      <c r="H95" t="inlineStr">
        <is>
          <t>3 April 2023</t>
        </is>
      </c>
      <c r="I95" s="2" t="n">
        <v>46193</v>
      </c>
      <c r="J95" t="inlineStr">
        <is>
          <t>Pembekuan</t>
        </is>
      </c>
      <c r="K95" t="n">
        <v>30</v>
      </c>
      <c r="L95" t="inlineStr">
        <is>
          <t>20 Juni 2026</t>
        </is>
      </c>
      <c r="M95" t="inlineStr">
        <is>
          <t>Pekerjaan Struktur Beton</t>
        </is>
      </c>
      <c r="N95" t="inlineStr">
        <is>
          <t>Spesialis</t>
        </is>
      </c>
      <c r="O95" t="inlineStr">
        <is>
          <t>20230615</t>
        </is>
      </c>
      <c r="P95" t="inlineStr">
        <is>
          <t>Jawa Timur</t>
        </is>
      </c>
      <c r="Q95" s="3">
        <f>HYPERLINK("https://wa.me/6281335017770?text=*[PERINGATAN DARURAT SBU JANUR KUNING SENTOSA]*%0A%0AYth. Pimpinan JANUR KUNING SENTOSA,%0AMasa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6">
      <c r="A96" t="inlineStr">
        <is>
          <t>JATILUHUR USAHA PRATAMA</t>
        </is>
      </c>
      <c r="B96" t="inlineStr">
        <is>
          <t>Kab. Blitar</t>
        </is>
      </c>
      <c r="C96" t="inlineStr">
        <is>
          <t>085331004890</t>
        </is>
      </c>
      <c r="D96" t="inlineStr">
        <is>
          <t>jatiluhurusahapratama16@gmail.com</t>
        </is>
      </c>
      <c r="E96" t="inlineStr">
        <is>
          <t>https://lpjk.pu.go.id/search-badan-usaha-detail/ZTNnYVY0eVcxYVJyUFUxRWVvSmt1Zz09</t>
        </is>
      </c>
      <c r="F96" t="n">
        <v>2</v>
      </c>
      <c r="G96" t="inlineStr">
        <is>
          <t>BG001</t>
        </is>
      </c>
      <c r="H96" t="inlineStr">
        <is>
          <t>10 Januari 2007</t>
        </is>
      </c>
      <c r="I96" s="2" t="n">
        <v>46193</v>
      </c>
      <c r="J96" t="inlineStr">
        <is>
          <t>Disetujui</t>
        </is>
      </c>
      <c r="K96" t="n">
        <v>30</v>
      </c>
      <c r="L96" t="inlineStr">
        <is>
          <t>20 Juni 2026</t>
        </is>
      </c>
      <c r="M96" t="inlineStr">
        <is>
          <t>Konstruksi Gedung Hunian</t>
        </is>
      </c>
      <c r="N96" t="inlineStr">
        <is>
          <t>K</t>
        </is>
      </c>
      <c r="O96" t="inlineStr">
        <is>
          <t>20230616</t>
        </is>
      </c>
      <c r="P96" t="inlineStr">
        <is>
          <t>Jawa Timur</t>
        </is>
      </c>
      <c r="Q96" s="3">
        <f>HYPERLINK("https://wa.me/6285331004890?text=*[PERINGATAN DARURAT SBU JATILUHUR USAHA PRATAMA]*%0A%0AYth. Pimpinan JATILUHUR USAHA PRATAMA,%0AMasa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7">
      <c r="A97" t="inlineStr">
        <is>
          <t>JAVA YASA</t>
        </is>
      </c>
      <c r="B97" t="inlineStr">
        <is>
          <t>Kab. Pekalongan</t>
        </is>
      </c>
      <c r="C97" t="inlineStr">
        <is>
          <t>082322940281</t>
        </is>
      </c>
      <c r="D97" t="inlineStr">
        <is>
          <t>java.yasa8@gmail.com</t>
        </is>
      </c>
      <c r="E97" t="inlineStr">
        <is>
          <t>https://lpjk.pu.go.id/search-badan-usaha-detail/VUhUN1l6MURyTzg3Tk0xbThsSDF0QT09</t>
        </is>
      </c>
      <c r="F97" t="n">
        <v>1</v>
      </c>
      <c r="G97" t="inlineStr">
        <is>
          <t>AR001</t>
        </is>
      </c>
      <c r="H97" t="inlineStr">
        <is>
          <t>12 Februari 2020</t>
        </is>
      </c>
      <c r="I97" s="2" t="n">
        <v>46193</v>
      </c>
      <c r="J97" t="inlineStr">
        <is>
          <t>Disetujui</t>
        </is>
      </c>
      <c r="K97" t="n">
        <v>30</v>
      </c>
      <c r="L97" t="inlineStr">
        <is>
          <t>20 Juni 2026</t>
        </is>
      </c>
      <c r="M97" t="inlineStr">
        <is>
          <t>Jasa Arsitektural Bangunan Gedung Hunian dan Non Hunian</t>
        </is>
      </c>
      <c r="N97" t="inlineStr">
        <is>
          <t>K</t>
        </is>
      </c>
      <c r="O97" t="inlineStr">
        <is>
          <t>20230612</t>
        </is>
      </c>
      <c r="P97" t="inlineStr">
        <is>
          <t>Jawa Tengah</t>
        </is>
      </c>
      <c r="Q97" s="3">
        <f>HYPERLINK("https://wa.me/6282322940281?text=*[PERINGATAN DARURAT SBU JAVA YASA]*%0A%0AYth. Pimpinan JAVA YASA,%0AMasa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8">
      <c r="A98" t="inlineStr">
        <is>
          <t>JAYA KARYA ABADI</t>
        </is>
      </c>
      <c r="B98" t="inlineStr">
        <is>
          <t>Kab. Pasuruan</t>
        </is>
      </c>
      <c r="C98" t="inlineStr">
        <is>
          <t>08560857212</t>
        </is>
      </c>
      <c r="D98" t="inlineStr">
        <is>
          <t>jakaabadi@yahoo.com</t>
        </is>
      </c>
      <c r="E98" t="inlineStr">
        <is>
          <t>https://lpjk.pu.go.id/search-badan-usaha-detail/S0ZOV0RvWm9Xc1R6N3JLYkFJWnB4QT09</t>
        </is>
      </c>
      <c r="F98" t="n">
        <v>1</v>
      </c>
      <c r="G98" t="inlineStr">
        <is>
          <t>BG005</t>
        </is>
      </c>
      <c r="H98" t="inlineStr">
        <is>
          <t>11 Januari 2019</t>
        </is>
      </c>
      <c r="I98" s="2" t="n">
        <v>46193</v>
      </c>
      <c r="J98" t="inlineStr">
        <is>
          <t>Disetujui</t>
        </is>
      </c>
      <c r="K98" t="n">
        <v>30</v>
      </c>
      <c r="L98" t="inlineStr">
        <is>
          <t>20 Juni 2026</t>
        </is>
      </c>
      <c r="M98" t="inlineStr">
        <is>
          <t>Konstruksi Gedung Kesehatan</t>
        </is>
      </c>
      <c r="N98" t="inlineStr">
        <is>
          <t>K</t>
        </is>
      </c>
      <c r="O98" t="inlineStr">
        <is>
          <t>20230619</t>
        </is>
      </c>
      <c r="P98" t="inlineStr">
        <is>
          <t>Jawa Timur</t>
        </is>
      </c>
      <c r="Q98" s="3">
        <f>HYPERLINK("https://wa.me/628560857212?text=*[PERINGATAN DARURAT SBU JAYA KARYA ABADI]*%0A%0AYth. Pimpinan JAYA KARYA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99">
      <c r="A99" t="inlineStr">
        <is>
          <t>JAYA UTAMA</t>
        </is>
      </c>
      <c r="B99" t="inlineStr">
        <is>
          <t>Kab. Purbalingga</t>
        </is>
      </c>
      <c r="C99" t="inlineStr">
        <is>
          <t>081327009892</t>
        </is>
      </c>
      <c r="D99" t="inlineStr">
        <is>
          <t>jayautama_67@yahoo.co.id</t>
        </is>
      </c>
      <c r="E99" t="inlineStr">
        <is>
          <t>https://lpjk.pu.go.id/search-badan-usaha-detail/VzhsUHdnMXB3cG5sbkVxbm95Qll5UT09</t>
        </is>
      </c>
      <c r="F99" t="n">
        <v>4</v>
      </c>
      <c r="G99" t="inlineStr">
        <is>
          <t>BG004, BG005, BG006, BG009</t>
        </is>
      </c>
      <c r="H99" t="inlineStr">
        <is>
          <t>3 Juli 1995</t>
        </is>
      </c>
      <c r="I99" s="2" t="n">
        <v>46193</v>
      </c>
      <c r="J99" t="inlineStr">
        <is>
          <t>Disetujui, Pencabutan</t>
        </is>
      </c>
      <c r="K99" t="n">
        <v>30</v>
      </c>
      <c r="L99" t="inlineStr">
        <is>
          <t>20 Juni 2026</t>
        </is>
      </c>
      <c r="M99" t="inlineStr">
        <is>
          <t>Konstruksi Gedung Kesehatan, Konstruksi Gedung Lainnya, Konstruksi Gedung Pendidikan, Konstruksi Gedung Perbelanjaan</t>
        </is>
      </c>
      <c r="N99" t="inlineStr">
        <is>
          <t>K</t>
        </is>
      </c>
      <c r="O99" t="inlineStr">
        <is>
          <t>20230615</t>
        </is>
      </c>
      <c r="P99" t="inlineStr">
        <is>
          <t>Jawa Tengah</t>
        </is>
      </c>
      <c r="Q99" s="3">
        <f>HYPERLINK("https://wa.me/6281327009892?text=*[PERINGATAN DARURAT SBU JAYA UTAMA]*%0A%0AYth. Pimpinan JAYA UTAMA,%0AMasa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0">
      <c r="A100" t="inlineStr">
        <is>
          <t>JELAJAH KREASI PERSADA</t>
        </is>
      </c>
      <c r="B100" t="inlineStr">
        <is>
          <t>Kota Bandung</t>
        </is>
      </c>
      <c r="C100" t="inlineStr">
        <is>
          <t>02273280775</t>
        </is>
      </c>
      <c r="D100" t="inlineStr">
        <is>
          <t>jelajahpt@gmail.com</t>
        </is>
      </c>
      <c r="E100" t="inlineStr">
        <is>
          <t>https://lpjk.pu.go.id/search-badan-usaha-detail/THpGN002ZU13TWFwUzU1RndMdFF1Zz09</t>
        </is>
      </c>
      <c r="F100" t="n">
        <v>2</v>
      </c>
      <c r="G100" t="inlineStr">
        <is>
          <t>BG006, BG009</t>
        </is>
      </c>
      <c r="H100" t="inlineStr">
        <is>
          <t>27 Februari 2020</t>
        </is>
      </c>
      <c r="I100" s="2" t="n">
        <v>46193</v>
      </c>
      <c r="J100" t="inlineStr">
        <is>
          <t>Disetujui</t>
        </is>
      </c>
      <c r="K100" t="n">
        <v>30</v>
      </c>
      <c r="L100" t="inlineStr">
        <is>
          <t>20 Juni 2026</t>
        </is>
      </c>
      <c r="M100" t="inlineStr">
        <is>
          <t>Konstruksi Gedung Lainnya, Konstruksi Gedung Pendidikan</t>
        </is>
      </c>
      <c r="N100" t="inlineStr">
        <is>
          <t>K</t>
        </is>
      </c>
      <c r="O100" t="inlineStr">
        <is>
          <t>20230619</t>
        </is>
      </c>
      <c r="P100" t="inlineStr">
        <is>
          <t>Jawa Barat</t>
        </is>
      </c>
      <c r="Q100" s="3">
        <f>HYPERLINK("https://wa.me/622273280775?text=*[PERINGATAN DARURAT SBU JELAJAH KREASI PERSADA]*%0A%0AYth. Pimpinan JELAJAH KREASI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1">
      <c r="A101" t="inlineStr">
        <is>
          <t>JUN JEN MAYU</t>
        </is>
      </c>
      <c r="B101" t="inlineStr">
        <is>
          <t>Kab. Jayawijaya</t>
        </is>
      </c>
      <c r="C101" t="inlineStr">
        <is>
          <t>081283791963</t>
        </is>
      </c>
      <c r="D101" t="inlineStr">
        <is>
          <t>yuli.logo9@gmail.com</t>
        </is>
      </c>
      <c r="E101" t="inlineStr">
        <is>
          <t>https://lpjk.pu.go.id/search-badan-usaha-detail/d2Zxb3FyeEtqN3hQVHpCMWcvVFQ5QT09</t>
        </is>
      </c>
      <c r="F101" t="n">
        <v>1</v>
      </c>
      <c r="G101" t="inlineStr">
        <is>
          <t>BG001</t>
        </is>
      </c>
      <c r="H101" t="inlineStr">
        <is>
          <t>8 Mei 2023</t>
        </is>
      </c>
      <c r="I101" s="2" t="n">
        <v>46193</v>
      </c>
      <c r="J101" t="inlineStr">
        <is>
          <t>Disetujui</t>
        </is>
      </c>
      <c r="K101" t="n">
        <v>30</v>
      </c>
      <c r="L101" t="inlineStr">
        <is>
          <t>20 Juni 2026</t>
        </is>
      </c>
      <c r="M101" t="inlineStr">
        <is>
          <t>Konstruksi Gedung Hunian</t>
        </is>
      </c>
      <c r="N101" t="inlineStr">
        <is>
          <t>K</t>
        </is>
      </c>
      <c r="O101" t="inlineStr">
        <is>
          <t>20230612</t>
        </is>
      </c>
      <c r="P101" t="inlineStr">
        <is>
          <t>Papua</t>
        </is>
      </c>
      <c r="Q101" s="3">
        <f>HYPERLINK("https://wa.me/6281283791963?text=*[PERINGATAN DARURAT SBU JUN JEN MAYU]*%0A%0AYth. Pimpinan JUN JEN MAYU,%0AMasa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2">
      <c r="A102" t="inlineStr">
        <is>
          <t>KAILAS JELAJAH NUSANTARA</t>
        </is>
      </c>
      <c r="B102" t="inlineStr">
        <is>
          <t>Kota Surabaya</t>
        </is>
      </c>
      <c r="C102" t="inlineStr">
        <is>
          <t>082245051978</t>
        </is>
      </c>
      <c r="D102" t="inlineStr">
        <is>
          <t>kailascorporation45@gmail.com</t>
        </is>
      </c>
      <c r="E102" t="inlineStr">
        <is>
          <t>https://lpjk.pu.go.id/search-badan-usaha-detail/a3hQSm5USTQxdFpaT0VHUWhCT2trUT09</t>
        </is>
      </c>
      <c r="F102" t="n">
        <v>1</v>
      </c>
      <c r="G102" t="inlineStr">
        <is>
          <t>BS002</t>
        </is>
      </c>
      <c r="H102" t="inlineStr">
        <is>
          <t>6 Agustus 2015</t>
        </is>
      </c>
      <c r="I102" s="2" t="n">
        <v>46193</v>
      </c>
      <c r="J102" t="inlineStr">
        <is>
          <t>Disetujui</t>
        </is>
      </c>
      <c r="K102" t="n">
        <v>30</v>
      </c>
      <c r="L102" t="inlineStr">
        <is>
          <t>20 Juni 2026</t>
        </is>
      </c>
      <c r="M102" t="inlineStr">
        <is>
          <t>Bangunan Sipil Jembatan, Jalan Layang, Fly Over, dan Underpass</t>
        </is>
      </c>
      <c r="N102" t="inlineStr">
        <is>
          <t>K</t>
        </is>
      </c>
      <c r="O102" t="inlineStr">
        <is>
          <t>20230615</t>
        </is>
      </c>
      <c r="P102" t="inlineStr">
        <is>
          <t>Jawa Timur</t>
        </is>
      </c>
      <c r="Q102" s="3">
        <f>HYPERLINK("https://wa.me/6282245051978?text=*[PERINGATAN DARURAT SBU KAILAS JELAJAH NUSANTARA]*%0A%0AYth. Pimpinan KAILAS JELAJAH NUSANTARA,%0AMasa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3">
      <c r="A103" t="inlineStr">
        <is>
          <t>KALAPA KEMBAR</t>
        </is>
      </c>
      <c r="B103" t="inlineStr">
        <is>
          <t>Kab. Subang</t>
        </is>
      </c>
      <c r="C103" t="inlineStr">
        <is>
          <t>085294296724</t>
        </is>
      </c>
      <c r="D103" t="inlineStr">
        <is>
          <t>faisolbaraba@yahoo.co.id</t>
        </is>
      </c>
      <c r="E103" t="inlineStr">
        <is>
          <t>https://lpjk.pu.go.id/search-badan-usaha-detail/VWJvU2ovalA2dkZmaWtoVGZtWkxadz09</t>
        </is>
      </c>
      <c r="F103" t="n">
        <v>3</v>
      </c>
      <c r="G103" t="inlineStr">
        <is>
          <t>BS001</t>
        </is>
      </c>
      <c r="H103" t="inlineStr">
        <is>
          <t>19 April 1980</t>
        </is>
      </c>
      <c r="I103" s="2" t="n">
        <v>46193</v>
      </c>
      <c r="J103" t="inlineStr">
        <is>
          <t>Disetujui</t>
        </is>
      </c>
      <c r="K103" t="n">
        <v>30</v>
      </c>
      <c r="L103" t="inlineStr">
        <is>
          <t>20 Juni 2026</t>
        </is>
      </c>
      <c r="M103" t="inlineStr">
        <is>
          <t>Konstruksi Bangunan Sipil Jalan</t>
        </is>
      </c>
      <c r="N103" t="inlineStr">
        <is>
          <t>K</t>
        </is>
      </c>
      <c r="O103" t="inlineStr">
        <is>
          <t>20230615</t>
        </is>
      </c>
      <c r="P103" t="inlineStr">
        <is>
          <t>Jawa Barat</t>
        </is>
      </c>
      <c r="Q103" s="3">
        <f>HYPERLINK("https://wa.me/6285294296724?text=*[PERINGATAN DARURAT SBU KALAPA KEMBAR]*%0A%0AYth. Pimpinan KALAPA KEMBAR,%0AMasa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4">
      <c r="A104" t="inlineStr">
        <is>
          <t>KANSER JAYA</t>
        </is>
      </c>
      <c r="B104" t="inlineStr">
        <is>
          <t>Kab. Lombok Tengah</t>
        </is>
      </c>
      <c r="C104" t="inlineStr">
        <is>
          <t>087765114789</t>
        </is>
      </c>
      <c r="D104" t="inlineStr">
        <is>
          <t>cvkanserjaya@gmail.com</t>
        </is>
      </c>
      <c r="E104" t="inlineStr">
        <is>
          <t>https://lpjk.pu.go.id/search-badan-usaha-detail/TU1jd3JnNHF1d1RsVzk2V2dmVHhQQT09</t>
        </is>
      </c>
      <c r="F104" t="n">
        <v>2</v>
      </c>
      <c r="G104" t="inlineStr">
        <is>
          <t>BS001, PL005</t>
        </is>
      </c>
      <c r="H104" t="inlineStr">
        <is>
          <t>23 Januari 2020</t>
        </is>
      </c>
      <c r="I104" s="2" t="n">
        <v>46193</v>
      </c>
      <c r="J104" t="inlineStr">
        <is>
          <t>Pencabutan</t>
        </is>
      </c>
      <c r="K104" t="n">
        <v>30</v>
      </c>
      <c r="L104" t="inlineStr">
        <is>
          <t>20 Juni 2026</t>
        </is>
      </c>
      <c r="M104" t="inlineStr">
        <is>
          <t>Konstruksi Bangunan Sipil Jalan, Pembuatan/Pengeboran Sumur Air Tanah</t>
        </is>
      </c>
      <c r="N104" t="inlineStr">
        <is>
          <t>K, Spesialis</t>
        </is>
      </c>
      <c r="O104" t="inlineStr">
        <is>
          <t>20230620, 20230621</t>
        </is>
      </c>
      <c r="P104" t="inlineStr">
        <is>
          <t>Nusa Tenggara Barat</t>
        </is>
      </c>
      <c r="Q104" s="3">
        <f>HYPERLINK("https://wa.me/6287765114789?text=*[PERINGATAN DARURAT SBU KANSER JAYA]*%0A%0AYth. Pimpinan KANSER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5">
      <c r="A105" t="inlineStr">
        <is>
          <t>KARANG PRIMA NUSANTARA</t>
        </is>
      </c>
      <c r="B105" t="inlineStr">
        <is>
          <t>Kota Padang</t>
        </is>
      </c>
      <c r="C105" t="inlineStr">
        <is>
          <t>0811662214</t>
        </is>
      </c>
      <c r="D105" t="inlineStr">
        <is>
          <t>KARANGPRIMANUSANTARA@YAHOO.COM</t>
        </is>
      </c>
      <c r="E105" t="inlineStr">
        <is>
          <t>https://lpjk.pu.go.id/search-badan-usaha-detail/OG9wa3lNNURCZ2k3VUJMQ3l3Mkw3QT09</t>
        </is>
      </c>
      <c r="F105" t="n">
        <v>3</v>
      </c>
      <c r="G105" t="inlineStr">
        <is>
          <t>BG002</t>
        </is>
      </c>
      <c r="H105" t="inlineStr">
        <is>
          <t>19 Agustus 2011</t>
        </is>
      </c>
      <c r="I105" s="2" t="n">
        <v>46193</v>
      </c>
      <c r="J105" t="inlineStr">
        <is>
          <t>Disetujui</t>
        </is>
      </c>
      <c r="K105" t="n">
        <v>30</v>
      </c>
      <c r="L105" t="inlineStr">
        <is>
          <t>20 Juni 2026</t>
        </is>
      </c>
      <c r="M105" t="inlineStr">
        <is>
          <t>Konstruksi Gedung Perkantoran</t>
        </is>
      </c>
      <c r="N105" t="inlineStr">
        <is>
          <t>K</t>
        </is>
      </c>
      <c r="O105" t="inlineStr">
        <is>
          <t>20230615</t>
        </is>
      </c>
      <c r="P105" t="inlineStr">
        <is>
          <t>Sumatera Barat</t>
        </is>
      </c>
      <c r="Q105" s="3">
        <f>HYPERLINK("https://wa.me/62811662214?text=*[PERINGATAN DARURAT SBU KARANG PRIMA NUSANTARA]*%0A%0AYth. Pimpinan KARANG PRIMA NUSANTARA,%0AMasa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6">
      <c r="A106" t="inlineStr">
        <is>
          <t>KARINA</t>
        </is>
      </c>
      <c r="B106" t="inlineStr">
        <is>
          <t>Kota Kediri</t>
        </is>
      </c>
      <c r="C106" t="inlineStr">
        <is>
          <t>081230628669</t>
        </is>
      </c>
      <c r="D106" t="inlineStr">
        <is>
          <t>cvkarina2019@gmail.com</t>
        </is>
      </c>
      <c r="E106" t="inlineStr">
        <is>
          <t>https://lpjk.pu.go.id/search-badan-usaha-detail/eEtMWXo3bmM1dloyUDJ2Qm9OQ1l3Zz09</t>
        </is>
      </c>
      <c r="F106" t="n">
        <v>1</v>
      </c>
      <c r="G106" t="inlineStr">
        <is>
          <t>BG002</t>
        </is>
      </c>
      <c r="H106" t="inlineStr">
        <is>
          <t>15 Februari 2005</t>
        </is>
      </c>
      <c r="I106" s="2" t="n">
        <v>46193</v>
      </c>
      <c r="J106" t="inlineStr">
        <is>
          <t>Disetujui</t>
        </is>
      </c>
      <c r="K106" t="n">
        <v>30</v>
      </c>
      <c r="L106" t="inlineStr">
        <is>
          <t>20 Juni 2026</t>
        </is>
      </c>
      <c r="M106" t="inlineStr">
        <is>
          <t>Konstruksi Gedung Perkantoran</t>
        </is>
      </c>
      <c r="N106" t="inlineStr">
        <is>
          <t>K</t>
        </is>
      </c>
      <c r="O106" t="inlineStr">
        <is>
          <t>20230616</t>
        </is>
      </c>
      <c r="P106" t="inlineStr">
        <is>
          <t>Jawa Timur</t>
        </is>
      </c>
      <c r="Q106" s="3">
        <f>HYPERLINK("https://wa.me/6281230628669?text=*[PERINGATAN DARURAT SBU KARINA]*%0A%0AYth. Pimpinan KARINA,%0AMasa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7">
      <c r="A107" t="inlineStr">
        <is>
          <t>KARUNIA</t>
        </is>
      </c>
      <c r="B107" t="inlineStr">
        <is>
          <t>Kab. Nagekeo</t>
        </is>
      </c>
      <c r="C107" t="inlineStr">
        <is>
          <t>0812 3888 5756</t>
        </is>
      </c>
      <c r="D107" t="inlineStr">
        <is>
          <t>cv.karunia.mbay@gmail.com</t>
        </is>
      </c>
      <c r="E107" t="inlineStr">
        <is>
          <t>https://lpjk.pu.go.id/search-badan-usaha-detail/ZmRBSWQvUkxiMkVKd2R4ZG5ZTU8wdz09</t>
        </is>
      </c>
      <c r="F107" t="n">
        <v>1</v>
      </c>
      <c r="G107" t="inlineStr">
        <is>
          <t>BG009</t>
        </is>
      </c>
      <c r="H107" t="inlineStr">
        <is>
          <t>24 September 1997</t>
        </is>
      </c>
      <c r="I107" s="2" t="n">
        <v>46193</v>
      </c>
      <c r="J107" t="inlineStr">
        <is>
          <t>Disetujui</t>
        </is>
      </c>
      <c r="K107" t="n">
        <v>30</v>
      </c>
      <c r="L107" t="inlineStr">
        <is>
          <t>20 Juni 2026</t>
        </is>
      </c>
      <c r="M107" t="inlineStr">
        <is>
          <t>Konstruksi Gedung Lainnya</t>
        </is>
      </c>
      <c r="N107" t="inlineStr">
        <is>
          <t>K</t>
        </is>
      </c>
      <c r="O107" t="inlineStr">
        <is>
          <t>20230615</t>
        </is>
      </c>
      <c r="P107" t="inlineStr">
        <is>
          <t>Nusa Tenggara Timur</t>
        </is>
      </c>
      <c r="Q107" s="3">
        <f>HYPERLINK("https://wa.me/6281238885756?text=*[PERINGATAN DARURAT SBU KARUNIA]*%0A%0AYth. Pimpinan KARUNIA,%0AMasa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8">
      <c r="A108" t="inlineStr">
        <is>
          <t>KARUNIA JAYA</t>
        </is>
      </c>
      <c r="B108" t="inlineStr">
        <is>
          <t>Kab. Jember</t>
        </is>
      </c>
      <c r="C108" t="inlineStr">
        <is>
          <t>0331321883</t>
        </is>
      </c>
      <c r="D108" t="inlineStr">
        <is>
          <t>karuniajaya1964@yahoo.com</t>
        </is>
      </c>
      <c r="E108" t="inlineStr">
        <is>
          <t>https://lpjk.pu.go.id/search-badan-usaha-detail/MHhrczF4QWx0VTBMSVg1emdzYnJrUT09</t>
        </is>
      </c>
      <c r="F108" t="n">
        <v>4</v>
      </c>
      <c r="G108" t="inlineStr">
        <is>
          <t>BG009, BS004</t>
        </is>
      </c>
      <c r="H108" t="inlineStr">
        <is>
          <t>6 Mei 2014</t>
        </is>
      </c>
      <c r="I108" s="2" t="n">
        <v>46193</v>
      </c>
      <c r="J108" t="inlineStr">
        <is>
          <t>Disetujui</t>
        </is>
      </c>
      <c r="K108" t="n">
        <v>30</v>
      </c>
      <c r="L108" t="inlineStr">
        <is>
          <t>20 Juni 2026</t>
        </is>
      </c>
      <c r="M108" t="inlineStr">
        <is>
          <t>Konstruksi Gedung Lainnya, Konstruksi Jaringan Irigasi dan Drainase</t>
        </is>
      </c>
      <c r="N108" t="inlineStr">
        <is>
          <t>K</t>
        </is>
      </c>
      <c r="O108" t="inlineStr">
        <is>
          <t>20230616</t>
        </is>
      </c>
      <c r="P108" t="inlineStr">
        <is>
          <t>Jawa Timur</t>
        </is>
      </c>
      <c r="Q108" s="3">
        <f>HYPERLINK("https://wa.me/62331321883?text=*[PERINGATAN DARURAT SBU KARUNIA JAYA]*%0A%0AYth. Pimpinan KARUNIA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09">
      <c r="A109" t="inlineStr">
        <is>
          <t>KARUNIA REZEKY</t>
        </is>
      </c>
      <c r="B109" t="inlineStr">
        <is>
          <t>Kota Medan</t>
        </is>
      </c>
      <c r="C109" t="inlineStr">
        <is>
          <t>0000000</t>
        </is>
      </c>
      <c r="D109" t="inlineStr">
        <is>
          <t>cv.karuniarezeky@yahoo.com</t>
        </is>
      </c>
      <c r="E109" t="inlineStr">
        <is>
          <t>https://lpjk.pu.go.id/search-badan-usaha-detail/aU5XVUlkSzhEeTgrbllsWmwwRjI0QT09</t>
        </is>
      </c>
      <c r="F109" t="n">
        <v>2</v>
      </c>
      <c r="G109" t="inlineStr">
        <is>
          <t>BS001, BS002</t>
        </is>
      </c>
      <c r="H109" t="inlineStr">
        <is>
          <t>21 Februari 2017</t>
        </is>
      </c>
      <c r="I109" s="2" t="n">
        <v>46193</v>
      </c>
      <c r="J109" t="inlineStr">
        <is>
          <t>Disetujui</t>
        </is>
      </c>
      <c r="K109" t="n">
        <v>30</v>
      </c>
      <c r="L109" t="inlineStr">
        <is>
          <t>20 Juni 2026</t>
        </is>
      </c>
      <c r="M109" t="inlineStr">
        <is>
          <t>Bangunan Sipil Jembatan, Jalan Layang, Fly Over, dan Underpass, Konstruksi Bangunan Sipil Jalan</t>
        </is>
      </c>
      <c r="N109" t="inlineStr">
        <is>
          <t>K</t>
        </is>
      </c>
      <c r="O109" t="inlineStr">
        <is>
          <t>20230512</t>
        </is>
      </c>
      <c r="P109" t="inlineStr">
        <is>
          <t>Sumatera Utara</t>
        </is>
      </c>
      <c r="Q109" s="3">
        <f>HYPERLINK("https://wa.me/62000000?text=*[PERINGATAN DARURAT SBU KARUNIA REZEKY]*%0A%0AYth. Pimpinan KARUNIA REZEKY,%0AMasa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0">
      <c r="A110" t="inlineStr">
        <is>
          <t>KARYA ABADI SIUMPU</t>
        </is>
      </c>
      <c r="B110" t="inlineStr">
        <is>
          <t>Kota Sorong</t>
        </is>
      </c>
      <c r="C110" t="inlineStr">
        <is>
          <t>081398180707</t>
        </is>
      </c>
      <c r="D110" t="inlineStr">
        <is>
          <t>kristianfidel184@gmail.com</t>
        </is>
      </c>
      <c r="E110" t="inlineStr">
        <is>
          <t>https://lpjk.pu.go.id/search-badan-usaha-detail/d3Rpd0lzYzBRNFpqNTlKdGxLUmQvdz09</t>
        </is>
      </c>
      <c r="F110" t="n">
        <v>2</v>
      </c>
      <c r="G110" t="inlineStr">
        <is>
          <t>BG005, BG006</t>
        </is>
      </c>
      <c r="H110" t="inlineStr">
        <is>
          <t>3 Mei 2023</t>
        </is>
      </c>
      <c r="I110" s="2" t="n">
        <v>46193</v>
      </c>
      <c r="J110" t="inlineStr">
        <is>
          <t>Pencabutan</t>
        </is>
      </c>
      <c r="K110" t="n">
        <v>30</v>
      </c>
      <c r="L110" t="inlineStr">
        <is>
          <t>20 Juni 2026</t>
        </is>
      </c>
      <c r="M110" t="inlineStr">
        <is>
          <t>Konstruksi Gedung Kesehatan, Konstruksi Gedung Pendidikan</t>
        </is>
      </c>
      <c r="N110" t="inlineStr">
        <is>
          <t>K</t>
        </is>
      </c>
      <c r="O110" t="inlineStr">
        <is>
          <t>20230617, 20230618</t>
        </is>
      </c>
      <c r="P110" t="inlineStr">
        <is>
          <t>Papua Barat</t>
        </is>
      </c>
      <c r="Q110" s="3">
        <f>HYPERLINK("https://wa.me/6281398180707?text=*[PERINGATAN DARURAT SBU KARYA ABADI SIUMPU]*%0A%0AYth. Pimpinan KARYA ABADI SIUMPU,%0AMasa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1">
      <c r="A111" t="inlineStr">
        <is>
          <t>KARYA ARIKON</t>
        </is>
      </c>
      <c r="B111" t="inlineStr">
        <is>
          <t>Kota Gorontalo</t>
        </is>
      </c>
      <c r="C111" t="inlineStr">
        <is>
          <t>0813 4168 9944</t>
        </is>
      </c>
      <c r="D111" t="inlineStr">
        <is>
          <t>karyaarikon_gt@yahoo.co.id</t>
        </is>
      </c>
      <c r="E111" t="inlineStr">
        <is>
          <t>https://lpjk.pu.go.id/search-badan-usaha-detail/MEFzMHMvcVdIYTk4Z0x3S29nWkVLUT09</t>
        </is>
      </c>
      <c r="F111" t="n">
        <v>1</v>
      </c>
      <c r="G111" t="inlineStr">
        <is>
          <t>BG002</t>
        </is>
      </c>
      <c r="H111" t="inlineStr">
        <is>
          <t>21 Juni 2022</t>
        </is>
      </c>
      <c r="I111" s="2" t="n">
        <v>46193</v>
      </c>
      <c r="J111" t="inlineStr">
        <is>
          <t>Disetujui</t>
        </is>
      </c>
      <c r="K111" t="n">
        <v>30</v>
      </c>
      <c r="L111" t="inlineStr">
        <is>
          <t>20 Juni 2026</t>
        </is>
      </c>
      <c r="M111" t="inlineStr">
        <is>
          <t>Konstruksi Gedung Perkantoran</t>
        </is>
      </c>
      <c r="N111" t="inlineStr">
        <is>
          <t>K</t>
        </is>
      </c>
      <c r="O111" t="inlineStr">
        <is>
          <t>20230621</t>
        </is>
      </c>
      <c r="P111" t="inlineStr">
        <is>
          <t>Gorontalo</t>
        </is>
      </c>
      <c r="Q111" s="3">
        <f>HYPERLINK("https://wa.me/6281341689944?text=*[PERINGATAN DARURAT SBU KARYA ARIKON]*%0A%0AYth. Pimpinan KARYA ARIKON,%0AMasa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2">
      <c r="A112" t="inlineStr">
        <is>
          <t>KELOLA BANGUN INDONESIA</t>
        </is>
      </c>
      <c r="B112" t="inlineStr">
        <is>
          <t>Kota Surabaya</t>
        </is>
      </c>
      <c r="C112" t="inlineStr">
        <is>
          <t>082228057763</t>
        </is>
      </c>
      <c r="D112" t="inlineStr">
        <is>
          <t>cv.kelolabangunindonesia@gmail.com</t>
        </is>
      </c>
      <c r="E112" t="inlineStr">
        <is>
          <t>https://lpjk.pu.go.id/search-badan-usaha-detail/RTNLYms1ckV3dU50L094bDNHVTZJQT09</t>
        </is>
      </c>
      <c r="F112" t="n">
        <v>1</v>
      </c>
      <c r="G112" t="inlineStr">
        <is>
          <t>BG004</t>
        </is>
      </c>
      <c r="H112" t="inlineStr">
        <is>
          <t>25 Maret 2022</t>
        </is>
      </c>
      <c r="I112" s="2" t="n">
        <v>46193</v>
      </c>
      <c r="J112" t="inlineStr">
        <is>
          <t>Disetujui</t>
        </is>
      </c>
      <c r="K112" t="n">
        <v>30</v>
      </c>
      <c r="L112" t="inlineStr">
        <is>
          <t>20 Juni 2026</t>
        </is>
      </c>
      <c r="M112" t="inlineStr">
        <is>
          <t>Konstruksi Gedung Perbelanjaan</t>
        </is>
      </c>
      <c r="N112" t="inlineStr">
        <is>
          <t>K</t>
        </is>
      </c>
      <c r="O112" t="inlineStr">
        <is>
          <t>20230612</t>
        </is>
      </c>
      <c r="P112" t="inlineStr">
        <is>
          <t>Jawa Timur</t>
        </is>
      </c>
      <c r="Q112" s="3">
        <f>HYPERLINK("https://wa.me/6282228057763?text=*[PERINGATAN DARURAT SBU KELOLA BANGUN INDONESIA]*%0A%0AYth. Pimpinan KELOLA BANGUN INDONESIA,%0AMasa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3">
      <c r="A113" t="inlineStr">
        <is>
          <t>KERTASEJAHTERA MARGAMANUNGGAL</t>
        </is>
      </c>
      <c r="B113" t="inlineStr">
        <is>
          <t>Kota Semarang</t>
        </is>
      </c>
      <c r="C113" t="inlineStr">
        <is>
          <t>0248312282</t>
        </is>
      </c>
      <c r="D113" t="inlineStr">
        <is>
          <t>kertasejahter@gmail.com</t>
        </is>
      </c>
      <c r="E113" t="inlineStr">
        <is>
          <t>https://lpjk.pu.go.id/search-badan-usaha-detail/UGRCN09OU0dSUE5FaGl4NkZxN2Ywdz09</t>
        </is>
      </c>
      <c r="F113" t="n">
        <v>2</v>
      </c>
      <c r="G113" t="inlineStr">
        <is>
          <t>BG005</t>
        </is>
      </c>
      <c r="H113" t="inlineStr">
        <is>
          <t>7 November 1990</t>
        </is>
      </c>
      <c r="I113" s="2" t="n">
        <v>46193</v>
      </c>
      <c r="J113" t="inlineStr">
        <is>
          <t>Disetujui</t>
        </is>
      </c>
      <c r="K113" t="n">
        <v>30</v>
      </c>
      <c r="L113" t="inlineStr">
        <is>
          <t>20 Juni 2026</t>
        </is>
      </c>
      <c r="M113" t="inlineStr">
        <is>
          <t>Konstruksi Gedung Kesehatan</t>
        </is>
      </c>
      <c r="N113" t="inlineStr">
        <is>
          <t>K</t>
        </is>
      </c>
      <c r="O113" t="inlineStr">
        <is>
          <t>20230615</t>
        </is>
      </c>
      <c r="P113" t="inlineStr">
        <is>
          <t>Jawa Tengah</t>
        </is>
      </c>
      <c r="Q113" s="3">
        <f>HYPERLINK("https://wa.me/62248312282?text=*[PERINGATAN DARURAT SBU KERTASEJAHTERA MARGAMANUNGGAL]*%0A%0AYth. Pimpinan KERTASEJAHTERA MARGAMANUNGGAL,%0AMasa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4">
      <c r="A114" t="inlineStr">
        <is>
          <t>KINAYA JAYA SENTOSA</t>
        </is>
      </c>
      <c r="B114" t="inlineStr">
        <is>
          <t>Kab. Sidoarjo</t>
        </is>
      </c>
      <c r="C114" t="inlineStr">
        <is>
          <t>089523334325</t>
        </is>
      </c>
      <c r="D114" t="inlineStr">
        <is>
          <t>4ramadhanty@gmail.com</t>
        </is>
      </c>
      <c r="E114" t="inlineStr">
        <is>
          <t>https://lpjk.pu.go.id/search-badan-usaha-detail/UXBOYlVDRFoyVjczeUxCdlZOUDRxQT09</t>
        </is>
      </c>
      <c r="F114" t="n">
        <v>4</v>
      </c>
      <c r="G114" t="inlineStr">
        <is>
          <t>BG002, BG006, BG008, BG009</t>
        </is>
      </c>
      <c r="H114" t="inlineStr">
        <is>
          <t>1 Januari 2018</t>
        </is>
      </c>
      <c r="I114" s="2" t="n">
        <v>46193</v>
      </c>
      <c r="J114" t="inlineStr">
        <is>
          <t>Disetujui</t>
        </is>
      </c>
      <c r="K114" t="n">
        <v>30</v>
      </c>
      <c r="L114" t="inlineStr">
        <is>
          <t>20 Juni 2026</t>
        </is>
      </c>
      <c r="M114" t="inlineStr">
        <is>
          <t>Konstruksi Gedung Lainnya, Konstruksi Gedung Pendidikan, Konstruksi Gedung Perkantoran, Konstruksi Gedung Tempat Hiburan dan Olahraga</t>
        </is>
      </c>
      <c r="N114" t="inlineStr">
        <is>
          <t>K</t>
        </is>
      </c>
      <c r="O114" t="inlineStr">
        <is>
          <t>20230616</t>
        </is>
      </c>
      <c r="P114" t="inlineStr">
        <is>
          <t>Jawa Timur</t>
        </is>
      </c>
      <c r="Q114" s="3">
        <f>HYPERLINK("https://wa.me/6289523334325?text=*[PERINGATAN DARURAT SBU KINAYA JAYA SENTOSA]*%0A%0AYth. Pimpinan KINAYA JAYA SENTOSA,%0AMasa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5">
      <c r="A115" t="inlineStr">
        <is>
          <t>LAKSANA</t>
        </is>
      </c>
      <c r="B115" t="inlineStr">
        <is>
          <t>Kab. Kebumen</t>
        </is>
      </c>
      <c r="C115" t="inlineStr">
        <is>
          <t>085328463747</t>
        </is>
      </c>
      <c r="D115" t="inlineStr">
        <is>
          <t>syarifudincell93@gmail.com</t>
        </is>
      </c>
      <c r="E115" t="inlineStr">
        <is>
          <t>https://lpjk.pu.go.id/search-badan-usaha-detail/dm14cncxZ2FDUEFJVm5Dc2NjL25lQT09</t>
        </is>
      </c>
      <c r="F115" t="n">
        <v>12</v>
      </c>
      <c r="G115" t="inlineStr">
        <is>
          <t>BG001, BG004, BG005, BG006, BG009, BS004</t>
        </is>
      </c>
      <c r="H115" t="inlineStr">
        <is>
          <t>31 Januari 2020</t>
        </is>
      </c>
      <c r="I115" s="2" t="n">
        <v>46193</v>
      </c>
      <c r="J115" t="inlineStr">
        <is>
          <t>Disetujui</t>
        </is>
      </c>
      <c r="K115" t="n">
        <v>30</v>
      </c>
      <c r="L115" t="inlineStr">
        <is>
          <t>20 Juni 2026</t>
        </is>
      </c>
      <c r="M115" t="inlineStr">
        <is>
          <t>Konstruksi Gedung Hunian, Konstruksi Gedung Kesehatan, Konstruksi Gedung Lainnya, Konstruksi Gedung Pendidikan, Konstruksi Gedung Perbelanjaan, Konstruksi Jaringan Irigasi dan Drainase</t>
        </is>
      </c>
      <c r="N115" t="inlineStr">
        <is>
          <t>K</t>
        </is>
      </c>
      <c r="O115" t="inlineStr">
        <is>
          <t>20230613, 20230614, 20230616</t>
        </is>
      </c>
      <c r="P115" t="inlineStr">
        <is>
          <t>Jawa Tengah</t>
        </is>
      </c>
      <c r="Q115" s="3">
        <f>HYPERLINK("https://wa.me/6285328463747?text=*[PERINGATAN DARURAT SBU LAKSANA]*%0A%0AYth. Pimpinan LAKSANA,%0AMasa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6">
      <c r="A116" t="inlineStr">
        <is>
          <t>LENTERA KARYA PERSADA</t>
        </is>
      </c>
      <c r="B116" t="inlineStr">
        <is>
          <t>Kota Surabaya</t>
        </is>
      </c>
      <c r="C116" t="inlineStr">
        <is>
          <t>081252313158</t>
        </is>
      </c>
      <c r="D116" t="inlineStr">
        <is>
          <t>lenterakaryapersada@gmail.com</t>
        </is>
      </c>
      <c r="E116" t="inlineStr">
        <is>
          <t>https://lpjk.pu.go.id/search-badan-usaha-detail/WmE3Z0dGUGtBeWxkMGcyaTlLREN0Zz09</t>
        </is>
      </c>
      <c r="F116" t="n">
        <v>1</v>
      </c>
      <c r="G116" t="inlineStr">
        <is>
          <t>BG002</t>
        </is>
      </c>
      <c r="H116" t="inlineStr">
        <is>
          <t>21 Desember 2018</t>
        </is>
      </c>
      <c r="I116" s="2" t="n">
        <v>46193</v>
      </c>
      <c r="J116" t="inlineStr">
        <is>
          <t>Disetujui</t>
        </is>
      </c>
      <c r="K116" t="n">
        <v>30</v>
      </c>
      <c r="L116" t="inlineStr">
        <is>
          <t>20 Juni 2026</t>
        </is>
      </c>
      <c r="M116" t="inlineStr">
        <is>
          <t>Konstruksi Gedung Perkantoran</t>
        </is>
      </c>
      <c r="N116" t="inlineStr">
        <is>
          <t>K</t>
        </is>
      </c>
      <c r="O116" t="inlineStr">
        <is>
          <t>20230620</t>
        </is>
      </c>
      <c r="P116" t="inlineStr">
        <is>
          <t>Jawa Timur</t>
        </is>
      </c>
      <c r="Q116" s="3">
        <f>HYPERLINK("https://wa.me/6281252313158?text=*[PERINGATAN DARURAT SBU LENTERA KARYA PERSADA]*%0A%0AYth. Pimpinan LENTERA KARYA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7">
      <c r="A117" t="inlineStr">
        <is>
          <t>LIMAN JAYA TRANS MIX</t>
        </is>
      </c>
      <c r="B117" t="inlineStr">
        <is>
          <t>Kab. Pasuruan</t>
        </is>
      </c>
      <c r="C117" t="inlineStr">
        <is>
          <t>0343443297</t>
        </is>
      </c>
      <c r="D117" t="inlineStr">
        <is>
          <t>limanjayatransmix@yahoo.com</t>
        </is>
      </c>
      <c r="E117" t="inlineStr">
        <is>
          <t>https://lpjk.pu.go.id/search-badan-usaha-detail/blBDNFhpV1QyTjlna1NONm05WEI4dz09</t>
        </is>
      </c>
      <c r="F117" t="n">
        <v>1</v>
      </c>
      <c r="G117" t="inlineStr">
        <is>
          <t>KK008</t>
        </is>
      </c>
      <c r="H117" t="inlineStr">
        <is>
          <t>20 Januari 2016</t>
        </is>
      </c>
      <c r="I117" s="2" t="n">
        <v>46193</v>
      </c>
      <c r="J117" t="inlineStr">
        <is>
          <t>Disetujui</t>
        </is>
      </c>
      <c r="K117" t="n">
        <v>30</v>
      </c>
      <c r="L117" t="inlineStr">
        <is>
          <t>20 Juni 2026</t>
        </is>
      </c>
      <c r="M117" t="inlineStr">
        <is>
          <t>Perkerasan Aspal</t>
        </is>
      </c>
      <c r="N117" t="inlineStr">
        <is>
          <t>Spesialis</t>
        </is>
      </c>
      <c r="O117" t="inlineStr">
        <is>
          <t>20230615</t>
        </is>
      </c>
      <c r="P117" t="inlineStr">
        <is>
          <t>Jawa Timur</t>
        </is>
      </c>
      <c r="Q117" s="3">
        <f>HYPERLINK("https://wa.me/62343443297?text=*[PERINGATAN DARURAT SBU LIMAN JAYA TRANS MIX]*%0A%0AYth. Pimpinan LIMAN JAYA TRANS MIX,%0AMasa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8">
      <c r="A118" t="inlineStr">
        <is>
          <t>MADUMA JAYA LESTARI</t>
        </is>
      </c>
      <c r="B118" t="inlineStr">
        <is>
          <t>Kota Adm. Jakarta Barat</t>
        </is>
      </c>
      <c r="C118" t="inlineStr">
        <is>
          <t>0216197360</t>
        </is>
      </c>
      <c r="D118" t="inlineStr">
        <is>
          <t>cv.madumajayalestari@yahoo.co.id</t>
        </is>
      </c>
      <c r="E118" t="inlineStr">
        <is>
          <t>https://lpjk.pu.go.id/search-badan-usaha-detail/NG1FNmorRHFKVUE5TEJqUmZWQmRzdz09</t>
        </is>
      </c>
      <c r="F118" t="n">
        <v>6</v>
      </c>
      <c r="G118" t="inlineStr">
        <is>
          <t>BG006, BS001, BS002</t>
        </is>
      </c>
      <c r="H118" t="inlineStr">
        <is>
          <t>19 April 2011</t>
        </is>
      </c>
      <c r="I118" s="2" t="n">
        <v>46193</v>
      </c>
      <c r="J118" t="inlineStr">
        <is>
          <t>Disetujui</t>
        </is>
      </c>
      <c r="K118" t="n">
        <v>30</v>
      </c>
      <c r="L118" t="inlineStr">
        <is>
          <t>20 Juni 2026</t>
        </is>
      </c>
      <c r="M118" t="inlineStr">
        <is>
          <t>Bangunan Sipil Jembatan, Jalan Layang, Fly Over, dan Underpass, Konstruksi Bangunan Sipil Jalan, Konstruksi Gedung Pendidikan</t>
        </is>
      </c>
      <c r="N118" t="inlineStr">
        <is>
          <t>K</t>
        </is>
      </c>
      <c r="O118" t="inlineStr">
        <is>
          <t>20230616</t>
        </is>
      </c>
      <c r="P118" t="inlineStr">
        <is>
          <t>DKI Jakarta</t>
        </is>
      </c>
      <c r="Q118" s="3">
        <f>HYPERLINK("https://wa.me/62216197360?text=*[PERINGATAN DARURAT SBU MADUMA JAYA LESTARI]*%0A%0AYth. Pimpinan MADUMA JAYA LESTARI,%0AMasa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19">
      <c r="A119" t="inlineStr">
        <is>
          <t>MADURI ZAMZANI</t>
        </is>
      </c>
      <c r="B119" t="inlineStr">
        <is>
          <t>Kab. Pasangkayu</t>
        </is>
      </c>
      <c r="C119" t="inlineStr">
        <is>
          <t>081355843344</t>
        </is>
      </c>
      <c r="D119" t="inlineStr">
        <is>
          <t>cvmadurizamzani2@gmail.com</t>
        </is>
      </c>
      <c r="E119" t="inlineStr">
        <is>
          <t>https://lpjk.pu.go.id/search-badan-usaha-detail/N3V5cVVRNDRoeUJBb0c2YUFJdlhwQT09</t>
        </is>
      </c>
      <c r="F119" t="n">
        <v>6</v>
      </c>
      <c r="G119" t="inlineStr">
        <is>
          <t>BG005, BG006, BG009</t>
        </is>
      </c>
      <c r="H119" t="inlineStr">
        <is>
          <t>26 Januari 2010</t>
        </is>
      </c>
      <c r="I119" s="2" t="n">
        <v>46193</v>
      </c>
      <c r="J119" t="inlineStr">
        <is>
          <t>Pencabutan</t>
        </is>
      </c>
      <c r="K119" t="n">
        <v>30</v>
      </c>
      <c r="L119" t="inlineStr">
        <is>
          <t>20 Juni 2026</t>
        </is>
      </c>
      <c r="M119" t="inlineStr">
        <is>
          <t>Konstruksi Gedung Kesehatan, Konstruksi Gedung Lainnya, Konstruksi Gedung Pendidikan</t>
        </is>
      </c>
      <c r="N119" t="inlineStr">
        <is>
          <t>K</t>
        </is>
      </c>
      <c r="O119" t="inlineStr">
        <is>
          <t>20230516</t>
        </is>
      </c>
      <c r="P119" t="inlineStr">
        <is>
          <t>Sulawesi Barat</t>
        </is>
      </c>
      <c r="Q119" s="3">
        <f>HYPERLINK("https://wa.me/6281355843344?text=*[PERINGATAN DARURAT SBU MADURI ZAMZANI]*%0A%0AYth. Pimpinan MADURI ZAMZANI,%0AMasa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0">
      <c r="A120" t="inlineStr">
        <is>
          <t>MAHAYU MANDIRI</t>
        </is>
      </c>
      <c r="B120" t="inlineStr">
        <is>
          <t>Kab. Malang</t>
        </is>
      </c>
      <c r="C120" t="inlineStr">
        <is>
          <t>081333280078</t>
        </is>
      </c>
      <c r="D120" t="inlineStr">
        <is>
          <t>luckyedie@ymail.com</t>
        </is>
      </c>
      <c r="E120" t="inlineStr">
        <is>
          <t>https://lpjk.pu.go.id/search-badan-usaha-detail/SVBRaXgrbTFjOWJvcTEvZmpGZFZBUT09</t>
        </is>
      </c>
      <c r="F120" t="n">
        <v>1</v>
      </c>
      <c r="G120" t="inlineStr">
        <is>
          <t>BS001</t>
        </is>
      </c>
      <c r="H120" t="inlineStr">
        <is>
          <t>1 September 2006</t>
        </is>
      </c>
      <c r="I120" s="2" t="n">
        <v>46193</v>
      </c>
      <c r="J120" t="inlineStr">
        <is>
          <t>Disetujui</t>
        </is>
      </c>
      <c r="K120" t="n">
        <v>30</v>
      </c>
      <c r="L120" t="inlineStr">
        <is>
          <t>20 Juni 2026</t>
        </is>
      </c>
      <c r="M120" t="inlineStr">
        <is>
          <t>Konstruksi Bangunan Sipil Jalan</t>
        </is>
      </c>
      <c r="N120" t="inlineStr">
        <is>
          <t>K</t>
        </is>
      </c>
      <c r="O120" t="inlineStr">
        <is>
          <t>20230610</t>
        </is>
      </c>
      <c r="P120" t="inlineStr">
        <is>
          <t>Jawa Timur</t>
        </is>
      </c>
      <c r="Q120" s="3">
        <f>HYPERLINK("https://wa.me/6281333280078?text=*[PERINGATAN DARURAT SBU MAHAYU MANDIRI]*%0A%0AYth. Pimpinan MAHAYU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1">
      <c r="A121" t="inlineStr">
        <is>
          <t>MAJA DESIGN UTAMA</t>
        </is>
      </c>
      <c r="B121" t="inlineStr">
        <is>
          <t>Kab. Mojokerto</t>
        </is>
      </c>
      <c r="C121" t="inlineStr">
        <is>
          <t>-</t>
        </is>
      </c>
      <c r="D121" t="inlineStr">
        <is>
          <t>majadesignutama19@gmail.com</t>
        </is>
      </c>
      <c r="E121" t="inlineStr">
        <is>
          <t>https://lpjk.pu.go.id/search-badan-usaha-detail/ODFFenRnZXBjV2w2dFRWQTZBNjJ2Zz09</t>
        </is>
      </c>
      <c r="F121" t="n">
        <v>1</v>
      </c>
      <c r="G121" t="inlineStr">
        <is>
          <t>RK001</t>
        </is>
      </c>
      <c r="H121" t="inlineStr">
        <is>
          <t>30 April 2019</t>
        </is>
      </c>
      <c r="I121" s="2" t="n">
        <v>46193</v>
      </c>
      <c r="J121" t="inlineStr">
        <is>
          <t>Disetujui</t>
        </is>
      </c>
      <c r="K121" t="n">
        <v>30</v>
      </c>
      <c r="L121" t="inlineStr">
        <is>
          <t>20 Juni 2026</t>
        </is>
      </c>
      <c r="M121" t="inlineStr">
        <is>
          <t>Jasa Rekayasa Konstruksi Bangunan Gedung Hunian dan Non Hunian</t>
        </is>
      </c>
      <c r="N121" t="inlineStr">
        <is>
          <t>K</t>
        </is>
      </c>
      <c r="O121" t="inlineStr">
        <is>
          <t>20230614</t>
        </is>
      </c>
      <c r="P121" t="inlineStr">
        <is>
          <t>Jawa Timur</t>
        </is>
      </c>
      <c r="Q121" t="inlineStr"/>
    </row>
    <row r="122">
      <c r="A122" t="inlineStr">
        <is>
          <t>MANDALA PUTRA JAYA</t>
        </is>
      </c>
      <c r="B122" t="inlineStr">
        <is>
          <t>Kab. Pacitan</t>
        </is>
      </c>
      <c r="C122" t="inlineStr">
        <is>
          <t>081333380203</t>
        </is>
      </c>
      <c r="D122" t="inlineStr">
        <is>
          <t>cvmandalaputrajaya22@gmail.com</t>
        </is>
      </c>
      <c r="E122" t="inlineStr">
        <is>
          <t>https://lpjk.pu.go.id/search-badan-usaha-detail/MVpTYVFRcCtyblpRMEZGZHlITXc5dz09</t>
        </is>
      </c>
      <c r="F122" t="n">
        <v>4</v>
      </c>
      <c r="G122" t="inlineStr">
        <is>
          <t>BS001, BS005</t>
        </is>
      </c>
      <c r="H122" t="inlineStr">
        <is>
          <t>24 Mei 2022</t>
        </is>
      </c>
      <c r="I122" s="2" t="n">
        <v>46193</v>
      </c>
      <c r="J122" t="inlineStr">
        <is>
          <t>Disetujui</t>
        </is>
      </c>
      <c r="K122" t="n">
        <v>30</v>
      </c>
      <c r="L122" t="inlineStr">
        <is>
          <t>20 Juni 2026</t>
        </is>
      </c>
      <c r="M122" t="inlineStr">
        <is>
          <t>Konstruksi Bangunan Sipil Jalan, Konstruksi Bangunan Sipil Pengolahan Air Bersih</t>
        </is>
      </c>
      <c r="N122" t="inlineStr">
        <is>
          <t>K</t>
        </is>
      </c>
      <c r="O122" t="inlineStr">
        <is>
          <t>20230618, 20230621</t>
        </is>
      </c>
      <c r="P122" t="inlineStr">
        <is>
          <t>Jawa Timur</t>
        </is>
      </c>
      <c r="Q122" s="3">
        <f>HYPERLINK("https://wa.me/6281333380203?text=*[PERINGATAN DARURAT SBU MANDALA PUTRA JAYA]*%0A%0AYth. Pimpinan MANDALA PUTRA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3">
      <c r="A123" t="inlineStr">
        <is>
          <t>MANDIRI</t>
        </is>
      </c>
      <c r="B123" t="inlineStr">
        <is>
          <t>Kota Tasikmalaya</t>
        </is>
      </c>
      <c r="C123" t="inlineStr">
        <is>
          <t>081313834555</t>
        </is>
      </c>
      <c r="D123" t="inlineStr">
        <is>
          <t>mandiri_cv@ymail.com</t>
        </is>
      </c>
      <c r="E123" t="inlineStr">
        <is>
          <t>https://lpjk.pu.go.id/search-badan-usaha-detail/Ukx4M1NxQ3pVYXN2UHY0SlloQlV1Zz09</t>
        </is>
      </c>
      <c r="F123" t="n">
        <v>4</v>
      </c>
      <c r="G123" t="inlineStr">
        <is>
          <t>BG009, BS001, BS004, BS005</t>
        </is>
      </c>
      <c r="H123" t="inlineStr">
        <is>
          <t>5 Oktober 1993</t>
        </is>
      </c>
      <c r="I123" s="2" t="n">
        <v>46193</v>
      </c>
      <c r="J123" t="inlineStr">
        <is>
          <t>Disetujui, Pencabutan</t>
        </is>
      </c>
      <c r="K123" t="n">
        <v>30</v>
      </c>
      <c r="L123" t="inlineStr">
        <is>
          <t>20 Juni 2026</t>
        </is>
      </c>
      <c r="M123" t="inlineStr">
        <is>
          <t>Konstruksi Bangunan Sipil Jalan, Konstruksi Bangunan Sipil Pengolahan Air Bersih, Konstruksi Gedung Lainnya, Konstruksi Jaringan Irigasi dan Drainase</t>
        </is>
      </c>
      <c r="N123" t="inlineStr">
        <is>
          <t>K</t>
        </is>
      </c>
      <c r="O123" t="inlineStr">
        <is>
          <t>20230608, 20230612</t>
        </is>
      </c>
      <c r="P123" t="inlineStr">
        <is>
          <t>Jawa Barat</t>
        </is>
      </c>
      <c r="Q123" s="3">
        <f>HYPERLINK("https://wa.me/6281313834555?text=*[PERINGATAN DARURAT SBU MANDIRI]*%0A%0AYth. Pimpinan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4">
      <c r="A124" t="inlineStr">
        <is>
          <t>MANDIRI JAYA</t>
        </is>
      </c>
      <c r="B124" t="inlineStr">
        <is>
          <t>Kab. Karawang</t>
        </is>
      </c>
      <c r="C124" t="inlineStr">
        <is>
          <t>08111211187</t>
        </is>
      </c>
      <c r="D124" t="inlineStr">
        <is>
          <t>cv.mandirijaya988@gmail.com</t>
        </is>
      </c>
      <c r="E124" t="inlineStr">
        <is>
          <t>https://lpjk.pu.go.id/search-badan-usaha-detail/eWpndVIvU0FYMHgwKzduNmpCdmFCUT09</t>
        </is>
      </c>
      <c r="F124" t="n">
        <v>1</v>
      </c>
      <c r="G124" t="inlineStr">
        <is>
          <t>BG006</t>
        </is>
      </c>
      <c r="H124" t="inlineStr">
        <is>
          <t>3 September 2019</t>
        </is>
      </c>
      <c r="I124" s="2" t="n">
        <v>46193</v>
      </c>
      <c r="J124" t="inlineStr">
        <is>
          <t>Disetujui</t>
        </is>
      </c>
      <c r="K124" t="n">
        <v>30</v>
      </c>
      <c r="L124" t="inlineStr">
        <is>
          <t>20 Juni 2026</t>
        </is>
      </c>
      <c r="M124" t="inlineStr">
        <is>
          <t>Konstruksi Gedung Pendidikan</t>
        </is>
      </c>
      <c r="N124" t="inlineStr">
        <is>
          <t>K</t>
        </is>
      </c>
      <c r="O124" t="inlineStr">
        <is>
          <t>20230523</t>
        </is>
      </c>
      <c r="P124" t="inlineStr">
        <is>
          <t>Jawa Barat</t>
        </is>
      </c>
      <c r="Q124" s="3">
        <f>HYPERLINK("https://wa.me/628111211187?text=*[PERINGATAN DARURAT SBU MANDIRI JAYA]*%0A%0AYth. Pimpinan MANDIRI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5">
      <c r="A125" t="inlineStr">
        <is>
          <t>MANDIRI PRIMA SEHATI</t>
        </is>
      </c>
      <c r="B125" t="inlineStr">
        <is>
          <t>Kota Pekanbaru</t>
        </is>
      </c>
      <c r="C125" t="inlineStr">
        <is>
          <t>081275500779</t>
        </is>
      </c>
      <c r="D125" t="inlineStr">
        <is>
          <t>mandiriprimasehati@gmail.com</t>
        </is>
      </c>
      <c r="E125" t="inlineStr">
        <is>
          <t>https://lpjk.pu.go.id/search-badan-usaha-detail/NlNHWnV6bXlwVG1ydThSS3Q5T21Jdz09</t>
        </is>
      </c>
      <c r="F125" t="n">
        <v>1</v>
      </c>
      <c r="G125" t="inlineStr">
        <is>
          <t>BG006</t>
        </is>
      </c>
      <c r="H125" t="inlineStr">
        <is>
          <t>23 Desember 2010</t>
        </is>
      </c>
      <c r="I125" s="2" t="n">
        <v>46193</v>
      </c>
      <c r="J125" t="inlineStr">
        <is>
          <t>Disetujui</t>
        </is>
      </c>
      <c r="K125" t="n">
        <v>30</v>
      </c>
      <c r="L125" t="inlineStr">
        <is>
          <t>20 Juni 2026</t>
        </is>
      </c>
      <c r="M125" t="inlineStr">
        <is>
          <t>Konstruksi Gedung Pendidikan</t>
        </is>
      </c>
      <c r="N125" t="inlineStr">
        <is>
          <t>K</t>
        </is>
      </c>
      <c r="O125" t="inlineStr">
        <is>
          <t>20230620</t>
        </is>
      </c>
      <c r="P125" t="inlineStr">
        <is>
          <t>Riau</t>
        </is>
      </c>
      <c r="Q125" s="3">
        <f>HYPERLINK("https://wa.me/6281275500779?text=*[PERINGATAN DARURAT SBU MANDIRI PRIMA SEHATI]*%0A%0AYth. Pimpinan MANDIRI PRIMA SEHATI,%0AMasa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6">
      <c r="A126" t="inlineStr">
        <is>
          <t>MARGO JOYO REJO</t>
        </is>
      </c>
      <c r="B126" t="inlineStr">
        <is>
          <t>Kota Salatiga</t>
        </is>
      </c>
      <c r="C126" t="inlineStr">
        <is>
          <t>085640202025</t>
        </is>
      </c>
      <c r="D126" t="inlineStr">
        <is>
          <t>cvmargojoyorejo@yahoo.com</t>
        </is>
      </c>
      <c r="E126" t="inlineStr">
        <is>
          <t>https://lpjk.pu.go.id/search-badan-usaha-detail/RytydkdnQzhCZEhkQ3E4dGMxb1Ezdz09</t>
        </is>
      </c>
      <c r="F126" t="n">
        <v>1</v>
      </c>
      <c r="G126" t="inlineStr">
        <is>
          <t>BS004</t>
        </is>
      </c>
      <c r="H126" t="inlineStr">
        <is>
          <t>14 Februari 2013</t>
        </is>
      </c>
      <c r="I126" s="2" t="n">
        <v>46193</v>
      </c>
      <c r="J126" t="inlineStr">
        <is>
          <t>Disetujui</t>
        </is>
      </c>
      <c r="K126" t="n">
        <v>30</v>
      </c>
      <c r="L126" t="inlineStr">
        <is>
          <t>20 Juni 2026</t>
        </is>
      </c>
      <c r="M126" t="inlineStr">
        <is>
          <t>Konstruksi Jaringan Irigasi dan Drainase</t>
        </is>
      </c>
      <c r="N126" t="inlineStr">
        <is>
          <t>K</t>
        </is>
      </c>
      <c r="O126" t="inlineStr">
        <is>
          <t>20230620</t>
        </is>
      </c>
      <c r="P126" t="inlineStr">
        <is>
          <t>Jawa Tengah</t>
        </is>
      </c>
      <c r="Q126" s="3">
        <f>HYPERLINK("https://wa.me/6285640202025?text=*[PERINGATAN DARURAT SBU MARGO JOYO REJO]*%0A%0AYth. Pimpinan MARGO JOYO REJO,%0AMasa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7">
      <c r="A127" t="inlineStr">
        <is>
          <t>MARSA</t>
        </is>
      </c>
      <c r="B127" t="inlineStr">
        <is>
          <t>Kota Pontianak</t>
        </is>
      </c>
      <c r="C127" t="inlineStr">
        <is>
          <t>085821263245</t>
        </is>
      </c>
      <c r="D127" t="inlineStr">
        <is>
          <t>cvmarsa@gmail.com</t>
        </is>
      </c>
      <c r="E127" t="inlineStr">
        <is>
          <t>https://lpjk.pu.go.id/search-badan-usaha-detail/NjVkNXVnMEVueXdYM0kwU2xBalIzUT09</t>
        </is>
      </c>
      <c r="F127" t="n">
        <v>2</v>
      </c>
      <c r="G127" t="inlineStr">
        <is>
          <t>BS004</t>
        </is>
      </c>
      <c r="H127" t="inlineStr">
        <is>
          <t>12 September 1980</t>
        </is>
      </c>
      <c r="I127" s="2" t="n">
        <v>46193</v>
      </c>
      <c r="J127" t="inlineStr">
        <is>
          <t>Disetujui</t>
        </is>
      </c>
      <c r="K127" t="n">
        <v>30</v>
      </c>
      <c r="L127" t="inlineStr">
        <is>
          <t>20 Juni 2026</t>
        </is>
      </c>
      <c r="M127" t="inlineStr">
        <is>
          <t>Konstruksi Jaringan Irigasi dan Drainase</t>
        </is>
      </c>
      <c r="N127" t="inlineStr">
        <is>
          <t>K</t>
        </is>
      </c>
      <c r="O127" t="inlineStr">
        <is>
          <t>20230613</t>
        </is>
      </c>
      <c r="P127" t="inlineStr">
        <is>
          <t>Kalimantan Barat</t>
        </is>
      </c>
      <c r="Q127" s="3">
        <f>HYPERLINK("https://wa.me/6285821263245?text=*[PERINGATAN DARURAT SBU MARSA]*%0A%0AYth. Pimpinan MARSA,%0AMasa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8">
      <c r="A128" t="inlineStr">
        <is>
          <t>MEGA TALENTA</t>
        </is>
      </c>
      <c r="B128" t="inlineStr">
        <is>
          <t>Kota Batam</t>
        </is>
      </c>
      <c r="C128" t="inlineStr">
        <is>
          <t>085363392025</t>
        </is>
      </c>
      <c r="D128" t="inlineStr">
        <is>
          <t>mega_talenta@hotmail.com</t>
        </is>
      </c>
      <c r="E128" t="inlineStr">
        <is>
          <t>https://lpjk.pu.go.id/search-badan-usaha-detail/emxzRUJISFUwZitOZnBZeW8wV2ozZz09</t>
        </is>
      </c>
      <c r="F128" t="n">
        <v>1</v>
      </c>
      <c r="G128" t="inlineStr">
        <is>
          <t>RK003</t>
        </is>
      </c>
      <c r="H128" t="inlineStr">
        <is>
          <t>11 Oktober 2012</t>
        </is>
      </c>
      <c r="I128" s="2" t="n">
        <v>46193</v>
      </c>
      <c r="J128" t="inlineStr">
        <is>
          <t>Validasi</t>
        </is>
      </c>
      <c r="K128" t="n">
        <v>30</v>
      </c>
      <c r="L128" t="inlineStr">
        <is>
          <t>20 Juni 2026</t>
        </is>
      </c>
      <c r="M128" t="inlineStr">
        <is>
          <t>Jasa Rekayasa Pekerjaan Teknik Sipil Transportasi</t>
        </is>
      </c>
      <c r="N128" t="inlineStr">
        <is>
          <t>K</t>
        </is>
      </c>
      <c r="O128" t="inlineStr">
        <is>
          <t>20230530</t>
        </is>
      </c>
      <c r="P128" t="inlineStr">
        <is>
          <t>Kepulauan Riau</t>
        </is>
      </c>
      <c r="Q128" s="3">
        <f>HYPERLINK("https://wa.me/6285363392025?text=*[PERINGATAN DARURAT SBU MEGA TALENTA]*%0A%0AYth. Pimpinan MEGA TALENTA,%0AMasa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29">
      <c r="A129" t="inlineStr">
        <is>
          <t>MENTARI BIRU</t>
        </is>
      </c>
      <c r="B129" t="inlineStr">
        <is>
          <t>Kota Ternate</t>
        </is>
      </c>
      <c r="C129" t="inlineStr">
        <is>
          <t>0921</t>
        </is>
      </c>
      <c r="D129" t="inlineStr">
        <is>
          <t>mentaribiru4oss@gmail.com</t>
        </is>
      </c>
      <c r="E129" t="inlineStr">
        <is>
          <t>https://lpjk.pu.go.id/search-badan-usaha-detail/cHNBSFpwMmVlQmZMS3cyU0Q3azRjZz09</t>
        </is>
      </c>
      <c r="F129" t="n">
        <v>1</v>
      </c>
      <c r="G129" t="inlineStr">
        <is>
          <t>BS010</t>
        </is>
      </c>
      <c r="H129" t="inlineStr">
        <is>
          <t>14 Januari 2019</t>
        </is>
      </c>
      <c r="I129" s="2" t="n">
        <v>46193</v>
      </c>
      <c r="J129" t="inlineStr">
        <is>
          <t>Disetujui</t>
        </is>
      </c>
      <c r="K129" t="n">
        <v>30</v>
      </c>
      <c r="L129" t="inlineStr">
        <is>
          <t>20 Juni 2026</t>
        </is>
      </c>
      <c r="M129" t="inlineStr">
        <is>
          <t>Konstruksi Bangunan Prasarana Sumber Daya Air</t>
        </is>
      </c>
      <c r="N129" t="inlineStr">
        <is>
          <t>K</t>
        </is>
      </c>
      <c r="O129" t="inlineStr">
        <is>
          <t>20230614</t>
        </is>
      </c>
      <c r="P129" t="inlineStr">
        <is>
          <t>Maluku Utara</t>
        </is>
      </c>
      <c r="Q129" s="3">
        <f>HYPERLINK("https://wa.me/62921?text=*[PERINGATAN DARURAT SBU MENTARI BIRU]*%0A%0AYth. Pimpinan MENTARI BIRU,%0AMasa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0">
      <c r="A130" t="inlineStr">
        <is>
          <t>MERPATI JAYA</t>
        </is>
      </c>
      <c r="B130" t="inlineStr">
        <is>
          <t>Kab. Jember</t>
        </is>
      </c>
      <c r="C130" t="inlineStr">
        <is>
          <t>0331483855</t>
        </is>
      </c>
      <c r="D130" t="inlineStr">
        <is>
          <t>fendipranata239@gmail.com</t>
        </is>
      </c>
      <c r="E130" t="inlineStr">
        <is>
          <t>https://lpjk.pu.go.id/search-badan-usaha-detail/Vm14RTByWnlCU1NNYmlyM0tEcUI5UT09</t>
        </is>
      </c>
      <c r="F130" t="n">
        <v>1</v>
      </c>
      <c r="G130" t="inlineStr">
        <is>
          <t>BG009</t>
        </is>
      </c>
      <c r="H130" t="inlineStr">
        <is>
          <t>4 Oktober 1986</t>
        </is>
      </c>
      <c r="I130" s="2" t="n">
        <v>46193</v>
      </c>
      <c r="J130" t="inlineStr">
        <is>
          <t>Pencabutan</t>
        </is>
      </c>
      <c r="K130" t="n">
        <v>30</v>
      </c>
      <c r="L130" t="inlineStr">
        <is>
          <t>20 Juni 2026</t>
        </is>
      </c>
      <c r="M130" t="inlineStr">
        <is>
          <t>Konstruksi Gedung Lainnya</t>
        </is>
      </c>
      <c r="N130" t="inlineStr">
        <is>
          <t>K</t>
        </is>
      </c>
      <c r="O130" t="inlineStr">
        <is>
          <t>20230616</t>
        </is>
      </c>
      <c r="P130" t="inlineStr">
        <is>
          <t>Jawa Timur</t>
        </is>
      </c>
      <c r="Q130" s="3">
        <f>HYPERLINK("https://wa.me/62331483855?text=*[PERINGATAN DARURAT SBU MERPATI JAYA]*%0A%0AYth. Pimpinan MERPATI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1">
      <c r="A131" t="inlineStr">
        <is>
          <t>MITRA MAS</t>
        </is>
      </c>
      <c r="B131" t="inlineStr">
        <is>
          <t>Kota Pontianak</t>
        </is>
      </c>
      <c r="C131" t="inlineStr">
        <is>
          <t>085332244457</t>
        </is>
      </c>
      <c r="D131" t="inlineStr">
        <is>
          <t>mitramascv345@gmail.com</t>
        </is>
      </c>
      <c r="E131" t="inlineStr">
        <is>
          <t>https://lpjk.pu.go.id/search-badan-usaha-detail/ZXpER1RjZzFlQlExKzJra1RaeXBxUT09</t>
        </is>
      </c>
      <c r="F131" t="n">
        <v>2</v>
      </c>
      <c r="G131" t="inlineStr">
        <is>
          <t>BS001, BS004</t>
        </is>
      </c>
      <c r="H131" t="inlineStr">
        <is>
          <t>8 November 2012</t>
        </is>
      </c>
      <c r="I131" s="2" t="n">
        <v>46193</v>
      </c>
      <c r="J131" t="inlineStr">
        <is>
          <t>Disetujui</t>
        </is>
      </c>
      <c r="K131" t="n">
        <v>30</v>
      </c>
      <c r="L131" t="inlineStr">
        <is>
          <t>20 Juni 2026</t>
        </is>
      </c>
      <c r="M131" t="inlineStr">
        <is>
          <t>Konstruksi Bangunan Sipil Jalan, Konstruksi Jaringan Irigasi dan Drainase</t>
        </is>
      </c>
      <c r="N131" t="inlineStr">
        <is>
          <t>K</t>
        </is>
      </c>
      <c r="O131" t="inlineStr">
        <is>
          <t>20230620</t>
        </is>
      </c>
      <c r="P131" t="inlineStr">
        <is>
          <t>Kalimantan Barat</t>
        </is>
      </c>
      <c r="Q131" s="3">
        <f>HYPERLINK("https://wa.me/6285332244457?text=*[PERINGATAN DARURAT SBU MITRA MAS]*%0A%0AYth. Pimpinan MITRA MAS,%0AMasa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2">
      <c r="A132" t="inlineStr">
        <is>
          <t>MITRA PERDANA</t>
        </is>
      </c>
      <c r="B132" t="inlineStr">
        <is>
          <t>Kab. Soppeng</t>
        </is>
      </c>
      <c r="C132" t="inlineStr">
        <is>
          <t>085255233232</t>
        </is>
      </c>
      <c r="D132" t="inlineStr">
        <is>
          <t>mitraperdana_cv@yahoo.com</t>
        </is>
      </c>
      <c r="E132" t="inlineStr">
        <is>
          <t>https://lpjk.pu.go.id/search-badan-usaha-detail/YS9CS0Z6WXdPY2o3ZU9wRy9pQjBlUT09</t>
        </is>
      </c>
      <c r="F132" t="n">
        <v>2</v>
      </c>
      <c r="G132" t="inlineStr">
        <is>
          <t>BG002, BG009</t>
        </is>
      </c>
      <c r="H132" t="inlineStr">
        <is>
          <t>27 Maret 2007</t>
        </is>
      </c>
      <c r="I132" s="2" t="n">
        <v>46193</v>
      </c>
      <c r="J132" t="inlineStr">
        <is>
          <t>Disetujui</t>
        </is>
      </c>
      <c r="K132" t="n">
        <v>30</v>
      </c>
      <c r="L132" t="inlineStr">
        <is>
          <t>20 Juni 2026</t>
        </is>
      </c>
      <c r="M132" t="inlineStr">
        <is>
          <t>Konstruksi Gedung Lainnya, Konstruksi Gedung Perkantoran</t>
        </is>
      </c>
      <c r="N132" t="inlineStr">
        <is>
          <t>K</t>
        </is>
      </c>
      <c r="O132" t="inlineStr">
        <is>
          <t>20230609, 20230616</t>
        </is>
      </c>
      <c r="P132" t="inlineStr">
        <is>
          <t>Sulawesi Selatan</t>
        </is>
      </c>
      <c r="Q132" s="3">
        <f>HYPERLINK("https://wa.me/6285255233232?text=*[PERINGATAN DARURAT SBU MITRA PERDANA]*%0A%0AYth. Pimpinan MITRA PERDANA,%0AMasa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3">
      <c r="A133" t="inlineStr">
        <is>
          <t>MUKTI JAYA SEJAHTERA</t>
        </is>
      </c>
      <c r="B133" t="inlineStr">
        <is>
          <t>Kab. Indramayu</t>
        </is>
      </c>
      <c r="C133" t="inlineStr">
        <is>
          <t>081395866123</t>
        </is>
      </c>
      <c r="D133" t="inlineStr">
        <is>
          <t>muktijayasejahtera.cv@gmail.com</t>
        </is>
      </c>
      <c r="E133" t="inlineStr">
        <is>
          <t>https://lpjk.pu.go.id/search-badan-usaha-detail/akRkKzZ0TVo5U1JrM3JKY2d0UUx5Zz09</t>
        </is>
      </c>
      <c r="F133" t="n">
        <v>1</v>
      </c>
      <c r="G133" t="inlineStr">
        <is>
          <t>BG002</t>
        </is>
      </c>
      <c r="H133" t="inlineStr">
        <is>
          <t>7 Juli 2019</t>
        </is>
      </c>
      <c r="I133" s="2" t="n">
        <v>46193</v>
      </c>
      <c r="J133" t="inlineStr">
        <is>
          <t>Disetujui</t>
        </is>
      </c>
      <c r="K133" t="n">
        <v>30</v>
      </c>
      <c r="L133" t="inlineStr">
        <is>
          <t>20 Juni 2026</t>
        </is>
      </c>
      <c r="M133" t="inlineStr">
        <is>
          <t>Konstruksi Gedung Perkantoran</t>
        </is>
      </c>
      <c r="N133" t="inlineStr">
        <is>
          <t>K</t>
        </is>
      </c>
      <c r="O133" t="inlineStr">
        <is>
          <t>20230619</t>
        </is>
      </c>
      <c r="P133" t="inlineStr">
        <is>
          <t>Jawa Barat</t>
        </is>
      </c>
      <c r="Q133" s="3">
        <f>HYPERLINK("https://wa.me/6281395866123?text=*[PERINGATAN DARURAT SBU MUKTI JAYA SEJAHTERA]*%0A%0AYth. Pimpinan MUKTI JAYA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4">
      <c r="A134" t="inlineStr">
        <is>
          <t>MULIA JAYA</t>
        </is>
      </c>
      <c r="B134" t="inlineStr">
        <is>
          <t>Kab. Kotawaringin Timur</t>
        </is>
      </c>
      <c r="C134" t="inlineStr">
        <is>
          <t>082255688580</t>
        </is>
      </c>
      <c r="D134" t="inlineStr">
        <is>
          <t>cv.muliajaya19@yahoo.co.id</t>
        </is>
      </c>
      <c r="E134" t="inlineStr">
        <is>
          <t>https://lpjk.pu.go.id/search-badan-usaha-detail/S05MQkpRajJVMXFpUWxFbjF2c2lPUT09</t>
        </is>
      </c>
      <c r="F134" t="n">
        <v>2</v>
      </c>
      <c r="G134" t="inlineStr">
        <is>
          <t>BG005, BG009</t>
        </is>
      </c>
      <c r="H134" t="inlineStr">
        <is>
          <t>8 Oktober 2014</t>
        </is>
      </c>
      <c r="I134" s="2" t="n">
        <v>46193</v>
      </c>
      <c r="J134" t="inlineStr">
        <is>
          <t>Disetujui</t>
        </is>
      </c>
      <c r="K134" t="n">
        <v>30</v>
      </c>
      <c r="L134" t="inlineStr">
        <is>
          <t>20 Juni 2026</t>
        </is>
      </c>
      <c r="M134" t="inlineStr">
        <is>
          <t>Konstruksi Gedung Kesehatan, Konstruksi Gedung Lainnya</t>
        </is>
      </c>
      <c r="N134" t="inlineStr">
        <is>
          <t>K</t>
        </is>
      </c>
      <c r="O134" t="inlineStr">
        <is>
          <t>20230620</t>
        </is>
      </c>
      <c r="P134" t="inlineStr">
        <is>
          <t>Kalimantan Tengah</t>
        </is>
      </c>
      <c r="Q134" s="3">
        <f>HYPERLINK("https://wa.me/6282255688580?text=*[PERINGATAN DARURAT SBU MULIA JAYA]*%0A%0AYth. Pimpinan MULIA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5">
      <c r="A135" t="inlineStr">
        <is>
          <t>MUSTIKA AHMAD</t>
        </is>
      </c>
      <c r="B135" t="inlineStr">
        <is>
          <t>Kab. Demak</t>
        </is>
      </c>
      <c r="C135" t="inlineStr">
        <is>
          <t>08156653257</t>
        </is>
      </c>
      <c r="D135" t="inlineStr">
        <is>
          <t>Junnademak@Gmail.Com</t>
        </is>
      </c>
      <c r="E135" t="inlineStr">
        <is>
          <t>https://lpjk.pu.go.id/search-badan-usaha-detail/NkZsTXR0aEVSak9wbENNVFRmeTBkZz09</t>
        </is>
      </c>
      <c r="F135" t="n">
        <v>1</v>
      </c>
      <c r="G135" t="inlineStr">
        <is>
          <t>BG006</t>
        </is>
      </c>
      <c r="H135" t="inlineStr">
        <is>
          <t>18 November 2016</t>
        </is>
      </c>
      <c r="I135" s="2" t="n">
        <v>46193</v>
      </c>
      <c r="J135" t="inlineStr">
        <is>
          <t>Disetujui</t>
        </is>
      </c>
      <c r="K135" t="n">
        <v>30</v>
      </c>
      <c r="L135" t="inlineStr">
        <is>
          <t>20 Juni 2026</t>
        </is>
      </c>
      <c r="M135" t="inlineStr">
        <is>
          <t>Konstruksi Gedung Pendidikan</t>
        </is>
      </c>
      <c r="N135" t="inlineStr">
        <is>
          <t>K</t>
        </is>
      </c>
      <c r="O135" t="inlineStr">
        <is>
          <t>20230613</t>
        </is>
      </c>
      <c r="P135" t="inlineStr">
        <is>
          <t>Jawa Tengah</t>
        </is>
      </c>
      <c r="Q135" s="3">
        <f>HYPERLINK("https://wa.me/628156653257?text=*[PERINGATAN DARURAT SBU MUSTIKA AHMAD]*%0A%0AYth. Pimpinan MUSTIKA AHMAD,%0AMasa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6">
      <c r="A136" t="inlineStr">
        <is>
          <t>MUTIARA SEJATI</t>
        </is>
      </c>
      <c r="B136" t="inlineStr">
        <is>
          <t>Kab. Konawe Selatan</t>
        </is>
      </c>
      <c r="C136" t="inlineStr">
        <is>
          <t>081330374544</t>
        </is>
      </c>
      <c r="D136" t="inlineStr">
        <is>
          <t>ardinfaad790@gmail.com</t>
        </is>
      </c>
      <c r="E136" t="inlineStr">
        <is>
          <t>https://lpjk.pu.go.id/search-badan-usaha-detail/TTcyWnZBMEZZbW0yaDBmSlk3T3pGdz09</t>
        </is>
      </c>
      <c r="F136" t="n">
        <v>2</v>
      </c>
      <c r="G136" t="inlineStr">
        <is>
          <t>BG005</t>
        </is>
      </c>
      <c r="H136" t="inlineStr">
        <is>
          <t>5 Maret 1999</t>
        </is>
      </c>
      <c r="I136" s="2" t="n">
        <v>46193</v>
      </c>
      <c r="J136" t="inlineStr">
        <is>
          <t>Disetujui</t>
        </is>
      </c>
      <c r="K136" t="n">
        <v>30</v>
      </c>
      <c r="L136" t="inlineStr">
        <is>
          <t>20 Juni 2026</t>
        </is>
      </c>
      <c r="M136" t="inlineStr">
        <is>
          <t>Konstruksi Gedung Kesehatan</t>
        </is>
      </c>
      <c r="N136" t="inlineStr">
        <is>
          <t>K</t>
        </is>
      </c>
      <c r="O136" t="inlineStr">
        <is>
          <t>20230616</t>
        </is>
      </c>
      <c r="P136" t="inlineStr">
        <is>
          <t>Sulawesi Tenggara</t>
        </is>
      </c>
      <c r="Q136" s="3">
        <f>HYPERLINK("https://wa.me/6281330374544?text=*[PERINGATAN DARURAT SBU MUTIARA SEJATI]*%0A%0AYth. Pimpinan MUTIARA SEJATI,%0AMasa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7">
      <c r="A137" t="inlineStr">
        <is>
          <t>NAFAS BERKAH ABADI</t>
        </is>
      </c>
      <c r="B137" t="inlineStr">
        <is>
          <t>Kota Cilegon</t>
        </is>
      </c>
      <c r="C137" t="inlineStr">
        <is>
          <t>0254382976</t>
        </is>
      </c>
      <c r="D137" t="inlineStr">
        <is>
          <t>nafasberkahabadi@gmail.com</t>
        </is>
      </c>
      <c r="E137" t="inlineStr">
        <is>
          <t>https://lpjk.pu.go.id/search-badan-usaha-detail/TDc3eWdOcVlpYzFDeHJ2Y1g1YUNSZz09</t>
        </is>
      </c>
      <c r="F137" t="n">
        <v>1</v>
      </c>
      <c r="G137" t="inlineStr">
        <is>
          <t>BG003</t>
        </is>
      </c>
      <c r="H137" t="inlineStr">
        <is>
          <t>18 Januari 2023</t>
        </is>
      </c>
      <c r="I137" s="2" t="n">
        <v>46193</v>
      </c>
      <c r="J137" t="inlineStr">
        <is>
          <t>Disetujui</t>
        </is>
      </c>
      <c r="K137" t="n">
        <v>30</v>
      </c>
      <c r="L137" t="inlineStr">
        <is>
          <t>20 Juni 2026</t>
        </is>
      </c>
      <c r="M137" t="inlineStr">
        <is>
          <t>Konstruksi Gedung Industri</t>
        </is>
      </c>
      <c r="N137" t="inlineStr">
        <is>
          <t>K</t>
        </is>
      </c>
      <c r="O137" t="inlineStr">
        <is>
          <t>20230306</t>
        </is>
      </c>
      <c r="P137" t="inlineStr">
        <is>
          <t>Banten</t>
        </is>
      </c>
      <c r="Q137" s="3">
        <f>HYPERLINK("https://wa.me/62254382976?text=*[PERINGATAN DARURAT SBU NAFAS BERKAH ABADI]*%0A%0AYth. Pimpinan NAFAS BERKAH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8">
      <c r="A138" t="inlineStr">
        <is>
          <t>NARARYA PRATAMA DESAIN</t>
        </is>
      </c>
      <c r="B138" t="inlineStr">
        <is>
          <t>Kota Denpasar</t>
        </is>
      </c>
      <c r="C138" t="inlineStr">
        <is>
          <t>089605560462</t>
        </is>
      </c>
      <c r="D138" t="inlineStr">
        <is>
          <t>nararyapratamadesain@gmail.com</t>
        </is>
      </c>
      <c r="E138" t="inlineStr">
        <is>
          <t>https://lpjk.pu.go.id/search-badan-usaha-detail/WVJMNmg4N1E1U0kvZ2ZhWEpYQ2taUT09</t>
        </is>
      </c>
      <c r="F138" t="n">
        <v>2</v>
      </c>
      <c r="G138" t="inlineStr">
        <is>
          <t>AR001</t>
        </is>
      </c>
      <c r="H138" t="inlineStr">
        <is>
          <t>13 Juni 2018</t>
        </is>
      </c>
      <c r="I138" s="2" t="n">
        <v>46193</v>
      </c>
      <c r="J138" t="inlineStr">
        <is>
          <t>Disetujui</t>
        </is>
      </c>
      <c r="K138" t="n">
        <v>30</v>
      </c>
      <c r="L138" t="inlineStr">
        <is>
          <t>20 Juni 2026</t>
        </is>
      </c>
      <c r="M138" t="inlineStr">
        <is>
          <t>Jasa Arsitektural Bangunan Gedung Hunian dan Non Hunian</t>
        </is>
      </c>
      <c r="N138" t="inlineStr">
        <is>
          <t>K</t>
        </is>
      </c>
      <c r="O138" t="inlineStr">
        <is>
          <t>20230607</t>
        </is>
      </c>
      <c r="P138" t="inlineStr">
        <is>
          <t>Bali</t>
        </is>
      </c>
      <c r="Q138" s="3">
        <f>HYPERLINK("https://wa.me/6289605560462?text=*[PERINGATAN DARURAT SBU NARARYA PRATAMA DESAIN]*%0A%0AYth. Pimpinan NARARYA PRATAMA DESAIN,%0AMasa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39">
      <c r="A139" t="inlineStr">
        <is>
          <t>NAWASENA RAFFLESIA KONSTRUKSI</t>
        </is>
      </c>
      <c r="B139" t="inlineStr">
        <is>
          <t>Kota Bengkulu</t>
        </is>
      </c>
      <c r="C139" t="inlineStr">
        <is>
          <t>082345594904</t>
        </is>
      </c>
      <c r="D139" t="inlineStr">
        <is>
          <t>nawasenarafflesia@gmail.com</t>
        </is>
      </c>
      <c r="E139" t="inlineStr">
        <is>
          <t>https://lpjk.pu.go.id/search-badan-usaha-detail/clZNdUhZZVR2VGI1RWdrMS9YMWtBUT09</t>
        </is>
      </c>
      <c r="F139" t="n">
        <v>4</v>
      </c>
      <c r="G139" t="inlineStr">
        <is>
          <t>BG001, BG002</t>
        </is>
      </c>
      <c r="H139" t="inlineStr">
        <is>
          <t>13 Februari 2023</t>
        </is>
      </c>
      <c r="I139" s="2" t="n">
        <v>46193</v>
      </c>
      <c r="J139" t="inlineStr">
        <is>
          <t>Disetujui</t>
        </is>
      </c>
      <c r="K139" t="n">
        <v>30</v>
      </c>
      <c r="L139" t="inlineStr">
        <is>
          <t>20 Juni 2026</t>
        </is>
      </c>
      <c r="M139" t="inlineStr">
        <is>
          <t>Konstruksi Gedung Hunian, Konstruksi Gedung Perkantoran</t>
        </is>
      </c>
      <c r="N139" t="inlineStr">
        <is>
          <t>K</t>
        </is>
      </c>
      <c r="O139" t="inlineStr">
        <is>
          <t>20230616, 20230619</t>
        </is>
      </c>
      <c r="P139" t="inlineStr">
        <is>
          <t>Bengkulu</t>
        </is>
      </c>
      <c r="Q139" s="3">
        <f>HYPERLINK("https://wa.me/6282345594904?text=*[PERINGATAN DARURAT SBU NAWASENA RAFFLESIA KONSTRUKSI]*%0A%0AYth. Pimpinan NAWASENA RAFFLESIA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0">
      <c r="A140" t="inlineStr">
        <is>
          <t>NISCALA AZZA KONSTRUKSI</t>
        </is>
      </c>
      <c r="B140" t="inlineStr">
        <is>
          <t>Kab. Sleman</t>
        </is>
      </c>
      <c r="C140" t="inlineStr">
        <is>
          <t>081393108109</t>
        </is>
      </c>
      <c r="D140" t="inlineStr">
        <is>
          <t>niscalaazza@gmail.com</t>
        </is>
      </c>
      <c r="E140" t="inlineStr">
        <is>
          <t>https://lpjk.pu.go.id/search-badan-usaha-detail/b1NyK0NXdlhnZzZ2STFTOStVNGY3dz09</t>
        </is>
      </c>
      <c r="F140" t="n">
        <v>1</v>
      </c>
      <c r="G140" t="inlineStr">
        <is>
          <t>BG009</t>
        </is>
      </c>
      <c r="H140" t="inlineStr">
        <is>
          <t>11 Mei 2023</t>
        </is>
      </c>
      <c r="I140" s="2" t="n">
        <v>46193</v>
      </c>
      <c r="J140" t="inlineStr">
        <is>
          <t>Disetujui</t>
        </is>
      </c>
      <c r="K140" t="n">
        <v>30</v>
      </c>
      <c r="L140" t="inlineStr">
        <is>
          <t>20 Juni 2026</t>
        </is>
      </c>
      <c r="M140" t="inlineStr">
        <is>
          <t>Konstruksi Gedung Lainnya</t>
        </is>
      </c>
      <c r="N140" t="inlineStr">
        <is>
          <t>K</t>
        </is>
      </c>
      <c r="O140" t="inlineStr">
        <is>
          <t>20230614</t>
        </is>
      </c>
      <c r="P140" t="inlineStr">
        <is>
          <t>DI Yogyakarta</t>
        </is>
      </c>
      <c r="Q140" s="3">
        <f>HYPERLINK("https://wa.me/6281393108109?text=*[PERINGATAN DARURAT SBU NISCALA AZZA KONSTRUKSI]*%0A%0AYth. Pimpinan NISCALA AZZA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1">
      <c r="A141" t="inlineStr">
        <is>
          <t>NIZAR</t>
        </is>
      </c>
      <c r="B141" t="inlineStr">
        <is>
          <t>Kab. Jember</t>
        </is>
      </c>
      <c r="C141" t="inlineStr">
        <is>
          <t>082234849874</t>
        </is>
      </c>
      <c r="D141" t="inlineStr">
        <is>
          <t>nizarjbr99@gmail.com</t>
        </is>
      </c>
      <c r="E141" t="inlineStr">
        <is>
          <t>https://lpjk.pu.go.id/search-badan-usaha-detail/MWtONHR6K0lhVTZWUmk1N1lBYmVMZz09</t>
        </is>
      </c>
      <c r="F141" t="n">
        <v>1</v>
      </c>
      <c r="G141" t="inlineStr">
        <is>
          <t>BS004</t>
        </is>
      </c>
      <c r="H141" t="inlineStr">
        <is>
          <t>9 Februari 2016</t>
        </is>
      </c>
      <c r="I141" s="2" t="n">
        <v>46193</v>
      </c>
      <c r="J141" t="inlineStr">
        <is>
          <t>Disetujui</t>
        </is>
      </c>
      <c r="K141" t="n">
        <v>30</v>
      </c>
      <c r="L141" t="inlineStr">
        <is>
          <t>20 Juni 2026</t>
        </is>
      </c>
      <c r="M141" t="inlineStr">
        <is>
          <t>Konstruksi Jaringan Irigasi dan Drainase</t>
        </is>
      </c>
      <c r="N141" t="inlineStr">
        <is>
          <t>K</t>
        </is>
      </c>
      <c r="O141" t="inlineStr">
        <is>
          <t>20230616</t>
        </is>
      </c>
      <c r="P141" t="inlineStr">
        <is>
          <t>Jawa Timur</t>
        </is>
      </c>
      <c r="Q141" s="3">
        <f>HYPERLINK("https://wa.me/6282234849874?text=*[PERINGATAN DARURAT SBU NIZAR]*%0A%0AYth. Pimpinan NIZAR,%0AMasa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2">
      <c r="A142" t="inlineStr">
        <is>
          <t>NOVALIA</t>
        </is>
      </c>
      <c r="B142" t="inlineStr">
        <is>
          <t>Kab. Sikka</t>
        </is>
      </c>
      <c r="C142" t="inlineStr">
        <is>
          <t>081339268039</t>
        </is>
      </c>
      <c r="D142" t="inlineStr">
        <is>
          <t>novaliacv111@gmail.com</t>
        </is>
      </c>
      <c r="E142" t="inlineStr">
        <is>
          <t>https://lpjk.pu.go.id/search-badan-usaha-detail/VHViQ1dOM3lzYnRQU0F5dmFKWEJBdz09</t>
        </is>
      </c>
      <c r="F142" t="n">
        <v>2</v>
      </c>
      <c r="G142" t="inlineStr">
        <is>
          <t>BG006</t>
        </is>
      </c>
      <c r="H142" t="inlineStr">
        <is>
          <t>5 November 2021</t>
        </is>
      </c>
      <c r="I142" s="2" t="n">
        <v>46193</v>
      </c>
      <c r="J142" t="inlineStr">
        <is>
          <t>Pencabutan</t>
        </is>
      </c>
      <c r="K142" t="n">
        <v>30</v>
      </c>
      <c r="L142" t="inlineStr">
        <is>
          <t>20 Juni 2026</t>
        </is>
      </c>
      <c r="M142" t="inlineStr">
        <is>
          <t>Konstruksi Gedung Pendidikan</t>
        </is>
      </c>
      <c r="N142" t="inlineStr">
        <is>
          <t>K</t>
        </is>
      </c>
      <c r="O142" t="inlineStr">
        <is>
          <t>20230620</t>
        </is>
      </c>
      <c r="P142" t="inlineStr">
        <is>
          <t>Nusa Tenggara Timur</t>
        </is>
      </c>
      <c r="Q142" s="3">
        <f>HYPERLINK("https://wa.me/6281339268039?text=*[PERINGATAN DARURAT SBU NOVALIA]*%0A%0AYth. Pimpinan NOVALIA,%0AMasa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3">
      <c r="A143" t="inlineStr">
        <is>
          <t>OMEGA</t>
        </is>
      </c>
      <c r="B143" t="inlineStr">
        <is>
          <t>Kab. Jayawijaya</t>
        </is>
      </c>
      <c r="C143" t="inlineStr">
        <is>
          <t>08124029977</t>
        </is>
      </c>
      <c r="D143" t="inlineStr">
        <is>
          <t>cv.omega85@gmail.com</t>
        </is>
      </c>
      <c r="E143" t="inlineStr">
        <is>
          <t>https://lpjk.pu.go.id/search-badan-usaha-detail/ZUM5a0lvd2YxbWd0ZFIxRzRFNHVUZz09</t>
        </is>
      </c>
      <c r="F143" t="n">
        <v>4</v>
      </c>
      <c r="G143" t="inlineStr">
        <is>
          <t>BG001, BG002, BG005, BG006</t>
        </is>
      </c>
      <c r="H143" t="inlineStr">
        <is>
          <t>12 Februari 2001</t>
        </is>
      </c>
      <c r="I143" s="2" t="n">
        <v>46193</v>
      </c>
      <c r="J143" t="inlineStr">
        <is>
          <t>Disetujui</t>
        </is>
      </c>
      <c r="K143" t="n">
        <v>30</v>
      </c>
      <c r="L143" t="inlineStr">
        <is>
          <t>20 Juni 2026</t>
        </is>
      </c>
      <c r="M143" t="inlineStr">
        <is>
          <t>Konstruksi Gedung Hunian, Konstruksi Gedung Kesehatan, Konstruksi Gedung Pendidikan, Konstruksi Gedung Perkantoran</t>
        </is>
      </c>
      <c r="N143" t="inlineStr">
        <is>
          <t>K</t>
        </is>
      </c>
      <c r="O143" t="inlineStr">
        <is>
          <t>20230621</t>
        </is>
      </c>
      <c r="P143" t="inlineStr">
        <is>
          <t>Papua</t>
        </is>
      </c>
      <c r="Q143" s="3">
        <f>HYPERLINK("https://wa.me/628124029977?text=*[PERINGATAN DARURAT SBU OMEGA]*%0A%0AYth. Pimpinan OMEGA,%0AMasa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4">
      <c r="A144" t="inlineStr">
        <is>
          <t>PADI SUBUR</t>
        </is>
      </c>
      <c r="B144" t="inlineStr">
        <is>
          <t>Kab. Batanghari</t>
        </is>
      </c>
      <c r="C144" t="inlineStr">
        <is>
          <t>082373492427</t>
        </is>
      </c>
      <c r="D144" t="inlineStr">
        <is>
          <t>rendi.12andani@yahoo.com</t>
        </is>
      </c>
      <c r="E144" t="inlineStr">
        <is>
          <t>https://lpjk.pu.go.id/search-badan-usaha-detail/VlE1dkxPRHdQT2FtVE4ySCtJT2I5Zz09</t>
        </is>
      </c>
      <c r="F144" t="n">
        <v>1</v>
      </c>
      <c r="G144" t="inlineStr">
        <is>
          <t>BG002</t>
        </is>
      </c>
      <c r="H144" t="inlineStr">
        <is>
          <t>6 September 2019</t>
        </is>
      </c>
      <c r="I144" s="2" t="n">
        <v>46193</v>
      </c>
      <c r="J144" t="inlineStr">
        <is>
          <t>Disetujui</t>
        </is>
      </c>
      <c r="K144" t="n">
        <v>30</v>
      </c>
      <c r="L144" t="inlineStr">
        <is>
          <t>20 Juni 2026</t>
        </is>
      </c>
      <c r="M144" t="inlineStr">
        <is>
          <t>Konstruksi Gedung Perkantoran</t>
        </is>
      </c>
      <c r="N144" t="inlineStr">
        <is>
          <t>K</t>
        </is>
      </c>
      <c r="O144" t="inlineStr">
        <is>
          <t>20230604</t>
        </is>
      </c>
      <c r="P144" t="inlineStr">
        <is>
          <t>Jambi</t>
        </is>
      </c>
      <c r="Q144" s="3">
        <f>HYPERLINK("https://wa.me/6282373492427?text=*[PERINGATAN DARURAT SBU PADI SUBUR]*%0A%0AYth. Pimpinan PADI SUBUR,%0AMasa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5">
      <c r="A145" t="inlineStr">
        <is>
          <t>PANCA DUTA KHARISMA</t>
        </is>
      </c>
      <c r="B145" t="inlineStr">
        <is>
          <t>Kab. Banyuwangi</t>
        </is>
      </c>
      <c r="C145" t="inlineStr">
        <is>
          <t>081233789507</t>
        </is>
      </c>
      <c r="D145" t="inlineStr">
        <is>
          <t>muhammad.nasir53@gmail.com</t>
        </is>
      </c>
      <c r="E145" t="inlineStr">
        <is>
          <t>https://lpjk.pu.go.id/search-badan-usaha-detail/WE5pVVdrSERmTCtOaE5GMHFjTS9PZz09</t>
        </is>
      </c>
      <c r="F145" t="n">
        <v>1</v>
      </c>
      <c r="G145" t="inlineStr">
        <is>
          <t>BG006</t>
        </is>
      </c>
      <c r="H145" t="inlineStr">
        <is>
          <t>5 Desember 2007</t>
        </is>
      </c>
      <c r="I145" s="2" t="n">
        <v>46193</v>
      </c>
      <c r="J145" t="inlineStr">
        <is>
          <t>Disetujui</t>
        </is>
      </c>
      <c r="K145" t="n">
        <v>30</v>
      </c>
      <c r="L145" t="inlineStr">
        <is>
          <t>20 Juni 2026</t>
        </is>
      </c>
      <c r="M145" t="inlineStr">
        <is>
          <t>Konstruksi Gedung Pendidikan</t>
        </is>
      </c>
      <c r="N145" t="inlineStr">
        <is>
          <t>K</t>
        </is>
      </c>
      <c r="O145" t="inlineStr">
        <is>
          <t>20230616</t>
        </is>
      </c>
      <c r="P145" t="inlineStr">
        <is>
          <t>Jawa Timur</t>
        </is>
      </c>
      <c r="Q145" s="3">
        <f>HYPERLINK("https://wa.me/6281233789507?text=*[PERINGATAN DARURAT SBU PANCA DUTA KHARISMA]*%0A%0AYth. Pimpinan PANCA DUTA KHARISMA,%0AMasa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6">
      <c r="A146" t="inlineStr">
        <is>
          <t>PAYUNG KOBAR SAKTI</t>
        </is>
      </c>
      <c r="B146" t="inlineStr">
        <is>
          <t>Kab. Sumbawa</t>
        </is>
      </c>
      <c r="C146" t="inlineStr">
        <is>
          <t>087863703337</t>
        </is>
      </c>
      <c r="D146" t="inlineStr">
        <is>
          <t>payungkobarsakti@gmail.com</t>
        </is>
      </c>
      <c r="E146" t="inlineStr">
        <is>
          <t>https://lpjk.pu.go.id/search-badan-usaha-detail/RzdxQ2lEZHZtVTNOam95Z205UnpXQT09</t>
        </is>
      </c>
      <c r="F146" t="n">
        <v>1</v>
      </c>
      <c r="G146" t="inlineStr">
        <is>
          <t>BG009</t>
        </is>
      </c>
      <c r="H146" t="inlineStr">
        <is>
          <t>27 September 2007</t>
        </is>
      </c>
      <c r="I146" s="2" t="n">
        <v>46193</v>
      </c>
      <c r="J146" t="inlineStr">
        <is>
          <t>Disetujui</t>
        </is>
      </c>
      <c r="K146" t="n">
        <v>30</v>
      </c>
      <c r="L146" t="inlineStr">
        <is>
          <t>20 Juni 2026</t>
        </is>
      </c>
      <c r="M146" t="inlineStr">
        <is>
          <t>Konstruksi Gedung Lainnya</t>
        </is>
      </c>
      <c r="N146" t="inlineStr">
        <is>
          <t>K</t>
        </is>
      </c>
      <c r="O146" t="inlineStr">
        <is>
          <t>20230616</t>
        </is>
      </c>
      <c r="P146" t="inlineStr">
        <is>
          <t>Nusa Tenggara Barat</t>
        </is>
      </c>
      <c r="Q146" s="3">
        <f>HYPERLINK("https://wa.me/6287863703337?text=*[PERINGATAN DARURAT SBU PAYUNG KOBAR SAKTI]*%0A%0AYth. Pimpinan PAYUNG KOBAR SAKTI,%0AMasa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7">
      <c r="A147" t="inlineStr">
        <is>
          <t>PERDANA MEY SEJAHTERA</t>
        </is>
      </c>
      <c r="B147" t="inlineStr">
        <is>
          <t>Kab. Langkat</t>
        </is>
      </c>
      <c r="C147" t="inlineStr">
        <is>
          <t>081268954915</t>
        </is>
      </c>
      <c r="D147" t="inlineStr">
        <is>
          <t>cv.perdanamey@umkmgo.online</t>
        </is>
      </c>
      <c r="E147" t="inlineStr">
        <is>
          <t>https://lpjk.pu.go.id/search-badan-usaha-detail/aHpCcWk2V0NwOHdoSmQ5eEhESzdxQT09</t>
        </is>
      </c>
      <c r="F147" t="n">
        <v>4</v>
      </c>
      <c r="G147" t="inlineStr">
        <is>
          <t>BG005, BG006, BG009, BS001</t>
        </is>
      </c>
      <c r="H147" t="inlineStr">
        <is>
          <t>4 April 2023</t>
        </is>
      </c>
      <c r="I147" s="2" t="n">
        <v>46193</v>
      </c>
      <c r="J147" t="inlineStr">
        <is>
          <t>Disetujui</t>
        </is>
      </c>
      <c r="K147" t="n">
        <v>30</v>
      </c>
      <c r="L147" t="inlineStr">
        <is>
          <t>20 Juni 2026</t>
        </is>
      </c>
      <c r="M147" t="inlineStr">
        <is>
          <t>Konstruksi Bangunan Sipil Jalan, Konstruksi Gedung Kesehatan, Konstruksi Gedung Lainnya, Konstruksi Gedung Pendidikan</t>
        </is>
      </c>
      <c r="N147" t="inlineStr">
        <is>
          <t>K</t>
        </is>
      </c>
      <c r="O147" t="inlineStr">
        <is>
          <t>20230620</t>
        </is>
      </c>
      <c r="P147" t="inlineStr">
        <is>
          <t>Sumatera Utara</t>
        </is>
      </c>
      <c r="Q147" s="3">
        <f>HYPERLINK("https://wa.me/6281268954915?text=*[PERINGATAN DARURAT SBU PERDANA MEY SEJAHTERA]*%0A%0AYth. Pimpinan PERDANA MEY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8">
      <c r="A148" t="inlineStr">
        <is>
          <t>PERMATA ABADI</t>
        </is>
      </c>
      <c r="B148" t="inlineStr">
        <is>
          <t>Kota Pekalongan</t>
        </is>
      </c>
      <c r="C148" t="inlineStr">
        <is>
          <t>081226557271</t>
        </is>
      </c>
      <c r="D148" t="inlineStr">
        <is>
          <t>cv.permata_abadi@yahoo.co.id</t>
        </is>
      </c>
      <c r="E148" t="inlineStr">
        <is>
          <t>https://lpjk.pu.go.id/search-badan-usaha-detail/Tzh3M09HNGdOWFRnSnc5b2NCSytsYkRsdkFBSXdwNkNqWEwzL1VQaUNIQT0</t>
        </is>
      </c>
      <c r="F148" t="n">
        <v>1</v>
      </c>
      <c r="G148" t="inlineStr">
        <is>
          <t>BS001</t>
        </is>
      </c>
      <c r="H148" t="inlineStr">
        <is>
          <t>26 Januari 2026</t>
        </is>
      </c>
      <c r="I148" s="2" t="n">
        <v>46193</v>
      </c>
      <c r="J148" t="inlineStr">
        <is>
          <t>Disetujui</t>
        </is>
      </c>
      <c r="K148" t="n">
        <v>30</v>
      </c>
      <c r="L148" t="inlineStr">
        <is>
          <t>20 Juni 2026</t>
        </is>
      </c>
      <c r="M148" t="inlineStr">
        <is>
          <t>Konstruksi Bangunan Sipil Jalan</t>
        </is>
      </c>
      <c r="N148" t="inlineStr">
        <is>
          <t>K</t>
        </is>
      </c>
      <c r="O148" t="inlineStr">
        <is>
          <t>20230619</t>
        </is>
      </c>
      <c r="P148" t="inlineStr">
        <is>
          <t>Jawa Tengah</t>
        </is>
      </c>
      <c r="Q148" s="3">
        <f>HYPERLINK("https://wa.me/6281226557271?text=*[PERINGATAN DARURAT SBU PERMATA ABADI]*%0A%0AYth. Pimpinan PERMATA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49">
      <c r="A149" t="inlineStr">
        <is>
          <t>PERMATA KARYA</t>
        </is>
      </c>
      <c r="B149" t="inlineStr">
        <is>
          <t>Kota Ternate</t>
        </is>
      </c>
      <c r="C149" t="inlineStr">
        <is>
          <t>081340022628</t>
        </is>
      </c>
      <c r="D149" t="inlineStr">
        <is>
          <t>permatakarya2014@gmail.com</t>
        </is>
      </c>
      <c r="E149" t="inlineStr">
        <is>
          <t>https://lpjk.pu.go.id/search-badan-usaha-detail/MzI5MVJ1cmo1YXJrcVU3bjZUcVh4dz09</t>
        </is>
      </c>
      <c r="F149" t="n">
        <v>1</v>
      </c>
      <c r="G149" t="inlineStr">
        <is>
          <t>PB010</t>
        </is>
      </c>
      <c r="H149" t="inlineStr">
        <is>
          <t>30 April 2013</t>
        </is>
      </c>
      <c r="I149" s="2" t="n">
        <v>46193</v>
      </c>
      <c r="J149" t="inlineStr">
        <is>
          <t>Pencabutan</t>
        </is>
      </c>
      <c r="K149" t="n">
        <v>30</v>
      </c>
      <c r="L149" t="inlineStr">
        <is>
          <t>20 Juni 2026</t>
        </is>
      </c>
      <c r="M149" t="inlineStr">
        <is>
          <t>Pekerjaan Lanskap, Pertamanan, dan Penanaman Vegetasi</t>
        </is>
      </c>
      <c r="N149" t="inlineStr">
        <is>
          <t>Spesialis</t>
        </is>
      </c>
      <c r="O149" t="inlineStr">
        <is>
          <t>20230615</t>
        </is>
      </c>
      <c r="P149" t="inlineStr">
        <is>
          <t>Maluku Utara</t>
        </is>
      </c>
      <c r="Q149" s="3">
        <f>HYPERLINK("https://wa.me/6281340022628?text=*[PERINGATAN DARURAT SBU PERMATA KARYA]*%0A%0AYth. Pimpinan PERMATA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0">
      <c r="A150" t="inlineStr">
        <is>
          <t>PERUSAHAAN PERSEROAN (PERSERO) PT BARATA INDONESIA</t>
        </is>
      </c>
      <c r="B150" t="inlineStr">
        <is>
          <t>Kab. Gresik</t>
        </is>
      </c>
      <c r="C150" t="inlineStr">
        <is>
          <t>0313982778</t>
        </is>
      </c>
      <c r="D150" t="inlineStr">
        <is>
          <t>birohukum@barata.id</t>
        </is>
      </c>
      <c r="E150" t="inlineStr">
        <is>
          <t>https://lpjk.pu.go.id/search-badan-usaha-detail/emEzVk1BcGIxR1hNN21ORnFHT05lQT09</t>
        </is>
      </c>
      <c r="F150" t="n">
        <v>1</v>
      </c>
      <c r="G150" t="inlineStr">
        <is>
          <t>KK016</t>
        </is>
      </c>
      <c r="H150" t="inlineStr">
        <is>
          <t>19 Mei 1971</t>
        </is>
      </c>
      <c r="I150" s="2" t="n">
        <v>46193</v>
      </c>
      <c r="J150" t="inlineStr">
        <is>
          <t>Pencabutan</t>
        </is>
      </c>
      <c r="K150" t="n">
        <v>30</v>
      </c>
      <c r="L150" t="inlineStr">
        <is>
          <t>20 Juni 2026</t>
        </is>
      </c>
      <c r="M150" t="inlineStr">
        <is>
          <t>Pemasangan Kerangka Baja</t>
        </is>
      </c>
      <c r="N150" t="inlineStr">
        <is>
          <t>Spesialis</t>
        </is>
      </c>
      <c r="O150" t="inlineStr">
        <is>
          <t>20230620</t>
        </is>
      </c>
      <c r="P150" t="inlineStr">
        <is>
          <t>Jawa Timur</t>
        </is>
      </c>
      <c r="Q150" s="3">
        <f>HYPERLINK("https://wa.me/62313982778?text=*[PERINGATAN DARURAT SBU PERUSAHAAN PERSEROAN (PERSERO) PT BARATA INDONESIA]*%0A%0AYth. Pimpinan PERUSAHAAN PERSEROAN (PERSERO) PT BARATA INDONESIA,%0AMasa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1">
      <c r="A151" t="inlineStr">
        <is>
          <t>PILAR KOKOH LESTARI</t>
        </is>
      </c>
      <c r="B151" t="inlineStr">
        <is>
          <t>Kota Bandung</t>
        </is>
      </c>
      <c r="C151" t="inlineStr">
        <is>
          <t>081287812677</t>
        </is>
      </c>
      <c r="D151" t="inlineStr">
        <is>
          <t>pilarkokohlestari.nib@gmail.com</t>
        </is>
      </c>
      <c r="E151" t="inlineStr">
        <is>
          <t>https://lpjk.pu.go.id/search-badan-usaha-detail/dk9yWm43S1J2QU9GYVZBaVFGUEJqQT09</t>
        </is>
      </c>
      <c r="F151" t="n">
        <v>3</v>
      </c>
      <c r="G151" t="inlineStr">
        <is>
          <t>BG001, BG003, BG004</t>
        </is>
      </c>
      <c r="H151" t="inlineStr">
        <is>
          <t>16 November 2022</t>
        </is>
      </c>
      <c r="I151" s="2" t="n">
        <v>46193</v>
      </c>
      <c r="J151" t="inlineStr">
        <is>
          <t>Disetujui</t>
        </is>
      </c>
      <c r="K151" t="n">
        <v>30</v>
      </c>
      <c r="L151" t="inlineStr">
        <is>
          <t>20 Juni 2026</t>
        </is>
      </c>
      <c r="M151" t="inlineStr">
        <is>
          <t>Konstruksi Gedung Hunian, Konstruksi Gedung Industri, Konstruksi Gedung Perbelanjaan</t>
        </is>
      </c>
      <c r="N151" t="inlineStr">
        <is>
          <t>K</t>
        </is>
      </c>
      <c r="O151" t="inlineStr">
        <is>
          <t>20230618</t>
        </is>
      </c>
      <c r="P151" t="inlineStr">
        <is>
          <t>Jawa Barat</t>
        </is>
      </c>
      <c r="Q151" s="3">
        <f>HYPERLINK("https://wa.me/6281287812677?text=*[PERINGATAN DARURAT SBU PILAR KOKOH LESTARI]*%0A%0AYth. Pimpinan PILAR KOKOH LESTARI,%0AMasa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2">
      <c r="A152" t="inlineStr">
        <is>
          <t>PRAMADANA DIPTA</t>
        </is>
      </c>
      <c r="B152" t="inlineStr">
        <is>
          <t>Kab. Cirebon</t>
        </is>
      </c>
      <c r="C152" t="inlineStr">
        <is>
          <t>085222140123</t>
        </is>
      </c>
      <c r="D152" t="inlineStr">
        <is>
          <t>CvPramadanaDipta@gmail.com</t>
        </is>
      </c>
      <c r="E152" t="inlineStr">
        <is>
          <t>https://lpjk.pu.go.id/search-badan-usaha-detail/bXJxYzNMM0VLdDczMnlyYVdCdmZYQT09</t>
        </is>
      </c>
      <c r="F152" t="n">
        <v>1</v>
      </c>
      <c r="G152" t="inlineStr">
        <is>
          <t>BG006</t>
        </is>
      </c>
      <c r="H152" t="inlineStr">
        <is>
          <t>1 April 2023</t>
        </is>
      </c>
      <c r="I152" s="2" t="n">
        <v>46193</v>
      </c>
      <c r="J152" t="inlineStr">
        <is>
          <t>Disetujui</t>
        </is>
      </c>
      <c r="K152" t="n">
        <v>30</v>
      </c>
      <c r="L152" t="inlineStr">
        <is>
          <t>20 Juni 2026</t>
        </is>
      </c>
      <c r="M152" t="inlineStr">
        <is>
          <t>Konstruksi Gedung Pendidikan</t>
        </is>
      </c>
      <c r="N152" t="inlineStr">
        <is>
          <t>K</t>
        </is>
      </c>
      <c r="O152" t="inlineStr">
        <is>
          <t>20230619</t>
        </is>
      </c>
      <c r="P152" t="inlineStr">
        <is>
          <t>Jawa Barat</t>
        </is>
      </c>
      <c r="Q152" s="3">
        <f>HYPERLINK("https://wa.me/6285222140123?text=*[PERINGATAN DARURAT SBU PRAMADANA DIPTA]*%0A%0AYth. Pimpinan PRAMADANA DIPTA,%0AMasa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3">
      <c r="A153" t="inlineStr">
        <is>
          <t>PRANAN JAYA</t>
        </is>
      </c>
      <c r="B153" t="inlineStr">
        <is>
          <t>Kab. Tegal</t>
        </is>
      </c>
      <c r="C153" t="inlineStr">
        <is>
          <t>087721641790</t>
        </is>
      </c>
      <c r="D153" t="inlineStr">
        <is>
          <t>prajamas71@gmail.com</t>
        </is>
      </c>
      <c r="E153" t="inlineStr">
        <is>
          <t>https://lpjk.pu.go.id/search-badan-usaha-detail/QXo1R0JGendlYm1MSlBlaUZjbjhQUT09</t>
        </is>
      </c>
      <c r="F153" t="n">
        <v>2</v>
      </c>
      <c r="G153" t="inlineStr">
        <is>
          <t>BG006, BS001</t>
        </is>
      </c>
      <c r="H153" t="inlineStr">
        <is>
          <t>9 Juli 2001</t>
        </is>
      </c>
      <c r="I153" s="2" t="n">
        <v>46193</v>
      </c>
      <c r="J153" t="inlineStr">
        <is>
          <t>Disetujui</t>
        </is>
      </c>
      <c r="K153" t="n">
        <v>30</v>
      </c>
      <c r="L153" t="inlineStr">
        <is>
          <t>20 Juni 2026</t>
        </is>
      </c>
      <c r="M153" t="inlineStr">
        <is>
          <t>Konstruksi Bangunan Sipil Jalan, Konstruksi Gedung Pendidikan</t>
        </is>
      </c>
      <c r="N153" t="inlineStr">
        <is>
          <t>K</t>
        </is>
      </c>
      <c r="O153" t="inlineStr">
        <is>
          <t>20230615</t>
        </is>
      </c>
      <c r="P153" t="inlineStr">
        <is>
          <t>Jawa Tengah</t>
        </is>
      </c>
      <c r="Q153" s="3">
        <f>HYPERLINK("https://wa.me/6287721641790?text=*[PERINGATAN DARURAT SBU PRANAN JAYA]*%0A%0AYth. Pimpinan PRANAN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4">
      <c r="A154" t="inlineStr">
        <is>
          <t>PRANATA KARYA</t>
        </is>
      </c>
      <c r="B154" t="inlineStr">
        <is>
          <t>Kota Surabaya</t>
        </is>
      </c>
      <c r="C154" t="inlineStr">
        <is>
          <t>085730179609</t>
        </is>
      </c>
      <c r="D154" t="inlineStr">
        <is>
          <t>consultantcvpratakarya@gmail.com</t>
        </is>
      </c>
      <c r="E154" t="inlineStr">
        <is>
          <t>https://lpjk.pu.go.id/search-badan-usaha-detail/SEVlMzBKbkRCSnBwNXRkZjc1d0FKUT09</t>
        </is>
      </c>
      <c r="F154" t="n">
        <v>2</v>
      </c>
      <c r="G154" t="inlineStr">
        <is>
          <t>RK003</t>
        </is>
      </c>
      <c r="H154" t="inlineStr">
        <is>
          <t>27 Januari 2016</t>
        </is>
      </c>
      <c r="I154" s="2" t="n">
        <v>46193</v>
      </c>
      <c r="J154" t="inlineStr">
        <is>
          <t>Disetujui</t>
        </is>
      </c>
      <c r="K154" t="n">
        <v>30</v>
      </c>
      <c r="L154" t="inlineStr">
        <is>
          <t>20 Juni 2026</t>
        </is>
      </c>
      <c r="M154" t="inlineStr">
        <is>
          <t>Jasa Rekayasa Pekerjaan Teknik Sipil Transportasi</t>
        </is>
      </c>
      <c r="N154" t="inlineStr">
        <is>
          <t>K</t>
        </is>
      </c>
      <c r="O154" t="inlineStr">
        <is>
          <t>20230615</t>
        </is>
      </c>
      <c r="P154" t="inlineStr">
        <is>
          <t>Jawa Timur</t>
        </is>
      </c>
      <c r="Q154" s="3">
        <f>HYPERLINK("https://wa.me/6285730179609?text=*[PERINGATAN DARURAT SBU PRANATA KARYA]*%0A%0AYth. Pimpinan PRANATA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5">
      <c r="A155" t="inlineStr">
        <is>
          <t>PRATAMA CHATUR TEE</t>
        </is>
      </c>
      <c r="B155" t="inlineStr">
        <is>
          <t>Kota Surabaya</t>
        </is>
      </c>
      <c r="C155" t="inlineStr">
        <is>
          <t>0317664307</t>
        </is>
      </c>
      <c r="D155" t="inlineStr">
        <is>
          <t>cvpratama33@gmail.com</t>
        </is>
      </c>
      <c r="E155" t="inlineStr">
        <is>
          <t>https://lpjk.pu.go.id/search-badan-usaha-detail/R3Z2WlFIZWZaUmV0NXM0TVppSnNSdz09</t>
        </is>
      </c>
      <c r="F155" t="n">
        <v>1</v>
      </c>
      <c r="G155" t="inlineStr">
        <is>
          <t>BG009</t>
        </is>
      </c>
      <c r="H155" t="inlineStr">
        <is>
          <t>5 April 2007</t>
        </is>
      </c>
      <c r="I155" s="2" t="n">
        <v>46193</v>
      </c>
      <c r="J155" t="inlineStr">
        <is>
          <t>Disetujui</t>
        </is>
      </c>
      <c r="K155" t="n">
        <v>30</v>
      </c>
      <c r="L155" t="inlineStr">
        <is>
          <t>20 Juni 2026</t>
        </is>
      </c>
      <c r="M155" t="inlineStr">
        <is>
          <t>Konstruksi Gedung Lainnya</t>
        </is>
      </c>
      <c r="N155" t="inlineStr">
        <is>
          <t>K</t>
        </is>
      </c>
      <c r="O155" t="inlineStr">
        <is>
          <t>20230616</t>
        </is>
      </c>
      <c r="P155" t="inlineStr">
        <is>
          <t>Jawa Timur</t>
        </is>
      </c>
      <c r="Q155" s="3">
        <f>HYPERLINK("https://wa.me/62317664307?text=*[PERINGATAN DARURAT SBU PRATAMA CHATUR TEE]*%0A%0AYth. Pimpinan PRATAMA CHATUR TEE,%0AMasa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6">
      <c r="A156" t="inlineStr">
        <is>
          <t>PRIKON ENGINEERING</t>
        </is>
      </c>
      <c r="B156" t="inlineStr">
        <is>
          <t>Kab. Cianjur</t>
        </is>
      </c>
      <c r="C156" t="inlineStr">
        <is>
          <t>087820133193</t>
        </is>
      </c>
      <c r="D156" t="inlineStr">
        <is>
          <t>cv.prikon@yahoo.com</t>
        </is>
      </c>
      <c r="E156" t="inlineStr">
        <is>
          <t>https://lpjk.pu.go.id/search-badan-usaha-detail/eVpVUFNFcXJBTGFBTmVuK29XaG5kdz09</t>
        </is>
      </c>
      <c r="F156" t="n">
        <v>8</v>
      </c>
      <c r="G156" t="inlineStr">
        <is>
          <t>BG006, BS001, BS002, BS004</t>
        </is>
      </c>
      <c r="H156" t="inlineStr">
        <is>
          <t>26 Januari 2001</t>
        </is>
      </c>
      <c r="I156" s="2" t="n">
        <v>46193</v>
      </c>
      <c r="J156" t="inlineStr">
        <is>
          <t>Pencabutan</t>
        </is>
      </c>
      <c r="K156" t="n">
        <v>30</v>
      </c>
      <c r="L156" t="inlineStr">
        <is>
          <t>20 Juni 2026</t>
        </is>
      </c>
      <c r="M156" t="inlineStr">
        <is>
          <t>Bangunan Sipil Jembatan, Jalan Layang, Fly Over, dan Underpass, Konstruksi Bangunan Sipil Jalan, Konstruksi Gedung Pendidikan, Konstruksi Jaringan Irigasi dan Drainase</t>
        </is>
      </c>
      <c r="N156" t="inlineStr">
        <is>
          <t>K</t>
        </is>
      </c>
      <c r="O156" t="inlineStr">
        <is>
          <t>20230614</t>
        </is>
      </c>
      <c r="P156" t="inlineStr">
        <is>
          <t>Jawa Barat</t>
        </is>
      </c>
      <c r="Q156" s="3">
        <f>HYPERLINK("https://wa.me/6287820133193?text=*[PERINGATAN DARURAT SBU PRIKON ENGINEERING]*%0A%0AYth. Pimpinan PRIKON ENGINEERING,%0AMasa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7">
      <c r="A157" t="inlineStr">
        <is>
          <t>PROYEKTA</t>
        </is>
      </c>
      <c r="B157" t="inlineStr">
        <is>
          <t>Kab. Subang</t>
        </is>
      </c>
      <c r="C157" t="inlineStr">
        <is>
          <t>081221192811</t>
        </is>
      </c>
      <c r="D157" t="inlineStr">
        <is>
          <t>proyektacv@gmail.com</t>
        </is>
      </c>
      <c r="E157" t="inlineStr">
        <is>
          <t>https://lpjk.pu.go.id/search-badan-usaha-detail/eVp0WG1KWEdYN3JHZy9aK2YzTlRjdz09</t>
        </is>
      </c>
      <c r="F157" t="n">
        <v>2</v>
      </c>
      <c r="G157" t="inlineStr">
        <is>
          <t>BG006, BG009</t>
        </is>
      </c>
      <c r="H157" t="inlineStr">
        <is>
          <t>18 Desember 1979</t>
        </is>
      </c>
      <c r="I157" s="2" t="n">
        <v>46193</v>
      </c>
      <c r="J157" t="inlineStr">
        <is>
          <t>Disetujui</t>
        </is>
      </c>
      <c r="K157" t="n">
        <v>30</v>
      </c>
      <c r="L157" t="inlineStr">
        <is>
          <t>20 Juni 2026</t>
        </is>
      </c>
      <c r="M157" t="inlineStr">
        <is>
          <t>Konstruksi Gedung Lainnya, Konstruksi Gedung Pendidikan</t>
        </is>
      </c>
      <c r="N157" t="inlineStr">
        <is>
          <t>K</t>
        </is>
      </c>
      <c r="O157" t="inlineStr">
        <is>
          <t>20230616</t>
        </is>
      </c>
      <c r="P157" t="inlineStr">
        <is>
          <t>Jawa Barat</t>
        </is>
      </c>
      <c r="Q157" s="3">
        <f>HYPERLINK("https://wa.me/6281221192811?text=*[PERINGATAN DARURAT SBU PROYEKTA]*%0A%0AYth. Pimpinan PROYEKTA,%0AMasa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8">
      <c r="A158" t="inlineStr">
        <is>
          <t>PUNCAK SEJAHTERA ABADI</t>
        </is>
      </c>
      <c r="B158" t="inlineStr">
        <is>
          <t>Kab. Merauke</t>
        </is>
      </c>
      <c r="C158" t="inlineStr">
        <is>
          <t>082141049134</t>
        </is>
      </c>
      <c r="D158" t="inlineStr">
        <is>
          <t>rikaujuto@gmail.com</t>
        </is>
      </c>
      <c r="E158" t="inlineStr">
        <is>
          <t>https://lpjk.pu.go.id/search-badan-usaha-detail/a0ZzU2N1N3QyNlFndW16eXJOSzZ5dz09</t>
        </is>
      </c>
      <c r="F158" t="n">
        <v>1</v>
      </c>
      <c r="G158" t="inlineStr">
        <is>
          <t>BS001</t>
        </is>
      </c>
      <c r="H158" t="inlineStr">
        <is>
          <t>12 Desember 2014</t>
        </is>
      </c>
      <c r="I158" s="2" t="n">
        <v>46193</v>
      </c>
      <c r="J158" t="inlineStr">
        <is>
          <t>Disetujui</t>
        </is>
      </c>
      <c r="K158" t="n">
        <v>30</v>
      </c>
      <c r="L158" t="inlineStr">
        <is>
          <t>20 Juni 2026</t>
        </is>
      </c>
      <c r="M158" t="inlineStr">
        <is>
          <t>Konstruksi Bangunan Sipil Jalan</t>
        </is>
      </c>
      <c r="N158" t="inlineStr">
        <is>
          <t>M</t>
        </is>
      </c>
      <c r="O158" t="inlineStr">
        <is>
          <t>20230614</t>
        </is>
      </c>
      <c r="P158" t="inlineStr">
        <is>
          <t>Papua Selatan</t>
        </is>
      </c>
      <c r="Q158" s="3">
        <f>HYPERLINK("https://wa.me/6282141049134?text=*[PERINGATAN DARURAT SBU PUNCAK SEJAHTERA ABADI]*%0A%0AYth. Pimpinan PUNCAK SEJAHTERA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59">
      <c r="A159" t="inlineStr">
        <is>
          <t>PUTERI ASIA UTAMA MANDIRI</t>
        </is>
      </c>
      <c r="B159" t="inlineStr">
        <is>
          <t>Kota Palu</t>
        </is>
      </c>
      <c r="C159" t="inlineStr">
        <is>
          <t>081354300066</t>
        </is>
      </c>
      <c r="D159" t="inlineStr">
        <is>
          <t>ptputeriasiautamamandiri@gmail.com</t>
        </is>
      </c>
      <c r="E159" t="inlineStr">
        <is>
          <t>https://lpjk.pu.go.id/search-badan-usaha-detail/WUY3Qlkxd2tHYlZmZ3hGMVNkZ2JoQT09</t>
        </is>
      </c>
      <c r="F159" t="n">
        <v>3</v>
      </c>
      <c r="G159" t="inlineStr">
        <is>
          <t>BG006, BS001, BS004</t>
        </is>
      </c>
      <c r="H159" t="inlineStr">
        <is>
          <t>1 November 2016</t>
        </is>
      </c>
      <c r="I159" s="2" t="n">
        <v>46193</v>
      </c>
      <c r="J159" t="inlineStr">
        <is>
          <t>Disetujui</t>
        </is>
      </c>
      <c r="K159" t="n">
        <v>30</v>
      </c>
      <c r="L159" t="inlineStr">
        <is>
          <t>20 Juni 2026</t>
        </is>
      </c>
      <c r="M159" t="inlineStr">
        <is>
          <t>Konstruksi Bangunan Sipil Jalan, Konstruksi Gedung Pendidikan, Konstruksi Jaringan Irigasi dan Drainase</t>
        </is>
      </c>
      <c r="N159" t="inlineStr">
        <is>
          <t>K</t>
        </is>
      </c>
      <c r="O159" t="inlineStr">
        <is>
          <t>20230616, 20230620</t>
        </is>
      </c>
      <c r="P159" t="inlineStr">
        <is>
          <t>Sulawesi Tengah</t>
        </is>
      </c>
      <c r="Q159" s="3">
        <f>HYPERLINK("https://wa.me/6281354300066?text=*[PERINGATAN DARURAT SBU PUTERI ASIA UTAMA MANDIRI]*%0A%0AYth. Pimpinan PUTERI ASIA UTAMA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0">
      <c r="A160" t="inlineStr">
        <is>
          <t>PUTRA ANAS</t>
        </is>
      </c>
      <c r="B160" t="inlineStr">
        <is>
          <t>Kab. Banyumas</t>
        </is>
      </c>
      <c r="C160" t="inlineStr">
        <is>
          <t>02816439747</t>
        </is>
      </c>
      <c r="D160" t="inlineStr">
        <is>
          <t>putraanas_cv@yahoo.com</t>
        </is>
      </c>
      <c r="E160" t="inlineStr">
        <is>
          <t>https://lpjk.pu.go.id/search-badan-usaha-detail/VENDdDlDemg0NDBHdkhsWEVMYWxQZz09</t>
        </is>
      </c>
      <c r="F160" t="n">
        <v>1</v>
      </c>
      <c r="G160" t="inlineStr">
        <is>
          <t>BG006</t>
        </is>
      </c>
      <c r="H160" t="inlineStr">
        <is>
          <t>10 Februari 2020</t>
        </is>
      </c>
      <c r="I160" s="2" t="n">
        <v>46193</v>
      </c>
      <c r="J160" t="inlineStr">
        <is>
          <t>Disetujui</t>
        </is>
      </c>
      <c r="K160" t="n">
        <v>30</v>
      </c>
      <c r="L160" t="inlineStr">
        <is>
          <t>20 Juni 2026</t>
        </is>
      </c>
      <c r="M160" t="inlineStr">
        <is>
          <t>Konstruksi Gedung Pendidikan</t>
        </is>
      </c>
      <c r="N160" t="inlineStr">
        <is>
          <t>K</t>
        </is>
      </c>
      <c r="O160" t="inlineStr">
        <is>
          <t>20230619</t>
        </is>
      </c>
      <c r="P160" t="inlineStr">
        <is>
          <t>Jawa Tengah</t>
        </is>
      </c>
      <c r="Q160" s="3">
        <f>HYPERLINK("https://wa.me/622816439747?text=*[PERINGATAN DARURAT SBU PUTRA ANAS]*%0A%0AYth. Pimpinan PUTRA ANAS,%0AMasa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1">
      <c r="A161" t="inlineStr">
        <is>
          <t>PUTRA ANDIYKAT</t>
        </is>
      </c>
      <c r="B161" t="inlineStr">
        <is>
          <t>Kab. Manokwari</t>
        </is>
      </c>
      <c r="C161" t="inlineStr">
        <is>
          <t>081247581382</t>
        </is>
      </c>
      <c r="D161" t="inlineStr">
        <is>
          <t>putracvadiykat@gmail.com</t>
        </is>
      </c>
      <c r="E161" t="inlineStr">
        <is>
          <t>https://lpjk.pu.go.id/search-badan-usaha-detail/UFQ2QS90M2hmUURVK25VY2ZoSzJpdz09</t>
        </is>
      </c>
      <c r="F161" t="n">
        <v>1</v>
      </c>
      <c r="G161" t="inlineStr">
        <is>
          <t>BS001</t>
        </is>
      </c>
      <c r="H161" t="inlineStr">
        <is>
          <t>15 Februari 2021</t>
        </is>
      </c>
      <c r="I161" s="2" t="n">
        <v>46193</v>
      </c>
      <c r="J161" t="inlineStr">
        <is>
          <t>Pencabutan</t>
        </is>
      </c>
      <c r="K161" t="n">
        <v>30</v>
      </c>
      <c r="L161" t="inlineStr">
        <is>
          <t>20 Juni 2026</t>
        </is>
      </c>
      <c r="M161" t="inlineStr">
        <is>
          <t>Konstruksi Bangunan Sipil Jalan</t>
        </is>
      </c>
      <c r="N161" t="inlineStr">
        <is>
          <t>K</t>
        </is>
      </c>
      <c r="O161" t="inlineStr">
        <is>
          <t>20230618</t>
        </is>
      </c>
      <c r="P161" t="inlineStr">
        <is>
          <t>Papua Barat</t>
        </is>
      </c>
      <c r="Q161" s="3">
        <f>HYPERLINK("https://wa.me/6281247581382?text=*[PERINGATAN DARURAT SBU PUTRA ANDIYKAT]*%0A%0AYth. Pimpinan PUTRA ANDIYKAT,%0AMasa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2">
      <c r="A162" t="inlineStr">
        <is>
          <t>PUTRA BADAK KONSTRUKSI</t>
        </is>
      </c>
      <c r="B162" t="inlineStr">
        <is>
          <t>Kab. Karangasem</t>
        </is>
      </c>
      <c r="C162" t="inlineStr">
        <is>
          <t>082146699261</t>
        </is>
      </c>
      <c r="D162" t="inlineStr">
        <is>
          <t>putrabadak10012020@gmail.com</t>
        </is>
      </c>
      <c r="E162" t="inlineStr">
        <is>
          <t>https://lpjk.pu.go.id/search-badan-usaha-detail/SUNJZWxNNDRqbjJzQ1BMMXhyK1pNQT09</t>
        </is>
      </c>
      <c r="F162" t="n">
        <v>1</v>
      </c>
      <c r="G162" t="inlineStr">
        <is>
          <t>BG002</t>
        </is>
      </c>
      <c r="H162" t="inlineStr">
        <is>
          <t>20 Januari 2020</t>
        </is>
      </c>
      <c r="I162" s="2" t="n">
        <v>46193</v>
      </c>
      <c r="J162" t="inlineStr">
        <is>
          <t>Disetujui</t>
        </is>
      </c>
      <c r="K162" t="n">
        <v>30</v>
      </c>
      <c r="L162" t="inlineStr">
        <is>
          <t>20 Juni 2026</t>
        </is>
      </c>
      <c r="M162" t="inlineStr">
        <is>
          <t>Konstruksi Gedung Perkantoran</t>
        </is>
      </c>
      <c r="N162" t="inlineStr">
        <is>
          <t>K</t>
        </is>
      </c>
      <c r="O162" t="inlineStr">
        <is>
          <t>20230620</t>
        </is>
      </c>
      <c r="P162" t="inlineStr">
        <is>
          <t>Bali</t>
        </is>
      </c>
      <c r="Q162" s="3">
        <f>HYPERLINK("https://wa.me/6282146699261?text=*[PERINGATAN DARURAT SBU PUTRA BADAK KONSTRUKSI]*%0A%0AYth. Pimpinan PUTRA BADAK KONSTRUKSI,%0AMasa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3">
      <c r="A163" t="inlineStr">
        <is>
          <t>PUTRA BORNEO MANDIRI</t>
        </is>
      </c>
      <c r="B163" t="inlineStr">
        <is>
          <t>Kab. Banjar</t>
        </is>
      </c>
      <c r="C163" t="inlineStr">
        <is>
          <t>081349038781</t>
        </is>
      </c>
      <c r="D163" t="inlineStr">
        <is>
          <t>cvputraborneomandiri@yahoo.com</t>
        </is>
      </c>
      <c r="E163" t="inlineStr">
        <is>
          <t>https://lpjk.pu.go.id/search-badan-usaha-detail/QW9BZ3oxcVlhY240SzFCKzMva0dmZz09</t>
        </is>
      </c>
      <c r="F163" t="n">
        <v>1</v>
      </c>
      <c r="G163" t="inlineStr">
        <is>
          <t>BS001</t>
        </is>
      </c>
      <c r="H163" t="inlineStr">
        <is>
          <t>2 Juli 2009</t>
        </is>
      </c>
      <c r="I163" s="2" t="n">
        <v>46193</v>
      </c>
      <c r="J163" t="inlineStr">
        <is>
          <t>Disetujui</t>
        </is>
      </c>
      <c r="K163" t="n">
        <v>30</v>
      </c>
      <c r="L163" t="inlineStr">
        <is>
          <t>20 Juni 2026</t>
        </is>
      </c>
      <c r="M163" t="inlineStr">
        <is>
          <t>Konstruksi Bangunan Sipil Jalan</t>
        </is>
      </c>
      <c r="N163" t="inlineStr">
        <is>
          <t>K</t>
        </is>
      </c>
      <c r="O163" t="inlineStr">
        <is>
          <t>20230613</t>
        </is>
      </c>
      <c r="P163" t="inlineStr">
        <is>
          <t>Kalimantan Selatan</t>
        </is>
      </c>
      <c r="Q163" s="3">
        <f>HYPERLINK("https://wa.me/6281349038781?text=*[PERINGATAN DARURAT SBU PUTRA BORNEO MANDIRI]*%0A%0AYth. Pimpinan PUTRA BORNEO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4">
      <c r="A164" t="inlineStr">
        <is>
          <t>PUTRA BUKIT MANDIRI</t>
        </is>
      </c>
      <c r="B164" t="inlineStr">
        <is>
          <t>Kab. Banggai</t>
        </is>
      </c>
      <c r="C164" t="inlineStr">
        <is>
          <t>085796568146</t>
        </is>
      </c>
      <c r="D164" t="inlineStr">
        <is>
          <t>putrabukitmandiri@gmail.com</t>
        </is>
      </c>
      <c r="E164" t="inlineStr">
        <is>
          <t>https://lpjk.pu.go.id/search-badan-usaha-detail/Q3R0SUE0aG9NMlRqYmNucGpVbHB5UT09</t>
        </is>
      </c>
      <c r="F164" t="n">
        <v>1</v>
      </c>
      <c r="G164" t="inlineStr">
        <is>
          <t>BG005</t>
        </is>
      </c>
      <c r="H164" t="inlineStr">
        <is>
          <t>11 Desember 2021</t>
        </is>
      </c>
      <c r="I164" s="2" t="n">
        <v>46193</v>
      </c>
      <c r="J164" t="inlineStr">
        <is>
          <t>Disetujui</t>
        </is>
      </c>
      <c r="K164" t="n">
        <v>30</v>
      </c>
      <c r="L164" t="inlineStr">
        <is>
          <t>20 Juni 2026</t>
        </is>
      </c>
      <c r="M164" t="inlineStr">
        <is>
          <t>Konstruksi Gedung Kesehatan</t>
        </is>
      </c>
      <c r="N164" t="inlineStr">
        <is>
          <t>K</t>
        </is>
      </c>
      <c r="O164" t="inlineStr">
        <is>
          <t>20230616</t>
        </is>
      </c>
      <c r="P164" t="inlineStr">
        <is>
          <t>Sulawesi Tengah</t>
        </is>
      </c>
      <c r="Q164" s="3">
        <f>HYPERLINK("https://wa.me/6285796568146?text=*[PERINGATAN DARURAT SBU PUTRA BUKIT MANDIRI]*%0A%0AYth. Pimpinan PUTRA BUKIT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5">
      <c r="A165" t="inlineStr">
        <is>
          <t>PUTRA JINABAT</t>
        </is>
      </c>
      <c r="B165" t="inlineStr">
        <is>
          <t>Kota Pontianak</t>
        </is>
      </c>
      <c r="C165" t="inlineStr">
        <is>
          <t>081345217092</t>
        </is>
      </c>
      <c r="D165" t="inlineStr">
        <is>
          <t>jinabatputra@gmail.com</t>
        </is>
      </c>
      <c r="E165" t="inlineStr">
        <is>
          <t>https://lpjk.pu.go.id/search-badan-usaha-detail/bGp0V1FyQXFudDB6UHp4cDc3ckg1UT09</t>
        </is>
      </c>
      <c r="F165" t="n">
        <v>1</v>
      </c>
      <c r="G165" t="inlineStr">
        <is>
          <t>BS001</t>
        </is>
      </c>
      <c r="H165" t="inlineStr">
        <is>
          <t>13 Januari 2020</t>
        </is>
      </c>
      <c r="I165" s="2" t="n">
        <v>46193</v>
      </c>
      <c r="J165" t="inlineStr">
        <is>
          <t>Disetujui</t>
        </is>
      </c>
      <c r="K165" t="n">
        <v>30</v>
      </c>
      <c r="L165" t="inlineStr">
        <is>
          <t>20 Juni 2026</t>
        </is>
      </c>
      <c r="M165" t="inlineStr">
        <is>
          <t>Konstruksi Bangunan Sipil Jalan</t>
        </is>
      </c>
      <c r="N165" t="inlineStr">
        <is>
          <t>K</t>
        </is>
      </c>
      <c r="O165" t="inlineStr">
        <is>
          <t>20230621</t>
        </is>
      </c>
      <c r="P165" t="inlineStr">
        <is>
          <t>Kalimantan Barat</t>
        </is>
      </c>
      <c r="Q165" s="3">
        <f>HYPERLINK("https://wa.me/6281345217092?text=*[PERINGATAN DARURAT SBU PUTRA JINABAT]*%0A%0AYth. Pimpinan PUTRA JINABAT,%0AMasa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6">
      <c r="A166" t="inlineStr">
        <is>
          <t>PUTRA KAHURIPAN LESTARI</t>
        </is>
      </c>
      <c r="B166" t="inlineStr">
        <is>
          <t>Kota Bandung</t>
        </is>
      </c>
      <c r="C166" t="inlineStr">
        <is>
          <t>02220671409</t>
        </is>
      </c>
      <c r="D166" t="inlineStr">
        <is>
          <t>putrakhlestari@gmail.com</t>
        </is>
      </c>
      <c r="E166" t="inlineStr">
        <is>
          <t>https://lpjk.pu.go.id/search-badan-usaha-detail/Wi9HUTRrUm5raytma2oyR2YySTk1Zz09</t>
        </is>
      </c>
      <c r="F166" t="n">
        <v>1</v>
      </c>
      <c r="G166" t="inlineStr">
        <is>
          <t>BG001</t>
        </is>
      </c>
      <c r="H166" t="inlineStr">
        <is>
          <t>25 April 2019</t>
        </is>
      </c>
      <c r="I166" s="2" t="n">
        <v>46193</v>
      </c>
      <c r="J166" t="inlineStr">
        <is>
          <t>Disetujui</t>
        </is>
      </c>
      <c r="K166" t="n">
        <v>30</v>
      </c>
      <c r="L166" t="inlineStr">
        <is>
          <t>20 Juni 2026</t>
        </is>
      </c>
      <c r="M166" t="inlineStr">
        <is>
          <t>Konstruksi Gedung Hunian</t>
        </is>
      </c>
      <c r="N166" t="inlineStr">
        <is>
          <t>K</t>
        </is>
      </c>
      <c r="O166" t="inlineStr">
        <is>
          <t>20221202</t>
        </is>
      </c>
      <c r="P166" t="inlineStr">
        <is>
          <t>Jawa Barat</t>
        </is>
      </c>
      <c r="Q166" s="3">
        <f>HYPERLINK("https://wa.me/622220671409?text=*[PERINGATAN DARURAT SBU PUTRA KAHURIPAN LESTARI]*%0A%0AYth. Pimpinan PUTRA KAHURIPAN LESTARI,%0AMasa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7">
      <c r="A167" t="inlineStr">
        <is>
          <t>PUTRA OSEIGOR</t>
        </is>
      </c>
      <c r="B167" t="inlineStr">
        <is>
          <t>Kab. Manokwari</t>
        </is>
      </c>
      <c r="C167" t="inlineStr">
        <is>
          <t>081240735224</t>
        </is>
      </c>
      <c r="D167" t="inlineStr">
        <is>
          <t>yupitertowansiba@gmail.com</t>
        </is>
      </c>
      <c r="E167" t="inlineStr">
        <is>
          <t>https://lpjk.pu.go.id/search-badan-usaha-detail/MlpLdC9wQWtORTFaWVNKNmxSMHJEdz09</t>
        </is>
      </c>
      <c r="F167" t="n">
        <v>2</v>
      </c>
      <c r="G167" t="inlineStr">
        <is>
          <t>BG006, BS001</t>
        </is>
      </c>
      <c r="H167" t="inlineStr">
        <is>
          <t>1 November 2018</t>
        </is>
      </c>
      <c r="I167" s="2" t="n">
        <v>46193</v>
      </c>
      <c r="J167" t="inlineStr">
        <is>
          <t>Pencabutan</t>
        </is>
      </c>
      <c r="K167" t="n">
        <v>30</v>
      </c>
      <c r="L167" t="inlineStr">
        <is>
          <t>20 Juni 2026</t>
        </is>
      </c>
      <c r="M167" t="inlineStr">
        <is>
          <t>Konstruksi Bangunan Sipil Jalan, Konstruksi Gedung Pendidikan</t>
        </is>
      </c>
      <c r="N167" t="inlineStr">
        <is>
          <t>K</t>
        </is>
      </c>
      <c r="O167" t="inlineStr">
        <is>
          <t>20230617, 20230618</t>
        </is>
      </c>
      <c r="P167" t="inlineStr">
        <is>
          <t>Papua Barat</t>
        </is>
      </c>
      <c r="Q167" s="3">
        <f>HYPERLINK("https://wa.me/6281240735224?text=*[PERINGATAN DARURAT SBU PUTRA OSEIGOR]*%0A%0AYth. Pimpinan PUTRA OSEIGOR,%0AMasa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8">
      <c r="A168" t="inlineStr">
        <is>
          <t>PUTRA SARANA</t>
        </is>
      </c>
      <c r="B168" t="inlineStr">
        <is>
          <t>Kab. Subang</t>
        </is>
      </c>
      <c r="C168" t="inlineStr">
        <is>
          <t>082115891765</t>
        </is>
      </c>
      <c r="D168" t="inlineStr">
        <is>
          <t>putrasarana65@yahoo.com</t>
        </is>
      </c>
      <c r="E168" t="inlineStr">
        <is>
          <t>https://lpjk.pu.go.id/search-badan-usaha-detail/czdjTktKZjJUZERFbE9sT3hlb3pDdz09</t>
        </is>
      </c>
      <c r="F168" t="n">
        <v>2</v>
      </c>
      <c r="G168" t="inlineStr">
        <is>
          <t>BG006, BG009</t>
        </is>
      </c>
      <c r="H168" t="inlineStr">
        <is>
          <t>20 Januari 2000</t>
        </is>
      </c>
      <c r="I168" s="2" t="n">
        <v>46193</v>
      </c>
      <c r="J168" t="inlineStr">
        <is>
          <t>Disetujui</t>
        </is>
      </c>
      <c r="K168" t="n">
        <v>30</v>
      </c>
      <c r="L168" t="inlineStr">
        <is>
          <t>20 Juni 2026</t>
        </is>
      </c>
      <c r="M168" t="inlineStr">
        <is>
          <t>Konstruksi Gedung Lainnya, Konstruksi Gedung Pendidikan</t>
        </is>
      </c>
      <c r="N168" t="inlineStr">
        <is>
          <t>K</t>
        </is>
      </c>
      <c r="O168" t="inlineStr">
        <is>
          <t>20230619</t>
        </is>
      </c>
      <c r="P168" t="inlineStr">
        <is>
          <t>Jawa Barat</t>
        </is>
      </c>
      <c r="Q168" s="3">
        <f>HYPERLINK("https://wa.me/6282115891765?text=*[PERINGATAN DARURAT SBU PUTRA SARANA]*%0A%0AYth. Pimpinan PUTRA SARANA,%0AMasa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69">
      <c r="A169" t="inlineStr">
        <is>
          <t>PUTRA TUNGGAL</t>
        </is>
      </c>
      <c r="B169" t="inlineStr">
        <is>
          <t>Kab. Ciamis</t>
        </is>
      </c>
      <c r="C169" t="inlineStr">
        <is>
          <t>08121486824</t>
        </is>
      </c>
      <c r="D169" t="inlineStr">
        <is>
          <t>putratunggal3974@yahoo.com</t>
        </is>
      </c>
      <c r="E169" t="inlineStr">
        <is>
          <t>https://lpjk.pu.go.id/search-badan-usaha-detail/SE1URzhFeDNwNlE0RFZhSGIxVDQ3Zz09</t>
        </is>
      </c>
      <c r="F169" t="n">
        <v>2</v>
      </c>
      <c r="G169" t="inlineStr">
        <is>
          <t>BS004, BS005</t>
        </is>
      </c>
      <c r="H169" t="inlineStr">
        <is>
          <t>19 Juni 2017</t>
        </is>
      </c>
      <c r="I169" s="2" t="n">
        <v>46193</v>
      </c>
      <c r="J169" t="inlineStr">
        <is>
          <t>Disetujui</t>
        </is>
      </c>
      <c r="K169" t="n">
        <v>30</v>
      </c>
      <c r="L169" t="inlineStr">
        <is>
          <t>20 Juni 2026</t>
        </is>
      </c>
      <c r="M169" t="inlineStr">
        <is>
          <t>Konstruksi Bangunan Sipil Pengolahan Air Bersih, Konstruksi Jaringan Irigasi dan Drainase</t>
        </is>
      </c>
      <c r="N169" t="inlineStr">
        <is>
          <t>K</t>
        </is>
      </c>
      <c r="O169" t="inlineStr">
        <is>
          <t>20230614</t>
        </is>
      </c>
      <c r="P169" t="inlineStr">
        <is>
          <t>Jawa Barat</t>
        </is>
      </c>
      <c r="Q169" s="3">
        <f>HYPERLINK("https://wa.me/628121486824?text=*[PERINGATAN DARURAT SBU PUTRA TUNGGAL]*%0A%0AYth. Pimpinan PUTRA TUNGGAL,%0AMasa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0">
      <c r="A170" t="inlineStr">
        <is>
          <t>RAJA KHAYLA GRUP</t>
        </is>
      </c>
      <c r="B170" t="inlineStr">
        <is>
          <t>Kab. Ogan Komering Ilir</t>
        </is>
      </c>
      <c r="C170" t="inlineStr">
        <is>
          <t>0</t>
        </is>
      </c>
      <c r="D170" t="inlineStr">
        <is>
          <t>cvrajakhaylagrup@yahoo.com</t>
        </is>
      </c>
      <c r="E170" t="inlineStr">
        <is>
          <t>https://lpjk.pu.go.id/search-badan-usaha-detail/MnZYVVJPc2lyK24xTkdFTThleFhxUT09</t>
        </is>
      </c>
      <c r="F170" t="n">
        <v>1</v>
      </c>
      <c r="G170" t="inlineStr">
        <is>
          <t>BG009</t>
        </is>
      </c>
      <c r="H170" t="inlineStr">
        <is>
          <t>24 September 2014</t>
        </is>
      </c>
      <c r="I170" s="2" t="n">
        <v>46193</v>
      </c>
      <c r="J170" t="inlineStr">
        <is>
          <t>Disetujui</t>
        </is>
      </c>
      <c r="K170" t="n">
        <v>30</v>
      </c>
      <c r="L170" t="inlineStr">
        <is>
          <t>20 Juni 2026</t>
        </is>
      </c>
      <c r="M170" t="inlineStr">
        <is>
          <t>Konstruksi Gedung Lainnya</t>
        </is>
      </c>
      <c r="N170" t="inlineStr">
        <is>
          <t>K</t>
        </is>
      </c>
      <c r="O170" t="inlineStr">
        <is>
          <t>20230620</t>
        </is>
      </c>
      <c r="P170" t="inlineStr">
        <is>
          <t>Sumatera Selatan</t>
        </is>
      </c>
      <c r="Q170" s="3">
        <f>HYPERLINK("https://wa.me/62?text=*[PERINGATAN DARURAT SBU RAJA KHAYLA GRUP]*%0A%0AYth. Pimpinan RAJA KHAYLA GRUP,%0AMasa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1">
      <c r="A171" t="inlineStr">
        <is>
          <t>RAJO ALAM NUSANTARA</t>
        </is>
      </c>
      <c r="B171" t="inlineStr">
        <is>
          <t>Kab. Solok</t>
        </is>
      </c>
      <c r="C171" t="inlineStr">
        <is>
          <t>081220060029</t>
        </is>
      </c>
      <c r="D171" t="inlineStr">
        <is>
          <t>rajoalamnusantara@gmail.com</t>
        </is>
      </c>
      <c r="E171" t="inlineStr">
        <is>
          <t>https://lpjk.pu.go.id/search-badan-usaha-detail/RjZNMlI4MDArNXdodDBhMVdMbTRUdz09</t>
        </is>
      </c>
      <c r="F171" t="n">
        <v>1</v>
      </c>
      <c r="G171" t="inlineStr">
        <is>
          <t>BG001</t>
        </is>
      </c>
      <c r="H171" t="inlineStr">
        <is>
          <t>17 Maret 2020</t>
        </is>
      </c>
      <c r="I171" s="2" t="n">
        <v>46193</v>
      </c>
      <c r="J171" t="inlineStr">
        <is>
          <t>Disetujui</t>
        </is>
      </c>
      <c r="K171" t="n">
        <v>30</v>
      </c>
      <c r="L171" t="inlineStr">
        <is>
          <t>20 Juni 2026</t>
        </is>
      </c>
      <c r="M171" t="inlineStr">
        <is>
          <t>Konstruksi Gedung Hunian</t>
        </is>
      </c>
      <c r="N171" t="inlineStr">
        <is>
          <t>K</t>
        </is>
      </c>
      <c r="O171" t="inlineStr">
        <is>
          <t>20230615</t>
        </is>
      </c>
      <c r="P171" t="inlineStr">
        <is>
          <t>Sumatera Barat</t>
        </is>
      </c>
      <c r="Q171" s="3">
        <f>HYPERLINK("https://wa.me/6281220060029?text=*[PERINGATAN DARURAT SBU RAJO ALAM NUSANTARA]*%0A%0AYth. Pimpinan RAJO ALAM NUSANTARA,%0AMasa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2">
      <c r="A172" t="inlineStr">
        <is>
          <t>RAYS KARYA</t>
        </is>
      </c>
      <c r="B172" t="inlineStr">
        <is>
          <t>Kab. Bandung</t>
        </is>
      </c>
      <c r="C172" t="inlineStr">
        <is>
          <t>081220763415</t>
        </is>
      </c>
      <c r="D172" t="inlineStr">
        <is>
          <t>rayskarya@gmail.com</t>
        </is>
      </c>
      <c r="E172" t="inlineStr">
        <is>
          <t>https://lpjk.pu.go.id/search-badan-usaha-detail/UFU3SzZNK3dMOSt1bjJtWS9Xa3RoQT09</t>
        </is>
      </c>
      <c r="F172" t="n">
        <v>1</v>
      </c>
      <c r="G172" t="inlineStr">
        <is>
          <t>BS001</t>
        </is>
      </c>
      <c r="H172" t="inlineStr">
        <is>
          <t>19 November 2020</t>
        </is>
      </c>
      <c r="I172" s="2" t="n">
        <v>46193</v>
      </c>
      <c r="J172" t="inlineStr">
        <is>
          <t>Disetujui</t>
        </is>
      </c>
      <c r="K172" t="n">
        <v>30</v>
      </c>
      <c r="L172" t="inlineStr">
        <is>
          <t>20 Juni 2026</t>
        </is>
      </c>
      <c r="M172" t="inlineStr">
        <is>
          <t>Konstruksi Bangunan Sipil Jalan</t>
        </is>
      </c>
      <c r="N172" t="inlineStr">
        <is>
          <t>K</t>
        </is>
      </c>
      <c r="O172" t="inlineStr">
        <is>
          <t>20230519</t>
        </is>
      </c>
      <c r="P172" t="inlineStr">
        <is>
          <t>Jawa Barat</t>
        </is>
      </c>
      <c r="Q172" s="3">
        <f>HYPERLINK("https://wa.me/6281220763415?text=*[PERINGATAN DARURAT SBU RAYS KARYA]*%0A%0AYth. Pimpinan RAYS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3">
      <c r="A173" t="inlineStr">
        <is>
          <t>REKA INTI SARANA</t>
        </is>
      </c>
      <c r="B173" t="inlineStr">
        <is>
          <t>Kab. Pemalang</t>
        </is>
      </c>
      <c r="C173" t="inlineStr">
        <is>
          <t>08156922201</t>
        </is>
      </c>
      <c r="D173" t="inlineStr">
        <is>
          <t>rekaintisarana@gmail.com</t>
        </is>
      </c>
      <c r="E173" t="inlineStr">
        <is>
          <t>https://lpjk.pu.go.id/search-badan-usaha-detail/MnpMYmxRK1VJUzFBSXMzUm9kdk41UT09</t>
        </is>
      </c>
      <c r="F173" t="n">
        <v>3</v>
      </c>
      <c r="G173" t="inlineStr">
        <is>
          <t>AR001, AR002, AR003</t>
        </is>
      </c>
      <c r="H173" t="inlineStr">
        <is>
          <t>1 Maret 2007</t>
        </is>
      </c>
      <c r="I173" s="2" t="n">
        <v>46193</v>
      </c>
      <c r="J173" t="inlineStr">
        <is>
          <t>Disetujui</t>
        </is>
      </c>
      <c r="K173" t="n">
        <v>30</v>
      </c>
      <c r="L173" t="inlineStr">
        <is>
          <t>20 Juni 2026</t>
        </is>
      </c>
      <c r="M173" t="inlineStr">
        <is>
          <t>Jasa Arsitektural Bangunan Gedung Hunian dan Non Hunian, Jasa Arsitektural Lainnya, Jasa Desain Interior pada Bangunan Gedung dan Bangunan Sipil</t>
        </is>
      </c>
      <c r="N173" t="inlineStr">
        <is>
          <t>K</t>
        </is>
      </c>
      <c r="O173" t="inlineStr">
        <is>
          <t>20230611, 20230612</t>
        </is>
      </c>
      <c r="P173" t="inlineStr">
        <is>
          <t>Jawa Tengah</t>
        </is>
      </c>
      <c r="Q173" s="3">
        <f>HYPERLINK("https://wa.me/628156922201?text=*[PERINGATAN DARURAT SBU REKA INTI SARANA]*%0A%0AYth. Pimpinan REKA INTI SARANA,%0AMasa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4">
      <c r="A174" t="inlineStr">
        <is>
          <t>REZA JAYA</t>
        </is>
      </c>
      <c r="B174" t="inlineStr">
        <is>
          <t>Kota Surabaya</t>
        </is>
      </c>
      <c r="C174" t="inlineStr">
        <is>
          <t>082242549253</t>
        </is>
      </c>
      <c r="D174" t="inlineStr">
        <is>
          <t>pajak.cvrezajaya@gmail.com</t>
        </is>
      </c>
      <c r="E174" t="inlineStr">
        <is>
          <t>https://lpjk.pu.go.id/search-badan-usaha-detail/Q3NMWUZST2tUcXFiakhoS3lrUVZxZz09</t>
        </is>
      </c>
      <c r="F174" t="n">
        <v>2</v>
      </c>
      <c r="G174" t="inlineStr">
        <is>
          <t>BG006, BG008</t>
        </is>
      </c>
      <c r="H174" t="inlineStr">
        <is>
          <t>7 September 1989</t>
        </is>
      </c>
      <c r="I174" s="2" t="n">
        <v>46193</v>
      </c>
      <c r="J174" t="inlineStr">
        <is>
          <t>Disetujui</t>
        </is>
      </c>
      <c r="K174" t="n">
        <v>30</v>
      </c>
      <c r="L174" t="inlineStr">
        <is>
          <t>20 Juni 2026</t>
        </is>
      </c>
      <c r="M174" t="inlineStr">
        <is>
          <t>Konstruksi Gedung Pendidikan, Konstruksi Gedung Tempat Hiburan dan Olahraga</t>
        </is>
      </c>
      <c r="N174" t="inlineStr">
        <is>
          <t>K</t>
        </is>
      </c>
      <c r="O174" t="inlineStr">
        <is>
          <t>20230617</t>
        </is>
      </c>
      <c r="P174" t="inlineStr">
        <is>
          <t>Jawa Timur</t>
        </is>
      </c>
      <c r="Q174" s="3">
        <f>HYPERLINK("https://wa.me/6282242549253?text=*[PERINGATAN DARURAT SBU REZA JAYA]*%0A%0AYth. Pimpinan REZA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5">
      <c r="A175" t="inlineStr">
        <is>
          <t>RISA ASPIRASI INDAH</t>
        </is>
      </c>
      <c r="B175" t="inlineStr">
        <is>
          <t>Kota Pontianak</t>
        </is>
      </c>
      <c r="C175" t="inlineStr">
        <is>
          <t>082154313210</t>
        </is>
      </c>
      <c r="D175" t="inlineStr">
        <is>
          <t>risaaspirasiindah@gmail.com</t>
        </is>
      </c>
      <c r="E175" t="inlineStr">
        <is>
          <t>https://lpjk.pu.go.id/search-badan-usaha-detail/SVBCc3RieFpqa09UamVBSmpXd0lFQT09</t>
        </is>
      </c>
      <c r="F175" t="n">
        <v>1</v>
      </c>
      <c r="G175" t="inlineStr">
        <is>
          <t>BG006</t>
        </is>
      </c>
      <c r="H175" t="inlineStr">
        <is>
          <t>31 Juli 2008</t>
        </is>
      </c>
      <c r="I175" s="2" t="n">
        <v>46193</v>
      </c>
      <c r="J175" t="inlineStr">
        <is>
          <t>Pencabutan</t>
        </is>
      </c>
      <c r="K175" t="n">
        <v>30</v>
      </c>
      <c r="L175" t="inlineStr">
        <is>
          <t>20 Juni 2026</t>
        </is>
      </c>
      <c r="M175" t="inlineStr">
        <is>
          <t>Konstruksi Gedung Pendidikan</t>
        </is>
      </c>
      <c r="N175" t="inlineStr">
        <is>
          <t>K</t>
        </is>
      </c>
      <c r="O175" t="inlineStr">
        <is>
          <t>20230612</t>
        </is>
      </c>
      <c r="P175" t="inlineStr">
        <is>
          <t>Kalimantan Barat</t>
        </is>
      </c>
      <c r="Q175" s="3">
        <f>HYPERLINK("https://wa.me/6282154313210?text=*[PERINGATAN DARURAT SBU RISA ASPIRASI INDAH]*%0A%0AYth. Pimpinan RISA ASPIRASI INDAH,%0AMasa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6">
      <c r="A176" t="inlineStr">
        <is>
          <t>RIZKY PUTRA</t>
        </is>
      </c>
      <c r="B176" t="inlineStr">
        <is>
          <t>Kab. Jember</t>
        </is>
      </c>
      <c r="C176" t="inlineStr">
        <is>
          <t>08123498793</t>
        </is>
      </c>
      <c r="D176" t="inlineStr">
        <is>
          <t>satriagung99@gmail.com</t>
        </is>
      </c>
      <c r="E176" t="inlineStr">
        <is>
          <t>https://lpjk.pu.go.id/search-badan-usaha-detail/RUJXZTZuMUYvTFJWQTc5Q2RINTlwZz09</t>
        </is>
      </c>
      <c r="F176" t="n">
        <v>1</v>
      </c>
      <c r="G176" t="inlineStr">
        <is>
          <t>BS001</t>
        </is>
      </c>
      <c r="H176" t="inlineStr">
        <is>
          <t>30 Desember 2005</t>
        </is>
      </c>
      <c r="I176" s="2" t="n">
        <v>46193</v>
      </c>
      <c r="J176" t="inlineStr">
        <is>
          <t>Disetujui</t>
        </is>
      </c>
      <c r="K176" t="n">
        <v>30</v>
      </c>
      <c r="L176" t="inlineStr">
        <is>
          <t>20 Juni 2026</t>
        </is>
      </c>
      <c r="M176" t="inlineStr">
        <is>
          <t>Konstruksi Bangunan Sipil Jalan</t>
        </is>
      </c>
      <c r="N176" t="inlineStr">
        <is>
          <t>K</t>
        </is>
      </c>
      <c r="O176" t="inlineStr">
        <is>
          <t>20230616</t>
        </is>
      </c>
      <c r="P176" t="inlineStr">
        <is>
          <t>Jawa Timur</t>
        </is>
      </c>
      <c r="Q176" s="3">
        <f>HYPERLINK("https://wa.me/628123498793?text=*[PERINGATAN DARURAT SBU RIZKY PUTRA]*%0A%0AYth. Pimpinan RIZKY PUTRA,%0AMasa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7">
      <c r="A177" t="inlineStr">
        <is>
          <t>RODA INTAN SEJAHTERA</t>
        </is>
      </c>
      <c r="B177" t="inlineStr">
        <is>
          <t>Kota Bengkulu</t>
        </is>
      </c>
      <c r="C177" t="inlineStr">
        <is>
          <t>082183745854</t>
        </is>
      </c>
      <c r="D177" t="inlineStr">
        <is>
          <t>rodaintan2020@gmail.com</t>
        </is>
      </c>
      <c r="E177" t="inlineStr">
        <is>
          <t>https://lpjk.pu.go.id/search-badan-usaha-detail/a1ptRmVLTE5yNnZsSVRHN1FRemYvZz09</t>
        </is>
      </c>
      <c r="F177" t="n">
        <v>4</v>
      </c>
      <c r="G177" t="inlineStr">
        <is>
          <t>BG002, BG005, BG006, BG009</t>
        </is>
      </c>
      <c r="H177" t="inlineStr">
        <is>
          <t>27 Januari 2020</t>
        </is>
      </c>
      <c r="I177" s="2" t="n">
        <v>46193</v>
      </c>
      <c r="J177" t="inlineStr">
        <is>
          <t>Disetujui</t>
        </is>
      </c>
      <c r="K177" t="n">
        <v>30</v>
      </c>
      <c r="L177" t="inlineStr">
        <is>
          <t>20 Juni 2026</t>
        </is>
      </c>
      <c r="M177" t="inlineStr">
        <is>
          <t>Konstruksi Gedung Kesehatan, Konstruksi Gedung Lainnya, Konstruksi Gedung Pendidikan, Konstruksi Gedung Perkantoran</t>
        </is>
      </c>
      <c r="N177" t="inlineStr">
        <is>
          <t>K</t>
        </is>
      </c>
      <c r="O177" t="inlineStr">
        <is>
          <t>20230615, 20230616</t>
        </is>
      </c>
      <c r="P177" t="inlineStr">
        <is>
          <t>Bengkulu</t>
        </is>
      </c>
      <c r="Q177" s="3">
        <f>HYPERLINK("https://wa.me/6282183745854?text=*[PERINGATAN DARURAT SBU RODA INTAN SEJAHTERA]*%0A%0AYth. Pimpinan RODA INTAN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8">
      <c r="A178" t="inlineStr">
        <is>
          <t>ROYAL GEMILANG RAYA</t>
        </is>
      </c>
      <c r="B178" t="inlineStr">
        <is>
          <t>Kota Palembang</t>
        </is>
      </c>
      <c r="C178" t="inlineStr">
        <is>
          <t>082183052136</t>
        </is>
      </c>
      <c r="D178" t="inlineStr">
        <is>
          <t>royalgemilangraya@gmail.com</t>
        </is>
      </c>
      <c r="E178" t="inlineStr">
        <is>
          <t>https://lpjk.pu.go.id/search-badan-usaha-detail/Vk1pUHVLY3VRZ1JnTnRIQjk2dmNMQT09</t>
        </is>
      </c>
      <c r="F178" t="n">
        <v>1</v>
      </c>
      <c r="G178" t="inlineStr">
        <is>
          <t>BS001</t>
        </is>
      </c>
      <c r="H178" t="inlineStr">
        <is>
          <t>29 Mei 2023</t>
        </is>
      </c>
      <c r="I178" s="2" t="n">
        <v>46193</v>
      </c>
      <c r="J178" t="inlineStr">
        <is>
          <t>Disetujui</t>
        </is>
      </c>
      <c r="K178" t="n">
        <v>30</v>
      </c>
      <c r="L178" t="inlineStr">
        <is>
          <t>20 Juni 2026</t>
        </is>
      </c>
      <c r="M178" t="inlineStr">
        <is>
          <t>Konstruksi Bangunan Sipil Jalan</t>
        </is>
      </c>
      <c r="N178" t="inlineStr">
        <is>
          <t>K</t>
        </is>
      </c>
      <c r="O178" t="inlineStr">
        <is>
          <t>20230615</t>
        </is>
      </c>
      <c r="P178" t="inlineStr">
        <is>
          <t>Sumatera Selatan</t>
        </is>
      </c>
      <c r="Q178" s="3">
        <f>HYPERLINK("https://wa.me/6282183052136?text=*[PERINGATAN DARURAT SBU ROYAL GEMILANG RAYA]*%0A%0AYth. Pimpinan ROYAL GEMILANG RAYA,%0AMasa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79">
      <c r="A179" t="inlineStr">
        <is>
          <t>SABANDARI</t>
        </is>
      </c>
      <c r="B179" t="inlineStr">
        <is>
          <t>Kab. Sambas</t>
        </is>
      </c>
      <c r="C179" t="inlineStr">
        <is>
          <t>082250684868</t>
        </is>
      </c>
      <c r="D179" t="inlineStr">
        <is>
          <t>cv.sabandari@gmail.com</t>
        </is>
      </c>
      <c r="E179" t="inlineStr">
        <is>
          <t>https://lpjk.pu.go.id/search-badan-usaha-detail/UER5S3ZOM1FnWWRqQzIzWDQ3NnZDQT09</t>
        </is>
      </c>
      <c r="F179" t="n">
        <v>2</v>
      </c>
      <c r="G179" t="inlineStr">
        <is>
          <t>BG009</t>
        </is>
      </c>
      <c r="H179" t="inlineStr">
        <is>
          <t>21 Desember 2005</t>
        </is>
      </c>
      <c r="I179" s="2" t="n">
        <v>46193</v>
      </c>
      <c r="J179" t="inlineStr">
        <is>
          <t>Pencabutan</t>
        </is>
      </c>
      <c r="K179" t="n">
        <v>30</v>
      </c>
      <c r="L179" t="inlineStr">
        <is>
          <t>20 Juni 2026</t>
        </is>
      </c>
      <c r="M179" t="inlineStr">
        <is>
          <t>Konstruksi Gedung Lainnya</t>
        </is>
      </c>
      <c r="N179" t="inlineStr">
        <is>
          <t>K</t>
        </is>
      </c>
      <c r="O179" t="inlineStr">
        <is>
          <t>20230619</t>
        </is>
      </c>
      <c r="P179" t="inlineStr">
        <is>
          <t>Kalimantan Barat</t>
        </is>
      </c>
      <c r="Q179" s="3">
        <f>HYPERLINK("https://wa.me/6282250684868?text=*[PERINGATAN DARURAT SBU SABANDARI]*%0A%0AYth. Pimpinan SABANDARI,%0AMasa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0">
      <c r="A180" t="inlineStr">
        <is>
          <t>SAHABAT</t>
        </is>
      </c>
      <c r="B180" t="inlineStr">
        <is>
          <t>Kab. Padang Lawas Utara</t>
        </is>
      </c>
      <c r="C180" t="inlineStr">
        <is>
          <t>082370196188</t>
        </is>
      </c>
      <c r="D180" t="inlineStr">
        <is>
          <t>azwarardhi@yahoo.co.id</t>
        </is>
      </c>
      <c r="E180" t="inlineStr">
        <is>
          <t>https://lpjk.pu.go.id/search-badan-usaha-detail/TTE1ZG0wSkJwQjRLVFd5dEFMTnhkQT09</t>
        </is>
      </c>
      <c r="F180" t="n">
        <v>1</v>
      </c>
      <c r="G180" t="inlineStr">
        <is>
          <t>BG006</t>
        </is>
      </c>
      <c r="H180" t="inlineStr">
        <is>
          <t>22 Juni 2012</t>
        </is>
      </c>
      <c r="I180" s="2" t="n">
        <v>46193</v>
      </c>
      <c r="J180" t="inlineStr">
        <is>
          <t>Pencabutan</t>
        </is>
      </c>
      <c r="K180" t="n">
        <v>30</v>
      </c>
      <c r="L180" t="inlineStr">
        <is>
          <t>20 Juni 2026</t>
        </is>
      </c>
      <c r="M180" t="inlineStr">
        <is>
          <t>Konstruksi Gedung Pendidikan</t>
        </is>
      </c>
      <c r="N180" t="inlineStr">
        <is>
          <t>K</t>
        </is>
      </c>
      <c r="O180" t="inlineStr">
        <is>
          <t>20230607</t>
        </is>
      </c>
      <c r="P180" t="inlineStr">
        <is>
          <t>Sumatera Utara</t>
        </is>
      </c>
      <c r="Q180" s="3">
        <f>HYPERLINK("https://wa.me/6282370196188?text=*[PERINGATAN DARURAT SBU SAHABAT]*%0A%0AYth. Pimpinan SAHABAT,%0AMasa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1">
      <c r="A181" t="inlineStr">
        <is>
          <t>SANDI KENCANA</t>
        </is>
      </c>
      <c r="B181" t="inlineStr">
        <is>
          <t>Kab. Tulungagung</t>
        </is>
      </c>
      <c r="C181" t="inlineStr">
        <is>
          <t>81259636789</t>
        </is>
      </c>
      <c r="D181" t="inlineStr">
        <is>
          <t>hariadie@gmail.com</t>
        </is>
      </c>
      <c r="E181" t="inlineStr">
        <is>
          <t>https://lpjk.pu.go.id/search-badan-usaha-detail/YnFHZnZ6QWgyRzdrQnNUUTlMTHBwUT09</t>
        </is>
      </c>
      <c r="F181" t="n">
        <v>1</v>
      </c>
      <c r="G181" t="inlineStr">
        <is>
          <t>BS004</t>
        </is>
      </c>
      <c r="H181" t="inlineStr">
        <is>
          <t>21 Juli 2009</t>
        </is>
      </c>
      <c r="I181" s="2" t="n">
        <v>46193</v>
      </c>
      <c r="J181" t="inlineStr">
        <is>
          <t>Disetujui</t>
        </is>
      </c>
      <c r="K181" t="n">
        <v>30</v>
      </c>
      <c r="L181" t="inlineStr">
        <is>
          <t>20 Juni 2026</t>
        </is>
      </c>
      <c r="M181" t="inlineStr">
        <is>
          <t>Konstruksi Jaringan Irigasi dan Drainase</t>
        </is>
      </c>
      <c r="N181" t="inlineStr">
        <is>
          <t>K</t>
        </is>
      </c>
      <c r="O181" t="inlineStr">
        <is>
          <t>20230428</t>
        </is>
      </c>
      <c r="P181" t="inlineStr">
        <is>
          <t>Jawa Timur</t>
        </is>
      </c>
      <c r="Q181" s="3">
        <f>HYPERLINK("https://wa.me/6281259636789?text=*[PERINGATAN DARURAT SBU SANDI KENCANA]*%0A%0AYth. Pimpinan SANDI KENCANA,%0AMasa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2">
      <c r="A182" t="inlineStr">
        <is>
          <t>SARI MUNCUL MEGUNUNG</t>
        </is>
      </c>
      <c r="B182" t="inlineStr">
        <is>
          <t>Kab. Gianyar</t>
        </is>
      </c>
      <c r="C182" t="inlineStr">
        <is>
          <t>0811386443</t>
        </is>
      </c>
      <c r="D182" t="inlineStr">
        <is>
          <t>munculmegunung38@gmail.com</t>
        </is>
      </c>
      <c r="E182" t="inlineStr">
        <is>
          <t>https://lpjk.pu.go.id/search-badan-usaha-detail/NWxGV0pPdVpZQ091SURqNDY3bGxwQT09</t>
        </is>
      </c>
      <c r="F182" t="n">
        <v>1</v>
      </c>
      <c r="G182" t="inlineStr">
        <is>
          <t>BG005</t>
        </is>
      </c>
      <c r="H182" t="inlineStr">
        <is>
          <t>5 Maret 2008</t>
        </is>
      </c>
      <c r="I182" s="2" t="n">
        <v>46193</v>
      </c>
      <c r="J182" t="inlineStr">
        <is>
          <t>Validasi</t>
        </is>
      </c>
      <c r="K182" t="n">
        <v>30</v>
      </c>
      <c r="L182" t="inlineStr">
        <is>
          <t>20 Juni 2026</t>
        </is>
      </c>
      <c r="M182" t="inlineStr">
        <is>
          <t>Konstruksi Gedung Kesehatan</t>
        </is>
      </c>
      <c r="N182" t="inlineStr">
        <is>
          <t>K</t>
        </is>
      </c>
      <c r="O182" t="inlineStr">
        <is>
          <t>20230526</t>
        </is>
      </c>
      <c r="P182" t="inlineStr">
        <is>
          <t>Bali</t>
        </is>
      </c>
      <c r="Q182" s="3">
        <f>HYPERLINK("https://wa.me/62811386443?text=*[PERINGATAN DARURAT SBU SARI MUNCUL MEGUNUNG]*%0A%0AYth. Pimpinan SARI MUNCUL MEGUNUNG,%0AMasa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3">
      <c r="A183" t="inlineStr">
        <is>
          <t>SATU TIGA SEMBILAN</t>
        </is>
      </c>
      <c r="B183" t="inlineStr">
        <is>
          <t>Kab. Tanah Bumbu</t>
        </is>
      </c>
      <c r="C183" t="inlineStr">
        <is>
          <t>082154465206</t>
        </is>
      </c>
      <c r="D183" t="inlineStr">
        <is>
          <t>satutigasembilan.cv139@gmail.com</t>
        </is>
      </c>
      <c r="E183" t="inlineStr">
        <is>
          <t>https://lpjk.pu.go.id/search-badan-usaha-detail/UC8yakRIa290TFo0WUFTTG9zckF0Zz09</t>
        </is>
      </c>
      <c r="F183" t="n">
        <v>2</v>
      </c>
      <c r="G183" t="inlineStr">
        <is>
          <t>BG009, BS010</t>
        </is>
      </c>
      <c r="H183" t="inlineStr">
        <is>
          <t>28 Desember 2022</t>
        </is>
      </c>
      <c r="I183" s="2" t="n">
        <v>46193</v>
      </c>
      <c r="J183" t="inlineStr">
        <is>
          <t>Disetujui</t>
        </is>
      </c>
      <c r="K183" t="n">
        <v>30</v>
      </c>
      <c r="L183" t="inlineStr">
        <is>
          <t>20 Juni 2026</t>
        </is>
      </c>
      <c r="M183" t="inlineStr">
        <is>
          <t>Konstruksi Bangunan Prasarana Sumber Daya Air, Konstruksi Gedung Lainnya</t>
        </is>
      </c>
      <c r="N183" t="inlineStr">
        <is>
          <t>K</t>
        </is>
      </c>
      <c r="O183" t="inlineStr">
        <is>
          <t>20230619, 20230620</t>
        </is>
      </c>
      <c r="P183" t="inlineStr">
        <is>
          <t>Kalimantan Selatan</t>
        </is>
      </c>
      <c r="Q183" s="3">
        <f>HYPERLINK("https://wa.me/6282154465206?text=*[PERINGATAN DARURAT SBU SATU TIGA SEMBILAN]*%0A%0AYth. Pimpinan SATU TIGA SEMBILAN,%0AMasa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4">
      <c r="A184" t="inlineStr">
        <is>
          <t>SAVERO BANGUN MANDIRI</t>
        </is>
      </c>
      <c r="B184" t="inlineStr">
        <is>
          <t>Kab. Bandung</t>
        </is>
      </c>
      <c r="C184" t="inlineStr">
        <is>
          <t>02287529278</t>
        </is>
      </c>
      <c r="D184" t="inlineStr">
        <is>
          <t>saverobangunmandiri@gmail.com</t>
        </is>
      </c>
      <c r="E184" t="inlineStr">
        <is>
          <t>https://lpjk.pu.go.id/search-badan-usaha-detail/WXV4ckJOR25qU29HOEgvM2M2d1ovZz09</t>
        </is>
      </c>
      <c r="F184" t="n">
        <v>1</v>
      </c>
      <c r="G184" t="inlineStr">
        <is>
          <t>BG009</t>
        </is>
      </c>
      <c r="H184" t="inlineStr">
        <is>
          <t>28 Januari 2016</t>
        </is>
      </c>
      <c r="I184" s="2" t="n">
        <v>46193</v>
      </c>
      <c r="J184" t="inlineStr">
        <is>
          <t>Pencabutan</t>
        </is>
      </c>
      <c r="K184" t="n">
        <v>30</v>
      </c>
      <c r="L184" t="inlineStr">
        <is>
          <t>20 Juni 2026</t>
        </is>
      </c>
      <c r="M184" t="inlineStr">
        <is>
          <t>Konstruksi Gedung Lainnya</t>
        </is>
      </c>
      <c r="N184" t="inlineStr">
        <is>
          <t>K</t>
        </is>
      </c>
      <c r="O184" t="inlineStr">
        <is>
          <t>20230617</t>
        </is>
      </c>
      <c r="P184" t="inlineStr">
        <is>
          <t>Jawa Barat</t>
        </is>
      </c>
      <c r="Q184" s="3">
        <f>HYPERLINK("https://wa.me/622287529278?text=*[PERINGATAN DARURAT SBU SAVERO BANGUN MANDIRI]*%0A%0AYth. Pimpinan SAVERO BANGUN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5">
      <c r="A185" t="inlineStr">
        <is>
          <t>SEKAR ARUM</t>
        </is>
      </c>
      <c r="B185" t="inlineStr">
        <is>
          <t>Kab. Pacitan</t>
        </is>
      </c>
      <c r="C185" t="inlineStr">
        <is>
          <t>087706777778</t>
        </is>
      </c>
      <c r="D185" t="inlineStr">
        <is>
          <t>riningning88@gmail.com</t>
        </is>
      </c>
      <c r="E185" t="inlineStr">
        <is>
          <t>https://lpjk.pu.go.id/search-badan-usaha-detail/bytMMEpVZ2x4ZGE5NC9wUmNSVUNwZz09</t>
        </is>
      </c>
      <c r="F185" t="n">
        <v>2</v>
      </c>
      <c r="G185" t="inlineStr">
        <is>
          <t>BG005</t>
        </is>
      </c>
      <c r="H185" t="inlineStr">
        <is>
          <t>21 Maret 2018</t>
        </is>
      </c>
      <c r="I185" s="2" t="n">
        <v>46193</v>
      </c>
      <c r="J185" t="inlineStr">
        <is>
          <t>Disetujui</t>
        </is>
      </c>
      <c r="K185" t="n">
        <v>30</v>
      </c>
      <c r="L185" t="inlineStr">
        <is>
          <t>20 Juni 2026</t>
        </is>
      </c>
      <c r="M185" t="inlineStr">
        <is>
          <t>Konstruksi Gedung Kesehatan</t>
        </is>
      </c>
      <c r="N185" t="inlineStr">
        <is>
          <t>K</t>
        </is>
      </c>
      <c r="O185" t="inlineStr">
        <is>
          <t>20230620</t>
        </is>
      </c>
      <c r="P185" t="inlineStr">
        <is>
          <t>Jawa Timur</t>
        </is>
      </c>
      <c r="Q185" s="3">
        <f>HYPERLINK("https://wa.me/6287706777778?text=*[PERINGATAN DARURAT SBU SEKAR ARUM]*%0A%0AYth. Pimpinan SEKAR ARUM,%0AMasa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6">
      <c r="A186" t="inlineStr">
        <is>
          <t>SENOPATI JABBAR</t>
        </is>
      </c>
      <c r="B186" t="inlineStr">
        <is>
          <t>Kab. Kudus</t>
        </is>
      </c>
      <c r="C186" t="inlineStr">
        <is>
          <t>085293127282</t>
        </is>
      </c>
      <c r="D186" t="inlineStr">
        <is>
          <t>senopatijabbar@gmail.com</t>
        </is>
      </c>
      <c r="E186" t="inlineStr">
        <is>
          <t>https://lpjk.pu.go.id/search-badan-usaha-detail/QWVScWRZUnRyRWN6R1B4TGJ3bDlFZz09</t>
        </is>
      </c>
      <c r="F186" t="n">
        <v>1</v>
      </c>
      <c r="G186" t="inlineStr">
        <is>
          <t>BS005</t>
        </is>
      </c>
      <c r="H186" t="inlineStr">
        <is>
          <t>31 Januari 2018</t>
        </is>
      </c>
      <c r="I186" s="2" t="n">
        <v>46193</v>
      </c>
      <c r="J186" t="inlineStr">
        <is>
          <t>Pencabutan</t>
        </is>
      </c>
      <c r="K186" t="n">
        <v>30</v>
      </c>
      <c r="L186" t="inlineStr">
        <is>
          <t>20 Juni 2026</t>
        </is>
      </c>
      <c r="M186" t="inlineStr">
        <is>
          <t>Konstruksi Bangunan Sipil Pengolahan Air Bersih</t>
        </is>
      </c>
      <c r="N186" t="inlineStr">
        <is>
          <t>K</t>
        </is>
      </c>
      <c r="O186" t="inlineStr">
        <is>
          <t>20230620</t>
        </is>
      </c>
      <c r="P186" t="inlineStr">
        <is>
          <t>Jawa Tengah</t>
        </is>
      </c>
      <c r="Q186" s="3">
        <f>HYPERLINK("https://wa.me/6285293127282?text=*[PERINGATAN DARURAT SBU SENOPATI JABBAR]*%0A%0AYth. Pimpinan SENOPATI JABBAR,%0AMasa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7">
      <c r="A187" t="inlineStr">
        <is>
          <t>SENTRAL JAYA</t>
        </is>
      </c>
      <c r="B187" t="inlineStr">
        <is>
          <t>Kota Pontianak</t>
        </is>
      </c>
      <c r="C187" t="inlineStr">
        <is>
          <t>082148852288</t>
        </is>
      </c>
      <c r="D187" t="inlineStr">
        <is>
          <t>sentraljaya.2008@gmail.com</t>
        </is>
      </c>
      <c r="E187" t="inlineStr">
        <is>
          <t>https://lpjk.pu.go.id/search-badan-usaha-detail/R0VBVVIrNDhQYmdGdEY4WjZKd0QrUT09</t>
        </is>
      </c>
      <c r="F187" t="n">
        <v>2</v>
      </c>
      <c r="G187" t="inlineStr">
        <is>
          <t>BG009</t>
        </is>
      </c>
      <c r="H187" t="inlineStr">
        <is>
          <t>27 Maret 2008</t>
        </is>
      </c>
      <c r="I187" s="2" t="n">
        <v>46193</v>
      </c>
      <c r="J187" t="inlineStr">
        <is>
          <t>Disetujui</t>
        </is>
      </c>
      <c r="K187" t="n">
        <v>30</v>
      </c>
      <c r="L187" t="inlineStr">
        <is>
          <t>20 Juni 2026</t>
        </is>
      </c>
      <c r="M187" t="inlineStr">
        <is>
          <t>Konstruksi Gedung Lainnya</t>
        </is>
      </c>
      <c r="N187" t="inlineStr">
        <is>
          <t>K</t>
        </is>
      </c>
      <c r="O187" t="inlineStr">
        <is>
          <t>20230614</t>
        </is>
      </c>
      <c r="P187" t="inlineStr">
        <is>
          <t>Kalimantan Barat</t>
        </is>
      </c>
      <c r="Q187" s="3">
        <f>HYPERLINK("https://wa.me/6282148852288?text=*[PERINGATAN DARURAT SBU SENTRAL JAYA]*%0A%0AYth. Pimpinan SENTRAL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8">
      <c r="A188" t="inlineStr">
        <is>
          <t>SHANA TOVAH</t>
        </is>
      </c>
      <c r="B188" t="inlineStr">
        <is>
          <t>Kab. Kaimana</t>
        </is>
      </c>
      <c r="C188" t="inlineStr">
        <is>
          <t>081330484830</t>
        </is>
      </c>
      <c r="D188" t="inlineStr">
        <is>
          <t>shanatovah81@gmail.com</t>
        </is>
      </c>
      <c r="E188" t="inlineStr">
        <is>
          <t>https://lpjk.pu.go.id/search-badan-usaha-detail/QlhmK05mNWc0d1ovNEMxY0dWK3JvQT09</t>
        </is>
      </c>
      <c r="F188" t="n">
        <v>3</v>
      </c>
      <c r="G188" t="inlineStr">
        <is>
          <t>BG002, BG005, BS010</t>
        </is>
      </c>
      <c r="H188" t="inlineStr">
        <is>
          <t>24 Januari 2014</t>
        </is>
      </c>
      <c r="I188" s="2" t="n">
        <v>46193</v>
      </c>
      <c r="J188" t="inlineStr">
        <is>
          <t>Disetujui</t>
        </is>
      </c>
      <c r="K188" t="n">
        <v>30</v>
      </c>
      <c r="L188" t="inlineStr">
        <is>
          <t>20 Juni 2026</t>
        </is>
      </c>
      <c r="M188" t="inlineStr">
        <is>
          <t>Konstruksi Bangunan Prasarana Sumber Daya Air, Konstruksi Gedung Kesehatan, Konstruksi Gedung Perkantoran</t>
        </is>
      </c>
      <c r="N188" t="inlineStr">
        <is>
          <t>K</t>
        </is>
      </c>
      <c r="O188" t="inlineStr">
        <is>
          <t>20230620</t>
        </is>
      </c>
      <c r="P188" t="inlineStr">
        <is>
          <t>Papua Barat</t>
        </is>
      </c>
      <c r="Q188" s="3">
        <f>HYPERLINK("https://wa.me/6281330484830?text=*[PERINGATAN DARURAT SBU SHANA TOVAH]*%0A%0AYth. Pimpinan SHANA TOVAH,%0AMasa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89">
      <c r="A189" t="inlineStr">
        <is>
          <t>SINAR BAHAGIA</t>
        </is>
      </c>
      <c r="B189" t="inlineStr">
        <is>
          <t>Kab. Sumba Timur</t>
        </is>
      </c>
      <c r="C189" t="inlineStr">
        <is>
          <t>038761153</t>
        </is>
      </c>
      <c r="D189" t="inlineStr">
        <is>
          <t>cv.sinarbahagia21@yahoo.com</t>
        </is>
      </c>
      <c r="E189" t="inlineStr">
        <is>
          <t>https://lpjk.pu.go.id/search-badan-usaha-detail/blk3UEMzTFRRZFFITXFXV3U0cDY3dz09</t>
        </is>
      </c>
      <c r="F189" t="n">
        <v>1</v>
      </c>
      <c r="G189" t="inlineStr">
        <is>
          <t>BS001</t>
        </is>
      </c>
      <c r="H189" t="inlineStr">
        <is>
          <t>7 April 1987</t>
        </is>
      </c>
      <c r="I189" s="2" t="n">
        <v>46193</v>
      </c>
      <c r="J189" t="inlineStr">
        <is>
          <t>Disetujui</t>
        </is>
      </c>
      <c r="K189" t="n">
        <v>30</v>
      </c>
      <c r="L189" t="inlineStr">
        <is>
          <t>20 Juni 2026</t>
        </is>
      </c>
      <c r="M189" t="inlineStr">
        <is>
          <t>Konstruksi Bangunan Sipil Jalan</t>
        </is>
      </c>
      <c r="N189" t="inlineStr">
        <is>
          <t>K</t>
        </is>
      </c>
      <c r="O189" t="inlineStr">
        <is>
          <t>20230519</t>
        </is>
      </c>
      <c r="P189" t="inlineStr">
        <is>
          <t>Nusa Tenggara Timur</t>
        </is>
      </c>
      <c r="Q189" s="3">
        <f>HYPERLINK("https://wa.me/6238761153?text=*[PERINGATAN DARURAT SBU SINAR BAHAGIA]*%0A%0AYth. Pimpinan SINAR BAHAGIA,%0AMasa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0">
      <c r="A190" t="inlineStr">
        <is>
          <t>SINAR HUTAMA MUDA</t>
        </is>
      </c>
      <c r="B190" t="inlineStr">
        <is>
          <t>Kab. Humbang Hasundutan</t>
        </is>
      </c>
      <c r="C190" t="inlineStr">
        <is>
          <t>085207247559</t>
        </is>
      </c>
      <c r="D190" t="inlineStr">
        <is>
          <t>sinarhutamamuda77@gmail.com</t>
        </is>
      </c>
      <c r="E190" t="inlineStr">
        <is>
          <t>https://lpjk.pu.go.id/search-badan-usaha-detail/aE1GVUYxK1A0aWFuMWo2QlRPTHVWUT09</t>
        </is>
      </c>
      <c r="F190" t="n">
        <v>1</v>
      </c>
      <c r="G190" t="inlineStr">
        <is>
          <t>BG009</t>
        </is>
      </c>
      <c r="H190" t="inlineStr">
        <is>
          <t>27 Oktober 2015</t>
        </is>
      </c>
      <c r="I190" s="2" t="n">
        <v>46193</v>
      </c>
      <c r="J190" t="inlineStr">
        <is>
          <t>Disetujui</t>
        </is>
      </c>
      <c r="K190" t="n">
        <v>30</v>
      </c>
      <c r="L190" t="inlineStr">
        <is>
          <t>20 Juni 2026</t>
        </is>
      </c>
      <c r="M190" t="inlineStr">
        <is>
          <t>Konstruksi Gedung Lainnya</t>
        </is>
      </c>
      <c r="N190" t="inlineStr">
        <is>
          <t>K</t>
        </is>
      </c>
      <c r="O190" t="inlineStr">
        <is>
          <t>20230606</t>
        </is>
      </c>
      <c r="P190" t="inlineStr">
        <is>
          <t>Sumatera Utara</t>
        </is>
      </c>
      <c r="Q190" s="3">
        <f>HYPERLINK("https://wa.me/6285207247559?text=*[PERINGATAN DARURAT SBU SINAR HUTAMA MUDA]*%0A%0AYth. Pimpinan SINAR HUTAMA MUDA,%0AMasa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1">
      <c r="A191" t="inlineStr">
        <is>
          <t>SINAR KEPRI SEJAHTERA</t>
        </is>
      </c>
      <c r="B191" t="inlineStr">
        <is>
          <t>Kota Batam</t>
        </is>
      </c>
      <c r="C191" t="inlineStr">
        <is>
          <t>07784800662</t>
        </is>
      </c>
      <c r="D191" t="inlineStr">
        <is>
          <t>pt.sinarkeprisejahtera@yahoo.com</t>
        </is>
      </c>
      <c r="E191" t="inlineStr">
        <is>
          <t>https://lpjk.pu.go.id/search-badan-usaha-detail/bExCMW5Kc2FQMnlzb1FyQnVoNUhCUT09</t>
        </is>
      </c>
      <c r="F191" t="n">
        <v>1</v>
      </c>
      <c r="G191" t="inlineStr">
        <is>
          <t>BS009</t>
        </is>
      </c>
      <c r="H191" t="inlineStr">
        <is>
          <t>26 Juni 2015</t>
        </is>
      </c>
      <c r="I191" s="2" t="n">
        <v>46193</v>
      </c>
      <c r="J191" t="inlineStr">
        <is>
          <t>Disetujui</t>
        </is>
      </c>
      <c r="K191" t="n">
        <v>30</v>
      </c>
      <c r="L191" t="inlineStr">
        <is>
          <t>20 Juni 2026</t>
        </is>
      </c>
      <c r="M191" t="inlineStr">
        <is>
          <t>Konstruksi Sentral Telekomunikasi</t>
        </is>
      </c>
      <c r="N191" t="inlineStr">
        <is>
          <t>K</t>
        </is>
      </c>
      <c r="O191" t="inlineStr">
        <is>
          <t>20230620</t>
        </is>
      </c>
      <c r="P191" t="inlineStr">
        <is>
          <t>Kepulauan Riau</t>
        </is>
      </c>
      <c r="Q191" s="3">
        <f>HYPERLINK("https://wa.me/627784800662?text=*[PERINGATAN DARURAT SBU SINAR KEPRI SEJAHTERA]*%0A%0AYth. Pimpinan SINAR KEPRI SEJAHTERA,%0AMasa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2">
      <c r="A192" t="inlineStr">
        <is>
          <t>SUMBER AMANAH KELUARGA</t>
        </is>
      </c>
      <c r="B192" t="inlineStr">
        <is>
          <t>Kab. Tanjung Jabung Barat</t>
        </is>
      </c>
      <c r="C192" t="inlineStr">
        <is>
          <t>083121752297</t>
        </is>
      </c>
      <c r="D192" t="inlineStr">
        <is>
          <t>sumberamanahkeluarga@gmail.com</t>
        </is>
      </c>
      <c r="E192" t="inlineStr">
        <is>
          <t>https://lpjk.pu.go.id/search-badan-usaha-detail/eFpMdzd4bHBLd3d6Zi83YURueFhDdz09</t>
        </is>
      </c>
      <c r="F192" t="n">
        <v>2</v>
      </c>
      <c r="G192" t="inlineStr">
        <is>
          <t>BS001, BS004</t>
        </is>
      </c>
      <c r="H192" t="inlineStr">
        <is>
          <t>20 Januari 2023</t>
        </is>
      </c>
      <c r="I192" s="2" t="n">
        <v>46193</v>
      </c>
      <c r="J192" t="inlineStr">
        <is>
          <t>Disetujui</t>
        </is>
      </c>
      <c r="K192" t="n">
        <v>30</v>
      </c>
      <c r="L192" t="inlineStr">
        <is>
          <t>20 Juni 2026</t>
        </is>
      </c>
      <c r="M192" t="inlineStr">
        <is>
          <t>Konstruksi Bangunan Sipil Jalan, Konstruksi Jaringan Irigasi dan Drainase</t>
        </is>
      </c>
      <c r="N192" t="inlineStr">
        <is>
          <t>K</t>
        </is>
      </c>
      <c r="O192" t="inlineStr">
        <is>
          <t>20230620</t>
        </is>
      </c>
      <c r="P192" t="inlineStr">
        <is>
          <t>Jambi</t>
        </is>
      </c>
      <c r="Q192" s="3">
        <f>HYPERLINK("https://wa.me/6283121752297?text=*[PERINGATAN DARURAT SBU SUMBER AMANAH KELUARGA]*%0A%0AYth. Pimpinan SUMBER AMANAH KELUARGA,%0AMasa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3">
      <c r="A193" t="inlineStr">
        <is>
          <t>SUMBER JAYA</t>
        </is>
      </c>
      <c r="B193" t="inlineStr">
        <is>
          <t>Kab. Jepara</t>
        </is>
      </c>
      <c r="C193" t="inlineStr">
        <is>
          <t>081229235005</t>
        </is>
      </c>
      <c r="D193" t="inlineStr">
        <is>
          <t>anesansori@yahoo.co.id</t>
        </is>
      </c>
      <c r="E193" t="inlineStr">
        <is>
          <t>https://lpjk.pu.go.id/search-badan-usaha-detail/WlVzMzVaejZhMHQwczZ2dkpRdDR1UT09</t>
        </is>
      </c>
      <c r="F193" t="n">
        <v>2</v>
      </c>
      <c r="G193" t="inlineStr">
        <is>
          <t>BS001, BS004</t>
        </is>
      </c>
      <c r="H193" t="inlineStr">
        <is>
          <t>11 Maret 1986</t>
        </is>
      </c>
      <c r="I193" s="2" t="n">
        <v>46193</v>
      </c>
      <c r="J193" t="inlineStr">
        <is>
          <t>Disetujui</t>
        </is>
      </c>
      <c r="K193" t="n">
        <v>30</v>
      </c>
      <c r="L193" t="inlineStr">
        <is>
          <t>20 Juni 2026</t>
        </is>
      </c>
      <c r="M193" t="inlineStr">
        <is>
          <t>Konstruksi Bangunan Sipil Jalan, Konstruksi Jaringan Irigasi dan Drainase</t>
        </is>
      </c>
      <c r="N193" t="inlineStr">
        <is>
          <t>K</t>
        </is>
      </c>
      <c r="O193" t="inlineStr">
        <is>
          <t>20230619</t>
        </is>
      </c>
      <c r="P193" t="inlineStr">
        <is>
          <t>Jawa Tengah</t>
        </is>
      </c>
      <c r="Q193" s="3">
        <f>HYPERLINK("https://wa.me/6281229235005?text=*[PERINGATAN DARURAT SBU SUMBER JAYA]*%0A%0AYth. Pimpinan SUMBER JAYA,%0AMasa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4">
      <c r="A194" t="inlineStr">
        <is>
          <t>SUMBER REJEKI</t>
        </is>
      </c>
      <c r="B194" t="inlineStr">
        <is>
          <t>Kab. Banyumas</t>
        </is>
      </c>
      <c r="C194" t="inlineStr">
        <is>
          <t>082124579847</t>
        </is>
      </c>
      <c r="D194" t="inlineStr">
        <is>
          <t>rejekisumber016@gmail.com</t>
        </is>
      </c>
      <c r="E194" t="inlineStr">
        <is>
          <t>https://lpjk.pu.go.id/search-badan-usaha-detail/L3QwaHBpWkNOOW5aMFBZODVoTzFFdz09</t>
        </is>
      </c>
      <c r="F194" t="n">
        <v>1</v>
      </c>
      <c r="G194" t="inlineStr">
        <is>
          <t>BG005</t>
        </is>
      </c>
      <c r="H194" t="inlineStr">
        <is>
          <t>28 Oktober 2017</t>
        </is>
      </c>
      <c r="I194" s="2" t="n">
        <v>46193</v>
      </c>
      <c r="J194" t="inlineStr">
        <is>
          <t>Disetujui</t>
        </is>
      </c>
      <c r="K194" t="n">
        <v>30</v>
      </c>
      <c r="L194" t="inlineStr">
        <is>
          <t>20 Juni 2026</t>
        </is>
      </c>
      <c r="M194" t="inlineStr">
        <is>
          <t>Konstruksi Gedung Kesehatan</t>
        </is>
      </c>
      <c r="N194" t="inlineStr">
        <is>
          <t>K</t>
        </is>
      </c>
      <c r="O194" t="inlineStr">
        <is>
          <t>20230619</t>
        </is>
      </c>
      <c r="P194" t="inlineStr">
        <is>
          <t>Jawa Tengah</t>
        </is>
      </c>
      <c r="Q194" s="3">
        <f>HYPERLINK("https://wa.me/6282124579847?text=*[PERINGATAN DARURAT SBU SUMBER REJEKI]*%0A%0AYth. Pimpinan SUMBER REJEKI,%0AMasa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5">
      <c r="A195" t="inlineStr">
        <is>
          <t>SUMBER REJEKI</t>
        </is>
      </c>
      <c r="B195" t="inlineStr">
        <is>
          <t>Kota Blitar</t>
        </is>
      </c>
      <c r="C195" t="inlineStr">
        <is>
          <t>0</t>
        </is>
      </c>
      <c r="D195" t="inlineStr">
        <is>
          <t>cv_sumberrejekibltr@yahoo.co.id</t>
        </is>
      </c>
      <c r="E195" t="inlineStr">
        <is>
          <t>https://lpjk.pu.go.id/search-badan-usaha-detail/ZzgyL2VJZGZEQUducndIczdRTGlZQT09</t>
        </is>
      </c>
      <c r="F195" t="n">
        <v>2</v>
      </c>
      <c r="G195" t="inlineStr">
        <is>
          <t>BG009, BS005</t>
        </is>
      </c>
      <c r="H195" t="inlineStr">
        <is>
          <t>19 Oktober 1984</t>
        </is>
      </c>
      <c r="I195" s="2" t="n">
        <v>46193</v>
      </c>
      <c r="J195" t="inlineStr">
        <is>
          <t>Disetujui</t>
        </is>
      </c>
      <c r="K195" t="n">
        <v>30</v>
      </c>
      <c r="L195" t="inlineStr">
        <is>
          <t>20 Juni 2026</t>
        </is>
      </c>
      <c r="M195" t="inlineStr">
        <is>
          <t>Konstruksi Bangunan Sipil Pengolahan Air Bersih, Konstruksi Gedung Lainnya</t>
        </is>
      </c>
      <c r="N195" t="inlineStr">
        <is>
          <t>K</t>
        </is>
      </c>
      <c r="O195" t="inlineStr">
        <is>
          <t>20230615</t>
        </is>
      </c>
      <c r="P195" t="inlineStr">
        <is>
          <t>Jawa Timur</t>
        </is>
      </c>
      <c r="Q195" s="3">
        <f>HYPERLINK("https://wa.me/62?text=*[PERINGATAN DARURAT SBU SUMBER REJEKI]*%0A%0AYth. Pimpinan SUMBER REJEKI,%0AMasa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6">
      <c r="A196" t="inlineStr">
        <is>
          <t>SUMBER REZEKI UTAMA</t>
        </is>
      </c>
      <c r="B196" t="inlineStr">
        <is>
          <t>Kota Medan</t>
        </is>
      </c>
      <c r="C196" t="inlineStr">
        <is>
          <t>08126067317</t>
        </is>
      </c>
      <c r="D196" t="inlineStr">
        <is>
          <t>sumberrezeki1.cv@gmail.com</t>
        </is>
      </c>
      <c r="E196" t="inlineStr">
        <is>
          <t>https://lpjk.pu.go.id/search-badan-usaha-detail/NjNtTjVXNVZHaFdyQ3B6ZUpmS2VMdz09</t>
        </is>
      </c>
      <c r="F196" t="n">
        <v>3</v>
      </c>
      <c r="G196" t="inlineStr">
        <is>
          <t>BG004, BG006, BG009</t>
        </is>
      </c>
      <c r="H196" t="inlineStr">
        <is>
          <t>14 Maret 2012</t>
        </is>
      </c>
      <c r="I196" s="2" t="n">
        <v>46193</v>
      </c>
      <c r="J196" t="inlineStr">
        <is>
          <t>Disetujui</t>
        </is>
      </c>
      <c r="K196" t="n">
        <v>30</v>
      </c>
      <c r="L196" t="inlineStr">
        <is>
          <t>20 Juni 2026</t>
        </is>
      </c>
      <c r="M196" t="inlineStr">
        <is>
          <t>Konstruksi Gedung Lainnya, Konstruksi Gedung Pendidikan, Konstruksi Gedung Perbelanjaan</t>
        </is>
      </c>
      <c r="N196" t="inlineStr">
        <is>
          <t>K</t>
        </is>
      </c>
      <c r="O196" t="inlineStr">
        <is>
          <t>20230506, 20230620</t>
        </is>
      </c>
      <c r="P196" t="inlineStr">
        <is>
          <t>Sumatera Utara</t>
        </is>
      </c>
      <c r="Q196" s="3">
        <f>HYPERLINK("https://wa.me/628126067317?text=*[PERINGATAN DARURAT SBU SUMBER REZEKI UTAMA]*%0A%0AYth. Pimpinan SUMBER REZEKI UTAMA,%0AMasa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7">
      <c r="A197" t="inlineStr">
        <is>
          <t>SURYA DJAYA MANDIRI</t>
        </is>
      </c>
      <c r="B197" t="inlineStr">
        <is>
          <t>Kab. Brebes</t>
        </is>
      </c>
      <c r="C197" t="inlineStr">
        <is>
          <t>081327744244</t>
        </is>
      </c>
      <c r="D197" t="inlineStr">
        <is>
          <t>suryadjayamandiri@gmail.com</t>
        </is>
      </c>
      <c r="E197" t="inlineStr">
        <is>
          <t>https://lpjk.pu.go.id/search-badan-usaha-detail/ZWVmUVFiTytHQlNldXJ5VTNFZWVVdz09</t>
        </is>
      </c>
      <c r="F197" t="n">
        <v>1</v>
      </c>
      <c r="G197" t="inlineStr">
        <is>
          <t>BG004</t>
        </is>
      </c>
      <c r="H197" t="inlineStr">
        <is>
          <t>15 Februari 2021</t>
        </is>
      </c>
      <c r="I197" s="2" t="n">
        <v>46193</v>
      </c>
      <c r="J197" t="inlineStr">
        <is>
          <t>Disetujui</t>
        </is>
      </c>
      <c r="K197" t="n">
        <v>30</v>
      </c>
      <c r="L197" t="inlineStr">
        <is>
          <t>20 Juni 2026</t>
        </is>
      </c>
      <c r="M197" t="inlineStr">
        <is>
          <t>Konstruksi Gedung Perbelanjaan</t>
        </is>
      </c>
      <c r="N197" t="inlineStr">
        <is>
          <t>K</t>
        </is>
      </c>
      <c r="O197" t="inlineStr">
        <is>
          <t>20230620</t>
        </is>
      </c>
      <c r="P197" t="inlineStr">
        <is>
          <t>Jawa Tengah</t>
        </is>
      </c>
      <c r="Q197" s="3">
        <f>HYPERLINK("https://wa.me/6281327744244?text=*[PERINGATAN DARURAT SBU SURYA DJAYA MANDIRI]*%0A%0AYth. Pimpinan SURYA DJAYA MANDIRI,%0AMasa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8">
      <c r="A198" t="inlineStr">
        <is>
          <t>SURYA GEMILANG</t>
        </is>
      </c>
      <c r="B198" t="inlineStr">
        <is>
          <t>Kab. Karawang</t>
        </is>
      </c>
      <c r="C198" t="inlineStr">
        <is>
          <t>085774092122</t>
        </is>
      </c>
      <c r="D198" t="inlineStr">
        <is>
          <t>suryagemilang043@gmail.com</t>
        </is>
      </c>
      <c r="E198" t="inlineStr">
        <is>
          <t>https://lpjk.pu.go.id/search-badan-usaha-detail/VmpzMkFJY01ScWFpTTZYYmpsUGJPZz09</t>
        </is>
      </c>
      <c r="F198" t="n">
        <v>1</v>
      </c>
      <c r="G198" t="inlineStr">
        <is>
          <t>BS002</t>
        </is>
      </c>
      <c r="H198" t="inlineStr">
        <is>
          <t>15 April 2017</t>
        </is>
      </c>
      <c r="I198" s="2" t="n">
        <v>46193</v>
      </c>
      <c r="J198" t="inlineStr">
        <is>
          <t>Disetujui</t>
        </is>
      </c>
      <c r="K198" t="n">
        <v>30</v>
      </c>
      <c r="L198" t="inlineStr">
        <is>
          <t>20 Juni 2026</t>
        </is>
      </c>
      <c r="M198" t="inlineStr">
        <is>
          <t>Bangunan Sipil Jembatan, Jalan Layang, Fly Over, dan Underpass</t>
        </is>
      </c>
      <c r="N198" t="inlineStr">
        <is>
          <t>K</t>
        </is>
      </c>
      <c r="O198" t="inlineStr">
        <is>
          <t>20230614</t>
        </is>
      </c>
      <c r="P198" t="inlineStr">
        <is>
          <t>Jawa Barat</t>
        </is>
      </c>
      <c r="Q198" s="3">
        <f>HYPERLINK("https://wa.me/6285774092122?text=*[PERINGATAN DARURAT SBU SURYA GEMILANG]*%0A%0AYth. Pimpinan SURYA GEMILANG,%0AMasa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199">
      <c r="A199" t="inlineStr">
        <is>
          <t>SURYA PANTAI TIMUR</t>
        </is>
      </c>
      <c r="B199" t="inlineStr">
        <is>
          <t>Kab. Bireuen</t>
        </is>
      </c>
      <c r="C199" t="inlineStr">
        <is>
          <t>081269117008</t>
        </is>
      </c>
      <c r="D199" t="inlineStr">
        <is>
          <t>cv.suryapantaitimur@gmail.com</t>
        </is>
      </c>
      <c r="E199" t="inlineStr">
        <is>
          <t>https://lpjk.pu.go.id/search-badan-usaha-detail/b3Roem9reEZpTTVxSktlaytFbXZQQT09</t>
        </is>
      </c>
      <c r="F199" t="n">
        <v>1</v>
      </c>
      <c r="G199" t="inlineStr">
        <is>
          <t>BS003</t>
        </is>
      </c>
      <c r="H199" t="inlineStr">
        <is>
          <t>25 September 2010</t>
        </is>
      </c>
      <c r="I199" s="2" t="n">
        <v>46193</v>
      </c>
      <c r="J199" t="inlineStr">
        <is>
          <t>Disetujui</t>
        </is>
      </c>
      <c r="K199" t="n">
        <v>30</v>
      </c>
      <c r="L199" t="inlineStr">
        <is>
          <t>20 Juni 2026</t>
        </is>
      </c>
      <c r="M199" t="inlineStr">
        <is>
          <t>Konstruksi Jalan Rel</t>
        </is>
      </c>
      <c r="N199" t="inlineStr">
        <is>
          <t>K</t>
        </is>
      </c>
      <c r="O199" t="inlineStr">
        <is>
          <t>20230620</t>
        </is>
      </c>
      <c r="P199" t="inlineStr">
        <is>
          <t>Aceh</t>
        </is>
      </c>
      <c r="Q199" s="3">
        <f>HYPERLINK("https://wa.me/6281269117008?text=*[PERINGATAN DARURAT SBU SURYA PANTAI TIMUR]*%0A%0AYth. Pimpinan SURYA PANTAI TIMUR,%0AMasa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0">
      <c r="A200" t="inlineStr">
        <is>
          <t>TAKABEA RESHI CONSULINDO</t>
        </is>
      </c>
      <c r="B200" t="inlineStr">
        <is>
          <t>Kota Banda Aceh</t>
        </is>
      </c>
      <c r="C200" t="inlineStr">
        <is>
          <t>081362244905</t>
        </is>
      </c>
      <c r="D200" t="inlineStr">
        <is>
          <t>reshiconsulindotakabea@gmail.com</t>
        </is>
      </c>
      <c r="E200" t="inlineStr">
        <is>
          <t>https://lpjk.pu.go.id/search-badan-usaha-detail/Ym9yUWhKUFpKMXlLclM1cnBLZlRudz09</t>
        </is>
      </c>
      <c r="F200" t="n">
        <v>1</v>
      </c>
      <c r="G200" t="inlineStr">
        <is>
          <t>BG002</t>
        </is>
      </c>
      <c r="H200" t="inlineStr">
        <is>
          <t>7 Agustus 2000</t>
        </is>
      </c>
      <c r="I200" s="2" t="n">
        <v>46193</v>
      </c>
      <c r="J200" t="inlineStr">
        <is>
          <t>Pencabutan</t>
        </is>
      </c>
      <c r="K200" t="n">
        <v>30</v>
      </c>
      <c r="L200" t="inlineStr">
        <is>
          <t>20 Juni 2026</t>
        </is>
      </c>
      <c r="M200" t="inlineStr">
        <is>
          <t>Konstruksi Gedung Perkantoran</t>
        </is>
      </c>
      <c r="N200" t="inlineStr">
        <is>
          <t>M</t>
        </is>
      </c>
      <c r="O200" t="inlineStr">
        <is>
          <t>20230615</t>
        </is>
      </c>
      <c r="P200" t="inlineStr">
        <is>
          <t>Aceh</t>
        </is>
      </c>
      <c r="Q200" s="3">
        <f>HYPERLINK("https://wa.me/6281362244905?text=*[PERINGATAN DARURAT SBU TAKABEA RESHI CONSULINDO]*%0A%0AYth. Pimpinan TAKABEA RESHI CONSULINDO,%0AMasa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1">
      <c r="A201" t="inlineStr">
        <is>
          <t>TATA BERSAMA</t>
        </is>
      </c>
      <c r="B201" t="inlineStr">
        <is>
          <t>Kota Mojokerto</t>
        </is>
      </c>
      <c r="C201" t="inlineStr">
        <is>
          <t>085728381047</t>
        </is>
      </c>
      <c r="D201" t="inlineStr">
        <is>
          <t>tata_crew@yahoo.co.id</t>
        </is>
      </c>
      <c r="E201" t="inlineStr">
        <is>
          <t>https://lpjk.pu.go.id/search-badan-usaha-detail/M1J6d3BTQ3V1cnlFeW1GdE4xbmFVZz09</t>
        </is>
      </c>
      <c r="F201" t="n">
        <v>1</v>
      </c>
      <c r="G201" t="inlineStr">
        <is>
          <t>BS001</t>
        </is>
      </c>
      <c r="H201" t="inlineStr">
        <is>
          <t>17 April 2008</t>
        </is>
      </c>
      <c r="I201" s="2" t="n">
        <v>46193</v>
      </c>
      <c r="J201" t="inlineStr">
        <is>
          <t>Disetujui</t>
        </is>
      </c>
      <c r="K201" t="n">
        <v>30</v>
      </c>
      <c r="L201" t="inlineStr">
        <is>
          <t>20 Juni 2026</t>
        </is>
      </c>
      <c r="M201" t="inlineStr">
        <is>
          <t>Konstruksi Bangunan Sipil Jalan</t>
        </is>
      </c>
      <c r="N201" t="inlineStr">
        <is>
          <t>K</t>
        </is>
      </c>
      <c r="O201" t="inlineStr">
        <is>
          <t>20230617</t>
        </is>
      </c>
      <c r="P201" t="inlineStr">
        <is>
          <t>Jawa Timur</t>
        </is>
      </c>
      <c r="Q201" s="3">
        <f>HYPERLINK("https://wa.me/6285728381047?text=*[PERINGATAN DARURAT SBU TATA BERSAMA]*%0A%0AYth. Pimpinan TATA BERSAMA,%0AMasa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2">
      <c r="A202" t="inlineStr">
        <is>
          <t>TATA GRAHA INTILAND</t>
        </is>
      </c>
      <c r="B202" t="inlineStr">
        <is>
          <t>Kota Surabaya</t>
        </is>
      </c>
      <c r="C202" t="inlineStr">
        <is>
          <t>081330658311</t>
        </is>
      </c>
      <c r="D202" t="inlineStr">
        <is>
          <t>tatagrahai1234@gmail.com</t>
        </is>
      </c>
      <c r="E202" t="inlineStr">
        <is>
          <t>https://lpjk.pu.go.id/search-badan-usaha-detail/YlNVRHhUVGZKeUs1T1k1NUQySVZjdz09</t>
        </is>
      </c>
      <c r="F202" t="n">
        <v>1</v>
      </c>
      <c r="G202" t="inlineStr">
        <is>
          <t>BS004</t>
        </is>
      </c>
      <c r="H202" t="inlineStr">
        <is>
          <t>19 Desember 2014</t>
        </is>
      </c>
      <c r="I202" s="2" t="n">
        <v>46193</v>
      </c>
      <c r="J202" t="inlineStr">
        <is>
          <t>Disetujui</t>
        </is>
      </c>
      <c r="K202" t="n">
        <v>30</v>
      </c>
      <c r="L202" t="inlineStr">
        <is>
          <t>20 Juni 2026</t>
        </is>
      </c>
      <c r="M202" t="inlineStr">
        <is>
          <t>Konstruksi Jaringan Irigasi dan Drainase</t>
        </is>
      </c>
      <c r="N202" t="inlineStr">
        <is>
          <t>K</t>
        </is>
      </c>
      <c r="O202" t="inlineStr">
        <is>
          <t>20230609</t>
        </is>
      </c>
      <c r="P202" t="inlineStr">
        <is>
          <t>Jawa Timur</t>
        </is>
      </c>
      <c r="Q202" s="3">
        <f>HYPERLINK("https://wa.me/6281330658311?text=*[PERINGATAN DARURAT SBU TATA GRAHA INTILAND]*%0A%0AYth. Pimpinan TATA GRAHA INTILAND,%0AMasa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3">
      <c r="A203" t="inlineStr">
        <is>
          <t>TIGA CIPTA PERSADA</t>
        </is>
      </c>
      <c r="B203" t="inlineStr">
        <is>
          <t>Kota Medan</t>
        </is>
      </c>
      <c r="C203" t="inlineStr">
        <is>
          <t>082166686721</t>
        </is>
      </c>
      <c r="D203" t="inlineStr">
        <is>
          <t>tigaciptapersada@gmail.com</t>
        </is>
      </c>
      <c r="E203" t="inlineStr">
        <is>
          <t>https://lpjk.pu.go.id/search-badan-usaha-detail/Q1Q0cnVQSGxkVjlVKy9XM2ZWTVdBZz09</t>
        </is>
      </c>
      <c r="F203" t="n">
        <v>1</v>
      </c>
      <c r="G203" t="inlineStr">
        <is>
          <t>BS001</t>
        </is>
      </c>
      <c r="H203" t="inlineStr">
        <is>
          <t>10 Januari 2023</t>
        </is>
      </c>
      <c r="I203" s="2" t="n">
        <v>46193</v>
      </c>
      <c r="J203" t="inlineStr">
        <is>
          <t>Disetujui</t>
        </is>
      </c>
      <c r="K203" t="n">
        <v>30</v>
      </c>
      <c r="L203" t="inlineStr">
        <is>
          <t>20 Juni 2026</t>
        </is>
      </c>
      <c r="M203" t="inlineStr">
        <is>
          <t>Konstruksi Bangunan Sipil Jalan</t>
        </is>
      </c>
      <c r="N203" t="inlineStr">
        <is>
          <t>K</t>
        </is>
      </c>
      <c r="O203" t="inlineStr">
        <is>
          <t>20230606</t>
        </is>
      </c>
      <c r="P203" t="inlineStr">
        <is>
          <t>Sumatera Utara</t>
        </is>
      </c>
      <c r="Q203" s="3">
        <f>HYPERLINK("https://wa.me/6282166686721?text=*[PERINGATAN DARURAT SBU TIGA CIPTA PERSADA]*%0A%0AYth. Pimpinan TIGA CIPTA PERSADA,%0AMasa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4">
      <c r="A204" t="inlineStr">
        <is>
          <t>TIGA MERU ABADI</t>
        </is>
      </c>
      <c r="B204" t="inlineStr">
        <is>
          <t>Kota Bandung</t>
        </is>
      </c>
      <c r="C204" t="inlineStr">
        <is>
          <t>02287801328</t>
        </is>
      </c>
      <c r="D204" t="inlineStr">
        <is>
          <t>tigameru@gmail.com</t>
        </is>
      </c>
      <c r="E204" t="inlineStr">
        <is>
          <t>https://lpjk.pu.go.id/search-badan-usaha-detail/cTlXS3I2emZXWVVqeFV4bFRTc0dwdz09</t>
        </is>
      </c>
      <c r="F204" t="n">
        <v>3</v>
      </c>
      <c r="G204" t="inlineStr">
        <is>
          <t>BG002, BG004, BG009</t>
        </is>
      </c>
      <c r="H204" t="inlineStr">
        <is>
          <t>1 April 2010</t>
        </is>
      </c>
      <c r="I204" s="2" t="n">
        <v>46193</v>
      </c>
      <c r="J204" t="inlineStr">
        <is>
          <t>Disetujui</t>
        </is>
      </c>
      <c r="K204" t="n">
        <v>30</v>
      </c>
      <c r="L204" t="inlineStr">
        <is>
          <t>20 Juni 2026</t>
        </is>
      </c>
      <c r="M204" t="inlineStr">
        <is>
          <t>Konstruksi Gedung Lainnya, Konstruksi Gedung Perbelanjaan, Konstruksi Gedung Perkantoran</t>
        </is>
      </c>
      <c r="N204" t="inlineStr">
        <is>
          <t>K</t>
        </is>
      </c>
      <c r="O204" t="inlineStr">
        <is>
          <t>20230618</t>
        </is>
      </c>
      <c r="P204" t="inlineStr">
        <is>
          <t>Jawa Barat</t>
        </is>
      </c>
      <c r="Q204" s="3">
        <f>HYPERLINK("https://wa.me/622287801328?text=*[PERINGATAN DARURAT SBU TIGA MERU ABADI]*%0A%0AYth. Pimpinan TIGA MERU ABADI,%0AMasa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5">
      <c r="A205" t="inlineStr">
        <is>
          <t>TIGA PUTRA</t>
        </is>
      </c>
      <c r="B205" t="inlineStr">
        <is>
          <t>Kab. Musi Banyuasin</t>
        </is>
      </c>
      <c r="C205" t="inlineStr">
        <is>
          <t>081278991965</t>
        </is>
      </c>
      <c r="D205" t="inlineStr">
        <is>
          <t>cvserasanciptaprima@gmail.com</t>
        </is>
      </c>
      <c r="E205" t="inlineStr">
        <is>
          <t>https://lpjk.pu.go.id/search-badan-usaha-detail/NFZFTEF3ZmZWRjZPRkRJbGg1NG52QT09</t>
        </is>
      </c>
      <c r="F205" t="n">
        <v>1</v>
      </c>
      <c r="G205" t="inlineStr">
        <is>
          <t>BS001</t>
        </is>
      </c>
      <c r="H205" t="inlineStr">
        <is>
          <t>26 Agustus 1991</t>
        </is>
      </c>
      <c r="I205" s="2" t="n">
        <v>46193</v>
      </c>
      <c r="J205" t="inlineStr">
        <is>
          <t>Disetujui</t>
        </is>
      </c>
      <c r="K205" t="n">
        <v>30</v>
      </c>
      <c r="L205" t="inlineStr">
        <is>
          <t>20 Juni 2026</t>
        </is>
      </c>
      <c r="M205" t="inlineStr">
        <is>
          <t>Konstruksi Bangunan Sipil Jalan</t>
        </is>
      </c>
      <c r="N205" t="inlineStr">
        <is>
          <t>K</t>
        </is>
      </c>
      <c r="O205" t="inlineStr">
        <is>
          <t>20230510</t>
        </is>
      </c>
      <c r="P205" t="inlineStr">
        <is>
          <t>Sumatera Selatan</t>
        </is>
      </c>
      <c r="Q205" s="3">
        <f>HYPERLINK("https://wa.me/6281278991965?text=*[PERINGATAN DARURAT SBU TIGA PUTRA]*%0A%0AYth. Pimpinan TIGA PUTRA,%0AMasa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6">
      <c r="A206" t="inlineStr">
        <is>
          <t>TIGA TUNAS PERKASA</t>
        </is>
      </c>
      <c r="B206" t="inlineStr">
        <is>
          <t>Kab. Konawe Kepulauan</t>
        </is>
      </c>
      <c r="C206" t="inlineStr">
        <is>
          <t>085241138655</t>
        </is>
      </c>
      <c r="D206" t="inlineStr">
        <is>
          <t>tigatunasperkasa@gmail.com</t>
        </is>
      </c>
      <c r="E206" t="inlineStr">
        <is>
          <t>https://lpjk.pu.go.id/search-badan-usaha-detail/RFNoN2ZhdXAxMTN1SlFuNWVYNEZ1UT09</t>
        </is>
      </c>
      <c r="F206" t="n">
        <v>2</v>
      </c>
      <c r="G206" t="inlineStr">
        <is>
          <t>RK001, RK003</t>
        </is>
      </c>
      <c r="H206" t="inlineStr">
        <is>
          <t>28 November 2016</t>
        </is>
      </c>
      <c r="I206" s="2" t="n">
        <v>46193</v>
      </c>
      <c r="J206" t="inlineStr">
        <is>
          <t>Disetujui</t>
        </is>
      </c>
      <c r="K206" t="n">
        <v>30</v>
      </c>
      <c r="L206" t="inlineStr">
        <is>
          <t>20 Juni 2026</t>
        </is>
      </c>
      <c r="M206" t="inlineStr">
        <is>
          <t>Jasa Rekayasa Konstruksi Bangunan Gedung Hunian dan Non Hunian, Jasa Rekayasa Pekerjaan Teknik Sipil Transportasi</t>
        </is>
      </c>
      <c r="N206" t="inlineStr">
        <is>
          <t>K</t>
        </is>
      </c>
      <c r="O206" t="inlineStr">
        <is>
          <t>20230609</t>
        </is>
      </c>
      <c r="P206" t="inlineStr">
        <is>
          <t>Sulawesi Tenggara</t>
        </is>
      </c>
      <c r="Q206" s="3">
        <f>HYPERLINK("https://wa.me/6285241138655?text=*[PERINGATAN DARURAT SBU TIGA TUNAS PERKASA]*%0A%0AYth. Pimpinan TIGA TUNAS PERKASA,%0AMasa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7">
      <c r="A207" t="inlineStr">
        <is>
          <t>TRI MANUNGGAL SATYA</t>
        </is>
      </c>
      <c r="B207" t="inlineStr">
        <is>
          <t>Kab. Lombok Barat</t>
        </is>
      </c>
      <c r="C207" t="inlineStr">
        <is>
          <t>081937045257</t>
        </is>
      </c>
      <c r="D207" t="inlineStr">
        <is>
          <t>trimas3@yahoo.com</t>
        </is>
      </c>
      <c r="E207" t="inlineStr">
        <is>
          <t>https://lpjk.pu.go.id/search-badan-usaha-detail/aklqV2p0dlVUQUVlSStKbm5YeGJVdz09</t>
        </is>
      </c>
      <c r="F207" t="n">
        <v>1</v>
      </c>
      <c r="G207" t="inlineStr">
        <is>
          <t>BS001</t>
        </is>
      </c>
      <c r="H207" t="inlineStr">
        <is>
          <t>3 Maret 2020</t>
        </is>
      </c>
      <c r="I207" s="2" t="n">
        <v>46193</v>
      </c>
      <c r="J207" t="inlineStr">
        <is>
          <t>Disetujui</t>
        </is>
      </c>
      <c r="K207" t="n">
        <v>30</v>
      </c>
      <c r="L207" t="inlineStr">
        <is>
          <t>20 Juni 2026</t>
        </is>
      </c>
      <c r="M207" t="inlineStr">
        <is>
          <t>Konstruksi Bangunan Sipil Jalan</t>
        </is>
      </c>
      <c r="N207" t="inlineStr">
        <is>
          <t>K</t>
        </is>
      </c>
      <c r="O207" t="inlineStr">
        <is>
          <t>20230619</t>
        </is>
      </c>
      <c r="P207" t="inlineStr">
        <is>
          <t>Nusa Tenggara Barat</t>
        </is>
      </c>
      <c r="Q207" s="3">
        <f>HYPERLINK("https://wa.me/6281937045257?text=*[PERINGATAN DARURAT SBU TRI MANUNGGAL SATYA]*%0A%0AYth. Pimpinan TRI MANUNGGAL SATYA,%0AMasa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8">
      <c r="A208" t="inlineStr">
        <is>
          <t>TRI PUTRA SINAMBELA</t>
        </is>
      </c>
      <c r="B208" t="inlineStr">
        <is>
          <t>Kab. Malinau</t>
        </is>
      </c>
      <c r="C208" t="inlineStr">
        <is>
          <t>081347187114</t>
        </is>
      </c>
      <c r="D208" t="inlineStr">
        <is>
          <t>sinambelahotlan@gmail.com</t>
        </is>
      </c>
      <c r="E208" t="inlineStr">
        <is>
          <t>https://lpjk.pu.go.id/search-badan-usaha-detail/c2s0SnlzYnNKU0RmSkUwQndUdmhVQT09</t>
        </is>
      </c>
      <c r="F208" t="n">
        <v>1</v>
      </c>
      <c r="G208" t="inlineStr">
        <is>
          <t>BS001</t>
        </is>
      </c>
      <c r="H208" t="inlineStr">
        <is>
          <t>12 Maret 2014</t>
        </is>
      </c>
      <c r="I208" s="2" t="n">
        <v>46193</v>
      </c>
      <c r="J208" t="inlineStr">
        <is>
          <t>Disetujui</t>
        </is>
      </c>
      <c r="K208" t="n">
        <v>30</v>
      </c>
      <c r="L208" t="inlineStr">
        <is>
          <t>20 Juni 2026</t>
        </is>
      </c>
      <c r="M208" t="inlineStr">
        <is>
          <t>Konstruksi Bangunan Sipil Jalan</t>
        </is>
      </c>
      <c r="N208" t="inlineStr">
        <is>
          <t>K</t>
        </is>
      </c>
      <c r="O208" t="inlineStr">
        <is>
          <t>20230516</t>
        </is>
      </c>
      <c r="P208" t="inlineStr">
        <is>
          <t>Kalimantan Utara</t>
        </is>
      </c>
      <c r="Q208" s="3">
        <f>HYPERLINK("https://wa.me/6281347187114?text=*[PERINGATAN DARURAT SBU TRI PUTRA SINAMBELA]*%0A%0AYth. Pimpinan TRI PUTRA SINAMBELA,%0AMasa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09">
      <c r="A209" t="inlineStr">
        <is>
          <t>TRI SOURCE CONSULTANT</t>
        </is>
      </c>
      <c r="B209" t="inlineStr">
        <is>
          <t>Kota Semarang</t>
        </is>
      </c>
      <c r="C209" t="inlineStr">
        <is>
          <t>02476607880</t>
        </is>
      </c>
      <c r="D209" t="inlineStr">
        <is>
          <t>trisource.consultant@gmail.com</t>
        </is>
      </c>
      <c r="E209" t="inlineStr">
        <is>
          <t>https://lpjk.pu.go.id/search-badan-usaha-detail/dHNvaGIrZGhRTktlUGZNTlJ2K25FUT09</t>
        </is>
      </c>
      <c r="F209" t="n">
        <v>1</v>
      </c>
      <c r="G209" t="inlineStr">
        <is>
          <t>RK003</t>
        </is>
      </c>
      <c r="H209" t="inlineStr">
        <is>
          <t>26 September 2022</t>
        </is>
      </c>
      <c r="I209" s="2" t="n">
        <v>46193</v>
      </c>
      <c r="J209" t="inlineStr">
        <is>
          <t>Disetujui</t>
        </is>
      </c>
      <c r="K209" t="n">
        <v>30</v>
      </c>
      <c r="L209" t="inlineStr">
        <is>
          <t>20 Juni 2026</t>
        </is>
      </c>
      <c r="M209" t="inlineStr">
        <is>
          <t>Jasa Rekayasa Pekerjaan Teknik Sipil Transportasi</t>
        </is>
      </c>
      <c r="N209" t="inlineStr">
        <is>
          <t>K</t>
        </is>
      </c>
      <c r="O209" t="inlineStr">
        <is>
          <t>20230527</t>
        </is>
      </c>
      <c r="P209" t="inlineStr">
        <is>
          <t>Jawa Tengah</t>
        </is>
      </c>
      <c r="Q209" s="3">
        <f>HYPERLINK("https://wa.me/622476607880?text=*[PERINGATAN DARURAT SBU TRI SOURCE CONSULTANT]*%0A%0AYth. Pimpinan TRI SOURCE CONSULTANT,%0AMasa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0">
      <c r="A210" t="inlineStr">
        <is>
          <t>USAHA BATU MERAH</t>
        </is>
      </c>
      <c r="B210" t="inlineStr">
        <is>
          <t>Kab. Bone</t>
        </is>
      </c>
      <c r="C210" t="inlineStr">
        <is>
          <t>085395867679</t>
        </is>
      </c>
      <c r="D210" t="inlineStr">
        <is>
          <t>cv.ushbatumerah@gmail.com</t>
        </is>
      </c>
      <c r="E210" t="inlineStr">
        <is>
          <t>https://lpjk.pu.go.id/search-badan-usaha-detail/NDExejdmTEtuR01HZm9aSC9DRlZJQT09</t>
        </is>
      </c>
      <c r="F210" t="n">
        <v>1</v>
      </c>
      <c r="G210" t="inlineStr">
        <is>
          <t>BG006</t>
        </is>
      </c>
      <c r="H210" t="inlineStr">
        <is>
          <t>24 Februari 2012</t>
        </is>
      </c>
      <c r="I210" s="2" t="n">
        <v>46193</v>
      </c>
      <c r="J210" t="inlineStr">
        <is>
          <t>Disetujui</t>
        </is>
      </c>
      <c r="K210" t="n">
        <v>30</v>
      </c>
      <c r="L210" t="inlineStr">
        <is>
          <t>20 Juni 2026</t>
        </is>
      </c>
      <c r="M210" t="inlineStr">
        <is>
          <t>Konstruksi Gedung Pendidikan</t>
        </is>
      </c>
      <c r="N210" t="inlineStr">
        <is>
          <t>K</t>
        </is>
      </c>
      <c r="O210" t="inlineStr">
        <is>
          <t>20230610</t>
        </is>
      </c>
      <c r="P210" t="inlineStr">
        <is>
          <t>Sulawesi Selatan</t>
        </is>
      </c>
      <c r="Q210" s="3">
        <f>HYPERLINK("https://wa.me/6285395867679?text=*[PERINGATAN DARURAT SBU USAHA BATU MERAH]*%0A%0AYth. Pimpinan USAHA BATU MERAH,%0AMasa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1">
      <c r="A211" t="inlineStr">
        <is>
          <t>USAHA MANDIRI NIAGA</t>
        </is>
      </c>
      <c r="B211" t="inlineStr">
        <is>
          <t>Kota Bandung</t>
        </is>
      </c>
      <c r="C211" t="inlineStr">
        <is>
          <t>081320767064</t>
        </is>
      </c>
      <c r="D211" t="inlineStr">
        <is>
          <t>pt.usahamandiriniaga@yahoo.com</t>
        </is>
      </c>
      <c r="E211" t="inlineStr">
        <is>
          <t>https://lpjk.pu.go.id/search-badan-usaha-detail/OE9FR1pjQkN2U1J1Wisyb1UzeDA0QT09</t>
        </is>
      </c>
      <c r="F211" t="n">
        <v>1</v>
      </c>
      <c r="G211" t="inlineStr">
        <is>
          <t>BS001</t>
        </is>
      </c>
      <c r="H211" t="inlineStr">
        <is>
          <t>21 Oktober 2014</t>
        </is>
      </c>
      <c r="I211" s="2" t="n">
        <v>46193</v>
      </c>
      <c r="J211" t="inlineStr">
        <is>
          <t>Pencabutan</t>
        </is>
      </c>
      <c r="K211" t="n">
        <v>30</v>
      </c>
      <c r="L211" t="inlineStr">
        <is>
          <t>20 Juni 2026</t>
        </is>
      </c>
      <c r="M211" t="inlineStr">
        <is>
          <t>Konstruksi Bangunan Sipil Jalan</t>
        </is>
      </c>
      <c r="N211" t="inlineStr">
        <is>
          <t>K</t>
        </is>
      </c>
      <c r="O211" t="inlineStr">
        <is>
          <t>20230613</t>
        </is>
      </c>
      <c r="P211" t="inlineStr">
        <is>
          <t>Jawa Barat</t>
        </is>
      </c>
      <c r="Q211" s="3">
        <f>HYPERLINK("https://wa.me/6281320767064?text=*[PERINGATAN DARURAT SBU USAHA MANDIRI NIAGA]*%0A%0AYth. Pimpinan USAHA MANDIRI NIAGA,%0AMasa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2">
      <c r="A212" t="inlineStr">
        <is>
          <t>WIJAYA KARYA</t>
        </is>
      </c>
      <c r="B212" t="inlineStr">
        <is>
          <t>Kab. Rejang Lebong</t>
        </is>
      </c>
      <c r="C212" t="inlineStr">
        <is>
          <t>0732</t>
        </is>
      </c>
      <c r="D212" t="inlineStr">
        <is>
          <t>wijayakarya89@gmail.com</t>
        </is>
      </c>
      <c r="E212" t="inlineStr">
        <is>
          <t>https://lpjk.pu.go.id/search-badan-usaha-detail/R0xBSnBNT3BZRllkaXV1TGdQVXd6UT09</t>
        </is>
      </c>
      <c r="F212" t="n">
        <v>4</v>
      </c>
      <c r="G212" t="inlineStr">
        <is>
          <t>BG006, BG009</t>
        </is>
      </c>
      <c r="H212" t="inlineStr">
        <is>
          <t>17 Februari 2018</t>
        </is>
      </c>
      <c r="I212" s="2" t="n">
        <v>46193</v>
      </c>
      <c r="J212" t="inlineStr">
        <is>
          <t>Disetujui</t>
        </is>
      </c>
      <c r="K212" t="n">
        <v>30</v>
      </c>
      <c r="L212" t="inlineStr">
        <is>
          <t>20 Juni 2026</t>
        </is>
      </c>
      <c r="M212" t="inlineStr">
        <is>
          <t>Konstruksi Gedung Lainnya, Konstruksi Gedung Pendidikan</t>
        </is>
      </c>
      <c r="N212" t="inlineStr">
        <is>
          <t>K</t>
        </is>
      </c>
      <c r="O212" t="inlineStr">
        <is>
          <t>20230606, 20230616</t>
        </is>
      </c>
      <c r="P212" t="inlineStr">
        <is>
          <t>Bengkulu</t>
        </is>
      </c>
      <c r="Q212" s="3">
        <f>HYPERLINK("https://wa.me/62732?text=*[PERINGATAN DARURAT SBU WIJAYA KARYA]*%0A%0AYth. Pimpinan WIJAYA KARYA,%0AMasa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3">
      <c r="A213" t="inlineStr">
        <is>
          <t>WIJAYA PRATAMA SUKSES GEMILANG</t>
        </is>
      </c>
      <c r="B213" t="inlineStr">
        <is>
          <t>Kota Kendari</t>
        </is>
      </c>
      <c r="C213" t="inlineStr">
        <is>
          <t>085299841209</t>
        </is>
      </c>
      <c r="D213" t="inlineStr">
        <is>
          <t>wijayapratama@yahoo.com</t>
        </is>
      </c>
      <c r="E213" t="inlineStr">
        <is>
          <t>https://lpjk.pu.go.id/search-badan-usaha-detail/U1k2KzJieU5iTlNNVVJKOEgyQWRBQT09</t>
        </is>
      </c>
      <c r="F213" t="n">
        <v>2</v>
      </c>
      <c r="G213" t="inlineStr">
        <is>
          <t>BG009</t>
        </is>
      </c>
      <c r="H213" t="inlineStr">
        <is>
          <t>14 Desember 2006</t>
        </is>
      </c>
      <c r="I213" s="2" t="n">
        <v>46193</v>
      </c>
      <c r="J213" t="inlineStr">
        <is>
          <t>Pencabutan</t>
        </is>
      </c>
      <c r="K213" t="n">
        <v>30</v>
      </c>
      <c r="L213" t="inlineStr">
        <is>
          <t>20 Juni 2026</t>
        </is>
      </c>
      <c r="M213" t="inlineStr">
        <is>
          <t>Konstruksi Gedung Lainnya</t>
        </is>
      </c>
      <c r="N213" t="inlineStr">
        <is>
          <t>K</t>
        </is>
      </c>
      <c r="O213" t="inlineStr">
        <is>
          <t>20230614</t>
        </is>
      </c>
      <c r="P213" t="inlineStr">
        <is>
          <t>Sulawesi Tenggara</t>
        </is>
      </c>
      <c r="Q213" s="3">
        <f>HYPERLINK("https://wa.me/6285299841209?text=*[PERINGATAN DARURAT SBU WIJAYA PRATAMA SUKSES GEMILANG]*%0A%0AYth. Pimpinan WIJAYA PRATAMA SUKSES GEMILANG,%0AMasa berlaku SBU Anda akan HABIS DALAM 30 HARI (pada 20 Juni 2026).%0A%0ASangat disarankan untuk segera memproses perpanjangan agar tidak terkena sanksi atau terhapus dari sistem SIKI LPJK.%0A%0AKami menyediakan layanan EXPRESS untuk membantu Anda. Hubungi kami segera!", "Hubungi")</f>
        <v/>
      </c>
    </row>
    <row r="214">
      <c r="A214" t="inlineStr">
        <is>
          <t>YUDHA UTAMA</t>
        </is>
      </c>
      <c r="B214" t="inlineStr">
        <is>
          <t>Kota Denpasar</t>
        </is>
      </c>
      <c r="C214" t="inlineStr">
        <is>
          <t>0361420873</t>
        </is>
      </c>
      <c r="D214" t="inlineStr">
        <is>
          <t>yudhautama.cv@gmail.com</t>
        </is>
      </c>
      <c r="E214" t="inlineStr">
        <is>
          <t>https://lpjk.pu.go.id/search-badan-usaha-detail/MzdkL0pwQnZNelJzSE15RURxdkxXdz09</t>
        </is>
      </c>
      <c r="F214" t="n">
        <v>1</v>
      </c>
      <c r="G214" t="inlineStr">
        <is>
          <t>BG009</t>
        </is>
      </c>
      <c r="H214" t="inlineStr">
        <is>
          <t>11 Juni 1996</t>
        </is>
      </c>
      <c r="I214" s="2" t="n">
        <v>46193</v>
      </c>
      <c r="J214" t="inlineStr">
        <is>
          <t>Disetujui</t>
        </is>
      </c>
      <c r="K214" t="n">
        <v>30</v>
      </c>
      <c r="L214" t="inlineStr">
        <is>
          <t>20 Juni 2026</t>
        </is>
      </c>
      <c r="M214" t="inlineStr">
        <is>
          <t>Konstruksi Gedung Lainnya</t>
        </is>
      </c>
      <c r="N214" t="inlineStr">
        <is>
          <t>K</t>
        </is>
      </c>
      <c r="O214" t="inlineStr">
        <is>
          <t>20230616</t>
        </is>
      </c>
      <c r="P214" t="inlineStr">
        <is>
          <t>Bali</t>
        </is>
      </c>
      <c r="Q214" s="3">
        <f>HYPERLINK("https://wa.me/62361420873?text=*[PERINGATAN DARURAT SBU YUDHA UTAMA]*%0A%0AYth. Pimpinan YUDHA UTAMA,%0AMasa berlaku SBU Anda akan HABIS DALAM 30 HARI (pada 20 Juni 2026).%0A%0ASangat disarankan untuk segera memproses perpanjangan agar tidak terkena sanksi atau terhapus dari sistem SIKI LPJK.%0A%0AKami menyediakan layanan EXPRESS untuk membantu Anda. Hubungi kami segera!", "Hubungi")</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2026-05-21T01:38:35Z</dcterms:created>
  <dcterms:modified xsi:type="dcterms:W3CDTF">2026-05-21T01:38:35Z</dcterms:modified>
</cp:coreProperties>
</file>