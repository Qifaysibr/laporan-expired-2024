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90_Hari_Expired" sheetId="1" state="visible" r:id="rId1"/>
    <sheet name="60_Hari_Expired" sheetId="2" state="visible" r:id="rId2"/>
    <sheet name="30_Hari_Expired" sheetId="3" state="visible" r:id="rId3"/>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color rgb="00FFFFFF"/>
    </font>
    <font>
      <color rgb="000000FF"/>
      <u val="single"/>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164"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1"/>
  <sheetViews>
    <sheetView workbookViewId="0">
      <selection activeCell="A1" sqref="A1"/>
    </sheetView>
  </sheetViews>
  <sheetFormatPr baseColWidth="8" defaultRowHeight="15"/>
  <cols>
    <col width="40" customWidth="1" min="1" max="1"/>
    <col width="30" customWidth="1" min="2" max="2"/>
    <col width="16" customWidth="1" min="3" max="3"/>
    <col width="38"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9"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ANDALUSIA BANGUN KARYA</t>
        </is>
      </c>
      <c r="B2" t="inlineStr">
        <is>
          <t>Kab. Bogor</t>
        </is>
      </c>
      <c r="C2" t="inlineStr">
        <is>
          <t>08111013411</t>
        </is>
      </c>
      <c r="D2" t="inlineStr">
        <is>
          <t>admin.abk@abaka.id</t>
        </is>
      </c>
      <c r="E2" t="inlineStr">
        <is>
          <t>https://lpjk.pu.go.id/search-badan-usaha-detail/azFhSHFzRmhDaFVlWkdELzk4dmovUT09</t>
        </is>
      </c>
      <c r="F2" t="n">
        <v>1</v>
      </c>
      <c r="G2" t="inlineStr">
        <is>
          <t>BS004</t>
        </is>
      </c>
      <c r="H2" t="inlineStr">
        <is>
          <t>10 Oktober 2022</t>
        </is>
      </c>
      <c r="I2" s="2" t="n">
        <v>46275</v>
      </c>
      <c r="J2" t="inlineStr">
        <is>
          <t>Disetujui</t>
        </is>
      </c>
      <c r="K2" t="n">
        <v>90</v>
      </c>
      <c r="L2" t="inlineStr">
        <is>
          <t>10 September 2026</t>
        </is>
      </c>
      <c r="M2" t="inlineStr">
        <is>
          <t>Konstruksi Jaringan Irigasi dan Drainase</t>
        </is>
      </c>
      <c r="N2" t="inlineStr">
        <is>
          <t>K</t>
        </is>
      </c>
      <c r="O2" t="inlineStr">
        <is>
          <t>20230908</t>
        </is>
      </c>
      <c r="P2" t="inlineStr">
        <is>
          <t>Jawa Barat</t>
        </is>
      </c>
      <c r="Q2" s="3">
        <f>HYPERLINK("https://wa.me/628111013411?text=Selamat siang Bapak/Ibu pimpinan ANDALUSIA BANGUN KARYA,%0A%0ASemoga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3">
      <c r="A3" t="inlineStr">
        <is>
          <t>ARSYA PRATAMA RAYA</t>
        </is>
      </c>
      <c r="B3" t="inlineStr">
        <is>
          <t>Kota Bekasi</t>
        </is>
      </c>
      <c r="C3" t="inlineStr">
        <is>
          <t>082112353648</t>
        </is>
      </c>
      <c r="D3" t="inlineStr">
        <is>
          <t>ptarsyapratamaraya@gmail.com</t>
        </is>
      </c>
      <c r="E3" t="inlineStr">
        <is>
          <t>https://lpjk.pu.go.id/search-badan-usaha-detail/WW83Q0xjNmswZ1JjZXJZSlJ2UmhjUT09</t>
        </is>
      </c>
      <c r="F3" t="n">
        <v>1</v>
      </c>
      <c r="G3" t="inlineStr">
        <is>
          <t>BG009</t>
        </is>
      </c>
      <c r="H3" t="inlineStr">
        <is>
          <t>31 Mei 2018</t>
        </is>
      </c>
      <c r="I3" s="2" t="n">
        <v>46275</v>
      </c>
      <c r="J3" t="inlineStr">
        <is>
          <t>Pencabutan</t>
        </is>
      </c>
      <c r="K3" t="n">
        <v>90</v>
      </c>
      <c r="L3" t="inlineStr">
        <is>
          <t>10 September 2026</t>
        </is>
      </c>
      <c r="M3" t="inlineStr">
        <is>
          <t>Konstruksi Gedung Lainnya</t>
        </is>
      </c>
      <c r="N3" t="inlineStr">
        <is>
          <t>M</t>
        </is>
      </c>
      <c r="O3" t="inlineStr">
        <is>
          <t>20230908</t>
        </is>
      </c>
      <c r="P3" t="inlineStr">
        <is>
          <t>Jawa Barat</t>
        </is>
      </c>
      <c r="Q3" s="3">
        <f>HYPERLINK("https://wa.me/6282112353648?text=Selamat siang Bapak/Ibu pimpinan ARSYA PRATAMA RAYA,%0A%0ASemoga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4">
      <c r="A4" t="inlineStr">
        <is>
          <t>BAJRA KARYA INDONESIA</t>
        </is>
      </c>
      <c r="B4" t="inlineStr">
        <is>
          <t>Kab. Bogor</t>
        </is>
      </c>
      <c r="C4" t="inlineStr">
        <is>
          <t>082121200998</t>
        </is>
      </c>
      <c r="D4" t="inlineStr">
        <is>
          <t>bajrakaryaindonesia@gmail.com</t>
        </is>
      </c>
      <c r="E4" t="inlineStr">
        <is>
          <t>https://lpjk.pu.go.id/search-badan-usaha-detail/ZlY2Y3AxMWtEa2dDNUZYTTBDa1hCUT09</t>
        </is>
      </c>
      <c r="F4" t="n">
        <v>4</v>
      </c>
      <c r="G4" t="inlineStr">
        <is>
          <t>BG003, BG005, BG006, BG009</t>
        </is>
      </c>
      <c r="H4" t="inlineStr">
        <is>
          <t>13 Januari 2023</t>
        </is>
      </c>
      <c r="I4" s="2" t="n">
        <v>46275</v>
      </c>
      <c r="J4" t="inlineStr">
        <is>
          <t>Disetujui</t>
        </is>
      </c>
      <c r="K4" t="n">
        <v>90</v>
      </c>
      <c r="L4" t="inlineStr">
        <is>
          <t>10 September 2026</t>
        </is>
      </c>
      <c r="M4" t="inlineStr">
        <is>
          <t>Konstruksi Gedung Industri, Konstruksi Gedung Kesehatan, Konstruksi Gedung Lainnya, Konstruksi Gedung Pendidikan</t>
        </is>
      </c>
      <c r="N4" t="inlineStr">
        <is>
          <t>K</t>
        </is>
      </c>
      <c r="O4" t="inlineStr">
        <is>
          <t>20230907</t>
        </is>
      </c>
      <c r="P4" t="inlineStr">
        <is>
          <t>Jawa Barat</t>
        </is>
      </c>
      <c r="Q4" s="3">
        <f>HYPERLINK("https://wa.me/6282121200998?text=Selamat siang Bapak/Ibu pimpinan BAJRA KARYA INDONESIA,%0A%0ASemoga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5">
      <c r="A5" t="inlineStr">
        <is>
          <t>BEKASI TEKNIK MAJU</t>
        </is>
      </c>
      <c r="B5" t="inlineStr">
        <is>
          <t>Kab. Bekasi</t>
        </is>
      </c>
      <c r="C5" t="inlineStr">
        <is>
          <t>085287449013</t>
        </is>
      </c>
      <c r="D5" t="inlineStr">
        <is>
          <t>cv.bekasiteknikmaju@gmail.com</t>
        </is>
      </c>
      <c r="E5" t="inlineStr">
        <is>
          <t>https://lpjk.pu.go.id/search-badan-usaha-detail/emN5MGpaNVZFbG1Fam55Z2FLc21hZz09</t>
        </is>
      </c>
      <c r="F5" t="n">
        <v>1</v>
      </c>
      <c r="G5" t="inlineStr">
        <is>
          <t>BS002</t>
        </is>
      </c>
      <c r="H5" t="inlineStr">
        <is>
          <t>31 Maret 2023</t>
        </is>
      </c>
      <c r="I5" s="2" t="n">
        <v>46275</v>
      </c>
      <c r="J5" t="inlineStr">
        <is>
          <t>Disetujui</t>
        </is>
      </c>
      <c r="K5" t="n">
        <v>90</v>
      </c>
      <c r="L5" t="inlineStr">
        <is>
          <t>10 September 2026</t>
        </is>
      </c>
      <c r="M5" t="inlineStr">
        <is>
          <t>Bangunan Sipil Jembatan, Jalan Layang, Fly Over, dan Underpass</t>
        </is>
      </c>
      <c r="N5" t="inlineStr">
        <is>
          <t>K</t>
        </is>
      </c>
      <c r="O5" t="inlineStr">
        <is>
          <t>20230908</t>
        </is>
      </c>
      <c r="P5" t="inlineStr">
        <is>
          <t>Jawa Barat</t>
        </is>
      </c>
      <c r="Q5" s="3">
        <f>HYPERLINK("https://wa.me/6285287449013?text=Selamat siang Bapak/Ibu pimpinan BEKASI TEKNIK MAJU,%0A%0ASemoga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6">
      <c r="A6" t="inlineStr">
        <is>
          <t>CITRA PAMINDO RIGUNA</t>
        </is>
      </c>
      <c r="B6" t="inlineStr">
        <is>
          <t>Kota Adm. Jakarta Timur</t>
        </is>
      </c>
      <c r="C6" t="inlineStr">
        <is>
          <t>02186611145</t>
        </is>
      </c>
      <c r="D6" t="inlineStr">
        <is>
          <t>citrapamindo@gmail.com</t>
        </is>
      </c>
      <c r="E6" t="inlineStr">
        <is>
          <t>https://lpjk.pu.go.id/search-badan-usaha-detail/ekFFVUhiRVJSZVpuSjFrZS9CS3Z1QT09</t>
        </is>
      </c>
      <c r="F6" t="n">
        <v>1</v>
      </c>
      <c r="G6" t="inlineStr">
        <is>
          <t>BG002</t>
        </is>
      </c>
      <c r="H6" t="inlineStr">
        <is>
          <t>31 Januari 2004</t>
        </is>
      </c>
      <c r="I6" s="2" t="n">
        <v>46275</v>
      </c>
      <c r="J6" t="inlineStr">
        <is>
          <t>Pencabutan</t>
        </is>
      </c>
      <c r="K6" t="n">
        <v>90</v>
      </c>
      <c r="L6" t="inlineStr">
        <is>
          <t>10 September 2026</t>
        </is>
      </c>
      <c r="M6" t="inlineStr">
        <is>
          <t>Konstruksi Gedung Perkantoran</t>
        </is>
      </c>
      <c r="N6" t="inlineStr">
        <is>
          <t>M</t>
        </is>
      </c>
      <c r="O6" t="inlineStr">
        <is>
          <t>20230908</t>
        </is>
      </c>
      <c r="P6" t="inlineStr">
        <is>
          <t>DKI Jakarta</t>
        </is>
      </c>
      <c r="Q6" t="inlineStr"/>
    </row>
    <row r="7">
      <c r="A7" t="inlineStr">
        <is>
          <t>DAITAN SOLUSI UTAMA</t>
        </is>
      </c>
      <c r="B7" t="inlineStr">
        <is>
          <t>Kota Bekasi</t>
        </is>
      </c>
      <c r="C7" t="inlineStr">
        <is>
          <t>08161907602</t>
        </is>
      </c>
      <c r="D7" t="inlineStr">
        <is>
          <t>ptdaitan@gmail.com</t>
        </is>
      </c>
      <c r="E7" t="inlineStr">
        <is>
          <t>https://lpjk.pu.go.id/search-badan-usaha-detail/cEFoN2xFTjIzK0JoQ01sbmpReDNzdz09</t>
        </is>
      </c>
      <c r="F7" t="n">
        <v>1</v>
      </c>
      <c r="G7" t="inlineStr">
        <is>
          <t>BG003</t>
        </is>
      </c>
      <c r="H7" t="inlineStr">
        <is>
          <t>16 Maret 2020</t>
        </is>
      </c>
      <c r="I7" s="2" t="n">
        <v>46275</v>
      </c>
      <c r="J7" t="inlineStr">
        <is>
          <t>Pencabutan</t>
        </is>
      </c>
      <c r="K7" t="n">
        <v>90</v>
      </c>
      <c r="L7" t="inlineStr">
        <is>
          <t>10 September 2026</t>
        </is>
      </c>
      <c r="M7" t="inlineStr">
        <is>
          <t>Konstruksi Gedung Industri</t>
        </is>
      </c>
      <c r="N7" t="inlineStr">
        <is>
          <t>M</t>
        </is>
      </c>
      <c r="O7" t="inlineStr">
        <is>
          <t>20230904</t>
        </is>
      </c>
      <c r="P7" t="inlineStr">
        <is>
          <t>Jawa Barat</t>
        </is>
      </c>
      <c r="Q7" s="3">
        <f>HYPERLINK("https://wa.me/628161907602?text=Selamat siang Bapak/Ibu pimpinan DAITAN SOLUSI UTAMA,%0A%0ASemoga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8">
      <c r="A8" t="inlineStr">
        <is>
          <t>MATAHARI</t>
        </is>
      </c>
      <c r="B8" t="inlineStr">
        <is>
          <t>Kab. Bekasi</t>
        </is>
      </c>
      <c r="C8" t="inlineStr">
        <is>
          <t>082111444416</t>
        </is>
      </c>
      <c r="D8" t="inlineStr">
        <is>
          <t>matahari_cikarang@yahoo.com</t>
        </is>
      </c>
      <c r="E8" t="inlineStr">
        <is>
          <t>https://lpjk.pu.go.id/search-badan-usaha-detail/SHV0NTdlOFN1eWtvOWJwbUtzZTd6QT09</t>
        </is>
      </c>
      <c r="F8" t="n">
        <v>2</v>
      </c>
      <c r="G8" t="inlineStr">
        <is>
          <t>BG008</t>
        </is>
      </c>
      <c r="H8" t="inlineStr">
        <is>
          <t>13 Januari 1982</t>
        </is>
      </c>
      <c r="I8" s="2" t="n">
        <v>46275</v>
      </c>
      <c r="J8" t="inlineStr">
        <is>
          <t>Disetujui</t>
        </is>
      </c>
      <c r="K8" t="n">
        <v>90</v>
      </c>
      <c r="L8" t="inlineStr">
        <is>
          <t>10 September 2026</t>
        </is>
      </c>
      <c r="M8" t="inlineStr">
        <is>
          <t>Konstruksi Gedung Tempat Hiburan dan Olahraga</t>
        </is>
      </c>
      <c r="N8" t="inlineStr">
        <is>
          <t>K</t>
        </is>
      </c>
      <c r="O8" t="inlineStr">
        <is>
          <t>20230905</t>
        </is>
      </c>
      <c r="P8" t="inlineStr">
        <is>
          <t>Jawa Barat</t>
        </is>
      </c>
      <c r="Q8" s="3">
        <f>HYPERLINK("https://wa.me/6282111444416?text=Selamat siang Bapak/Ibu pimpinan MATAHARI,%0A%0ASemoga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9">
      <c r="A9" t="inlineStr">
        <is>
          <t>PT. TAMBA RIA JAYA</t>
        </is>
      </c>
      <c r="B9" t="inlineStr">
        <is>
          <t>Kota Adm. Jakarta Timur</t>
        </is>
      </c>
      <c r="C9" t="inlineStr">
        <is>
          <t>02186901255</t>
        </is>
      </c>
      <c r="D9" t="inlineStr">
        <is>
          <t>tambaria.jaya@yahoo.com</t>
        </is>
      </c>
      <c r="E9" t="inlineStr">
        <is>
          <t>https://lpjk.pu.go.id/search-badan-usaha-detail/dnhUcGM2N0NuRm9PRndhSXFyMmphUT09</t>
        </is>
      </c>
      <c r="F9" t="n">
        <v>1</v>
      </c>
      <c r="G9" t="inlineStr">
        <is>
          <t>BS001</t>
        </is>
      </c>
      <c r="H9" t="inlineStr">
        <is>
          <t>15 Maret 1976</t>
        </is>
      </c>
      <c r="I9" s="2" t="n">
        <v>46275</v>
      </c>
      <c r="J9" t="inlineStr">
        <is>
          <t>Disetujui</t>
        </is>
      </c>
      <c r="K9" t="n">
        <v>90</v>
      </c>
      <c r="L9" t="inlineStr">
        <is>
          <t>10 September 2026</t>
        </is>
      </c>
      <c r="M9" t="inlineStr">
        <is>
          <t>Konstruksi Bangunan Sipil Jalan</t>
        </is>
      </c>
      <c r="N9" t="inlineStr">
        <is>
          <t>K</t>
        </is>
      </c>
      <c r="O9" t="inlineStr">
        <is>
          <t>20230905</t>
        </is>
      </c>
      <c r="P9" t="inlineStr">
        <is>
          <t>DKI Jakarta</t>
        </is>
      </c>
      <c r="Q9" t="inlineStr"/>
    </row>
    <row r="10">
      <c r="A10" t="inlineStr">
        <is>
          <t>WINDUHAJI LESTARI</t>
        </is>
      </c>
      <c r="B10" t="inlineStr">
        <is>
          <t>Kota Bogor</t>
        </is>
      </c>
      <c r="C10" t="inlineStr">
        <is>
          <t>0812 8091 491_</t>
        </is>
      </c>
      <c r="D10" t="inlineStr">
        <is>
          <t>cv_winduhajilestari@yahoo.com</t>
        </is>
      </c>
      <c r="E10" t="inlineStr">
        <is>
          <t>https://lpjk.pu.go.id/search-badan-usaha-detail/enlWbUJrNWxIdDFSZDRXS1FGRWlLZz09</t>
        </is>
      </c>
      <c r="F10" t="n">
        <v>6</v>
      </c>
      <c r="G10" t="inlineStr">
        <is>
          <t>BG006, BG009, BS001</t>
        </is>
      </c>
      <c r="H10" t="inlineStr">
        <is>
          <t>10 Juni 2003</t>
        </is>
      </c>
      <c r="I10" s="2" t="n">
        <v>46275</v>
      </c>
      <c r="J10" t="inlineStr">
        <is>
          <t>Disetujui</t>
        </is>
      </c>
      <c r="K10" t="n">
        <v>90</v>
      </c>
      <c r="L10" t="inlineStr">
        <is>
          <t>10 September 2026</t>
        </is>
      </c>
      <c r="M10" t="inlineStr">
        <is>
          <t>Konstruksi Bangunan Sipil Jalan, Konstruksi Gedung Lainnya, Konstruksi Gedung Pendidikan</t>
        </is>
      </c>
      <c r="N10" t="inlineStr">
        <is>
          <t>K</t>
        </is>
      </c>
      <c r="O10" t="inlineStr">
        <is>
          <t>20230906</t>
        </is>
      </c>
      <c r="P10" t="inlineStr">
        <is>
          <t>Jawa Barat</t>
        </is>
      </c>
      <c r="Q10" s="3">
        <f>HYPERLINK("https://wa.me/628128091491?text=Selamat siang Bapak/Ibu pimpinan WINDUHAJI LESTARI,%0A%0ASemoga Bapak/Ibu dalam keadaan baik.%0ASaya Ibrahim dari PT. Esdea Assistance Management. Kami berfokus membantu perusahaan seperti perusahaan Bapak/Ibu agar urusan legalitas dan perizinan bisa berjalan lancar dan efisien.%0A%0AOleh karena itu, kami hadir untuk membantu tim Bapak/Ibu, baik untuk:%0A- Penerbitan dan perpanjangan SBU%0A- Sertifikasi Kompetensi Kerja (SKK)%0A- Sertifikasi ISO (Akreditasi dan Non Akreditasi)%0A- Sertifikasi SNI%0A- Sertifikasi K3, SIO, SILO%0A- Audit Akuntan Publik (LAI)%0A- Laporan keuangan dan pajak (Bulanan/tahunan)%0A%0AApakah saat ini ada kebutuhan terkait layanan di atas yang sedang menjadi prioritas perusahaan Bapak/Ibu?%0ABoleh info ke siapa saya bisa kirimkan company profile kami?%0A%0AIbrahim%0APT Esdea Assistance Management%0Ahttps://esdeassistance.com", "Hubungi")</f>
        <v/>
      </c>
    </row>
    <row r="11">
      <c r="A11" t="inlineStr">
        <is>
          <t>ABELOM ANDUK</t>
        </is>
      </c>
      <c r="B11" t="inlineStr">
        <is>
          <t>Kab. Mimika</t>
        </is>
      </c>
      <c r="C11" t="inlineStr">
        <is>
          <t>08114992474</t>
        </is>
      </c>
      <c r="D11" t="inlineStr">
        <is>
          <t>cvabelomanduk@gmail.com</t>
        </is>
      </c>
      <c r="E11" t="inlineStr">
        <is>
          <t>https://lpjk.pu.go.id/search-badan-usaha-detail/QytacERlMitxOWVTU29iNGU5Q0haUT09</t>
        </is>
      </c>
      <c r="F11" t="n">
        <v>1</v>
      </c>
      <c r="G11" t="inlineStr">
        <is>
          <t>BG009</t>
        </is>
      </c>
      <c r="H11" t="inlineStr">
        <is>
          <t>11 Agustus 2023</t>
        </is>
      </c>
      <c r="I11" s="2" t="n">
        <v>46275</v>
      </c>
      <c r="J11" t="inlineStr">
        <is>
          <t>Disetujui</t>
        </is>
      </c>
      <c r="K11" t="n">
        <v>90</v>
      </c>
      <c r="L11" t="inlineStr">
        <is>
          <t>10 September 2026</t>
        </is>
      </c>
      <c r="M11" t="inlineStr">
        <is>
          <t>Konstruksi Gedung Lainnya</t>
        </is>
      </c>
      <c r="N11" t="inlineStr">
        <is>
          <t>K</t>
        </is>
      </c>
      <c r="O11" t="inlineStr">
        <is>
          <t>20230910</t>
        </is>
      </c>
      <c r="P11" t="inlineStr">
        <is>
          <t>Papua</t>
        </is>
      </c>
      <c r="Q11" t="inlineStr"/>
    </row>
    <row r="12">
      <c r="A12" t="inlineStr">
        <is>
          <t>ADHI BANGUN SARANA</t>
        </is>
      </c>
      <c r="B12" t="inlineStr">
        <is>
          <t>Kota Malang</t>
        </is>
      </c>
      <c r="C12" t="inlineStr">
        <is>
          <t>081232207979</t>
        </is>
      </c>
      <c r="D12" t="inlineStr">
        <is>
          <t>adhibangunsarana@gmail.com</t>
        </is>
      </c>
      <c r="E12" t="inlineStr">
        <is>
          <t>https://lpjk.pu.go.id/search-badan-usaha-detail/eG1HM1NSalQrQUxXcW5zYzcwQWVJQT09</t>
        </is>
      </c>
      <c r="F12" t="n">
        <v>2</v>
      </c>
      <c r="G12" t="inlineStr">
        <is>
          <t>BG002, BG004</t>
        </is>
      </c>
      <c r="H12" t="inlineStr">
        <is>
          <t>23 Agustus 2023</t>
        </is>
      </c>
      <c r="I12" s="2" t="n">
        <v>46275</v>
      </c>
      <c r="J12" t="inlineStr">
        <is>
          <t>Disetujui, Pencabutan</t>
        </is>
      </c>
      <c r="K12" t="n">
        <v>90</v>
      </c>
      <c r="L12" t="inlineStr">
        <is>
          <t>10 September 2026</t>
        </is>
      </c>
      <c r="M12" t="inlineStr">
        <is>
          <t>Konstruksi Gedung Perbelanjaan, Konstruksi Gedung Perkantoran</t>
        </is>
      </c>
      <c r="N12" t="inlineStr">
        <is>
          <t>K</t>
        </is>
      </c>
      <c r="O12" t="inlineStr">
        <is>
          <t>20230902, 20230907</t>
        </is>
      </c>
      <c r="P12" t="inlineStr">
        <is>
          <t>Jawa Timur</t>
        </is>
      </c>
      <c r="Q12" t="inlineStr"/>
    </row>
    <row r="13">
      <c r="A13" t="inlineStr">
        <is>
          <t>ADRIAN</t>
        </is>
      </c>
      <c r="B13" t="inlineStr">
        <is>
          <t>Kab. Sintang</t>
        </is>
      </c>
      <c r="C13" t="inlineStr">
        <is>
          <t>082350042240</t>
        </is>
      </c>
      <c r="D13" t="inlineStr">
        <is>
          <t>cvadrian990@gmail.com</t>
        </is>
      </c>
      <c r="E13" t="inlineStr">
        <is>
          <t>https://lpjk.pu.go.id/search-badan-usaha-detail/a0JIbERzY1NpNzBFTTdkall3Z0lKdz09</t>
        </is>
      </c>
      <c r="F13" t="n">
        <v>1</v>
      </c>
      <c r="G13" t="inlineStr">
        <is>
          <t>BS004</t>
        </is>
      </c>
      <c r="H13" t="inlineStr">
        <is>
          <t>15 Juni 2020</t>
        </is>
      </c>
      <c r="I13" s="2" t="n">
        <v>46275</v>
      </c>
      <c r="J13" t="inlineStr">
        <is>
          <t>Disetujui</t>
        </is>
      </c>
      <c r="K13" t="n">
        <v>90</v>
      </c>
      <c r="L13" t="inlineStr">
        <is>
          <t>10 September 2026</t>
        </is>
      </c>
      <c r="M13" t="inlineStr">
        <is>
          <t>Konstruksi Jaringan Irigasi dan Drainase</t>
        </is>
      </c>
      <c r="N13" t="inlineStr">
        <is>
          <t>K</t>
        </is>
      </c>
      <c r="O13" t="inlineStr">
        <is>
          <t>20230905</t>
        </is>
      </c>
      <c r="P13" t="inlineStr">
        <is>
          <t>Kalimantan Barat</t>
        </is>
      </c>
      <c r="Q13" t="inlineStr"/>
    </row>
    <row r="14">
      <c r="A14" t="inlineStr">
        <is>
          <t>AEK AMBAR TUKKO</t>
        </is>
      </c>
      <c r="B14" t="inlineStr">
        <is>
          <t>Kab. Deli Serdang</t>
        </is>
      </c>
      <c r="C14" t="inlineStr">
        <is>
          <t>0</t>
        </is>
      </c>
      <c r="D14" t="inlineStr">
        <is>
          <t>aekambar150@gmail.com</t>
        </is>
      </c>
      <c r="E14" t="inlineStr">
        <is>
          <t>https://lpjk.pu.go.id/search-badan-usaha-detail/ZzJUeXc0RXBTdUhFbmRIYnhXV3lNQT09</t>
        </is>
      </c>
      <c r="F14" t="n">
        <v>2</v>
      </c>
      <c r="G14" t="inlineStr">
        <is>
          <t>BS001, BS002</t>
        </is>
      </c>
      <c r="H14" t="inlineStr">
        <is>
          <t>17 Januari 2023</t>
        </is>
      </c>
      <c r="I14" s="2" t="n">
        <v>46275</v>
      </c>
      <c r="J14" t="inlineStr">
        <is>
          <t>Disetujui</t>
        </is>
      </c>
      <c r="K14" t="n">
        <v>90</v>
      </c>
      <c r="L14" t="inlineStr">
        <is>
          <t>10 September 2026</t>
        </is>
      </c>
      <c r="M14" t="inlineStr">
        <is>
          <t>Bangunan Sipil Jembatan, Jalan Layang, Fly Over, dan Underpass, Konstruksi Bangunan Sipil Jalan</t>
        </is>
      </c>
      <c r="N14" t="inlineStr">
        <is>
          <t>K</t>
        </is>
      </c>
      <c r="O14" t="inlineStr">
        <is>
          <t>20230907</t>
        </is>
      </c>
      <c r="P14" t="inlineStr">
        <is>
          <t>Sumatera Utara</t>
        </is>
      </c>
      <c r="Q14" t="inlineStr"/>
    </row>
    <row r="15">
      <c r="A15" t="inlineStr">
        <is>
          <t>AEMCO PERSADA NUSANTARA</t>
        </is>
      </c>
      <c r="B15" t="inlineStr">
        <is>
          <t>Kota Bandung</t>
        </is>
      </c>
      <c r="C15" t="inlineStr">
        <is>
          <t>081931248110</t>
        </is>
      </c>
      <c r="D15" t="inlineStr">
        <is>
          <t>murtiharjono@gmail.com</t>
        </is>
      </c>
      <c r="E15" t="inlineStr">
        <is>
          <t>https://lpjk.pu.go.id/search-badan-usaha-detail/MkkvSm9yd2dENzJWNEl4WTNQOHNTUT09</t>
        </is>
      </c>
      <c r="F15" t="n">
        <v>1</v>
      </c>
      <c r="G15" t="inlineStr">
        <is>
          <t>BS007</t>
        </is>
      </c>
      <c r="H15" t="inlineStr">
        <is>
          <t>21 Desember 2011</t>
        </is>
      </c>
      <c r="I15" s="2" t="n">
        <v>46275</v>
      </c>
      <c r="J15" t="inlineStr">
        <is>
          <t>Pencabutan</t>
        </is>
      </c>
      <c r="K15" t="n">
        <v>90</v>
      </c>
      <c r="L15" t="inlineStr">
        <is>
          <t>10 September 2026</t>
        </is>
      </c>
      <c r="M15" t="inlineStr">
        <is>
          <t>Konstruksi Bangunan Sipil Elektrikal</t>
        </is>
      </c>
      <c r="N15" t="inlineStr">
        <is>
          <t>K</t>
        </is>
      </c>
      <c r="O15" t="inlineStr">
        <is>
          <t>20230907</t>
        </is>
      </c>
      <c r="P15" t="inlineStr">
        <is>
          <t>Jawa Barat</t>
        </is>
      </c>
      <c r="Q15" t="inlineStr"/>
    </row>
    <row r="16">
      <c r="A16" t="inlineStr">
        <is>
          <t>AGUNG NUSANTARA PROPERTINDO</t>
        </is>
      </c>
      <c r="B16" t="inlineStr">
        <is>
          <t>Kota Adm. Jakarta Utara</t>
        </is>
      </c>
      <c r="C16" t="inlineStr">
        <is>
          <t>87880123415</t>
        </is>
      </c>
      <c r="D16" t="inlineStr">
        <is>
          <t>ptanpjakarta@gmail.com</t>
        </is>
      </c>
      <c r="E16" t="inlineStr">
        <is>
          <t>https://lpjk.pu.go.id/search-badan-usaha-detail/Rng2QTJNYW9HQ1J4VjFCNDNMUTBUQT09</t>
        </is>
      </c>
      <c r="F16" t="n">
        <v>4</v>
      </c>
      <c r="G16" t="inlineStr">
        <is>
          <t>BS001, BS002</t>
        </is>
      </c>
      <c r="H16" t="inlineStr">
        <is>
          <t>23 September 2013</t>
        </is>
      </c>
      <c r="I16" s="2" t="n">
        <v>46275</v>
      </c>
      <c r="J16" t="inlineStr">
        <is>
          <t>Disetujui</t>
        </is>
      </c>
      <c r="K16" t="n">
        <v>90</v>
      </c>
      <c r="L16" t="inlineStr">
        <is>
          <t>10 September 2026</t>
        </is>
      </c>
      <c r="M16" t="inlineStr">
        <is>
          <t>Bangunan Sipil Jembatan, Jalan Layang, Fly Over, dan Underpass, Konstruksi Bangunan Sipil Jalan</t>
        </is>
      </c>
      <c r="N16" t="inlineStr">
        <is>
          <t>K</t>
        </is>
      </c>
      <c r="O16" t="inlineStr">
        <is>
          <t>20230905</t>
        </is>
      </c>
      <c r="P16" t="inlineStr">
        <is>
          <t>DKI Jakarta</t>
        </is>
      </c>
      <c r="Q16" t="inlineStr"/>
    </row>
    <row r="17">
      <c r="A17" t="inlineStr">
        <is>
          <t>ALCOSEJAHTERA ABADI</t>
        </is>
      </c>
      <c r="B17" t="inlineStr">
        <is>
          <t>Kota Pekanbaru</t>
        </is>
      </c>
      <c r="C17" t="inlineStr">
        <is>
          <t>085376996699</t>
        </is>
      </c>
      <c r="D17" t="inlineStr">
        <is>
          <t>alco.pku@gmail.com</t>
        </is>
      </c>
      <c r="E17" t="inlineStr">
        <is>
          <t>https://lpjk.pu.go.id/search-badan-usaha-detail/VkIzWTB5TlluQ2g3UjRnaVZTZ0pFZz09</t>
        </is>
      </c>
      <c r="F17" t="n">
        <v>1</v>
      </c>
      <c r="G17" t="inlineStr">
        <is>
          <t>BS010</t>
        </is>
      </c>
      <c r="H17" t="inlineStr">
        <is>
          <t>22 Desember 1993</t>
        </is>
      </c>
      <c r="I17" s="2" t="n">
        <v>46275</v>
      </c>
      <c r="J17" t="inlineStr">
        <is>
          <t>Pembekuan</t>
        </is>
      </c>
      <c r="K17" t="n">
        <v>90</v>
      </c>
      <c r="L17" t="inlineStr">
        <is>
          <t>10 September 2026</t>
        </is>
      </c>
      <c r="M17" t="inlineStr">
        <is>
          <t>Konstruksi Bangunan Prasarana Sumber Daya Air</t>
        </is>
      </c>
      <c r="N17" t="inlineStr">
        <is>
          <t>M</t>
        </is>
      </c>
      <c r="O17" t="inlineStr">
        <is>
          <t>20230908</t>
        </is>
      </c>
      <c r="P17" t="inlineStr">
        <is>
          <t>Riau</t>
        </is>
      </c>
      <c r="Q17" t="inlineStr"/>
    </row>
    <row r="18">
      <c r="A18" t="inlineStr">
        <is>
          <t>ALFA BANUA ESTETIKA</t>
        </is>
      </c>
      <c r="B18" t="inlineStr">
        <is>
          <t>Kota Banjarmasin</t>
        </is>
      </c>
      <c r="C18" t="inlineStr">
        <is>
          <t>085246794545</t>
        </is>
      </c>
      <c r="D18" t="inlineStr">
        <is>
          <t>cv.alfabanuaestetika@yahoo.com</t>
        </is>
      </c>
      <c r="E18" t="inlineStr">
        <is>
          <t>https://lpjk.pu.go.id/search-badan-usaha-detail/d3c5cFRNUU8rNHJMb3ZMaEUyS1o2dz09</t>
        </is>
      </c>
      <c r="F18" t="n">
        <v>1</v>
      </c>
      <c r="G18" t="inlineStr">
        <is>
          <t>RK002</t>
        </is>
      </c>
      <c r="H18" t="inlineStr">
        <is>
          <t>2 Februari 2017</t>
        </is>
      </c>
      <c r="I18" s="2" t="n">
        <v>46275</v>
      </c>
      <c r="J18" t="inlineStr">
        <is>
          <t>Disetujui</t>
        </is>
      </c>
      <c r="K18" t="n">
        <v>90</v>
      </c>
      <c r="L18" t="inlineStr">
        <is>
          <t>10 September 2026</t>
        </is>
      </c>
      <c r="M18" t="inlineStr">
        <is>
          <t>Jasa Rekayasa Pekerjaan Teknik Sipil Sumber Daya Air</t>
        </is>
      </c>
      <c r="N18" t="inlineStr">
        <is>
          <t>K</t>
        </is>
      </c>
      <c r="O18" t="inlineStr">
        <is>
          <t>20230825</t>
        </is>
      </c>
      <c r="P18" t="inlineStr">
        <is>
          <t>Kalimantan Selatan</t>
        </is>
      </c>
      <c r="Q18" t="inlineStr"/>
    </row>
    <row r="19">
      <c r="A19" t="inlineStr">
        <is>
          <t>ANDI BERSAUDARA</t>
        </is>
      </c>
      <c r="B19" t="inlineStr">
        <is>
          <t>Kab. Serdang Bedagai</t>
        </is>
      </c>
      <c r="C19" t="inlineStr">
        <is>
          <t>081370989396</t>
        </is>
      </c>
      <c r="D19" t="inlineStr">
        <is>
          <t>cvandibersaudara@gmail.com</t>
        </is>
      </c>
      <c r="E19" t="inlineStr">
        <is>
          <t>https://lpjk.pu.go.id/search-badan-usaha-detail/aSszSU5MenBKWTFjOUd3Q09iQmViQT09</t>
        </is>
      </c>
      <c r="F19" t="n">
        <v>2</v>
      </c>
      <c r="G19" t="inlineStr">
        <is>
          <t>BG006, BS004</t>
        </is>
      </c>
      <c r="H19" t="inlineStr">
        <is>
          <t>27 Agustus 2019</t>
        </is>
      </c>
      <c r="I19" s="2" t="n">
        <v>46275</v>
      </c>
      <c r="J19" t="inlineStr">
        <is>
          <t>Pencabutan</t>
        </is>
      </c>
      <c r="K19" t="n">
        <v>90</v>
      </c>
      <c r="L19" t="inlineStr">
        <is>
          <t>10 September 2026</t>
        </is>
      </c>
      <c r="M19" t="inlineStr">
        <is>
          <t>Konstruksi Gedung Pendidikan, Konstruksi Jaringan Irigasi dan Drainase</t>
        </is>
      </c>
      <c r="N19" t="inlineStr">
        <is>
          <t>K</t>
        </is>
      </c>
      <c r="O19" t="inlineStr">
        <is>
          <t>20230904, 20230907</t>
        </is>
      </c>
      <c r="P19" t="inlineStr">
        <is>
          <t>Sumatera Utara</t>
        </is>
      </c>
      <c r="Q19" t="inlineStr"/>
    </row>
    <row r="20">
      <c r="A20" t="inlineStr">
        <is>
          <t>ANDREW PLORI CONSULTANT</t>
        </is>
      </c>
      <c r="B20" t="inlineStr">
        <is>
          <t>Kota Medan</t>
        </is>
      </c>
      <c r="C20" t="inlineStr">
        <is>
          <t>085277964121</t>
        </is>
      </c>
      <c r="D20" t="inlineStr">
        <is>
          <t>cv.andrewploriconsultant@gmail.com</t>
        </is>
      </c>
      <c r="E20" t="inlineStr">
        <is>
          <t>https://lpjk.pu.go.id/search-badan-usaha-detail/MDM0RTJ5SklpOWJXR2lVeC9vekRGQT09</t>
        </is>
      </c>
      <c r="F20" t="n">
        <v>2</v>
      </c>
      <c r="G20" t="inlineStr">
        <is>
          <t>RK001, RK003</t>
        </is>
      </c>
      <c r="H20" t="inlineStr">
        <is>
          <t>27 Januari 2022</t>
        </is>
      </c>
      <c r="I20" s="2" t="n">
        <v>46275</v>
      </c>
      <c r="J20" t="inlineStr">
        <is>
          <t>Pencabutan</t>
        </is>
      </c>
      <c r="K20" t="n">
        <v>90</v>
      </c>
      <c r="L20" t="inlineStr">
        <is>
          <t>10 September 2026</t>
        </is>
      </c>
      <c r="M20" t="inlineStr">
        <is>
          <t>Jasa Rekayasa Konstruksi Bangunan Gedung Hunian dan Non Hunian, Jasa Rekayasa Pekerjaan Teknik Sipil Transportasi</t>
        </is>
      </c>
      <c r="N20" t="inlineStr">
        <is>
          <t>K</t>
        </is>
      </c>
      <c r="O20" t="inlineStr">
        <is>
          <t>20230821</t>
        </is>
      </c>
      <c r="P20" t="inlineStr">
        <is>
          <t>Sumatera Utara</t>
        </is>
      </c>
      <c r="Q20" t="inlineStr"/>
    </row>
    <row r="21">
      <c r="A21" t="inlineStr">
        <is>
          <t>ANNISA PERSADA</t>
        </is>
      </c>
      <c r="B21" t="inlineStr">
        <is>
          <t>Kab. Kutai Timur</t>
        </is>
      </c>
      <c r="C21" t="inlineStr">
        <is>
          <t>081345000067</t>
        </is>
      </c>
      <c r="D21" t="inlineStr">
        <is>
          <t>annisapersada.ap@gmail.com</t>
        </is>
      </c>
      <c r="E21" t="inlineStr">
        <is>
          <t>https://lpjk.pu.go.id/search-badan-usaha-detail/aWluMEhGSGZJL1pFSXZTcmVNbVpOZz09</t>
        </is>
      </c>
      <c r="F21" t="n">
        <v>2</v>
      </c>
      <c r="G21" t="inlineStr">
        <is>
          <t>BS001, BS004</t>
        </is>
      </c>
      <c r="H21" t="inlineStr">
        <is>
          <t>12 Januari 2023</t>
        </is>
      </c>
      <c r="I21" s="2" t="n">
        <v>46275</v>
      </c>
      <c r="J21" t="inlineStr">
        <is>
          <t>Disetujui</t>
        </is>
      </c>
      <c r="K21" t="n">
        <v>90</v>
      </c>
      <c r="L21" t="inlineStr">
        <is>
          <t>10 September 2026</t>
        </is>
      </c>
      <c r="M21" t="inlineStr">
        <is>
          <t>Konstruksi Bangunan Sipil Jalan, Konstruksi Jaringan Irigasi dan Drainase</t>
        </is>
      </c>
      <c r="N21" t="inlineStr">
        <is>
          <t>K</t>
        </is>
      </c>
      <c r="O21" t="inlineStr">
        <is>
          <t>20230910, 20230911</t>
        </is>
      </c>
      <c r="P21" t="inlineStr">
        <is>
          <t>Kalimantan Timur</t>
        </is>
      </c>
      <c r="Q21" t="inlineStr"/>
    </row>
    <row r="22">
      <c r="A22" t="inlineStr">
        <is>
          <t>ANUGERAH MAJU ABADIJAYA</t>
        </is>
      </c>
      <c r="B22" t="inlineStr">
        <is>
          <t>Kota Adm. Jakarta Utara</t>
        </is>
      </c>
      <c r="C22" t="inlineStr">
        <is>
          <t>02130010260</t>
        </is>
      </c>
      <c r="D22" t="inlineStr">
        <is>
          <t>anugerahmajuabadijaya@gmail.com</t>
        </is>
      </c>
      <c r="E22" t="inlineStr">
        <is>
          <t>https://lpjk.pu.go.id/search-badan-usaha-detail/NGl1TUVwYyt1MUFYMGxWSHhOaE9Fdz09</t>
        </is>
      </c>
      <c r="F22" t="n">
        <v>2</v>
      </c>
      <c r="G22" t="inlineStr">
        <is>
          <t>BG002, BG003</t>
        </is>
      </c>
      <c r="H22" t="inlineStr">
        <is>
          <t>1 April 2022</t>
        </is>
      </c>
      <c r="I22" s="2" t="n">
        <v>46275</v>
      </c>
      <c r="J22" t="inlineStr">
        <is>
          <t>Pencabutan</t>
        </is>
      </c>
      <c r="K22" t="n">
        <v>90</v>
      </c>
      <c r="L22" t="inlineStr">
        <is>
          <t>10 September 2026</t>
        </is>
      </c>
      <c r="M22" t="inlineStr">
        <is>
          <t>Konstruksi Gedung Industri, Konstruksi Gedung Perkantoran</t>
        </is>
      </c>
      <c r="N22" t="inlineStr">
        <is>
          <t>K</t>
        </is>
      </c>
      <c r="O22" t="inlineStr">
        <is>
          <t>20230831</t>
        </is>
      </c>
      <c r="P22" t="inlineStr">
        <is>
          <t>DKI Jakarta</t>
        </is>
      </c>
      <c r="Q22" t="inlineStr"/>
    </row>
    <row r="23">
      <c r="A23" t="inlineStr">
        <is>
          <t>ANUGERAH RIZKI DARMAWAN</t>
        </is>
      </c>
      <c r="B23" t="inlineStr">
        <is>
          <t>Kota Palembang</t>
        </is>
      </c>
      <c r="C23" t="inlineStr">
        <is>
          <t>08217516118</t>
        </is>
      </c>
      <c r="D23" t="inlineStr">
        <is>
          <t>anugerahrizkid@gmail.com</t>
        </is>
      </c>
      <c r="E23" t="inlineStr">
        <is>
          <t>https://lpjk.pu.go.id/search-badan-usaha-detail/cWdrY2Z1STVaTVVQUXdCVkVYYlVkZz09</t>
        </is>
      </c>
      <c r="F23" t="n">
        <v>1</v>
      </c>
      <c r="G23" t="inlineStr">
        <is>
          <t>BS001</t>
        </is>
      </c>
      <c r="H23" t="inlineStr">
        <is>
          <t>1 Januari 2018</t>
        </is>
      </c>
      <c r="I23" s="2" t="n">
        <v>46275</v>
      </c>
      <c r="J23" t="inlineStr">
        <is>
          <t>Disetujui</t>
        </is>
      </c>
      <c r="K23" t="n">
        <v>90</v>
      </c>
      <c r="L23" t="inlineStr">
        <is>
          <t>10 September 2026</t>
        </is>
      </c>
      <c r="M23" t="inlineStr">
        <is>
          <t>Konstruksi Bangunan Sipil Jalan</t>
        </is>
      </c>
      <c r="N23" t="inlineStr">
        <is>
          <t>K</t>
        </is>
      </c>
      <c r="O23" t="inlineStr">
        <is>
          <t>20230905</t>
        </is>
      </c>
      <c r="P23" t="inlineStr">
        <is>
          <t>Sumatera Selatan</t>
        </is>
      </c>
      <c r="Q23" t="inlineStr"/>
    </row>
    <row r="24">
      <c r="A24" t="inlineStr">
        <is>
          <t>ANUGRAH MULIA SEMESTHA</t>
        </is>
      </c>
      <c r="B24" t="inlineStr">
        <is>
          <t>Kab. Ogan Komering Ilir</t>
        </is>
      </c>
      <c r="C24" t="inlineStr">
        <is>
          <t>812000000</t>
        </is>
      </c>
      <c r="D24" t="inlineStr">
        <is>
          <t>ms_anugrah@yahoo.com</t>
        </is>
      </c>
      <c r="E24" t="inlineStr">
        <is>
          <t>https://lpjk.pu.go.id/search-badan-usaha-detail/K3FJbHY5Wko3NGswTlM5dTZvM0x6QT09</t>
        </is>
      </c>
      <c r="F24" t="n">
        <v>4</v>
      </c>
      <c r="G24" t="inlineStr">
        <is>
          <t>BG002, BG005</t>
        </is>
      </c>
      <c r="H24" t="inlineStr">
        <is>
          <t>14 Desember 2001</t>
        </is>
      </c>
      <c r="I24" s="2" t="n">
        <v>46275</v>
      </c>
      <c r="J24" t="inlineStr">
        <is>
          <t>Disetujui</t>
        </is>
      </c>
      <c r="K24" t="n">
        <v>90</v>
      </c>
      <c r="L24" t="inlineStr">
        <is>
          <t>10 September 2026</t>
        </is>
      </c>
      <c r="M24" t="inlineStr">
        <is>
          <t>Konstruksi Gedung Kesehatan, Konstruksi Gedung Perkantoran</t>
        </is>
      </c>
      <c r="N24" t="inlineStr">
        <is>
          <t>M</t>
        </is>
      </c>
      <c r="O24" t="inlineStr">
        <is>
          <t>20230814, 20230906</t>
        </is>
      </c>
      <c r="P24" t="inlineStr">
        <is>
          <t>Sumatera Selatan</t>
        </is>
      </c>
      <c r="Q24" t="inlineStr"/>
    </row>
    <row r="25">
      <c r="A25" t="inlineStr">
        <is>
          <t>ARDIAN JAYA TEKNIK</t>
        </is>
      </c>
      <c r="B25" t="inlineStr">
        <is>
          <t>Kota Semarang</t>
        </is>
      </c>
      <c r="C25" t="inlineStr">
        <is>
          <t>-</t>
        </is>
      </c>
      <c r="D25" t="inlineStr">
        <is>
          <t>ardianjayateknik@yahoo.co.id</t>
        </is>
      </c>
      <c r="E25" t="inlineStr">
        <is>
          <t>https://lpjk.pu.go.id/search-badan-usaha-detail/SkNLMmRaMjVXTi9Ga1l6ZXgranVDdz09</t>
        </is>
      </c>
      <c r="F25" t="n">
        <v>2</v>
      </c>
      <c r="G25" t="inlineStr">
        <is>
          <t>BS001</t>
        </is>
      </c>
      <c r="H25" t="inlineStr">
        <is>
          <t>5 Februari 2021</t>
        </is>
      </c>
      <c r="I25" s="2" t="n">
        <v>46275</v>
      </c>
      <c r="J25" t="inlineStr">
        <is>
          <t>Disetujui</t>
        </is>
      </c>
      <c r="K25" t="n">
        <v>90</v>
      </c>
      <c r="L25" t="inlineStr">
        <is>
          <t>10 September 2026</t>
        </is>
      </c>
      <c r="M25" t="inlineStr">
        <is>
          <t>Konstruksi Bangunan Sipil Jalan</t>
        </is>
      </c>
      <c r="N25" t="inlineStr">
        <is>
          <t>K</t>
        </is>
      </c>
      <c r="O25" t="inlineStr">
        <is>
          <t>20230907</t>
        </is>
      </c>
      <c r="P25" t="inlineStr">
        <is>
          <t>Jawa Tengah</t>
        </is>
      </c>
      <c r="Q25" t="inlineStr"/>
    </row>
    <row r="26">
      <c r="A26" t="inlineStr">
        <is>
          <t>ARKA WINATA JAYA</t>
        </is>
      </c>
      <c r="B26" t="inlineStr">
        <is>
          <t>Kota Palembang</t>
        </is>
      </c>
      <c r="C26" t="inlineStr">
        <is>
          <t>081379207770</t>
        </is>
      </c>
      <c r="D26" t="inlineStr">
        <is>
          <t>cvarkawinatajaya@gmail.com</t>
        </is>
      </c>
      <c r="E26" t="inlineStr">
        <is>
          <t>https://lpjk.pu.go.id/search-badan-usaha-detail/WUM4cU83WHorRXhZRVk2eCs2QXh4QT09</t>
        </is>
      </c>
      <c r="F26" t="n">
        <v>1</v>
      </c>
      <c r="G26" t="inlineStr">
        <is>
          <t>BS001</t>
        </is>
      </c>
      <c r="H26" t="inlineStr">
        <is>
          <t>31 Januari 2023</t>
        </is>
      </c>
      <c r="I26" s="2" t="n">
        <v>46275</v>
      </c>
      <c r="J26" t="inlineStr">
        <is>
          <t>Pencabutan</t>
        </is>
      </c>
      <c r="K26" t="n">
        <v>90</v>
      </c>
      <c r="L26" t="inlineStr">
        <is>
          <t>10 September 2026</t>
        </is>
      </c>
      <c r="M26" t="inlineStr">
        <is>
          <t>Konstruksi Bangunan Sipil Jalan</t>
        </is>
      </c>
      <c r="N26" t="inlineStr">
        <is>
          <t>K</t>
        </is>
      </c>
      <c r="O26" t="inlineStr">
        <is>
          <t>20230823</t>
        </is>
      </c>
      <c r="P26" t="inlineStr">
        <is>
          <t>Sumatera Selatan</t>
        </is>
      </c>
      <c r="Q26" t="inlineStr"/>
    </row>
    <row r="27">
      <c r="A27" t="inlineStr">
        <is>
          <t>ARKONIN ENGINEERING MANGGALA PRATAMA</t>
        </is>
      </c>
      <c r="B27" t="inlineStr">
        <is>
          <t>Kota Adm. Jakarta Selatan</t>
        </is>
      </c>
      <c r="C27" t="inlineStr">
        <is>
          <t>0217350211</t>
        </is>
      </c>
      <c r="D27" t="inlineStr">
        <is>
          <t>arkoninmphrd@yahoo.com</t>
        </is>
      </c>
      <c r="E27" t="inlineStr">
        <is>
          <t>https://lpjk.pu.go.id/search-badan-usaha-detail/U243bXlZeDJqazJXTkE2dHZ3c2Z1dz09</t>
        </is>
      </c>
      <c r="F27" t="n">
        <v>1</v>
      </c>
      <c r="G27" t="inlineStr">
        <is>
          <t>AL004</t>
        </is>
      </c>
      <c r="H27" t="inlineStr">
        <is>
          <t>31 Agustus 1982</t>
        </is>
      </c>
      <c r="I27" s="2" t="n">
        <v>46275</v>
      </c>
      <c r="J27" t="inlineStr">
        <is>
          <t>Disetujui</t>
        </is>
      </c>
      <c r="K27" t="n">
        <v>90</v>
      </c>
      <c r="L27" t="inlineStr">
        <is>
          <t>10 September 2026</t>
        </is>
      </c>
      <c r="M27" t="inlineStr">
        <is>
          <t>Jasa Pengembangan Lingkungan Bangunan dan Lanskap</t>
        </is>
      </c>
      <c r="N27" t="inlineStr">
        <is>
          <t>M</t>
        </is>
      </c>
      <c r="O27" t="inlineStr">
        <is>
          <t>20230904</t>
        </is>
      </c>
      <c r="P27" t="inlineStr">
        <is>
          <t>DKI Jakarta</t>
        </is>
      </c>
      <c r="Q27" t="inlineStr"/>
    </row>
    <row r="28">
      <c r="A28" t="inlineStr">
        <is>
          <t>ARSYFA</t>
        </is>
      </c>
      <c r="B28" t="inlineStr">
        <is>
          <t>Kab. Indragiri Hilir</t>
        </is>
      </c>
      <c r="C28" t="inlineStr">
        <is>
          <t>085232666615</t>
        </is>
      </c>
      <c r="D28" t="inlineStr">
        <is>
          <t>arsyfa2002@gmail.com</t>
        </is>
      </c>
      <c r="E28" t="inlineStr">
        <is>
          <t>https://lpjk.pu.go.id/search-badan-usaha-detail/UytsdlE4c3Mrd0ZYVjNIY1ZNTUl3dz09</t>
        </is>
      </c>
      <c r="F28" t="n">
        <v>4</v>
      </c>
      <c r="G28" t="inlineStr">
        <is>
          <t>BG002, BG008</t>
        </is>
      </c>
      <c r="H28" t="inlineStr">
        <is>
          <t>31 Juli 2019</t>
        </is>
      </c>
      <c r="I28" s="2" t="n">
        <v>46275</v>
      </c>
      <c r="J28" t="inlineStr">
        <is>
          <t>Disetujui</t>
        </is>
      </c>
      <c r="K28" t="n">
        <v>90</v>
      </c>
      <c r="L28" t="inlineStr">
        <is>
          <t>10 September 2026</t>
        </is>
      </c>
      <c r="M28" t="inlineStr">
        <is>
          <t>Konstruksi Gedung Perkantoran, Konstruksi Gedung Tempat Hiburan dan Olahraga</t>
        </is>
      </c>
      <c r="N28" t="inlineStr">
        <is>
          <t>K</t>
        </is>
      </c>
      <c r="O28" t="inlineStr">
        <is>
          <t>20230909</t>
        </is>
      </c>
      <c r="P28" t="inlineStr">
        <is>
          <t>Riau</t>
        </is>
      </c>
      <c r="Q28" t="inlineStr"/>
    </row>
    <row r="29">
      <c r="A29" t="inlineStr">
        <is>
          <t>ARUNIKA NIRMALA ABADI</t>
        </is>
      </c>
      <c r="B29" t="inlineStr">
        <is>
          <t>Kab. Tangerang</t>
        </is>
      </c>
      <c r="C29" t="inlineStr">
        <is>
          <t>02139701925</t>
        </is>
      </c>
      <c r="D29" t="inlineStr">
        <is>
          <t>mail.ptanabadi@gmail.com</t>
        </is>
      </c>
      <c r="E29" t="inlineStr">
        <is>
          <t>https://lpjk.pu.go.id/search-badan-usaha-detail/eW0wV1g2c1dmSUV0dytTLzNEWUFMdz09</t>
        </is>
      </c>
      <c r="F29" t="n">
        <v>4</v>
      </c>
      <c r="G29" t="inlineStr">
        <is>
          <t>BG009, BS001</t>
        </is>
      </c>
      <c r="H29" t="inlineStr">
        <is>
          <t>19 Februari 2019</t>
        </is>
      </c>
      <c r="I29" s="2" t="n">
        <v>46275</v>
      </c>
      <c r="J29" t="inlineStr">
        <is>
          <t>Disetujui</t>
        </is>
      </c>
      <c r="K29" t="n">
        <v>90</v>
      </c>
      <c r="L29" t="inlineStr">
        <is>
          <t>10 September 2026</t>
        </is>
      </c>
      <c r="M29" t="inlineStr">
        <is>
          <t>Konstruksi Bangunan Sipil Jalan, Konstruksi Gedung Lainnya</t>
        </is>
      </c>
      <c r="N29" t="inlineStr">
        <is>
          <t>K</t>
        </is>
      </c>
      <c r="O29" t="inlineStr">
        <is>
          <t>20230908</t>
        </is>
      </c>
      <c r="P29" t="inlineStr">
        <is>
          <t>Banten</t>
        </is>
      </c>
      <c r="Q29" t="inlineStr"/>
    </row>
    <row r="30">
      <c r="A30" t="inlineStr">
        <is>
          <t>ASSIA HIDROS SAN</t>
        </is>
      </c>
      <c r="B30" t="inlineStr">
        <is>
          <t>Kota Cimahi</t>
        </is>
      </c>
      <c r="C30" t="inlineStr">
        <is>
          <t>02286001740</t>
        </is>
      </c>
      <c r="D30" t="inlineStr">
        <is>
          <t>ptassiahidrossan@gmail.com</t>
        </is>
      </c>
      <c r="E30" t="inlineStr">
        <is>
          <t>https://lpjk.pu.go.id/search-badan-usaha-detail/OHlQazFvTE1pRURMTmFqWjUySjJBQT09</t>
        </is>
      </c>
      <c r="F30" t="n">
        <v>1</v>
      </c>
      <c r="G30" t="inlineStr">
        <is>
          <t>BS005</t>
        </is>
      </c>
      <c r="H30" t="inlineStr">
        <is>
          <t>13 Juni 2017</t>
        </is>
      </c>
      <c r="I30" s="2" t="n">
        <v>46275</v>
      </c>
      <c r="J30" t="inlineStr">
        <is>
          <t>Disetujui</t>
        </is>
      </c>
      <c r="K30" t="n">
        <v>90</v>
      </c>
      <c r="L30" t="inlineStr">
        <is>
          <t>10 September 2026</t>
        </is>
      </c>
      <c r="M30" t="inlineStr">
        <is>
          <t>Konstruksi Bangunan Sipil Pengolahan Air Bersih</t>
        </is>
      </c>
      <c r="N30" t="inlineStr">
        <is>
          <t>K</t>
        </is>
      </c>
      <c r="O30" t="inlineStr">
        <is>
          <t>20230822</t>
        </is>
      </c>
      <c r="P30" t="inlineStr">
        <is>
          <t>Jawa Barat</t>
        </is>
      </c>
      <c r="Q30" t="inlineStr"/>
    </row>
    <row r="31">
      <c r="A31" t="inlineStr">
        <is>
          <t>AXIS GRID DESAIN</t>
        </is>
      </c>
      <c r="B31" t="inlineStr">
        <is>
          <t>Kota Banda Aceh</t>
        </is>
      </c>
      <c r="C31" t="inlineStr">
        <is>
          <t>082167074686</t>
        </is>
      </c>
      <c r="D31" t="inlineStr">
        <is>
          <t>axisgriddesain@gmail.com</t>
        </is>
      </c>
      <c r="E31" t="inlineStr">
        <is>
          <t>https://lpjk.pu.go.id/search-badan-usaha-detail/VWcxcXRrRHZ3SjQrRi8vUkZPRGxzUT09</t>
        </is>
      </c>
      <c r="F31" t="n">
        <v>1</v>
      </c>
      <c r="G31" t="inlineStr">
        <is>
          <t>RK003</t>
        </is>
      </c>
      <c r="H31" t="inlineStr">
        <is>
          <t>19 Juni 2020</t>
        </is>
      </c>
      <c r="I31" s="2" t="n">
        <v>46275</v>
      </c>
      <c r="J31" t="inlineStr">
        <is>
          <t>Disetujui</t>
        </is>
      </c>
      <c r="K31" t="n">
        <v>90</v>
      </c>
      <c r="L31" t="inlineStr">
        <is>
          <t>10 September 2026</t>
        </is>
      </c>
      <c r="M31" t="inlineStr">
        <is>
          <t>Jasa Rekayasa Pekerjaan Teknik Sipil Transportasi</t>
        </is>
      </c>
      <c r="N31" t="inlineStr">
        <is>
          <t>K</t>
        </is>
      </c>
      <c r="O31" t="inlineStr">
        <is>
          <t>20230829</t>
        </is>
      </c>
      <c r="P31" t="inlineStr">
        <is>
          <t>Aceh</t>
        </is>
      </c>
      <c r="Q31" t="inlineStr"/>
    </row>
    <row r="32">
      <c r="A32" t="inlineStr">
        <is>
          <t>BAHAGIA AISOISEHAVE</t>
        </is>
      </c>
      <c r="B32" t="inlineStr">
        <is>
          <t>Kab. Toba Samosir</t>
        </is>
      </c>
      <c r="C32" t="inlineStr">
        <is>
          <t>081375626130</t>
        </is>
      </c>
      <c r="D32" t="inlineStr">
        <is>
          <t>cvbah@gmail.com</t>
        </is>
      </c>
      <c r="E32" t="inlineStr">
        <is>
          <t>https://lpjk.pu.go.id/search-badan-usaha-detail/Q09zeURVT0FBY3BENjRCbUtMb05PZz09</t>
        </is>
      </c>
      <c r="F32" t="n">
        <v>2</v>
      </c>
      <c r="G32" t="inlineStr">
        <is>
          <t>BS001</t>
        </is>
      </c>
      <c r="H32" t="inlineStr">
        <is>
          <t>8 September 2015</t>
        </is>
      </c>
      <c r="I32" s="2" t="n">
        <v>46275</v>
      </c>
      <c r="J32" t="inlineStr">
        <is>
          <t>Disetujui</t>
        </is>
      </c>
      <c r="K32" t="n">
        <v>90</v>
      </c>
      <c r="L32" t="inlineStr">
        <is>
          <t>10 September 2026</t>
        </is>
      </c>
      <c r="M32" t="inlineStr">
        <is>
          <t>Konstruksi Bangunan Sipil Jalan</t>
        </is>
      </c>
      <c r="N32" t="inlineStr">
        <is>
          <t>K</t>
        </is>
      </c>
      <c r="O32" t="inlineStr">
        <is>
          <t>20230909</t>
        </is>
      </c>
      <c r="P32" t="inlineStr">
        <is>
          <t>Sumatera Utara</t>
        </is>
      </c>
      <c r="Q32" t="inlineStr"/>
    </row>
    <row r="33">
      <c r="A33" t="inlineStr">
        <is>
          <t>BAHARI LESTARI JAYA</t>
        </is>
      </c>
      <c r="B33" t="inlineStr">
        <is>
          <t>Kab. Tangerang</t>
        </is>
      </c>
      <c r="C33" t="inlineStr">
        <is>
          <t>087741191211</t>
        </is>
      </c>
      <c r="D33" t="inlineStr">
        <is>
          <t>baharilj76@yahoo.com</t>
        </is>
      </c>
      <c r="E33" t="inlineStr">
        <is>
          <t>https://lpjk.pu.go.id/search-badan-usaha-detail/Zzh4M2VJeHNPMElONmxvaysrdzU2Zz09</t>
        </is>
      </c>
      <c r="F33" t="n">
        <v>3</v>
      </c>
      <c r="G33" t="inlineStr">
        <is>
          <t>BG009, BS001, BS004</t>
        </is>
      </c>
      <c r="H33" t="inlineStr">
        <is>
          <t>11 Desember 2017</t>
        </is>
      </c>
      <c r="I33" s="2" t="n">
        <v>46275</v>
      </c>
      <c r="J33" t="inlineStr">
        <is>
          <t>Disetujui</t>
        </is>
      </c>
      <c r="K33" t="n">
        <v>90</v>
      </c>
      <c r="L33" t="inlineStr">
        <is>
          <t>10 September 2026</t>
        </is>
      </c>
      <c r="M33" t="inlineStr">
        <is>
          <t>Konstruksi Bangunan Sipil Jalan, Konstruksi Gedung Lainnya, Konstruksi Jaringan Irigasi dan Drainase</t>
        </is>
      </c>
      <c r="N33" t="inlineStr">
        <is>
          <t>K</t>
        </is>
      </c>
      <c r="O33" t="inlineStr">
        <is>
          <t>20230527, 20230907</t>
        </is>
      </c>
      <c r="P33" t="inlineStr">
        <is>
          <t>Banten</t>
        </is>
      </c>
      <c r="Q33" t="inlineStr"/>
    </row>
    <row r="34">
      <c r="A34" t="inlineStr">
        <is>
          <t>BANDAWASA UTAMA KONSULTAN</t>
        </is>
      </c>
      <c r="B34" t="inlineStr">
        <is>
          <t>Kota Banda Aceh</t>
        </is>
      </c>
      <c r="C34" t="inlineStr">
        <is>
          <t>081269081959</t>
        </is>
      </c>
      <c r="D34" t="inlineStr">
        <is>
          <t>bandawasautama@yahoo.com</t>
        </is>
      </c>
      <c r="E34" t="inlineStr">
        <is>
          <t>https://lpjk.pu.go.id/search-badan-usaha-detail/Tjl3V0w5VXZUb1BNeEFtcHJYaUJNZz09</t>
        </is>
      </c>
      <c r="F34" t="n">
        <v>2</v>
      </c>
      <c r="G34" t="inlineStr">
        <is>
          <t>RK001</t>
        </is>
      </c>
      <c r="H34" t="inlineStr">
        <is>
          <t>27 Mei 2008</t>
        </is>
      </c>
      <c r="I34" s="2" t="n">
        <v>46275</v>
      </c>
      <c r="J34" t="inlineStr">
        <is>
          <t>Pencabutan</t>
        </is>
      </c>
      <c r="K34" t="n">
        <v>90</v>
      </c>
      <c r="L34" t="inlineStr">
        <is>
          <t>10 September 2026</t>
        </is>
      </c>
      <c r="M34" t="inlineStr">
        <is>
          <t>Jasa Rekayasa Konstruksi Bangunan Gedung Hunian dan Non Hunian</t>
        </is>
      </c>
      <c r="N34" t="inlineStr">
        <is>
          <t>K</t>
        </is>
      </c>
      <c r="O34" t="inlineStr">
        <is>
          <t>20230831</t>
        </is>
      </c>
      <c r="P34" t="inlineStr">
        <is>
          <t>Aceh</t>
        </is>
      </c>
      <c r="Q34" t="inlineStr"/>
    </row>
    <row r="35">
      <c r="A35" t="inlineStr">
        <is>
          <t>BANGUN CIPTA SARANA</t>
        </is>
      </c>
      <c r="B35" t="inlineStr">
        <is>
          <t>Kab. Gresik</t>
        </is>
      </c>
      <c r="C35" t="inlineStr">
        <is>
          <t>081330566818</t>
        </is>
      </c>
      <c r="D35" t="inlineStr">
        <is>
          <t>cv.bangunc@yahoo.co.id</t>
        </is>
      </c>
      <c r="E35" t="inlineStr">
        <is>
          <t>https://lpjk.pu.go.id/search-badan-usaha-detail/VWJRaHNuc1cwbVRCVXlSTG5qRW5uZz09</t>
        </is>
      </c>
      <c r="F35" t="n">
        <v>3</v>
      </c>
      <c r="G35" t="inlineStr">
        <is>
          <t>BS004, BS005, BS010</t>
        </is>
      </c>
      <c r="H35" t="inlineStr">
        <is>
          <t>4 Juli 2014</t>
        </is>
      </c>
      <c r="I35" s="2" t="n">
        <v>46275</v>
      </c>
      <c r="J35" t="inlineStr">
        <is>
          <t>Disetujui</t>
        </is>
      </c>
      <c r="K35" t="n">
        <v>90</v>
      </c>
      <c r="L35" t="inlineStr">
        <is>
          <t>10 September 2026</t>
        </is>
      </c>
      <c r="M35" t="inlineStr">
        <is>
          <t>Konstruksi Bangunan Prasarana Sumber Daya Air, Konstruksi Bangunan Sipil Pengolahan Air Bersih, Konstruksi Jaringan Irigasi dan Drainase</t>
        </is>
      </c>
      <c r="N35" t="inlineStr">
        <is>
          <t>K</t>
        </is>
      </c>
      <c r="O35" t="inlineStr">
        <is>
          <t>20230906, 20230907</t>
        </is>
      </c>
      <c r="P35" t="inlineStr">
        <is>
          <t>Jawa Timur</t>
        </is>
      </c>
      <c r="Q35" t="inlineStr"/>
    </row>
    <row r="36">
      <c r="A36" t="inlineStr">
        <is>
          <t>BENGAWAN KONSULTAN</t>
        </is>
      </c>
      <c r="B36" t="inlineStr">
        <is>
          <t>Kota Padang</t>
        </is>
      </c>
      <c r="C36" t="inlineStr">
        <is>
          <t>0811665465</t>
        </is>
      </c>
      <c r="D36" t="inlineStr">
        <is>
          <t>bengawankonsultan.pdg@gmail.com</t>
        </is>
      </c>
      <c r="E36" t="inlineStr">
        <is>
          <t>https://lpjk.pu.go.id/search-badan-usaha-detail/ZWZlZEhoQjROdlFJUlRJdko3anJ4QT09</t>
        </is>
      </c>
      <c r="F36" t="n">
        <v>3</v>
      </c>
      <c r="G36" t="inlineStr">
        <is>
          <t>RK001, RK002, RK003</t>
        </is>
      </c>
      <c r="H36" t="inlineStr">
        <is>
          <t>23 Juni 2015</t>
        </is>
      </c>
      <c r="I36" s="2" t="n">
        <v>46275</v>
      </c>
      <c r="J36" t="inlineStr">
        <is>
          <t>Disetujui</t>
        </is>
      </c>
      <c r="K36" t="n">
        <v>90</v>
      </c>
      <c r="L36" t="inlineStr">
        <is>
          <t>10 September 2026</t>
        </is>
      </c>
      <c r="M36" t="inlineStr">
        <is>
          <t>Jasa Rekayasa Konstruksi Bangunan Gedung Hunian dan Non Hunian, Jasa Rekayasa Pekerjaan Teknik Sipil Sumber Daya Air, Jasa Rekayasa Pekerjaan Teknik Sipil Transportasi</t>
        </is>
      </c>
      <c r="N36" t="inlineStr">
        <is>
          <t>K</t>
        </is>
      </c>
      <c r="O36" t="inlineStr">
        <is>
          <t>20230727, 20230728</t>
        </is>
      </c>
      <c r="P36" t="inlineStr">
        <is>
          <t>Sumatera Barat</t>
        </is>
      </c>
      <c r="Q36" t="inlineStr"/>
    </row>
    <row r="37">
      <c r="A37" t="inlineStr">
        <is>
          <t>BERLIAN JAYA</t>
        </is>
      </c>
      <c r="B37" t="inlineStr">
        <is>
          <t>Kab. Gresik</t>
        </is>
      </c>
      <c r="C37" t="inlineStr">
        <is>
          <t>081230560777</t>
        </is>
      </c>
      <c r="D37" t="inlineStr">
        <is>
          <t>berlianjayaku@gmail.com</t>
        </is>
      </c>
      <c r="E37" t="inlineStr">
        <is>
          <t>https://lpjk.pu.go.id/search-badan-usaha-detail/cWFmQU5FTmg4OWpmS0lNYlFEUTNVdz09</t>
        </is>
      </c>
      <c r="F37" t="n">
        <v>2</v>
      </c>
      <c r="G37" t="inlineStr">
        <is>
          <t>BG006, BG009</t>
        </is>
      </c>
      <c r="H37" t="inlineStr">
        <is>
          <t>18 Januari 2011</t>
        </is>
      </c>
      <c r="I37" s="2" t="n">
        <v>46275</v>
      </c>
      <c r="J37" t="inlineStr">
        <is>
          <t>Disetujui</t>
        </is>
      </c>
      <c r="K37" t="n">
        <v>90</v>
      </c>
      <c r="L37" t="inlineStr">
        <is>
          <t>10 September 2026</t>
        </is>
      </c>
      <c r="M37" t="inlineStr">
        <is>
          <t>Konstruksi Gedung Lainnya, Konstruksi Gedung Pendidikan</t>
        </is>
      </c>
      <c r="N37" t="inlineStr">
        <is>
          <t>K</t>
        </is>
      </c>
      <c r="O37" t="inlineStr">
        <is>
          <t>20230905</t>
        </is>
      </c>
      <c r="P37" t="inlineStr">
        <is>
          <t>Jawa Timur</t>
        </is>
      </c>
      <c r="Q37" t="inlineStr"/>
    </row>
    <row r="38">
      <c r="A38" t="inlineStr">
        <is>
          <t>BIMA KONSTRUKSI NUSANTARA</t>
        </is>
      </c>
      <c r="B38" t="inlineStr">
        <is>
          <t>Kab. Cirebon</t>
        </is>
      </c>
      <c r="C38" t="inlineStr">
        <is>
          <t>082216166494</t>
        </is>
      </c>
      <c r="D38" t="inlineStr">
        <is>
          <t>ptbimakonstruksinusantara@gmail.com</t>
        </is>
      </c>
      <c r="E38" t="inlineStr">
        <is>
          <t>https://lpjk.pu.go.id/search-badan-usaha-detail/YUJLVS8vcFZidk1pNFQ5TEpySG9tQT09</t>
        </is>
      </c>
      <c r="F38" t="n">
        <v>1</v>
      </c>
      <c r="G38" t="inlineStr">
        <is>
          <t>PL004</t>
        </is>
      </c>
      <c r="H38" t="inlineStr">
        <is>
          <t>19 November 2021</t>
        </is>
      </c>
      <c r="I38" s="2" t="n">
        <v>46275</v>
      </c>
      <c r="J38" t="inlineStr">
        <is>
          <t>Disetujui</t>
        </is>
      </c>
      <c r="K38" t="n">
        <v>90</v>
      </c>
      <c r="L38" t="inlineStr">
        <is>
          <t>10 September 2026</t>
        </is>
      </c>
      <c r="M38" t="inlineStr">
        <is>
          <t>Pekerjaan Tanah</t>
        </is>
      </c>
      <c r="N38" t="inlineStr">
        <is>
          <t>Spesialis</t>
        </is>
      </c>
      <c r="O38" t="inlineStr">
        <is>
          <t>20230823</t>
        </is>
      </c>
      <c r="P38" t="inlineStr">
        <is>
          <t>Jawa Barat</t>
        </is>
      </c>
      <c r="Q38" t="inlineStr"/>
    </row>
    <row r="39">
      <c r="A39" t="inlineStr">
        <is>
          <t>BINA HARMONI SEMESTA</t>
        </is>
      </c>
      <c r="B39" t="inlineStr">
        <is>
          <t>Kab. Situbondo</t>
        </is>
      </c>
      <c r="C39" t="inlineStr">
        <is>
          <t>081931565111</t>
        </is>
      </c>
      <c r="D39" t="inlineStr">
        <is>
          <t>lsbugkb3512@gmail.com</t>
        </is>
      </c>
      <c r="E39" t="inlineStr">
        <is>
          <t>https://lpjk.pu.go.id/search-badan-usaha-detail/NUM4NWlTRVhCcDhRNEU0VTJHQ29Ddz09</t>
        </is>
      </c>
      <c r="F39" t="n">
        <v>1</v>
      </c>
      <c r="G39" t="inlineStr">
        <is>
          <t>BG002</t>
        </is>
      </c>
      <c r="H39" t="inlineStr">
        <is>
          <t>24 April 2018</t>
        </is>
      </c>
      <c r="I39" s="2" t="n">
        <v>46275</v>
      </c>
      <c r="J39" t="inlineStr">
        <is>
          <t>Disetujui</t>
        </is>
      </c>
      <c r="K39" t="n">
        <v>90</v>
      </c>
      <c r="L39" t="inlineStr">
        <is>
          <t>10 September 2026</t>
        </is>
      </c>
      <c r="M39" t="inlineStr">
        <is>
          <t>Konstruksi Gedung Perkantoran</t>
        </is>
      </c>
      <c r="N39" t="inlineStr">
        <is>
          <t>K</t>
        </is>
      </c>
      <c r="O39" t="inlineStr">
        <is>
          <t>20230906</t>
        </is>
      </c>
      <c r="P39" t="inlineStr">
        <is>
          <t>Jawa Timur</t>
        </is>
      </c>
      <c r="Q39" t="inlineStr"/>
    </row>
    <row r="40">
      <c r="A40" t="inlineStr">
        <is>
          <t>BINA KARYA KONSTRUKSI</t>
        </is>
      </c>
      <c r="B40" t="inlineStr">
        <is>
          <t>Kota Palu</t>
        </is>
      </c>
      <c r="C40" t="inlineStr">
        <is>
          <t>082190122235</t>
        </is>
      </c>
      <c r="D40" t="inlineStr">
        <is>
          <t>cv.binakarya21@gmail.com</t>
        </is>
      </c>
      <c r="E40" t="inlineStr">
        <is>
          <t>https://lpjk.pu.go.id/search-badan-usaha-detail/RFJIYWpsVXQ0SW8yekRSK1hvUUtkUT09</t>
        </is>
      </c>
      <c r="F40" t="n">
        <v>1</v>
      </c>
      <c r="G40" t="inlineStr">
        <is>
          <t>BG009</t>
        </is>
      </c>
      <c r="H40" t="inlineStr">
        <is>
          <t>28 Januari 2019</t>
        </is>
      </c>
      <c r="I40" s="2" t="n">
        <v>46275</v>
      </c>
      <c r="J40" t="inlineStr">
        <is>
          <t>Disetujui</t>
        </is>
      </c>
      <c r="K40" t="n">
        <v>90</v>
      </c>
      <c r="L40" t="inlineStr">
        <is>
          <t>10 September 2026</t>
        </is>
      </c>
      <c r="M40" t="inlineStr">
        <is>
          <t>Konstruksi Gedung Lainnya</t>
        </is>
      </c>
      <c r="N40" t="inlineStr">
        <is>
          <t>K</t>
        </is>
      </c>
      <c r="O40" t="inlineStr">
        <is>
          <t>20230911</t>
        </is>
      </c>
      <c r="P40" t="inlineStr">
        <is>
          <t>Sulawesi Tengah</t>
        </is>
      </c>
      <c r="Q40" t="inlineStr"/>
    </row>
    <row r="41">
      <c r="A41" t="inlineStr">
        <is>
          <t>BLASER PAPUA</t>
        </is>
      </c>
      <c r="B41" t="inlineStr">
        <is>
          <t>Kab. Mimika</t>
        </is>
      </c>
      <c r="C41" t="inlineStr">
        <is>
          <t>082267438990</t>
        </is>
      </c>
      <c r="D41" t="inlineStr">
        <is>
          <t>blaser.papua@gmail.com</t>
        </is>
      </c>
      <c r="E41" t="inlineStr">
        <is>
          <t>https://lpjk.pu.go.id/search-badan-usaha-detail/SmxpMGNRUkNQa085UW5OeEV6cWg2dz09</t>
        </is>
      </c>
      <c r="F41" t="n">
        <v>1</v>
      </c>
      <c r="G41" t="inlineStr">
        <is>
          <t>BG009</t>
        </is>
      </c>
      <c r="H41" t="inlineStr">
        <is>
          <t>11 Oktober 2021</t>
        </is>
      </c>
      <c r="I41" s="2" t="n">
        <v>46275</v>
      </c>
      <c r="J41" t="inlineStr">
        <is>
          <t>Disetujui</t>
        </is>
      </c>
      <c r="K41" t="n">
        <v>90</v>
      </c>
      <c r="L41" t="inlineStr">
        <is>
          <t>10 September 2026</t>
        </is>
      </c>
      <c r="M41" t="inlineStr">
        <is>
          <t>Konstruksi Gedung Lainnya</t>
        </is>
      </c>
      <c r="N41" t="inlineStr">
        <is>
          <t>K</t>
        </is>
      </c>
      <c r="O41" t="inlineStr">
        <is>
          <t>20230906</t>
        </is>
      </c>
      <c r="P41" t="inlineStr">
        <is>
          <t>Papua</t>
        </is>
      </c>
      <c r="Q41" t="inlineStr"/>
    </row>
    <row r="42">
      <c r="A42" t="inlineStr">
        <is>
          <t>BONANZA</t>
        </is>
      </c>
      <c r="B42" t="inlineStr">
        <is>
          <t>Kota Malang</t>
        </is>
      </c>
      <c r="C42" t="inlineStr">
        <is>
          <t>082112481235</t>
        </is>
      </c>
      <c r="D42" t="inlineStr">
        <is>
          <t>alifianbonanzacons@gmail.com</t>
        </is>
      </c>
      <c r="E42" t="inlineStr">
        <is>
          <t>https://lpjk.pu.go.id/search-badan-usaha-detail/cVpBZ1M3OUkwMHNHRjdoUWFFa1l6dz09</t>
        </is>
      </c>
      <c r="F42" t="n">
        <v>2</v>
      </c>
      <c r="G42" t="inlineStr">
        <is>
          <t>BS002</t>
        </is>
      </c>
      <c r="H42" t="inlineStr">
        <is>
          <t>22 Januari 2010</t>
        </is>
      </c>
      <c r="I42" s="2" t="n">
        <v>46275</v>
      </c>
      <c r="J42" t="inlineStr">
        <is>
          <t>Disetujui</t>
        </is>
      </c>
      <c r="K42" t="n">
        <v>90</v>
      </c>
      <c r="L42" t="inlineStr">
        <is>
          <t>10 September 2026</t>
        </is>
      </c>
      <c r="M42" t="inlineStr">
        <is>
          <t>Bangunan Sipil Jembatan, Jalan Layang, Fly Over, dan Underpass</t>
        </is>
      </c>
      <c r="N42" t="inlineStr">
        <is>
          <t>K</t>
        </is>
      </c>
      <c r="O42" t="inlineStr">
        <is>
          <t>20230911</t>
        </is>
      </c>
      <c r="P42" t="inlineStr">
        <is>
          <t>Jawa Timur</t>
        </is>
      </c>
      <c r="Q42" t="inlineStr"/>
    </row>
    <row r="43">
      <c r="A43" t="inlineStr">
        <is>
          <t>BRAMA JAYA RAYA</t>
        </is>
      </c>
      <c r="B43" t="inlineStr">
        <is>
          <t>Kota Banjarmasin</t>
        </is>
      </c>
      <c r="C43" t="inlineStr">
        <is>
          <t>05113259173</t>
        </is>
      </c>
      <c r="D43" t="inlineStr">
        <is>
          <t>pt.bramajr@gmail.com</t>
        </is>
      </c>
      <c r="E43" t="inlineStr">
        <is>
          <t>https://lpjk.pu.go.id/search-badan-usaha-detail/TS9iaWJ2YVgveHNYRXkvODUzcmRiZz09</t>
        </is>
      </c>
      <c r="F43" t="n">
        <v>1</v>
      </c>
      <c r="G43" t="inlineStr">
        <is>
          <t>BS005</t>
        </is>
      </c>
      <c r="H43" t="inlineStr">
        <is>
          <t>30 Maret 2023</t>
        </is>
      </c>
      <c r="I43" s="2" t="n">
        <v>46275</v>
      </c>
      <c r="J43" t="inlineStr">
        <is>
          <t>Pembekuan</t>
        </is>
      </c>
      <c r="K43" t="n">
        <v>90</v>
      </c>
      <c r="L43" t="inlineStr">
        <is>
          <t>10 September 2026</t>
        </is>
      </c>
      <c r="M43" t="inlineStr">
        <is>
          <t>Konstruksi Bangunan Sipil Pengolahan Air Bersih</t>
        </is>
      </c>
      <c r="N43" t="inlineStr">
        <is>
          <t>M</t>
        </is>
      </c>
      <c r="O43" t="inlineStr">
        <is>
          <t>20230830</t>
        </is>
      </c>
      <c r="P43" t="inlineStr">
        <is>
          <t>Kalimantan Selatan</t>
        </is>
      </c>
      <c r="Q43" t="inlineStr"/>
    </row>
    <row r="44">
      <c r="A44" t="inlineStr">
        <is>
          <t>BUDI DAYA</t>
        </is>
      </c>
      <c r="B44" t="inlineStr">
        <is>
          <t>Kab. Purworejo</t>
        </is>
      </c>
      <c r="C44" t="inlineStr">
        <is>
          <t>085292294888</t>
        </is>
      </c>
      <c r="D44" t="inlineStr">
        <is>
          <t>budidaya.cv@gmail.com</t>
        </is>
      </c>
      <c r="E44" t="inlineStr">
        <is>
          <t>https://lpjk.pu.go.id/search-badan-usaha-detail/Q0FqMlgwTnhOMk43amZ4VnJORXpNQT09</t>
        </is>
      </c>
      <c r="F44" t="n">
        <v>1</v>
      </c>
      <c r="G44" t="inlineStr">
        <is>
          <t>BG009</t>
        </is>
      </c>
      <c r="H44" t="inlineStr">
        <is>
          <t>12 September 1990</t>
        </is>
      </c>
      <c r="I44" s="2" t="n">
        <v>46275</v>
      </c>
      <c r="J44" t="inlineStr">
        <is>
          <t>Disetujui</t>
        </is>
      </c>
      <c r="K44" t="n">
        <v>90</v>
      </c>
      <c r="L44" t="inlineStr">
        <is>
          <t>10 September 2026</t>
        </is>
      </c>
      <c r="M44" t="inlineStr">
        <is>
          <t>Konstruksi Gedung Lainnya</t>
        </is>
      </c>
      <c r="N44" t="inlineStr">
        <is>
          <t>K</t>
        </is>
      </c>
      <c r="O44" t="inlineStr">
        <is>
          <t>20230907</t>
        </is>
      </c>
      <c r="P44" t="inlineStr">
        <is>
          <t>Jawa Tengah</t>
        </is>
      </c>
      <c r="Q44" t="inlineStr"/>
    </row>
    <row r="45">
      <c r="A45" t="inlineStr">
        <is>
          <t>BUMI RAYA</t>
        </is>
      </c>
      <c r="B45" t="inlineStr">
        <is>
          <t>Kab. Polewali Mandar</t>
        </is>
      </c>
      <c r="C45" t="inlineStr">
        <is>
          <t>6281356247110</t>
        </is>
      </c>
      <c r="D45" t="inlineStr">
        <is>
          <t>bambang_kusnaedhie@yahoo.co.id</t>
        </is>
      </c>
      <c r="E45" t="inlineStr">
        <is>
          <t>https://lpjk.pu.go.id/search-badan-usaha-detail/emY4T1VBalovTjlyNm5sTVg3cmRQUT09</t>
        </is>
      </c>
      <c r="F45" t="n">
        <v>1</v>
      </c>
      <c r="G45" t="inlineStr">
        <is>
          <t>BS005</t>
        </is>
      </c>
      <c r="H45" t="inlineStr">
        <is>
          <t>10 Februari 1998</t>
        </is>
      </c>
      <c r="I45" s="2" t="n">
        <v>46275</v>
      </c>
      <c r="J45" t="inlineStr">
        <is>
          <t>Pencabutan</t>
        </is>
      </c>
      <c r="K45" t="n">
        <v>90</v>
      </c>
      <c r="L45" t="inlineStr">
        <is>
          <t>10 September 2026</t>
        </is>
      </c>
      <c r="M45" t="inlineStr">
        <is>
          <t>Konstruksi Bangunan Sipil Pengolahan Air Bersih</t>
        </is>
      </c>
      <c r="N45" t="inlineStr">
        <is>
          <t>K</t>
        </is>
      </c>
      <c r="O45" t="inlineStr">
        <is>
          <t>20230910</t>
        </is>
      </c>
      <c r="P45" t="inlineStr">
        <is>
          <t>Sulawesi Barat</t>
        </is>
      </c>
      <c r="Q45" t="inlineStr"/>
    </row>
    <row r="46">
      <c r="A46" t="inlineStr">
        <is>
          <t>BUNGAH JATI</t>
        </is>
      </c>
      <c r="B46" t="inlineStr">
        <is>
          <t>Kab. Semarang</t>
        </is>
      </c>
      <c r="C46" t="inlineStr">
        <is>
          <t>08122894633</t>
        </is>
      </c>
      <c r="D46" t="inlineStr">
        <is>
          <t>bungahjatinur@gmail.com</t>
        </is>
      </c>
      <c r="E46" t="inlineStr">
        <is>
          <t>https://lpjk.pu.go.id/search-badan-usaha-detail/R09kUDROOU1jU3FHSlVxT2w5YXNDZz09</t>
        </is>
      </c>
      <c r="F46" t="n">
        <v>6</v>
      </c>
      <c r="G46" t="inlineStr">
        <is>
          <t>BG002, BG004, BG005, BG006, BS001, BS005</t>
        </is>
      </c>
      <c r="H46" t="inlineStr">
        <is>
          <t>27 Juli 1998</t>
        </is>
      </c>
      <c r="I46" s="2" t="n">
        <v>46275</v>
      </c>
      <c r="J46" t="inlineStr">
        <is>
          <t>Disetujui</t>
        </is>
      </c>
      <c r="K46" t="n">
        <v>90</v>
      </c>
      <c r="L46" t="inlineStr">
        <is>
          <t>10 September 2026</t>
        </is>
      </c>
      <c r="M46" t="inlineStr">
        <is>
          <t>Konstruksi Bangunan Sipil Jalan, Konstruksi Bangunan Sipil Pengolahan Air Bersih, Konstruksi Gedung Kesehatan, Konstruksi Gedung Pendidikan, Konstruksi Gedung Perbelanjaan, Konstruksi Gedung Perkantoran</t>
        </is>
      </c>
      <c r="N46" t="inlineStr">
        <is>
          <t>K</t>
        </is>
      </c>
      <c r="O46" t="inlineStr">
        <is>
          <t>20230904, 20230906</t>
        </is>
      </c>
      <c r="P46" t="inlineStr">
        <is>
          <t>Jawa Tengah</t>
        </is>
      </c>
      <c r="Q46" t="inlineStr"/>
    </row>
    <row r="47">
      <c r="A47" t="inlineStr">
        <is>
          <t>CAHAYA GROUP</t>
        </is>
      </c>
      <c r="B47" t="inlineStr">
        <is>
          <t>Kab. Pamekasan</t>
        </is>
      </c>
      <c r="C47" t="inlineStr">
        <is>
          <t>+6282335463490</t>
        </is>
      </c>
      <c r="D47" t="inlineStr">
        <is>
          <t>groupcvcahaya@gmail.com</t>
        </is>
      </c>
      <c r="E47" t="inlineStr">
        <is>
          <t>https://lpjk.pu.go.id/search-badan-usaha-detail/YS9hTnBuRVhycFNzUksvdXkvVS9Kdz09</t>
        </is>
      </c>
      <c r="F47" t="n">
        <v>1</v>
      </c>
      <c r="G47" t="inlineStr">
        <is>
          <t>BS001</t>
        </is>
      </c>
      <c r="H47" t="inlineStr">
        <is>
          <t>6 April 2020</t>
        </is>
      </c>
      <c r="I47" s="2" t="n">
        <v>46275</v>
      </c>
      <c r="J47" t="inlineStr">
        <is>
          <t>Disetujui</t>
        </is>
      </c>
      <c r="K47" t="n">
        <v>90</v>
      </c>
      <c r="L47" t="inlineStr">
        <is>
          <t>10 September 2026</t>
        </is>
      </c>
      <c r="M47" t="inlineStr">
        <is>
          <t>Konstruksi Bangunan Sipil Jalan</t>
        </is>
      </c>
      <c r="N47" t="inlineStr">
        <is>
          <t>K</t>
        </is>
      </c>
      <c r="O47" t="inlineStr">
        <is>
          <t>20230908</t>
        </is>
      </c>
      <c r="P47" t="inlineStr">
        <is>
          <t>Jawa Timur</t>
        </is>
      </c>
      <c r="Q47" t="inlineStr"/>
    </row>
    <row r="48">
      <c r="A48" t="inlineStr">
        <is>
          <t>CANTIKA AERO INDONESIA</t>
        </is>
      </c>
      <c r="B48" t="inlineStr">
        <is>
          <t>Kab. Belitung Timur</t>
        </is>
      </c>
      <c r="C48" t="inlineStr">
        <is>
          <t>081353010303</t>
        </is>
      </c>
      <c r="D48" t="inlineStr">
        <is>
          <t>pt_cantikaaeroindonesia@yahoo.com</t>
        </is>
      </c>
      <c r="E48" t="inlineStr">
        <is>
          <t>https://lpjk.pu.go.id/search-badan-usaha-detail/ODFOVDJ4MEo1bG51OFd0N3dVMGdWZz09</t>
        </is>
      </c>
      <c r="F48" t="n">
        <v>4</v>
      </c>
      <c r="G48" t="inlineStr">
        <is>
          <t>BG002, BG006, BG009</t>
        </is>
      </c>
      <c r="H48" t="inlineStr">
        <is>
          <t>9 Juli 2020</t>
        </is>
      </c>
      <c r="I48" s="2" t="n">
        <v>46275</v>
      </c>
      <c r="J48" t="inlineStr">
        <is>
          <t>Pencabutan</t>
        </is>
      </c>
      <c r="K48" t="n">
        <v>90</v>
      </c>
      <c r="L48" t="inlineStr">
        <is>
          <t>10 September 2026</t>
        </is>
      </c>
      <c r="M48" t="inlineStr">
        <is>
          <t>Konstruksi Gedung Lainnya, Konstruksi Gedung Pendidikan, Konstruksi Gedung Perkantoran</t>
        </is>
      </c>
      <c r="N48" t="inlineStr">
        <is>
          <t>K</t>
        </is>
      </c>
      <c r="O48" t="inlineStr">
        <is>
          <t>20230907</t>
        </is>
      </c>
      <c r="P48" t="inlineStr">
        <is>
          <t>Kepulauan Bangka Belitung</t>
        </is>
      </c>
      <c r="Q48" t="inlineStr"/>
    </row>
    <row r="49">
      <c r="A49" t="inlineStr">
        <is>
          <t>CENTRAL BINTANG ANGKASA</t>
        </is>
      </c>
      <c r="B49" t="inlineStr">
        <is>
          <t>Kab. Lampung Selatan</t>
        </is>
      </c>
      <c r="C49" t="inlineStr">
        <is>
          <t>085269024532</t>
        </is>
      </c>
      <c r="D49" t="inlineStr">
        <is>
          <t>cbangkasa@gmail.com</t>
        </is>
      </c>
      <c r="E49" t="inlineStr">
        <is>
          <t>https://lpjk.pu.go.id/search-badan-usaha-detail/aWF5U0JTenRDdUg3MGVpSC9oUmF0dz09</t>
        </is>
      </c>
      <c r="F49" t="n">
        <v>6</v>
      </c>
      <c r="G49" t="inlineStr">
        <is>
          <t>BG003, BG009, BS017</t>
        </is>
      </c>
      <c r="H49" t="inlineStr">
        <is>
          <t>26 Juni 2014</t>
        </is>
      </c>
      <c r="I49" s="2" t="n">
        <v>46275</v>
      </c>
      <c r="J49" t="inlineStr">
        <is>
          <t>Disetujui</t>
        </is>
      </c>
      <c r="K49" t="n">
        <v>90</v>
      </c>
      <c r="L49" t="inlineStr">
        <is>
          <t>10 September 2026</t>
        </is>
      </c>
      <c r="M49" t="inlineStr">
        <is>
          <t>Konstruksi Bangunan Sipil Lainnya Ytdl, Konstruksi Gedung Industri, Konstruksi Gedung Lainnya</t>
        </is>
      </c>
      <c r="N49" t="inlineStr">
        <is>
          <t>K</t>
        </is>
      </c>
      <c r="O49" t="inlineStr">
        <is>
          <t>20230909, 20230911</t>
        </is>
      </c>
      <c r="P49" t="inlineStr">
        <is>
          <t>Lampung</t>
        </is>
      </c>
      <c r="Q49" t="inlineStr"/>
    </row>
    <row r="50">
      <c r="A50" t="inlineStr">
        <is>
          <t>CIPTA KANAKA ASRI</t>
        </is>
      </c>
      <c r="B50" t="inlineStr">
        <is>
          <t>Kab. Bandung</t>
        </is>
      </c>
      <c r="C50" t="inlineStr">
        <is>
          <t>081398659226</t>
        </is>
      </c>
      <c r="D50" t="inlineStr">
        <is>
          <t>ciptakanakaasri@gmail.com</t>
        </is>
      </c>
      <c r="E50" t="inlineStr">
        <is>
          <t>https://lpjk.pu.go.id/search-badan-usaha-detail/UUUxK05TTDJ5c0Z6S25IVzVnRWNiQT09</t>
        </is>
      </c>
      <c r="F50" t="n">
        <v>2</v>
      </c>
      <c r="G50" t="inlineStr">
        <is>
          <t>BG005</t>
        </is>
      </c>
      <c r="H50" t="inlineStr">
        <is>
          <t>27 Oktober 2022</t>
        </is>
      </c>
      <c r="I50" s="2" t="n">
        <v>46275</v>
      </c>
      <c r="J50" t="inlineStr">
        <is>
          <t>Disetujui</t>
        </is>
      </c>
      <c r="K50" t="n">
        <v>90</v>
      </c>
      <c r="L50" t="inlineStr">
        <is>
          <t>10 September 2026</t>
        </is>
      </c>
      <c r="M50" t="inlineStr">
        <is>
          <t>Konstruksi Gedung Kesehatan</t>
        </is>
      </c>
      <c r="N50" t="inlineStr">
        <is>
          <t>K</t>
        </is>
      </c>
      <c r="O50" t="inlineStr">
        <is>
          <t>20230727</t>
        </is>
      </c>
      <c r="P50" t="inlineStr">
        <is>
          <t>Jawa Barat</t>
        </is>
      </c>
      <c r="Q50" t="inlineStr"/>
    </row>
    <row r="51">
      <c r="A51" t="inlineStr">
        <is>
          <t>CURUG KEMBARMAS</t>
        </is>
      </c>
      <c r="B51" t="inlineStr">
        <is>
          <t>Kota Bandung</t>
        </is>
      </c>
      <c r="C51" t="inlineStr">
        <is>
          <t>0227275887</t>
        </is>
      </c>
      <c r="D51" t="inlineStr">
        <is>
          <t>curugkembarpt@gmail.com</t>
        </is>
      </c>
      <c r="E51" t="inlineStr">
        <is>
          <t>https://lpjk.pu.go.id/search-badan-usaha-detail/R2JtNmpEZWlwVHdBMyt0V1FFZjJCUT09</t>
        </is>
      </c>
      <c r="F51" t="n">
        <v>4</v>
      </c>
      <c r="G51" t="inlineStr">
        <is>
          <t>BG001, BG006, BG009, BS002</t>
        </is>
      </c>
      <c r="H51" t="inlineStr">
        <is>
          <t>18 Januari 1993</t>
        </is>
      </c>
      <c r="I51" s="2" t="n">
        <v>46275</v>
      </c>
      <c r="J51" t="inlineStr">
        <is>
          <t>Disetujui</t>
        </is>
      </c>
      <c r="K51" t="n">
        <v>90</v>
      </c>
      <c r="L51" t="inlineStr">
        <is>
          <t>10 September 2026</t>
        </is>
      </c>
      <c r="M51" t="inlineStr">
        <is>
          <t>Bangunan Sipil Jembatan, Jalan Layang, Fly Over, dan Underpass, Konstruksi Gedung Hunian, Konstruksi Gedung Lainnya, Konstruksi Gedung Pendidikan</t>
        </is>
      </c>
      <c r="N51" t="inlineStr">
        <is>
          <t>K</t>
        </is>
      </c>
      <c r="O51" t="inlineStr">
        <is>
          <t>20230907</t>
        </is>
      </c>
      <c r="P51" t="inlineStr">
        <is>
          <t>Jawa Barat</t>
        </is>
      </c>
      <c r="Q51" t="inlineStr"/>
    </row>
    <row r="52">
      <c r="A52" t="inlineStr">
        <is>
          <t>DAMAR SEJATI MATARAM</t>
        </is>
      </c>
      <c r="B52" t="inlineStr">
        <is>
          <t>Kota Mataram</t>
        </is>
      </c>
      <c r="C52" t="inlineStr">
        <is>
          <t>N/A</t>
        </is>
      </c>
      <c r="D52" t="inlineStr">
        <is>
          <t>N/A</t>
        </is>
      </c>
      <c r="E52" t="inlineStr">
        <is>
          <t>https://lpjk.pu.go.id/search-badan-usaha-detail/L3ZaMjY5MjBScmdTWWllV0xNRGljZz09</t>
        </is>
      </c>
      <c r="F52" t="n">
        <v>3</v>
      </c>
      <c r="G52" t="inlineStr">
        <is>
          <t>BG009</t>
        </is>
      </c>
      <c r="H52" t="inlineStr"/>
      <c r="I52" s="2" t="n">
        <v>46275</v>
      </c>
      <c r="J52" t="inlineStr">
        <is>
          <t>Disetujui</t>
        </is>
      </c>
      <c r="K52" t="n">
        <v>90</v>
      </c>
      <c r="L52" t="inlineStr">
        <is>
          <t>10 September 2026</t>
        </is>
      </c>
      <c r="M52" t="inlineStr">
        <is>
          <t>Konstruksi Gedung Lainnya</t>
        </is>
      </c>
      <c r="N52" t="inlineStr">
        <is>
          <t>K</t>
        </is>
      </c>
      <c r="O52" t="inlineStr">
        <is>
          <t>20230821</t>
        </is>
      </c>
      <c r="P52" t="inlineStr">
        <is>
          <t>Nusa Tenggara Barat</t>
        </is>
      </c>
      <c r="Q52" t="inlineStr"/>
    </row>
    <row r="53">
      <c r="A53" t="inlineStr">
        <is>
          <t>DAYA CIPTA IDAMAN</t>
        </is>
      </c>
      <c r="B53" t="inlineStr">
        <is>
          <t>Kota Adm. Jakarta Utara</t>
        </is>
      </c>
      <c r="C53" t="inlineStr">
        <is>
          <t>02164715001</t>
        </is>
      </c>
      <c r="D53" t="inlineStr">
        <is>
          <t>pt_dayaciptaidaman@yahoo.co.id</t>
        </is>
      </c>
      <c r="E53" t="inlineStr">
        <is>
          <t>https://lpjk.pu.go.id/search-badan-usaha-detail/QmZIVjFBa2hEMFVhV3ZjTEprRFRTUT09</t>
        </is>
      </c>
      <c r="F53" t="n">
        <v>1</v>
      </c>
      <c r="G53" t="inlineStr">
        <is>
          <t>BG006</t>
        </is>
      </c>
      <c r="H53" t="inlineStr">
        <is>
          <t>2 Oktober 1985</t>
        </is>
      </c>
      <c r="I53" s="2" t="n">
        <v>46275</v>
      </c>
      <c r="J53" t="inlineStr">
        <is>
          <t>Disetujui</t>
        </is>
      </c>
      <c r="K53" t="n">
        <v>90</v>
      </c>
      <c r="L53" t="inlineStr">
        <is>
          <t>10 September 2026</t>
        </is>
      </c>
      <c r="M53" t="inlineStr">
        <is>
          <t>Konstruksi Gedung Pendidikan</t>
        </is>
      </c>
      <c r="N53" t="inlineStr">
        <is>
          <t>K</t>
        </is>
      </c>
      <c r="O53" t="inlineStr">
        <is>
          <t>20230904</t>
        </is>
      </c>
      <c r="P53" t="inlineStr">
        <is>
          <t>DKI Jakarta</t>
        </is>
      </c>
      <c r="Q53" t="inlineStr"/>
    </row>
    <row r="54">
      <c r="A54" t="inlineStr">
        <is>
          <t>DIAN CAHAYA</t>
        </is>
      </c>
      <c r="B54" t="inlineStr">
        <is>
          <t>Kota Tangerang</t>
        </is>
      </c>
      <c r="C54" t="inlineStr">
        <is>
          <t>085888404199</t>
        </is>
      </c>
      <c r="D54" t="inlineStr">
        <is>
          <t>cv.dianchy@gmail.com</t>
        </is>
      </c>
      <c r="E54" t="inlineStr">
        <is>
          <t>https://lpjk.pu.go.id/search-badan-usaha-detail/MmUvNGcrUUQyRmFiZDBsS0pJc01yQT09</t>
        </is>
      </c>
      <c r="F54" t="n">
        <v>2</v>
      </c>
      <c r="G54" t="inlineStr">
        <is>
          <t>BS001, BS004</t>
        </is>
      </c>
      <c r="H54" t="inlineStr">
        <is>
          <t>12 Desember 2022</t>
        </is>
      </c>
      <c r="I54" s="2" t="n">
        <v>46275</v>
      </c>
      <c r="J54" t="inlineStr">
        <is>
          <t>Disetujui</t>
        </is>
      </c>
      <c r="K54" t="n">
        <v>90</v>
      </c>
      <c r="L54" t="inlineStr">
        <is>
          <t>10 September 2026</t>
        </is>
      </c>
      <c r="M54" t="inlineStr">
        <is>
          <t>Konstruksi Bangunan Sipil Jalan, Konstruksi Jaringan Irigasi dan Drainase</t>
        </is>
      </c>
      <c r="N54" t="inlineStr">
        <is>
          <t>K</t>
        </is>
      </c>
      <c r="O54" t="inlineStr">
        <is>
          <t>20230910</t>
        </is>
      </c>
      <c r="P54" t="inlineStr">
        <is>
          <t>Banten</t>
        </is>
      </c>
      <c r="Q54" t="inlineStr"/>
    </row>
    <row r="55">
      <c r="A55" t="inlineStr">
        <is>
          <t>DUA PUTRA FAMILY</t>
        </is>
      </c>
      <c r="B55" t="inlineStr">
        <is>
          <t>Kota Tarakan</t>
        </is>
      </c>
      <c r="C55" t="inlineStr">
        <is>
          <t>081338237777</t>
        </is>
      </c>
      <c r="D55" t="inlineStr">
        <is>
          <t>agusptrke2023@yahoo.com</t>
        </is>
      </c>
      <c r="E55" t="inlineStr">
        <is>
          <t>https://lpjk.pu.go.id/search-badan-usaha-detail/a2JDQnpzMlliNUdjWTl0R0RVOGwyUT09</t>
        </is>
      </c>
      <c r="F55" t="n">
        <v>1</v>
      </c>
      <c r="G55" t="inlineStr">
        <is>
          <t>BS001</t>
        </is>
      </c>
      <c r="H55" t="inlineStr">
        <is>
          <t>20 Januari 2011</t>
        </is>
      </c>
      <c r="I55" s="2" t="n">
        <v>46275</v>
      </c>
      <c r="J55" t="inlineStr">
        <is>
          <t>Disetujui</t>
        </is>
      </c>
      <c r="K55" t="n">
        <v>90</v>
      </c>
      <c r="L55" t="inlineStr">
        <is>
          <t>10 September 2026</t>
        </is>
      </c>
      <c r="M55" t="inlineStr">
        <is>
          <t>Konstruksi Bangunan Sipil Jalan</t>
        </is>
      </c>
      <c r="N55" t="inlineStr">
        <is>
          <t>K</t>
        </is>
      </c>
      <c r="O55" t="inlineStr">
        <is>
          <t>20230904</t>
        </is>
      </c>
      <c r="P55" t="inlineStr">
        <is>
          <t>Kalimantan Utara</t>
        </is>
      </c>
      <c r="Q55" t="inlineStr"/>
    </row>
    <row r="56">
      <c r="A56" t="inlineStr">
        <is>
          <t>DUTA UTAMA MEGAH PERKASA</t>
        </is>
      </c>
      <c r="B56" t="inlineStr">
        <is>
          <t>Kota Tanjung Pinang</t>
        </is>
      </c>
      <c r="C56" t="inlineStr">
        <is>
          <t>081261912222</t>
        </is>
      </c>
      <c r="D56" t="inlineStr">
        <is>
          <t>megahperkasa888@gmail.com</t>
        </is>
      </c>
      <c r="E56" t="inlineStr">
        <is>
          <t>https://lpjk.pu.go.id/search-badan-usaha-detail/WkJ2RU14RFRrUExMUkpBYVdDaStPQT09</t>
        </is>
      </c>
      <c r="F56" t="n">
        <v>1</v>
      </c>
      <c r="G56" t="inlineStr">
        <is>
          <t>BS001</t>
        </is>
      </c>
      <c r="H56" t="inlineStr">
        <is>
          <t>20 Maret 2012</t>
        </is>
      </c>
      <c r="I56" s="2" t="n">
        <v>46275</v>
      </c>
      <c r="J56" t="inlineStr">
        <is>
          <t>Disetujui</t>
        </is>
      </c>
      <c r="K56" t="n">
        <v>90</v>
      </c>
      <c r="L56" t="inlineStr">
        <is>
          <t>10 September 2026</t>
        </is>
      </c>
      <c r="M56" t="inlineStr">
        <is>
          <t>Konstruksi Bangunan Sipil Jalan</t>
        </is>
      </c>
      <c r="N56" t="inlineStr">
        <is>
          <t>K</t>
        </is>
      </c>
      <c r="O56" t="inlineStr">
        <is>
          <t>20230911</t>
        </is>
      </c>
      <c r="P56" t="inlineStr">
        <is>
          <t>Kepulauan Riau</t>
        </is>
      </c>
      <c r="Q56" t="inlineStr"/>
    </row>
    <row r="57">
      <c r="A57" t="inlineStr">
        <is>
          <t>ELSA MUTIARA ABADI</t>
        </is>
      </c>
      <c r="B57" t="inlineStr">
        <is>
          <t>Kab. Kampar</t>
        </is>
      </c>
      <c r="C57" t="inlineStr">
        <is>
          <t>081371158369</t>
        </is>
      </c>
      <c r="D57" t="inlineStr">
        <is>
          <t>cv.elsamutiaraabadi22@gmail.com</t>
        </is>
      </c>
      <c r="E57" t="inlineStr">
        <is>
          <t>https://lpjk.pu.go.id/search-badan-usaha-detail/Mml4UTlZR0w3SmoxUjJTVDdGM1lCQT09</t>
        </is>
      </c>
      <c r="F57" t="n">
        <v>2</v>
      </c>
      <c r="G57" t="inlineStr">
        <is>
          <t>BS001, BS004</t>
        </is>
      </c>
      <c r="H57" t="inlineStr">
        <is>
          <t>20 Januari 2022</t>
        </is>
      </c>
      <c r="I57" s="2" t="n">
        <v>46275</v>
      </c>
      <c r="J57" t="inlineStr">
        <is>
          <t>Pencabutan</t>
        </is>
      </c>
      <c r="K57" t="n">
        <v>90</v>
      </c>
      <c r="L57" t="inlineStr">
        <is>
          <t>10 September 2026</t>
        </is>
      </c>
      <c r="M57" t="inlineStr">
        <is>
          <t>Konstruksi Bangunan Sipil Jalan, Konstruksi Jaringan Irigasi dan Drainase</t>
        </is>
      </c>
      <c r="N57" t="inlineStr">
        <is>
          <t>K</t>
        </is>
      </c>
      <c r="O57" t="inlineStr">
        <is>
          <t>20220411, 20230911</t>
        </is>
      </c>
      <c r="P57" t="inlineStr">
        <is>
          <t>Riau</t>
        </is>
      </c>
      <c r="Q57" t="inlineStr"/>
    </row>
    <row r="58">
      <c r="A58" t="inlineStr">
        <is>
          <t>EMPAT PUTRA JAYA</t>
        </is>
      </c>
      <c r="B58" t="inlineStr">
        <is>
          <t>Kota Surabaya</t>
        </is>
      </c>
      <c r="C58" t="inlineStr">
        <is>
          <t>0315016592</t>
        </is>
      </c>
      <c r="D58" t="inlineStr">
        <is>
          <t>empatputrajaya40@gmail.com</t>
        </is>
      </c>
      <c r="E58" t="inlineStr">
        <is>
          <t>https://lpjk.pu.go.id/search-badan-usaha-detail/VFZtVGZHNGR1NmxjRTFkbjRZem5zQT09</t>
        </is>
      </c>
      <c r="F58" t="n">
        <v>4</v>
      </c>
      <c r="G58" t="inlineStr">
        <is>
          <t>BG002, BG005, BG006, BS004</t>
        </is>
      </c>
      <c r="H58" t="inlineStr">
        <is>
          <t>3 Februari 2015</t>
        </is>
      </c>
      <c r="I58" s="2" t="n">
        <v>46275</v>
      </c>
      <c r="J58" t="inlineStr">
        <is>
          <t>Pencabutan</t>
        </is>
      </c>
      <c r="K58" t="n">
        <v>90</v>
      </c>
      <c r="L58" t="inlineStr">
        <is>
          <t>10 September 2026</t>
        </is>
      </c>
      <c r="M58" t="inlineStr">
        <is>
          <t>Konstruksi Gedung Kesehatan, Konstruksi Gedung Pendidikan, Konstruksi Gedung Perkantoran, Konstruksi Jaringan Irigasi dan Drainase</t>
        </is>
      </c>
      <c r="N58" t="inlineStr">
        <is>
          <t>K</t>
        </is>
      </c>
      <c r="O58" t="inlineStr">
        <is>
          <t>20230907, 20230910</t>
        </is>
      </c>
      <c r="P58" t="inlineStr">
        <is>
          <t>Jawa Timur</t>
        </is>
      </c>
      <c r="Q58" t="inlineStr"/>
    </row>
    <row r="59">
      <c r="A59" t="inlineStr">
        <is>
          <t>GAMATAMA SENTRA SEJAHTERA</t>
        </is>
      </c>
      <c r="B59" t="inlineStr">
        <is>
          <t>Kota Adm. Jakarta Pusat</t>
        </is>
      </c>
      <c r="C59" t="inlineStr">
        <is>
          <t>0213865457</t>
        </is>
      </c>
      <c r="D59" t="inlineStr">
        <is>
          <t>gsentrasejahtera@gmail.com</t>
        </is>
      </c>
      <c r="E59" t="inlineStr">
        <is>
          <t>https://lpjk.pu.go.id/search-badan-usaha-detail/MmViSU9CWDREZXliOXhhVWkzL2dwQT09</t>
        </is>
      </c>
      <c r="F59" t="n">
        <v>3</v>
      </c>
      <c r="G59" t="inlineStr">
        <is>
          <t>AR001, AR002, AR003</t>
        </is>
      </c>
      <c r="H59" t="inlineStr">
        <is>
          <t>22 Juli 2022</t>
        </is>
      </c>
      <c r="I59" s="2" t="n">
        <v>46275</v>
      </c>
      <c r="J59" t="inlineStr">
        <is>
          <t>Disetujui</t>
        </is>
      </c>
      <c r="K59" t="n">
        <v>90</v>
      </c>
      <c r="L59" t="inlineStr">
        <is>
          <t>10 September 2026</t>
        </is>
      </c>
      <c r="M59" t="inlineStr">
        <is>
          <t>Jasa Arsitektural Bangunan Gedung Hunian dan Non Hunian, Jasa Arsitektural Lainnya, Jasa Desain Interior pada Bangunan Gedung dan Bangunan Sipil</t>
        </is>
      </c>
      <c r="N59" t="inlineStr">
        <is>
          <t>K</t>
        </is>
      </c>
      <c r="O59" t="inlineStr">
        <is>
          <t>20230829, 20230906</t>
        </is>
      </c>
      <c r="P59" t="inlineStr">
        <is>
          <t>DKI Jakarta</t>
        </is>
      </c>
      <c r="Q59" t="inlineStr"/>
    </row>
    <row r="60">
      <c r="A60" t="inlineStr">
        <is>
          <t>GEMILANG</t>
        </is>
      </c>
      <c r="B60" t="inlineStr">
        <is>
          <t>Kab. Tulungagung</t>
        </is>
      </c>
      <c r="C60" t="inlineStr">
        <is>
          <t>082131673059</t>
        </is>
      </c>
      <c r="D60" t="inlineStr">
        <is>
          <t>gemilang_tulungagung@yahoo.com</t>
        </is>
      </c>
      <c r="E60" t="inlineStr">
        <is>
          <t>https://lpjk.pu.go.id/search-badan-usaha-detail/ZWJ6NVNMc2NjR09aT0RiUWorR2xxdz09</t>
        </is>
      </c>
      <c r="F60" t="n">
        <v>1</v>
      </c>
      <c r="G60" t="inlineStr">
        <is>
          <t>BS004</t>
        </is>
      </c>
      <c r="H60" t="inlineStr">
        <is>
          <t>8 Desember 1999</t>
        </is>
      </c>
      <c r="I60" s="2" t="n">
        <v>46275</v>
      </c>
      <c r="J60" t="inlineStr">
        <is>
          <t>Disetujui</t>
        </is>
      </c>
      <c r="K60" t="n">
        <v>90</v>
      </c>
      <c r="L60" t="inlineStr">
        <is>
          <t>10 September 2026</t>
        </is>
      </c>
      <c r="M60" t="inlineStr">
        <is>
          <t>Konstruksi Jaringan Irigasi dan Drainase</t>
        </is>
      </c>
      <c r="N60" t="inlineStr">
        <is>
          <t>K</t>
        </is>
      </c>
      <c r="O60" t="inlineStr">
        <is>
          <t>20230908</t>
        </is>
      </c>
      <c r="P60" t="inlineStr">
        <is>
          <t>Jawa Timur</t>
        </is>
      </c>
      <c r="Q60" t="inlineStr"/>
    </row>
    <row r="61">
      <c r="A61" t="inlineStr">
        <is>
          <t>GEODATA REKAGUNA</t>
        </is>
      </c>
      <c r="B61" t="inlineStr">
        <is>
          <t>Kota Tangerang Selatan</t>
        </is>
      </c>
      <c r="C61" t="inlineStr">
        <is>
          <t>081315846610</t>
        </is>
      </c>
      <c r="D61" t="inlineStr">
        <is>
          <t>info@geodata-rekaguna.com</t>
        </is>
      </c>
      <c r="E61" t="inlineStr">
        <is>
          <t>https://lpjk.pu.go.id/search-badan-usaha-detail/YTZGNlBzK00xKzczUlJqcGlIK0dkZz09</t>
        </is>
      </c>
      <c r="F61" t="n">
        <v>1</v>
      </c>
      <c r="G61" t="inlineStr">
        <is>
          <t>IT002</t>
        </is>
      </c>
      <c r="H61" t="inlineStr">
        <is>
          <t>25 Agustus 2020</t>
        </is>
      </c>
      <c r="I61" s="2" t="n">
        <v>46275</v>
      </c>
      <c r="J61" t="inlineStr">
        <is>
          <t>Disetujui</t>
        </is>
      </c>
      <c r="K61" t="n">
        <v>90</v>
      </c>
      <c r="L61" t="inlineStr">
        <is>
          <t>10 September 2026</t>
        </is>
      </c>
      <c r="M61" t="inlineStr">
        <is>
          <t>Jasa Konsultansi Ilmiah dan Teknis Bawah Tanah</t>
        </is>
      </c>
      <c r="N61" t="inlineStr">
        <is>
          <t>Spesialis</t>
        </is>
      </c>
      <c r="O61" t="inlineStr">
        <is>
          <t>20230813</t>
        </is>
      </c>
      <c r="P61" t="inlineStr">
        <is>
          <t>Banten</t>
        </is>
      </c>
      <c r="Q61" t="inlineStr"/>
    </row>
    <row r="62">
      <c r="A62" t="inlineStr">
        <is>
          <t>GOLDEN WAYS</t>
        </is>
      </c>
      <c r="B62" t="inlineStr">
        <is>
          <t>Kota Pasuruan</t>
        </is>
      </c>
      <c r="C62" t="inlineStr">
        <is>
          <t>085100733121</t>
        </is>
      </c>
      <c r="D62" t="inlineStr">
        <is>
          <t>gerbangbangsa@gmail.com</t>
        </is>
      </c>
      <c r="E62" t="inlineStr">
        <is>
          <t>https://lpjk.pu.go.id/search-badan-usaha-detail/eHJzN1I5bVlLMjdvWVBaSWYyUlF4QT09</t>
        </is>
      </c>
      <c r="F62" t="n">
        <v>2</v>
      </c>
      <c r="G62" t="inlineStr">
        <is>
          <t>BS001</t>
        </is>
      </c>
      <c r="H62" t="inlineStr">
        <is>
          <t>16 Juli 2011</t>
        </is>
      </c>
      <c r="I62" s="2" t="n">
        <v>46275</v>
      </c>
      <c r="J62" t="inlineStr">
        <is>
          <t>Disetujui</t>
        </is>
      </c>
      <c r="K62" t="n">
        <v>90</v>
      </c>
      <c r="L62" t="inlineStr">
        <is>
          <t>10 September 2026</t>
        </is>
      </c>
      <c r="M62" t="inlineStr">
        <is>
          <t>Konstruksi Bangunan Sipil Jalan</t>
        </is>
      </c>
      <c r="N62" t="inlineStr">
        <is>
          <t>K</t>
        </is>
      </c>
      <c r="O62" t="inlineStr">
        <is>
          <t>20230707</t>
        </is>
      </c>
      <c r="P62" t="inlineStr">
        <is>
          <t>Jawa Timur</t>
        </is>
      </c>
      <c r="Q62" t="inlineStr"/>
    </row>
    <row r="63">
      <c r="A63" t="inlineStr">
        <is>
          <t>HANDARU LIMA DELAPAN</t>
        </is>
      </c>
      <c r="B63" t="inlineStr">
        <is>
          <t>Kab. Tanah Bumbu</t>
        </is>
      </c>
      <c r="C63" t="inlineStr">
        <is>
          <t>085332457318</t>
        </is>
      </c>
      <c r="D63" t="inlineStr">
        <is>
          <t>cv.handarulimadelapan@gmail.com</t>
        </is>
      </c>
      <c r="E63" t="inlineStr">
        <is>
          <t>https://lpjk.pu.go.id/search-badan-usaha-detail/VG5ZVTdSNURLZ0hpT3h4YW43cDNLQT09</t>
        </is>
      </c>
      <c r="F63" t="n">
        <v>3</v>
      </c>
      <c r="G63" t="inlineStr">
        <is>
          <t>BG009, BS001, BS004</t>
        </is>
      </c>
      <c r="H63" t="inlineStr">
        <is>
          <t>31 Agustus 2022</t>
        </is>
      </c>
      <c r="I63" s="2" t="n">
        <v>46275</v>
      </c>
      <c r="J63" t="inlineStr">
        <is>
          <t>Disetujui</t>
        </is>
      </c>
      <c r="K63" t="n">
        <v>90</v>
      </c>
      <c r="L63" t="inlineStr">
        <is>
          <t>10 September 2026</t>
        </is>
      </c>
      <c r="M63" t="inlineStr">
        <is>
          <t>Konstruksi Bangunan Sipil Jalan, Konstruksi Gedung Lainnya, Konstruksi Jaringan Irigasi dan Drainase</t>
        </is>
      </c>
      <c r="N63" t="inlineStr">
        <is>
          <t>K</t>
        </is>
      </c>
      <c r="O63" t="inlineStr">
        <is>
          <t>20230907</t>
        </is>
      </c>
      <c r="P63" t="inlineStr">
        <is>
          <t>Kalimantan Selatan</t>
        </is>
      </c>
      <c r="Q63" t="inlineStr"/>
    </row>
    <row r="64">
      <c r="A64" t="inlineStr">
        <is>
          <t>HARSA GAUTAMA</t>
        </is>
      </c>
      <c r="B64" t="inlineStr">
        <is>
          <t>Kab. Tangerang</t>
        </is>
      </c>
      <c r="C64" t="inlineStr">
        <is>
          <t>081282734694</t>
        </is>
      </c>
      <c r="D64" t="inlineStr">
        <is>
          <t>cvharsagautama@gmail.com</t>
        </is>
      </c>
      <c r="E64" t="inlineStr">
        <is>
          <t>https://lpjk.pu.go.id/search-badan-usaha-detail/MlVMZ3dsLzZpdG92M2FreHo0cTh5UT09</t>
        </is>
      </c>
      <c r="F64" t="n">
        <v>2</v>
      </c>
      <c r="G64" t="inlineStr">
        <is>
          <t>BG001, BG003</t>
        </is>
      </c>
      <c r="H64" t="inlineStr">
        <is>
          <t>10 September 2022</t>
        </is>
      </c>
      <c r="I64" s="2" t="n">
        <v>46275</v>
      </c>
      <c r="J64" t="inlineStr">
        <is>
          <t>Disetujui</t>
        </is>
      </c>
      <c r="K64" t="n">
        <v>90</v>
      </c>
      <c r="L64" t="inlineStr">
        <is>
          <t>10 September 2026</t>
        </is>
      </c>
      <c r="M64" t="inlineStr">
        <is>
          <t>Konstruksi Gedung Hunian, Konstruksi Gedung Industri</t>
        </is>
      </c>
      <c r="N64" t="inlineStr">
        <is>
          <t>K</t>
        </is>
      </c>
      <c r="O64" t="inlineStr">
        <is>
          <t>20230831</t>
        </is>
      </c>
      <c r="P64" t="inlineStr">
        <is>
          <t>Banten</t>
        </is>
      </c>
      <c r="Q64" t="inlineStr"/>
    </row>
    <row r="65">
      <c r="A65" t="inlineStr">
        <is>
          <t>HERU PODOMORO</t>
        </is>
      </c>
      <c r="B65" t="inlineStr">
        <is>
          <t>Kab. Deli Serdang</t>
        </is>
      </c>
      <c r="C65" t="inlineStr">
        <is>
          <t>085372851650</t>
        </is>
      </c>
      <c r="D65" t="inlineStr">
        <is>
          <t>herupodomoro@yahoo.com</t>
        </is>
      </c>
      <c r="E65" t="inlineStr">
        <is>
          <t>https://lpjk.pu.go.id/search-badan-usaha-detail/UEJJSEJ3NXZDQkFoTk9QR3o4QXFqdz09</t>
        </is>
      </c>
      <c r="F65" t="n">
        <v>1</v>
      </c>
      <c r="G65" t="inlineStr">
        <is>
          <t>BS004</t>
        </is>
      </c>
      <c r="H65" t="inlineStr">
        <is>
          <t>1 Februari 2007</t>
        </is>
      </c>
      <c r="I65" s="2" t="n">
        <v>46275</v>
      </c>
      <c r="J65" t="inlineStr">
        <is>
          <t>Pencabutan</t>
        </is>
      </c>
      <c r="K65" t="n">
        <v>90</v>
      </c>
      <c r="L65" t="inlineStr">
        <is>
          <t>10 September 2026</t>
        </is>
      </c>
      <c r="M65" t="inlineStr">
        <is>
          <t>Konstruksi Jaringan Irigasi dan Drainase</t>
        </is>
      </c>
      <c r="N65" t="inlineStr">
        <is>
          <t>K</t>
        </is>
      </c>
      <c r="O65" t="inlineStr">
        <is>
          <t>20230908</t>
        </is>
      </c>
      <c r="P65" t="inlineStr">
        <is>
          <t>Sumatera Utara</t>
        </is>
      </c>
      <c r="Q65" t="inlineStr"/>
    </row>
    <row r="66">
      <c r="A66" t="inlineStr">
        <is>
          <t>ILHAM JAYA ABADI</t>
        </is>
      </c>
      <c r="B66" t="inlineStr">
        <is>
          <t>Kota Makassar</t>
        </is>
      </c>
      <c r="C66" t="inlineStr">
        <is>
          <t>081241013203</t>
        </is>
      </c>
      <c r="D66" t="inlineStr">
        <is>
          <t>ilham_muhammad0358@yahoo.com</t>
        </is>
      </c>
      <c r="E66" t="inlineStr">
        <is>
          <t>https://lpjk.pu.go.id/search-badan-usaha-detail/S08rWm90a21oVEFYOFBMaDlQQm44dz09</t>
        </is>
      </c>
      <c r="F66" t="n">
        <v>1</v>
      </c>
      <c r="G66" t="inlineStr">
        <is>
          <t>BG001</t>
        </is>
      </c>
      <c r="H66" t="inlineStr">
        <is>
          <t>16 Oktober 2014</t>
        </is>
      </c>
      <c r="I66" s="2" t="n">
        <v>46275</v>
      </c>
      <c r="J66" t="inlineStr">
        <is>
          <t>Disetujui</t>
        </is>
      </c>
      <c r="K66" t="n">
        <v>90</v>
      </c>
      <c r="L66" t="inlineStr">
        <is>
          <t>10 September 2026</t>
        </is>
      </c>
      <c r="M66" t="inlineStr">
        <is>
          <t>Konstruksi Gedung Hunian</t>
        </is>
      </c>
      <c r="N66" t="inlineStr">
        <is>
          <t>K</t>
        </is>
      </c>
      <c r="O66" t="inlineStr">
        <is>
          <t>20230816</t>
        </is>
      </c>
      <c r="P66" t="inlineStr">
        <is>
          <t>Sulawesi Selatan</t>
        </is>
      </c>
      <c r="Q66" t="inlineStr"/>
    </row>
    <row r="67">
      <c r="A67" t="inlineStr">
        <is>
          <t>INDO MEIDA</t>
        </is>
      </c>
      <c r="B67" t="inlineStr">
        <is>
          <t>Kab. Sukabumi</t>
        </is>
      </c>
      <c r="C67" t="inlineStr">
        <is>
          <t>081280445567</t>
        </is>
      </c>
      <c r="D67" t="inlineStr">
        <is>
          <t>cvindomeida@gmail.com</t>
        </is>
      </c>
      <c r="E67" t="inlineStr">
        <is>
          <t>https://lpjk.pu.go.id/search-badan-usaha-detail/TEgrZFdOdlZwdlFhbXAwanJ2ZWtqdz09</t>
        </is>
      </c>
      <c r="F67" t="n">
        <v>1</v>
      </c>
      <c r="G67" t="inlineStr">
        <is>
          <t>BS005</t>
        </is>
      </c>
      <c r="H67" t="inlineStr">
        <is>
          <t>16 April 2014</t>
        </is>
      </c>
      <c r="I67" s="2" t="n">
        <v>46275</v>
      </c>
      <c r="J67" t="inlineStr">
        <is>
          <t>Disetujui</t>
        </is>
      </c>
      <c r="K67" t="n">
        <v>90</v>
      </c>
      <c r="L67" t="inlineStr">
        <is>
          <t>10 September 2026</t>
        </is>
      </c>
      <c r="M67" t="inlineStr">
        <is>
          <t>Konstruksi Bangunan Sipil Pengolahan Air Bersih</t>
        </is>
      </c>
      <c r="N67" t="inlineStr">
        <is>
          <t>K</t>
        </is>
      </c>
      <c r="O67" t="inlineStr">
        <is>
          <t>20230911</t>
        </is>
      </c>
      <c r="P67" t="inlineStr">
        <is>
          <t>Jawa Barat</t>
        </is>
      </c>
      <c r="Q67" t="inlineStr"/>
    </row>
    <row r="68">
      <c r="A68" t="inlineStr">
        <is>
          <t>INDOMITRA KARYA SEJATI</t>
        </is>
      </c>
      <c r="B68" t="inlineStr">
        <is>
          <t>Kota Tangerang</t>
        </is>
      </c>
      <c r="C68" t="inlineStr">
        <is>
          <t>081382810611</t>
        </is>
      </c>
      <c r="D68" t="inlineStr">
        <is>
          <t>indomitrakaryasejati@gmail.com</t>
        </is>
      </c>
      <c r="E68" t="inlineStr">
        <is>
          <t>https://lpjk.pu.go.id/search-badan-usaha-detail/S2FLMVI3Uk04N1RTMUR4eElDQzBEUT09</t>
        </is>
      </c>
      <c r="F68" t="n">
        <v>1</v>
      </c>
      <c r="G68" t="inlineStr">
        <is>
          <t>BG001</t>
        </is>
      </c>
      <c r="H68" t="inlineStr">
        <is>
          <t>19 September 2000</t>
        </is>
      </c>
      <c r="I68" s="2" t="n">
        <v>46275</v>
      </c>
      <c r="J68" t="inlineStr">
        <is>
          <t>Disetujui</t>
        </is>
      </c>
      <c r="K68" t="n">
        <v>90</v>
      </c>
      <c r="L68" t="inlineStr">
        <is>
          <t>10 September 2026</t>
        </is>
      </c>
      <c r="M68" t="inlineStr">
        <is>
          <t>Konstruksi Gedung Hunian</t>
        </is>
      </c>
      <c r="N68" t="inlineStr">
        <is>
          <t>K</t>
        </is>
      </c>
      <c r="O68" t="inlineStr">
        <is>
          <t>20230907</t>
        </is>
      </c>
      <c r="P68" t="inlineStr">
        <is>
          <t>Banten</t>
        </is>
      </c>
      <c r="Q68" t="inlineStr"/>
    </row>
    <row r="69">
      <c r="A69" t="inlineStr">
        <is>
          <t>JATISUNGKAI ESTETIKA</t>
        </is>
      </c>
      <c r="B69" t="inlineStr">
        <is>
          <t>Kota Adm. Jakarta Selatan</t>
        </is>
      </c>
      <c r="C69" t="inlineStr">
        <is>
          <t>0217269066</t>
        </is>
      </c>
      <c r="D69" t="inlineStr">
        <is>
          <t>jatisungkaiestetika@gmail.com</t>
        </is>
      </c>
      <c r="E69" t="inlineStr">
        <is>
          <t>https://lpjk.pu.go.id/search-badan-usaha-detail/b0wrdWU1K2FSYmdoZUFYU3ErRllUZz09</t>
        </is>
      </c>
      <c r="F69" t="n">
        <v>1</v>
      </c>
      <c r="G69" t="inlineStr">
        <is>
          <t>BG002</t>
        </is>
      </c>
      <c r="H69" t="inlineStr">
        <is>
          <t>29 Oktober 1990</t>
        </is>
      </c>
      <c r="I69" s="2" t="n">
        <v>46275</v>
      </c>
      <c r="J69" t="inlineStr">
        <is>
          <t>Pembekuan</t>
        </is>
      </c>
      <c r="K69" t="n">
        <v>90</v>
      </c>
      <c r="L69" t="inlineStr">
        <is>
          <t>10 September 2026</t>
        </is>
      </c>
      <c r="M69" t="inlineStr">
        <is>
          <t>Konstruksi Gedung Perkantoran</t>
        </is>
      </c>
      <c r="N69" t="inlineStr">
        <is>
          <t>M</t>
        </is>
      </c>
      <c r="O69" t="inlineStr">
        <is>
          <t>20230816</t>
        </is>
      </c>
      <c r="P69" t="inlineStr">
        <is>
          <t>DKI Jakarta</t>
        </is>
      </c>
      <c r="Q69" t="inlineStr"/>
    </row>
    <row r="70">
      <c r="A70" t="inlineStr">
        <is>
          <t>JAYA BUMI PERKASA</t>
        </is>
      </c>
      <c r="B70" t="inlineStr">
        <is>
          <t>Kota Padang</t>
        </is>
      </c>
      <c r="C70" t="inlineStr">
        <is>
          <t>-</t>
        </is>
      </c>
      <c r="D70" t="inlineStr">
        <is>
          <t>jayabumiperkasa@gmail.com</t>
        </is>
      </c>
      <c r="E70" t="inlineStr">
        <is>
          <t>https://lpjk.pu.go.id/search-badan-usaha-detail/aU1pVUhwUE42dDh0YngvQ3pRTlV2UT09</t>
        </is>
      </c>
      <c r="F70" t="n">
        <v>3</v>
      </c>
      <c r="G70" t="inlineStr">
        <is>
          <t>BG001, BG002, BG003</t>
        </is>
      </c>
      <c r="H70" t="inlineStr">
        <is>
          <t>6 Juli 2020</t>
        </is>
      </c>
      <c r="I70" s="2" t="n">
        <v>46275</v>
      </c>
      <c r="J70" t="inlineStr">
        <is>
          <t>Disetujui</t>
        </is>
      </c>
      <c r="K70" t="n">
        <v>90</v>
      </c>
      <c r="L70" t="inlineStr">
        <is>
          <t>10 September 2026</t>
        </is>
      </c>
      <c r="M70" t="inlineStr">
        <is>
          <t>Konstruksi Gedung Hunian, Konstruksi Gedung Industri, Konstruksi Gedung Perkantoran</t>
        </is>
      </c>
      <c r="N70" t="inlineStr">
        <is>
          <t>K</t>
        </is>
      </c>
      <c r="O70" t="inlineStr">
        <is>
          <t>20230906</t>
        </is>
      </c>
      <c r="P70" t="inlineStr">
        <is>
          <t>Sumatera Barat</t>
        </is>
      </c>
      <c r="Q70" t="inlineStr"/>
    </row>
    <row r="71">
      <c r="A71" t="inlineStr">
        <is>
          <t>KAMILA KARYA</t>
        </is>
      </c>
      <c r="B71" t="inlineStr">
        <is>
          <t>Kota Pekanbaru</t>
        </is>
      </c>
      <c r="C71" t="inlineStr">
        <is>
          <t>085265935558</t>
        </is>
      </c>
      <c r="D71" t="inlineStr">
        <is>
          <t>kamilakarya.kk@gmail.com</t>
        </is>
      </c>
      <c r="E71" t="inlineStr">
        <is>
          <t>https://lpjk.pu.go.id/search-badan-usaha-detail/d0RRWHJFS2tkMlR1ekpRUWtoVlM1QT09</t>
        </is>
      </c>
      <c r="F71" t="n">
        <v>1</v>
      </c>
      <c r="G71" t="inlineStr">
        <is>
          <t>BG002</t>
        </is>
      </c>
      <c r="H71" t="inlineStr">
        <is>
          <t>8 Juni 2023</t>
        </is>
      </c>
      <c r="I71" s="2" t="n">
        <v>46275</v>
      </c>
      <c r="J71" t="inlineStr">
        <is>
          <t>Disetujui</t>
        </is>
      </c>
      <c r="K71" t="n">
        <v>90</v>
      </c>
      <c r="L71" t="inlineStr">
        <is>
          <t>10 September 2026</t>
        </is>
      </c>
      <c r="M71" t="inlineStr">
        <is>
          <t>Konstruksi Gedung Perkantoran</t>
        </is>
      </c>
      <c r="N71" t="inlineStr">
        <is>
          <t>K</t>
        </is>
      </c>
      <c r="O71" t="inlineStr">
        <is>
          <t>20230910</t>
        </is>
      </c>
      <c r="P71" t="inlineStr">
        <is>
          <t>Riau</t>
        </is>
      </c>
      <c r="Q71" t="inlineStr"/>
    </row>
    <row r="72">
      <c r="A72" t="inlineStr">
        <is>
          <t>KARYA ARTHA DUTA</t>
        </is>
      </c>
      <c r="B72" t="inlineStr">
        <is>
          <t>Kab. Ogan Komering Ulu</t>
        </is>
      </c>
      <c r="C72" t="inlineStr">
        <is>
          <t>081368717775</t>
        </is>
      </c>
      <c r="D72" t="inlineStr">
        <is>
          <t>cvkaryaarthaduta@gmail.com</t>
        </is>
      </c>
      <c r="E72" t="inlineStr">
        <is>
          <t>https://lpjk.pu.go.id/search-badan-usaha-detail/WlRZZGRWVVhyK3R1elNzcXF4Rzh6UT09</t>
        </is>
      </c>
      <c r="F72" t="n">
        <v>1</v>
      </c>
      <c r="G72" t="inlineStr">
        <is>
          <t>BS001</t>
        </is>
      </c>
      <c r="H72" t="inlineStr">
        <is>
          <t>6 Februari 2023</t>
        </is>
      </c>
      <c r="I72" s="2" t="n">
        <v>46275</v>
      </c>
      <c r="J72" t="inlineStr">
        <is>
          <t>Disetujui</t>
        </is>
      </c>
      <c r="K72" t="n">
        <v>90</v>
      </c>
      <c r="L72" t="inlineStr">
        <is>
          <t>10 September 2026</t>
        </is>
      </c>
      <c r="M72" t="inlineStr">
        <is>
          <t>Konstruksi Bangunan Sipil Jalan</t>
        </is>
      </c>
      <c r="N72" t="inlineStr">
        <is>
          <t>K</t>
        </is>
      </c>
      <c r="O72" t="inlineStr">
        <is>
          <t>20230908</t>
        </is>
      </c>
      <c r="P72" t="inlineStr">
        <is>
          <t>Sumatera Selatan</t>
        </is>
      </c>
      <c r="Q72" t="inlineStr"/>
    </row>
    <row r="73">
      <c r="A73" t="inlineStr">
        <is>
          <t>KARYA DUA SEKAWAN</t>
        </is>
      </c>
      <c r="B73" t="inlineStr">
        <is>
          <t>Kota Adm. Jakarta Barat</t>
        </is>
      </c>
      <c r="C73" t="inlineStr">
        <is>
          <t>02129778000</t>
        </is>
      </c>
      <c r="D73" t="inlineStr">
        <is>
          <t>karyaduasekawan01@gmail.com</t>
        </is>
      </c>
      <c r="E73" t="inlineStr">
        <is>
          <t>https://lpjk.pu.go.id/search-badan-usaha-detail/dk9FMFl6c0NwV0ZaOTJZS1dMN05Udz09</t>
        </is>
      </c>
      <c r="F73" t="n">
        <v>4</v>
      </c>
      <c r="G73" t="inlineStr">
        <is>
          <t>BG001, BG006, BG009</t>
        </is>
      </c>
      <c r="H73" t="inlineStr">
        <is>
          <t>11 Januari 2002</t>
        </is>
      </c>
      <c r="I73" s="2" t="n">
        <v>46275</v>
      </c>
      <c r="J73" t="inlineStr">
        <is>
          <t>Disetujui, Pencabutan</t>
        </is>
      </c>
      <c r="K73" t="n">
        <v>90</v>
      </c>
      <c r="L73" t="inlineStr">
        <is>
          <t>10 September 2026</t>
        </is>
      </c>
      <c r="M73" t="inlineStr">
        <is>
          <t>Konstruksi Gedung Hunian, Konstruksi Gedung Lainnya, Konstruksi Gedung Pendidikan</t>
        </is>
      </c>
      <c r="N73" t="inlineStr">
        <is>
          <t>K</t>
        </is>
      </c>
      <c r="O73" t="inlineStr">
        <is>
          <t>20230907</t>
        </is>
      </c>
      <c r="P73" t="inlineStr">
        <is>
          <t>DKI Jakarta</t>
        </is>
      </c>
      <c r="Q73" t="inlineStr"/>
    </row>
    <row r="74">
      <c r="A74" t="inlineStr">
        <is>
          <t>KARYA KASIH BERSAMA</t>
        </is>
      </c>
      <c r="B74" t="inlineStr">
        <is>
          <t>Kota Medan</t>
        </is>
      </c>
      <c r="C74" t="inlineStr">
        <is>
          <t>082374114009</t>
        </is>
      </c>
      <c r="D74" t="inlineStr">
        <is>
          <t>cvkaryakasihbersama@gmail.com</t>
        </is>
      </c>
      <c r="E74" t="inlineStr">
        <is>
          <t>https://lpjk.pu.go.id/search-badan-usaha-detail/VlhQM3hQcXRIaTc2ajRxK1Q0bG9FUT09</t>
        </is>
      </c>
      <c r="F74" t="n">
        <v>2</v>
      </c>
      <c r="G74" t="inlineStr">
        <is>
          <t>BG002, BG006</t>
        </is>
      </c>
      <c r="H74" t="inlineStr">
        <is>
          <t>20 Januari 2023</t>
        </is>
      </c>
      <c r="I74" s="2" t="n">
        <v>46275</v>
      </c>
      <c r="J74" t="inlineStr">
        <is>
          <t>Disetujui</t>
        </is>
      </c>
      <c r="K74" t="n">
        <v>90</v>
      </c>
      <c r="L74" t="inlineStr">
        <is>
          <t>10 September 2026</t>
        </is>
      </c>
      <c r="M74" t="inlineStr">
        <is>
          <t>Konstruksi Gedung Pendidikan, Konstruksi Gedung Perkantoran</t>
        </is>
      </c>
      <c r="N74" t="inlineStr">
        <is>
          <t>K</t>
        </is>
      </c>
      <c r="O74" t="inlineStr">
        <is>
          <t>20230911</t>
        </is>
      </c>
      <c r="P74" t="inlineStr">
        <is>
          <t>Sumatera Utara</t>
        </is>
      </c>
      <c r="Q74" t="inlineStr"/>
    </row>
    <row r="75">
      <c r="A75" t="inlineStr">
        <is>
          <t>KARYA KITA</t>
        </is>
      </c>
      <c r="B75" t="inlineStr">
        <is>
          <t>Kota Banda Aceh</t>
        </is>
      </c>
      <c r="C75" t="inlineStr">
        <is>
          <t>082288216008</t>
        </is>
      </c>
      <c r="D75" t="inlineStr">
        <is>
          <t>karyakitasbu@gmail.com</t>
        </is>
      </c>
      <c r="E75" t="inlineStr">
        <is>
          <t>https://lpjk.pu.go.id/search-badan-usaha-detail/aG0wMjEvZjR2Q3p6NWozUjVtRjV0Zz09</t>
        </is>
      </c>
      <c r="F75" t="n">
        <v>1</v>
      </c>
      <c r="G75" t="inlineStr">
        <is>
          <t>BS004</t>
        </is>
      </c>
      <c r="H75" t="inlineStr">
        <is>
          <t>1 Maret 2022</t>
        </is>
      </c>
      <c r="I75" s="2" t="n">
        <v>46275</v>
      </c>
      <c r="J75" t="inlineStr">
        <is>
          <t>Disetujui</t>
        </is>
      </c>
      <c r="K75" t="n">
        <v>90</v>
      </c>
      <c r="L75" t="inlineStr">
        <is>
          <t>10 September 2026</t>
        </is>
      </c>
      <c r="M75" t="inlineStr">
        <is>
          <t>Konstruksi Jaringan Irigasi dan Drainase</t>
        </is>
      </c>
      <c r="N75" t="inlineStr">
        <is>
          <t>K</t>
        </is>
      </c>
      <c r="O75" t="inlineStr">
        <is>
          <t>20230907</t>
        </is>
      </c>
      <c r="P75" t="inlineStr">
        <is>
          <t>Aceh</t>
        </is>
      </c>
      <c r="Q75" t="inlineStr"/>
    </row>
    <row r="76">
      <c r="A76" t="inlineStr">
        <is>
          <t>KARYA TITRI KONSTRUKSI</t>
        </is>
      </c>
      <c r="B76" t="inlineStr">
        <is>
          <t>Kota Padang</t>
        </is>
      </c>
      <c r="C76" t="inlineStr">
        <is>
          <t>081374357575</t>
        </is>
      </c>
      <c r="D76" t="inlineStr">
        <is>
          <t>cvkaryatitrikonstruksi@gmail.com</t>
        </is>
      </c>
      <c r="E76" t="inlineStr">
        <is>
          <t>https://lpjk.pu.go.id/search-badan-usaha-detail/ODV0TFlRS2V1aEhrNFVGaks2YkJxUT09</t>
        </is>
      </c>
      <c r="F76" t="n">
        <v>1</v>
      </c>
      <c r="G76" t="inlineStr">
        <is>
          <t>BG002</t>
        </is>
      </c>
      <c r="H76" t="inlineStr">
        <is>
          <t>18 Juli 2023</t>
        </is>
      </c>
      <c r="I76" s="2" t="n">
        <v>46275</v>
      </c>
      <c r="J76" t="inlineStr">
        <is>
          <t>Disetujui</t>
        </is>
      </c>
      <c r="K76" t="n">
        <v>90</v>
      </c>
      <c r="L76" t="inlineStr">
        <is>
          <t>10 September 2026</t>
        </is>
      </c>
      <c r="M76" t="inlineStr">
        <is>
          <t>Konstruksi Gedung Perkantoran</t>
        </is>
      </c>
      <c r="N76" t="inlineStr">
        <is>
          <t>K</t>
        </is>
      </c>
      <c r="O76" t="inlineStr">
        <is>
          <t>20230906</t>
        </is>
      </c>
      <c r="P76" t="inlineStr">
        <is>
          <t>Sumatera Barat</t>
        </is>
      </c>
      <c r="Q76" t="inlineStr"/>
    </row>
    <row r="77">
      <c r="A77" t="inlineStr">
        <is>
          <t>KARYAINDO CIPTANUSA</t>
        </is>
      </c>
      <c r="B77" t="inlineStr">
        <is>
          <t>Kota Adm. Jakarta Barat</t>
        </is>
      </c>
      <c r="C77" t="inlineStr">
        <is>
          <t>0215801105</t>
        </is>
      </c>
      <c r="D77" t="inlineStr">
        <is>
          <t>karyaindociptanusa@protonmail.com</t>
        </is>
      </c>
      <c r="E77" t="inlineStr">
        <is>
          <t>https://lpjk.pu.go.id/search-badan-usaha-detail/akM2ajBjRVUwQ3NTWU5oU0pUUnBJUT09</t>
        </is>
      </c>
      <c r="F77" t="n">
        <v>2</v>
      </c>
      <c r="G77" t="inlineStr">
        <is>
          <t>BS016, BS017</t>
        </is>
      </c>
      <c r="H77" t="inlineStr">
        <is>
          <t>1 September 2023</t>
        </is>
      </c>
      <c r="I77" s="2" t="n">
        <v>46275</v>
      </c>
      <c r="J77" t="inlineStr">
        <is>
          <t>Disetujui, Pencabutan</t>
        </is>
      </c>
      <c r="K77" t="n">
        <v>90</v>
      </c>
      <c r="L77" t="inlineStr">
        <is>
          <t>10 September 2026</t>
        </is>
      </c>
      <c r="M77" t="inlineStr">
        <is>
          <t>Konstruksi Bangunan Sipil Fasilitas Olah Raga, Konstruksi Bangunan Sipil Lainnya Ytdl</t>
        </is>
      </c>
      <c r="N77" t="inlineStr">
        <is>
          <t>K</t>
        </is>
      </c>
      <c r="O77" t="inlineStr">
        <is>
          <t>20230909</t>
        </is>
      </c>
      <c r="P77" t="inlineStr">
        <is>
          <t>DKI Jakarta</t>
        </is>
      </c>
      <c r="Q77" t="inlineStr"/>
    </row>
    <row r="78">
      <c r="A78" t="inlineStr">
        <is>
          <t>KEMBAR JAYA ABADI</t>
        </is>
      </c>
      <c r="B78" t="inlineStr">
        <is>
          <t>Kab. Boyolali</t>
        </is>
      </c>
      <c r="C78" t="inlineStr">
        <is>
          <t>0276324616</t>
        </is>
      </c>
      <c r="D78" t="inlineStr">
        <is>
          <t>mas3jokoo@gmail.com</t>
        </is>
      </c>
      <c r="E78" t="inlineStr">
        <is>
          <t>https://lpjk.pu.go.id/search-badan-usaha-detail/QmUvcGx5NzZGSDJJSmRWdmJrbThCZz09</t>
        </is>
      </c>
      <c r="F78" t="n">
        <v>1</v>
      </c>
      <c r="G78" t="inlineStr">
        <is>
          <t>BS002</t>
        </is>
      </c>
      <c r="H78" t="inlineStr">
        <is>
          <t>15 November 2011</t>
        </is>
      </c>
      <c r="I78" s="2" t="n">
        <v>46275</v>
      </c>
      <c r="J78" t="inlineStr">
        <is>
          <t>Disetujui</t>
        </is>
      </c>
      <c r="K78" t="n">
        <v>90</v>
      </c>
      <c r="L78" t="inlineStr">
        <is>
          <t>10 September 2026</t>
        </is>
      </c>
      <c r="M78" t="inlineStr">
        <is>
          <t>Bangunan Sipil Jembatan, Jalan Layang, Fly Over, dan Underpass</t>
        </is>
      </c>
      <c r="N78" t="inlineStr">
        <is>
          <t>K</t>
        </is>
      </c>
      <c r="O78" t="inlineStr">
        <is>
          <t>20230909</t>
        </is>
      </c>
      <c r="P78" t="inlineStr">
        <is>
          <t>Jawa Tengah</t>
        </is>
      </c>
      <c r="Q78" t="inlineStr"/>
    </row>
    <row r="79">
      <c r="A79" t="inlineStr">
        <is>
          <t>KING DAVID</t>
        </is>
      </c>
      <c r="B79" t="inlineStr">
        <is>
          <t>Kab. Biak Numfor</t>
        </is>
      </c>
      <c r="C79" t="inlineStr">
        <is>
          <t>082246832399</t>
        </is>
      </c>
      <c r="D79" t="inlineStr">
        <is>
          <t>biakcvkingdavid@gmail.com</t>
        </is>
      </c>
      <c r="E79" t="inlineStr">
        <is>
          <t>https://lpjk.pu.go.id/search-badan-usaha-detail/NUlVRWpiWnlwTXJTS0pab0puY0ZaQT09</t>
        </is>
      </c>
      <c r="F79" t="n">
        <v>3</v>
      </c>
      <c r="G79" t="inlineStr">
        <is>
          <t>BG002</t>
        </is>
      </c>
      <c r="H79" t="inlineStr">
        <is>
          <t>2 Maret 2007</t>
        </is>
      </c>
      <c r="I79" s="2" t="n">
        <v>46275</v>
      </c>
      <c r="J79" t="inlineStr">
        <is>
          <t>Disetujui</t>
        </is>
      </c>
      <c r="K79" t="n">
        <v>90</v>
      </c>
      <c r="L79" t="inlineStr">
        <is>
          <t>10 September 2026</t>
        </is>
      </c>
      <c r="M79" t="inlineStr">
        <is>
          <t>Konstruksi Gedung Perkantoran</t>
        </is>
      </c>
      <c r="N79" t="inlineStr">
        <is>
          <t>K</t>
        </is>
      </c>
      <c r="O79" t="inlineStr">
        <is>
          <t>20230911</t>
        </is>
      </c>
      <c r="P79" t="inlineStr">
        <is>
          <t>Papua</t>
        </is>
      </c>
      <c r="Q79" t="inlineStr"/>
    </row>
    <row r="80">
      <c r="A80" t="inlineStr">
        <is>
          <t>LAKSANA KARYA UTAMA</t>
        </is>
      </c>
      <c r="B80" t="inlineStr">
        <is>
          <t>Kab. Lamongan</t>
        </is>
      </c>
      <c r="C80" t="inlineStr">
        <is>
          <t>085336670670</t>
        </is>
      </c>
      <c r="D80" t="inlineStr">
        <is>
          <t>laksanakaryautama@gmail.com</t>
        </is>
      </c>
      <c r="E80" t="inlineStr">
        <is>
          <t>https://lpjk.pu.go.id/search-badan-usaha-detail/NCtCYndvY0tGTmExTGY1Nm9la1lGZz09</t>
        </is>
      </c>
      <c r="F80" t="n">
        <v>1</v>
      </c>
      <c r="G80" t="inlineStr">
        <is>
          <t>BS004</t>
        </is>
      </c>
      <c r="H80" t="inlineStr">
        <is>
          <t>22 Februari 2019</t>
        </is>
      </c>
      <c r="I80" s="2" t="n">
        <v>46275</v>
      </c>
      <c r="J80" t="inlineStr">
        <is>
          <t>Disetujui</t>
        </is>
      </c>
      <c r="K80" t="n">
        <v>90</v>
      </c>
      <c r="L80" t="inlineStr">
        <is>
          <t>10 September 2026</t>
        </is>
      </c>
      <c r="M80" t="inlineStr">
        <is>
          <t>Konstruksi Jaringan Irigasi dan Drainase</t>
        </is>
      </c>
      <c r="N80" t="inlineStr">
        <is>
          <t>K</t>
        </is>
      </c>
      <c r="O80" t="inlineStr">
        <is>
          <t>20230823</t>
        </is>
      </c>
      <c r="P80" t="inlineStr">
        <is>
          <t>Jawa Timur</t>
        </is>
      </c>
      <c r="Q80" t="inlineStr"/>
    </row>
    <row r="81">
      <c r="A81" t="inlineStr">
        <is>
          <t>LAKSANA MANDIRI KONSULTAN</t>
        </is>
      </c>
      <c r="B81" t="inlineStr">
        <is>
          <t>Kota Bengkulu</t>
        </is>
      </c>
      <c r="C81" t="inlineStr">
        <is>
          <t>085268868887</t>
        </is>
      </c>
      <c r="D81" t="inlineStr">
        <is>
          <t>laksanamandirikonsultancv@gmail.com</t>
        </is>
      </c>
      <c r="E81" t="inlineStr">
        <is>
          <t>https://lpjk.pu.go.id/search-badan-usaha-detail/NXZ5YWF5NmVGMzNwYllWTnBwbWNQdz09</t>
        </is>
      </c>
      <c r="F81" t="n">
        <v>1</v>
      </c>
      <c r="G81" t="inlineStr">
        <is>
          <t>RK002</t>
        </is>
      </c>
      <c r="H81" t="inlineStr">
        <is>
          <t>9 Januari 2018</t>
        </is>
      </c>
      <c r="I81" s="2" t="n">
        <v>46275</v>
      </c>
      <c r="J81" t="inlineStr">
        <is>
          <t>Disetujui</t>
        </is>
      </c>
      <c r="K81" t="n">
        <v>90</v>
      </c>
      <c r="L81" t="inlineStr">
        <is>
          <t>10 September 2026</t>
        </is>
      </c>
      <c r="M81" t="inlineStr">
        <is>
          <t>Jasa Rekayasa Pekerjaan Teknik Sipil Sumber Daya Air</t>
        </is>
      </c>
      <c r="N81" t="inlineStr">
        <is>
          <t>K</t>
        </is>
      </c>
      <c r="O81" t="inlineStr">
        <is>
          <t>20230824</t>
        </is>
      </c>
      <c r="P81" t="inlineStr">
        <is>
          <t>Bengkulu</t>
        </is>
      </c>
      <c r="Q81" t="inlineStr"/>
    </row>
    <row r="82">
      <c r="A82" t="inlineStr">
        <is>
          <t>LAMPOH AWE</t>
        </is>
      </c>
      <c r="B82" t="inlineStr">
        <is>
          <t>Kab. Pidie</t>
        </is>
      </c>
      <c r="C82" t="inlineStr">
        <is>
          <t>085260198452</t>
        </is>
      </c>
      <c r="D82" t="inlineStr">
        <is>
          <t>lampohawel@gmail.com</t>
        </is>
      </c>
      <c r="E82" t="inlineStr">
        <is>
          <t>https://lpjk.pu.go.id/search-badan-usaha-detail/bGxVbzVUQUxMeERKQ3p5SUtOQXZldz09</t>
        </is>
      </c>
      <c r="F82" t="n">
        <v>1</v>
      </c>
      <c r="G82" t="inlineStr">
        <is>
          <t>BS004</t>
        </is>
      </c>
      <c r="H82" t="inlineStr">
        <is>
          <t>8 Maret 2011</t>
        </is>
      </c>
      <c r="I82" s="2" t="n">
        <v>46275</v>
      </c>
      <c r="J82" t="inlineStr">
        <is>
          <t>Pencabutan</t>
        </is>
      </c>
      <c r="K82" t="n">
        <v>90</v>
      </c>
      <c r="L82" t="inlineStr">
        <is>
          <t>10 September 2026</t>
        </is>
      </c>
      <c r="M82" t="inlineStr">
        <is>
          <t>Konstruksi Jaringan Irigasi dan Drainase</t>
        </is>
      </c>
      <c r="N82" t="inlineStr">
        <is>
          <t>K</t>
        </is>
      </c>
      <c r="O82" t="inlineStr">
        <is>
          <t>20230911</t>
        </is>
      </c>
      <c r="P82" t="inlineStr">
        <is>
          <t>Aceh</t>
        </is>
      </c>
      <c r="Q82" t="inlineStr"/>
    </row>
    <row r="83">
      <c r="A83" t="inlineStr">
        <is>
          <t>LATIFA ANDALAN NUSA</t>
        </is>
      </c>
      <c r="B83" t="inlineStr">
        <is>
          <t>Kota Sawahlunto</t>
        </is>
      </c>
      <c r="C83" t="inlineStr">
        <is>
          <t>0811 6619 46__</t>
        </is>
      </c>
      <c r="D83" t="inlineStr">
        <is>
          <t>cvlatifaandalannusa@gmail.com</t>
        </is>
      </c>
      <c r="E83" t="inlineStr">
        <is>
          <t>https://lpjk.pu.go.id/search-badan-usaha-detail/ajdIbDI4Y25ldWNLdkZvSHhzbWdkQT09</t>
        </is>
      </c>
      <c r="F83" t="n">
        <v>1</v>
      </c>
      <c r="G83" t="inlineStr">
        <is>
          <t>BG009</t>
        </is>
      </c>
      <c r="H83" t="inlineStr">
        <is>
          <t>6 September 2019</t>
        </is>
      </c>
      <c r="I83" s="2" t="n">
        <v>46275</v>
      </c>
      <c r="J83" t="inlineStr">
        <is>
          <t>Pencabutan</t>
        </is>
      </c>
      <c r="K83" t="n">
        <v>90</v>
      </c>
      <c r="L83" t="inlineStr">
        <is>
          <t>10 September 2026</t>
        </is>
      </c>
      <c r="M83" t="inlineStr">
        <is>
          <t>Konstruksi Gedung Lainnya</t>
        </is>
      </c>
      <c r="N83" t="inlineStr">
        <is>
          <t>K</t>
        </is>
      </c>
      <c r="O83" t="inlineStr">
        <is>
          <t>20230831</t>
        </is>
      </c>
      <c r="P83" t="inlineStr">
        <is>
          <t>Sumatera Barat</t>
        </is>
      </c>
      <c r="Q83" t="inlineStr"/>
    </row>
    <row r="84">
      <c r="A84" t="inlineStr">
        <is>
          <t>MAHA DEWI</t>
        </is>
      </c>
      <c r="B84" t="inlineStr">
        <is>
          <t>Kab. Cirebon</t>
        </is>
      </c>
      <c r="C84" t="inlineStr">
        <is>
          <t>082315497360</t>
        </is>
      </c>
      <c r="D84" t="inlineStr">
        <is>
          <t>cvmahadewi23@gmail.com</t>
        </is>
      </c>
      <c r="E84" t="inlineStr">
        <is>
          <t>https://lpjk.pu.go.id/search-badan-usaha-detail/Wkp1d3c4RC9sV2JmMFZCVG5hMml5Zz09</t>
        </is>
      </c>
      <c r="F84" t="n">
        <v>1</v>
      </c>
      <c r="G84" t="inlineStr">
        <is>
          <t>BG006</t>
        </is>
      </c>
      <c r="H84" t="inlineStr">
        <is>
          <t>18 September 2015</t>
        </is>
      </c>
      <c r="I84" s="2" t="n">
        <v>46275</v>
      </c>
      <c r="J84" t="inlineStr">
        <is>
          <t>Disetujui</t>
        </is>
      </c>
      <c r="K84" t="n">
        <v>90</v>
      </c>
      <c r="L84" t="inlineStr">
        <is>
          <t>10 September 2026</t>
        </is>
      </c>
      <c r="M84" t="inlineStr">
        <is>
          <t>Konstruksi Gedung Pendidikan</t>
        </is>
      </c>
      <c r="N84" t="inlineStr">
        <is>
          <t>K</t>
        </is>
      </c>
      <c r="O84" t="inlineStr">
        <is>
          <t>20230904</t>
        </is>
      </c>
      <c r="P84" t="inlineStr">
        <is>
          <t>Jawa Barat</t>
        </is>
      </c>
      <c r="Q84" t="inlineStr"/>
    </row>
    <row r="85">
      <c r="A85" t="inlineStr">
        <is>
          <t>MAHKOTA</t>
        </is>
      </c>
      <c r="B85" t="inlineStr">
        <is>
          <t>Kota Bandung</t>
        </is>
      </c>
      <c r="C85" t="inlineStr">
        <is>
          <t>0227207924</t>
        </is>
      </c>
      <c r="D85" t="inlineStr">
        <is>
          <t>mahkotacvx1@gmail.com</t>
        </is>
      </c>
      <c r="E85" t="inlineStr">
        <is>
          <t>https://lpjk.pu.go.id/search-badan-usaha-detail/THR2TlhQdzRPWmtZWExBY2hjSXBMUT09</t>
        </is>
      </c>
      <c r="F85" t="n">
        <v>1</v>
      </c>
      <c r="G85" t="inlineStr">
        <is>
          <t>BG006</t>
        </is>
      </c>
      <c r="H85" t="inlineStr">
        <is>
          <t>31 Agustus 1983</t>
        </is>
      </c>
      <c r="I85" s="2" t="n">
        <v>46275</v>
      </c>
      <c r="J85" t="inlineStr">
        <is>
          <t>Disetujui</t>
        </is>
      </c>
      <c r="K85" t="n">
        <v>90</v>
      </c>
      <c r="L85" t="inlineStr">
        <is>
          <t>10 September 2026</t>
        </is>
      </c>
      <c r="M85" t="inlineStr">
        <is>
          <t>Konstruksi Gedung Pendidikan</t>
        </is>
      </c>
      <c r="N85" t="inlineStr">
        <is>
          <t>K</t>
        </is>
      </c>
      <c r="O85" t="inlineStr">
        <is>
          <t>20230906</t>
        </is>
      </c>
      <c r="P85" t="inlineStr">
        <is>
          <t>Jawa Barat</t>
        </is>
      </c>
      <c r="Q85" t="inlineStr"/>
    </row>
    <row r="86">
      <c r="A86" t="inlineStr">
        <is>
          <t>MAKMUR BERSAMAA</t>
        </is>
      </c>
      <c r="B86" t="inlineStr">
        <is>
          <t>Kab. Muara Enim</t>
        </is>
      </c>
      <c r="C86" t="inlineStr">
        <is>
          <t>082186219217</t>
        </is>
      </c>
      <c r="D86" t="inlineStr">
        <is>
          <t>bersamaamakmur@gmail.com</t>
        </is>
      </c>
      <c r="E86" t="inlineStr">
        <is>
          <t>https://lpjk.pu.go.id/search-badan-usaha-detail/ZGJsREJDakExZ2toam9XSnFXMG10dz09</t>
        </is>
      </c>
      <c r="F86" t="n">
        <v>1</v>
      </c>
      <c r="G86" t="inlineStr">
        <is>
          <t>BS001</t>
        </is>
      </c>
      <c r="H86" t="inlineStr">
        <is>
          <t>1 Oktober 2019</t>
        </is>
      </c>
      <c r="I86" s="2" t="n">
        <v>46275</v>
      </c>
      <c r="J86" t="inlineStr">
        <is>
          <t>Disetujui</t>
        </is>
      </c>
      <c r="K86" t="n">
        <v>90</v>
      </c>
      <c r="L86" t="inlineStr">
        <is>
          <t>10 September 2026</t>
        </is>
      </c>
      <c r="M86" t="inlineStr">
        <is>
          <t>Konstruksi Bangunan Sipil Jalan</t>
        </is>
      </c>
      <c r="N86" t="inlineStr">
        <is>
          <t>K</t>
        </is>
      </c>
      <c r="O86" t="inlineStr">
        <is>
          <t>20230829</t>
        </is>
      </c>
      <c r="P86" t="inlineStr">
        <is>
          <t>Sumatera Selatan</t>
        </is>
      </c>
      <c r="Q86" t="inlineStr"/>
    </row>
    <row r="87">
      <c r="A87" t="inlineStr">
        <is>
          <t>MANDIRI UTAMA</t>
        </is>
      </c>
      <c r="B87" t="inlineStr">
        <is>
          <t>Kota Bima</t>
        </is>
      </c>
      <c r="C87" t="inlineStr">
        <is>
          <t>0823 3903 9180</t>
        </is>
      </c>
      <c r="D87" t="inlineStr">
        <is>
          <t>cvmandiriutama2019@gmail.com</t>
        </is>
      </c>
      <c r="E87" t="inlineStr">
        <is>
          <t>https://lpjk.pu.go.id/search-badan-usaha-detail/NDFQaUJSVnNGOXZ0RVpqTnJvL2FhUT09</t>
        </is>
      </c>
      <c r="F87" t="n">
        <v>1</v>
      </c>
      <c r="G87" t="inlineStr">
        <is>
          <t>BG006</t>
        </is>
      </c>
      <c r="H87" t="inlineStr">
        <is>
          <t>3 Februari 2017</t>
        </is>
      </c>
      <c r="I87" s="2" t="n">
        <v>46275</v>
      </c>
      <c r="J87" t="inlineStr">
        <is>
          <t>Disetujui</t>
        </is>
      </c>
      <c r="K87" t="n">
        <v>90</v>
      </c>
      <c r="L87" t="inlineStr">
        <is>
          <t>10 September 2026</t>
        </is>
      </c>
      <c r="M87" t="inlineStr">
        <is>
          <t>Konstruksi Gedung Pendidikan</t>
        </is>
      </c>
      <c r="N87" t="inlineStr">
        <is>
          <t>K</t>
        </is>
      </c>
      <c r="O87" t="inlineStr">
        <is>
          <t>20230811</t>
        </is>
      </c>
      <c r="P87" t="inlineStr">
        <is>
          <t>Nusa Tenggara Barat</t>
        </is>
      </c>
      <c r="Q87" t="inlineStr"/>
    </row>
    <row r="88">
      <c r="A88" t="inlineStr">
        <is>
          <t>MARTINA KARYA</t>
        </is>
      </c>
      <c r="B88" t="inlineStr">
        <is>
          <t>Kota Ambon</t>
        </is>
      </c>
      <c r="C88" t="inlineStr">
        <is>
          <t>085243924917</t>
        </is>
      </c>
      <c r="D88" t="inlineStr">
        <is>
          <t>nanulaittaberth@yahoo.co.id</t>
        </is>
      </c>
      <c r="E88" t="inlineStr">
        <is>
          <t>https://lpjk.pu.go.id/search-badan-usaha-detail/V1AxQWZYS0tEaUczT3A3dFpVVEVZUT09</t>
        </is>
      </c>
      <c r="F88" t="n">
        <v>2</v>
      </c>
      <c r="G88" t="inlineStr">
        <is>
          <t>BG001, BS004</t>
        </is>
      </c>
      <c r="H88" t="inlineStr">
        <is>
          <t>21 September 1990</t>
        </is>
      </c>
      <c r="I88" s="2" t="n">
        <v>46275</v>
      </c>
      <c r="J88" t="inlineStr">
        <is>
          <t>Disetujui</t>
        </is>
      </c>
      <c r="K88" t="n">
        <v>90</v>
      </c>
      <c r="L88" t="inlineStr">
        <is>
          <t>10 September 2026</t>
        </is>
      </c>
      <c r="M88" t="inlineStr">
        <is>
          <t>Konstruksi Gedung Hunian, Konstruksi Jaringan Irigasi dan Drainase</t>
        </is>
      </c>
      <c r="N88" t="inlineStr">
        <is>
          <t>K</t>
        </is>
      </c>
      <c r="O88" t="inlineStr">
        <is>
          <t>20230910</t>
        </is>
      </c>
      <c r="P88" t="inlineStr">
        <is>
          <t>Maluku</t>
        </is>
      </c>
      <c r="Q88" t="inlineStr"/>
    </row>
    <row r="89">
      <c r="A89" t="inlineStr">
        <is>
          <t>MEGA CAKRA NUSANTARA</t>
        </is>
      </c>
      <c r="B89" t="inlineStr">
        <is>
          <t>Kota Semarang</t>
        </is>
      </c>
      <c r="C89" t="inlineStr">
        <is>
          <t>02430000269</t>
        </is>
      </c>
      <c r="D89" t="inlineStr">
        <is>
          <t>megacakranusantara@gmail.com</t>
        </is>
      </c>
      <c r="E89" t="inlineStr">
        <is>
          <t>https://lpjk.pu.go.id/search-badan-usaha-detail/K1hIT05qbDZveU9JSHRyWHNTUEdQQT09</t>
        </is>
      </c>
      <c r="F89" t="n">
        <v>2</v>
      </c>
      <c r="G89" t="inlineStr">
        <is>
          <t>BG003, BS001</t>
        </is>
      </c>
      <c r="H89" t="inlineStr">
        <is>
          <t>11 Juli 2023</t>
        </is>
      </c>
      <c r="I89" s="2" t="n">
        <v>46275</v>
      </c>
      <c r="J89" t="inlineStr">
        <is>
          <t>Disetujui</t>
        </is>
      </c>
      <c r="K89" t="n">
        <v>90</v>
      </c>
      <c r="L89" t="inlineStr">
        <is>
          <t>10 September 2026</t>
        </is>
      </c>
      <c r="M89" t="inlineStr">
        <is>
          <t>Konstruksi Bangunan Sipil Jalan, Konstruksi Gedung Industri</t>
        </is>
      </c>
      <c r="N89" t="inlineStr">
        <is>
          <t>K</t>
        </is>
      </c>
      <c r="O89" t="inlineStr">
        <is>
          <t>20230908, 20230909</t>
        </is>
      </c>
      <c r="P89" t="inlineStr">
        <is>
          <t>Jawa Tengah</t>
        </is>
      </c>
      <c r="Q89" t="inlineStr"/>
    </row>
    <row r="90">
      <c r="A90" t="inlineStr">
        <is>
          <t>MEGA KARYA NUSATAMA</t>
        </is>
      </c>
      <c r="B90" t="inlineStr">
        <is>
          <t>Kab. Buton Utara</t>
        </is>
      </c>
      <c r="C90" t="inlineStr">
        <is>
          <t>082349171576</t>
        </is>
      </c>
      <c r="D90" t="inlineStr">
        <is>
          <t>megakaryanusatama@gmail.com</t>
        </is>
      </c>
      <c r="E90" t="inlineStr">
        <is>
          <t>https://lpjk.pu.go.id/search-badan-usaha-detail/b05lb0lQVlUydUV2Q2NjYmQxUU1XQT09</t>
        </is>
      </c>
      <c r="F90" t="n">
        <v>1</v>
      </c>
      <c r="G90" t="inlineStr">
        <is>
          <t>BG006</t>
        </is>
      </c>
      <c r="H90" t="inlineStr">
        <is>
          <t>22 Februari 2023</t>
        </is>
      </c>
      <c r="I90" s="2" t="n">
        <v>46275</v>
      </c>
      <c r="J90" t="inlineStr">
        <is>
          <t>Disetujui</t>
        </is>
      </c>
      <c r="K90" t="n">
        <v>90</v>
      </c>
      <c r="L90" t="inlineStr">
        <is>
          <t>10 September 2026</t>
        </is>
      </c>
      <c r="M90" t="inlineStr">
        <is>
          <t>Konstruksi Gedung Pendidikan</t>
        </is>
      </c>
      <c r="N90" t="inlineStr">
        <is>
          <t>K</t>
        </is>
      </c>
      <c r="O90" t="inlineStr">
        <is>
          <t>20230908</t>
        </is>
      </c>
      <c r="P90" t="inlineStr">
        <is>
          <t>Sulawesi Tenggara</t>
        </is>
      </c>
      <c r="Q90" t="inlineStr"/>
    </row>
    <row r="91">
      <c r="A91" t="inlineStr">
        <is>
          <t>MEGAH KARYA TIKA PRATAMA</t>
        </is>
      </c>
      <c r="B91" t="inlineStr">
        <is>
          <t>Kota Semarang</t>
        </is>
      </c>
      <c r="C91" t="inlineStr">
        <is>
          <t>0247623792</t>
        </is>
      </c>
      <c r="D91" t="inlineStr">
        <is>
          <t>megah_group@yahoo.com</t>
        </is>
      </c>
      <c r="E91" t="inlineStr">
        <is>
          <t>https://lpjk.pu.go.id/search-badan-usaha-detail/RUh6aEpnSXFRUnF2Q1hqNlc5TFFXUT09</t>
        </is>
      </c>
      <c r="F91" t="n">
        <v>2</v>
      </c>
      <c r="G91" t="inlineStr">
        <is>
          <t>BS001</t>
        </is>
      </c>
      <c r="H91" t="inlineStr">
        <is>
          <t>25 Mei 1990</t>
        </is>
      </c>
      <c r="I91" s="2" t="n">
        <v>46275</v>
      </c>
      <c r="J91" t="inlineStr">
        <is>
          <t>Disetujui</t>
        </is>
      </c>
      <c r="K91" t="n">
        <v>90</v>
      </c>
      <c r="L91" t="inlineStr">
        <is>
          <t>10 September 2026</t>
        </is>
      </c>
      <c r="M91" t="inlineStr">
        <is>
          <t>Konstruksi Bangunan Sipil Jalan</t>
        </is>
      </c>
      <c r="N91" t="inlineStr">
        <is>
          <t>B</t>
        </is>
      </c>
      <c r="O91" t="inlineStr">
        <is>
          <t>20230905</t>
        </is>
      </c>
      <c r="P91" t="inlineStr">
        <is>
          <t>Jawa Tengah</t>
        </is>
      </c>
      <c r="Q91" t="inlineStr"/>
    </row>
    <row r="92">
      <c r="A92" t="inlineStr">
        <is>
          <t>MEGATAMA SELARAS ENERGY</t>
        </is>
      </c>
      <c r="B92" t="inlineStr">
        <is>
          <t>Kota Ternate</t>
        </is>
      </c>
      <c r="C92" t="inlineStr">
        <is>
          <t>081245030305</t>
        </is>
      </c>
      <c r="D92" t="inlineStr">
        <is>
          <t>11energyselaras@gmail.com</t>
        </is>
      </c>
      <c r="E92" t="inlineStr">
        <is>
          <t>https://lpjk.pu.go.id/search-badan-usaha-detail/MkdpaGdmY1BhUzdTcHpmZ1UzWXpPUT09</t>
        </is>
      </c>
      <c r="F92" t="n">
        <v>2</v>
      </c>
      <c r="G92" t="inlineStr">
        <is>
          <t>BG009</t>
        </is>
      </c>
      <c r="H92" t="inlineStr">
        <is>
          <t>18 Juni 2012</t>
        </is>
      </c>
      <c r="I92" s="2" t="n">
        <v>46275</v>
      </c>
      <c r="J92" t="inlineStr">
        <is>
          <t>Disetujui</t>
        </is>
      </c>
      <c r="K92" t="n">
        <v>90</v>
      </c>
      <c r="L92" t="inlineStr">
        <is>
          <t>10 September 2026</t>
        </is>
      </c>
      <c r="M92" t="inlineStr">
        <is>
          <t>Konstruksi Gedung Lainnya</t>
        </is>
      </c>
      <c r="N92" t="inlineStr">
        <is>
          <t>M</t>
        </is>
      </c>
      <c r="O92" t="inlineStr">
        <is>
          <t>20230901</t>
        </is>
      </c>
      <c r="P92" t="inlineStr">
        <is>
          <t>Maluku Utara</t>
        </is>
      </c>
      <c r="Q92" t="inlineStr"/>
    </row>
    <row r="93">
      <c r="A93" t="inlineStr">
        <is>
          <t>MEKAR PERSADA</t>
        </is>
      </c>
      <c r="B93" t="inlineStr">
        <is>
          <t>Kab. Sambas</t>
        </is>
      </c>
      <c r="C93" t="inlineStr">
        <is>
          <t>081256838968</t>
        </is>
      </c>
      <c r="D93" t="inlineStr">
        <is>
          <t>cv_mekar_persada@yahoo.co.id</t>
        </is>
      </c>
      <c r="E93" t="inlineStr">
        <is>
          <t>https://lpjk.pu.go.id/search-badan-usaha-detail/NkIxYSttZXdLTitneFdSRlRZU3lqQT09</t>
        </is>
      </c>
      <c r="F93" t="n">
        <v>2</v>
      </c>
      <c r="G93" t="inlineStr">
        <is>
          <t>BS001</t>
        </is>
      </c>
      <c r="H93" t="inlineStr">
        <is>
          <t>5 Desember 2005</t>
        </is>
      </c>
      <c r="I93" s="2" t="n">
        <v>46275</v>
      </c>
      <c r="J93" t="inlineStr">
        <is>
          <t>Disetujui</t>
        </is>
      </c>
      <c r="K93" t="n">
        <v>90</v>
      </c>
      <c r="L93" t="inlineStr">
        <is>
          <t>10 September 2026</t>
        </is>
      </c>
      <c r="M93" t="inlineStr">
        <is>
          <t>Konstruksi Bangunan Sipil Jalan</t>
        </is>
      </c>
      <c r="N93" t="inlineStr">
        <is>
          <t>K</t>
        </is>
      </c>
      <c r="O93" t="inlineStr">
        <is>
          <t>20230906</t>
        </is>
      </c>
      <c r="P93" t="inlineStr">
        <is>
          <t>Kalimantan Barat</t>
        </is>
      </c>
      <c r="Q93" t="inlineStr"/>
    </row>
    <row r="94">
      <c r="A94" t="inlineStr">
        <is>
          <t>MELANIK JAYA</t>
        </is>
      </c>
      <c r="B94" t="inlineStr">
        <is>
          <t>Kab. Jayawijaya</t>
        </is>
      </c>
      <c r="C94" t="inlineStr">
        <is>
          <t>082238747162</t>
        </is>
      </c>
      <c r="D94" t="inlineStr">
        <is>
          <t>melanikjaya23@gmail.com</t>
        </is>
      </c>
      <c r="E94" t="inlineStr">
        <is>
          <t>https://lpjk.pu.go.id/search-badan-usaha-detail/Q29vK21YT1JTbXNBOVV2SUZiZVMzUT09</t>
        </is>
      </c>
      <c r="F94" t="n">
        <v>1</v>
      </c>
      <c r="G94" t="inlineStr">
        <is>
          <t>BS001</t>
        </is>
      </c>
      <c r="H94" t="inlineStr">
        <is>
          <t>8 April 2019</t>
        </is>
      </c>
      <c r="I94" s="2" t="n">
        <v>46275</v>
      </c>
      <c r="J94" t="inlineStr">
        <is>
          <t>Disetujui</t>
        </is>
      </c>
      <c r="K94" t="n">
        <v>90</v>
      </c>
      <c r="L94" t="inlineStr">
        <is>
          <t>10 September 2026</t>
        </is>
      </c>
      <c r="M94" t="inlineStr">
        <is>
          <t>Konstruksi Bangunan Sipil Jalan</t>
        </is>
      </c>
      <c r="N94" t="inlineStr">
        <is>
          <t>K</t>
        </is>
      </c>
      <c r="O94" t="inlineStr">
        <is>
          <t>20230910</t>
        </is>
      </c>
      <c r="P94" t="inlineStr">
        <is>
          <t>Papua</t>
        </is>
      </c>
      <c r="Q94" t="inlineStr"/>
    </row>
    <row r="95">
      <c r="A95" t="inlineStr">
        <is>
          <t>MELATI INDAH</t>
        </is>
      </c>
      <c r="B95" t="inlineStr">
        <is>
          <t>Kab. Tulungagung</t>
        </is>
      </c>
      <c r="C95" t="inlineStr">
        <is>
          <t>085732526376</t>
        </is>
      </c>
      <c r="D95" t="inlineStr">
        <is>
          <t>cv.melatindah@gmail.com</t>
        </is>
      </c>
      <c r="E95" t="inlineStr">
        <is>
          <t>https://lpjk.pu.go.id/search-badan-usaha-detail/WkxNeUg5YnpndHdFMGY1QmJxSnVmdz09</t>
        </is>
      </c>
      <c r="F95" t="n">
        <v>4</v>
      </c>
      <c r="G95" t="inlineStr">
        <is>
          <t>BG005, BG006, BS004</t>
        </is>
      </c>
      <c r="H95" t="inlineStr">
        <is>
          <t>16 Desember 2008</t>
        </is>
      </c>
      <c r="I95" s="2" t="n">
        <v>46275</v>
      </c>
      <c r="J95" t="inlineStr">
        <is>
          <t>Disetujui</t>
        </is>
      </c>
      <c r="K95" t="n">
        <v>90</v>
      </c>
      <c r="L95" t="inlineStr">
        <is>
          <t>10 September 2026</t>
        </is>
      </c>
      <c r="M95" t="inlineStr">
        <is>
          <t>Konstruksi Gedung Kesehatan, Konstruksi Gedung Pendidikan, Konstruksi Jaringan Irigasi dan Drainase</t>
        </is>
      </c>
      <c r="N95" t="inlineStr">
        <is>
          <t>K</t>
        </is>
      </c>
      <c r="O95" t="inlineStr">
        <is>
          <t>20230906</t>
        </is>
      </c>
      <c r="P95" t="inlineStr">
        <is>
          <t>Jawa Timur</t>
        </is>
      </c>
      <c r="Q95" t="inlineStr"/>
    </row>
    <row r="96">
      <c r="A96" t="inlineStr">
        <is>
          <t>MEMBANGUN PILAR PERKASA</t>
        </is>
      </c>
      <c r="B96" t="inlineStr">
        <is>
          <t>Kab. Sampang</t>
        </is>
      </c>
      <c r="C96" t="inlineStr">
        <is>
          <t>082338767681</t>
        </is>
      </c>
      <c r="D96" t="inlineStr">
        <is>
          <t>membangunpilarperkasa@gmail.com</t>
        </is>
      </c>
      <c r="E96" t="inlineStr">
        <is>
          <t>https://lpjk.pu.go.id/search-badan-usaha-detail/a2xGaUQzSU5kOExqanJjb2NqM0w1Zz09</t>
        </is>
      </c>
      <c r="F96" t="n">
        <v>3</v>
      </c>
      <c r="G96" t="inlineStr">
        <is>
          <t>BG006, BG009, BS001</t>
        </is>
      </c>
      <c r="H96" t="inlineStr">
        <is>
          <t>5 September 2023</t>
        </is>
      </c>
      <c r="I96" s="2" t="n">
        <v>46275</v>
      </c>
      <c r="J96" t="inlineStr">
        <is>
          <t>Disetujui</t>
        </is>
      </c>
      <c r="K96" t="n">
        <v>90</v>
      </c>
      <c r="L96" t="inlineStr">
        <is>
          <t>10 September 2026</t>
        </is>
      </c>
      <c r="M96" t="inlineStr">
        <is>
          <t>Konstruksi Bangunan Sipil Jalan, Konstruksi Gedung Lainnya, Konstruksi Gedung Pendidikan</t>
        </is>
      </c>
      <c r="N96" t="inlineStr">
        <is>
          <t>K</t>
        </is>
      </c>
      <c r="O96" t="inlineStr">
        <is>
          <t>20230909, 20230911</t>
        </is>
      </c>
      <c r="P96" t="inlineStr">
        <is>
          <t>Jawa Timur</t>
        </is>
      </c>
      <c r="Q96" t="inlineStr"/>
    </row>
    <row r="97">
      <c r="A97" t="inlineStr">
        <is>
          <t>MENARA PRIMA SEJAHTERA</t>
        </is>
      </c>
      <c r="B97" t="inlineStr">
        <is>
          <t>Kota Makassar</t>
        </is>
      </c>
      <c r="C97" t="inlineStr">
        <is>
          <t>085255735404</t>
        </is>
      </c>
      <c r="D97" t="inlineStr">
        <is>
          <t>menaraprimasejahtera@gmail.com</t>
        </is>
      </c>
      <c r="E97" t="inlineStr">
        <is>
          <t>https://lpjk.pu.go.id/search-badan-usaha-detail/bkk2UzR6azlhTWxzRnIrY3JnMTd1Zz09</t>
        </is>
      </c>
      <c r="F97" t="n">
        <v>1</v>
      </c>
      <c r="G97" t="inlineStr">
        <is>
          <t>BS001</t>
        </is>
      </c>
      <c r="H97" t="inlineStr">
        <is>
          <t>23 November 2012</t>
        </is>
      </c>
      <c r="I97" s="2" t="n">
        <v>46275</v>
      </c>
      <c r="J97" t="inlineStr">
        <is>
          <t>Disetujui</t>
        </is>
      </c>
      <c r="K97" t="n">
        <v>90</v>
      </c>
      <c r="L97" t="inlineStr">
        <is>
          <t>10 September 2026</t>
        </is>
      </c>
      <c r="M97" t="inlineStr">
        <is>
          <t>Konstruksi Bangunan Sipil Jalan</t>
        </is>
      </c>
      <c r="N97" t="inlineStr">
        <is>
          <t>K</t>
        </is>
      </c>
      <c r="O97" t="inlineStr">
        <is>
          <t>20230910</t>
        </is>
      </c>
      <c r="P97" t="inlineStr">
        <is>
          <t>Sulawesi Selatan</t>
        </is>
      </c>
      <c r="Q97" t="inlineStr"/>
    </row>
    <row r="98">
      <c r="A98" t="inlineStr">
        <is>
          <t>MENARA TATA SEMESTA</t>
        </is>
      </c>
      <c r="B98" t="inlineStr">
        <is>
          <t>Kota Tangerang</t>
        </is>
      </c>
      <c r="C98" t="inlineStr">
        <is>
          <t>02159893381</t>
        </is>
      </c>
      <c r="D98" t="inlineStr">
        <is>
          <t>menaratatasemesta17@gmail.com</t>
        </is>
      </c>
      <c r="E98" t="inlineStr">
        <is>
          <t>https://lpjk.pu.go.id/search-badan-usaha-detail/MWEzSlpRS1I3aWdjQnM1S0tsaU13dz09</t>
        </is>
      </c>
      <c r="F98" t="n">
        <v>1</v>
      </c>
      <c r="G98" t="inlineStr">
        <is>
          <t>BG002</t>
        </is>
      </c>
      <c r="H98" t="inlineStr">
        <is>
          <t>16 Agustus 2012</t>
        </is>
      </c>
      <c r="I98" s="2" t="n">
        <v>46275</v>
      </c>
      <c r="J98" t="inlineStr">
        <is>
          <t>Disetujui</t>
        </is>
      </c>
      <c r="K98" t="n">
        <v>90</v>
      </c>
      <c r="L98" t="inlineStr">
        <is>
          <t>10 September 2026</t>
        </is>
      </c>
      <c r="M98" t="inlineStr">
        <is>
          <t>Konstruksi Gedung Perkantoran</t>
        </is>
      </c>
      <c r="N98" t="inlineStr">
        <is>
          <t>K</t>
        </is>
      </c>
      <c r="O98" t="inlineStr">
        <is>
          <t>20230907</t>
        </is>
      </c>
      <c r="P98" t="inlineStr">
        <is>
          <t>Banten</t>
        </is>
      </c>
      <c r="Q98" t="inlineStr"/>
    </row>
    <row r="99">
      <c r="A99" t="inlineStr">
        <is>
          <t>MIRSEL</t>
        </is>
      </c>
      <c r="B99" t="inlineStr">
        <is>
          <t>Kab. Subang</t>
        </is>
      </c>
      <c r="C99" t="inlineStr">
        <is>
          <t>082112045355</t>
        </is>
      </c>
      <c r="D99" t="inlineStr">
        <is>
          <t>mirsel9079@gmail.com</t>
        </is>
      </c>
      <c r="E99" t="inlineStr">
        <is>
          <t>https://lpjk.pu.go.id/search-badan-usaha-detail/S2l3aCs4eXU1RDBocytua3ZuczZ6UT09</t>
        </is>
      </c>
      <c r="F99" t="n">
        <v>4</v>
      </c>
      <c r="G99" t="inlineStr">
        <is>
          <t>BG005, BG006, BG009, BS004</t>
        </is>
      </c>
      <c r="H99" t="inlineStr">
        <is>
          <t>25 September 2019</t>
        </is>
      </c>
      <c r="I99" s="2" t="n">
        <v>46275</v>
      </c>
      <c r="J99" t="inlineStr">
        <is>
          <t>Pencabutan</t>
        </is>
      </c>
      <c r="K99" t="n">
        <v>90</v>
      </c>
      <c r="L99" t="inlineStr">
        <is>
          <t>10 September 2026</t>
        </is>
      </c>
      <c r="M99" t="inlineStr">
        <is>
          <t>Konstruksi Gedung Kesehatan, Konstruksi Gedung Lainnya, Konstruksi Gedung Pendidikan, Konstruksi Jaringan Irigasi dan Drainase</t>
        </is>
      </c>
      <c r="N99" t="inlineStr">
        <is>
          <t>K</t>
        </is>
      </c>
      <c r="O99" t="inlineStr">
        <is>
          <t>20230905</t>
        </is>
      </c>
      <c r="P99" t="inlineStr">
        <is>
          <t>Jawa Barat</t>
        </is>
      </c>
      <c r="Q99" t="inlineStr"/>
    </row>
    <row r="100">
      <c r="A100" t="inlineStr">
        <is>
          <t>MITRA GRATA</t>
        </is>
      </c>
      <c r="B100" t="inlineStr">
        <is>
          <t>Kota Jambi</t>
        </is>
      </c>
      <c r="C100" t="inlineStr">
        <is>
          <t>082366778869</t>
        </is>
      </c>
      <c r="D100" t="inlineStr">
        <is>
          <t>willy.darlin@milaga.co.id</t>
        </is>
      </c>
      <c r="E100" t="inlineStr">
        <is>
          <t>https://lpjk.pu.go.id/search-badan-usaha-detail/SXh6L1k5RnoxOFhQcWxhSHJ6S0t3Zz09</t>
        </is>
      </c>
      <c r="F100" t="n">
        <v>1</v>
      </c>
      <c r="G100" t="inlineStr">
        <is>
          <t>BS002</t>
        </is>
      </c>
      <c r="H100" t="inlineStr">
        <is>
          <t>2 April 2004</t>
        </is>
      </c>
      <c r="I100" s="2" t="n">
        <v>46275</v>
      </c>
      <c r="J100" t="inlineStr">
        <is>
          <t>Disetujui</t>
        </is>
      </c>
      <c r="K100" t="n">
        <v>90</v>
      </c>
      <c r="L100" t="inlineStr">
        <is>
          <t>10 September 2026</t>
        </is>
      </c>
      <c r="M100" t="inlineStr">
        <is>
          <t>Bangunan Sipil Jembatan, Jalan Layang, Fly Over, dan Underpass</t>
        </is>
      </c>
      <c r="N100" t="inlineStr">
        <is>
          <t>K</t>
        </is>
      </c>
      <c r="O100" t="inlineStr">
        <is>
          <t>20230906</t>
        </is>
      </c>
      <c r="P100" t="inlineStr">
        <is>
          <t>Jambi</t>
        </is>
      </c>
      <c r="Q100" t="inlineStr"/>
    </row>
    <row r="101">
      <c r="A101" t="inlineStr">
        <is>
          <t>MITRA GUNA JASA</t>
        </is>
      </c>
      <c r="B101" t="inlineStr">
        <is>
          <t>Kota Padang</t>
        </is>
      </c>
      <c r="C101" t="inlineStr">
        <is>
          <t>081374122661</t>
        </is>
      </c>
      <c r="D101" t="inlineStr">
        <is>
          <t>mitragunajasa2020@gmail.com</t>
        </is>
      </c>
      <c r="E101" t="inlineStr">
        <is>
          <t>https://lpjk.pu.go.id/search-badan-usaha-detail/WlRLRDJUcWtleTR5ZndCbWdXMWNKUT09</t>
        </is>
      </c>
      <c r="F101" t="n">
        <v>1</v>
      </c>
      <c r="G101" t="inlineStr">
        <is>
          <t>BG005</t>
        </is>
      </c>
      <c r="H101" t="inlineStr">
        <is>
          <t>17 November 2016</t>
        </is>
      </c>
      <c r="I101" s="2" t="n">
        <v>46275</v>
      </c>
      <c r="J101" t="inlineStr">
        <is>
          <t>Disetujui</t>
        </is>
      </c>
      <c r="K101" t="n">
        <v>90</v>
      </c>
      <c r="L101" t="inlineStr">
        <is>
          <t>10 September 2026</t>
        </is>
      </c>
      <c r="M101" t="inlineStr">
        <is>
          <t>Konstruksi Gedung Kesehatan</t>
        </is>
      </c>
      <c r="N101" t="inlineStr">
        <is>
          <t>K</t>
        </is>
      </c>
      <c r="O101" t="inlineStr">
        <is>
          <t>20230906</t>
        </is>
      </c>
      <c r="P101" t="inlineStr">
        <is>
          <t>Sumatera Barat</t>
        </is>
      </c>
      <c r="Q101" t="inlineStr"/>
    </row>
    <row r="102">
      <c r="A102" t="inlineStr">
        <is>
          <t>MITRA PERKASA INDONESIA</t>
        </is>
      </c>
      <c r="B102" t="inlineStr">
        <is>
          <t>Kota Surabaya</t>
        </is>
      </c>
      <c r="C102" t="inlineStr">
        <is>
          <t>081330571111</t>
        </is>
      </c>
      <c r="D102" t="inlineStr">
        <is>
          <t>mitraperkasaindonesia@gmail.com</t>
        </is>
      </c>
      <c r="E102" t="inlineStr">
        <is>
          <t>https://lpjk.pu.go.id/search-badan-usaha-detail/OXBVdXVKeFJZUDVZMkxUa0plQUg0QT09</t>
        </is>
      </c>
      <c r="F102" t="n">
        <v>2</v>
      </c>
      <c r="G102" t="inlineStr">
        <is>
          <t>BG001, BG009</t>
        </is>
      </c>
      <c r="H102" t="inlineStr">
        <is>
          <t>18 April 2013</t>
        </is>
      </c>
      <c r="I102" s="2" t="n">
        <v>46275</v>
      </c>
      <c r="J102" t="inlineStr">
        <is>
          <t>Disetujui, Pencabutan</t>
        </is>
      </c>
      <c r="K102" t="n">
        <v>90</v>
      </c>
      <c r="L102" t="inlineStr">
        <is>
          <t>10 September 2026</t>
        </is>
      </c>
      <c r="M102" t="inlineStr">
        <is>
          <t>Konstruksi Gedung Hunian, Konstruksi Gedung Lainnya</t>
        </is>
      </c>
      <c r="N102" t="inlineStr">
        <is>
          <t>K</t>
        </is>
      </c>
      <c r="O102" t="inlineStr">
        <is>
          <t>20230911</t>
        </is>
      </c>
      <c r="P102" t="inlineStr">
        <is>
          <t>Jawa Timur</t>
        </is>
      </c>
      <c r="Q102" t="inlineStr"/>
    </row>
    <row r="103">
      <c r="A103" t="inlineStr">
        <is>
          <t>MK. JAYA</t>
        </is>
      </c>
      <c r="B103" t="inlineStr">
        <is>
          <t>Kota Tasikmalaya</t>
        </is>
      </c>
      <c r="C103" t="inlineStr">
        <is>
          <t>085214024924</t>
        </is>
      </c>
      <c r="D103" t="inlineStr">
        <is>
          <t>mk_jayatasik@yahoo.co.id</t>
        </is>
      </c>
      <c r="E103" t="inlineStr">
        <is>
          <t>https://lpjk.pu.go.id/search-badan-usaha-detail/ek5TSGsvU21oVUxyMkpuYlVRcjNnUT09</t>
        </is>
      </c>
      <c r="F103" t="n">
        <v>1</v>
      </c>
      <c r="G103" t="inlineStr">
        <is>
          <t>BS001</t>
        </is>
      </c>
      <c r="H103" t="inlineStr">
        <is>
          <t>16 Januari 2008</t>
        </is>
      </c>
      <c r="I103" s="2" t="n">
        <v>46275</v>
      </c>
      <c r="J103" t="inlineStr">
        <is>
          <t>Disetujui</t>
        </is>
      </c>
      <c r="K103" t="n">
        <v>90</v>
      </c>
      <c r="L103" t="inlineStr">
        <is>
          <t>10 September 2026</t>
        </is>
      </c>
      <c r="M103" t="inlineStr">
        <is>
          <t>Konstruksi Bangunan Sipil Jalan</t>
        </is>
      </c>
      <c r="N103" t="inlineStr">
        <is>
          <t>K</t>
        </is>
      </c>
      <c r="O103" t="inlineStr">
        <is>
          <t>20230907</t>
        </is>
      </c>
      <c r="P103" t="inlineStr">
        <is>
          <t>Jawa Barat</t>
        </is>
      </c>
      <c r="Q103" t="inlineStr"/>
    </row>
    <row r="104">
      <c r="A104" t="inlineStr">
        <is>
          <t>MUSTIKA MANDIRI</t>
        </is>
      </c>
      <c r="B104" t="inlineStr">
        <is>
          <t>Kab. Bolaang Mongondow Utara</t>
        </is>
      </c>
      <c r="C104" t="inlineStr">
        <is>
          <t>081356466969</t>
        </is>
      </c>
      <c r="D104" t="inlineStr">
        <is>
          <t>mustikamandiri68@gmail.com</t>
        </is>
      </c>
      <c r="E104" t="inlineStr">
        <is>
          <t>https://lpjk.pu.go.id/search-badan-usaha-detail/Y2RJY3ZaYlg3UWYyOGhYeTExd0Nhdz09</t>
        </is>
      </c>
      <c r="F104" t="n">
        <v>1</v>
      </c>
      <c r="G104" t="inlineStr">
        <is>
          <t>BG009</t>
        </is>
      </c>
      <c r="H104" t="inlineStr">
        <is>
          <t>11 Januari 2007</t>
        </is>
      </c>
      <c r="I104" s="2" t="n">
        <v>46275</v>
      </c>
      <c r="J104" t="inlineStr">
        <is>
          <t>Pencabutan</t>
        </is>
      </c>
      <c r="K104" t="n">
        <v>90</v>
      </c>
      <c r="L104" t="inlineStr">
        <is>
          <t>10 September 2026</t>
        </is>
      </c>
      <c r="M104" t="inlineStr">
        <is>
          <t>Konstruksi Gedung Lainnya</t>
        </is>
      </c>
      <c r="N104" t="inlineStr">
        <is>
          <t>K</t>
        </is>
      </c>
      <c r="O104" t="inlineStr">
        <is>
          <t>20230905</t>
        </is>
      </c>
      <c r="P104" t="inlineStr">
        <is>
          <t>Sulawesi Utara</t>
        </is>
      </c>
      <c r="Q104" t="inlineStr"/>
    </row>
    <row r="105">
      <c r="A105" t="inlineStr">
        <is>
          <t>MUTIARA ABADI</t>
        </is>
      </c>
      <c r="B105" t="inlineStr">
        <is>
          <t>Kab. Ciamis</t>
        </is>
      </c>
      <c r="C105" t="inlineStr">
        <is>
          <t>0265773807</t>
        </is>
      </c>
      <c r="D105" t="inlineStr">
        <is>
          <t>mutiara_abadi03@yahoo.co.id</t>
        </is>
      </c>
      <c r="E105" t="inlineStr">
        <is>
          <t>https://lpjk.pu.go.id/search-badan-usaha-detail/V2lEaUFuclgzd25OdmZ4REcwRVRCdz09</t>
        </is>
      </c>
      <c r="F105" t="n">
        <v>2</v>
      </c>
      <c r="G105" t="inlineStr">
        <is>
          <t>BS001</t>
        </is>
      </c>
      <c r="H105" t="inlineStr">
        <is>
          <t>20 Maret 2007</t>
        </is>
      </c>
      <c r="I105" s="2" t="n">
        <v>46275</v>
      </c>
      <c r="J105" t="inlineStr">
        <is>
          <t>Disetujui</t>
        </is>
      </c>
      <c r="K105" t="n">
        <v>90</v>
      </c>
      <c r="L105" t="inlineStr">
        <is>
          <t>10 September 2026</t>
        </is>
      </c>
      <c r="M105" t="inlineStr">
        <is>
          <t>Konstruksi Bangunan Sipil Jalan</t>
        </is>
      </c>
      <c r="N105" t="inlineStr">
        <is>
          <t>K</t>
        </is>
      </c>
      <c r="O105" t="inlineStr">
        <is>
          <t>20230908</t>
        </is>
      </c>
      <c r="P105" t="inlineStr">
        <is>
          <t>Jawa Barat</t>
        </is>
      </c>
      <c r="Q105" t="inlineStr"/>
    </row>
    <row r="106">
      <c r="A106" t="inlineStr">
        <is>
          <t>MUTIARA NAGA</t>
        </is>
      </c>
      <c r="B106" t="inlineStr">
        <is>
          <t>Kab. Tangerang</t>
        </is>
      </c>
      <c r="C106" t="inlineStr">
        <is>
          <t>085882935015</t>
        </is>
      </c>
      <c r="D106" t="inlineStr">
        <is>
          <t>cv.mutiaranaga@hotmail.com</t>
        </is>
      </c>
      <c r="E106" t="inlineStr">
        <is>
          <t>https://lpjk.pu.go.id/search-badan-usaha-detail/Q2wyc1U2eTcvNlVickREenByWHNrQT09</t>
        </is>
      </c>
      <c r="F106" t="n">
        <v>8</v>
      </c>
      <c r="G106" t="inlineStr">
        <is>
          <t>BG005, BG006, BG009, BS001</t>
        </is>
      </c>
      <c r="H106" t="inlineStr">
        <is>
          <t>15 Desember 2014</t>
        </is>
      </c>
      <c r="I106" s="2" t="n">
        <v>46275</v>
      </c>
      <c r="J106" t="inlineStr">
        <is>
          <t>Disetujui</t>
        </is>
      </c>
      <c r="K106" t="n">
        <v>90</v>
      </c>
      <c r="L106" t="inlineStr">
        <is>
          <t>10 September 2026</t>
        </is>
      </c>
      <c r="M106" t="inlineStr">
        <is>
          <t>Konstruksi Bangunan Sipil Jalan, Konstruksi Gedung Kesehatan, Konstruksi Gedung Lainnya, Konstruksi Gedung Pendidikan</t>
        </is>
      </c>
      <c r="N106" t="inlineStr">
        <is>
          <t>K</t>
        </is>
      </c>
      <c r="O106" t="inlineStr">
        <is>
          <t>20230911</t>
        </is>
      </c>
      <c r="P106" t="inlineStr">
        <is>
          <t>Banten</t>
        </is>
      </c>
      <c r="Q106" t="inlineStr"/>
    </row>
    <row r="107">
      <c r="A107" t="inlineStr">
        <is>
          <t>NUR HIDAYAH</t>
        </is>
      </c>
      <c r="B107" t="inlineStr">
        <is>
          <t>Kab. Pasuruan</t>
        </is>
      </c>
      <c r="C107" t="inlineStr">
        <is>
          <t>081805055357</t>
        </is>
      </c>
      <c r="D107" t="inlineStr">
        <is>
          <t>hanifrifki235@gmail.com</t>
        </is>
      </c>
      <c r="E107" t="inlineStr">
        <is>
          <t>https://lpjk.pu.go.id/search-badan-usaha-detail/Z3dNNDRLVVo2aTJkV2xjN2VYVkJEQT09</t>
        </is>
      </c>
      <c r="F107" t="n">
        <v>3</v>
      </c>
      <c r="G107" t="inlineStr">
        <is>
          <t>BG009, BS001, BS004</t>
        </is>
      </c>
      <c r="H107" t="inlineStr">
        <is>
          <t>14 Agustus 2003</t>
        </is>
      </c>
      <c r="I107" s="2" t="n">
        <v>46275</v>
      </c>
      <c r="J107" t="inlineStr">
        <is>
          <t>Disetujui</t>
        </is>
      </c>
      <c r="K107" t="n">
        <v>90</v>
      </c>
      <c r="L107" t="inlineStr">
        <is>
          <t>10 September 2026</t>
        </is>
      </c>
      <c r="M107" t="inlineStr">
        <is>
          <t>Konstruksi Bangunan Sipil Jalan, Konstruksi Gedung Lainnya, Konstruksi Jaringan Irigasi dan Drainase</t>
        </is>
      </c>
      <c r="N107" t="inlineStr">
        <is>
          <t>K</t>
        </is>
      </c>
      <c r="O107" t="inlineStr">
        <is>
          <t>20230215, 20230828, 20230905</t>
        </is>
      </c>
      <c r="P107" t="inlineStr">
        <is>
          <t>Jawa Timur</t>
        </is>
      </c>
      <c r="Q107" t="inlineStr"/>
    </row>
    <row r="108">
      <c r="A108" t="inlineStr">
        <is>
          <t>PAKU ALAM</t>
        </is>
      </c>
      <c r="B108" t="inlineStr">
        <is>
          <t>Kab. Tanah Bumbu</t>
        </is>
      </c>
      <c r="C108" t="inlineStr">
        <is>
          <t>081150213</t>
        </is>
      </c>
      <c r="D108" t="inlineStr">
        <is>
          <t>pakualam77@yahoo.com</t>
        </is>
      </c>
      <c r="E108" t="inlineStr">
        <is>
          <t>https://lpjk.pu.go.id/search-badan-usaha-detail/TlBqdkNhTTJPTlFpUUNBSXdwMUVKdz09</t>
        </is>
      </c>
      <c r="F108" t="n">
        <v>3</v>
      </c>
      <c r="G108" t="inlineStr">
        <is>
          <t>BG001, BG006, BS001</t>
        </is>
      </c>
      <c r="H108" t="inlineStr">
        <is>
          <t>22 Juni 2012</t>
        </is>
      </c>
      <c r="I108" s="2" t="n">
        <v>46275</v>
      </c>
      <c r="J108" t="inlineStr">
        <is>
          <t>Disetujui</t>
        </is>
      </c>
      <c r="K108" t="n">
        <v>90</v>
      </c>
      <c r="L108" t="inlineStr">
        <is>
          <t>10 September 2026</t>
        </is>
      </c>
      <c r="M108" t="inlineStr">
        <is>
          <t>Konstruksi Bangunan Sipil Jalan, Konstruksi Gedung Hunian, Konstruksi Gedung Pendidikan</t>
        </is>
      </c>
      <c r="N108" t="inlineStr">
        <is>
          <t>K</t>
        </is>
      </c>
      <c r="O108" t="inlineStr">
        <is>
          <t>20230906</t>
        </is>
      </c>
      <c r="P108" t="inlineStr">
        <is>
          <t>Kalimantan Selatan</t>
        </is>
      </c>
      <c r="Q108" t="inlineStr"/>
    </row>
    <row r="109">
      <c r="A109" t="inlineStr">
        <is>
          <t>PANDU SANDEWA</t>
        </is>
      </c>
      <c r="B109" t="inlineStr">
        <is>
          <t>Kab. Bengkulu Utara</t>
        </is>
      </c>
      <c r="C109" t="inlineStr">
        <is>
          <t>085273426244</t>
        </is>
      </c>
      <c r="D109" t="inlineStr">
        <is>
          <t>cv.pandu_sandewa@yahoo.com</t>
        </is>
      </c>
      <c r="E109" t="inlineStr">
        <is>
          <t>https://lpjk.pu.go.id/search-badan-usaha-detail/ZGJjdUpOMHZHVlZVSFh4N05QemZHZz09</t>
        </is>
      </c>
      <c r="F109" t="n">
        <v>1</v>
      </c>
      <c r="G109" t="inlineStr">
        <is>
          <t>BG006</t>
        </is>
      </c>
      <c r="H109" t="inlineStr">
        <is>
          <t>5 April 2017</t>
        </is>
      </c>
      <c r="I109" s="2" t="n">
        <v>46275</v>
      </c>
      <c r="J109" t="inlineStr">
        <is>
          <t>Disetujui</t>
        </is>
      </c>
      <c r="K109" t="n">
        <v>90</v>
      </c>
      <c r="L109" t="inlineStr">
        <is>
          <t>10 September 2026</t>
        </is>
      </c>
      <c r="M109" t="inlineStr">
        <is>
          <t>Konstruksi Gedung Pendidikan</t>
        </is>
      </c>
      <c r="N109" t="inlineStr">
        <is>
          <t>K</t>
        </is>
      </c>
      <c r="O109" t="inlineStr">
        <is>
          <t>20230905</t>
        </is>
      </c>
      <c r="P109" t="inlineStr">
        <is>
          <t>Bengkulu</t>
        </is>
      </c>
      <c r="Q109" t="inlineStr"/>
    </row>
    <row r="110">
      <c r="A110" t="inlineStr">
        <is>
          <t>PARAMARTA MUTIARA KARSA</t>
        </is>
      </c>
      <c r="B110" t="inlineStr">
        <is>
          <t>Kota Adm. Jakarta Barat</t>
        </is>
      </c>
      <c r="C110" t="inlineStr">
        <is>
          <t>081932532137</t>
        </is>
      </c>
      <c r="D110" t="inlineStr">
        <is>
          <t>paramarta.mk@gmail.com</t>
        </is>
      </c>
      <c r="E110" t="inlineStr">
        <is>
          <t>https://lpjk.pu.go.id/search-badan-usaha-detail/YkFFaWRqM245SVV4TS9URHU1NkptUT09</t>
        </is>
      </c>
      <c r="F110" t="n">
        <v>1</v>
      </c>
      <c r="G110" t="inlineStr">
        <is>
          <t>BS017</t>
        </is>
      </c>
      <c r="H110" t="inlineStr">
        <is>
          <t>8 Maret 2023</t>
        </is>
      </c>
      <c r="I110" s="2" t="n">
        <v>46275</v>
      </c>
      <c r="J110" t="inlineStr">
        <is>
          <t>Disetujui</t>
        </is>
      </c>
      <c r="K110" t="n">
        <v>90</v>
      </c>
      <c r="L110" t="inlineStr">
        <is>
          <t>10 September 2026</t>
        </is>
      </c>
      <c r="M110" t="inlineStr">
        <is>
          <t>Konstruksi Bangunan Sipil Lainnya Ytdl</t>
        </is>
      </c>
      <c r="N110" t="inlineStr">
        <is>
          <t>K</t>
        </is>
      </c>
      <c r="O110" t="inlineStr">
        <is>
          <t>20230904</t>
        </is>
      </c>
      <c r="P110" t="inlineStr">
        <is>
          <t>DKI Jakarta</t>
        </is>
      </c>
      <c r="Q110" t="inlineStr"/>
    </row>
    <row r="111">
      <c r="A111" t="inlineStr">
        <is>
          <t>PERMATA ANUGERAH YALASAMUDRA</t>
        </is>
      </c>
      <c r="B111" t="inlineStr">
        <is>
          <t>Kota Surabaya</t>
        </is>
      </c>
      <c r="C111" t="inlineStr">
        <is>
          <t>03182531715</t>
        </is>
      </c>
      <c r="D111" t="inlineStr">
        <is>
          <t>ptpay_permata@yahoo.co.id</t>
        </is>
      </c>
      <c r="E111" t="inlineStr">
        <is>
          <t>https://lpjk.pu.go.id/search-badan-usaha-detail/a3BySEp0aE80NGJUakIwYmw5ZnFrQT09</t>
        </is>
      </c>
      <c r="F111" t="n">
        <v>2</v>
      </c>
      <c r="G111" t="inlineStr">
        <is>
          <t>BG005, BG006</t>
        </is>
      </c>
      <c r="H111" t="inlineStr">
        <is>
          <t>28 Desember 2011</t>
        </is>
      </c>
      <c r="I111" s="2" t="n">
        <v>46275</v>
      </c>
      <c r="J111" t="inlineStr">
        <is>
          <t>Disetujui</t>
        </is>
      </c>
      <c r="K111" t="n">
        <v>90</v>
      </c>
      <c r="L111" t="inlineStr">
        <is>
          <t>10 September 2026</t>
        </is>
      </c>
      <c r="M111" t="inlineStr">
        <is>
          <t>Konstruksi Gedung Kesehatan, Konstruksi Gedung Pendidikan</t>
        </is>
      </c>
      <c r="N111" t="inlineStr">
        <is>
          <t>K, M</t>
        </is>
      </c>
      <c r="O111" t="inlineStr">
        <is>
          <t>20230905</t>
        </is>
      </c>
      <c r="P111" t="inlineStr">
        <is>
          <t>Jawa Timur</t>
        </is>
      </c>
      <c r="Q111" t="inlineStr"/>
    </row>
    <row r="112">
      <c r="A112" t="inlineStr">
        <is>
          <t>PERMATA LESTARI</t>
        </is>
      </c>
      <c r="B112" t="inlineStr">
        <is>
          <t>Kab. Balangan</t>
        </is>
      </c>
      <c r="C112" t="inlineStr">
        <is>
          <t>081291731923</t>
        </is>
      </c>
      <c r="D112" t="inlineStr">
        <is>
          <t>cvpermatalestari682@gmail.com</t>
        </is>
      </c>
      <c r="E112" t="inlineStr">
        <is>
          <t>https://lpjk.pu.go.id/search-badan-usaha-detail/a3RET0VCWGU4RlRNM2lHYnk0Z2x6QT09</t>
        </is>
      </c>
      <c r="F112" t="n">
        <v>1</v>
      </c>
      <c r="G112" t="inlineStr">
        <is>
          <t>BG005</t>
        </is>
      </c>
      <c r="H112" t="inlineStr">
        <is>
          <t>30 Januari 2007</t>
        </is>
      </c>
      <c r="I112" s="2" t="n">
        <v>46275</v>
      </c>
      <c r="J112" t="inlineStr">
        <is>
          <t>Disetujui</t>
        </is>
      </c>
      <c r="K112" t="n">
        <v>90</v>
      </c>
      <c r="L112" t="inlineStr">
        <is>
          <t>10 September 2026</t>
        </is>
      </c>
      <c r="M112" t="inlineStr">
        <is>
          <t>Konstruksi Gedung Kesehatan</t>
        </is>
      </c>
      <c r="N112" t="inlineStr">
        <is>
          <t>K</t>
        </is>
      </c>
      <c r="O112" t="inlineStr">
        <is>
          <t>20230910</t>
        </is>
      </c>
      <c r="P112" t="inlineStr">
        <is>
          <t>Kalimantan Selatan</t>
        </is>
      </c>
      <c r="Q112" t="inlineStr"/>
    </row>
    <row r="113">
      <c r="A113" t="inlineStr">
        <is>
          <t>PERWIRA MENDAWAI BERKAH</t>
        </is>
      </c>
      <c r="B113" t="inlineStr">
        <is>
          <t>Kab. Kotawaringin Barat</t>
        </is>
      </c>
      <c r="C113" t="inlineStr">
        <is>
          <t>085249821111</t>
        </is>
      </c>
      <c r="D113" t="inlineStr">
        <is>
          <t>cv.perwira.mendawai.berkah@gmail.com</t>
        </is>
      </c>
      <c r="E113" t="inlineStr">
        <is>
          <t>https://lpjk.pu.go.id/search-badan-usaha-detail/ZG9BSWFGWXUwS0pLNnJqL0MzbCtwQT09</t>
        </is>
      </c>
      <c r="F113" t="n">
        <v>1</v>
      </c>
      <c r="G113" t="inlineStr">
        <is>
          <t>BG006</t>
        </is>
      </c>
      <c r="H113" t="inlineStr">
        <is>
          <t>9 Maret 2023</t>
        </is>
      </c>
      <c r="I113" s="2" t="n">
        <v>46275</v>
      </c>
      <c r="J113" t="inlineStr">
        <is>
          <t>Disetujui</t>
        </is>
      </c>
      <c r="K113" t="n">
        <v>90</v>
      </c>
      <c r="L113" t="inlineStr">
        <is>
          <t>10 September 2026</t>
        </is>
      </c>
      <c r="M113" t="inlineStr">
        <is>
          <t>Konstruksi Gedung Pendidikan</t>
        </is>
      </c>
      <c r="N113" t="inlineStr">
        <is>
          <t>K</t>
        </is>
      </c>
      <c r="O113" t="inlineStr">
        <is>
          <t>20230908</t>
        </is>
      </c>
      <c r="P113" t="inlineStr">
        <is>
          <t>Kalimantan Tengah</t>
        </is>
      </c>
      <c r="Q113" t="inlineStr"/>
    </row>
    <row r="114">
      <c r="A114" t="inlineStr">
        <is>
          <t>PILAR 94</t>
        </is>
      </c>
      <c r="B114" t="inlineStr">
        <is>
          <t>Kab. Banyumas</t>
        </is>
      </c>
      <c r="C114" t="inlineStr">
        <is>
          <t>0281639882</t>
        </is>
      </c>
      <c r="D114" t="inlineStr">
        <is>
          <t>rudipilar94@gmail.com</t>
        </is>
      </c>
      <c r="E114" t="inlineStr">
        <is>
          <t>https://lpjk.pu.go.id/search-badan-usaha-detail/ZUE0b24zUFI4dGhFRk8xcXI1TVR0UT09</t>
        </is>
      </c>
      <c r="F114" t="n">
        <v>1</v>
      </c>
      <c r="G114" t="inlineStr">
        <is>
          <t>BG002</t>
        </is>
      </c>
      <c r="H114" t="inlineStr">
        <is>
          <t>14 Desember 1993</t>
        </is>
      </c>
      <c r="I114" s="2" t="n">
        <v>46275</v>
      </c>
      <c r="J114" t="inlineStr">
        <is>
          <t>Disetujui</t>
        </is>
      </c>
      <c r="K114" t="n">
        <v>90</v>
      </c>
      <c r="L114" t="inlineStr">
        <is>
          <t>10 September 2026</t>
        </is>
      </c>
      <c r="M114" t="inlineStr">
        <is>
          <t>Konstruksi Gedung Perkantoran</t>
        </is>
      </c>
      <c r="N114" t="inlineStr">
        <is>
          <t>K</t>
        </is>
      </c>
      <c r="O114" t="inlineStr">
        <is>
          <t>20230906</t>
        </is>
      </c>
      <c r="P114" t="inlineStr">
        <is>
          <t>Jawa Tengah</t>
        </is>
      </c>
      <c r="Q114" t="inlineStr"/>
    </row>
    <row r="115">
      <c r="A115" t="inlineStr">
        <is>
          <t>PILAR BUTON SEJAHTERA</t>
        </is>
      </c>
      <c r="B115" t="inlineStr">
        <is>
          <t>Kota Bau Bau</t>
        </is>
      </c>
      <c r="C115" t="inlineStr">
        <is>
          <t>082393929992</t>
        </is>
      </c>
      <c r="D115" t="inlineStr">
        <is>
          <t>pilar.buton1214@gmail.com</t>
        </is>
      </c>
      <c r="E115" t="inlineStr">
        <is>
          <t>https://lpjk.pu.go.id/search-badan-usaha-detail/UTNNdk0yQitFcHJSaE9ja0JkZVE1Zz09</t>
        </is>
      </c>
      <c r="F115" t="n">
        <v>2</v>
      </c>
      <c r="G115" t="inlineStr">
        <is>
          <t>BS001, BS004</t>
        </is>
      </c>
      <c r="H115" t="inlineStr">
        <is>
          <t>11 Januari 2017</t>
        </is>
      </c>
      <c r="I115" s="2" t="n">
        <v>46275</v>
      </c>
      <c r="J115" t="inlineStr">
        <is>
          <t>Disetujui</t>
        </is>
      </c>
      <c r="K115" t="n">
        <v>90</v>
      </c>
      <c r="L115" t="inlineStr">
        <is>
          <t>10 September 2026</t>
        </is>
      </c>
      <c r="M115" t="inlineStr">
        <is>
          <t>Konstruksi Bangunan Sipil Jalan, Konstruksi Jaringan Irigasi dan Drainase</t>
        </is>
      </c>
      <c r="N115" t="inlineStr">
        <is>
          <t>K</t>
        </is>
      </c>
      <c r="O115" t="inlineStr">
        <is>
          <t>20230906</t>
        </is>
      </c>
      <c r="P115" t="inlineStr">
        <is>
          <t>Sulawesi Tenggara</t>
        </is>
      </c>
      <c r="Q115" t="inlineStr"/>
    </row>
    <row r="116">
      <c r="A116" t="inlineStr">
        <is>
          <t>PILLAR BUANA</t>
        </is>
      </c>
      <c r="B116" t="inlineStr">
        <is>
          <t>Kota Bandar Lampung</t>
        </is>
      </c>
      <c r="C116" t="inlineStr">
        <is>
          <t>081369488357</t>
        </is>
      </c>
      <c r="D116" t="inlineStr">
        <is>
          <t>pilarbuanazuka@gmail.com</t>
        </is>
      </c>
      <c r="E116" t="inlineStr">
        <is>
          <t>https://lpjk.pu.go.id/search-badan-usaha-detail/QUxwZFJOMDZ5WXZIcXFXZVdtcFZzZz09</t>
        </is>
      </c>
      <c r="F116" t="n">
        <v>2</v>
      </c>
      <c r="G116" t="inlineStr">
        <is>
          <t>BS005</t>
        </is>
      </c>
      <c r="H116" t="inlineStr">
        <is>
          <t>6 September 2012</t>
        </is>
      </c>
      <c r="I116" s="2" t="n">
        <v>46275</v>
      </c>
      <c r="J116" t="inlineStr">
        <is>
          <t>Disetujui</t>
        </is>
      </c>
      <c r="K116" t="n">
        <v>90</v>
      </c>
      <c r="L116" t="inlineStr">
        <is>
          <t>10 September 2026</t>
        </is>
      </c>
      <c r="M116" t="inlineStr">
        <is>
          <t>Konstruksi Bangunan Sipil Pengolahan Air Bersih</t>
        </is>
      </c>
      <c r="N116" t="inlineStr">
        <is>
          <t>K</t>
        </is>
      </c>
      <c r="O116" t="inlineStr">
        <is>
          <t>20230911</t>
        </is>
      </c>
      <c r="P116" t="inlineStr">
        <is>
          <t>Lampung</t>
        </is>
      </c>
      <c r="Q116" t="inlineStr"/>
    </row>
    <row r="117">
      <c r="A117" t="inlineStr">
        <is>
          <t>PRIMARAYA DIGAZTA</t>
        </is>
      </c>
      <c r="B117" t="inlineStr">
        <is>
          <t>Kab. Sanggau</t>
        </is>
      </c>
      <c r="C117" t="inlineStr">
        <is>
          <t>082255015447</t>
        </is>
      </c>
      <c r="D117" t="inlineStr">
        <is>
          <t>cvprimarayadigazta2@protonmail.com</t>
        </is>
      </c>
      <c r="E117" t="inlineStr">
        <is>
          <t>https://lpjk.pu.go.id/search-badan-usaha-detail/VDh6VDdzTTZzODhVcG5PRmlPUWVBQT09</t>
        </is>
      </c>
      <c r="F117" t="n">
        <v>2</v>
      </c>
      <c r="G117" t="inlineStr">
        <is>
          <t>BG001, BG009</t>
        </is>
      </c>
      <c r="H117" t="inlineStr">
        <is>
          <t>20 Mei 2020</t>
        </is>
      </c>
      <c r="I117" s="2" t="n">
        <v>46275</v>
      </c>
      <c r="J117" t="inlineStr">
        <is>
          <t>Disetujui</t>
        </is>
      </c>
      <c r="K117" t="n">
        <v>90</v>
      </c>
      <c r="L117" t="inlineStr">
        <is>
          <t>10 September 2026</t>
        </is>
      </c>
      <c r="M117" t="inlineStr">
        <is>
          <t>Konstruksi Gedung Hunian, Konstruksi Gedung Lainnya</t>
        </is>
      </c>
      <c r="N117" t="inlineStr">
        <is>
          <t>K</t>
        </is>
      </c>
      <c r="O117" t="inlineStr">
        <is>
          <t>20230908, 20230909</t>
        </is>
      </c>
      <c r="P117" t="inlineStr">
        <is>
          <t>Kalimantan Barat</t>
        </is>
      </c>
      <c r="Q117" t="inlineStr"/>
    </row>
    <row r="118">
      <c r="A118" t="inlineStr">
        <is>
          <t>PURWA DAYA SEJAHTERA</t>
        </is>
      </c>
      <c r="B118" t="inlineStr">
        <is>
          <t>Kota Palembang</t>
        </is>
      </c>
      <c r="C118" t="inlineStr">
        <is>
          <t>07115735479</t>
        </is>
      </c>
      <c r="D118" t="inlineStr">
        <is>
          <t>purwa.daya@gmail.com</t>
        </is>
      </c>
      <c r="E118" t="inlineStr">
        <is>
          <t>https://lpjk.pu.go.id/search-badan-usaha-detail/Mjd6MDM2aFo5Qk9PdS95YmUyUitTZz09</t>
        </is>
      </c>
      <c r="F118" t="n">
        <v>1</v>
      </c>
      <c r="G118" t="inlineStr">
        <is>
          <t>BS004</t>
        </is>
      </c>
      <c r="H118" t="inlineStr">
        <is>
          <t>26 November 2013</t>
        </is>
      </c>
      <c r="I118" s="2" t="n">
        <v>46275</v>
      </c>
      <c r="J118" t="inlineStr">
        <is>
          <t>Disetujui</t>
        </is>
      </c>
      <c r="K118" t="n">
        <v>90</v>
      </c>
      <c r="L118" t="inlineStr">
        <is>
          <t>10 September 2026</t>
        </is>
      </c>
      <c r="M118" t="inlineStr">
        <is>
          <t>Konstruksi Jaringan Irigasi dan Drainase</t>
        </is>
      </c>
      <c r="N118" t="inlineStr">
        <is>
          <t>K</t>
        </is>
      </c>
      <c r="O118" t="inlineStr">
        <is>
          <t>20230908</t>
        </is>
      </c>
      <c r="P118" t="inlineStr">
        <is>
          <t>Sumatera Selatan</t>
        </is>
      </c>
      <c r="Q118" t="inlineStr"/>
    </row>
    <row r="119">
      <c r="A119" t="inlineStr">
        <is>
          <t>PUTRA SOFHIA PRATIWI</t>
        </is>
      </c>
      <c r="B119" t="inlineStr">
        <is>
          <t>Kab. Toba Samosir</t>
        </is>
      </c>
      <c r="C119" t="inlineStr">
        <is>
          <t>081265361540</t>
        </is>
      </c>
      <c r="D119" t="inlineStr">
        <is>
          <t>simangunsongandro2016@gmail.com</t>
        </is>
      </c>
      <c r="E119" t="inlineStr">
        <is>
          <t>https://lpjk.pu.go.id/search-badan-usaha-detail/cmdkRVlvNzk5S2RCZmJaMlhpVG9Pdz09</t>
        </is>
      </c>
      <c r="F119" t="n">
        <v>2</v>
      </c>
      <c r="G119" t="inlineStr">
        <is>
          <t>BG006</t>
        </is>
      </c>
      <c r="H119" t="inlineStr">
        <is>
          <t>25 Juli 2012</t>
        </is>
      </c>
      <c r="I119" s="2" t="n">
        <v>46275</v>
      </c>
      <c r="J119" t="inlineStr">
        <is>
          <t>Disetujui</t>
        </is>
      </c>
      <c r="K119" t="n">
        <v>90</v>
      </c>
      <c r="L119" t="inlineStr">
        <is>
          <t>10 September 2026</t>
        </is>
      </c>
      <c r="M119" t="inlineStr">
        <is>
          <t>Konstruksi Gedung Pendidikan</t>
        </is>
      </c>
      <c r="N119" t="inlineStr">
        <is>
          <t>K</t>
        </is>
      </c>
      <c r="O119" t="inlineStr">
        <is>
          <t>20230907</t>
        </is>
      </c>
      <c r="P119" t="inlineStr">
        <is>
          <t>Sumatera Utara</t>
        </is>
      </c>
      <c r="Q119" t="inlineStr"/>
    </row>
    <row r="120">
      <c r="A120" t="inlineStr">
        <is>
          <t>RADEN BANGSAWAN</t>
        </is>
      </c>
      <c r="B120" t="inlineStr">
        <is>
          <t>Kota Palembang</t>
        </is>
      </c>
      <c r="C120" t="inlineStr">
        <is>
          <t>081377504663</t>
        </is>
      </c>
      <c r="D120" t="inlineStr">
        <is>
          <t>ptradenbangsawan@gmail.com</t>
        </is>
      </c>
      <c r="E120" t="inlineStr">
        <is>
          <t>https://lpjk.pu.go.id/search-badan-usaha-detail/WjA3Rk9XaFRUWjRYMm9jLzJXQTBQQT09</t>
        </is>
      </c>
      <c r="F120" t="n">
        <v>1</v>
      </c>
      <c r="G120" t="inlineStr">
        <is>
          <t>BG009</t>
        </is>
      </c>
      <c r="H120" t="inlineStr">
        <is>
          <t>19 Maret 2009</t>
        </is>
      </c>
      <c r="I120" s="2" t="n">
        <v>46275</v>
      </c>
      <c r="J120" t="inlineStr">
        <is>
          <t>Disetujui</t>
        </is>
      </c>
      <c r="K120" t="n">
        <v>90</v>
      </c>
      <c r="L120" t="inlineStr">
        <is>
          <t>10 September 2026</t>
        </is>
      </c>
      <c r="M120" t="inlineStr">
        <is>
          <t>Konstruksi Gedung Lainnya</t>
        </is>
      </c>
      <c r="N120" t="inlineStr">
        <is>
          <t>K</t>
        </is>
      </c>
      <c r="O120" t="inlineStr">
        <is>
          <t>20230810</t>
        </is>
      </c>
      <c r="P120" t="inlineStr">
        <is>
          <t>Sumatera Selatan</t>
        </is>
      </c>
      <c r="Q120" t="inlineStr"/>
    </row>
    <row r="121">
      <c r="A121" t="inlineStr">
        <is>
          <t>RAJA GENTHA</t>
        </is>
      </c>
      <c r="B121" t="inlineStr">
        <is>
          <t>Kab. Jember</t>
        </is>
      </c>
      <c r="C121" t="inlineStr">
        <is>
          <t>081227370223</t>
        </is>
      </c>
      <c r="D121" t="inlineStr">
        <is>
          <t>rajagentha@gmail.com</t>
        </is>
      </c>
      <c r="E121" t="inlineStr">
        <is>
          <t>https://lpjk.pu.go.id/search-badan-usaha-detail/ZGQvYVQ5L0FzVFU5QUVvRXlLRDlDdz09</t>
        </is>
      </c>
      <c r="F121" t="n">
        <v>1</v>
      </c>
      <c r="G121" t="inlineStr">
        <is>
          <t>BG002</t>
        </is>
      </c>
      <c r="H121" t="inlineStr">
        <is>
          <t>9 Juni 2023</t>
        </is>
      </c>
      <c r="I121" s="2" t="n">
        <v>46275</v>
      </c>
      <c r="J121" t="inlineStr">
        <is>
          <t>Disetujui</t>
        </is>
      </c>
      <c r="K121" t="n">
        <v>90</v>
      </c>
      <c r="L121" t="inlineStr">
        <is>
          <t>10 September 2026</t>
        </is>
      </c>
      <c r="M121" t="inlineStr">
        <is>
          <t>Konstruksi Gedung Perkantoran</t>
        </is>
      </c>
      <c r="N121" t="inlineStr">
        <is>
          <t>K</t>
        </is>
      </c>
      <c r="O121" t="inlineStr">
        <is>
          <t>20230901</t>
        </is>
      </c>
      <c r="P121" t="inlineStr">
        <is>
          <t>Jawa Timur</t>
        </is>
      </c>
      <c r="Q121" t="inlineStr"/>
    </row>
    <row r="122">
      <c r="A122" t="inlineStr">
        <is>
          <t>RAJA PRATAMA KONSTRUKSI</t>
        </is>
      </c>
      <c r="B122" t="inlineStr">
        <is>
          <t>Kab. Landak</t>
        </is>
      </c>
      <c r="C122" t="inlineStr">
        <is>
          <t>085390226666</t>
        </is>
      </c>
      <c r="D122" t="inlineStr">
        <is>
          <t>rajapratamakonstruksi@gmail.com</t>
        </is>
      </c>
      <c r="E122" t="inlineStr">
        <is>
          <t>https://lpjk.pu.go.id/search-badan-usaha-detail/d1pQOENCUExEdUdUVWpKUlZPYnB2Zz09</t>
        </is>
      </c>
      <c r="F122" t="n">
        <v>4</v>
      </c>
      <c r="G122" t="inlineStr">
        <is>
          <t>BG001, BG006, BS001, BS002</t>
        </is>
      </c>
      <c r="H122" t="inlineStr">
        <is>
          <t>9 Agustus 2023</t>
        </is>
      </c>
      <c r="I122" s="2" t="n">
        <v>46275</v>
      </c>
      <c r="J122" t="inlineStr">
        <is>
          <t>Disetujui</t>
        </is>
      </c>
      <c r="K122" t="n">
        <v>90</v>
      </c>
      <c r="L122" t="inlineStr">
        <is>
          <t>10 September 2026</t>
        </is>
      </c>
      <c r="M122" t="inlineStr">
        <is>
          <t>Bangunan Sipil Jembatan, Jalan Layang, Fly Over, dan Underpass, Konstruksi Bangunan Sipil Jalan, Konstruksi Gedung Hunian, Konstruksi Gedung Pendidikan</t>
        </is>
      </c>
      <c r="N122" t="inlineStr">
        <is>
          <t>K</t>
        </is>
      </c>
      <c r="O122" t="inlineStr">
        <is>
          <t>20230909</t>
        </is>
      </c>
      <c r="P122" t="inlineStr">
        <is>
          <t>Kalimantan Barat</t>
        </is>
      </c>
      <c r="Q122" t="inlineStr"/>
    </row>
    <row r="123">
      <c r="A123" t="inlineStr">
        <is>
          <t>RAJENDRA CONTRUCTION</t>
        </is>
      </c>
      <c r="B123" t="inlineStr">
        <is>
          <t>Kota Salatiga</t>
        </is>
      </c>
      <c r="C123" t="inlineStr">
        <is>
          <t>081325258740</t>
        </is>
      </c>
      <c r="D123" t="inlineStr">
        <is>
          <t>rajendra.contruction@gmail.com</t>
        </is>
      </c>
      <c r="E123" t="inlineStr">
        <is>
          <t>https://lpjk.pu.go.id/search-badan-usaha-detail/dFRaTkZmVitvRE9QaXNtQWpvdUo0Zz09</t>
        </is>
      </c>
      <c r="F123" t="n">
        <v>2</v>
      </c>
      <c r="G123" t="inlineStr">
        <is>
          <t>BG006, BS004</t>
        </is>
      </c>
      <c r="H123" t="inlineStr">
        <is>
          <t>26 September 2016</t>
        </is>
      </c>
      <c r="I123" s="2" t="n">
        <v>46275</v>
      </c>
      <c r="J123" t="inlineStr">
        <is>
          <t>Pencabutan</t>
        </is>
      </c>
      <c r="K123" t="n">
        <v>90</v>
      </c>
      <c r="L123" t="inlineStr">
        <is>
          <t>10 September 2026</t>
        </is>
      </c>
      <c r="M123" t="inlineStr">
        <is>
          <t>Konstruksi Gedung Pendidikan, Konstruksi Jaringan Irigasi dan Drainase</t>
        </is>
      </c>
      <c r="N123" t="inlineStr">
        <is>
          <t>K</t>
        </is>
      </c>
      <c r="O123" t="inlineStr">
        <is>
          <t>20230907</t>
        </is>
      </c>
      <c r="P123" t="inlineStr">
        <is>
          <t>Jawa Tengah</t>
        </is>
      </c>
      <c r="Q123" t="inlineStr"/>
    </row>
    <row r="124">
      <c r="A124" t="inlineStr">
        <is>
          <t>RAVAEL ATHA PRATAMA</t>
        </is>
      </c>
      <c r="B124" t="inlineStr">
        <is>
          <t>Kota Pekanbaru</t>
        </is>
      </c>
      <c r="C124" t="inlineStr">
        <is>
          <t>082283074342</t>
        </is>
      </c>
      <c r="D124" t="inlineStr">
        <is>
          <t>cv.ravaelathapratama777@gmail.com</t>
        </is>
      </c>
      <c r="E124" t="inlineStr">
        <is>
          <t>https://lpjk.pu.go.id/search-badan-usaha-detail/N3Mrcjd0QVBzekVsRmRPNkJTTkdDQT09</t>
        </is>
      </c>
      <c r="F124" t="n">
        <v>3</v>
      </c>
      <c r="G124" t="inlineStr">
        <is>
          <t>BG001, BG005, BG009</t>
        </is>
      </c>
      <c r="H124" t="inlineStr">
        <is>
          <t>12 Maret 2007</t>
        </is>
      </c>
      <c r="I124" s="2" t="n">
        <v>46275</v>
      </c>
      <c r="J124" t="inlineStr">
        <is>
          <t>Disetujui</t>
        </is>
      </c>
      <c r="K124" t="n">
        <v>90</v>
      </c>
      <c r="L124" t="inlineStr">
        <is>
          <t>10 September 2026</t>
        </is>
      </c>
      <c r="M124" t="inlineStr">
        <is>
          <t>Konstruksi Gedung Hunian, Konstruksi Gedung Kesehatan, Konstruksi Gedung Lainnya</t>
        </is>
      </c>
      <c r="N124" t="inlineStr">
        <is>
          <t>K</t>
        </is>
      </c>
      <c r="O124" t="inlineStr">
        <is>
          <t>20230905</t>
        </is>
      </c>
      <c r="P124" t="inlineStr">
        <is>
          <t>Riau</t>
        </is>
      </c>
      <c r="Q124" t="inlineStr"/>
    </row>
    <row r="125">
      <c r="A125" t="inlineStr">
        <is>
          <t>REKAYASA ANDALAN</t>
        </is>
      </c>
      <c r="B125" t="inlineStr">
        <is>
          <t>Kota Banda Aceh</t>
        </is>
      </c>
      <c r="C125" t="inlineStr">
        <is>
          <t>085260997089</t>
        </is>
      </c>
      <c r="D125" t="inlineStr">
        <is>
          <t>rekayasa.andalan@gmail.com</t>
        </is>
      </c>
      <c r="E125" t="inlineStr">
        <is>
          <t>https://lpjk.pu.go.id/search-badan-usaha-detail/c2lKdGhsSGNGSkQvcnZ6bk1OV3pYdz09</t>
        </is>
      </c>
      <c r="F125" t="n">
        <v>4</v>
      </c>
      <c r="G125" t="inlineStr">
        <is>
          <t>IT001, IT002</t>
        </is>
      </c>
      <c r="H125" t="inlineStr">
        <is>
          <t>22 Juni 2012</t>
        </is>
      </c>
      <c r="I125" s="2" t="n">
        <v>46275</v>
      </c>
      <c r="J125" t="inlineStr">
        <is>
          <t>Disetujui</t>
        </is>
      </c>
      <c r="K125" t="n">
        <v>90</v>
      </c>
      <c r="L125" t="inlineStr">
        <is>
          <t>10 September 2026</t>
        </is>
      </c>
      <c r="M125" t="inlineStr">
        <is>
          <t>Jasa Konsultansi Ilmiah dan Teknis Bawah Tanah, Jasa Pembuatan Prospektus Geologi dan Geofisika</t>
        </is>
      </c>
      <c r="N125" t="inlineStr">
        <is>
          <t>Spesialis</t>
        </is>
      </c>
      <c r="O125" t="inlineStr">
        <is>
          <t>20230829</t>
        </is>
      </c>
      <c r="P125" t="inlineStr">
        <is>
          <t>Aceh</t>
        </is>
      </c>
      <c r="Q125" t="inlineStr"/>
    </row>
    <row r="126">
      <c r="A126" t="inlineStr">
        <is>
          <t>REZKY BIMA CIPKA KONSULTAN</t>
        </is>
      </c>
      <c r="B126" t="inlineStr">
        <is>
          <t>Kota Padang</t>
        </is>
      </c>
      <c r="C126" t="inlineStr">
        <is>
          <t>08126721506</t>
        </is>
      </c>
      <c r="D126" t="inlineStr">
        <is>
          <t>ersilsoriansyah@yahoo.co.id</t>
        </is>
      </c>
      <c r="E126" t="inlineStr">
        <is>
          <t>https://lpjk.pu.go.id/search-badan-usaha-detail/N1NwdnhaK1hQWFBIdVpYOXRvbExqQT09</t>
        </is>
      </c>
      <c r="F126" t="n">
        <v>2</v>
      </c>
      <c r="G126" t="inlineStr">
        <is>
          <t>RK002, RK003</t>
        </is>
      </c>
      <c r="H126" t="inlineStr">
        <is>
          <t>19 Oktober 1990</t>
        </is>
      </c>
      <c r="I126" s="2" t="n">
        <v>46275</v>
      </c>
      <c r="J126" t="inlineStr">
        <is>
          <t>Disetujui</t>
        </is>
      </c>
      <c r="K126" t="n">
        <v>90</v>
      </c>
      <c r="L126" t="inlineStr">
        <is>
          <t>10 September 2026</t>
        </is>
      </c>
      <c r="M126" t="inlineStr">
        <is>
          <t>Jasa Rekayasa Pekerjaan Teknik Sipil Sumber Daya Air, Jasa Rekayasa Pekerjaan Teknik Sipil Transportasi</t>
        </is>
      </c>
      <c r="N126" t="inlineStr">
        <is>
          <t>K</t>
        </is>
      </c>
      <c r="O126" t="inlineStr">
        <is>
          <t>20230831, 20230901</t>
        </is>
      </c>
      <c r="P126" t="inlineStr">
        <is>
          <t>Sumatera Barat</t>
        </is>
      </c>
      <c r="Q126" t="inlineStr"/>
    </row>
    <row r="127">
      <c r="A127" t="inlineStr">
        <is>
          <t>RIZKI ABADI</t>
        </is>
      </c>
      <c r="B127" t="inlineStr">
        <is>
          <t>Kab. Indramayu</t>
        </is>
      </c>
      <c r="C127" t="inlineStr">
        <is>
          <t>085923142625</t>
        </is>
      </c>
      <c r="D127" t="inlineStr">
        <is>
          <t>husensahdi@yahoo.com</t>
        </is>
      </c>
      <c r="E127" t="inlineStr">
        <is>
          <t>https://lpjk.pu.go.id/search-badan-usaha-detail/YmhGQ3MzaTB4R0MrK1Vrd1pCSGpEUT09</t>
        </is>
      </c>
      <c r="F127" t="n">
        <v>1</v>
      </c>
      <c r="G127" t="inlineStr">
        <is>
          <t>BS004</t>
        </is>
      </c>
      <c r="H127" t="inlineStr">
        <is>
          <t>6 Desember 2000</t>
        </is>
      </c>
      <c r="I127" s="2" t="n">
        <v>46275</v>
      </c>
      <c r="J127" t="inlineStr">
        <is>
          <t>Disetujui</t>
        </is>
      </c>
      <c r="K127" t="n">
        <v>90</v>
      </c>
      <c r="L127" t="inlineStr">
        <is>
          <t>10 September 2026</t>
        </is>
      </c>
      <c r="M127" t="inlineStr">
        <is>
          <t>Konstruksi Jaringan Irigasi dan Drainase</t>
        </is>
      </c>
      <c r="N127" t="inlineStr">
        <is>
          <t>K</t>
        </is>
      </c>
      <c r="O127" t="inlineStr">
        <is>
          <t>20230907</t>
        </is>
      </c>
      <c r="P127" t="inlineStr">
        <is>
          <t>Jawa Barat</t>
        </is>
      </c>
      <c r="Q127" t="inlineStr"/>
    </row>
    <row r="128">
      <c r="A128" t="inlineStr">
        <is>
          <t>RIZKI KARYA</t>
        </is>
      </c>
      <c r="B128" t="inlineStr">
        <is>
          <t>Kab. Mandailing Natal</t>
        </is>
      </c>
      <c r="C128" t="inlineStr">
        <is>
          <t>082164575757</t>
        </is>
      </c>
      <c r="D128" t="inlineStr">
        <is>
          <t>rizkikaryacv@gmail.com</t>
        </is>
      </c>
      <c r="E128" t="inlineStr">
        <is>
          <t>https://lpjk.pu.go.id/search-badan-usaha-detail/STgrU1BkTE1CMVZHa1d1ei9IODlSQT09</t>
        </is>
      </c>
      <c r="F128" t="n">
        <v>1</v>
      </c>
      <c r="G128" t="inlineStr">
        <is>
          <t>BS010</t>
        </is>
      </c>
      <c r="H128" t="inlineStr">
        <is>
          <t>15 September 2014</t>
        </is>
      </c>
      <c r="I128" s="2" t="n">
        <v>46275</v>
      </c>
      <c r="J128" t="inlineStr">
        <is>
          <t>Disetujui</t>
        </is>
      </c>
      <c r="K128" t="n">
        <v>90</v>
      </c>
      <c r="L128" t="inlineStr">
        <is>
          <t>10 September 2026</t>
        </is>
      </c>
      <c r="M128" t="inlineStr">
        <is>
          <t>Konstruksi Bangunan Prasarana Sumber Daya Air</t>
        </is>
      </c>
      <c r="N128" t="inlineStr">
        <is>
          <t>K</t>
        </is>
      </c>
      <c r="O128" t="inlineStr">
        <is>
          <t>20230910</t>
        </is>
      </c>
      <c r="P128" t="inlineStr">
        <is>
          <t>Sumatera Utara</t>
        </is>
      </c>
      <c r="Q128" t="inlineStr"/>
    </row>
    <row r="129">
      <c r="A129" t="inlineStr">
        <is>
          <t>SAMALA JAYA KONSULTAN</t>
        </is>
      </c>
      <c r="B129" t="inlineStr">
        <is>
          <t>Kota Bengkulu</t>
        </is>
      </c>
      <c r="C129" t="inlineStr">
        <is>
          <t>0895603591408</t>
        </is>
      </c>
      <c r="D129" t="inlineStr">
        <is>
          <t>samalajayakonsultan@gmail.com</t>
        </is>
      </c>
      <c r="E129" t="inlineStr">
        <is>
          <t>https://lpjk.pu.go.id/search-badan-usaha-detail/bU5TZUNZd051Vk9HSWQvWURYcENWdz09</t>
        </is>
      </c>
      <c r="F129" t="n">
        <v>2</v>
      </c>
      <c r="G129" t="inlineStr">
        <is>
          <t>RK001</t>
        </is>
      </c>
      <c r="H129" t="inlineStr">
        <is>
          <t>11 Januari 2019</t>
        </is>
      </c>
      <c r="I129" s="2" t="n">
        <v>46275</v>
      </c>
      <c r="J129" t="inlineStr">
        <is>
          <t>Pencabutan</t>
        </is>
      </c>
      <c r="K129" t="n">
        <v>90</v>
      </c>
      <c r="L129" t="inlineStr">
        <is>
          <t>10 September 2026</t>
        </is>
      </c>
      <c r="M129" t="inlineStr">
        <is>
          <t>Jasa Rekayasa Konstruksi Bangunan Gedung Hunian dan Non Hunian</t>
        </is>
      </c>
      <c r="N129" t="inlineStr">
        <is>
          <t>K</t>
        </is>
      </c>
      <c r="O129" t="inlineStr">
        <is>
          <t>20230824</t>
        </is>
      </c>
      <c r="P129" t="inlineStr">
        <is>
          <t>Bengkulu</t>
        </is>
      </c>
      <c r="Q129" t="inlineStr"/>
    </row>
    <row r="130">
      <c r="A130" t="inlineStr">
        <is>
          <t>SAMALA JAYA KONSULTAN</t>
        </is>
      </c>
      <c r="B130" t="inlineStr">
        <is>
          <t>Kota Bengkulu</t>
        </is>
      </c>
      <c r="C130" t="inlineStr">
        <is>
          <t>081377544034</t>
        </is>
      </c>
      <c r="D130" t="inlineStr">
        <is>
          <t>samalajayakonsultan@gmail.com</t>
        </is>
      </c>
      <c r="E130" t="inlineStr">
        <is>
          <t>https://lpjk.pu.go.id/search-badan-usaha-detail/a3ExQk9qUXllQXdhZUxnUnVSMHJVdkVNbFhKLzVPamhrYTVUYzdWTG42bz0</t>
        </is>
      </c>
      <c r="F130" t="n">
        <v>2</v>
      </c>
      <c r="G130" t="inlineStr">
        <is>
          <t>RK002</t>
        </is>
      </c>
      <c r="H130" t="inlineStr">
        <is>
          <t>10 Februari 2025</t>
        </is>
      </c>
      <c r="I130" s="2" t="n">
        <v>46275</v>
      </c>
      <c r="J130" t="inlineStr">
        <is>
          <t>Disetujui</t>
        </is>
      </c>
      <c r="K130" t="n">
        <v>90</v>
      </c>
      <c r="L130" t="inlineStr">
        <is>
          <t>10 September 2026</t>
        </is>
      </c>
      <c r="M130" t="inlineStr">
        <is>
          <t>Jasa Rekayasa Pekerjaan Teknik Sipil Sumber Daya Air</t>
        </is>
      </c>
      <c r="N130" t="inlineStr">
        <is>
          <t>K</t>
        </is>
      </c>
      <c r="O130" t="inlineStr">
        <is>
          <t>20230821</t>
        </is>
      </c>
      <c r="P130" t="inlineStr">
        <is>
          <t>Bengkulu</t>
        </is>
      </c>
      <c r="Q130" t="inlineStr"/>
    </row>
    <row r="131">
      <c r="A131" t="inlineStr">
        <is>
          <t>SANG RATU MAHENDRA</t>
        </is>
      </c>
      <c r="B131" t="inlineStr">
        <is>
          <t>Kab. Cirebon</t>
        </is>
      </c>
      <c r="C131" t="inlineStr">
        <is>
          <t>08170683201</t>
        </is>
      </c>
      <c r="D131" t="inlineStr">
        <is>
          <t>pt.sangratumahendra09@gmail.com</t>
        </is>
      </c>
      <c r="E131" t="inlineStr">
        <is>
          <t>https://lpjk.pu.go.id/search-badan-usaha-detail/NjdXdzkvcWpXOGFycHRDUXVIOXo1Zz09</t>
        </is>
      </c>
      <c r="F131" t="n">
        <v>2</v>
      </c>
      <c r="G131" t="inlineStr">
        <is>
          <t>BS001, BS003</t>
        </is>
      </c>
      <c r="H131" t="inlineStr">
        <is>
          <t>15 Juni 2020</t>
        </is>
      </c>
      <c r="I131" s="2" t="n">
        <v>46275</v>
      </c>
      <c r="J131" t="inlineStr">
        <is>
          <t>Disetujui</t>
        </is>
      </c>
      <c r="K131" t="n">
        <v>90</v>
      </c>
      <c r="L131" t="inlineStr">
        <is>
          <t>10 September 2026</t>
        </is>
      </c>
      <c r="M131" t="inlineStr">
        <is>
          <t>Konstruksi Bangunan Sipil Jalan, Konstruksi Jalan Rel</t>
        </is>
      </c>
      <c r="N131" t="inlineStr">
        <is>
          <t>K</t>
        </is>
      </c>
      <c r="O131" t="inlineStr">
        <is>
          <t>20230906, 20230907</t>
        </is>
      </c>
      <c r="P131" t="inlineStr">
        <is>
          <t>Jawa Barat</t>
        </is>
      </c>
      <c r="Q131" t="inlineStr"/>
    </row>
    <row r="132">
      <c r="A132" t="inlineStr">
        <is>
          <t>SANTIRA AGUNG</t>
        </is>
      </c>
      <c r="B132" t="inlineStr">
        <is>
          <t>Kota Medan</t>
        </is>
      </c>
      <c r="C132" t="inlineStr">
        <is>
          <t>81235753828</t>
        </is>
      </c>
      <c r="D132" t="inlineStr">
        <is>
          <t>santiraagung1@gmail.com</t>
        </is>
      </c>
      <c r="E132" t="inlineStr">
        <is>
          <t>https://lpjk.pu.go.id/search-badan-usaha-detail/eFNHNS8vRXVOTnMxclJmWmFsdEhuQT09</t>
        </is>
      </c>
      <c r="F132" t="n">
        <v>2</v>
      </c>
      <c r="G132" t="inlineStr">
        <is>
          <t>BG006, BG009</t>
        </is>
      </c>
      <c r="H132" t="inlineStr">
        <is>
          <t>28 Desember 2007</t>
        </is>
      </c>
      <c r="I132" s="2" t="n">
        <v>46275</v>
      </c>
      <c r="J132" t="inlineStr">
        <is>
          <t>Disetujui</t>
        </is>
      </c>
      <c r="K132" t="n">
        <v>90</v>
      </c>
      <c r="L132" t="inlineStr">
        <is>
          <t>10 September 2026</t>
        </is>
      </c>
      <c r="M132" t="inlineStr">
        <is>
          <t>Konstruksi Gedung Lainnya, Konstruksi Gedung Pendidikan</t>
        </is>
      </c>
      <c r="N132" t="inlineStr">
        <is>
          <t>K</t>
        </is>
      </c>
      <c r="O132" t="inlineStr">
        <is>
          <t>20230906, 20230907</t>
        </is>
      </c>
      <c r="P132" t="inlineStr">
        <is>
          <t>Sumatera Utara</t>
        </is>
      </c>
      <c r="Q132" t="inlineStr"/>
    </row>
    <row r="133">
      <c r="A133" t="inlineStr">
        <is>
          <t>SARANA BALI</t>
        </is>
      </c>
      <c r="B133" t="inlineStr">
        <is>
          <t>Kota Denpasar</t>
        </is>
      </c>
      <c r="C133" t="inlineStr">
        <is>
          <t>085205290351</t>
        </is>
      </c>
      <c r="D133" t="inlineStr">
        <is>
          <t>sarana.bali@gmail.com</t>
        </is>
      </c>
      <c r="E133" t="inlineStr">
        <is>
          <t>https://lpjk.pu.go.id/search-badan-usaha-detail/Z2tWcjh4SmtWajlMMkdVZWNsTTdPZz09</t>
        </is>
      </c>
      <c r="F133" t="n">
        <v>1</v>
      </c>
      <c r="G133" t="inlineStr">
        <is>
          <t>BS004</t>
        </is>
      </c>
      <c r="H133" t="inlineStr">
        <is>
          <t>18 April 1992</t>
        </is>
      </c>
      <c r="I133" s="2" t="n">
        <v>46275</v>
      </c>
      <c r="J133" t="inlineStr">
        <is>
          <t>Disetujui</t>
        </is>
      </c>
      <c r="K133" t="n">
        <v>90</v>
      </c>
      <c r="L133" t="inlineStr">
        <is>
          <t>10 September 2026</t>
        </is>
      </c>
      <c r="M133" t="inlineStr">
        <is>
          <t>Konstruksi Jaringan Irigasi dan Drainase</t>
        </is>
      </c>
      <c r="N133" t="inlineStr">
        <is>
          <t>K</t>
        </is>
      </c>
      <c r="O133" t="inlineStr">
        <is>
          <t>20230905</t>
        </is>
      </c>
      <c r="P133" t="inlineStr">
        <is>
          <t>Bali</t>
        </is>
      </c>
      <c r="Q133" t="inlineStr"/>
    </row>
    <row r="134">
      <c r="A134" t="inlineStr">
        <is>
          <t>SARANA BHUANA JAYA</t>
        </is>
      </c>
      <c r="B134" t="inlineStr">
        <is>
          <t>Kota Bandung</t>
        </is>
      </c>
      <c r="C134" t="inlineStr">
        <is>
          <t>0227315904</t>
        </is>
      </c>
      <c r="D134" t="inlineStr">
        <is>
          <t>sarana.sbj@gmail.com</t>
        </is>
      </c>
      <c r="E134" t="inlineStr">
        <is>
          <t>https://lpjk.pu.go.id/search-badan-usaha-detail/WGRmTUxJUmxmTEdsMFhjb1ZRSFpoUT09</t>
        </is>
      </c>
      <c r="F134" t="n">
        <v>1</v>
      </c>
      <c r="G134" t="inlineStr">
        <is>
          <t>RK003</t>
        </is>
      </c>
      <c r="H134" t="inlineStr">
        <is>
          <t>16 Oktober 1985</t>
        </is>
      </c>
      <c r="I134" s="2" t="n">
        <v>46275</v>
      </c>
      <c r="J134" t="inlineStr">
        <is>
          <t>Disetujui</t>
        </is>
      </c>
      <c r="K134" t="n">
        <v>90</v>
      </c>
      <c r="L134" t="inlineStr">
        <is>
          <t>10 September 2026</t>
        </is>
      </c>
      <c r="M134" t="inlineStr">
        <is>
          <t>Jasa Rekayasa Pekerjaan Teknik Sipil Transportasi</t>
        </is>
      </c>
      <c r="N134" t="inlineStr">
        <is>
          <t>B</t>
        </is>
      </c>
      <c r="O134" t="inlineStr">
        <is>
          <t>20230824</t>
        </is>
      </c>
      <c r="P134" t="inlineStr">
        <is>
          <t>Jawa Barat</t>
        </is>
      </c>
      <c r="Q134" t="inlineStr"/>
    </row>
    <row r="135">
      <c r="A135" t="inlineStr">
        <is>
          <t>SASANA KARYA</t>
        </is>
      </c>
      <c r="B135" t="inlineStr">
        <is>
          <t>Kota Bandung</t>
        </is>
      </c>
      <c r="C135" t="inlineStr">
        <is>
          <t>0227566012</t>
        </is>
      </c>
      <c r="D135" t="inlineStr">
        <is>
          <t>sasana_karya@yahoo.co.id</t>
        </is>
      </c>
      <c r="E135" t="inlineStr">
        <is>
          <t>https://lpjk.pu.go.id/search-badan-usaha-detail/dElzVFM3M0ZZYnV6L0FIdEsrYTE2dz09</t>
        </is>
      </c>
      <c r="F135" t="n">
        <v>6</v>
      </c>
      <c r="G135" t="inlineStr">
        <is>
          <t>AR001, AR002, AR003, RK001, RK003, RK004</t>
        </is>
      </c>
      <c r="H135" t="inlineStr">
        <is>
          <t>5 November 1991</t>
        </is>
      </c>
      <c r="I135" s="2" t="n">
        <v>46275</v>
      </c>
      <c r="J135" t="inlineStr">
        <is>
          <t>Disetujui</t>
        </is>
      </c>
      <c r="K135" t="n">
        <v>90</v>
      </c>
      <c r="L135" t="inlineStr">
        <is>
          <t>10 September 2026</t>
        </is>
      </c>
      <c r="M135" t="inlineStr">
        <is>
          <t>Jasa Arsitektural Bangunan Gedung Hunian dan Non Hunian, Jasa Arsitektural Lainnya, Jasa Desain Interior pada Bangunan Gedung dan Bangunan Sipil, Jasa Rekayasa Konstruksi Bangunan Gedung Hunian dan Non Hunian, Jasa Rekayasa Pekerjaan Mekanikal Dalam Bangunan, Jasa Rekayasa Pekerjaan Teknik Sipil Transportasi</t>
        </is>
      </c>
      <c r="N135" t="inlineStr">
        <is>
          <t>K</t>
        </is>
      </c>
      <c r="O135" t="inlineStr">
        <is>
          <t>20230901</t>
        </is>
      </c>
      <c r="P135" t="inlineStr">
        <is>
          <t>Jawa Barat</t>
        </is>
      </c>
      <c r="Q135" t="inlineStr"/>
    </row>
    <row r="136">
      <c r="A136" t="inlineStr">
        <is>
          <t>SELAT AIR HITAM</t>
        </is>
      </c>
      <c r="B136" t="inlineStr">
        <is>
          <t>Kab. Kepulauan Meranti</t>
        </is>
      </c>
      <c r="C136" t="inlineStr">
        <is>
          <t>082129009649</t>
        </is>
      </c>
      <c r="D136" t="inlineStr">
        <is>
          <t>cvselatairhitam@gmail.com</t>
        </is>
      </c>
      <c r="E136" t="inlineStr">
        <is>
          <t>https://lpjk.pu.go.id/search-badan-usaha-detail/SlA2WFNpMHFFTUQzTlEzdklPUXY5Zz09</t>
        </is>
      </c>
      <c r="F136" t="n">
        <v>2</v>
      </c>
      <c r="G136" t="inlineStr">
        <is>
          <t>BG001, BG009</t>
        </is>
      </c>
      <c r="H136" t="inlineStr">
        <is>
          <t>22 Februari 2021</t>
        </is>
      </c>
      <c r="I136" s="2" t="n">
        <v>46275</v>
      </c>
      <c r="J136" t="inlineStr">
        <is>
          <t>Disetujui, Pencabutan</t>
        </is>
      </c>
      <c r="K136" t="n">
        <v>90</v>
      </c>
      <c r="L136" t="inlineStr">
        <is>
          <t>10 September 2026</t>
        </is>
      </c>
      <c r="M136" t="inlineStr">
        <is>
          <t>Konstruksi Gedung Hunian, Konstruksi Gedung Lainnya</t>
        </is>
      </c>
      <c r="N136" t="inlineStr">
        <is>
          <t>K</t>
        </is>
      </c>
      <c r="O136" t="inlineStr">
        <is>
          <t>20230911</t>
        </is>
      </c>
      <c r="P136" t="inlineStr">
        <is>
          <t>Riau</t>
        </is>
      </c>
      <c r="Q136" t="inlineStr"/>
    </row>
    <row r="137">
      <c r="A137" t="inlineStr">
        <is>
          <t>SIGMA CAHAYA PAPUA</t>
        </is>
      </c>
      <c r="B137" t="inlineStr">
        <is>
          <t>Kab. Fak Fak</t>
        </is>
      </c>
      <c r="C137" t="inlineStr">
        <is>
          <t>081312866258</t>
        </is>
      </c>
      <c r="D137" t="inlineStr">
        <is>
          <t>cv.sigmacahayapapua@gmail.com</t>
        </is>
      </c>
      <c r="E137" t="inlineStr">
        <is>
          <t>https://lpjk.pu.go.id/search-badan-usaha-detail/QkN2bHNVTE9xM3lMOGtsNW1zNXlDdz09</t>
        </is>
      </c>
      <c r="F137" t="n">
        <v>4</v>
      </c>
      <c r="G137" t="inlineStr">
        <is>
          <t>BG001, BG008</t>
        </is>
      </c>
      <c r="H137" t="inlineStr">
        <is>
          <t>15 Juni 2022</t>
        </is>
      </c>
      <c r="I137" s="2" t="n">
        <v>46275</v>
      </c>
      <c r="J137" t="inlineStr">
        <is>
          <t>Disetujui</t>
        </is>
      </c>
      <c r="K137" t="n">
        <v>90</v>
      </c>
      <c r="L137" t="inlineStr">
        <is>
          <t>10 September 2026</t>
        </is>
      </c>
      <c r="M137" t="inlineStr">
        <is>
          <t>Konstruksi Gedung Hunian, Konstruksi Gedung Tempat Hiburan dan Olahraga</t>
        </is>
      </c>
      <c r="N137" t="inlineStr">
        <is>
          <t>K</t>
        </is>
      </c>
      <c r="O137" t="inlineStr">
        <is>
          <t>20230904</t>
        </is>
      </c>
      <c r="P137" t="inlineStr">
        <is>
          <t>Papua Barat</t>
        </is>
      </c>
      <c r="Q137" t="inlineStr"/>
    </row>
    <row r="138">
      <c r="A138" t="inlineStr">
        <is>
          <t>SINAR ANUGRAH UTAMA</t>
        </is>
      </c>
      <c r="B138" t="inlineStr">
        <is>
          <t>Kab. Lombok Barat</t>
        </is>
      </c>
      <c r="C138" t="inlineStr">
        <is>
          <t>087833275039</t>
        </is>
      </c>
      <c r="D138" t="inlineStr">
        <is>
          <t>cvsaumtr@gmail.com</t>
        </is>
      </c>
      <c r="E138" t="inlineStr">
        <is>
          <t>https://lpjk.pu.go.id/search-badan-usaha-detail/THJsSXFxZDl0NHB5ZFpoc3kyMVJnYlVEaTkwRXNublRScnVKUGNhUU93OD0</t>
        </is>
      </c>
      <c r="F138" t="n">
        <v>1</v>
      </c>
      <c r="G138" t="inlineStr">
        <is>
          <t>KK008</t>
        </is>
      </c>
      <c r="H138" t="inlineStr">
        <is>
          <t>22 Oktober 2025</t>
        </is>
      </c>
      <c r="I138" s="2" t="n">
        <v>46275</v>
      </c>
      <c r="J138" t="inlineStr">
        <is>
          <t>Disetujui</t>
        </is>
      </c>
      <c r="K138" t="n">
        <v>90</v>
      </c>
      <c r="L138" t="inlineStr">
        <is>
          <t>10 September 2026</t>
        </is>
      </c>
      <c r="M138" t="inlineStr">
        <is>
          <t>Perkerasan Aspal</t>
        </is>
      </c>
      <c r="N138" t="inlineStr">
        <is>
          <t>Spesialis</t>
        </is>
      </c>
      <c r="O138" t="inlineStr">
        <is>
          <t>20230825</t>
        </is>
      </c>
      <c r="P138" t="inlineStr">
        <is>
          <t>Nusa Tenggara Barat</t>
        </is>
      </c>
      <c r="Q138" t="inlineStr"/>
    </row>
    <row r="139">
      <c r="A139" t="inlineStr">
        <is>
          <t>SINERGY SARANA SUKSES</t>
        </is>
      </c>
      <c r="B139" t="inlineStr">
        <is>
          <t>Kab. Deli Serdang</t>
        </is>
      </c>
      <c r="C139" t="inlineStr">
        <is>
          <t>081260968201</t>
        </is>
      </c>
      <c r="D139" t="inlineStr">
        <is>
          <t>energysaranasukses1@gmail.com</t>
        </is>
      </c>
      <c r="E139" t="inlineStr">
        <is>
          <t>https://lpjk.pu.go.id/search-badan-usaha-detail/MkJWTWdFTFZ1V0ZTcmtQbzFWVWdzdz09</t>
        </is>
      </c>
      <c r="F139" t="n">
        <v>1</v>
      </c>
      <c r="G139" t="inlineStr">
        <is>
          <t>RK001</t>
        </is>
      </c>
      <c r="H139" t="inlineStr">
        <is>
          <t>21 Mei 2022</t>
        </is>
      </c>
      <c r="I139" s="2" t="n">
        <v>46275</v>
      </c>
      <c r="J139" t="inlineStr">
        <is>
          <t>Disetujui</t>
        </is>
      </c>
      <c r="K139" t="n">
        <v>90</v>
      </c>
      <c r="L139" t="inlineStr">
        <is>
          <t>10 September 2026</t>
        </is>
      </c>
      <c r="M139" t="inlineStr">
        <is>
          <t>Jasa Rekayasa Konstruksi Bangunan Gedung Hunian dan Non Hunian</t>
        </is>
      </c>
      <c r="N139" t="inlineStr">
        <is>
          <t>K</t>
        </is>
      </c>
      <c r="O139" t="inlineStr">
        <is>
          <t>20230711</t>
        </is>
      </c>
      <c r="P139" t="inlineStr">
        <is>
          <t>Sumatera Utara</t>
        </is>
      </c>
      <c r="Q139" t="inlineStr"/>
    </row>
    <row r="140">
      <c r="A140" t="inlineStr">
        <is>
          <t>SUMBER REJEKI</t>
        </is>
      </c>
      <c r="B140" t="inlineStr">
        <is>
          <t>Kab. Banyuwangi</t>
        </is>
      </c>
      <c r="C140" t="inlineStr">
        <is>
          <t>082236049205</t>
        </is>
      </c>
      <c r="D140" t="inlineStr">
        <is>
          <t>sumberrejekicv05@gmail.com</t>
        </is>
      </c>
      <c r="E140" t="inlineStr">
        <is>
          <t>https://lpjk.pu.go.id/search-badan-usaha-detail/bTFmMDlkOXR6a3dwM0cxbnJkdFpDQT09</t>
        </is>
      </c>
      <c r="F140" t="n">
        <v>1</v>
      </c>
      <c r="G140" t="inlineStr">
        <is>
          <t>BS004</t>
        </is>
      </c>
      <c r="H140" t="inlineStr">
        <is>
          <t>5 Juli 2013</t>
        </is>
      </c>
      <c r="I140" s="2" t="n">
        <v>46275</v>
      </c>
      <c r="J140" t="inlineStr">
        <is>
          <t>Disetujui</t>
        </is>
      </c>
      <c r="K140" t="n">
        <v>90</v>
      </c>
      <c r="L140" t="inlineStr">
        <is>
          <t>10 September 2026</t>
        </is>
      </c>
      <c r="M140" t="inlineStr">
        <is>
          <t>Konstruksi Jaringan Irigasi dan Drainase</t>
        </is>
      </c>
      <c r="N140" t="inlineStr">
        <is>
          <t>K</t>
        </is>
      </c>
      <c r="O140" t="inlineStr">
        <is>
          <t>20230906</t>
        </is>
      </c>
      <c r="P140" t="inlineStr">
        <is>
          <t>Jawa Timur</t>
        </is>
      </c>
      <c r="Q140" t="inlineStr"/>
    </row>
    <row r="141">
      <c r="A141" t="inlineStr">
        <is>
          <t>TALAGA TUJUH STRUKTURINDO</t>
        </is>
      </c>
      <c r="B141" t="inlineStr">
        <is>
          <t>Kab. Mamuju</t>
        </is>
      </c>
      <c r="C141" t="inlineStr">
        <is>
          <t>08114256027</t>
        </is>
      </c>
      <c r="D141" t="inlineStr">
        <is>
          <t>cv.talaga7.strukturindo@gmail.com</t>
        </is>
      </c>
      <c r="E141" t="inlineStr">
        <is>
          <t>https://lpjk.pu.go.id/search-badan-usaha-detail/SEx2YmF4ZzJUaHVZdXJibjkwSFNzZz09</t>
        </is>
      </c>
      <c r="F141" t="n">
        <v>1</v>
      </c>
      <c r="G141" t="inlineStr">
        <is>
          <t>BG006</t>
        </is>
      </c>
      <c r="H141" t="inlineStr">
        <is>
          <t>17 Februari 2011</t>
        </is>
      </c>
      <c r="I141" s="2" t="n">
        <v>46275</v>
      </c>
      <c r="J141" t="inlineStr">
        <is>
          <t>Disetujui</t>
        </is>
      </c>
      <c r="K141" t="n">
        <v>90</v>
      </c>
      <c r="L141" t="inlineStr">
        <is>
          <t>10 September 2026</t>
        </is>
      </c>
      <c r="M141" t="inlineStr">
        <is>
          <t>Konstruksi Gedung Pendidikan</t>
        </is>
      </c>
      <c r="N141" t="inlineStr">
        <is>
          <t>K</t>
        </is>
      </c>
      <c r="O141" t="inlineStr">
        <is>
          <t>20230909</t>
        </is>
      </c>
      <c r="P141" t="inlineStr">
        <is>
          <t>Sulawesi Barat</t>
        </is>
      </c>
      <c r="Q141" t="inlineStr"/>
    </row>
    <row r="142">
      <c r="A142" t="inlineStr">
        <is>
          <t>TARA ANUGERAH RIZKY AGUNG</t>
        </is>
      </c>
      <c r="B142" t="inlineStr">
        <is>
          <t>Kota Palembang</t>
        </is>
      </c>
      <c r="C142" t="inlineStr">
        <is>
          <t>0711314933</t>
        </is>
      </c>
      <c r="D142" t="inlineStr">
        <is>
          <t>tara_group@yahoo.com</t>
        </is>
      </c>
      <c r="E142" t="inlineStr">
        <is>
          <t>https://lpjk.pu.go.id/search-badan-usaha-detail/NFdndUVhZHhiTCtDV0MvV2x2WWV5Zz09</t>
        </is>
      </c>
      <c r="F142" t="n">
        <v>4</v>
      </c>
      <c r="G142" t="inlineStr">
        <is>
          <t>BG002, BG005, BG009, BS004</t>
        </is>
      </c>
      <c r="H142" t="inlineStr">
        <is>
          <t>21 Juni 2021</t>
        </is>
      </c>
      <c r="I142" s="2" t="n">
        <v>46275</v>
      </c>
      <c r="J142" t="inlineStr">
        <is>
          <t>Pencabutan</t>
        </is>
      </c>
      <c r="K142" t="n">
        <v>90</v>
      </c>
      <c r="L142" t="inlineStr">
        <is>
          <t>10 September 2026</t>
        </is>
      </c>
      <c r="M142" t="inlineStr">
        <is>
          <t>Konstruksi Gedung Kesehatan, Konstruksi Gedung Lainnya, Konstruksi Gedung Perkantoran, Konstruksi Jaringan Irigasi dan Drainase</t>
        </is>
      </c>
      <c r="N142" t="inlineStr">
        <is>
          <t>K</t>
        </is>
      </c>
      <c r="O142" t="inlineStr">
        <is>
          <t>20230906</t>
        </is>
      </c>
      <c r="P142" t="inlineStr">
        <is>
          <t>Sumatera Selatan</t>
        </is>
      </c>
      <c r="Q142" t="inlineStr"/>
    </row>
    <row r="143">
      <c r="A143" t="inlineStr">
        <is>
          <t>TETRAMEGA SATRIA</t>
        </is>
      </c>
      <c r="B143" t="inlineStr">
        <is>
          <t>Kota Adm. Jakarta Barat</t>
        </is>
      </c>
      <c r="C143" t="inlineStr">
        <is>
          <t>0215667036</t>
        </is>
      </c>
      <c r="D143" t="inlineStr">
        <is>
          <t>tetramegasatria.tms@gmail.com</t>
        </is>
      </c>
      <c r="E143" t="inlineStr">
        <is>
          <t>https://lpjk.pu.go.id/search-badan-usaha-detail/SmVHV0RWZS9rOHdGNmxwbXBVUWlNQT09</t>
        </is>
      </c>
      <c r="F143" t="n">
        <v>1</v>
      </c>
      <c r="G143" t="inlineStr">
        <is>
          <t>BG001</t>
        </is>
      </c>
      <c r="H143" t="inlineStr">
        <is>
          <t>28 Februari 1990</t>
        </is>
      </c>
      <c r="I143" s="2" t="n">
        <v>46275</v>
      </c>
      <c r="J143" t="inlineStr">
        <is>
          <t>Disetujui</t>
        </is>
      </c>
      <c r="K143" t="n">
        <v>90</v>
      </c>
      <c r="L143" t="inlineStr">
        <is>
          <t>10 September 2026</t>
        </is>
      </c>
      <c r="M143" t="inlineStr">
        <is>
          <t>Konstruksi Gedung Hunian</t>
        </is>
      </c>
      <c r="N143" t="inlineStr">
        <is>
          <t>K</t>
        </is>
      </c>
      <c r="O143" t="inlineStr">
        <is>
          <t>20230711</t>
        </is>
      </c>
      <c r="P143" t="inlineStr">
        <is>
          <t>DKI Jakarta</t>
        </is>
      </c>
      <c r="Q143" t="inlineStr"/>
    </row>
    <row r="144">
      <c r="A144" t="inlineStr">
        <is>
          <t>TIGA DARA BERSATU</t>
        </is>
      </c>
      <c r="B144" t="inlineStr">
        <is>
          <t>Kab. Berau</t>
        </is>
      </c>
      <c r="C144" t="inlineStr">
        <is>
          <t>0853 9159 9700</t>
        </is>
      </c>
      <c r="D144" t="inlineStr">
        <is>
          <t>junaidiedi63@yahoo.co.id</t>
        </is>
      </c>
      <c r="E144" t="inlineStr">
        <is>
          <t>https://lpjk.pu.go.id/search-badan-usaha-detail/YjUzayt6T0VJc2FyMHliVTFsUUxKdz09</t>
        </is>
      </c>
      <c r="F144" t="n">
        <v>1</v>
      </c>
      <c r="G144" t="inlineStr">
        <is>
          <t>BS016</t>
        </is>
      </c>
      <c r="H144" t="inlineStr">
        <is>
          <t>2 September 2019</t>
        </is>
      </c>
      <c r="I144" s="2" t="n">
        <v>46275</v>
      </c>
      <c r="J144" t="inlineStr">
        <is>
          <t>Pencabutan</t>
        </is>
      </c>
      <c r="K144" t="n">
        <v>90</v>
      </c>
      <c r="L144" t="inlineStr">
        <is>
          <t>10 September 2026</t>
        </is>
      </c>
      <c r="M144" t="inlineStr">
        <is>
          <t>Konstruksi Bangunan Sipil Fasilitas Olah Raga</t>
        </is>
      </c>
      <c r="N144" t="inlineStr">
        <is>
          <t>K</t>
        </is>
      </c>
      <c r="O144" t="inlineStr">
        <is>
          <t>20230907</t>
        </is>
      </c>
      <c r="P144" t="inlineStr">
        <is>
          <t>Kalimantan Timur</t>
        </is>
      </c>
      <c r="Q144" t="inlineStr"/>
    </row>
    <row r="145">
      <c r="A145" t="inlineStr">
        <is>
          <t>TIGA PUTRA BINTANG MENTAYA</t>
        </is>
      </c>
      <c r="B145" t="inlineStr">
        <is>
          <t>Kab. Kotawaringin Timur</t>
        </is>
      </c>
      <c r="C145" t="inlineStr">
        <is>
          <t>82156310000</t>
        </is>
      </c>
      <c r="D145" t="inlineStr">
        <is>
          <t>hadipurwoko14@gmail.com</t>
        </is>
      </c>
      <c r="E145" t="inlineStr">
        <is>
          <t>https://lpjk.pu.go.id/search-badan-usaha-detail/OUVYR3hGMS9JaXF5ZWxtS21EUXZjUT09</t>
        </is>
      </c>
      <c r="F145" t="n">
        <v>1</v>
      </c>
      <c r="G145" t="inlineStr">
        <is>
          <t>BS004</t>
        </is>
      </c>
      <c r="H145" t="inlineStr">
        <is>
          <t>4 Desember 2012</t>
        </is>
      </c>
      <c r="I145" s="2" t="n">
        <v>46275</v>
      </c>
      <c r="J145" t="inlineStr">
        <is>
          <t>Disetujui</t>
        </is>
      </c>
      <c r="K145" t="n">
        <v>90</v>
      </c>
      <c r="L145" t="inlineStr">
        <is>
          <t>10 September 2026</t>
        </is>
      </c>
      <c r="M145" t="inlineStr">
        <is>
          <t>Konstruksi Jaringan Irigasi dan Drainase</t>
        </is>
      </c>
      <c r="N145" t="inlineStr">
        <is>
          <t>K</t>
        </is>
      </c>
      <c r="O145" t="inlineStr">
        <is>
          <t>20230907</t>
        </is>
      </c>
      <c r="P145" t="inlineStr">
        <is>
          <t>Kalimantan Tengah</t>
        </is>
      </c>
      <c r="Q145" t="inlineStr"/>
    </row>
    <row r="146">
      <c r="A146" t="inlineStr">
        <is>
          <t>TIGA PUTRA MANDIRI</t>
        </is>
      </c>
      <c r="B146" t="inlineStr">
        <is>
          <t>Kota Madiun</t>
        </is>
      </c>
      <c r="C146" t="inlineStr">
        <is>
          <t>081259638008</t>
        </is>
      </c>
      <c r="D146" t="inlineStr">
        <is>
          <t>cv.tigaputramandiri@gmail.com</t>
        </is>
      </c>
      <c r="E146" t="inlineStr">
        <is>
          <t>https://lpjk.pu.go.id/search-badan-usaha-detail/VUdJNE16cXlzNHkrUjJzdHNlV0Y5Zz09</t>
        </is>
      </c>
      <c r="F146" t="n">
        <v>1</v>
      </c>
      <c r="G146" t="inlineStr">
        <is>
          <t>BS001</t>
        </is>
      </c>
      <c r="H146" t="inlineStr">
        <is>
          <t>22 Juni 2012</t>
        </is>
      </c>
      <c r="I146" s="2" t="n">
        <v>46275</v>
      </c>
      <c r="J146" t="inlineStr">
        <is>
          <t>Disetujui</t>
        </is>
      </c>
      <c r="K146" t="n">
        <v>90</v>
      </c>
      <c r="L146" t="inlineStr">
        <is>
          <t>10 September 2026</t>
        </is>
      </c>
      <c r="M146" t="inlineStr">
        <is>
          <t>Konstruksi Bangunan Sipil Jalan</t>
        </is>
      </c>
      <c r="N146" t="inlineStr">
        <is>
          <t>K</t>
        </is>
      </c>
      <c r="O146" t="inlineStr">
        <is>
          <t>20230911</t>
        </is>
      </c>
      <c r="P146" t="inlineStr">
        <is>
          <t>Jawa Timur</t>
        </is>
      </c>
      <c r="Q146" t="inlineStr"/>
    </row>
    <row r="147">
      <c r="A147" t="inlineStr">
        <is>
          <t>TITANIA</t>
        </is>
      </c>
      <c r="B147" t="inlineStr">
        <is>
          <t>Kab. Kerinci</t>
        </is>
      </c>
      <c r="C147" t="inlineStr">
        <is>
          <t>082249522693</t>
        </is>
      </c>
      <c r="D147" t="inlineStr">
        <is>
          <t>titaniacv2@gmail.com</t>
        </is>
      </c>
      <c r="E147" t="inlineStr">
        <is>
          <t>https://lpjk.pu.go.id/search-badan-usaha-detail/R3cxeWR2cGd4Z0todDlrQjBWU1gyUT09</t>
        </is>
      </c>
      <c r="F147" t="n">
        <v>1</v>
      </c>
      <c r="G147" t="inlineStr">
        <is>
          <t>BG002</t>
        </is>
      </c>
      <c r="H147" t="inlineStr">
        <is>
          <t>4 Oktober 2000</t>
        </is>
      </c>
      <c r="I147" s="2" t="n">
        <v>46275</v>
      </c>
      <c r="J147" t="inlineStr">
        <is>
          <t>Disetujui</t>
        </is>
      </c>
      <c r="K147" t="n">
        <v>90</v>
      </c>
      <c r="L147" t="inlineStr">
        <is>
          <t>10 September 2026</t>
        </is>
      </c>
      <c r="M147" t="inlineStr">
        <is>
          <t>Konstruksi Gedung Perkantoran</t>
        </is>
      </c>
      <c r="N147" t="inlineStr">
        <is>
          <t>K</t>
        </is>
      </c>
      <c r="O147" t="inlineStr">
        <is>
          <t>20230907</t>
        </is>
      </c>
      <c r="P147" t="inlineStr">
        <is>
          <t>Jambi</t>
        </is>
      </c>
      <c r="Q147" t="inlineStr"/>
    </row>
    <row r="148">
      <c r="A148" t="inlineStr">
        <is>
          <t>TRI PUTRI SEJAHTERA</t>
        </is>
      </c>
      <c r="B148" t="inlineStr">
        <is>
          <t>Kab. Berau</t>
        </is>
      </c>
      <c r="C148" t="inlineStr">
        <is>
          <t>085391599700</t>
        </is>
      </c>
      <c r="D148" t="inlineStr">
        <is>
          <t>triputrisejahtera@yahoo.co.id</t>
        </is>
      </c>
      <c r="E148" t="inlineStr">
        <is>
          <t>https://lpjk.pu.go.id/search-badan-usaha-detail/WmdJNjVXMTlzYmJWelBVNm5YN3pRQT09</t>
        </is>
      </c>
      <c r="F148" t="n">
        <v>1</v>
      </c>
      <c r="G148" t="inlineStr">
        <is>
          <t>BG009</t>
        </is>
      </c>
      <c r="H148" t="inlineStr">
        <is>
          <t>24 November 2015</t>
        </is>
      </c>
      <c r="I148" s="2" t="n">
        <v>46275</v>
      </c>
      <c r="J148" t="inlineStr">
        <is>
          <t>Disetujui</t>
        </is>
      </c>
      <c r="K148" t="n">
        <v>90</v>
      </c>
      <c r="L148" t="inlineStr">
        <is>
          <t>10 September 2026</t>
        </is>
      </c>
      <c r="M148" t="inlineStr">
        <is>
          <t>Konstruksi Gedung Lainnya</t>
        </is>
      </c>
      <c r="N148" t="inlineStr">
        <is>
          <t>K</t>
        </is>
      </c>
      <c r="O148" t="inlineStr">
        <is>
          <t>20230907</t>
        </is>
      </c>
      <c r="P148" t="inlineStr">
        <is>
          <t>Kalimantan Timur</t>
        </is>
      </c>
      <c r="Q148" t="inlineStr"/>
    </row>
    <row r="149">
      <c r="A149" t="inlineStr">
        <is>
          <t>TRIPLE ANTANG PERKASA</t>
        </is>
      </c>
      <c r="B149" t="inlineStr">
        <is>
          <t>Kota Palangkaraya</t>
        </is>
      </c>
      <c r="C149" t="inlineStr">
        <is>
          <t>082251222586</t>
        </is>
      </c>
      <c r="D149" t="inlineStr">
        <is>
          <t>cvtripleantangperkasa@gmail.com</t>
        </is>
      </c>
      <c r="E149" t="inlineStr">
        <is>
          <t>https://lpjk.pu.go.id/search-badan-usaha-detail/TDdzZlJJRk1ySVJ2VUI0ZmE4c2hWUT09</t>
        </is>
      </c>
      <c r="F149" t="n">
        <v>1</v>
      </c>
      <c r="G149" t="inlineStr">
        <is>
          <t>BG002</t>
        </is>
      </c>
      <c r="H149" t="inlineStr">
        <is>
          <t>12 Juni 2023</t>
        </is>
      </c>
      <c r="I149" s="2" t="n">
        <v>46275</v>
      </c>
      <c r="J149" t="inlineStr">
        <is>
          <t>Disetujui</t>
        </is>
      </c>
      <c r="K149" t="n">
        <v>90</v>
      </c>
      <c r="L149" t="inlineStr">
        <is>
          <t>10 September 2026</t>
        </is>
      </c>
      <c r="M149" t="inlineStr">
        <is>
          <t>Konstruksi Gedung Perkantoran</t>
        </is>
      </c>
      <c r="N149" t="inlineStr">
        <is>
          <t>K</t>
        </is>
      </c>
      <c r="O149" t="inlineStr">
        <is>
          <t>20230911</t>
        </is>
      </c>
      <c r="P149" t="inlineStr">
        <is>
          <t>Kalimantan Tengah</t>
        </is>
      </c>
      <c r="Q149" t="inlineStr"/>
    </row>
    <row r="150">
      <c r="A150" t="inlineStr">
        <is>
          <t>TRISULA JAYA SENTOSA</t>
        </is>
      </c>
      <c r="B150" t="inlineStr">
        <is>
          <t>Kab. Indramayu</t>
        </is>
      </c>
      <c r="C150" t="inlineStr">
        <is>
          <t>081222457739</t>
        </is>
      </c>
      <c r="D150" t="inlineStr">
        <is>
          <t>trisula.pusat@gmail.com</t>
        </is>
      </c>
      <c r="E150" t="inlineStr">
        <is>
          <t>https://lpjk.pu.go.id/search-badan-usaha-detail/TTJ4aHRBOUt2bEw0RUZFRno3Y0dqQT09</t>
        </is>
      </c>
      <c r="F150" t="n">
        <v>1</v>
      </c>
      <c r="G150" t="inlineStr">
        <is>
          <t>BG009</t>
        </is>
      </c>
      <c r="H150" t="inlineStr">
        <is>
          <t>2 April 2019</t>
        </is>
      </c>
      <c r="I150" s="2" t="n">
        <v>46275</v>
      </c>
      <c r="J150" t="inlineStr">
        <is>
          <t>Pencabutan</t>
        </is>
      </c>
      <c r="K150" t="n">
        <v>90</v>
      </c>
      <c r="L150" t="inlineStr">
        <is>
          <t>10 September 2026</t>
        </is>
      </c>
      <c r="M150" t="inlineStr">
        <is>
          <t>Konstruksi Gedung Lainnya</t>
        </is>
      </c>
      <c r="N150" t="inlineStr">
        <is>
          <t>K</t>
        </is>
      </c>
      <c r="O150" t="inlineStr">
        <is>
          <t>20230907</t>
        </is>
      </c>
      <c r="P150" t="inlineStr">
        <is>
          <t>Jawa Barat</t>
        </is>
      </c>
      <c r="Q150" t="inlineStr"/>
    </row>
    <row r="151">
      <c r="A151" t="inlineStr">
        <is>
          <t>TUGU MULYO</t>
        </is>
      </c>
      <c r="B151" t="inlineStr">
        <is>
          <t>Kota Semarang</t>
        </is>
      </c>
      <c r="C151" t="inlineStr">
        <is>
          <t>082137801803</t>
        </is>
      </c>
      <c r="D151" t="inlineStr">
        <is>
          <t>tugumulyo402@gmail.com</t>
        </is>
      </c>
      <c r="E151" t="inlineStr">
        <is>
          <t>https://lpjk.pu.go.id/search-badan-usaha-detail/djEwMkhWRVZ5UFM0SHB3Z2JZcS9NQT09</t>
        </is>
      </c>
      <c r="F151" t="n">
        <v>1</v>
      </c>
      <c r="G151" t="inlineStr">
        <is>
          <t>BG009</t>
        </is>
      </c>
      <c r="H151" t="inlineStr">
        <is>
          <t>4 Januari 2016</t>
        </is>
      </c>
      <c r="I151" s="2" t="n">
        <v>46275</v>
      </c>
      <c r="J151" t="inlineStr">
        <is>
          <t>Disetujui</t>
        </is>
      </c>
      <c r="K151" t="n">
        <v>90</v>
      </c>
      <c r="L151" t="inlineStr">
        <is>
          <t>10 September 2026</t>
        </is>
      </c>
      <c r="M151" t="inlineStr">
        <is>
          <t>Konstruksi Gedung Lainnya</t>
        </is>
      </c>
      <c r="N151" t="inlineStr">
        <is>
          <t>K</t>
        </is>
      </c>
      <c r="O151" t="inlineStr">
        <is>
          <t>20230911</t>
        </is>
      </c>
      <c r="P151" t="inlineStr">
        <is>
          <t>Jawa Tengah</t>
        </is>
      </c>
      <c r="Q151" t="inlineStr"/>
    </row>
    <row r="152">
      <c r="A152" t="inlineStr">
        <is>
          <t>TUJUH PILAR PATINRA</t>
        </is>
      </c>
      <c r="B152" t="inlineStr">
        <is>
          <t>Kota Palu</t>
        </is>
      </c>
      <c r="C152" t="inlineStr">
        <is>
          <t>085375184822</t>
        </is>
      </c>
      <c r="D152" t="inlineStr">
        <is>
          <t>cvtujuhpilarpatinra@gmail.com</t>
        </is>
      </c>
      <c r="E152" t="inlineStr">
        <is>
          <t>https://lpjk.pu.go.id/search-badan-usaha-detail/T0dBT0JBSlp5ekkxZkFzMjRVV1Nodz09</t>
        </is>
      </c>
      <c r="F152" t="n">
        <v>5</v>
      </c>
      <c r="G152" t="inlineStr">
        <is>
          <t>BG001, BG002, BG005, BG006, BG009</t>
        </is>
      </c>
      <c r="H152" t="inlineStr">
        <is>
          <t>24 Juli 2023</t>
        </is>
      </c>
      <c r="I152" s="2" t="n">
        <v>46275</v>
      </c>
      <c r="J152" t="inlineStr">
        <is>
          <t>Disetujui</t>
        </is>
      </c>
      <c r="K152" t="n">
        <v>90</v>
      </c>
      <c r="L152" t="inlineStr">
        <is>
          <t>10 September 2026</t>
        </is>
      </c>
      <c r="M152" t="inlineStr">
        <is>
          <t>Konstruksi Gedung Hunian, Konstruksi Gedung Kesehatan, Konstruksi Gedung Lainnya, Konstruksi Gedung Pendidikan, Konstruksi Gedung Perkantoran</t>
        </is>
      </c>
      <c r="N152" t="inlineStr">
        <is>
          <t>K</t>
        </is>
      </c>
      <c r="O152" t="inlineStr">
        <is>
          <t>20230908, 20230910</t>
        </is>
      </c>
      <c r="P152" t="inlineStr">
        <is>
          <t>Sulawesi Tengah</t>
        </is>
      </c>
      <c r="Q152" t="inlineStr"/>
    </row>
    <row r="153">
      <c r="A153" t="inlineStr">
        <is>
          <t>TUNAS KARYA ADITAMA</t>
        </is>
      </c>
      <c r="B153" t="inlineStr">
        <is>
          <t>Kota Tangerang Selatan</t>
        </is>
      </c>
      <c r="C153" t="inlineStr">
        <is>
          <t>62217497070</t>
        </is>
      </c>
      <c r="D153" t="inlineStr">
        <is>
          <t>tkaryaaditama@gmail.com</t>
        </is>
      </c>
      <c r="E153" t="inlineStr">
        <is>
          <t>https://lpjk.pu.go.id/search-badan-usaha-detail/bHZ0eE5NME1wNHYwamRzQ3VCQzN1Zz09</t>
        </is>
      </c>
      <c r="F153" t="n">
        <v>1</v>
      </c>
      <c r="G153" t="inlineStr">
        <is>
          <t>BG009</t>
        </is>
      </c>
      <c r="H153" t="inlineStr">
        <is>
          <t>19 Januari 2012</t>
        </is>
      </c>
      <c r="I153" s="2" t="n">
        <v>46275</v>
      </c>
      <c r="J153" t="inlineStr">
        <is>
          <t>Pencabutan</t>
        </is>
      </c>
      <c r="K153" t="n">
        <v>90</v>
      </c>
      <c r="L153" t="inlineStr">
        <is>
          <t>10 September 2026</t>
        </is>
      </c>
      <c r="M153" t="inlineStr">
        <is>
          <t>Konstruksi Gedung Lainnya</t>
        </is>
      </c>
      <c r="N153" t="inlineStr">
        <is>
          <t>M</t>
        </is>
      </c>
      <c r="O153" t="inlineStr">
        <is>
          <t>20230908</t>
        </is>
      </c>
      <c r="P153" t="inlineStr">
        <is>
          <t>Banten</t>
        </is>
      </c>
      <c r="Q153" t="inlineStr"/>
    </row>
    <row r="154">
      <c r="A154" t="inlineStr">
        <is>
          <t>TUNASBANGUN GRIYA ASRI</t>
        </is>
      </c>
      <c r="B154" t="inlineStr">
        <is>
          <t>Kota Adm. Jakarta Pusat</t>
        </is>
      </c>
      <c r="C154" t="inlineStr">
        <is>
          <t>02122563272</t>
        </is>
      </c>
      <c r="D154" t="inlineStr">
        <is>
          <t>pt.tunasbangun88@gmail.com</t>
        </is>
      </c>
      <c r="E154" t="inlineStr">
        <is>
          <t>https://lpjk.pu.go.id/search-badan-usaha-detail/L2FranFCVlMyS204enBOMkh2WURGdz09</t>
        </is>
      </c>
      <c r="F154" t="n">
        <v>1</v>
      </c>
      <c r="G154" t="inlineStr">
        <is>
          <t>BG002</t>
        </is>
      </c>
      <c r="H154" t="inlineStr">
        <is>
          <t>12 Maret 1999</t>
        </is>
      </c>
      <c r="I154" s="2" t="n">
        <v>46275</v>
      </c>
      <c r="J154" t="inlineStr">
        <is>
          <t>Disetujui</t>
        </is>
      </c>
      <c r="K154" t="n">
        <v>90</v>
      </c>
      <c r="L154" t="inlineStr">
        <is>
          <t>10 September 2026</t>
        </is>
      </c>
      <c r="M154" t="inlineStr">
        <is>
          <t>Konstruksi Gedung Perkantoran</t>
        </is>
      </c>
      <c r="N154" t="inlineStr">
        <is>
          <t>K</t>
        </is>
      </c>
      <c r="O154" t="inlineStr">
        <is>
          <t>20230901</t>
        </is>
      </c>
      <c r="P154" t="inlineStr">
        <is>
          <t>DKI Jakarta</t>
        </is>
      </c>
      <c r="Q154" t="inlineStr"/>
    </row>
    <row r="155">
      <c r="A155" t="inlineStr">
        <is>
          <t>UNIVERSAL MULTI DESAIN</t>
        </is>
      </c>
      <c r="B155" t="inlineStr">
        <is>
          <t>Kota Jambi</t>
        </is>
      </c>
      <c r="C155" t="inlineStr">
        <is>
          <t>082280246167</t>
        </is>
      </c>
      <c r="D155" t="inlineStr">
        <is>
          <t>legal.umdjambi@gmail.com</t>
        </is>
      </c>
      <c r="E155" t="inlineStr">
        <is>
          <t>https://lpjk.pu.go.id/search-badan-usaha-detail/YXhneTY5dXZwYzlzNW5Cd29NUkhQdz09</t>
        </is>
      </c>
      <c r="F155" t="n">
        <v>6</v>
      </c>
      <c r="G155" t="inlineStr">
        <is>
          <t>AR001, AR002, AR003</t>
        </is>
      </c>
      <c r="H155" t="inlineStr">
        <is>
          <t>1 Februari 2023</t>
        </is>
      </c>
      <c r="I155" s="2" t="n">
        <v>46275</v>
      </c>
      <c r="J155" t="inlineStr">
        <is>
          <t>Disetujui, Pencabutan</t>
        </is>
      </c>
      <c r="K155" t="n">
        <v>90</v>
      </c>
      <c r="L155" t="inlineStr">
        <is>
          <t>10 September 2026</t>
        </is>
      </c>
      <c r="M155" t="inlineStr">
        <is>
          <t>Jasa Arsitektural Bangunan Gedung Hunian dan Non Hunian, Jasa Arsitektural Lainnya, Jasa Desain Interior pada Bangunan Gedung dan Bangunan Sipil</t>
        </is>
      </c>
      <c r="N155" t="inlineStr">
        <is>
          <t>K</t>
        </is>
      </c>
      <c r="O155" t="inlineStr">
        <is>
          <t>20230901</t>
        </is>
      </c>
      <c r="P155" t="inlineStr">
        <is>
          <t>Jambi</t>
        </is>
      </c>
      <c r="Q155" t="inlineStr"/>
    </row>
    <row r="156">
      <c r="A156" t="inlineStr">
        <is>
          <t>VIDYA KARYA PERSADA</t>
        </is>
      </c>
      <c r="B156" t="inlineStr">
        <is>
          <t>Kota Surabaya</t>
        </is>
      </c>
      <c r="C156" t="inlineStr">
        <is>
          <t>0315317561</t>
        </is>
      </c>
      <c r="D156" t="inlineStr">
        <is>
          <t>vidyakarya.persada@yahoo.com</t>
        </is>
      </c>
      <c r="E156" t="inlineStr">
        <is>
          <t>https://lpjk.pu.go.id/search-badan-usaha-detail/QTJ4aTJhWlhQVCt3bExZQ0huNkJxZz09</t>
        </is>
      </c>
      <c r="F156" t="n">
        <v>4</v>
      </c>
      <c r="G156" t="inlineStr">
        <is>
          <t>BG002, BG005, BG006, BG009</t>
        </is>
      </c>
      <c r="H156" t="inlineStr">
        <is>
          <t>2 September 1992</t>
        </is>
      </c>
      <c r="I156" s="2" t="n">
        <v>46275</v>
      </c>
      <c r="J156" t="inlineStr">
        <is>
          <t>Disetujui</t>
        </is>
      </c>
      <c r="K156" t="n">
        <v>90</v>
      </c>
      <c r="L156" t="inlineStr">
        <is>
          <t>10 September 2026</t>
        </is>
      </c>
      <c r="M156" t="inlineStr">
        <is>
          <t>Konstruksi Gedung Kesehatan, Konstruksi Gedung Lainnya, Konstruksi Gedung Pendidikan, Konstruksi Gedung Perkantoran</t>
        </is>
      </c>
      <c r="N156" t="inlineStr">
        <is>
          <t>K</t>
        </is>
      </c>
      <c r="O156" t="inlineStr">
        <is>
          <t>20230901</t>
        </is>
      </c>
      <c r="P156" t="inlineStr">
        <is>
          <t>Jawa Timur</t>
        </is>
      </c>
      <c r="Q156" t="inlineStr"/>
    </row>
    <row r="157">
      <c r="A157" t="inlineStr">
        <is>
          <t>VISTATAMA MULTI ENGINEERING CONSULTANT</t>
        </is>
      </c>
      <c r="B157" t="inlineStr">
        <is>
          <t>Kota Tanjung Pinang</t>
        </is>
      </c>
      <c r="C157" t="inlineStr">
        <is>
          <t>081371651252</t>
        </is>
      </c>
      <c r="D157" t="inlineStr">
        <is>
          <t>vistatama_cons@yahoo.co.id</t>
        </is>
      </c>
      <c r="E157" t="inlineStr">
        <is>
          <t>https://lpjk.pu.go.id/search-badan-usaha-detail/bmw5d1RCMkRrbTlWQys4blRxdlNtQT09</t>
        </is>
      </c>
      <c r="F157" t="n">
        <v>2</v>
      </c>
      <c r="G157" t="inlineStr">
        <is>
          <t>RK001, RK002</t>
        </is>
      </c>
      <c r="H157" t="inlineStr">
        <is>
          <t>8 Maret 2008</t>
        </is>
      </c>
      <c r="I157" s="2" t="n">
        <v>46275</v>
      </c>
      <c r="J157" t="inlineStr">
        <is>
          <t>Disetujui</t>
        </is>
      </c>
      <c r="K157" t="n">
        <v>90</v>
      </c>
      <c r="L157" t="inlineStr">
        <is>
          <t>10 September 2026</t>
        </is>
      </c>
      <c r="M157" t="inlineStr">
        <is>
          <t>Jasa Rekayasa Konstruksi Bangunan Gedung Hunian dan Non Hunian, Jasa Rekayasa Pekerjaan Teknik Sipil Sumber Daya Air</t>
        </is>
      </c>
      <c r="N157" t="inlineStr">
        <is>
          <t>K</t>
        </is>
      </c>
      <c r="O157" t="inlineStr">
        <is>
          <t>20230824, 20230829</t>
        </is>
      </c>
      <c r="P157" t="inlineStr">
        <is>
          <t>Kepulauan Riau</t>
        </is>
      </c>
      <c r="Q157" t="inlineStr"/>
    </row>
    <row r="158">
      <c r="A158" t="inlineStr">
        <is>
          <t>WISANGGENI JASA TEKNIK</t>
        </is>
      </c>
      <c r="B158" t="inlineStr">
        <is>
          <t>Kota Tangerang</t>
        </is>
      </c>
      <c r="C158" t="inlineStr">
        <is>
          <t>081382473383</t>
        </is>
      </c>
      <c r="D158" t="inlineStr">
        <is>
          <t>wisanggenijastek@gmail.com</t>
        </is>
      </c>
      <c r="E158" t="inlineStr">
        <is>
          <t>https://lpjk.pu.go.id/search-badan-usaha-detail/NWhNVTF6K2kwek9RTXdKTUdOZHFVdz09</t>
        </is>
      </c>
      <c r="F158" t="n">
        <v>3</v>
      </c>
      <c r="G158" t="inlineStr">
        <is>
          <t>RK001, RK002, RK003</t>
        </is>
      </c>
      <c r="H158" t="inlineStr">
        <is>
          <t>2 Februari 2019</t>
        </is>
      </c>
      <c r="I158" s="2" t="n">
        <v>46275</v>
      </c>
      <c r="J158" t="inlineStr">
        <is>
          <t>Disetujui</t>
        </is>
      </c>
      <c r="K158" t="n">
        <v>90</v>
      </c>
      <c r="L158" t="inlineStr">
        <is>
          <t>10 September 2026</t>
        </is>
      </c>
      <c r="M158" t="inlineStr">
        <is>
          <t>Jasa Rekayasa Konstruksi Bangunan Gedung Hunian dan Non Hunian, Jasa Rekayasa Pekerjaan Teknik Sipil Sumber Daya Air, Jasa Rekayasa Pekerjaan Teknik Sipil Transportasi</t>
        </is>
      </c>
      <c r="N158" t="inlineStr">
        <is>
          <t>K</t>
        </is>
      </c>
      <c r="O158" t="inlineStr">
        <is>
          <t>20230828</t>
        </is>
      </c>
      <c r="P158" t="inlineStr">
        <is>
          <t>Banten</t>
        </is>
      </c>
      <c r="Q158" t="inlineStr"/>
    </row>
    <row r="159">
      <c r="A159" t="inlineStr">
        <is>
          <t>YUDHA CAHAYA ABADI</t>
        </is>
      </c>
      <c r="B159" t="inlineStr">
        <is>
          <t>Kab. Tanah Bumbu</t>
        </is>
      </c>
      <c r="C159" t="inlineStr">
        <is>
          <t>081346007220</t>
        </is>
      </c>
      <c r="D159" t="inlineStr">
        <is>
          <t>yudhacahayaabadi@gmail.com</t>
        </is>
      </c>
      <c r="E159" t="inlineStr">
        <is>
          <t>https://lpjk.pu.go.id/search-badan-usaha-detail/TmFSb3VrTjdsZFFEbld4VUwvdzVTZz09</t>
        </is>
      </c>
      <c r="F159" t="n">
        <v>4</v>
      </c>
      <c r="G159" t="inlineStr">
        <is>
          <t>BG009, BS001, BS002, BS004</t>
        </is>
      </c>
      <c r="H159" t="inlineStr">
        <is>
          <t>13 Maret 2020</t>
        </is>
      </c>
      <c r="I159" s="2" t="n">
        <v>46275</v>
      </c>
      <c r="J159" t="inlineStr">
        <is>
          <t>Disetujui</t>
        </is>
      </c>
      <c r="K159" t="n">
        <v>90</v>
      </c>
      <c r="L159" t="inlineStr">
        <is>
          <t>10 September 2026</t>
        </is>
      </c>
      <c r="M159" t="inlineStr">
        <is>
          <t>Bangunan Sipil Jembatan, Jalan Layang, Fly Over, dan Underpass, Konstruksi Bangunan Sipil Jalan, Konstruksi Gedung Lainnya, Konstruksi Jaringan Irigasi dan Drainase</t>
        </is>
      </c>
      <c r="N159" t="inlineStr">
        <is>
          <t>K</t>
        </is>
      </c>
      <c r="O159" t="inlineStr">
        <is>
          <t>20230907</t>
        </is>
      </c>
      <c r="P159" t="inlineStr">
        <is>
          <t>Kalimantan Selatan</t>
        </is>
      </c>
      <c r="Q159" t="inlineStr"/>
    </row>
    <row r="160">
      <c r="A160" t="inlineStr">
        <is>
          <t>ZAKY PUTRA</t>
        </is>
      </c>
      <c r="B160" t="inlineStr">
        <is>
          <t>Kab. Bandung</t>
        </is>
      </c>
      <c r="C160" t="inlineStr">
        <is>
          <t>0895344208266</t>
        </is>
      </c>
      <c r="D160" t="inlineStr">
        <is>
          <t>fadilfauzisetiawan@gmail.com</t>
        </is>
      </c>
      <c r="E160" t="inlineStr">
        <is>
          <t>https://lpjk.pu.go.id/search-badan-usaha-detail/KzRoNVpuRnlVemp6SmNHOU5YazdLUT09</t>
        </is>
      </c>
      <c r="F160" t="n">
        <v>1</v>
      </c>
      <c r="G160" t="inlineStr">
        <is>
          <t>BG009</t>
        </is>
      </c>
      <c r="H160" t="inlineStr">
        <is>
          <t>23 November 2016</t>
        </is>
      </c>
      <c r="I160" s="2" t="n">
        <v>46275</v>
      </c>
      <c r="J160" t="inlineStr">
        <is>
          <t>Pencabutan</t>
        </is>
      </c>
      <c r="K160" t="n">
        <v>90</v>
      </c>
      <c r="L160" t="inlineStr">
        <is>
          <t>10 September 2026</t>
        </is>
      </c>
      <c r="M160" t="inlineStr">
        <is>
          <t>Konstruksi Gedung Lainnya</t>
        </is>
      </c>
      <c r="N160" t="inlineStr">
        <is>
          <t>K</t>
        </is>
      </c>
      <c r="O160" t="inlineStr">
        <is>
          <t>20230831</t>
        </is>
      </c>
      <c r="P160" t="inlineStr">
        <is>
          <t>Jawa Barat</t>
        </is>
      </c>
      <c r="Q160" t="inlineStr"/>
    </row>
    <row r="161">
      <c r="A161" t="inlineStr">
        <is>
          <t>ZAY BROTHER</t>
        </is>
      </c>
      <c r="B161" t="inlineStr">
        <is>
          <t>Kab. Karawang</t>
        </is>
      </c>
      <c r="C161" t="inlineStr">
        <is>
          <t>081296452938</t>
        </is>
      </c>
      <c r="D161" t="inlineStr">
        <is>
          <t>zaybrother11@gmail.com</t>
        </is>
      </c>
      <c r="E161" t="inlineStr">
        <is>
          <t>https://lpjk.pu.go.id/search-badan-usaha-detail/RWZhVlhMekdCM3hPeGtmVE9VQmVWZz09</t>
        </is>
      </c>
      <c r="F161" t="n">
        <v>2</v>
      </c>
      <c r="G161" t="inlineStr">
        <is>
          <t>BS001, BS004</t>
        </is>
      </c>
      <c r="H161" t="inlineStr">
        <is>
          <t>17 September 2018</t>
        </is>
      </c>
      <c r="I161" s="2" t="n">
        <v>46275</v>
      </c>
      <c r="J161" t="inlineStr">
        <is>
          <t>Disetujui</t>
        </is>
      </c>
      <c r="K161" t="n">
        <v>90</v>
      </c>
      <c r="L161" t="inlineStr">
        <is>
          <t>10 September 2026</t>
        </is>
      </c>
      <c r="M161" t="inlineStr">
        <is>
          <t>Konstruksi Bangunan Sipil Jalan, Konstruksi Jaringan Irigasi dan Drainase</t>
        </is>
      </c>
      <c r="N161" t="inlineStr">
        <is>
          <t>K</t>
        </is>
      </c>
      <c r="O161" t="inlineStr">
        <is>
          <t>20230908, 20230909</t>
        </is>
      </c>
      <c r="P161" t="inlineStr">
        <is>
          <t>Jawa Barat</t>
        </is>
      </c>
      <c r="Q1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17"/>
  <sheetViews>
    <sheetView workbookViewId="0">
      <selection activeCell="A1" sqref="A1"/>
    </sheetView>
  </sheetViews>
  <sheetFormatPr baseColWidth="8" defaultRowHeight="15"/>
  <cols>
    <col width="29" customWidth="1" min="1" max="1"/>
    <col width="27" customWidth="1" min="2" max="2"/>
    <col width="16" customWidth="1" min="3" max="3"/>
    <col width="36"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BINTANG TIMUR MARPA</t>
        </is>
      </c>
      <c r="B2" t="inlineStr">
        <is>
          <t>Kota Adm. Jakarta Timur</t>
        </is>
      </c>
      <c r="C2" t="inlineStr">
        <is>
          <t>081380036919</t>
        </is>
      </c>
      <c r="D2" t="inlineStr">
        <is>
          <t>ptbintangtimurmarpa@hotmail.com</t>
        </is>
      </c>
      <c r="E2" t="inlineStr">
        <is>
          <t>https://lpjk.pu.go.id/search-badan-usaha-detail/OUVPSVNhZXd1S1ZhbU5vdGc0MVFjZz09</t>
        </is>
      </c>
      <c r="F2" t="n">
        <v>2</v>
      </c>
      <c r="G2" t="inlineStr">
        <is>
          <t>BG003</t>
        </is>
      </c>
      <c r="H2" t="inlineStr">
        <is>
          <t>11 Juli 2023</t>
        </is>
      </c>
      <c r="I2" s="2" t="n">
        <v>46245</v>
      </c>
      <c r="J2" t="inlineStr">
        <is>
          <t>Disetujui</t>
        </is>
      </c>
      <c r="K2" t="n">
        <v>60</v>
      </c>
      <c r="L2" t="inlineStr">
        <is>
          <t>11 Agustus 2026</t>
        </is>
      </c>
      <c r="M2" t="inlineStr">
        <is>
          <t>Konstruksi Gedung Industri</t>
        </is>
      </c>
      <c r="N2" t="inlineStr">
        <is>
          <t>K</t>
        </is>
      </c>
      <c r="O2" t="inlineStr">
        <is>
          <t>20230806</t>
        </is>
      </c>
      <c r="P2" t="inlineStr">
        <is>
          <t>DKI Jakarta</t>
        </is>
      </c>
      <c r="Q2" s="3">
        <f>HYPERLINK("https://wa.me/6281380036919?text=*[PENGINGAT MASA BERLAKU SBU BINTANG TIMUR MARPA]*%0A%0AYth. Pimpinan BINTANG TIMUR MARPA,%0AMohon izin menginformasikan status SBU Anda di sistem LPJK:%0A%0A📄 SBU: BG003%0A📅 Expired: 11 Agustus 2026 (60 Hari Lagi)%0A%0AKami tim PT. ESDEA Assistance Management siap men-support proses perpanjangan segera agar administrasi proyek tidak terhambat%0A%0AApakah boleh saya bantu siapkan estimasi biaya dan waktu pengerjaannya?.", "Hubungi")</f>
        <v/>
      </c>
    </row>
    <row r="3">
      <c r="A3" t="inlineStr">
        <is>
          <t>GALLA INDONESIA</t>
        </is>
      </c>
      <c r="B3" t="inlineStr">
        <is>
          <t>Kota Bekasi</t>
        </is>
      </c>
      <c r="C3" t="inlineStr">
        <is>
          <t>0212872798</t>
        </is>
      </c>
      <c r="D3" t="inlineStr">
        <is>
          <t>gallaindonesia@yahoo.com</t>
        </is>
      </c>
      <c r="E3" t="inlineStr">
        <is>
          <t>https://lpjk.pu.go.id/search-badan-usaha-detail/Y0Z6clZILzBaOTcxaWxvaHdacDhNZz09</t>
        </is>
      </c>
      <c r="F3" t="n">
        <v>2</v>
      </c>
      <c r="G3" t="inlineStr">
        <is>
          <t>BG005, BG009</t>
        </is>
      </c>
      <c r="H3" t="inlineStr">
        <is>
          <t>5 Maret 2008</t>
        </is>
      </c>
      <c r="I3" s="2" t="n">
        <v>46245</v>
      </c>
      <c r="J3" t="inlineStr">
        <is>
          <t>Pencabutan</t>
        </is>
      </c>
      <c r="K3" t="n">
        <v>60</v>
      </c>
      <c r="L3" t="inlineStr">
        <is>
          <t>11 Agustus 2026</t>
        </is>
      </c>
      <c r="M3" t="inlineStr">
        <is>
          <t>Konstruksi Gedung Kesehatan, Konstruksi Gedung Lainnya</t>
        </is>
      </c>
      <c r="N3" t="inlineStr">
        <is>
          <t>K</t>
        </is>
      </c>
      <c r="O3" t="inlineStr">
        <is>
          <t>20230810</t>
        </is>
      </c>
      <c r="P3" t="inlineStr">
        <is>
          <t>Jawa Barat</t>
        </is>
      </c>
      <c r="Q3" t="inlineStr"/>
    </row>
    <row r="4">
      <c r="A4" t="inlineStr">
        <is>
          <t>GUNA MANDIRI SELARAS</t>
        </is>
      </c>
      <c r="B4" t="inlineStr">
        <is>
          <t>Kota Adm. Jakarta Timur</t>
        </is>
      </c>
      <c r="C4" t="inlineStr">
        <is>
          <t>08111042976</t>
        </is>
      </c>
      <c r="D4" t="inlineStr">
        <is>
          <t>gunamandiris@yahoo.com</t>
        </is>
      </c>
      <c r="E4" t="inlineStr">
        <is>
          <t>https://lpjk.pu.go.id/search-badan-usaha-detail/VVk5UkVMbFh0a3VNTHk2L3VUeHdTZz09</t>
        </is>
      </c>
      <c r="F4" t="n">
        <v>2</v>
      </c>
      <c r="G4" t="inlineStr">
        <is>
          <t>BG005, BG006</t>
        </is>
      </c>
      <c r="H4" t="inlineStr">
        <is>
          <t>27 November 2018</t>
        </is>
      </c>
      <c r="I4" s="2" t="n">
        <v>46245</v>
      </c>
      <c r="J4" t="inlineStr">
        <is>
          <t>Disetujui</t>
        </is>
      </c>
      <c r="K4" t="n">
        <v>60</v>
      </c>
      <c r="L4" t="inlineStr">
        <is>
          <t>11 Agustus 2026</t>
        </is>
      </c>
      <c r="M4" t="inlineStr">
        <is>
          <t>Konstruksi Gedung Kesehatan, Konstruksi Gedung Pendidikan</t>
        </is>
      </c>
      <c r="N4" t="inlineStr">
        <is>
          <t>K</t>
        </is>
      </c>
      <c r="O4" t="inlineStr">
        <is>
          <t>20230811</t>
        </is>
      </c>
      <c r="P4" t="inlineStr">
        <is>
          <t>DKI Jakarta</t>
        </is>
      </c>
      <c r="Q4" s="3">
        <f>HYPERLINK("https://wa.me/628111042976?text=*[PENGINGAT MASA BERLAKU SBU GUNA MANDIRI SELARAS]*%0A%0AYth. Pimpinan GUNA MANDIRI SELARAS,%0AMohon izin menginformasikan status SBU Anda di sistem LPJK:%0A%0A📄 SBU: BG005, BG006%0A📅 Expired: 11 Agustus 2026 (60 Hari Lagi)%0A%0AKami tim PT. ESDEA Assistance Management siap men-support proses perpanjangan segera agar administrasi proyek tidak terhambat%0A%0AApakah boleh saya bantu siapkan estimasi biaya dan waktu pengerjaannya?.", "Hubungi")</f>
        <v/>
      </c>
    </row>
    <row r="5">
      <c r="A5" t="inlineStr">
        <is>
          <t>JAYA SANTIKA</t>
        </is>
      </c>
      <c r="B5" t="inlineStr">
        <is>
          <t>Kab. Bogor</t>
        </is>
      </c>
      <c r="C5" t="inlineStr">
        <is>
          <t>087885080708</t>
        </is>
      </c>
      <c r="D5" t="inlineStr">
        <is>
          <t>cv.jayasantikaa@gmail.com</t>
        </is>
      </c>
      <c r="E5" t="inlineStr">
        <is>
          <t>https://lpjk.pu.go.id/search-badan-usaha-detail/MTBlSStQaVEzNHFYa2NzeW00T2JLZz09</t>
        </is>
      </c>
      <c r="F5" t="n">
        <v>1</v>
      </c>
      <c r="G5" t="inlineStr">
        <is>
          <t>BS016</t>
        </is>
      </c>
      <c r="H5" t="inlineStr">
        <is>
          <t>16 Mei 2023</t>
        </is>
      </c>
      <c r="I5" s="2" t="n">
        <v>46245</v>
      </c>
      <c r="J5" t="inlineStr">
        <is>
          <t>Disetujui</t>
        </is>
      </c>
      <c r="K5" t="n">
        <v>60</v>
      </c>
      <c r="L5" t="inlineStr">
        <is>
          <t>11 Agustus 2026</t>
        </is>
      </c>
      <c r="M5" t="inlineStr">
        <is>
          <t>Konstruksi Bangunan Sipil Fasilitas Olah Raga</t>
        </is>
      </c>
      <c r="N5" t="inlineStr">
        <is>
          <t>K</t>
        </is>
      </c>
      <c r="O5" t="inlineStr">
        <is>
          <t>20230809</t>
        </is>
      </c>
      <c r="P5" t="inlineStr">
        <is>
          <t>Jawa Barat</t>
        </is>
      </c>
      <c r="Q5" s="3">
        <f>HYPERLINK("https://wa.me/6287885080708?text=*[PENGINGAT MASA BERLAKU SBU JAYA SANTIKA]*%0A%0AYth. Pimpinan JAYA SANTIKA,%0AMohon izin menginformasikan status SBU Anda di sistem LPJK:%0A%0A📄 SBU: BS016%0A📅 Expired: 11 Agustus 2026 (60 Hari Lagi)%0A%0AKami tim PT. ESDEA Assistance Management siap men-support proses perpanjangan segera agar administrasi proyek tidak terhambat%0A%0AApakah boleh saya bantu siapkan estimasi biaya dan waktu pengerjaannya?.", "Hubungi")</f>
        <v/>
      </c>
    </row>
    <row r="6">
      <c r="A6" t="inlineStr">
        <is>
          <t>METRO INDO KARYA</t>
        </is>
      </c>
      <c r="B6" t="inlineStr">
        <is>
          <t>Kota Depok</t>
        </is>
      </c>
      <c r="C6" t="inlineStr">
        <is>
          <t>0217780164</t>
        </is>
      </c>
      <c r="D6" t="inlineStr">
        <is>
          <t>metroindo.karya@yahoo.com</t>
        </is>
      </c>
      <c r="E6" t="inlineStr">
        <is>
          <t>https://lpjk.pu.go.id/search-badan-usaha-detail/S0E5WVZDME45RWUwSGZiQ1pmeCthZz09</t>
        </is>
      </c>
      <c r="F6" t="n">
        <v>2</v>
      </c>
      <c r="G6" t="inlineStr">
        <is>
          <t>BG001, BG004</t>
        </is>
      </c>
      <c r="H6" t="inlineStr">
        <is>
          <t>6 Januari 2015</t>
        </is>
      </c>
      <c r="I6" s="2" t="n">
        <v>46245</v>
      </c>
      <c r="J6" t="inlineStr">
        <is>
          <t>Disetujui</t>
        </is>
      </c>
      <c r="K6" t="n">
        <v>60</v>
      </c>
      <c r="L6" t="inlineStr">
        <is>
          <t>11 Agustus 2026</t>
        </is>
      </c>
      <c r="M6" t="inlineStr">
        <is>
          <t>Konstruksi Gedung Hunian, Konstruksi Gedung Perbelanjaan</t>
        </is>
      </c>
      <c r="N6" t="inlineStr">
        <is>
          <t>K</t>
        </is>
      </c>
      <c r="O6" t="inlineStr">
        <is>
          <t>20230811</t>
        </is>
      </c>
      <c r="P6" t="inlineStr">
        <is>
          <t>Jawa Barat</t>
        </is>
      </c>
      <c r="Q6" t="inlineStr"/>
    </row>
    <row r="7">
      <c r="A7" t="inlineStr">
        <is>
          <t>ADHI REKAN KREASI</t>
        </is>
      </c>
      <c r="B7" t="inlineStr">
        <is>
          <t>Kota Adm. Jakarta Pusat</t>
        </is>
      </c>
      <c r="C7" t="inlineStr">
        <is>
          <t>081808704532</t>
        </is>
      </c>
      <c r="D7" t="inlineStr">
        <is>
          <t>cvadhirekankreasi@gmail.com</t>
        </is>
      </c>
      <c r="E7" t="inlineStr">
        <is>
          <t>https://lpjk.pu.go.id/search-badan-usaha-detail/U3ZmNjRveXp2RDI2dWNiUWRlVnJHZz09</t>
        </is>
      </c>
      <c r="F7" t="n">
        <v>1</v>
      </c>
      <c r="G7" t="inlineStr">
        <is>
          <t>BG001</t>
        </is>
      </c>
      <c r="H7" t="inlineStr">
        <is>
          <t>16 Mei 2023</t>
        </is>
      </c>
      <c r="I7" s="2" t="n">
        <v>46245</v>
      </c>
      <c r="J7" t="inlineStr">
        <is>
          <t>Pencabutan</t>
        </is>
      </c>
      <c r="K7" t="n">
        <v>60</v>
      </c>
      <c r="L7" t="inlineStr">
        <is>
          <t>11 Agustus 2026</t>
        </is>
      </c>
      <c r="M7" t="inlineStr">
        <is>
          <t>Konstruksi Gedung Hunian</t>
        </is>
      </c>
      <c r="N7" t="inlineStr">
        <is>
          <t>K</t>
        </is>
      </c>
      <c r="O7" t="inlineStr">
        <is>
          <t>20230802</t>
        </is>
      </c>
      <c r="P7" t="inlineStr">
        <is>
          <t>DKI Jakarta</t>
        </is>
      </c>
      <c r="Q7" t="inlineStr"/>
    </row>
    <row r="8">
      <c r="A8" t="inlineStr">
        <is>
          <t>ADHI WIJAYA PERKASA</t>
        </is>
      </c>
      <c r="B8" t="inlineStr">
        <is>
          <t>Kab. Kendal</t>
        </is>
      </c>
      <c r="C8" t="inlineStr">
        <is>
          <t>081326555715</t>
        </is>
      </c>
      <c r="D8" t="inlineStr">
        <is>
          <t>adiwijayaperkasa2@gmail.com</t>
        </is>
      </c>
      <c r="E8" t="inlineStr">
        <is>
          <t>https://lpjk.pu.go.id/search-badan-usaha-detail/V0c3ejVLU1habGZ2aE11bGYzbmxxQT09</t>
        </is>
      </c>
      <c r="F8" t="n">
        <v>2</v>
      </c>
      <c r="G8" t="inlineStr">
        <is>
          <t>BG005, BS001</t>
        </is>
      </c>
      <c r="H8" t="inlineStr">
        <is>
          <t>13 Juni 2023</t>
        </is>
      </c>
      <c r="I8" s="2" t="n">
        <v>46245</v>
      </c>
      <c r="J8" t="inlineStr">
        <is>
          <t>Disetujui</t>
        </is>
      </c>
      <c r="K8" t="n">
        <v>60</v>
      </c>
      <c r="L8" t="inlineStr">
        <is>
          <t>11 Agustus 2026</t>
        </is>
      </c>
      <c r="M8" t="inlineStr">
        <is>
          <t>Konstruksi Bangunan Sipil Jalan, Konstruksi Gedung Kesehatan</t>
        </is>
      </c>
      <c r="N8" t="inlineStr">
        <is>
          <t>K</t>
        </is>
      </c>
      <c r="O8" t="inlineStr">
        <is>
          <t>20230704, 20230705</t>
        </is>
      </c>
      <c r="P8" t="inlineStr">
        <is>
          <t>Jawa Tengah</t>
        </is>
      </c>
      <c r="Q8" t="inlineStr"/>
    </row>
    <row r="9">
      <c r="A9" t="inlineStr">
        <is>
          <t>ADITYA JAYA UTAMA</t>
        </is>
      </c>
      <c r="B9" t="inlineStr">
        <is>
          <t>Kota Makassar</t>
        </is>
      </c>
      <c r="C9" t="inlineStr">
        <is>
          <t>0411-4672747</t>
        </is>
      </c>
      <c r="D9" t="inlineStr">
        <is>
          <t>cvadityajayautama68@gmail.com</t>
        </is>
      </c>
      <c r="E9" t="inlineStr">
        <is>
          <t>https://lpjk.pu.go.id/search-badan-usaha-detail/enBjTjFhK0RwRE9oSXlLTWtJWjhLdz09</t>
        </is>
      </c>
      <c r="F9" t="n">
        <v>4</v>
      </c>
      <c r="G9" t="inlineStr">
        <is>
          <t>BG006, BG009, BS004, BS005</t>
        </is>
      </c>
      <c r="H9" t="inlineStr">
        <is>
          <t>22 Agustus 2016</t>
        </is>
      </c>
      <c r="I9" s="2" t="n">
        <v>46245</v>
      </c>
      <c r="J9" t="inlineStr">
        <is>
          <t>Disetujui</t>
        </is>
      </c>
      <c r="K9" t="n">
        <v>60</v>
      </c>
      <c r="L9" t="inlineStr">
        <is>
          <t>11 Agustus 2026</t>
        </is>
      </c>
      <c r="M9" t="inlineStr">
        <is>
          <t>Konstruksi Bangunan Sipil Pengolahan Air Bersih, Konstruksi Gedung Lainnya, Konstruksi Gedung Pendidikan, Konstruksi Jaringan Irigasi dan Drainase</t>
        </is>
      </c>
      <c r="N9" t="inlineStr">
        <is>
          <t>K</t>
        </is>
      </c>
      <c r="O9" t="inlineStr">
        <is>
          <t>20230811</t>
        </is>
      </c>
      <c r="P9" t="inlineStr">
        <is>
          <t>Sulawesi Selatan</t>
        </is>
      </c>
      <c r="Q9" t="inlineStr"/>
    </row>
    <row r="10">
      <c r="A10" t="inlineStr">
        <is>
          <t>AEK SIPANGOLU INDAH</t>
        </is>
      </c>
      <c r="B10" t="inlineStr">
        <is>
          <t>Kab. Humbang Hasundutan</t>
        </is>
      </c>
      <c r="C10" t="inlineStr">
        <is>
          <t>081263198448</t>
        </is>
      </c>
      <c r="D10" t="inlineStr">
        <is>
          <t>pt.Mandiritribintang@yahoo.com</t>
        </is>
      </c>
      <c r="E10" t="inlineStr">
        <is>
          <t>https://lpjk.pu.go.id/search-badan-usaha-detail/VDlrUDRlbm93aHE0OUJnY3grdHRWUT09</t>
        </is>
      </c>
      <c r="F10" t="n">
        <v>1</v>
      </c>
      <c r="G10" t="inlineStr">
        <is>
          <t>BG005</t>
        </is>
      </c>
      <c r="H10" t="inlineStr">
        <is>
          <t>10 Maret 2006</t>
        </is>
      </c>
      <c r="I10" s="2" t="n">
        <v>46245</v>
      </c>
      <c r="J10" t="inlineStr">
        <is>
          <t>Disetujui</t>
        </is>
      </c>
      <c r="K10" t="n">
        <v>60</v>
      </c>
      <c r="L10" t="inlineStr">
        <is>
          <t>11 Agustus 2026</t>
        </is>
      </c>
      <c r="M10" t="inlineStr">
        <is>
          <t>Konstruksi Gedung Kesehatan</t>
        </is>
      </c>
      <c r="N10" t="inlineStr">
        <is>
          <t>K</t>
        </is>
      </c>
      <c r="O10" t="inlineStr">
        <is>
          <t>20230811</t>
        </is>
      </c>
      <c r="P10" t="inlineStr">
        <is>
          <t>Sumatera Utara</t>
        </is>
      </c>
      <c r="Q10" t="inlineStr"/>
    </row>
    <row r="11">
      <c r="A11" t="inlineStr">
        <is>
          <t>AGUNG JAYA</t>
        </is>
      </c>
      <c r="B11" t="inlineStr">
        <is>
          <t>Kab. Jember</t>
        </is>
      </c>
      <c r="C11" t="inlineStr">
        <is>
          <t>082237233330</t>
        </is>
      </c>
      <c r="D11" t="inlineStr">
        <is>
          <t>agunghariprasetya@gmail.com</t>
        </is>
      </c>
      <c r="E11" t="inlineStr">
        <is>
          <t>https://lpjk.pu.go.id/search-badan-usaha-detail/Z2pXKzdEblBId25RaGtXUWc5bTFtdz09</t>
        </is>
      </c>
      <c r="F11" t="n">
        <v>10</v>
      </c>
      <c r="G11" t="inlineStr">
        <is>
          <t>BG005, BG006, BG009, BS001, BS004</t>
        </is>
      </c>
      <c r="H11" t="inlineStr">
        <is>
          <t>20 Mei 2016</t>
        </is>
      </c>
      <c r="I11" s="2" t="n">
        <v>46245</v>
      </c>
      <c r="J11" t="inlineStr">
        <is>
          <t>Disetujui</t>
        </is>
      </c>
      <c r="K11" t="n">
        <v>60</v>
      </c>
      <c r="L11" t="inlineStr">
        <is>
          <t>11 Agustus 2026</t>
        </is>
      </c>
      <c r="M11" t="inlineStr">
        <is>
          <t>Konstruksi Bangunan Sipil Jalan, Konstruksi Gedung Kesehatan, Konstruksi Gedung Lainnya, Konstruksi Gedung Pendidikan, Konstruksi Jaringan Irigasi dan Drainase</t>
        </is>
      </c>
      <c r="N11" t="inlineStr">
        <is>
          <t>K</t>
        </is>
      </c>
      <c r="O11" t="inlineStr">
        <is>
          <t>20230811, 20230812</t>
        </is>
      </c>
      <c r="P11" t="inlineStr">
        <is>
          <t>Jawa Timur</t>
        </is>
      </c>
      <c r="Q11" t="inlineStr"/>
    </row>
    <row r="12">
      <c r="A12" t="inlineStr">
        <is>
          <t>ALFAZZA HANANIA JAYA</t>
        </is>
      </c>
      <c r="B12" t="inlineStr">
        <is>
          <t>Kota Padang</t>
        </is>
      </c>
      <c r="C12" t="inlineStr">
        <is>
          <t>085216950759</t>
        </is>
      </c>
      <c r="D12" t="inlineStr">
        <is>
          <t>hanaalfazza700@gmail.com</t>
        </is>
      </c>
      <c r="E12" t="inlineStr">
        <is>
          <t>https://lpjk.pu.go.id/search-badan-usaha-detail/NjRNaTRkNm81cmdQNERzQmoxbFF2QT09</t>
        </is>
      </c>
      <c r="F12" t="n">
        <v>2</v>
      </c>
      <c r="G12" t="inlineStr">
        <is>
          <t>PL004</t>
        </is>
      </c>
      <c r="H12" t="inlineStr">
        <is>
          <t>28 Februari 2023</t>
        </is>
      </c>
      <c r="I12" s="2" t="n">
        <v>46245</v>
      </c>
      <c r="J12" t="inlineStr">
        <is>
          <t>Pembekuan</t>
        </is>
      </c>
      <c r="K12" t="n">
        <v>60</v>
      </c>
      <c r="L12" t="inlineStr">
        <is>
          <t>11 Agustus 2026</t>
        </is>
      </c>
      <c r="M12" t="inlineStr">
        <is>
          <t>Pekerjaan Tanah</t>
        </is>
      </c>
      <c r="N12" t="inlineStr">
        <is>
          <t>Spesialis</t>
        </is>
      </c>
      <c r="O12" t="inlineStr">
        <is>
          <t>20230811</t>
        </is>
      </c>
      <c r="P12" t="inlineStr">
        <is>
          <t>Sumatera Barat</t>
        </is>
      </c>
      <c r="Q12" t="inlineStr"/>
    </row>
    <row r="13">
      <c r="A13" t="inlineStr">
        <is>
          <t>ALPUTRA JAYA BERSAMA</t>
        </is>
      </c>
      <c r="B13" t="inlineStr">
        <is>
          <t>Kab. Batu Bara</t>
        </is>
      </c>
      <c r="C13" t="inlineStr">
        <is>
          <t>082161251542</t>
        </is>
      </c>
      <c r="D13" t="inlineStr">
        <is>
          <t>PTALPUTRA.JB@GMAIL.COM</t>
        </is>
      </c>
      <c r="E13" t="inlineStr">
        <is>
          <t>https://lpjk.pu.go.id/search-badan-usaha-detail/SkxoVGR2VUE2K2xTUVM5VmJqN3RUUT09</t>
        </is>
      </c>
      <c r="F13" t="n">
        <v>2</v>
      </c>
      <c r="G13" t="inlineStr">
        <is>
          <t>BG003</t>
        </is>
      </c>
      <c r="H13" t="inlineStr">
        <is>
          <t>6 Maret 2017</t>
        </is>
      </c>
      <c r="I13" s="2" t="n">
        <v>46245</v>
      </c>
      <c r="J13" t="inlineStr">
        <is>
          <t>Disetujui</t>
        </is>
      </c>
      <c r="K13" t="n">
        <v>60</v>
      </c>
      <c r="L13" t="inlineStr">
        <is>
          <t>11 Agustus 2026</t>
        </is>
      </c>
      <c r="M13" t="inlineStr">
        <is>
          <t>Konstruksi Gedung Industri</t>
        </is>
      </c>
      <c r="N13" t="inlineStr">
        <is>
          <t>K</t>
        </is>
      </c>
      <c r="O13" t="inlineStr">
        <is>
          <t>20230728</t>
        </is>
      </c>
      <c r="P13" t="inlineStr">
        <is>
          <t>Sumatera Utara</t>
        </is>
      </c>
      <c r="Q13" t="inlineStr"/>
    </row>
    <row r="14">
      <c r="A14" t="inlineStr">
        <is>
          <t>AMELIA LANGGENG JAYA</t>
        </is>
      </c>
      <c r="B14" t="inlineStr">
        <is>
          <t>Kab. Banjarnegara</t>
        </is>
      </c>
      <c r="C14" t="inlineStr">
        <is>
          <t>081251108822</t>
        </is>
      </c>
      <c r="D14" t="inlineStr">
        <is>
          <t>cvamelialanggengjaya@gmail.com</t>
        </is>
      </c>
      <c r="E14" t="inlineStr">
        <is>
          <t>https://lpjk.pu.go.id/search-badan-usaha-detail/dWo2YzR5V0VRQ09ka3N0VG1wVmNpUT09</t>
        </is>
      </c>
      <c r="F14" t="n">
        <v>6</v>
      </c>
      <c r="G14" t="inlineStr">
        <is>
          <t>BS001, BS002, BS004</t>
        </is>
      </c>
      <c r="H14" t="inlineStr">
        <is>
          <t>24 Desember 2022</t>
        </is>
      </c>
      <c r="I14" s="2" t="n">
        <v>46245</v>
      </c>
      <c r="J14" t="inlineStr">
        <is>
          <t>Disetujui</t>
        </is>
      </c>
      <c r="K14" t="n">
        <v>60</v>
      </c>
      <c r="L14" t="inlineStr">
        <is>
          <t>11 Agustus 2026</t>
        </is>
      </c>
      <c r="M14" t="inlineStr">
        <is>
          <t>Bangunan Sipil Jembatan, Jalan Layang, Fly Over, dan Underpass, Konstruksi Bangunan Sipil Jalan, Konstruksi Jaringan Irigasi dan Drainase</t>
        </is>
      </c>
      <c r="N14" t="inlineStr">
        <is>
          <t>K</t>
        </is>
      </c>
      <c r="O14" t="inlineStr">
        <is>
          <t>20230809</t>
        </is>
      </c>
      <c r="P14" t="inlineStr">
        <is>
          <t>Jawa Tengah</t>
        </is>
      </c>
      <c r="Q14" t="inlineStr"/>
    </row>
    <row r="15">
      <c r="A15" t="inlineStr">
        <is>
          <t>ANDIKA BERKAH ABADI</t>
        </is>
      </c>
      <c r="B15" t="inlineStr">
        <is>
          <t>Kab. Kampar</t>
        </is>
      </c>
      <c r="C15" t="inlineStr">
        <is>
          <t>082285391790</t>
        </is>
      </c>
      <c r="D15" t="inlineStr">
        <is>
          <t>andikaberkah02@gmail.com</t>
        </is>
      </c>
      <c r="E15" t="inlineStr">
        <is>
          <t>https://lpjk.pu.go.id/search-badan-usaha-detail/NmNlSFNPeUpjSFQ0bEdSNmZINm1Ddz09</t>
        </is>
      </c>
      <c r="F15" t="n">
        <v>2</v>
      </c>
      <c r="G15" t="inlineStr">
        <is>
          <t>BS001</t>
        </is>
      </c>
      <c r="H15" t="inlineStr">
        <is>
          <t>4 Oktober 2019</t>
        </is>
      </c>
      <c r="I15" s="2" t="n">
        <v>46245</v>
      </c>
      <c r="J15" t="inlineStr">
        <is>
          <t>Pencabutan</t>
        </is>
      </c>
      <c r="K15" t="n">
        <v>60</v>
      </c>
      <c r="L15" t="inlineStr">
        <is>
          <t>11 Agustus 2026</t>
        </is>
      </c>
      <c r="M15" t="inlineStr">
        <is>
          <t>Konstruksi Bangunan Sipil Jalan</t>
        </is>
      </c>
      <c r="N15" t="inlineStr">
        <is>
          <t>K</t>
        </is>
      </c>
      <c r="O15" t="inlineStr">
        <is>
          <t>20230811</t>
        </is>
      </c>
      <c r="P15" t="inlineStr">
        <is>
          <t>Riau</t>
        </is>
      </c>
      <c r="Q15" t="inlineStr"/>
    </row>
    <row r="16">
      <c r="A16" t="inlineStr">
        <is>
          <t>ARDILA PRATAMA</t>
        </is>
      </c>
      <c r="B16" t="inlineStr">
        <is>
          <t>Kota Madiun</t>
        </is>
      </c>
      <c r="C16" t="inlineStr">
        <is>
          <t>081259687879</t>
        </is>
      </c>
      <c r="D16" t="inlineStr">
        <is>
          <t>cvardilapratama@gmail.com</t>
        </is>
      </c>
      <c r="E16" t="inlineStr">
        <is>
          <t>https://lpjk.pu.go.id/search-badan-usaha-detail/U05zM05mMkE3ZmtVaGUxcDdOZjhhdz09</t>
        </is>
      </c>
      <c r="F16" t="n">
        <v>1</v>
      </c>
      <c r="G16" t="inlineStr">
        <is>
          <t>BS004</t>
        </is>
      </c>
      <c r="H16" t="inlineStr">
        <is>
          <t>7 Juni 2007</t>
        </is>
      </c>
      <c r="I16" s="2" t="n">
        <v>46245</v>
      </c>
      <c r="J16" t="inlineStr">
        <is>
          <t>Disetujui</t>
        </is>
      </c>
      <c r="K16" t="n">
        <v>60</v>
      </c>
      <c r="L16" t="inlineStr">
        <is>
          <t>11 Agustus 2026</t>
        </is>
      </c>
      <c r="M16" t="inlineStr">
        <is>
          <t>Konstruksi Jaringan Irigasi dan Drainase</t>
        </is>
      </c>
      <c r="N16" t="inlineStr">
        <is>
          <t>K</t>
        </is>
      </c>
      <c r="O16" t="inlineStr">
        <is>
          <t>20230804</t>
        </is>
      </c>
      <c r="P16" t="inlineStr">
        <is>
          <t>Jawa Timur</t>
        </is>
      </c>
      <c r="Q16" t="inlineStr"/>
    </row>
    <row r="17">
      <c r="A17" t="inlineStr">
        <is>
          <t>ARGUYANI</t>
        </is>
      </c>
      <c r="B17" t="inlineStr">
        <is>
          <t>Kota Bandung</t>
        </is>
      </c>
      <c r="C17" t="inlineStr">
        <is>
          <t>081321523737</t>
        </is>
      </c>
      <c r="D17" t="inlineStr">
        <is>
          <t>arguyani@gmail.com</t>
        </is>
      </c>
      <c r="E17" t="inlineStr">
        <is>
          <t>https://lpjk.pu.go.id/search-badan-usaha-detail/SzhvSkNMaUtKSEJPYTRBNHFmNjZKZz09</t>
        </is>
      </c>
      <c r="F17" t="n">
        <v>2</v>
      </c>
      <c r="G17" t="inlineStr">
        <is>
          <t>BG006, BG009</t>
        </is>
      </c>
      <c r="H17" t="inlineStr">
        <is>
          <t>18 Januari 2006</t>
        </is>
      </c>
      <c r="I17" s="2" t="n">
        <v>46245</v>
      </c>
      <c r="J17" t="inlineStr">
        <is>
          <t>Disetujui</t>
        </is>
      </c>
      <c r="K17" t="n">
        <v>60</v>
      </c>
      <c r="L17" t="inlineStr">
        <is>
          <t>11 Agustus 2026</t>
        </is>
      </c>
      <c r="M17" t="inlineStr">
        <is>
          <t>Konstruksi Gedung Lainnya, Konstruksi Gedung Pendidikan</t>
        </is>
      </c>
      <c r="N17" t="inlineStr">
        <is>
          <t>K</t>
        </is>
      </c>
      <c r="O17" t="inlineStr">
        <is>
          <t>20230811</t>
        </is>
      </c>
      <c r="P17" t="inlineStr">
        <is>
          <t>Jawa Barat</t>
        </is>
      </c>
      <c r="Q17" t="inlineStr"/>
    </row>
    <row r="18">
      <c r="A18" t="inlineStr">
        <is>
          <t>ARKATAMA JAYA</t>
        </is>
      </c>
      <c r="B18" t="inlineStr">
        <is>
          <t>Kab. Jember</t>
        </is>
      </c>
      <c r="C18" t="inlineStr">
        <is>
          <t>082337040985</t>
        </is>
      </c>
      <c r="D18" t="inlineStr">
        <is>
          <t>arkatamajaya@gmail.com</t>
        </is>
      </c>
      <c r="E18" t="inlineStr">
        <is>
          <t>https://lpjk.pu.go.id/search-badan-usaha-detail/VHlQRjVJc2ZoWXgzdzk2R05aVlk0UT09</t>
        </is>
      </c>
      <c r="F18" t="n">
        <v>2</v>
      </c>
      <c r="G18" t="inlineStr">
        <is>
          <t>BG009</t>
        </is>
      </c>
      <c r="H18" t="inlineStr">
        <is>
          <t>15 September 2019</t>
        </is>
      </c>
      <c r="I18" s="2" t="n">
        <v>46245</v>
      </c>
      <c r="J18" t="inlineStr">
        <is>
          <t>Disetujui</t>
        </is>
      </c>
      <c r="K18" t="n">
        <v>60</v>
      </c>
      <c r="L18" t="inlineStr">
        <is>
          <t>11 Agustus 2026</t>
        </is>
      </c>
      <c r="M18" t="inlineStr">
        <is>
          <t>Konstruksi Gedung Lainnya</t>
        </is>
      </c>
      <c r="N18" t="inlineStr">
        <is>
          <t>K</t>
        </is>
      </c>
      <c r="O18" t="inlineStr">
        <is>
          <t>20230809</t>
        </is>
      </c>
      <c r="P18" t="inlineStr">
        <is>
          <t>Jawa Timur</t>
        </is>
      </c>
      <c r="Q18" t="inlineStr"/>
    </row>
    <row r="19">
      <c r="A19" t="inlineStr">
        <is>
          <t>ARTHA RIATAMA JAYA</t>
        </is>
      </c>
      <c r="B19" t="inlineStr">
        <is>
          <t>Kota Samarinda</t>
        </is>
      </c>
      <c r="C19" t="inlineStr">
        <is>
          <t>081253021000</t>
        </is>
      </c>
      <c r="D19" t="inlineStr">
        <is>
          <t>arthariatamajaya@gmail.com</t>
        </is>
      </c>
      <c r="E19" t="inlineStr">
        <is>
          <t>https://lpjk.pu.go.id/search-badan-usaha-detail/SnNYUm8xK09VTDdEV1NYWG5LYzhDQT09</t>
        </is>
      </c>
      <c r="F19" t="n">
        <v>2</v>
      </c>
      <c r="G19" t="inlineStr">
        <is>
          <t>BG002, BG005</t>
        </is>
      </c>
      <c r="H19" t="inlineStr">
        <is>
          <t>30 Januari 2008</t>
        </is>
      </c>
      <c r="I19" s="2" t="n">
        <v>46245</v>
      </c>
      <c r="J19" t="inlineStr">
        <is>
          <t>Disetujui</t>
        </is>
      </c>
      <c r="K19" t="n">
        <v>60</v>
      </c>
      <c r="L19" t="inlineStr">
        <is>
          <t>11 Agustus 2026</t>
        </is>
      </c>
      <c r="M19" t="inlineStr">
        <is>
          <t>Konstruksi Gedung Kesehatan, Konstruksi Gedung Perkantoran</t>
        </is>
      </c>
      <c r="N19" t="inlineStr">
        <is>
          <t>K</t>
        </is>
      </c>
      <c r="O19" t="inlineStr">
        <is>
          <t>20230806</t>
        </is>
      </c>
      <c r="P19" t="inlineStr">
        <is>
          <t>Kalimantan Timur</t>
        </is>
      </c>
      <c r="Q19" t="inlineStr"/>
    </row>
    <row r="20">
      <c r="A20" t="inlineStr">
        <is>
          <t>ASASTA GRAHA</t>
        </is>
      </c>
      <c r="B20" t="inlineStr">
        <is>
          <t>Kota Malang</t>
        </is>
      </c>
      <c r="C20" t="inlineStr">
        <is>
          <t>081233997180</t>
        </is>
      </c>
      <c r="D20" t="inlineStr">
        <is>
          <t>asastagraha@gmail.com</t>
        </is>
      </c>
      <c r="E20" t="inlineStr">
        <is>
          <t>https://lpjk.pu.go.id/search-badan-usaha-detail/U1Mrc2hWcW1WNTlPTDFJYVBzSVk2Zz09</t>
        </is>
      </c>
      <c r="F20" t="n">
        <v>2</v>
      </c>
      <c r="G20" t="inlineStr">
        <is>
          <t>BG004, BG009</t>
        </is>
      </c>
      <c r="H20" t="inlineStr">
        <is>
          <t>11 Juni 2018</t>
        </is>
      </c>
      <c r="I20" s="2" t="n">
        <v>46245</v>
      </c>
      <c r="J20" t="inlineStr">
        <is>
          <t>Disetujui</t>
        </is>
      </c>
      <c r="K20" t="n">
        <v>60</v>
      </c>
      <c r="L20" t="inlineStr">
        <is>
          <t>11 Agustus 2026</t>
        </is>
      </c>
      <c r="M20" t="inlineStr">
        <is>
          <t>Konstruksi Gedung Lainnya, Konstruksi Gedung Perbelanjaan</t>
        </is>
      </c>
      <c r="N20" t="inlineStr">
        <is>
          <t>K</t>
        </is>
      </c>
      <c r="O20" t="inlineStr">
        <is>
          <t>20230802</t>
        </is>
      </c>
      <c r="P20" t="inlineStr">
        <is>
          <t>Jawa Timur</t>
        </is>
      </c>
      <c r="Q20" t="inlineStr"/>
    </row>
    <row r="21">
      <c r="A21" t="inlineStr">
        <is>
          <t>ASTRINDO PUSPITA ABADI</t>
        </is>
      </c>
      <c r="B21" t="inlineStr">
        <is>
          <t>Kab. Bangka Tengah</t>
        </is>
      </c>
      <c r="C21" t="inlineStr">
        <is>
          <t>08117173979</t>
        </is>
      </c>
      <c r="D21" t="inlineStr">
        <is>
          <t>bipgroup@gmail.com</t>
        </is>
      </c>
      <c r="E21" t="inlineStr">
        <is>
          <t>https://lpjk.pu.go.id/search-badan-usaha-detail/U0Q0ZjJmckp1YStMakRTNGlscVpVZz09</t>
        </is>
      </c>
      <c r="F21" t="n">
        <v>8</v>
      </c>
      <c r="G21" t="inlineStr">
        <is>
          <t>BG005, BG006, BG009, BS002</t>
        </is>
      </c>
      <c r="H21" t="inlineStr">
        <is>
          <t>12 November 2001</t>
        </is>
      </c>
      <c r="I21" s="2" t="n">
        <v>46245</v>
      </c>
      <c r="J21" t="inlineStr">
        <is>
          <t>Disetujui</t>
        </is>
      </c>
      <c r="K21" t="n">
        <v>60</v>
      </c>
      <c r="L21" t="inlineStr">
        <is>
          <t>11 Agustus 2026</t>
        </is>
      </c>
      <c r="M21" t="inlineStr">
        <is>
          <t>Bangunan Sipil Jembatan, Jalan Layang, Fly Over, dan Underpass, Konstruksi Gedung Kesehatan, Konstruksi Gedung Lainnya, Konstruksi Gedung Pendidikan</t>
        </is>
      </c>
      <c r="N21" t="inlineStr">
        <is>
          <t>K</t>
        </is>
      </c>
      <c r="O21" t="inlineStr">
        <is>
          <t>20230810, 20230811</t>
        </is>
      </c>
      <c r="P21" t="inlineStr">
        <is>
          <t>Kepulauan Bangka Belitung</t>
        </is>
      </c>
      <c r="Q21" t="inlineStr"/>
    </row>
    <row r="22">
      <c r="A22" t="inlineStr">
        <is>
          <t>BAROKAH BERKAH BERSAMA</t>
        </is>
      </c>
      <c r="B22" t="inlineStr">
        <is>
          <t>Kab. Kudus</t>
        </is>
      </c>
      <c r="C22" t="inlineStr">
        <is>
          <t>085293127282</t>
        </is>
      </c>
      <c r="D22" t="inlineStr">
        <is>
          <t>barokahberkahbersama@gmail.com</t>
        </is>
      </c>
      <c r="E22" t="inlineStr">
        <is>
          <t>https://lpjk.pu.go.id/search-badan-usaha-detail/NEFLRy9NTnZCNVN5Mmx3OWhtMTg5Zz09</t>
        </is>
      </c>
      <c r="F22" t="n">
        <v>8</v>
      </c>
      <c r="G22" t="inlineStr">
        <is>
          <t>BG001, BG002, BG003, BG005</t>
        </is>
      </c>
      <c r="H22" t="inlineStr">
        <is>
          <t>18 Januari 2019</t>
        </is>
      </c>
      <c r="I22" s="2" t="n">
        <v>46245</v>
      </c>
      <c r="J22" t="inlineStr">
        <is>
          <t>Disetujui</t>
        </is>
      </c>
      <c r="K22" t="n">
        <v>60</v>
      </c>
      <c r="L22" t="inlineStr">
        <is>
          <t>11 Agustus 2026</t>
        </is>
      </c>
      <c r="M22" t="inlineStr">
        <is>
          <t>Konstruksi Gedung Hunian, Konstruksi Gedung Industri, Konstruksi Gedung Kesehatan, Konstruksi Gedung Perkantoran</t>
        </is>
      </c>
      <c r="N22" t="inlineStr">
        <is>
          <t>K</t>
        </is>
      </c>
      <c r="O22" t="inlineStr">
        <is>
          <t>20230713, 20230808, 20230812</t>
        </is>
      </c>
      <c r="P22" t="inlineStr">
        <is>
          <t>Jawa Tengah</t>
        </is>
      </c>
      <c r="Q22" t="inlineStr"/>
    </row>
    <row r="23">
      <c r="A23" t="inlineStr">
        <is>
          <t>BERKAH MADINAH</t>
        </is>
      </c>
      <c r="B23" t="inlineStr">
        <is>
          <t>Kab. Hulu Sungai Utara</t>
        </is>
      </c>
      <c r="C23" t="inlineStr">
        <is>
          <t>082246578921</t>
        </is>
      </c>
      <c r="D23" t="inlineStr">
        <is>
          <t>cvberkahmadinah0607@gmail.com</t>
        </is>
      </c>
      <c r="E23" t="inlineStr">
        <is>
          <t>https://lpjk.pu.go.id/search-badan-usaha-detail/S0llN1gvK2VoRlZ5elZKaTZvSHdydz09</t>
        </is>
      </c>
      <c r="F23" t="n">
        <v>2</v>
      </c>
      <c r="G23" t="inlineStr">
        <is>
          <t>BS001</t>
        </is>
      </c>
      <c r="H23" t="inlineStr">
        <is>
          <t>6 Juli 2023</t>
        </is>
      </c>
      <c r="I23" s="2" t="n">
        <v>46245</v>
      </c>
      <c r="J23" t="inlineStr">
        <is>
          <t>Disetujui</t>
        </is>
      </c>
      <c r="K23" t="n">
        <v>60</v>
      </c>
      <c r="L23" t="inlineStr">
        <is>
          <t>11 Agustus 2026</t>
        </is>
      </c>
      <c r="M23" t="inlineStr">
        <is>
          <t>Konstruksi Bangunan Sipil Jalan</t>
        </is>
      </c>
      <c r="N23" t="inlineStr">
        <is>
          <t>K</t>
        </is>
      </c>
      <c r="O23" t="inlineStr">
        <is>
          <t>20230716</t>
        </is>
      </c>
      <c r="P23" t="inlineStr">
        <is>
          <t>Kalimantan Selatan</t>
        </is>
      </c>
      <c r="Q23" t="inlineStr"/>
    </row>
    <row r="24">
      <c r="A24" t="inlineStr">
        <is>
          <t>BERKAH SAQINA NIZAM</t>
        </is>
      </c>
      <c r="B24" t="inlineStr">
        <is>
          <t>Kab. Pelalawan</t>
        </is>
      </c>
      <c r="C24" t="inlineStr">
        <is>
          <t>081378454145</t>
        </is>
      </c>
      <c r="D24" t="inlineStr">
        <is>
          <t>saqinanizamcvberkah@gmail.com</t>
        </is>
      </c>
      <c r="E24" t="inlineStr">
        <is>
          <t>https://lpjk.pu.go.id/search-badan-usaha-detail/S090blNnSFB3OGNiYlJhbGYrMGxZdz09</t>
        </is>
      </c>
      <c r="F24" t="n">
        <v>8</v>
      </c>
      <c r="G24" t="inlineStr">
        <is>
          <t>BG006, BG009, BS001, BS004</t>
        </is>
      </c>
      <c r="H24" t="inlineStr">
        <is>
          <t>15 Juli 2020</t>
        </is>
      </c>
      <c r="I24" s="2" t="n">
        <v>46245</v>
      </c>
      <c r="J24" t="inlineStr">
        <is>
          <t>Disetujui</t>
        </is>
      </c>
      <c r="K24" t="n">
        <v>60</v>
      </c>
      <c r="L24" t="inlineStr">
        <is>
          <t>11 Agustus 2026</t>
        </is>
      </c>
      <c r="M24" t="inlineStr">
        <is>
          <t>Konstruksi Bangunan Sipil Jalan, Konstruksi Gedung Lainnya, Konstruksi Gedung Pendidikan, Konstruksi Jaringan Irigasi dan Drainase</t>
        </is>
      </c>
      <c r="N24" t="inlineStr">
        <is>
          <t>K</t>
        </is>
      </c>
      <c r="O24" t="inlineStr">
        <is>
          <t>20230811</t>
        </is>
      </c>
      <c r="P24" t="inlineStr">
        <is>
          <t>Riau</t>
        </is>
      </c>
      <c r="Q24" t="inlineStr"/>
    </row>
    <row r="25">
      <c r="A25" t="inlineStr">
        <is>
          <t>BIMA BERKAH MANDIRI</t>
        </is>
      </c>
      <c r="B25" t="inlineStr">
        <is>
          <t>Kab. Tuban</t>
        </is>
      </c>
      <c r="C25" t="inlineStr">
        <is>
          <t>081230942781</t>
        </is>
      </c>
      <c r="D25" t="inlineStr">
        <is>
          <t>wahyuanitasari68@gmail.com</t>
        </is>
      </c>
      <c r="E25" t="inlineStr">
        <is>
          <t>https://lpjk.pu.go.id/search-badan-usaha-detail/WUd0QWd3Q0pSbkVURnlHZ3ZNSjhGQT09</t>
        </is>
      </c>
      <c r="F25" t="n">
        <v>1</v>
      </c>
      <c r="G25" t="inlineStr">
        <is>
          <t>IN001</t>
        </is>
      </c>
      <c r="H25" t="inlineStr">
        <is>
          <t>22 Oktober 2014</t>
        </is>
      </c>
      <c r="I25" s="2" t="n">
        <v>46245</v>
      </c>
      <c r="J25" t="inlineStr">
        <is>
          <t>Disetujui</t>
        </is>
      </c>
      <c r="K25" t="n">
        <v>60</v>
      </c>
      <c r="L25" t="inlineStr">
        <is>
          <t>11 Agustus 2026</t>
        </is>
      </c>
      <c r="M25" t="inlineStr">
        <is>
          <t>Instalasi Mekanikal</t>
        </is>
      </c>
      <c r="N25" t="inlineStr">
        <is>
          <t>Spesialis</t>
        </is>
      </c>
      <c r="O25" t="inlineStr">
        <is>
          <t>20230810</t>
        </is>
      </c>
      <c r="P25" t="inlineStr">
        <is>
          <t>Jawa Timur</t>
        </is>
      </c>
      <c r="Q25" t="inlineStr"/>
    </row>
    <row r="26">
      <c r="A26" t="inlineStr">
        <is>
          <t>BIMA PUTRA NUSANTARA</t>
        </is>
      </c>
      <c r="B26" t="inlineStr">
        <is>
          <t>Kab. Jember</t>
        </is>
      </c>
      <c r="C26" t="inlineStr">
        <is>
          <t>081249066415</t>
        </is>
      </c>
      <c r="D26" t="inlineStr">
        <is>
          <t>bimaputranusantara2019@gmail.com</t>
        </is>
      </c>
      <c r="E26" t="inlineStr">
        <is>
          <t>https://lpjk.pu.go.id/search-badan-usaha-detail/ejQwMzNWVXdJV0UxazJhKzhQVkI2UT09</t>
        </is>
      </c>
      <c r="F26" t="n">
        <v>1</v>
      </c>
      <c r="G26" t="inlineStr">
        <is>
          <t>BS004</t>
        </is>
      </c>
      <c r="H26" t="inlineStr">
        <is>
          <t>15 Januari 2019</t>
        </is>
      </c>
      <c r="I26" s="2" t="n">
        <v>46245</v>
      </c>
      <c r="J26" t="inlineStr">
        <is>
          <t>Disetujui</t>
        </is>
      </c>
      <c r="K26" t="n">
        <v>60</v>
      </c>
      <c r="L26" t="inlineStr">
        <is>
          <t>11 Agustus 2026</t>
        </is>
      </c>
      <c r="M26" t="inlineStr">
        <is>
          <t>Konstruksi Jaringan Irigasi dan Drainase</t>
        </is>
      </c>
      <c r="N26" t="inlineStr">
        <is>
          <t>K</t>
        </is>
      </c>
      <c r="O26" t="inlineStr">
        <is>
          <t>20230807</t>
        </is>
      </c>
      <c r="P26" t="inlineStr">
        <is>
          <t>Jawa Timur</t>
        </is>
      </c>
      <c r="Q26" t="inlineStr"/>
    </row>
    <row r="27">
      <c r="A27" t="inlineStr">
        <is>
          <t>BIMA YANFA UNA</t>
        </is>
      </c>
      <c r="B27" t="inlineStr">
        <is>
          <t>Kota Adm. Jakarta Utara</t>
        </is>
      </c>
      <c r="C27" t="inlineStr">
        <is>
          <t>085710009696</t>
        </is>
      </c>
      <c r="D27" t="inlineStr">
        <is>
          <t>bimayanfauna@gmail.com</t>
        </is>
      </c>
      <c r="E27" t="inlineStr">
        <is>
          <t>https://lpjk.pu.go.id/search-badan-usaha-detail/RGJLQ2M5dzFTNGQ5MFZoMWpQelM5UT09</t>
        </is>
      </c>
      <c r="F27" t="n">
        <v>2</v>
      </c>
      <c r="G27" t="inlineStr">
        <is>
          <t>BG002, BG006</t>
        </is>
      </c>
      <c r="H27" t="inlineStr">
        <is>
          <t>6 Juni 2022</t>
        </is>
      </c>
      <c r="I27" s="2" t="n">
        <v>46245</v>
      </c>
      <c r="J27" t="inlineStr">
        <is>
          <t>Disetujui</t>
        </is>
      </c>
      <c r="K27" t="n">
        <v>60</v>
      </c>
      <c r="L27" t="inlineStr">
        <is>
          <t>11 Agustus 2026</t>
        </is>
      </c>
      <c r="M27" t="inlineStr">
        <is>
          <t>Konstruksi Gedung Pendidikan, Konstruksi Gedung Perkantoran</t>
        </is>
      </c>
      <c r="N27" t="inlineStr">
        <is>
          <t>K</t>
        </is>
      </c>
      <c r="O27" t="inlineStr">
        <is>
          <t>20230810, 20230811</t>
        </is>
      </c>
      <c r="P27" t="inlineStr">
        <is>
          <t>DKI Jakarta</t>
        </is>
      </c>
      <c r="Q27" t="inlineStr"/>
    </row>
    <row r="28">
      <c r="A28" t="inlineStr">
        <is>
          <t>BINTANG JAYA YASMIN</t>
        </is>
      </c>
      <c r="B28" t="inlineStr">
        <is>
          <t>Kab. Jember</t>
        </is>
      </c>
      <c r="C28" t="inlineStr">
        <is>
          <t>082337594310</t>
        </is>
      </c>
      <c r="D28" t="inlineStr">
        <is>
          <t>bintangjayayasmin@gmail.com</t>
        </is>
      </c>
      <c r="E28" t="inlineStr">
        <is>
          <t>https://lpjk.pu.go.id/search-badan-usaha-detail/dnpad0JxMTdVRHdQVDNxODBCYTR6Zz09</t>
        </is>
      </c>
      <c r="F28" t="n">
        <v>2</v>
      </c>
      <c r="G28" t="inlineStr">
        <is>
          <t>BS001</t>
        </is>
      </c>
      <c r="H28" t="inlineStr">
        <is>
          <t>8 Januari 2022</t>
        </is>
      </c>
      <c r="I28" s="2" t="n">
        <v>46245</v>
      </c>
      <c r="J28" t="inlineStr">
        <is>
          <t>Disetujui</t>
        </is>
      </c>
      <c r="K28" t="n">
        <v>60</v>
      </c>
      <c r="L28" t="inlineStr">
        <is>
          <t>11 Agustus 2026</t>
        </is>
      </c>
      <c r="M28" t="inlineStr">
        <is>
          <t>Konstruksi Bangunan Sipil Jalan</t>
        </is>
      </c>
      <c r="N28" t="inlineStr">
        <is>
          <t>K</t>
        </is>
      </c>
      <c r="O28" t="inlineStr">
        <is>
          <t>20230807</t>
        </is>
      </c>
      <c r="P28" t="inlineStr">
        <is>
          <t>Jawa Timur</t>
        </is>
      </c>
      <c r="Q28" t="inlineStr"/>
    </row>
    <row r="29">
      <c r="A29" t="inlineStr">
        <is>
          <t>BINTANG MAS</t>
        </is>
      </c>
      <c r="B29" t="inlineStr">
        <is>
          <t>Kota Cilegon</t>
        </is>
      </c>
      <c r="C29" t="inlineStr">
        <is>
          <t>0819 0600 3909</t>
        </is>
      </c>
      <c r="D29" t="inlineStr">
        <is>
          <t>bintangmasclg@gmail.com</t>
        </is>
      </c>
      <c r="E29" t="inlineStr">
        <is>
          <t>https://lpjk.pu.go.id/search-badan-usaha-detail/YlVsNXMvSklHamRERWdmTEZpengrdz09</t>
        </is>
      </c>
      <c r="F29" t="n">
        <v>2</v>
      </c>
      <c r="G29" t="inlineStr">
        <is>
          <t>BS001</t>
        </is>
      </c>
      <c r="H29" t="inlineStr">
        <is>
          <t>17 April 2017</t>
        </is>
      </c>
      <c r="I29" s="2" t="n">
        <v>46245</v>
      </c>
      <c r="J29" t="inlineStr">
        <is>
          <t>Disetujui</t>
        </is>
      </c>
      <c r="K29" t="n">
        <v>60</v>
      </c>
      <c r="L29" t="inlineStr">
        <is>
          <t>11 Agustus 2026</t>
        </is>
      </c>
      <c r="M29" t="inlineStr">
        <is>
          <t>Konstruksi Bangunan Sipil Jalan</t>
        </is>
      </c>
      <c r="N29" t="inlineStr">
        <is>
          <t>K</t>
        </is>
      </c>
      <c r="O29" t="inlineStr">
        <is>
          <t>20230810</t>
        </is>
      </c>
      <c r="P29" t="inlineStr">
        <is>
          <t>Banten</t>
        </is>
      </c>
      <c r="Q29" t="inlineStr"/>
    </row>
    <row r="30">
      <c r="A30" t="inlineStr">
        <is>
          <t>BUMI KREASI KONSTRUKSI</t>
        </is>
      </c>
      <c r="B30" t="inlineStr">
        <is>
          <t>Kota Kendari</t>
        </is>
      </c>
      <c r="C30" t="inlineStr">
        <is>
          <t>085341079825</t>
        </is>
      </c>
      <c r="D30" t="inlineStr">
        <is>
          <t>bumikreasikonstruksi@gmail.com</t>
        </is>
      </c>
      <c r="E30" t="inlineStr">
        <is>
          <t>https://lpjk.pu.go.id/search-badan-usaha-detail/c242OHZKUUdNSHNvNXpOOFJkZVR3Zz09</t>
        </is>
      </c>
      <c r="F30" t="n">
        <v>2</v>
      </c>
      <c r="G30" t="inlineStr">
        <is>
          <t>BG002, BG006</t>
        </is>
      </c>
      <c r="H30" t="inlineStr">
        <is>
          <t>1 Maret 2023</t>
        </is>
      </c>
      <c r="I30" s="2" t="n">
        <v>46245</v>
      </c>
      <c r="J30" t="inlineStr">
        <is>
          <t>Disetujui</t>
        </is>
      </c>
      <c r="K30" t="n">
        <v>60</v>
      </c>
      <c r="L30" t="inlineStr">
        <is>
          <t>11 Agustus 2026</t>
        </is>
      </c>
      <c r="M30" t="inlineStr">
        <is>
          <t>Konstruksi Gedung Pendidikan, Konstruksi Gedung Perkantoran</t>
        </is>
      </c>
      <c r="N30" t="inlineStr">
        <is>
          <t>K</t>
        </is>
      </c>
      <c r="O30" t="inlineStr">
        <is>
          <t>20230808</t>
        </is>
      </c>
      <c r="P30" t="inlineStr">
        <is>
          <t>Sulawesi Tenggara</t>
        </is>
      </c>
      <c r="Q30" t="inlineStr"/>
    </row>
    <row r="31">
      <c r="A31" t="inlineStr">
        <is>
          <t>BUMI PADJAJARAN</t>
        </is>
      </c>
      <c r="B31" t="inlineStr">
        <is>
          <t>Kota Sukabumi</t>
        </is>
      </c>
      <c r="C31" t="inlineStr">
        <is>
          <t>082262161985</t>
        </is>
      </c>
      <c r="D31" t="inlineStr">
        <is>
          <t>padjajaran.cv@gmail.com</t>
        </is>
      </c>
      <c r="E31" t="inlineStr">
        <is>
          <t>https://lpjk.pu.go.id/search-badan-usaha-detail/bFhXTjBBcWc2Q3BZSlJRKzY0VjF3dz09</t>
        </is>
      </c>
      <c r="F31" t="n">
        <v>2</v>
      </c>
      <c r="G31" t="inlineStr">
        <is>
          <t>BG002, BG005</t>
        </is>
      </c>
      <c r="H31" t="inlineStr">
        <is>
          <t>13 Februari 2014</t>
        </is>
      </c>
      <c r="I31" s="2" t="n">
        <v>46245</v>
      </c>
      <c r="J31" t="inlineStr">
        <is>
          <t>Disetujui</t>
        </is>
      </c>
      <c r="K31" t="n">
        <v>60</v>
      </c>
      <c r="L31" t="inlineStr">
        <is>
          <t>11 Agustus 2026</t>
        </is>
      </c>
      <c r="M31" t="inlineStr">
        <is>
          <t>Konstruksi Gedung Kesehatan, Konstruksi Gedung Perkantoran</t>
        </is>
      </c>
      <c r="N31" t="inlineStr">
        <is>
          <t>K</t>
        </is>
      </c>
      <c r="O31" t="inlineStr">
        <is>
          <t>20230730, 20230807</t>
        </is>
      </c>
      <c r="P31" t="inlineStr">
        <is>
          <t>Jawa Barat</t>
        </is>
      </c>
      <c r="Q31" t="inlineStr"/>
    </row>
    <row r="32">
      <c r="A32" t="inlineStr">
        <is>
          <t>CAMPAKA LIGAR JAYA UTAMA</t>
        </is>
      </c>
      <c r="B32" t="inlineStr">
        <is>
          <t>Kab. Tasikmalaya</t>
        </is>
      </c>
      <c r="C32" t="inlineStr">
        <is>
          <t>081224268881</t>
        </is>
      </c>
      <c r="D32" t="inlineStr">
        <is>
          <t>susicampakaligar@gmail.com</t>
        </is>
      </c>
      <c r="E32" t="inlineStr">
        <is>
          <t>https://lpjk.pu.go.id/search-badan-usaha-detail/VnExTnI4NmI4Z3drL0g4VlA0OEtBZz09</t>
        </is>
      </c>
      <c r="F32" t="n">
        <v>2</v>
      </c>
      <c r="G32" t="inlineStr">
        <is>
          <t>BS001, BS004</t>
        </is>
      </c>
      <c r="H32" t="inlineStr">
        <is>
          <t>9 September 2016</t>
        </is>
      </c>
      <c r="I32" s="2" t="n">
        <v>46245</v>
      </c>
      <c r="J32" t="inlineStr">
        <is>
          <t>Disetujui</t>
        </is>
      </c>
      <c r="K32" t="n">
        <v>60</v>
      </c>
      <c r="L32" t="inlineStr">
        <is>
          <t>11 Agustus 2026</t>
        </is>
      </c>
      <c r="M32" t="inlineStr">
        <is>
          <t>Konstruksi Bangunan Sipil Jalan, Konstruksi Jaringan Irigasi dan Drainase</t>
        </is>
      </c>
      <c r="N32" t="inlineStr">
        <is>
          <t>K</t>
        </is>
      </c>
      <c r="O32" t="inlineStr">
        <is>
          <t>20230729</t>
        </is>
      </c>
      <c r="P32" t="inlineStr">
        <is>
          <t>Jawa Barat</t>
        </is>
      </c>
      <c r="Q32" t="inlineStr"/>
    </row>
    <row r="33">
      <c r="A33" t="inlineStr">
        <is>
          <t>CIPTA BANGUN PERSADA</t>
        </is>
      </c>
      <c r="B33" t="inlineStr">
        <is>
          <t>Kota Semarang</t>
        </is>
      </c>
      <c r="C33" t="inlineStr">
        <is>
          <t>0243546793</t>
        </is>
      </c>
      <c r="D33" t="inlineStr">
        <is>
          <t>infodppapaksindobanten@gmail.com</t>
        </is>
      </c>
      <c r="E33" t="inlineStr">
        <is>
          <t>https://lpjk.pu.go.id/search-badan-usaha-detail/M1hIbnc2MjFpeG4zdDVDSGV5VzExQT09</t>
        </is>
      </c>
      <c r="F33" t="n">
        <v>1</v>
      </c>
      <c r="G33" t="inlineStr">
        <is>
          <t>BG003</t>
        </is>
      </c>
      <c r="H33" t="inlineStr">
        <is>
          <t>28 November 2014</t>
        </is>
      </c>
      <c r="I33" s="2" t="n">
        <v>46245</v>
      </c>
      <c r="J33" t="inlineStr">
        <is>
          <t>Disetujui</t>
        </is>
      </c>
      <c r="K33" t="n">
        <v>60</v>
      </c>
      <c r="L33" t="inlineStr">
        <is>
          <t>11 Agustus 2026</t>
        </is>
      </c>
      <c r="M33" t="inlineStr">
        <is>
          <t>Konstruksi Gedung Industri</t>
        </is>
      </c>
      <c r="N33" t="inlineStr">
        <is>
          <t>M</t>
        </is>
      </c>
      <c r="O33" t="inlineStr">
        <is>
          <t>20230121</t>
        </is>
      </c>
      <c r="P33" t="inlineStr">
        <is>
          <t>Jawa Tengah</t>
        </is>
      </c>
      <c r="Q33" t="inlineStr"/>
    </row>
    <row r="34">
      <c r="A34" t="inlineStr">
        <is>
          <t>CITRA LENGGANIS</t>
        </is>
      </c>
      <c r="B34" t="inlineStr">
        <is>
          <t>Kota Mataram</t>
        </is>
      </c>
      <c r="C34" t="inlineStr">
        <is>
          <t>081239380735</t>
        </is>
      </c>
      <c r="D34" t="inlineStr">
        <is>
          <t>cvcitralengganis@yahoo.com</t>
        </is>
      </c>
      <c r="E34" t="inlineStr">
        <is>
          <t>https://lpjk.pu.go.id/search-badan-usaha-detail/S2oxaEJXYjV6dDVzZUd1L1VtWHlRUT09</t>
        </is>
      </c>
      <c r="F34" t="n">
        <v>1</v>
      </c>
      <c r="G34" t="inlineStr">
        <is>
          <t>BS004</t>
        </is>
      </c>
      <c r="H34" t="inlineStr">
        <is>
          <t>19 September 2006</t>
        </is>
      </c>
      <c r="I34" s="2" t="n">
        <v>46245</v>
      </c>
      <c r="J34" t="inlineStr">
        <is>
          <t>Disetujui</t>
        </is>
      </c>
      <c r="K34" t="n">
        <v>60</v>
      </c>
      <c r="L34" t="inlineStr">
        <is>
          <t>11 Agustus 2026</t>
        </is>
      </c>
      <c r="M34" t="inlineStr">
        <is>
          <t>Konstruksi Jaringan Irigasi dan Drainase</t>
        </is>
      </c>
      <c r="N34" t="inlineStr">
        <is>
          <t>K</t>
        </is>
      </c>
      <c r="O34" t="inlineStr">
        <is>
          <t>20230808</t>
        </is>
      </c>
      <c r="P34" t="inlineStr">
        <is>
          <t>Nusa Tenggara Barat</t>
        </is>
      </c>
      <c r="Q34" t="inlineStr"/>
    </row>
    <row r="35">
      <c r="A35" t="inlineStr">
        <is>
          <t>CV. ALBI SAKTI</t>
        </is>
      </c>
      <c r="B35" t="inlineStr">
        <is>
          <t>Kab. Pandeglang</t>
        </is>
      </c>
      <c r="C35" t="inlineStr">
        <is>
          <t>085211077695</t>
        </is>
      </c>
      <c r="D35" t="inlineStr">
        <is>
          <t>cvalbiku@gmail.com</t>
        </is>
      </c>
      <c r="E35" t="inlineStr">
        <is>
          <t>https://lpjk.pu.go.id/search-badan-usaha-detail/L2NDTHhDUGJiM1RhSUVBcXBVaGJNQT09</t>
        </is>
      </c>
      <c r="F35" t="n">
        <v>2</v>
      </c>
      <c r="G35" t="inlineStr">
        <is>
          <t>BG006, BG009</t>
        </is>
      </c>
      <c r="H35" t="inlineStr">
        <is>
          <t>19 Desember 2019</t>
        </is>
      </c>
      <c r="I35" s="2" t="n">
        <v>46245</v>
      </c>
      <c r="J35" t="inlineStr">
        <is>
          <t>Pencabutan</t>
        </is>
      </c>
      <c r="K35" t="n">
        <v>60</v>
      </c>
      <c r="L35" t="inlineStr">
        <is>
          <t>11 Agustus 2026</t>
        </is>
      </c>
      <c r="M35" t="inlineStr">
        <is>
          <t>Konstruksi Gedung Lainnya, Konstruksi Gedung Pendidikan</t>
        </is>
      </c>
      <c r="N35" t="inlineStr">
        <is>
          <t>K</t>
        </is>
      </c>
      <c r="O35" t="inlineStr">
        <is>
          <t>20230808</t>
        </is>
      </c>
      <c r="P35" t="inlineStr">
        <is>
          <t>Banten</t>
        </is>
      </c>
      <c r="Q35" t="inlineStr"/>
    </row>
    <row r="36">
      <c r="A36" t="inlineStr">
        <is>
          <t>DANAMARTHA SEJAHTERA UTAMA</t>
        </is>
      </c>
      <c r="B36" t="inlineStr">
        <is>
          <t>Kota Bandung</t>
        </is>
      </c>
      <c r="C36" t="inlineStr">
        <is>
          <t>0222009394</t>
        </is>
      </c>
      <c r="D36" t="inlineStr">
        <is>
          <t>danamarthasejahterautama@gmail.com</t>
        </is>
      </c>
      <c r="E36" t="inlineStr">
        <is>
          <t>https://lpjk.pu.go.id/search-badan-usaha-detail/a0cvdXdXQ05kN2pBc2xvUjJGVDJEdz09</t>
        </is>
      </c>
      <c r="F36" t="n">
        <v>6</v>
      </c>
      <c r="G36" t="inlineStr">
        <is>
          <t>BG004, BG005, BG006</t>
        </is>
      </c>
      <c r="H36" t="inlineStr">
        <is>
          <t>28 Juni 2022</t>
        </is>
      </c>
      <c r="I36" s="2" t="n">
        <v>46245</v>
      </c>
      <c r="J36" t="inlineStr">
        <is>
          <t>Disetujui</t>
        </is>
      </c>
      <c r="K36" t="n">
        <v>60</v>
      </c>
      <c r="L36" t="inlineStr">
        <is>
          <t>11 Agustus 2026</t>
        </is>
      </c>
      <c r="M36" t="inlineStr">
        <is>
          <t>Konstruksi Gedung Kesehatan, Konstruksi Gedung Pendidikan, Konstruksi Gedung Perbelanjaan</t>
        </is>
      </c>
      <c r="N36" t="inlineStr">
        <is>
          <t>K</t>
        </is>
      </c>
      <c r="O36" t="inlineStr">
        <is>
          <t>20230808</t>
        </is>
      </c>
      <c r="P36" t="inlineStr">
        <is>
          <t>Jawa Barat</t>
        </is>
      </c>
      <c r="Q36" t="inlineStr"/>
    </row>
    <row r="37">
      <c r="A37" t="inlineStr">
        <is>
          <t>DEFA KARYA ABADI</t>
        </is>
      </c>
      <c r="B37" t="inlineStr">
        <is>
          <t>Kab. Kutai Timur</t>
        </is>
      </c>
      <c r="C37" t="inlineStr">
        <is>
          <t>08125877651</t>
        </is>
      </c>
      <c r="D37" t="inlineStr">
        <is>
          <t>defakaryaabadi@gmail.com</t>
        </is>
      </c>
      <c r="E37" t="inlineStr">
        <is>
          <t>https://lpjk.pu.go.id/search-badan-usaha-detail/aDNQTG1TM3NSaGZ0T1p1V21qMlRaQT09</t>
        </is>
      </c>
      <c r="F37" t="n">
        <v>3</v>
      </c>
      <c r="G37" t="inlineStr">
        <is>
          <t>BG002, BG003, BG009</t>
        </is>
      </c>
      <c r="H37" t="inlineStr">
        <is>
          <t>2 Mei 2023</t>
        </is>
      </c>
      <c r="I37" s="2" t="n">
        <v>46245</v>
      </c>
      <c r="J37" t="inlineStr">
        <is>
          <t>Disetujui</t>
        </is>
      </c>
      <c r="K37" t="n">
        <v>60</v>
      </c>
      <c r="L37" t="inlineStr">
        <is>
          <t>11 Agustus 2026</t>
        </is>
      </c>
      <c r="M37" t="inlineStr">
        <is>
          <t>Konstruksi Gedung Industri, Konstruksi Gedung Lainnya, Konstruksi Gedung Perkantoran</t>
        </is>
      </c>
      <c r="N37" t="inlineStr">
        <is>
          <t>K</t>
        </is>
      </c>
      <c r="O37" t="inlineStr">
        <is>
          <t>20230811</t>
        </is>
      </c>
      <c r="P37" t="inlineStr">
        <is>
          <t>Kalimantan Timur</t>
        </is>
      </c>
      <c r="Q37" t="inlineStr"/>
    </row>
    <row r="38">
      <c r="A38" t="inlineStr">
        <is>
          <t>DETAIL BANGUN PERKASA</t>
        </is>
      </c>
      <c r="B38" t="inlineStr">
        <is>
          <t>Kota Makassar</t>
        </is>
      </c>
      <c r="C38" t="inlineStr">
        <is>
          <t>082188886779</t>
        </is>
      </c>
      <c r="D38" t="inlineStr">
        <is>
          <t>detailbangunperkasa@gmail.com</t>
        </is>
      </c>
      <c r="E38" t="inlineStr">
        <is>
          <t>https://lpjk.pu.go.id/search-badan-usaha-detail/RHNNSjdmc2lsREFsamI1MTU5ZDBHZz09</t>
        </is>
      </c>
      <c r="F38" t="n">
        <v>2</v>
      </c>
      <c r="G38" t="inlineStr">
        <is>
          <t>BG002, BS001</t>
        </is>
      </c>
      <c r="H38" t="inlineStr"/>
      <c r="I38" s="2" t="n">
        <v>46245</v>
      </c>
      <c r="J38" t="inlineStr">
        <is>
          <t>Disetujui, Pencabutan</t>
        </is>
      </c>
      <c r="K38" t="n">
        <v>60</v>
      </c>
      <c r="L38" t="inlineStr">
        <is>
          <t>11 Agustus 2026</t>
        </is>
      </c>
      <c r="M38" t="inlineStr">
        <is>
          <t>Konstruksi Bangunan Sipil Jalan, Konstruksi Gedung Perkantoran</t>
        </is>
      </c>
      <c r="N38" t="inlineStr">
        <is>
          <t>K</t>
        </is>
      </c>
      <c r="O38" t="inlineStr">
        <is>
          <t>20230810, 20230811</t>
        </is>
      </c>
      <c r="P38" t="inlineStr">
        <is>
          <t>Sulawesi Selatan</t>
        </is>
      </c>
      <c r="Q38" t="inlineStr"/>
    </row>
    <row r="39">
      <c r="A39" t="inlineStr">
        <is>
          <t>DHARMA UTAMA</t>
        </is>
      </c>
      <c r="B39" t="inlineStr">
        <is>
          <t>Kota Batu</t>
        </is>
      </c>
      <c r="C39" t="inlineStr">
        <is>
          <t>0341464250</t>
        </is>
      </c>
      <c r="D39" t="inlineStr">
        <is>
          <t>dharmautama2019@gmail.com</t>
        </is>
      </c>
      <c r="E39" t="inlineStr">
        <is>
          <t>https://lpjk.pu.go.id/search-badan-usaha-detail/NE9MZHNNZU83ak92YW5NODhlRFhMZz09</t>
        </is>
      </c>
      <c r="F39" t="n">
        <v>1</v>
      </c>
      <c r="G39" t="inlineStr">
        <is>
          <t>BG005</t>
        </is>
      </c>
      <c r="H39" t="inlineStr">
        <is>
          <t>11 Maret 1986</t>
        </is>
      </c>
      <c r="I39" s="2" t="n">
        <v>46245</v>
      </c>
      <c r="J39" t="inlineStr">
        <is>
          <t>Disetujui</t>
        </is>
      </c>
      <c r="K39" t="n">
        <v>60</v>
      </c>
      <c r="L39" t="inlineStr">
        <is>
          <t>11 Agustus 2026</t>
        </is>
      </c>
      <c r="M39" t="inlineStr">
        <is>
          <t>Konstruksi Gedung Kesehatan</t>
        </is>
      </c>
      <c r="N39" t="inlineStr">
        <is>
          <t>K</t>
        </is>
      </c>
      <c r="O39" t="inlineStr">
        <is>
          <t>20230804</t>
        </is>
      </c>
      <c r="P39" t="inlineStr">
        <is>
          <t>Jawa Timur</t>
        </is>
      </c>
      <c r="Q39" t="inlineStr"/>
    </row>
    <row r="40">
      <c r="A40" t="inlineStr">
        <is>
          <t>DUA GARIS BIRU</t>
        </is>
      </c>
      <c r="B40" t="inlineStr">
        <is>
          <t>Kab. Indramayu</t>
        </is>
      </c>
      <c r="C40" t="inlineStr">
        <is>
          <t>0818238007</t>
        </is>
      </c>
      <c r="D40" t="inlineStr">
        <is>
          <t>duagarisbiru14@gmail.com</t>
        </is>
      </c>
      <c r="E40" t="inlineStr">
        <is>
          <t>https://lpjk.pu.go.id/search-badan-usaha-detail/RnpRV2tDYVhBUThqblFIdHJaTnV3dz09</t>
        </is>
      </c>
      <c r="F40" t="n">
        <v>1</v>
      </c>
      <c r="G40" t="inlineStr">
        <is>
          <t>BG005</t>
        </is>
      </c>
      <c r="H40" t="inlineStr">
        <is>
          <t>6 Maret 2023</t>
        </is>
      </c>
      <c r="I40" s="2" t="n">
        <v>46245</v>
      </c>
      <c r="J40" t="inlineStr">
        <is>
          <t>Disetujui</t>
        </is>
      </c>
      <c r="K40" t="n">
        <v>60</v>
      </c>
      <c r="L40" t="inlineStr">
        <is>
          <t>11 Agustus 2026</t>
        </is>
      </c>
      <c r="M40" t="inlineStr">
        <is>
          <t>Konstruksi Gedung Kesehatan</t>
        </is>
      </c>
      <c r="N40" t="inlineStr">
        <is>
          <t>K</t>
        </is>
      </c>
      <c r="O40" t="inlineStr">
        <is>
          <t>20230807</t>
        </is>
      </c>
      <c r="P40" t="inlineStr">
        <is>
          <t>Jawa Barat</t>
        </is>
      </c>
      <c r="Q40" t="inlineStr"/>
    </row>
    <row r="41">
      <c r="A41" t="inlineStr">
        <is>
          <t>DUTA RAJAWALI PAPUA</t>
        </is>
      </c>
      <c r="B41" t="inlineStr">
        <is>
          <t>Kab. Merauke</t>
        </is>
      </c>
      <c r="C41" t="inlineStr">
        <is>
          <t>085254052623</t>
        </is>
      </c>
      <c r="D41" t="inlineStr">
        <is>
          <t>cvdrpapua@gmail.com</t>
        </is>
      </c>
      <c r="E41" t="inlineStr">
        <is>
          <t>https://lpjk.pu.go.id/search-badan-usaha-detail/Rk83anhDNThJSDNOdmtLRWx1ZGNUeVdoOUpZSlZrZytLc0pPckVBNXNvdz0</t>
        </is>
      </c>
      <c r="F41" t="n">
        <v>1</v>
      </c>
      <c r="G41" t="inlineStr">
        <is>
          <t>BG006</t>
        </is>
      </c>
      <c r="H41" t="inlineStr">
        <is>
          <t>21 Februari 2023</t>
        </is>
      </c>
      <c r="I41" s="2" t="n">
        <v>46245</v>
      </c>
      <c r="J41" t="inlineStr">
        <is>
          <t>Disetujui</t>
        </is>
      </c>
      <c r="K41" t="n">
        <v>60</v>
      </c>
      <c r="L41" t="inlineStr">
        <is>
          <t>11 Agustus 2026</t>
        </is>
      </c>
      <c r="M41" t="inlineStr">
        <is>
          <t>Konstruksi Gedung Pendidikan</t>
        </is>
      </c>
      <c r="N41" t="inlineStr">
        <is>
          <t>K</t>
        </is>
      </c>
      <c r="O41" t="inlineStr">
        <is>
          <t>20230807</t>
        </is>
      </c>
      <c r="P41" t="inlineStr">
        <is>
          <t>Papua Selatan</t>
        </is>
      </c>
      <c r="Q41" t="inlineStr"/>
    </row>
    <row r="42">
      <c r="A42" t="inlineStr">
        <is>
          <t>DUTA RAJAWALI PAPUA</t>
        </is>
      </c>
      <c r="B42" t="inlineStr">
        <is>
          <t>Kab. Merauke</t>
        </is>
      </c>
      <c r="C42" t="inlineStr">
        <is>
          <t>081344893617</t>
        </is>
      </c>
      <c r="D42" t="inlineStr">
        <is>
          <t>cvdrpapua@gmail.com</t>
        </is>
      </c>
      <c r="E42" t="inlineStr">
        <is>
          <t>https://lpjk.pu.go.id/search-badan-usaha-detail/RUJab1N2ZnlNNVQ5S1p2QVJsRS9JUT09</t>
        </is>
      </c>
      <c r="F42" t="n">
        <v>1</v>
      </c>
      <c r="G42" t="inlineStr">
        <is>
          <t>BS001</t>
        </is>
      </c>
      <c r="H42" t="inlineStr">
        <is>
          <t>21 Februari 2023</t>
        </is>
      </c>
      <c r="I42" s="2" t="n">
        <v>46245</v>
      </c>
      <c r="J42" t="inlineStr">
        <is>
          <t>Disetujui</t>
        </is>
      </c>
      <c r="K42" t="n">
        <v>60</v>
      </c>
      <c r="L42" t="inlineStr">
        <is>
          <t>11 Agustus 2026</t>
        </is>
      </c>
      <c r="M42" t="inlineStr">
        <is>
          <t>Konstruksi Bangunan Sipil Jalan</t>
        </is>
      </c>
      <c r="N42" t="inlineStr">
        <is>
          <t>K</t>
        </is>
      </c>
      <c r="O42" t="inlineStr">
        <is>
          <t>20230804</t>
        </is>
      </c>
      <c r="P42" t="inlineStr">
        <is>
          <t>Papua</t>
        </is>
      </c>
      <c r="Q42" t="inlineStr"/>
    </row>
    <row r="43">
      <c r="A43" t="inlineStr">
        <is>
          <t>EMPAT PILAR</t>
        </is>
      </c>
      <c r="B43" t="inlineStr">
        <is>
          <t>Kab. Kebumen</t>
        </is>
      </c>
      <c r="C43" t="inlineStr">
        <is>
          <t>087728699991</t>
        </is>
      </c>
      <c r="D43" t="inlineStr">
        <is>
          <t>cvempatpilar179@gmail.com</t>
        </is>
      </c>
      <c r="E43" t="inlineStr">
        <is>
          <t>https://lpjk.pu.go.id/search-badan-usaha-detail/YkxzKzFGRlBDKzFvcDlzNWhVQnlKQT09</t>
        </is>
      </c>
      <c r="F43" t="n">
        <v>4</v>
      </c>
      <c r="G43" t="inlineStr">
        <is>
          <t>BG005, BG006, BG009, BS004</t>
        </is>
      </c>
      <c r="H43" t="inlineStr">
        <is>
          <t>6 Desember 2017</t>
        </is>
      </c>
      <c r="I43" s="2" t="n">
        <v>46245</v>
      </c>
      <c r="J43" t="inlineStr">
        <is>
          <t>Pencabutan</t>
        </is>
      </c>
      <c r="K43" t="n">
        <v>60</v>
      </c>
      <c r="L43" t="inlineStr">
        <is>
          <t>11 Agustus 2026</t>
        </is>
      </c>
      <c r="M43" t="inlineStr">
        <is>
          <t>Konstruksi Gedung Kesehatan, Konstruksi Gedung Lainnya, Konstruksi Gedung Pendidikan, Konstruksi Jaringan Irigasi dan Drainase</t>
        </is>
      </c>
      <c r="N43" t="inlineStr">
        <is>
          <t>K</t>
        </is>
      </c>
      <c r="O43" t="inlineStr">
        <is>
          <t>20230810</t>
        </is>
      </c>
      <c r="P43" t="inlineStr">
        <is>
          <t>Jawa Tengah</t>
        </is>
      </c>
      <c r="Q43" t="inlineStr"/>
    </row>
    <row r="44">
      <c r="A44" t="inlineStr">
        <is>
          <t>ERINA JAYA 1</t>
        </is>
      </c>
      <c r="B44" t="inlineStr">
        <is>
          <t>Kab. Sukabumi</t>
        </is>
      </c>
      <c r="C44" t="inlineStr">
        <is>
          <t>0266229641</t>
        </is>
      </c>
      <c r="D44" t="inlineStr">
        <is>
          <t>erinajaya1@gmail.com</t>
        </is>
      </c>
      <c r="E44" t="inlineStr">
        <is>
          <t>https://lpjk.pu.go.id/search-badan-usaha-detail/QWFsS1h5VTRybzczblllYWw3WHNNQT09</t>
        </is>
      </c>
      <c r="F44" t="n">
        <v>1</v>
      </c>
      <c r="G44" t="inlineStr">
        <is>
          <t>BG001</t>
        </is>
      </c>
      <c r="H44" t="inlineStr">
        <is>
          <t>11 Juli 1978</t>
        </is>
      </c>
      <c r="I44" s="2" t="n">
        <v>46245</v>
      </c>
      <c r="J44" t="inlineStr">
        <is>
          <t>Pencabutan</t>
        </is>
      </c>
      <c r="K44" t="n">
        <v>60</v>
      </c>
      <c r="L44" t="inlineStr">
        <is>
          <t>11 Agustus 2026</t>
        </is>
      </c>
      <c r="M44" t="inlineStr">
        <is>
          <t>Konstruksi Gedung Hunian</t>
        </is>
      </c>
      <c r="N44" t="inlineStr">
        <is>
          <t>K</t>
        </is>
      </c>
      <c r="O44" t="inlineStr">
        <is>
          <t>20230808</t>
        </is>
      </c>
      <c r="P44" t="inlineStr">
        <is>
          <t>Jawa Barat</t>
        </is>
      </c>
      <c r="Q44" t="inlineStr"/>
    </row>
    <row r="45">
      <c r="A45" t="inlineStr">
        <is>
          <t>FARHAN ABADI</t>
        </is>
      </c>
      <c r="B45" t="inlineStr">
        <is>
          <t>Kota Serang</t>
        </is>
      </c>
      <c r="C45" t="inlineStr">
        <is>
          <t>02542010844</t>
        </is>
      </c>
      <c r="D45" t="inlineStr">
        <is>
          <t>pt.farhanabadi@gmail.com</t>
        </is>
      </c>
      <c r="E45" t="inlineStr">
        <is>
          <t>https://lpjk.pu.go.id/search-badan-usaha-detail/MzBWT3JyTXBGL0lIUDdqT3lLYkRBQT09</t>
        </is>
      </c>
      <c r="F45" t="n">
        <v>1</v>
      </c>
      <c r="G45" t="inlineStr">
        <is>
          <t>BG005</t>
        </is>
      </c>
      <c r="H45" t="inlineStr">
        <is>
          <t>30 Mei 2012</t>
        </is>
      </c>
      <c r="I45" s="2" t="n">
        <v>46245</v>
      </c>
      <c r="J45" t="inlineStr">
        <is>
          <t>Disetujui</t>
        </is>
      </c>
      <c r="K45" t="n">
        <v>60</v>
      </c>
      <c r="L45" t="inlineStr">
        <is>
          <t>11 Agustus 2026</t>
        </is>
      </c>
      <c r="M45" t="inlineStr">
        <is>
          <t>Konstruksi Gedung Kesehatan</t>
        </is>
      </c>
      <c r="N45" t="inlineStr">
        <is>
          <t>K</t>
        </is>
      </c>
      <c r="O45" t="inlineStr">
        <is>
          <t>20230524</t>
        </is>
      </c>
      <c r="P45" t="inlineStr">
        <is>
          <t>Banten</t>
        </is>
      </c>
      <c r="Q45" t="inlineStr"/>
    </row>
    <row r="46">
      <c r="A46" t="inlineStr">
        <is>
          <t>FARISA UTAMA KONSTRUKSI</t>
        </is>
      </c>
      <c r="B46" t="inlineStr">
        <is>
          <t>Kab. Luwu Timur</t>
        </is>
      </c>
      <c r="C46" t="inlineStr">
        <is>
          <t>081241847731</t>
        </is>
      </c>
      <c r="D46" t="inlineStr">
        <is>
          <t>farisautamakonstruksi@gmail.com</t>
        </is>
      </c>
      <c r="E46" t="inlineStr">
        <is>
          <t>https://lpjk.pu.go.id/search-badan-usaha-detail/WVdnL2l4aVlGckd0dFF5ZEtPaU9oQT09</t>
        </is>
      </c>
      <c r="F46" t="n">
        <v>2</v>
      </c>
      <c r="G46" t="inlineStr">
        <is>
          <t>BS001, BS010</t>
        </is>
      </c>
      <c r="H46" t="inlineStr">
        <is>
          <t>20 Januari 2022</t>
        </is>
      </c>
      <c r="I46" s="2" t="n">
        <v>46245</v>
      </c>
      <c r="J46" t="inlineStr">
        <is>
          <t>Disetujui</t>
        </is>
      </c>
      <c r="K46" t="n">
        <v>60</v>
      </c>
      <c r="L46" t="inlineStr">
        <is>
          <t>11 Agustus 2026</t>
        </is>
      </c>
      <c r="M46" t="inlineStr">
        <is>
          <t>Konstruksi Bangunan Prasarana Sumber Daya Air, Konstruksi Bangunan Sipil Jalan</t>
        </is>
      </c>
      <c r="N46" t="inlineStr">
        <is>
          <t>K</t>
        </is>
      </c>
      <c r="O46" t="inlineStr">
        <is>
          <t>20230811</t>
        </is>
      </c>
      <c r="P46" t="inlineStr">
        <is>
          <t>Sulawesi Selatan</t>
        </is>
      </c>
      <c r="Q46" t="inlineStr"/>
    </row>
    <row r="47">
      <c r="A47" t="inlineStr">
        <is>
          <t>FASCA</t>
        </is>
      </c>
      <c r="B47" t="inlineStr">
        <is>
          <t>Kab. Sukabumi</t>
        </is>
      </c>
      <c r="C47" t="inlineStr">
        <is>
          <t>0266225217</t>
        </is>
      </c>
      <c r="D47" t="inlineStr">
        <is>
          <t>farid58fasca@gmail.com</t>
        </is>
      </c>
      <c r="E47" t="inlineStr">
        <is>
          <t>https://lpjk.pu.go.id/search-badan-usaha-detail/VGlIZXI5aUtOQUxqSGNaYlJyeVkzUT09</t>
        </is>
      </c>
      <c r="F47" t="n">
        <v>3</v>
      </c>
      <c r="G47" t="inlineStr">
        <is>
          <t>BG005, BG006, BG009</t>
        </is>
      </c>
      <c r="H47" t="inlineStr">
        <is>
          <t>10 April 2019</t>
        </is>
      </c>
      <c r="I47" s="2" t="n">
        <v>46245</v>
      </c>
      <c r="J47" t="inlineStr">
        <is>
          <t>Disetujui</t>
        </is>
      </c>
      <c r="K47" t="n">
        <v>60</v>
      </c>
      <c r="L47" t="inlineStr">
        <is>
          <t>11 Agustus 2026</t>
        </is>
      </c>
      <c r="M47" t="inlineStr">
        <is>
          <t>Konstruksi Gedung Kesehatan, Konstruksi Gedung Lainnya, Konstruksi Gedung Pendidikan</t>
        </is>
      </c>
      <c r="N47" t="inlineStr">
        <is>
          <t>K</t>
        </is>
      </c>
      <c r="O47" t="inlineStr">
        <is>
          <t>20230808</t>
        </is>
      </c>
      <c r="P47" t="inlineStr">
        <is>
          <t>Jawa Barat</t>
        </is>
      </c>
      <c r="Q47" t="inlineStr"/>
    </row>
    <row r="48">
      <c r="A48" t="inlineStr">
        <is>
          <t>GAMA PUTRA MANDIRI</t>
        </is>
      </c>
      <c r="B48" t="inlineStr">
        <is>
          <t>Kab. Bondowoso</t>
        </is>
      </c>
      <c r="C48" t="inlineStr">
        <is>
          <t>081249040452</t>
        </is>
      </c>
      <c r="D48" t="inlineStr">
        <is>
          <t>cv.gamaputramandiri@gmail.com</t>
        </is>
      </c>
      <c r="E48" t="inlineStr">
        <is>
          <t>https://lpjk.pu.go.id/search-badan-usaha-detail/dTF3UkRXWVZ3eXZGK1V4QkN3bDltdz09</t>
        </is>
      </c>
      <c r="F48" t="n">
        <v>2</v>
      </c>
      <c r="G48" t="inlineStr">
        <is>
          <t>BG006, BG009</t>
        </is>
      </c>
      <c r="H48" t="inlineStr">
        <is>
          <t>8 Juli 2014</t>
        </is>
      </c>
      <c r="I48" s="2" t="n">
        <v>46245</v>
      </c>
      <c r="J48" t="inlineStr">
        <is>
          <t>Disetujui</t>
        </is>
      </c>
      <c r="K48" t="n">
        <v>60</v>
      </c>
      <c r="L48" t="inlineStr">
        <is>
          <t>11 Agustus 2026</t>
        </is>
      </c>
      <c r="M48" t="inlineStr">
        <is>
          <t>Konstruksi Gedung Lainnya, Konstruksi Gedung Pendidikan</t>
        </is>
      </c>
      <c r="N48" t="inlineStr">
        <is>
          <t>K</t>
        </is>
      </c>
      <c r="O48" t="inlineStr">
        <is>
          <t>20230809</t>
        </is>
      </c>
      <c r="P48" t="inlineStr">
        <is>
          <t>Jawa Timur</t>
        </is>
      </c>
      <c r="Q48" t="inlineStr"/>
    </row>
    <row r="49">
      <c r="A49" t="inlineStr">
        <is>
          <t>GANIA BINTANG JAYA</t>
        </is>
      </c>
      <c r="B49" t="inlineStr">
        <is>
          <t>Kab. Sintang</t>
        </is>
      </c>
      <c r="C49" t="inlineStr">
        <is>
          <t>081545483442</t>
        </is>
      </c>
      <c r="D49" t="inlineStr">
        <is>
          <t>ferrynpwpcv@gmail.com</t>
        </is>
      </c>
      <c r="E49" t="inlineStr">
        <is>
          <t>https://lpjk.pu.go.id/search-badan-usaha-detail/ZmJpTDlwN0k2bUV5ZFVqQVJaaE9qZz09</t>
        </is>
      </c>
      <c r="F49" t="n">
        <v>2</v>
      </c>
      <c r="G49" t="inlineStr">
        <is>
          <t>BS005</t>
        </is>
      </c>
      <c r="H49" t="inlineStr">
        <is>
          <t>28 Juli 2023</t>
        </is>
      </c>
      <c r="I49" s="2" t="n">
        <v>46245</v>
      </c>
      <c r="J49" t="inlineStr">
        <is>
          <t>Disetujui</t>
        </is>
      </c>
      <c r="K49" t="n">
        <v>60</v>
      </c>
      <c r="L49" t="inlineStr">
        <is>
          <t>11 Agustus 2026</t>
        </is>
      </c>
      <c r="M49" t="inlineStr">
        <is>
          <t>Konstruksi Bangunan Sipil Pengolahan Air Bersih</t>
        </is>
      </c>
      <c r="N49" t="inlineStr">
        <is>
          <t>K</t>
        </is>
      </c>
      <c r="O49" t="inlineStr">
        <is>
          <t>20230811</t>
        </is>
      </c>
      <c r="P49" t="inlineStr">
        <is>
          <t>Kalimantan Barat</t>
        </is>
      </c>
      <c r="Q49" t="inlineStr"/>
    </row>
    <row r="50">
      <c r="A50" t="inlineStr">
        <is>
          <t>GATRA IDEAL</t>
        </is>
      </c>
      <c r="B50" t="inlineStr">
        <is>
          <t>Kab. Pasuruan</t>
        </is>
      </c>
      <c r="C50" t="inlineStr">
        <is>
          <t>081331339742</t>
        </is>
      </c>
      <c r="D50" t="inlineStr">
        <is>
          <t>g4tra.pas@gmail.com</t>
        </is>
      </c>
      <c r="E50" t="inlineStr">
        <is>
          <t>https://lpjk.pu.go.id/search-badan-usaha-detail/aTNxb2laUUp4SC9CVzhxNXhVTUdLUT09</t>
        </is>
      </c>
      <c r="F50" t="n">
        <v>1</v>
      </c>
      <c r="G50" t="inlineStr">
        <is>
          <t>BG009</t>
        </is>
      </c>
      <c r="H50" t="inlineStr">
        <is>
          <t>21 April 2004</t>
        </is>
      </c>
      <c r="I50" s="2" t="n">
        <v>46245</v>
      </c>
      <c r="J50" t="inlineStr">
        <is>
          <t>Disetujui</t>
        </is>
      </c>
      <c r="K50" t="n">
        <v>60</v>
      </c>
      <c r="L50" t="inlineStr">
        <is>
          <t>11 Agustus 2026</t>
        </is>
      </c>
      <c r="M50" t="inlineStr">
        <is>
          <t>Konstruksi Gedung Lainnya</t>
        </is>
      </c>
      <c r="N50" t="inlineStr">
        <is>
          <t>K</t>
        </is>
      </c>
      <c r="O50" t="inlineStr">
        <is>
          <t>20230807</t>
        </is>
      </c>
      <c r="P50" t="inlineStr">
        <is>
          <t>Jawa Timur</t>
        </is>
      </c>
      <c r="Q50" t="inlineStr"/>
    </row>
    <row r="51">
      <c r="A51" t="inlineStr">
        <is>
          <t>GITA CAHAYA PERMATA</t>
        </is>
      </c>
      <c r="B51" t="inlineStr">
        <is>
          <t>Kota Ambon</t>
        </is>
      </c>
      <c r="C51" t="inlineStr">
        <is>
          <t>081343387290</t>
        </is>
      </c>
      <c r="D51" t="inlineStr">
        <is>
          <t>cvgitacahayapermata.oss@gmail.com</t>
        </is>
      </c>
      <c r="E51" t="inlineStr">
        <is>
          <t>https://lpjk.pu.go.id/search-badan-usaha-detail/cjJkRjR0U21BcExyeEhWbUVTd0NWUT09</t>
        </is>
      </c>
      <c r="F51" t="n">
        <v>3</v>
      </c>
      <c r="G51" t="inlineStr">
        <is>
          <t>BG002, BS002, BS010</t>
        </is>
      </c>
      <c r="H51" t="inlineStr">
        <is>
          <t>9 November 2021</t>
        </is>
      </c>
      <c r="I51" s="2" t="n">
        <v>46245</v>
      </c>
      <c r="J51" t="inlineStr">
        <is>
          <t>Disetujui, Pencabutan</t>
        </is>
      </c>
      <c r="K51" t="n">
        <v>60</v>
      </c>
      <c r="L51" t="inlineStr">
        <is>
          <t>11 Agustus 2026</t>
        </is>
      </c>
      <c r="M51" t="inlineStr">
        <is>
          <t>Bangunan Sipil Jembatan, Jalan Layang, Fly Over, dan Underpass, Konstruksi Bangunan Prasarana Sumber Daya Air, Konstruksi Gedung Perkantoran</t>
        </is>
      </c>
      <c r="N51" t="inlineStr">
        <is>
          <t>K</t>
        </is>
      </c>
      <c r="O51" t="inlineStr">
        <is>
          <t>20230810, 20230811</t>
        </is>
      </c>
      <c r="P51" t="inlineStr">
        <is>
          <t>Maluku</t>
        </is>
      </c>
      <c r="Q51" t="inlineStr"/>
    </row>
    <row r="52">
      <c r="A52" t="inlineStr">
        <is>
          <t>GRAHA PERKASA ABADI</t>
        </is>
      </c>
      <c r="B52" t="inlineStr">
        <is>
          <t>Kab. Dairi</t>
        </is>
      </c>
      <c r="C52" t="inlineStr">
        <is>
          <t>085376948999</t>
        </is>
      </c>
      <c r="D52" t="inlineStr">
        <is>
          <t>cvgrahaperkasa88@gmail.com</t>
        </is>
      </c>
      <c r="E52" t="inlineStr">
        <is>
          <t>https://lpjk.pu.go.id/search-badan-usaha-detail/T045akhqdXJRTnVkL2lReXJhQ09rQT09</t>
        </is>
      </c>
      <c r="F52" t="n">
        <v>1</v>
      </c>
      <c r="G52" t="inlineStr">
        <is>
          <t>BG006</t>
        </is>
      </c>
      <c r="H52" t="inlineStr">
        <is>
          <t>2 Februari 2023</t>
        </is>
      </c>
      <c r="I52" s="2" t="n">
        <v>46245</v>
      </c>
      <c r="J52" t="inlineStr">
        <is>
          <t>Disetujui</t>
        </is>
      </c>
      <c r="K52" t="n">
        <v>60</v>
      </c>
      <c r="L52" t="inlineStr">
        <is>
          <t>11 Agustus 2026</t>
        </is>
      </c>
      <c r="M52" t="inlineStr">
        <is>
          <t>Konstruksi Gedung Pendidikan</t>
        </is>
      </c>
      <c r="N52" t="inlineStr">
        <is>
          <t>K</t>
        </is>
      </c>
      <c r="O52" t="inlineStr">
        <is>
          <t>20230808</t>
        </is>
      </c>
      <c r="P52" t="inlineStr">
        <is>
          <t>Sumatera Utara</t>
        </is>
      </c>
      <c r="Q52" t="inlineStr"/>
    </row>
    <row r="53">
      <c r="A53" t="inlineStr">
        <is>
          <t>GRHA MITRA EMPATENAM</t>
        </is>
      </c>
      <c r="B53" t="inlineStr">
        <is>
          <t>Kota Adm. Jakarta Selatan</t>
        </is>
      </c>
      <c r="C53" t="inlineStr">
        <is>
          <t>02172807809</t>
        </is>
      </c>
      <c r="D53" t="inlineStr">
        <is>
          <t>grhamitra46@gmail.com</t>
        </is>
      </c>
      <c r="E53" t="inlineStr">
        <is>
          <t>https://lpjk.pu.go.id/search-badan-usaha-detail/eWhzelkvRjRxeC8wUGl1QmIwZzVRUT09</t>
        </is>
      </c>
      <c r="F53" t="n">
        <v>1</v>
      </c>
      <c r="G53" t="inlineStr">
        <is>
          <t>BG002</t>
        </is>
      </c>
      <c r="H53" t="inlineStr">
        <is>
          <t>7 November 2019</t>
        </is>
      </c>
      <c r="I53" s="2" t="n">
        <v>46245</v>
      </c>
      <c r="J53" t="inlineStr">
        <is>
          <t>Pencabutan</t>
        </is>
      </c>
      <c r="K53" t="n">
        <v>60</v>
      </c>
      <c r="L53" t="inlineStr">
        <is>
          <t>11 Agustus 2026</t>
        </is>
      </c>
      <c r="M53" t="inlineStr">
        <is>
          <t>Konstruksi Gedung Perkantoran</t>
        </is>
      </c>
      <c r="N53" t="inlineStr">
        <is>
          <t>K</t>
        </is>
      </c>
      <c r="O53" t="inlineStr">
        <is>
          <t>20230807</t>
        </is>
      </c>
      <c r="P53" t="inlineStr">
        <is>
          <t>DKI Jakarta</t>
        </is>
      </c>
      <c r="Q53" t="inlineStr"/>
    </row>
    <row r="54">
      <c r="A54" t="inlineStr">
        <is>
          <t>HAKA UTAMA SEJAHTERA</t>
        </is>
      </c>
      <c r="B54" t="inlineStr">
        <is>
          <t>Kab. Sampang</t>
        </is>
      </c>
      <c r="C54" t="inlineStr">
        <is>
          <t>082330636662</t>
        </is>
      </c>
      <c r="D54" t="inlineStr">
        <is>
          <t>haka_pt@yahoo.co.id</t>
        </is>
      </c>
      <c r="E54" t="inlineStr">
        <is>
          <t>https://lpjk.pu.go.id/search-badan-usaha-detail/RXdrMFZpdDV4YjJYd000L2xVbU4wdz09</t>
        </is>
      </c>
      <c r="F54" t="n">
        <v>1</v>
      </c>
      <c r="G54" t="inlineStr">
        <is>
          <t>BS001</t>
        </is>
      </c>
      <c r="H54" t="inlineStr">
        <is>
          <t>1 Februari 2013</t>
        </is>
      </c>
      <c r="I54" s="2" t="n">
        <v>46245</v>
      </c>
      <c r="J54" t="inlineStr">
        <is>
          <t>Disetujui</t>
        </is>
      </c>
      <c r="K54" t="n">
        <v>60</v>
      </c>
      <c r="L54" t="inlineStr">
        <is>
          <t>11 Agustus 2026</t>
        </is>
      </c>
      <c r="M54" t="inlineStr">
        <is>
          <t>Konstruksi Bangunan Sipil Jalan</t>
        </is>
      </c>
      <c r="N54" t="inlineStr">
        <is>
          <t>M</t>
        </is>
      </c>
      <c r="O54" t="inlineStr">
        <is>
          <t>20230808</t>
        </is>
      </c>
      <c r="P54" t="inlineStr">
        <is>
          <t>Jawa Timur</t>
        </is>
      </c>
      <c r="Q54" t="inlineStr"/>
    </row>
    <row r="55">
      <c r="A55" t="inlineStr">
        <is>
          <t>INDAH MARGA LESTARI</t>
        </is>
      </c>
      <c r="B55" t="inlineStr">
        <is>
          <t>Kab. Kudus</t>
        </is>
      </c>
      <c r="C55" t="inlineStr">
        <is>
          <t>085293127282</t>
        </is>
      </c>
      <c r="D55" t="inlineStr">
        <is>
          <t>lestariindah505@gmail.com</t>
        </is>
      </c>
      <c r="E55" t="inlineStr">
        <is>
          <t>https://lpjk.pu.go.id/search-badan-usaha-detail/aWs0MlM4VFErdW9KR3lLVC8xaG4ydz09</t>
        </is>
      </c>
      <c r="F55" t="n">
        <v>1</v>
      </c>
      <c r="G55" t="inlineStr">
        <is>
          <t>BS001</t>
        </is>
      </c>
      <c r="H55" t="inlineStr">
        <is>
          <t>12 April 2012</t>
        </is>
      </c>
      <c r="I55" s="2" t="n">
        <v>46245</v>
      </c>
      <c r="J55" t="inlineStr">
        <is>
          <t>Disetujui</t>
        </is>
      </c>
      <c r="K55" t="n">
        <v>60</v>
      </c>
      <c r="L55" t="inlineStr">
        <is>
          <t>11 Agustus 2026</t>
        </is>
      </c>
      <c r="M55" t="inlineStr">
        <is>
          <t>Konstruksi Bangunan Sipil Jalan</t>
        </is>
      </c>
      <c r="N55" t="inlineStr">
        <is>
          <t>K</t>
        </is>
      </c>
      <c r="O55" t="inlineStr">
        <is>
          <t>20230812</t>
        </is>
      </c>
      <c r="P55" t="inlineStr">
        <is>
          <t>Jawa Tengah</t>
        </is>
      </c>
      <c r="Q55" t="inlineStr"/>
    </row>
    <row r="56">
      <c r="A56" t="inlineStr">
        <is>
          <t>INDO RAYA MANDIRI</t>
        </is>
      </c>
      <c r="B56" t="inlineStr">
        <is>
          <t>Kab. Mamuju</t>
        </is>
      </c>
      <c r="C56" t="inlineStr">
        <is>
          <t>085255736241</t>
        </is>
      </c>
      <c r="D56" t="inlineStr">
        <is>
          <t>cvindorayamandiri03@gmail.com</t>
        </is>
      </c>
      <c r="E56" t="inlineStr">
        <is>
          <t>https://lpjk.pu.go.id/search-badan-usaha-detail/SzNXOU9HeHpjTi9seWxZMit1OEFoZz09</t>
        </is>
      </c>
      <c r="F56" t="n">
        <v>1</v>
      </c>
      <c r="G56" t="inlineStr">
        <is>
          <t>BG009</t>
        </is>
      </c>
      <c r="H56" t="inlineStr">
        <is>
          <t>18 Juni 2014</t>
        </is>
      </c>
      <c r="I56" s="2" t="n">
        <v>46245</v>
      </c>
      <c r="J56" t="inlineStr">
        <is>
          <t>Pencabutan</t>
        </is>
      </c>
      <c r="K56" t="n">
        <v>60</v>
      </c>
      <c r="L56" t="inlineStr">
        <is>
          <t>11 Agustus 2026</t>
        </is>
      </c>
      <c r="M56" t="inlineStr">
        <is>
          <t>Konstruksi Gedung Lainnya</t>
        </is>
      </c>
      <c r="N56" t="inlineStr">
        <is>
          <t>K</t>
        </is>
      </c>
      <c r="O56" t="inlineStr">
        <is>
          <t>20230812</t>
        </is>
      </c>
      <c r="P56" t="inlineStr">
        <is>
          <t>Sulawesi Barat</t>
        </is>
      </c>
      <c r="Q56" t="inlineStr"/>
    </row>
    <row r="57">
      <c r="A57" t="inlineStr">
        <is>
          <t>JATIM KARYA</t>
        </is>
      </c>
      <c r="B57" t="inlineStr">
        <is>
          <t>Kab. Malang</t>
        </is>
      </c>
      <c r="C57" t="inlineStr">
        <is>
          <t>083834987465</t>
        </is>
      </c>
      <c r="D57" t="inlineStr">
        <is>
          <t>cvjatimkarya@gmail.com</t>
        </is>
      </c>
      <c r="E57" t="inlineStr">
        <is>
          <t>https://lpjk.pu.go.id/search-badan-usaha-detail/RDUrOXBnZlFudWs4UFRFeS9kM1pvZz09</t>
        </is>
      </c>
      <c r="F57" t="n">
        <v>1</v>
      </c>
      <c r="G57" t="inlineStr">
        <is>
          <t>BG009</t>
        </is>
      </c>
      <c r="H57" t="inlineStr">
        <is>
          <t>13 Maret 2023</t>
        </is>
      </c>
      <c r="I57" s="2" t="n">
        <v>46245</v>
      </c>
      <c r="J57" t="inlineStr">
        <is>
          <t>Disetujui</t>
        </is>
      </c>
      <c r="K57" t="n">
        <v>60</v>
      </c>
      <c r="L57" t="inlineStr">
        <is>
          <t>11 Agustus 2026</t>
        </is>
      </c>
      <c r="M57" t="inlineStr">
        <is>
          <t>Konstruksi Gedung Lainnya</t>
        </is>
      </c>
      <c r="N57" t="inlineStr">
        <is>
          <t>K</t>
        </is>
      </c>
      <c r="O57" t="inlineStr">
        <is>
          <t>20230810</t>
        </is>
      </c>
      <c r="P57" t="inlineStr">
        <is>
          <t>Jawa Timur</t>
        </is>
      </c>
      <c r="Q57" t="inlineStr"/>
    </row>
    <row r="58">
      <c r="A58" t="inlineStr">
        <is>
          <t>JATNIKA &amp; CO</t>
        </is>
      </c>
      <c r="B58" t="inlineStr">
        <is>
          <t>Kab. Garut</t>
        </is>
      </c>
      <c r="C58" t="inlineStr">
        <is>
          <t>081322393394</t>
        </is>
      </c>
      <c r="D58" t="inlineStr">
        <is>
          <t>jatnika_co@yahoo.co.id</t>
        </is>
      </c>
      <c r="E58" t="inlineStr">
        <is>
          <t>https://lpjk.pu.go.id/search-badan-usaha-detail/cllWYTV5cVJmcXVJWEdRQlFFSEt0Zz09</t>
        </is>
      </c>
      <c r="F58" t="n">
        <v>1</v>
      </c>
      <c r="G58" t="inlineStr">
        <is>
          <t>BG002</t>
        </is>
      </c>
      <c r="H58" t="inlineStr">
        <is>
          <t>8 Maret 1983</t>
        </is>
      </c>
      <c r="I58" s="2" t="n">
        <v>46245</v>
      </c>
      <c r="J58" t="inlineStr">
        <is>
          <t>Pencabutan</t>
        </is>
      </c>
      <c r="K58" t="n">
        <v>60</v>
      </c>
      <c r="L58" t="inlineStr">
        <is>
          <t>11 Agustus 2026</t>
        </is>
      </c>
      <c r="M58" t="inlineStr">
        <is>
          <t>Konstruksi Gedung Perkantoran</t>
        </is>
      </c>
      <c r="N58" t="inlineStr">
        <is>
          <t>K</t>
        </is>
      </c>
      <c r="O58" t="inlineStr">
        <is>
          <t>20230809</t>
        </is>
      </c>
      <c r="P58" t="inlineStr">
        <is>
          <t>Jawa Barat</t>
        </is>
      </c>
      <c r="Q58" t="inlineStr"/>
    </row>
    <row r="59">
      <c r="A59" t="inlineStr">
        <is>
          <t>JAYA PUTRA BIMA</t>
        </is>
      </c>
      <c r="B59" t="inlineStr">
        <is>
          <t>Kab. Boyolali</t>
        </is>
      </c>
      <c r="C59" t="inlineStr">
        <is>
          <t>081329030141</t>
        </is>
      </c>
      <c r="D59" t="inlineStr">
        <is>
          <t>bimajayaputra166@gmail.com</t>
        </is>
      </c>
      <c r="E59" t="inlineStr">
        <is>
          <t>https://lpjk.pu.go.id/search-badan-usaha-detail/NmJoc2xrTW9NSVFKVy8ycElFTEVadz09</t>
        </is>
      </c>
      <c r="F59" t="n">
        <v>2</v>
      </c>
      <c r="G59" t="inlineStr">
        <is>
          <t>BS002, BS004</t>
        </is>
      </c>
      <c r="H59" t="inlineStr">
        <is>
          <t>15 Mei 2023</t>
        </is>
      </c>
      <c r="I59" s="2" t="n">
        <v>46245</v>
      </c>
      <c r="J59" t="inlineStr">
        <is>
          <t>Disetujui</t>
        </is>
      </c>
      <c r="K59" t="n">
        <v>60</v>
      </c>
      <c r="L59" t="inlineStr">
        <is>
          <t>11 Agustus 2026</t>
        </is>
      </c>
      <c r="M59" t="inlineStr">
        <is>
          <t>Bangunan Sipil Jembatan, Jalan Layang, Fly Over, dan Underpass, Konstruksi Jaringan Irigasi dan Drainase</t>
        </is>
      </c>
      <c r="N59" t="inlineStr">
        <is>
          <t>K</t>
        </is>
      </c>
      <c r="O59" t="inlineStr">
        <is>
          <t>20230808</t>
        </is>
      </c>
      <c r="P59" t="inlineStr">
        <is>
          <t>Jawa Tengah</t>
        </is>
      </c>
      <c r="Q59" t="inlineStr"/>
    </row>
    <row r="60">
      <c r="A60" t="inlineStr">
        <is>
          <t>JUAN MANDIRI</t>
        </is>
      </c>
      <c r="B60" t="inlineStr">
        <is>
          <t>Kota Ambon</t>
        </is>
      </c>
      <c r="C60" t="inlineStr">
        <is>
          <t>081248359291</t>
        </is>
      </c>
      <c r="D60" t="inlineStr">
        <is>
          <t>cvjuanmandiri@yahoo.com</t>
        </is>
      </c>
      <c r="E60" t="inlineStr">
        <is>
          <t>https://lpjk.pu.go.id/search-badan-usaha-detail/WS9aRUs1dXdVOVVSS25WS0JCWFZ2dz09</t>
        </is>
      </c>
      <c r="F60" t="n">
        <v>1</v>
      </c>
      <c r="G60" t="inlineStr">
        <is>
          <t>BG009</t>
        </is>
      </c>
      <c r="H60" t="inlineStr">
        <is>
          <t>21 Januari 2016</t>
        </is>
      </c>
      <c r="I60" s="2" t="n">
        <v>46245</v>
      </c>
      <c r="J60" t="inlineStr">
        <is>
          <t>Disetujui</t>
        </is>
      </c>
      <c r="K60" t="n">
        <v>60</v>
      </c>
      <c r="L60" t="inlineStr">
        <is>
          <t>11 Agustus 2026</t>
        </is>
      </c>
      <c r="M60" t="inlineStr">
        <is>
          <t>Konstruksi Gedung Lainnya</t>
        </is>
      </c>
      <c r="N60" t="inlineStr">
        <is>
          <t>K</t>
        </is>
      </c>
      <c r="O60" t="inlineStr">
        <is>
          <t>20230810</t>
        </is>
      </c>
      <c r="P60" t="inlineStr">
        <is>
          <t>Maluku</t>
        </is>
      </c>
      <c r="Q60" t="inlineStr"/>
    </row>
    <row r="61">
      <c r="A61" t="inlineStr">
        <is>
          <t>KARYA ABIMANYU</t>
        </is>
      </c>
      <c r="B61" t="inlineStr">
        <is>
          <t>Kab. Indragiri Hulu</t>
        </is>
      </c>
      <c r="C61" t="inlineStr">
        <is>
          <t>081994096479</t>
        </is>
      </c>
      <c r="D61" t="inlineStr">
        <is>
          <t>karyaabimanyu@yahoo.com</t>
        </is>
      </c>
      <c r="E61" t="inlineStr">
        <is>
          <t>https://lpjk.pu.go.id/search-badan-usaha-detail/V0JQaE5GTWRIMTdzR1R4b1FqOW1HQT09</t>
        </is>
      </c>
      <c r="F61" t="n">
        <v>1</v>
      </c>
      <c r="G61" t="inlineStr">
        <is>
          <t>BS002</t>
        </is>
      </c>
      <c r="H61" t="inlineStr">
        <is>
          <t>4 Januari 2014</t>
        </is>
      </c>
      <c r="I61" s="2" t="n">
        <v>46245</v>
      </c>
      <c r="J61" t="inlineStr">
        <is>
          <t>Pencabutan</t>
        </is>
      </c>
      <c r="K61" t="n">
        <v>60</v>
      </c>
      <c r="L61" t="inlineStr">
        <is>
          <t>11 Agustus 2026</t>
        </is>
      </c>
      <c r="M61" t="inlineStr">
        <is>
          <t>Bangunan Sipil Jembatan, Jalan Layang, Fly Over, dan Underpass</t>
        </is>
      </c>
      <c r="N61" t="inlineStr">
        <is>
          <t>K</t>
        </is>
      </c>
      <c r="O61" t="inlineStr">
        <is>
          <t>20230810</t>
        </is>
      </c>
      <c r="P61" t="inlineStr">
        <is>
          <t>Riau</t>
        </is>
      </c>
      <c r="Q61" t="inlineStr"/>
    </row>
    <row r="62">
      <c r="A62" t="inlineStr">
        <is>
          <t>KARYA PERSADA KREASI</t>
        </is>
      </c>
      <c r="B62" t="inlineStr">
        <is>
          <t>Kota Serang</t>
        </is>
      </c>
      <c r="C62" t="inlineStr">
        <is>
          <t>087723136984</t>
        </is>
      </c>
      <c r="D62" t="inlineStr">
        <is>
          <t>infodppapaksindobanten@gmail.com</t>
        </is>
      </c>
      <c r="E62" t="inlineStr">
        <is>
          <t>https://lpjk.pu.go.id/search-badan-usaha-detail/eXlZQWVZUXQ2QWZRRm1PcjFXeE9xZz09</t>
        </is>
      </c>
      <c r="F62" t="n">
        <v>1</v>
      </c>
      <c r="G62" t="inlineStr">
        <is>
          <t>BG006</t>
        </is>
      </c>
      <c r="H62" t="inlineStr">
        <is>
          <t>29 Januari 2015</t>
        </is>
      </c>
      <c r="I62" s="2" t="n">
        <v>46245</v>
      </c>
      <c r="J62" t="inlineStr">
        <is>
          <t>Disetujui</t>
        </is>
      </c>
      <c r="K62" t="n">
        <v>60</v>
      </c>
      <c r="L62" t="inlineStr">
        <is>
          <t>11 Agustus 2026</t>
        </is>
      </c>
      <c r="M62" t="inlineStr">
        <is>
          <t>Konstruksi Gedung Pendidikan</t>
        </is>
      </c>
      <c r="N62" t="inlineStr">
        <is>
          <t>K</t>
        </is>
      </c>
      <c r="O62" t="inlineStr">
        <is>
          <t>20230810</t>
        </is>
      </c>
      <c r="P62" t="inlineStr">
        <is>
          <t>Banten</t>
        </is>
      </c>
      <c r="Q62" t="inlineStr"/>
    </row>
    <row r="63">
      <c r="A63" t="inlineStr">
        <is>
          <t>KARYA PRIMA GRAHA</t>
        </is>
      </c>
      <c r="B63" t="inlineStr">
        <is>
          <t>Kota Adm. Jakarta Barat</t>
        </is>
      </c>
      <c r="C63" t="inlineStr">
        <is>
          <t>02154315970</t>
        </is>
      </c>
      <c r="D63" t="inlineStr">
        <is>
          <t>karyaprima.graha@yahoo.com</t>
        </is>
      </c>
      <c r="E63" t="inlineStr">
        <is>
          <t>https://lpjk.pu.go.id/search-badan-usaha-detail/S2hGWndzaE1XQnlvWEw0RmFoL1BXZz09</t>
        </is>
      </c>
      <c r="F63" t="n">
        <v>5</v>
      </c>
      <c r="G63" t="inlineStr">
        <is>
          <t>BG001, BG003, BG005, BG006, BG009</t>
        </is>
      </c>
      <c r="H63" t="inlineStr">
        <is>
          <t>18 Februari 2009</t>
        </is>
      </c>
      <c r="I63" s="2" t="n">
        <v>46245</v>
      </c>
      <c r="J63" t="inlineStr">
        <is>
          <t>Disetujui</t>
        </is>
      </c>
      <c r="K63" t="n">
        <v>60</v>
      </c>
      <c r="L63" t="inlineStr">
        <is>
          <t>11 Agustus 2026</t>
        </is>
      </c>
      <c r="M63" t="inlineStr">
        <is>
          <t>Konstruksi Gedung Hunian, Konstruksi Gedung Industri, Konstruksi Gedung Kesehatan, Konstruksi Gedung Lainnya, Konstruksi Gedung Pendidikan</t>
        </is>
      </c>
      <c r="N63" t="inlineStr">
        <is>
          <t>K</t>
        </is>
      </c>
      <c r="O63" t="inlineStr">
        <is>
          <t>20230808</t>
        </is>
      </c>
      <c r="P63" t="inlineStr">
        <is>
          <t>DKI Jakarta</t>
        </is>
      </c>
      <c r="Q63" t="inlineStr"/>
    </row>
    <row r="64">
      <c r="A64" t="inlineStr">
        <is>
          <t>KHARISMA REMAJA</t>
        </is>
      </c>
      <c r="B64" t="inlineStr">
        <is>
          <t>Kab. Probolinggo</t>
        </is>
      </c>
      <c r="C64" t="inlineStr">
        <is>
          <t>085645205205</t>
        </is>
      </c>
      <c r="D64" t="inlineStr">
        <is>
          <t>yulius.kharisma.remaja@gmail.com</t>
        </is>
      </c>
      <c r="E64" t="inlineStr">
        <is>
          <t>https://lpjk.pu.go.id/search-badan-usaha-detail/OTYxVU8wMXFPQ1pMdjJMR09ZVitsUT09</t>
        </is>
      </c>
      <c r="F64" t="n">
        <v>2</v>
      </c>
      <c r="G64" t="inlineStr">
        <is>
          <t>BG009</t>
        </is>
      </c>
      <c r="H64" t="inlineStr">
        <is>
          <t>21 Juli 1992</t>
        </is>
      </c>
      <c r="I64" s="2" t="n">
        <v>46245</v>
      </c>
      <c r="J64" t="inlineStr">
        <is>
          <t>Disetujui</t>
        </is>
      </c>
      <c r="K64" t="n">
        <v>60</v>
      </c>
      <c r="L64" t="inlineStr">
        <is>
          <t>11 Agustus 2026</t>
        </is>
      </c>
      <c r="M64" t="inlineStr">
        <is>
          <t>Konstruksi Gedung Lainnya</t>
        </is>
      </c>
      <c r="N64" t="inlineStr">
        <is>
          <t>K</t>
        </is>
      </c>
      <c r="O64" t="inlineStr">
        <is>
          <t>20230807</t>
        </is>
      </c>
      <c r="P64" t="inlineStr">
        <is>
          <t>Jawa Timur</t>
        </is>
      </c>
      <c r="Q64" t="inlineStr"/>
    </row>
    <row r="65">
      <c r="A65" t="inlineStr">
        <is>
          <t>KIBAR RINDU</t>
        </is>
      </c>
      <c r="B65" t="inlineStr">
        <is>
          <t>Kab. Demak</t>
        </is>
      </c>
      <c r="C65" t="inlineStr">
        <is>
          <t>081229535759</t>
        </is>
      </c>
      <c r="D65" t="inlineStr">
        <is>
          <t>cvkibarrindu@gmail.com</t>
        </is>
      </c>
      <c r="E65" t="inlineStr">
        <is>
          <t>https://lpjk.pu.go.id/search-badan-usaha-detail/NXcvcmxLOFhIWi9ybWxxTzh3by9Mdz09</t>
        </is>
      </c>
      <c r="F65" t="n">
        <v>2</v>
      </c>
      <c r="G65" t="inlineStr">
        <is>
          <t>BG009, BS001</t>
        </is>
      </c>
      <c r="H65" t="inlineStr">
        <is>
          <t>28 September 2001</t>
        </is>
      </c>
      <c r="I65" s="2" t="n">
        <v>46245</v>
      </c>
      <c r="J65" t="inlineStr">
        <is>
          <t>Disetujui</t>
        </is>
      </c>
      <c r="K65" t="n">
        <v>60</v>
      </c>
      <c r="L65" t="inlineStr">
        <is>
          <t>11 Agustus 2026</t>
        </is>
      </c>
      <c r="M65" t="inlineStr">
        <is>
          <t>Konstruksi Bangunan Sipil Jalan, Konstruksi Gedung Lainnya</t>
        </is>
      </c>
      <c r="N65" t="inlineStr">
        <is>
          <t>K</t>
        </is>
      </c>
      <c r="O65" t="inlineStr">
        <is>
          <t>20230803</t>
        </is>
      </c>
      <c r="P65" t="inlineStr">
        <is>
          <t>Jawa Tengah</t>
        </is>
      </c>
      <c r="Q65" t="inlineStr"/>
    </row>
    <row r="66">
      <c r="A66" t="inlineStr">
        <is>
          <t>LEO FERDINAND</t>
        </is>
      </c>
      <c r="B66" t="inlineStr">
        <is>
          <t>Kota Sukabumi</t>
        </is>
      </c>
      <c r="C66" t="inlineStr">
        <is>
          <t>082113745696</t>
        </is>
      </c>
      <c r="D66" t="inlineStr">
        <is>
          <t>ferdinandwatileo@gmail.com</t>
        </is>
      </c>
      <c r="E66" t="inlineStr">
        <is>
          <t>https://lpjk.pu.go.id/search-badan-usaha-detail/ci8xZWZLVzBhQS8zUklzaTdiUlhtUT09</t>
        </is>
      </c>
      <c r="F66" t="n">
        <v>1</v>
      </c>
      <c r="G66" t="inlineStr">
        <is>
          <t>BG009</t>
        </is>
      </c>
      <c r="H66" t="inlineStr">
        <is>
          <t>26 Mei 2006</t>
        </is>
      </c>
      <c r="I66" s="2" t="n">
        <v>46245</v>
      </c>
      <c r="J66" t="inlineStr">
        <is>
          <t>Pencabutan</t>
        </is>
      </c>
      <c r="K66" t="n">
        <v>60</v>
      </c>
      <c r="L66" t="inlineStr">
        <is>
          <t>11 Agustus 2026</t>
        </is>
      </c>
      <c r="M66" t="inlineStr">
        <is>
          <t>Konstruksi Gedung Lainnya</t>
        </is>
      </c>
      <c r="N66" t="inlineStr">
        <is>
          <t>K</t>
        </is>
      </c>
      <c r="O66" t="inlineStr">
        <is>
          <t>20230509</t>
        </is>
      </c>
      <c r="P66" t="inlineStr">
        <is>
          <t>Jawa Barat</t>
        </is>
      </c>
      <c r="Q66" t="inlineStr"/>
    </row>
    <row r="67">
      <c r="A67" t="inlineStr">
        <is>
          <t>LITA-LISA</t>
        </is>
      </c>
      <c r="B67" t="inlineStr">
        <is>
          <t>Kab. Ponorogo</t>
        </is>
      </c>
      <c r="C67" t="inlineStr">
        <is>
          <t>081329650301</t>
        </is>
      </c>
      <c r="D67" t="inlineStr">
        <is>
          <t>lita.lisa12@gmail.com</t>
        </is>
      </c>
      <c r="E67" t="inlineStr">
        <is>
          <t>https://lpjk.pu.go.id/search-badan-usaha-detail/cTI2N2Y3L0lBMWtFZWhhVEpFcW9HZz09</t>
        </is>
      </c>
      <c r="F67" t="n">
        <v>1</v>
      </c>
      <c r="G67" t="inlineStr">
        <is>
          <t>BS004</t>
        </is>
      </c>
      <c r="H67" t="inlineStr">
        <is>
          <t>24 Agustus 2016</t>
        </is>
      </c>
      <c r="I67" s="2" t="n">
        <v>46245</v>
      </c>
      <c r="J67" t="inlineStr">
        <is>
          <t>Disetujui</t>
        </is>
      </c>
      <c r="K67" t="n">
        <v>60</v>
      </c>
      <c r="L67" t="inlineStr">
        <is>
          <t>11 Agustus 2026</t>
        </is>
      </c>
      <c r="M67" t="inlineStr">
        <is>
          <t>Konstruksi Jaringan Irigasi dan Drainase</t>
        </is>
      </c>
      <c r="N67" t="inlineStr">
        <is>
          <t>K</t>
        </is>
      </c>
      <c r="O67" t="inlineStr">
        <is>
          <t>20230801</t>
        </is>
      </c>
      <c r="P67" t="inlineStr">
        <is>
          <t>Jawa Timur</t>
        </is>
      </c>
      <c r="Q67" t="inlineStr"/>
    </row>
    <row r="68">
      <c r="A68" t="inlineStr">
        <is>
          <t>MAHATHIR</t>
        </is>
      </c>
      <c r="B68" t="inlineStr">
        <is>
          <t>Kota Singkawang</t>
        </is>
      </c>
      <c r="C68" t="inlineStr">
        <is>
          <t>085245744101</t>
        </is>
      </c>
      <c r="D68" t="inlineStr">
        <is>
          <t>cv.mahathir88@gmail.com</t>
        </is>
      </c>
      <c r="E68" t="inlineStr">
        <is>
          <t>https://lpjk.pu.go.id/search-badan-usaha-detail/RkdlaHp6NllmUTA4bTV5cjB2RUhWdz09</t>
        </is>
      </c>
      <c r="F68" t="n">
        <v>2</v>
      </c>
      <c r="G68" t="inlineStr">
        <is>
          <t>BG006, BG009</t>
        </is>
      </c>
      <c r="H68" t="inlineStr">
        <is>
          <t>5 Maret 2007</t>
        </is>
      </c>
      <c r="I68" s="2" t="n">
        <v>46245</v>
      </c>
      <c r="J68" t="inlineStr">
        <is>
          <t>Disetujui</t>
        </is>
      </c>
      <c r="K68" t="n">
        <v>60</v>
      </c>
      <c r="L68" t="inlineStr">
        <is>
          <t>11 Agustus 2026</t>
        </is>
      </c>
      <c r="M68" t="inlineStr">
        <is>
          <t>Konstruksi Gedung Lainnya, Konstruksi Gedung Pendidikan</t>
        </is>
      </c>
      <c r="N68" t="inlineStr">
        <is>
          <t>K</t>
        </is>
      </c>
      <c r="O68" t="inlineStr">
        <is>
          <t>20230810</t>
        </is>
      </c>
      <c r="P68" t="inlineStr">
        <is>
          <t>Kalimantan Barat</t>
        </is>
      </c>
      <c r="Q68" t="inlineStr"/>
    </row>
    <row r="69">
      <c r="A69" t="inlineStr">
        <is>
          <t>MAHESA</t>
        </is>
      </c>
      <c r="B69" t="inlineStr">
        <is>
          <t>Kab. Banyuwangi</t>
        </is>
      </c>
      <c r="C69" t="inlineStr">
        <is>
          <t>081230369680</t>
        </is>
      </c>
      <c r="D69" t="inlineStr">
        <is>
          <t>esaraisa712@gmail.com</t>
        </is>
      </c>
      <c r="E69" t="inlineStr">
        <is>
          <t>https://lpjk.pu.go.id/search-badan-usaha-detail/VDAza0JJKzkwZHRDVVZERUdZZEY3Zz09</t>
        </is>
      </c>
      <c r="F69" t="n">
        <v>5</v>
      </c>
      <c r="G69" t="inlineStr">
        <is>
          <t>BG002, BG005, BG006, BG009, BS002</t>
        </is>
      </c>
      <c r="H69" t="inlineStr">
        <is>
          <t>23 Oktober 2001</t>
        </is>
      </c>
      <c r="I69" s="2" t="n">
        <v>46245</v>
      </c>
      <c r="J69" t="inlineStr">
        <is>
          <t>Disetujui</t>
        </is>
      </c>
      <c r="K69" t="n">
        <v>60</v>
      </c>
      <c r="L69" t="inlineStr">
        <is>
          <t>11 Agustus 2026</t>
        </is>
      </c>
      <c r="M69" t="inlineStr">
        <is>
          <t>Bangunan Sipil Jembatan, Jalan Layang, Fly Over, dan Underpass, Konstruksi Gedung Kesehatan, Konstruksi Gedung Lainnya, Konstruksi Gedung Pendidikan, Konstruksi Gedung Perkantoran</t>
        </is>
      </c>
      <c r="N69" t="inlineStr">
        <is>
          <t>K</t>
        </is>
      </c>
      <c r="O69" t="inlineStr">
        <is>
          <t>20230727</t>
        </is>
      </c>
      <c r="P69" t="inlineStr">
        <is>
          <t>Jawa Timur</t>
        </is>
      </c>
      <c r="Q69" t="inlineStr"/>
    </row>
    <row r="70">
      <c r="A70" t="inlineStr">
        <is>
          <t>MITRA AZAM</t>
        </is>
      </c>
      <c r="B70" t="inlineStr">
        <is>
          <t>Kab. Sumbawa</t>
        </is>
      </c>
      <c r="C70" t="inlineStr">
        <is>
          <t>0853 3935 3497</t>
        </is>
      </c>
      <c r="D70" t="inlineStr">
        <is>
          <t>cv.mitraazam@gmail.com</t>
        </is>
      </c>
      <c r="E70" t="inlineStr">
        <is>
          <t>https://lpjk.pu.go.id/search-badan-usaha-detail/WFJoUVdIazNPdWFWMGFwWHJZYVlydz09</t>
        </is>
      </c>
      <c r="F70" t="n">
        <v>1</v>
      </c>
      <c r="G70" t="inlineStr">
        <is>
          <t>BG003</t>
        </is>
      </c>
      <c r="H70" t="inlineStr">
        <is>
          <t>19 Januari 2017</t>
        </is>
      </c>
      <c r="I70" s="2" t="n">
        <v>46245</v>
      </c>
      <c r="J70" t="inlineStr">
        <is>
          <t>Disetujui</t>
        </is>
      </c>
      <c r="K70" t="n">
        <v>60</v>
      </c>
      <c r="L70" t="inlineStr">
        <is>
          <t>11 Agustus 2026</t>
        </is>
      </c>
      <c r="M70" t="inlineStr">
        <is>
          <t>Konstruksi Gedung Industri</t>
        </is>
      </c>
      <c r="N70" t="inlineStr">
        <is>
          <t>K</t>
        </is>
      </c>
      <c r="O70" t="inlineStr">
        <is>
          <t>20230809</t>
        </is>
      </c>
      <c r="P70" t="inlineStr">
        <is>
          <t>Nusa Tenggara Barat</t>
        </is>
      </c>
      <c r="Q70" t="inlineStr"/>
    </row>
    <row r="71">
      <c r="A71" t="inlineStr">
        <is>
          <t>MITRA BERKAT KAPAKAT</t>
        </is>
      </c>
      <c r="B71" t="inlineStr">
        <is>
          <t>Kota Palangkaraya</t>
        </is>
      </c>
      <c r="C71" t="inlineStr">
        <is>
          <t>085249099699</t>
        </is>
      </c>
      <c r="D71" t="inlineStr">
        <is>
          <t>pt.mitraberkatkapakat@gmail.com</t>
        </is>
      </c>
      <c r="E71" t="inlineStr">
        <is>
          <t>https://lpjk.pu.go.id/search-badan-usaha-detail/VUxGZkhGbUg4ZDI5bEpYcnZLT2U4UT09</t>
        </is>
      </c>
      <c r="F71" t="n">
        <v>1</v>
      </c>
      <c r="G71" t="inlineStr">
        <is>
          <t>PB003</t>
        </is>
      </c>
      <c r="H71" t="inlineStr">
        <is>
          <t>14 Maret 2012</t>
        </is>
      </c>
      <c r="I71" s="2" t="n">
        <v>46245</v>
      </c>
      <c r="J71" t="inlineStr">
        <is>
          <t>Pencabutan</t>
        </is>
      </c>
      <c r="K71" t="n">
        <v>60</v>
      </c>
      <c r="L71" t="inlineStr">
        <is>
          <t>11 Agustus 2026</t>
        </is>
      </c>
      <c r="M71" t="inlineStr">
        <is>
          <t>Pengerjaan Lantai, Dinding, Peralatan Saniter dan Plafon</t>
        </is>
      </c>
      <c r="N71" t="inlineStr">
        <is>
          <t>Spesialis</t>
        </is>
      </c>
      <c r="O71" t="inlineStr">
        <is>
          <t>20230805</t>
        </is>
      </c>
      <c r="P71" t="inlineStr">
        <is>
          <t>Kalimantan Tengah</t>
        </is>
      </c>
      <c r="Q71" t="inlineStr"/>
    </row>
    <row r="72">
      <c r="A72" t="inlineStr">
        <is>
          <t>MITRA ESTU</t>
        </is>
      </c>
      <c r="B72" t="inlineStr">
        <is>
          <t>Kota Surabaya</t>
        </is>
      </c>
      <c r="C72" t="inlineStr">
        <is>
          <t>081217074418</t>
        </is>
      </c>
      <c r="D72" t="inlineStr">
        <is>
          <t>mitraestu456@gmail.com</t>
        </is>
      </c>
      <c r="E72" t="inlineStr">
        <is>
          <t>https://lpjk.pu.go.id/search-badan-usaha-detail/VEoySWVKbURJZURxNThuS2VoTnhOQT09</t>
        </is>
      </c>
      <c r="F72" t="n">
        <v>1</v>
      </c>
      <c r="G72" t="inlineStr">
        <is>
          <t>BG009</t>
        </is>
      </c>
      <c r="H72" t="inlineStr">
        <is>
          <t>26 September 1996</t>
        </is>
      </c>
      <c r="I72" s="2" t="n">
        <v>46245</v>
      </c>
      <c r="J72" t="inlineStr">
        <is>
          <t>Disetujui</t>
        </is>
      </c>
      <c r="K72" t="n">
        <v>60</v>
      </c>
      <c r="L72" t="inlineStr">
        <is>
          <t>11 Agustus 2026</t>
        </is>
      </c>
      <c r="M72" t="inlineStr">
        <is>
          <t>Konstruksi Gedung Lainnya</t>
        </is>
      </c>
      <c r="N72" t="inlineStr">
        <is>
          <t>K</t>
        </is>
      </c>
      <c r="O72" t="inlineStr">
        <is>
          <t>20230807</t>
        </is>
      </c>
      <c r="P72" t="inlineStr">
        <is>
          <t>Jawa Timur</t>
        </is>
      </c>
      <c r="Q72" t="inlineStr"/>
    </row>
    <row r="73">
      <c r="A73" t="inlineStr">
        <is>
          <t>MITRA SARANA MEMBANGUN</t>
        </is>
      </c>
      <c r="B73" t="inlineStr">
        <is>
          <t>Kota Tangerang Selatan</t>
        </is>
      </c>
      <c r="C73" t="inlineStr">
        <is>
          <t>02122271331</t>
        </is>
      </c>
      <c r="D73" t="inlineStr">
        <is>
          <t>PIC@MSMGROUP.CO</t>
        </is>
      </c>
      <c r="E73" t="inlineStr">
        <is>
          <t>https://lpjk.pu.go.id/search-badan-usaha-detail/Tm1DNFlWMnIwN2xMQ0RTVzYxUS9lZz09</t>
        </is>
      </c>
      <c r="F73" t="n">
        <v>1</v>
      </c>
      <c r="G73" t="inlineStr">
        <is>
          <t>KP002</t>
        </is>
      </c>
      <c r="H73" t="inlineStr">
        <is>
          <t>17 Juni 2019</t>
        </is>
      </c>
      <c r="I73" s="2" t="n">
        <v>46245</v>
      </c>
      <c r="J73" t="inlineStr">
        <is>
          <t>Disetujui</t>
        </is>
      </c>
      <c r="K73" t="n">
        <v>60</v>
      </c>
      <c r="L73" t="inlineStr">
        <is>
          <t>11 Agustus 2026</t>
        </is>
      </c>
      <c r="M73" t="inlineStr">
        <is>
          <t>Pekerjaan Konstruksi Prapabrikasi Bangunan Sipil</t>
        </is>
      </c>
      <c r="N73" t="inlineStr">
        <is>
          <t>Spesialis</t>
        </is>
      </c>
      <c r="O73" t="inlineStr">
        <is>
          <t>20230811</t>
        </is>
      </c>
      <c r="P73" t="inlineStr">
        <is>
          <t>Banten</t>
        </is>
      </c>
      <c r="Q73" t="inlineStr"/>
    </row>
    <row r="74">
      <c r="A74" t="inlineStr">
        <is>
          <t>MITRA USAHA MULIA</t>
        </is>
      </c>
      <c r="B74" t="inlineStr">
        <is>
          <t>Kab. Nabire</t>
        </is>
      </c>
      <c r="C74" t="inlineStr">
        <is>
          <t>081241746530</t>
        </is>
      </c>
      <c r="D74" t="inlineStr">
        <is>
          <t>cvmitrausahamulia@gmail.com</t>
        </is>
      </c>
      <c r="E74" t="inlineStr">
        <is>
          <t>https://lpjk.pu.go.id/search-badan-usaha-detail/cnZjRkFXVjlCOU1rWnZaYTBKd053UT09</t>
        </is>
      </c>
      <c r="F74" t="n">
        <v>2</v>
      </c>
      <c r="G74" t="inlineStr">
        <is>
          <t>BG006, BG009</t>
        </is>
      </c>
      <c r="H74" t="inlineStr">
        <is>
          <t>7 Juni 2023</t>
        </is>
      </c>
      <c r="I74" s="2" t="n">
        <v>46245</v>
      </c>
      <c r="J74" t="inlineStr">
        <is>
          <t>Disetujui</t>
        </is>
      </c>
      <c r="K74" t="n">
        <v>60</v>
      </c>
      <c r="L74" t="inlineStr">
        <is>
          <t>11 Agustus 2026</t>
        </is>
      </c>
      <c r="M74" t="inlineStr">
        <is>
          <t>Konstruksi Gedung Lainnya, Konstruksi Gedung Pendidikan</t>
        </is>
      </c>
      <c r="N74" t="inlineStr">
        <is>
          <t>K</t>
        </is>
      </c>
      <c r="O74" t="inlineStr">
        <is>
          <t>20230719</t>
        </is>
      </c>
      <c r="P74" t="inlineStr">
        <is>
          <t>Papua</t>
        </is>
      </c>
      <c r="Q74" t="inlineStr"/>
    </row>
    <row r="75">
      <c r="A75" t="inlineStr">
        <is>
          <t>MUTIARA UTAMA</t>
        </is>
      </c>
      <c r="B75" t="inlineStr">
        <is>
          <t>Kab. Tanah Datar</t>
        </is>
      </c>
      <c r="C75" t="inlineStr">
        <is>
          <t>081364006488</t>
        </is>
      </c>
      <c r="D75" t="inlineStr">
        <is>
          <t>mutiarautama01@gmail.com</t>
        </is>
      </c>
      <c r="E75" t="inlineStr">
        <is>
          <t>https://lpjk.pu.go.id/search-badan-usaha-detail/MzJYRGd3RDB1ME94bG4yZUhGaTU4Zz09</t>
        </is>
      </c>
      <c r="F75" t="n">
        <v>2</v>
      </c>
      <c r="G75" t="inlineStr">
        <is>
          <t>BG006</t>
        </is>
      </c>
      <c r="H75" t="inlineStr">
        <is>
          <t>5 Oktober 1992</t>
        </is>
      </c>
      <c r="I75" s="2" t="n">
        <v>46245</v>
      </c>
      <c r="J75" t="inlineStr">
        <is>
          <t>Disetujui</t>
        </is>
      </c>
      <c r="K75" t="n">
        <v>60</v>
      </c>
      <c r="L75" t="inlineStr">
        <is>
          <t>11 Agustus 2026</t>
        </is>
      </c>
      <c r="M75" t="inlineStr">
        <is>
          <t>Konstruksi Gedung Pendidikan</t>
        </is>
      </c>
      <c r="N75" t="inlineStr">
        <is>
          <t>K</t>
        </is>
      </c>
      <c r="O75" t="inlineStr">
        <is>
          <t>20230806</t>
        </is>
      </c>
      <c r="P75" t="inlineStr">
        <is>
          <t>Sumatera Barat</t>
        </is>
      </c>
      <c r="Q75" t="inlineStr"/>
    </row>
    <row r="76">
      <c r="A76" t="inlineStr">
        <is>
          <t>NURANI JAYA</t>
        </is>
      </c>
      <c r="B76" t="inlineStr">
        <is>
          <t>Kab. Jember</t>
        </is>
      </c>
      <c r="C76" t="inlineStr">
        <is>
          <t>082228008883</t>
        </is>
      </c>
      <c r="D76" t="inlineStr">
        <is>
          <t>nuranijayajember@gmail.com</t>
        </is>
      </c>
      <c r="E76" t="inlineStr">
        <is>
          <t>https://lpjk.pu.go.id/search-badan-usaha-detail/MWQwNFRLVFZOOXNPY1Y0eGoxZFRzQT09</t>
        </is>
      </c>
      <c r="F76" t="n">
        <v>6</v>
      </c>
      <c r="G76" t="inlineStr">
        <is>
          <t>BG006, BG009</t>
        </is>
      </c>
      <c r="H76" t="inlineStr">
        <is>
          <t>1 November 1994</t>
        </is>
      </c>
      <c r="I76" s="2" t="n">
        <v>46245</v>
      </c>
      <c r="J76" t="inlineStr">
        <is>
          <t>Disetujui</t>
        </is>
      </c>
      <c r="K76" t="n">
        <v>60</v>
      </c>
      <c r="L76" t="inlineStr">
        <is>
          <t>11 Agustus 2026</t>
        </is>
      </c>
      <c r="M76" t="inlineStr">
        <is>
          <t>Konstruksi Gedung Lainnya, Konstruksi Gedung Pendidikan</t>
        </is>
      </c>
      <c r="N76" t="inlineStr">
        <is>
          <t>K</t>
        </is>
      </c>
      <c r="O76" t="inlineStr">
        <is>
          <t>20230807</t>
        </is>
      </c>
      <c r="P76" t="inlineStr">
        <is>
          <t>Jawa Timur</t>
        </is>
      </c>
      <c r="Q76" t="inlineStr"/>
    </row>
    <row r="77">
      <c r="A77" t="inlineStr">
        <is>
          <t>NUSANTARA SEJAHTERA BERSAMA</t>
        </is>
      </c>
      <c r="B77" t="inlineStr">
        <is>
          <t>Kota Manado</t>
        </is>
      </c>
      <c r="C77" t="inlineStr">
        <is>
          <t>081340780877</t>
        </is>
      </c>
      <c r="D77" t="inlineStr">
        <is>
          <t>nsbadm82@gmail.com</t>
        </is>
      </c>
      <c r="E77" t="inlineStr">
        <is>
          <t>https://lpjk.pu.go.id/search-badan-usaha-detail/dEROdDcwUC95VDJlR2Jyci94TkJRUT09</t>
        </is>
      </c>
      <c r="F77" t="n">
        <v>2</v>
      </c>
      <c r="G77" t="inlineStr">
        <is>
          <t>BS001</t>
        </is>
      </c>
      <c r="H77" t="inlineStr">
        <is>
          <t>22 Februari 1982</t>
        </is>
      </c>
      <c r="I77" s="2" t="n">
        <v>46245</v>
      </c>
      <c r="J77" t="inlineStr">
        <is>
          <t>Disetujui</t>
        </is>
      </c>
      <c r="K77" t="n">
        <v>60</v>
      </c>
      <c r="L77" t="inlineStr">
        <is>
          <t>11 Agustus 2026</t>
        </is>
      </c>
      <c r="M77" t="inlineStr">
        <is>
          <t>Konstruksi Bangunan Sipil Jalan</t>
        </is>
      </c>
      <c r="N77" t="inlineStr">
        <is>
          <t>M</t>
        </is>
      </c>
      <c r="O77" t="inlineStr">
        <is>
          <t>20230810</t>
        </is>
      </c>
      <c r="P77" t="inlineStr">
        <is>
          <t>Sulawesi Utara</t>
        </is>
      </c>
      <c r="Q77" t="inlineStr"/>
    </row>
    <row r="78">
      <c r="A78" t="inlineStr">
        <is>
          <t>PADIMUN GOLDEN</t>
        </is>
      </c>
      <c r="B78" t="inlineStr">
        <is>
          <t>Kota Adm. Jakarta Pusat</t>
        </is>
      </c>
      <c r="C78" t="inlineStr">
        <is>
          <t>0213147106</t>
        </is>
      </c>
      <c r="D78" t="inlineStr">
        <is>
          <t>pad_gold@yahoo.co.id</t>
        </is>
      </c>
      <c r="E78" t="inlineStr">
        <is>
          <t>https://lpjk.pu.go.id/search-badan-usaha-detail/VWpjcFhlcTB2ekJ3bXpPSnEyQXczdz09</t>
        </is>
      </c>
      <c r="F78" t="n">
        <v>1</v>
      </c>
      <c r="G78" t="inlineStr">
        <is>
          <t>BG009</t>
        </is>
      </c>
      <c r="H78" t="inlineStr">
        <is>
          <t>7 Oktober 1977</t>
        </is>
      </c>
      <c r="I78" s="2" t="n">
        <v>46245</v>
      </c>
      <c r="J78" t="inlineStr">
        <is>
          <t>Disetujui</t>
        </is>
      </c>
      <c r="K78" t="n">
        <v>60</v>
      </c>
      <c r="L78" t="inlineStr">
        <is>
          <t>11 Agustus 2026</t>
        </is>
      </c>
      <c r="M78" t="inlineStr">
        <is>
          <t>Konstruksi Gedung Lainnya</t>
        </is>
      </c>
      <c r="N78" t="inlineStr">
        <is>
          <t>M</t>
        </is>
      </c>
      <c r="O78" t="inlineStr">
        <is>
          <t>20230809</t>
        </is>
      </c>
      <c r="P78" t="inlineStr">
        <is>
          <t>DKI Jakarta</t>
        </is>
      </c>
      <c r="Q78" t="inlineStr"/>
    </row>
    <row r="79">
      <c r="A79" t="inlineStr">
        <is>
          <t>PANCUR MAS UTAMA</t>
        </is>
      </c>
      <c r="B79" t="inlineStr">
        <is>
          <t>Kota Adm. Jakarta Selatan</t>
        </is>
      </c>
      <c r="C79" t="inlineStr">
        <is>
          <t>0217807494</t>
        </is>
      </c>
      <c r="D79" t="inlineStr">
        <is>
          <t>pancurmasutama@gmail.com</t>
        </is>
      </c>
      <c r="E79" t="inlineStr">
        <is>
          <t>https://lpjk.pu.go.id/search-badan-usaha-detail/U0k0YmI0NFhBUFlaNndXYjZFKzZodz09</t>
        </is>
      </c>
      <c r="F79" t="n">
        <v>1</v>
      </c>
      <c r="G79" t="inlineStr">
        <is>
          <t>BG009</t>
        </is>
      </c>
      <c r="H79" t="inlineStr">
        <is>
          <t>19 Oktober 1983</t>
        </is>
      </c>
      <c r="I79" s="2" t="n">
        <v>46245</v>
      </c>
      <c r="J79" t="inlineStr">
        <is>
          <t>Disetujui</t>
        </is>
      </c>
      <c r="K79" t="n">
        <v>60</v>
      </c>
      <c r="L79" t="inlineStr">
        <is>
          <t>11 Agustus 2026</t>
        </is>
      </c>
      <c r="M79" t="inlineStr">
        <is>
          <t>Konstruksi Gedung Lainnya</t>
        </is>
      </c>
      <c r="N79" t="inlineStr">
        <is>
          <t>K</t>
        </is>
      </c>
      <c r="O79" t="inlineStr">
        <is>
          <t>20230804</t>
        </is>
      </c>
      <c r="P79" t="inlineStr">
        <is>
          <t>DKI Jakarta</t>
        </is>
      </c>
      <c r="Q79" t="inlineStr"/>
    </row>
    <row r="80">
      <c r="A80" t="inlineStr">
        <is>
          <t>PANDAN JAYA PROPERTINDO</t>
        </is>
      </c>
      <c r="B80" t="inlineStr">
        <is>
          <t>Kab. Jombang</t>
        </is>
      </c>
      <c r="C80" t="inlineStr">
        <is>
          <t>082131718929</t>
        </is>
      </c>
      <c r="D80" t="inlineStr">
        <is>
          <t>PJPropertindo77@gmail.com</t>
        </is>
      </c>
      <c r="E80" t="inlineStr">
        <is>
          <t>https://lpjk.pu.go.id/search-badan-usaha-detail/R1JoS0kwRlc2R2dFMDRxN3JvdTZyZz09</t>
        </is>
      </c>
      <c r="F80" t="n">
        <v>2</v>
      </c>
      <c r="G80" t="inlineStr">
        <is>
          <t>BS001</t>
        </is>
      </c>
      <c r="H80" t="inlineStr">
        <is>
          <t>27 Oktober 2009</t>
        </is>
      </c>
      <c r="I80" s="2" t="n">
        <v>46245</v>
      </c>
      <c r="J80" t="inlineStr">
        <is>
          <t>Disetujui</t>
        </is>
      </c>
      <c r="K80" t="n">
        <v>60</v>
      </c>
      <c r="L80" t="inlineStr">
        <is>
          <t>11 Agustus 2026</t>
        </is>
      </c>
      <c r="M80" t="inlineStr">
        <is>
          <t>Konstruksi Bangunan Sipil Jalan</t>
        </is>
      </c>
      <c r="N80" t="inlineStr">
        <is>
          <t>K</t>
        </is>
      </c>
      <c r="O80" t="inlineStr">
        <is>
          <t>20230808</t>
        </is>
      </c>
      <c r="P80" t="inlineStr">
        <is>
          <t>Jawa Timur</t>
        </is>
      </c>
      <c r="Q80" t="inlineStr"/>
    </row>
    <row r="81">
      <c r="A81" t="inlineStr">
        <is>
          <t>PELANGI</t>
        </is>
      </c>
      <c r="B81" t="inlineStr">
        <is>
          <t>Kab. Kepulauan Anambas</t>
        </is>
      </c>
      <c r="C81" t="inlineStr">
        <is>
          <t>081378821019</t>
        </is>
      </c>
      <c r="D81" t="inlineStr">
        <is>
          <t>jemajap@yahoo.com</t>
        </is>
      </c>
      <c r="E81" t="inlineStr">
        <is>
          <t>https://lpjk.pu.go.id/search-badan-usaha-detail/T05QWjhyRnpvbkJvY0xlU3pZZGZOQT09</t>
        </is>
      </c>
      <c r="F81" t="n">
        <v>1</v>
      </c>
      <c r="G81" t="inlineStr">
        <is>
          <t>BG002</t>
        </is>
      </c>
      <c r="H81" t="inlineStr">
        <is>
          <t>31 Agustus 2019</t>
        </is>
      </c>
      <c r="I81" s="2" t="n">
        <v>46245</v>
      </c>
      <c r="J81" t="inlineStr">
        <is>
          <t>Disetujui</t>
        </is>
      </c>
      <c r="K81" t="n">
        <v>60</v>
      </c>
      <c r="L81" t="inlineStr">
        <is>
          <t>11 Agustus 2026</t>
        </is>
      </c>
      <c r="M81" t="inlineStr">
        <is>
          <t>Konstruksi Gedung Perkantoran</t>
        </is>
      </c>
      <c r="N81" t="inlineStr">
        <is>
          <t>K</t>
        </is>
      </c>
      <c r="O81" t="inlineStr">
        <is>
          <t>20230808</t>
        </is>
      </c>
      <c r="P81" t="inlineStr">
        <is>
          <t>Kepulauan Riau</t>
        </is>
      </c>
      <c r="Q81" t="inlineStr"/>
    </row>
    <row r="82">
      <c r="A82" t="inlineStr">
        <is>
          <t>PILAR UTAMA</t>
        </is>
      </c>
      <c r="B82" t="inlineStr">
        <is>
          <t>Kota Pare Pare</t>
        </is>
      </c>
      <c r="C82" t="inlineStr">
        <is>
          <t>08113344992</t>
        </is>
      </c>
      <c r="D82" t="inlineStr">
        <is>
          <t>pilar.utama888@gmail.com</t>
        </is>
      </c>
      <c r="E82" t="inlineStr">
        <is>
          <t>https://lpjk.pu.go.id/search-badan-usaha-detail/enpOZytyajFYOWVTZkhKYTF2THpUZz09</t>
        </is>
      </c>
      <c r="F82" t="n">
        <v>2</v>
      </c>
      <c r="G82" t="inlineStr">
        <is>
          <t>BG002, BG009</t>
        </is>
      </c>
      <c r="H82" t="inlineStr">
        <is>
          <t>20 Februari 2015</t>
        </is>
      </c>
      <c r="I82" s="2" t="n">
        <v>46245</v>
      </c>
      <c r="J82" t="inlineStr">
        <is>
          <t>Disetujui</t>
        </is>
      </c>
      <c r="K82" t="n">
        <v>60</v>
      </c>
      <c r="L82" t="inlineStr">
        <is>
          <t>11 Agustus 2026</t>
        </is>
      </c>
      <c r="M82" t="inlineStr">
        <is>
          <t>Konstruksi Gedung Lainnya, Konstruksi Gedung Perkantoran</t>
        </is>
      </c>
      <c r="N82" t="inlineStr">
        <is>
          <t>K</t>
        </is>
      </c>
      <c r="O82" t="inlineStr">
        <is>
          <t>20230810, 20230811</t>
        </is>
      </c>
      <c r="P82" t="inlineStr">
        <is>
          <t>Sulawesi Selatan</t>
        </is>
      </c>
      <c r="Q82" t="inlineStr"/>
    </row>
    <row r="83">
      <c r="A83" t="inlineStr">
        <is>
          <t>PRAKASA</t>
        </is>
      </c>
      <c r="B83" t="inlineStr">
        <is>
          <t>Kab. Garut</t>
        </is>
      </c>
      <c r="C83" t="inlineStr">
        <is>
          <t>0</t>
        </is>
      </c>
      <c r="D83" t="inlineStr">
        <is>
          <t>prakasa_cv@yahoo.co.id</t>
        </is>
      </c>
      <c r="E83" t="inlineStr">
        <is>
          <t>https://lpjk.pu.go.id/search-badan-usaha-detail/YVA0NkNBdnBlYVRQcnBIQURhYWtUUT09</t>
        </is>
      </c>
      <c r="F83" t="n">
        <v>1</v>
      </c>
      <c r="G83" t="inlineStr">
        <is>
          <t>BG009</t>
        </is>
      </c>
      <c r="H83" t="inlineStr">
        <is>
          <t>22 April 1981</t>
        </is>
      </c>
      <c r="I83" s="2" t="n">
        <v>46245</v>
      </c>
      <c r="J83" t="inlineStr">
        <is>
          <t>Disetujui</t>
        </is>
      </c>
      <c r="K83" t="n">
        <v>60</v>
      </c>
      <c r="L83" t="inlineStr">
        <is>
          <t>11 Agustus 2026</t>
        </is>
      </c>
      <c r="M83" t="inlineStr">
        <is>
          <t>Konstruksi Gedung Lainnya</t>
        </is>
      </c>
      <c r="N83" t="inlineStr">
        <is>
          <t>K</t>
        </is>
      </c>
      <c r="O83" t="inlineStr">
        <is>
          <t>20230808</t>
        </is>
      </c>
      <c r="P83" t="inlineStr">
        <is>
          <t>Jawa Barat</t>
        </is>
      </c>
      <c r="Q83" t="inlineStr"/>
    </row>
    <row r="84">
      <c r="A84" t="inlineStr">
        <is>
          <t>PRAKASA PURBA</t>
        </is>
      </c>
      <c r="B84" t="inlineStr">
        <is>
          <t>Kab. Garut</t>
        </is>
      </c>
      <c r="C84" t="inlineStr">
        <is>
          <t>0</t>
        </is>
      </c>
      <c r="D84" t="inlineStr">
        <is>
          <t>prakasapurba@gmail.com</t>
        </is>
      </c>
      <c r="E84" t="inlineStr">
        <is>
          <t>https://lpjk.pu.go.id/search-badan-usaha-detail/Sk1JNVQ5YU9NNEdlemFwS2x3b1FQdz09</t>
        </is>
      </c>
      <c r="F84" t="n">
        <v>2</v>
      </c>
      <c r="G84" t="inlineStr">
        <is>
          <t>BG002, BG005</t>
        </is>
      </c>
      <c r="H84" t="inlineStr">
        <is>
          <t>31 Juli 2012</t>
        </is>
      </c>
      <c r="I84" s="2" t="n">
        <v>46245</v>
      </c>
      <c r="J84" t="inlineStr">
        <is>
          <t>Disetujui</t>
        </is>
      </c>
      <c r="K84" t="n">
        <v>60</v>
      </c>
      <c r="L84" t="inlineStr">
        <is>
          <t>11 Agustus 2026</t>
        </is>
      </c>
      <c r="M84" t="inlineStr">
        <is>
          <t>Konstruksi Gedung Kesehatan, Konstruksi Gedung Perkantoran</t>
        </is>
      </c>
      <c r="N84" t="inlineStr">
        <is>
          <t>K</t>
        </is>
      </c>
      <c r="O84" t="inlineStr">
        <is>
          <t>20230808</t>
        </is>
      </c>
      <c r="P84" t="inlineStr">
        <is>
          <t>Jawa Barat</t>
        </is>
      </c>
      <c r="Q84" t="inlineStr"/>
    </row>
    <row r="85">
      <c r="A85" t="inlineStr">
        <is>
          <t>PRATAMA JATI</t>
        </is>
      </c>
      <c r="B85" t="inlineStr">
        <is>
          <t>Kota Jambi</t>
        </is>
      </c>
      <c r="C85" t="inlineStr">
        <is>
          <t>0741444565</t>
        </is>
      </c>
      <c r="D85" t="inlineStr">
        <is>
          <t>pratamajatiok@yahoo.com</t>
        </is>
      </c>
      <c r="E85" t="inlineStr">
        <is>
          <t>https://lpjk.pu.go.id/search-badan-usaha-detail/MlNRYTFqd2MxUWtPTHRETHFrRklkZz09</t>
        </is>
      </c>
      <c r="F85" t="n">
        <v>3</v>
      </c>
      <c r="G85" t="inlineStr">
        <is>
          <t>BG001, BG002, BG009</t>
        </is>
      </c>
      <c r="H85" t="inlineStr">
        <is>
          <t>14 April 1994</t>
        </is>
      </c>
      <c r="I85" s="2" t="n">
        <v>46245</v>
      </c>
      <c r="J85" t="inlineStr">
        <is>
          <t>Disetujui</t>
        </is>
      </c>
      <c r="K85" t="n">
        <v>60</v>
      </c>
      <c r="L85" t="inlineStr">
        <is>
          <t>11 Agustus 2026</t>
        </is>
      </c>
      <c r="M85" t="inlineStr">
        <is>
          <t>Konstruksi Gedung Hunian, Konstruksi Gedung Lainnya, Konstruksi Gedung Perkantoran</t>
        </is>
      </c>
      <c r="N85" t="inlineStr">
        <is>
          <t>K</t>
        </is>
      </c>
      <c r="O85" t="inlineStr">
        <is>
          <t>20230810</t>
        </is>
      </c>
      <c r="P85" t="inlineStr">
        <is>
          <t>Jambi</t>
        </is>
      </c>
      <c r="Q85" t="inlineStr"/>
    </row>
    <row r="86">
      <c r="A86" t="inlineStr">
        <is>
          <t>PUTRA MAHKOTA ADYAKSA</t>
        </is>
      </c>
      <c r="B86" t="inlineStr">
        <is>
          <t>Kab. Luwu Utara</t>
        </is>
      </c>
      <c r="C86" t="inlineStr">
        <is>
          <t>085396177272</t>
        </is>
      </c>
      <c r="D86" t="inlineStr">
        <is>
          <t>mahkota_adyaksa@yahoo.com</t>
        </is>
      </c>
      <c r="E86" t="inlineStr">
        <is>
          <t>https://lpjk.pu.go.id/search-badan-usaha-detail/ZEVZaFQvcG5WREYvZ1F3T1RxQ3dZQT09</t>
        </is>
      </c>
      <c r="F86" t="n">
        <v>1</v>
      </c>
      <c r="G86" t="inlineStr">
        <is>
          <t>BS016</t>
        </is>
      </c>
      <c r="H86" t="inlineStr">
        <is>
          <t>11 Januari 2016</t>
        </is>
      </c>
      <c r="I86" s="2" t="n">
        <v>46245</v>
      </c>
      <c r="J86" t="inlineStr">
        <is>
          <t>Disetujui</t>
        </is>
      </c>
      <c r="K86" t="n">
        <v>60</v>
      </c>
      <c r="L86" t="inlineStr">
        <is>
          <t>11 Agustus 2026</t>
        </is>
      </c>
      <c r="M86" t="inlineStr">
        <is>
          <t>Konstruksi Bangunan Sipil Fasilitas Olah Raga</t>
        </is>
      </c>
      <c r="N86" t="inlineStr">
        <is>
          <t>K</t>
        </is>
      </c>
      <c r="O86" t="inlineStr">
        <is>
          <t>20230810</t>
        </is>
      </c>
      <c r="P86" t="inlineStr">
        <is>
          <t>Sulawesi Selatan</t>
        </is>
      </c>
      <c r="Q86" t="inlineStr"/>
    </row>
    <row r="87">
      <c r="A87" t="inlineStr">
        <is>
          <t>PUTRA PERDANA</t>
        </is>
      </c>
      <c r="B87" t="inlineStr">
        <is>
          <t>Kab. Purbalingga</t>
        </is>
      </c>
      <c r="C87" t="inlineStr">
        <is>
          <t>081327037333</t>
        </is>
      </c>
      <c r="D87" t="inlineStr">
        <is>
          <t>putra_perdana_cv70@yahoo.co.id</t>
        </is>
      </c>
      <c r="E87" t="inlineStr">
        <is>
          <t>https://lpjk.pu.go.id/search-badan-usaha-detail/WjVxY0N1anJ6eGFQRE42VEN6Q0xrdz09</t>
        </is>
      </c>
      <c r="F87" t="n">
        <v>3</v>
      </c>
      <c r="G87" t="inlineStr">
        <is>
          <t>BG005, BG006, BG009</t>
        </is>
      </c>
      <c r="H87" t="inlineStr">
        <is>
          <t>30 April 2008</t>
        </is>
      </c>
      <c r="I87" s="2" t="n">
        <v>46245</v>
      </c>
      <c r="J87" t="inlineStr">
        <is>
          <t>Disetujui</t>
        </is>
      </c>
      <c r="K87" t="n">
        <v>60</v>
      </c>
      <c r="L87" t="inlineStr">
        <is>
          <t>11 Agustus 2026</t>
        </is>
      </c>
      <c r="M87" t="inlineStr">
        <is>
          <t>Konstruksi Gedung Kesehatan, Konstruksi Gedung Lainnya, Konstruksi Gedung Pendidikan</t>
        </is>
      </c>
      <c r="N87" t="inlineStr">
        <is>
          <t>K</t>
        </is>
      </c>
      <c r="O87" t="inlineStr">
        <is>
          <t>20230810</t>
        </is>
      </c>
      <c r="P87" t="inlineStr">
        <is>
          <t>Jawa Tengah</t>
        </is>
      </c>
      <c r="Q87" t="inlineStr"/>
    </row>
    <row r="88">
      <c r="A88" t="inlineStr">
        <is>
          <t>RAFA MANDIRI GROUP</t>
        </is>
      </c>
      <c r="B88" t="inlineStr">
        <is>
          <t>Kab. Bengkalis</t>
        </is>
      </c>
      <c r="C88" t="inlineStr">
        <is>
          <t>082260343869</t>
        </is>
      </c>
      <c r="D88" t="inlineStr">
        <is>
          <t>cvrafamandiri79@gmail.com</t>
        </is>
      </c>
      <c r="E88" t="inlineStr">
        <is>
          <t>https://lpjk.pu.go.id/search-badan-usaha-detail/aVVPSFhyOGh0Q1J3YWZmbGlYV1RFQT09</t>
        </is>
      </c>
      <c r="F88" t="n">
        <v>1</v>
      </c>
      <c r="G88" t="inlineStr">
        <is>
          <t>BG006</t>
        </is>
      </c>
      <c r="H88" t="inlineStr">
        <is>
          <t>31 Januari 2017</t>
        </is>
      </c>
      <c r="I88" s="2" t="n">
        <v>46245</v>
      </c>
      <c r="J88" t="inlineStr">
        <is>
          <t>Disetujui</t>
        </is>
      </c>
      <c r="K88" t="n">
        <v>60</v>
      </c>
      <c r="L88" t="inlineStr">
        <is>
          <t>11 Agustus 2026</t>
        </is>
      </c>
      <c r="M88" t="inlineStr">
        <is>
          <t>Konstruksi Gedung Pendidikan</t>
        </is>
      </c>
      <c r="N88" t="inlineStr">
        <is>
          <t>K</t>
        </is>
      </c>
      <c r="O88" t="inlineStr">
        <is>
          <t>20230809</t>
        </is>
      </c>
      <c r="P88" t="inlineStr">
        <is>
          <t>Riau</t>
        </is>
      </c>
      <c r="Q88" t="inlineStr"/>
    </row>
    <row r="89">
      <c r="A89" t="inlineStr">
        <is>
          <t>RAFFY MANDIRI</t>
        </is>
      </c>
      <c r="B89" t="inlineStr">
        <is>
          <t>Kab. Kutai Timur</t>
        </is>
      </c>
      <c r="C89" t="inlineStr">
        <is>
          <t>081369856080</t>
        </is>
      </c>
      <c r="D89" t="inlineStr">
        <is>
          <t>raffymandiri789@gmail.com</t>
        </is>
      </c>
      <c r="E89" t="inlineStr">
        <is>
          <t>https://lpjk.pu.go.id/search-badan-usaha-detail/NXNxSFNJd2UwWVFnMkFZWExuRXkzZz09</t>
        </is>
      </c>
      <c r="F89" t="n">
        <v>1</v>
      </c>
      <c r="G89" t="inlineStr">
        <is>
          <t>BG009</t>
        </is>
      </c>
      <c r="H89" t="inlineStr">
        <is>
          <t>14 September 2011</t>
        </is>
      </c>
      <c r="I89" s="2" t="n">
        <v>46245</v>
      </c>
      <c r="J89" t="inlineStr">
        <is>
          <t>Pencabutan</t>
        </is>
      </c>
      <c r="K89" t="n">
        <v>60</v>
      </c>
      <c r="L89" t="inlineStr">
        <is>
          <t>11 Agustus 2026</t>
        </is>
      </c>
      <c r="M89" t="inlineStr">
        <is>
          <t>Konstruksi Gedung Lainnya</t>
        </is>
      </c>
      <c r="N89" t="inlineStr">
        <is>
          <t>K</t>
        </is>
      </c>
      <c r="O89" t="inlineStr">
        <is>
          <t>20230811</t>
        </is>
      </c>
      <c r="P89" t="inlineStr">
        <is>
          <t>Kalimantan Timur</t>
        </is>
      </c>
      <c r="Q89" t="inlineStr"/>
    </row>
    <row r="90">
      <c r="A90" t="inlineStr">
        <is>
          <t>RAHMAD</t>
        </is>
      </c>
      <c r="B90" t="inlineStr">
        <is>
          <t>Kab. Klaten</t>
        </is>
      </c>
      <c r="C90" t="inlineStr">
        <is>
          <t>082133277727</t>
        </is>
      </c>
      <c r="D90" t="inlineStr">
        <is>
          <t>rd.cvrahmad@gmail.com</t>
        </is>
      </c>
      <c r="E90" t="inlineStr">
        <is>
          <t>https://lpjk.pu.go.id/search-badan-usaha-detail/Zjl1MW9heFg4NlNIVXlSNXp1SXYxZz09</t>
        </is>
      </c>
      <c r="F90" t="n">
        <v>12</v>
      </c>
      <c r="G90" t="inlineStr">
        <is>
          <t>BG002, BG004, BG005, BG006, BG009, BS001</t>
        </is>
      </c>
      <c r="H90" t="inlineStr">
        <is>
          <t>2 Januari 1986</t>
        </is>
      </c>
      <c r="I90" s="2" t="n">
        <v>46245</v>
      </c>
      <c r="J90" t="inlineStr">
        <is>
          <t>Disetujui</t>
        </is>
      </c>
      <c r="K90" t="n">
        <v>60</v>
      </c>
      <c r="L90" t="inlineStr">
        <is>
          <t>11 Agustus 2026</t>
        </is>
      </c>
      <c r="M90" t="inlineStr">
        <is>
          <t>Konstruksi Bangunan Sipil Jalan, Konstruksi Gedung Kesehatan, Konstruksi Gedung Lainnya, Konstruksi Gedung Pendidikan, Konstruksi Gedung Perbelanjaan, Konstruksi Gedung Perkantoran</t>
        </is>
      </c>
      <c r="N90" t="inlineStr">
        <is>
          <t>K</t>
        </is>
      </c>
      <c r="O90" t="inlineStr">
        <is>
          <t>20230808</t>
        </is>
      </c>
      <c r="P90" t="inlineStr">
        <is>
          <t>Jawa Tengah</t>
        </is>
      </c>
      <c r="Q90" t="inlineStr"/>
    </row>
    <row r="91">
      <c r="A91" t="inlineStr">
        <is>
          <t>RAJAWALI PAPUA MANAMBAS</t>
        </is>
      </c>
      <c r="B91" t="inlineStr">
        <is>
          <t>Kab. Kepulauan Yapen</t>
        </is>
      </c>
      <c r="C91" t="inlineStr">
        <is>
          <t>081383749824</t>
        </is>
      </c>
      <c r="D91" t="inlineStr">
        <is>
          <t>jimmyken1973@gmail.com</t>
        </is>
      </c>
      <c r="E91" t="inlineStr">
        <is>
          <t>https://lpjk.pu.go.id/search-badan-usaha-detail/RlRGR1g4S3BoZGRKWFZya0ZhZ0NrZz09</t>
        </is>
      </c>
      <c r="F91" t="n">
        <v>2</v>
      </c>
      <c r="G91" t="inlineStr">
        <is>
          <t>BS005</t>
        </is>
      </c>
      <c r="H91" t="inlineStr">
        <is>
          <t>13 Juli 2023</t>
        </is>
      </c>
      <c r="I91" s="2" t="n">
        <v>46245</v>
      </c>
      <c r="J91" t="inlineStr">
        <is>
          <t>Pencabutan</t>
        </is>
      </c>
      <c r="K91" t="n">
        <v>60</v>
      </c>
      <c r="L91" t="inlineStr">
        <is>
          <t>11 Agustus 2026</t>
        </is>
      </c>
      <c r="M91" t="inlineStr">
        <is>
          <t>Konstruksi Bangunan Sipil Pengolahan Air Bersih</t>
        </is>
      </c>
      <c r="N91" t="inlineStr">
        <is>
          <t>K</t>
        </is>
      </c>
      <c r="O91" t="inlineStr">
        <is>
          <t>20230811</t>
        </is>
      </c>
      <c r="P91" t="inlineStr">
        <is>
          <t>Papua</t>
        </is>
      </c>
      <c r="Q91" t="inlineStr"/>
    </row>
    <row r="92">
      <c r="A92" t="inlineStr">
        <is>
          <t>RASHA PUTRA</t>
        </is>
      </c>
      <c r="B92" t="inlineStr">
        <is>
          <t>Kab. Garut</t>
        </is>
      </c>
      <c r="C92" t="inlineStr">
        <is>
          <t>02622400720</t>
        </is>
      </c>
      <c r="D92" t="inlineStr">
        <is>
          <t>cvrashaputra@yahoo.com</t>
        </is>
      </c>
      <c r="E92" t="inlineStr">
        <is>
          <t>https://lpjk.pu.go.id/search-badan-usaha-detail/SzhNd0d3WEN0SWFSYUlhdndsYzlqZz09</t>
        </is>
      </c>
      <c r="F92" t="n">
        <v>1</v>
      </c>
      <c r="G92" t="inlineStr">
        <is>
          <t>BG002</t>
        </is>
      </c>
      <c r="H92" t="inlineStr">
        <is>
          <t>30 April 1982</t>
        </is>
      </c>
      <c r="I92" s="2" t="n">
        <v>46245</v>
      </c>
      <c r="J92" t="inlineStr">
        <is>
          <t>Pencabutan</t>
        </is>
      </c>
      <c r="K92" t="n">
        <v>60</v>
      </c>
      <c r="L92" t="inlineStr">
        <is>
          <t>11 Agustus 2026</t>
        </is>
      </c>
      <c r="M92" t="inlineStr">
        <is>
          <t>Konstruksi Gedung Perkantoran</t>
        </is>
      </c>
      <c r="N92" t="inlineStr">
        <is>
          <t>K</t>
        </is>
      </c>
      <c r="O92" t="inlineStr">
        <is>
          <t>20230809</t>
        </is>
      </c>
      <c r="P92" t="inlineStr">
        <is>
          <t>Jawa Barat</t>
        </is>
      </c>
      <c r="Q92" t="inlineStr"/>
    </row>
    <row r="93">
      <c r="A93" t="inlineStr">
        <is>
          <t>RIEDA</t>
        </is>
      </c>
      <c r="B93" t="inlineStr">
        <is>
          <t>Kab. Cianjur</t>
        </is>
      </c>
      <c r="C93" t="inlineStr">
        <is>
          <t>087859265800</t>
        </is>
      </c>
      <c r="D93" t="inlineStr">
        <is>
          <t>cv.rieda@yahoo.com</t>
        </is>
      </c>
      <c r="E93" t="inlineStr">
        <is>
          <t>https://lpjk.pu.go.id/search-badan-usaha-detail/R1RvZTgyOHZBM3ZkZEVTZnBWbmVSQT09</t>
        </is>
      </c>
      <c r="F93" t="n">
        <v>1</v>
      </c>
      <c r="G93" t="inlineStr">
        <is>
          <t>BG009</t>
        </is>
      </c>
      <c r="H93" t="inlineStr">
        <is>
          <t>26 Januari 2001</t>
        </is>
      </c>
      <c r="I93" s="2" t="n">
        <v>46245</v>
      </c>
      <c r="J93" t="inlineStr">
        <is>
          <t>Pencabutan</t>
        </is>
      </c>
      <c r="K93" t="n">
        <v>60</v>
      </c>
      <c r="L93" t="inlineStr">
        <is>
          <t>11 Agustus 2026</t>
        </is>
      </c>
      <c r="M93" t="inlineStr">
        <is>
          <t>Konstruksi Gedung Lainnya</t>
        </is>
      </c>
      <c r="N93" t="inlineStr">
        <is>
          <t>K</t>
        </is>
      </c>
      <c r="O93" t="inlineStr">
        <is>
          <t>20230809</t>
        </is>
      </c>
      <c r="P93" t="inlineStr">
        <is>
          <t>Jawa Barat</t>
        </is>
      </c>
      <c r="Q93" t="inlineStr"/>
    </row>
    <row r="94">
      <c r="A94" t="inlineStr">
        <is>
          <t>RINDANG UTAMA</t>
        </is>
      </c>
      <c r="B94" t="inlineStr">
        <is>
          <t>Kota Bandung</t>
        </is>
      </c>
      <c r="C94" t="inlineStr">
        <is>
          <t>081910201751</t>
        </is>
      </c>
      <c r="D94" t="inlineStr">
        <is>
          <t>rindangutama@yahoo.com</t>
        </is>
      </c>
      <c r="E94" t="inlineStr">
        <is>
          <t>https://lpjk.pu.go.id/search-badan-usaha-detail/SlRmTDhISWNWTVptd2ltWGh3WWdXUT09</t>
        </is>
      </c>
      <c r="F94" t="n">
        <v>3</v>
      </c>
      <c r="G94" t="inlineStr">
        <is>
          <t>BG009, BS001, BS004</t>
        </is>
      </c>
      <c r="H94" t="inlineStr">
        <is>
          <t>19 Oktober 1990</t>
        </is>
      </c>
      <c r="I94" s="2" t="n">
        <v>46245</v>
      </c>
      <c r="J94" t="inlineStr">
        <is>
          <t>Disetujui</t>
        </is>
      </c>
      <c r="K94" t="n">
        <v>60</v>
      </c>
      <c r="L94" t="inlineStr">
        <is>
          <t>11 Agustus 2026</t>
        </is>
      </c>
      <c r="M94" t="inlineStr">
        <is>
          <t>Konstruksi Bangunan Sipil Jalan, Konstruksi Gedung Lainnya, Konstruksi Jaringan Irigasi dan Drainase</t>
        </is>
      </c>
      <c r="N94" t="inlineStr">
        <is>
          <t>K</t>
        </is>
      </c>
      <c r="O94" t="inlineStr">
        <is>
          <t>20230808, 20230809</t>
        </is>
      </c>
      <c r="P94" t="inlineStr">
        <is>
          <t>Jawa Barat</t>
        </is>
      </c>
      <c r="Q94" t="inlineStr"/>
    </row>
    <row r="95">
      <c r="A95" t="inlineStr">
        <is>
          <t>RIZKATU</t>
        </is>
      </c>
      <c r="B95" t="inlineStr">
        <is>
          <t>Kota Medan</t>
        </is>
      </c>
      <c r="C95" t="inlineStr">
        <is>
          <t>081362432773</t>
        </is>
      </c>
      <c r="D95" t="inlineStr">
        <is>
          <t>cvrizkatu1@gmail.com</t>
        </is>
      </c>
      <c r="E95" t="inlineStr">
        <is>
          <t>https://lpjk.pu.go.id/search-badan-usaha-detail/aWNHUjlNNFo4QnhpRnVwUm5WNUdGQT09</t>
        </is>
      </c>
      <c r="F95" t="n">
        <v>1</v>
      </c>
      <c r="G95" t="inlineStr">
        <is>
          <t>BG009</t>
        </is>
      </c>
      <c r="H95" t="inlineStr">
        <is>
          <t>22 Januari 2018</t>
        </is>
      </c>
      <c r="I95" s="2" t="n">
        <v>46245</v>
      </c>
      <c r="J95" t="inlineStr">
        <is>
          <t>Disetujui</t>
        </is>
      </c>
      <c r="K95" t="n">
        <v>60</v>
      </c>
      <c r="L95" t="inlineStr">
        <is>
          <t>11 Agustus 2026</t>
        </is>
      </c>
      <c r="M95" t="inlineStr">
        <is>
          <t>Konstruksi Gedung Lainnya</t>
        </is>
      </c>
      <c r="N95" t="inlineStr">
        <is>
          <t>K</t>
        </is>
      </c>
      <c r="O95" t="inlineStr">
        <is>
          <t>20230809</t>
        </is>
      </c>
      <c r="P95" t="inlineStr">
        <is>
          <t>Sumatera Utara</t>
        </is>
      </c>
      <c r="Q95" t="inlineStr"/>
    </row>
    <row r="96">
      <c r="A96" t="inlineStr">
        <is>
          <t>SANDI BUANA</t>
        </is>
      </c>
      <c r="B96" t="inlineStr">
        <is>
          <t>Kota Semarang</t>
        </is>
      </c>
      <c r="C96" t="inlineStr">
        <is>
          <t>08995392505</t>
        </is>
      </c>
      <c r="D96" t="inlineStr">
        <is>
          <t>sandibuanaindonesia@gmail.com</t>
        </is>
      </c>
      <c r="E96" t="inlineStr">
        <is>
          <t>https://lpjk.pu.go.id/search-badan-usaha-detail/akxrOEF1MTJNSGZBd0h6UVo0dk1PUT09</t>
        </is>
      </c>
      <c r="F96" t="n">
        <v>5</v>
      </c>
      <c r="G96" t="inlineStr">
        <is>
          <t>BG001, BG002, BG004, BG005, BG006</t>
        </is>
      </c>
      <c r="H96" t="inlineStr">
        <is>
          <t>13 Agustus 2019</t>
        </is>
      </c>
      <c r="I96" s="2" t="n">
        <v>46245</v>
      </c>
      <c r="J96" t="inlineStr">
        <is>
          <t>Pencabutan</t>
        </is>
      </c>
      <c r="K96" t="n">
        <v>60</v>
      </c>
      <c r="L96" t="inlineStr">
        <is>
          <t>11 Agustus 2026</t>
        </is>
      </c>
      <c r="M96" t="inlineStr">
        <is>
          <t>Konstruksi Gedung Hunian, Konstruksi Gedung Kesehatan, Konstruksi Gedung Pendidikan, Konstruksi Gedung Perbelanjaan, Konstruksi Gedung Perkantoran</t>
        </is>
      </c>
      <c r="N96" t="inlineStr">
        <is>
          <t>K</t>
        </is>
      </c>
      <c r="O96" t="inlineStr">
        <is>
          <t>20230810, 20230811</t>
        </is>
      </c>
      <c r="P96" t="inlineStr">
        <is>
          <t>Jawa Tengah</t>
        </is>
      </c>
      <c r="Q96" t="inlineStr"/>
    </row>
    <row r="97">
      <c r="A97" t="inlineStr">
        <is>
          <t>SARANA INDAH</t>
        </is>
      </c>
      <c r="B97" t="inlineStr">
        <is>
          <t>Kota Sukabumi</t>
        </is>
      </c>
      <c r="C97" t="inlineStr">
        <is>
          <t>0266221715</t>
        </is>
      </c>
      <c r="D97" t="inlineStr">
        <is>
          <t>cv_sarana_indah@yahoo.co.id</t>
        </is>
      </c>
      <c r="E97" t="inlineStr">
        <is>
          <t>https://lpjk.pu.go.id/search-badan-usaha-detail/VHR2d1BMYzBhOUlFZUd2V25CRjhCUT09</t>
        </is>
      </c>
      <c r="F97" t="n">
        <v>1</v>
      </c>
      <c r="G97" t="inlineStr">
        <is>
          <t>BS001</t>
        </is>
      </c>
      <c r="H97" t="inlineStr">
        <is>
          <t>20 September 1983</t>
        </is>
      </c>
      <c r="I97" s="2" t="n">
        <v>46245</v>
      </c>
      <c r="J97" t="inlineStr">
        <is>
          <t>Disetujui</t>
        </is>
      </c>
      <c r="K97" t="n">
        <v>60</v>
      </c>
      <c r="L97" t="inlineStr">
        <is>
          <t>11 Agustus 2026</t>
        </is>
      </c>
      <c r="M97" t="inlineStr">
        <is>
          <t>Konstruksi Bangunan Sipil Jalan</t>
        </is>
      </c>
      <c r="N97" t="inlineStr">
        <is>
          <t>K</t>
        </is>
      </c>
      <c r="O97" t="inlineStr">
        <is>
          <t>20230731</t>
        </is>
      </c>
      <c r="P97" t="inlineStr">
        <is>
          <t>Jawa Barat</t>
        </is>
      </c>
      <c r="Q97" t="inlineStr"/>
    </row>
    <row r="98">
      <c r="A98" t="inlineStr">
        <is>
          <t>SATRIA RAHAYU</t>
        </is>
      </c>
      <c r="B98" t="inlineStr">
        <is>
          <t>Kab. Ciamis</t>
        </is>
      </c>
      <c r="C98" t="inlineStr">
        <is>
          <t>081220580470</t>
        </is>
      </c>
      <c r="D98" t="inlineStr">
        <is>
          <t>cvsatriarahayu@yahoo.com</t>
        </is>
      </c>
      <c r="E98" t="inlineStr">
        <is>
          <t>https://lpjk.pu.go.id/search-badan-usaha-detail/ZnBSMHZnRVNrdEpSZm52Q1d1Q0p4UT09</t>
        </is>
      </c>
      <c r="F98" t="n">
        <v>1</v>
      </c>
      <c r="G98" t="inlineStr">
        <is>
          <t>BG006</t>
        </is>
      </c>
      <c r="H98" t="inlineStr">
        <is>
          <t>1 September 2016</t>
        </is>
      </c>
      <c r="I98" s="2" t="n">
        <v>46245</v>
      </c>
      <c r="J98" t="inlineStr">
        <is>
          <t>Disetujui</t>
        </is>
      </c>
      <c r="K98" t="n">
        <v>60</v>
      </c>
      <c r="L98" t="inlineStr">
        <is>
          <t>11 Agustus 2026</t>
        </is>
      </c>
      <c r="M98" t="inlineStr">
        <is>
          <t>Konstruksi Gedung Pendidikan</t>
        </is>
      </c>
      <c r="N98" t="inlineStr">
        <is>
          <t>K</t>
        </is>
      </c>
      <c r="O98" t="inlineStr">
        <is>
          <t>20230718</t>
        </is>
      </c>
      <c r="P98" t="inlineStr">
        <is>
          <t>Jawa Barat</t>
        </is>
      </c>
      <c r="Q98" t="inlineStr"/>
    </row>
    <row r="99">
      <c r="A99" t="inlineStr">
        <is>
          <t>SAVERO BANGUN MANDIRI</t>
        </is>
      </c>
      <c r="B99" t="inlineStr">
        <is>
          <t>Kab. Bandung</t>
        </is>
      </c>
      <c r="C99" t="inlineStr">
        <is>
          <t>02287529278</t>
        </is>
      </c>
      <c r="D99" t="inlineStr">
        <is>
          <t>saverobangunmandiri@gmail.com</t>
        </is>
      </c>
      <c r="E99" t="inlineStr">
        <is>
          <t>https://lpjk.pu.go.id/search-badan-usaha-detail/WXV4ckJOR25qU29HOEgvM2M2d1ovZz09</t>
        </is>
      </c>
      <c r="F99" t="n">
        <v>1</v>
      </c>
      <c r="G99" t="inlineStr">
        <is>
          <t>BG009</t>
        </is>
      </c>
      <c r="H99" t="inlineStr">
        <is>
          <t>28 Januari 2016</t>
        </is>
      </c>
      <c r="I99" s="2" t="n">
        <v>46245</v>
      </c>
      <c r="J99" t="inlineStr">
        <is>
          <t>Disetujui</t>
        </is>
      </c>
      <c r="K99" t="n">
        <v>60</v>
      </c>
      <c r="L99" t="inlineStr">
        <is>
          <t>11 Agustus 2026</t>
        </is>
      </c>
      <c r="M99" t="inlineStr">
        <is>
          <t>Konstruksi Gedung Lainnya</t>
        </is>
      </c>
      <c r="N99" t="inlineStr">
        <is>
          <t>K</t>
        </is>
      </c>
      <c r="O99" t="inlineStr">
        <is>
          <t>20230720</t>
        </is>
      </c>
      <c r="P99" t="inlineStr">
        <is>
          <t>Jawa Barat</t>
        </is>
      </c>
      <c r="Q99" t="inlineStr"/>
    </row>
    <row r="100">
      <c r="A100" t="inlineStr">
        <is>
          <t>SHANNON JAYA PERKASA</t>
        </is>
      </c>
      <c r="B100" t="inlineStr">
        <is>
          <t>Kab. Kutai Kartanegara</t>
        </is>
      </c>
      <c r="C100" t="inlineStr">
        <is>
          <t>085220700052</t>
        </is>
      </c>
      <c r="D100" t="inlineStr">
        <is>
          <t>sjp.tenggarong@gmail.com</t>
        </is>
      </c>
      <c r="E100" t="inlineStr">
        <is>
          <t>https://lpjk.pu.go.id/search-badan-usaha-detail/Z09kVkE5eTRJZnlpVkxIOGF4aGVwUT09</t>
        </is>
      </c>
      <c r="F100" t="n">
        <v>4</v>
      </c>
      <c r="G100" t="inlineStr">
        <is>
          <t>BG002, BG005, BG009, BS001</t>
        </is>
      </c>
      <c r="H100" t="inlineStr">
        <is>
          <t>1 November 2016</t>
        </is>
      </c>
      <c r="I100" s="2" t="n">
        <v>46245</v>
      </c>
      <c r="J100" t="inlineStr">
        <is>
          <t>Disetujui</t>
        </is>
      </c>
      <c r="K100" t="n">
        <v>60</v>
      </c>
      <c r="L100" t="inlineStr">
        <is>
          <t>11 Agustus 2026</t>
        </is>
      </c>
      <c r="M100" t="inlineStr">
        <is>
          <t>Konstruksi Bangunan Sipil Jalan, Konstruksi Gedung Kesehatan, Konstruksi Gedung Lainnya, Konstruksi Gedung Perkantoran</t>
        </is>
      </c>
      <c r="N100" t="inlineStr">
        <is>
          <t>K</t>
        </is>
      </c>
      <c r="O100" t="inlineStr">
        <is>
          <t>20230809, 20230811</t>
        </is>
      </c>
      <c r="P100" t="inlineStr">
        <is>
          <t>Kalimantan Timur</t>
        </is>
      </c>
      <c r="Q100" t="inlineStr"/>
    </row>
    <row r="101">
      <c r="A101" t="inlineStr">
        <is>
          <t>SINAR CENDERAWASIH</t>
        </is>
      </c>
      <c r="B101" t="inlineStr">
        <is>
          <t>Kab. Kepulauan Yapen</t>
        </is>
      </c>
      <c r="C101" t="inlineStr">
        <is>
          <t>081296760009</t>
        </is>
      </c>
      <c r="D101" t="inlineStr">
        <is>
          <t>sinarcendrawasih@gmail.com</t>
        </is>
      </c>
      <c r="E101" t="inlineStr">
        <is>
          <t>https://lpjk.pu.go.id/search-badan-usaha-detail/SGVkMkFoQjNDODlzYWcxQ3Y5dWVmZz09</t>
        </is>
      </c>
      <c r="F101" t="n">
        <v>1</v>
      </c>
      <c r="G101" t="inlineStr">
        <is>
          <t>BS005</t>
        </is>
      </c>
      <c r="H101" t="inlineStr">
        <is>
          <t>7 Maret 2023</t>
        </is>
      </c>
      <c r="I101" s="2" t="n">
        <v>46245</v>
      </c>
      <c r="J101" t="inlineStr">
        <is>
          <t>Disetujui</t>
        </is>
      </c>
      <c r="K101" t="n">
        <v>60</v>
      </c>
      <c r="L101" t="inlineStr">
        <is>
          <t>11 Agustus 2026</t>
        </is>
      </c>
      <c r="M101" t="inlineStr">
        <is>
          <t>Konstruksi Bangunan Sipil Pengolahan Air Bersih</t>
        </is>
      </c>
      <c r="N101" t="inlineStr">
        <is>
          <t>K</t>
        </is>
      </c>
      <c r="O101" t="inlineStr">
        <is>
          <t>20230812</t>
        </is>
      </c>
      <c r="P101" t="inlineStr">
        <is>
          <t>Papua</t>
        </is>
      </c>
      <c r="Q101" t="inlineStr"/>
    </row>
    <row r="102">
      <c r="A102" t="inlineStr">
        <is>
          <t>SINAR TERANG</t>
        </is>
      </c>
      <c r="B102" t="inlineStr">
        <is>
          <t>Kota Cimahi</t>
        </is>
      </c>
      <c r="C102" t="inlineStr">
        <is>
          <t>-</t>
        </is>
      </c>
      <c r="D102" t="inlineStr">
        <is>
          <t>sinar.terang.cimahi@gmail.com</t>
        </is>
      </c>
      <c r="E102" t="inlineStr">
        <is>
          <t>https://lpjk.pu.go.id/search-badan-usaha-detail/YzJMUDNGMHQzQVc4M1RuQ2IwRjN3Zz09</t>
        </is>
      </c>
      <c r="F102" t="n">
        <v>1</v>
      </c>
      <c r="G102" t="inlineStr">
        <is>
          <t>BG002</t>
        </is>
      </c>
      <c r="H102" t="inlineStr">
        <is>
          <t>12 Januari 2008</t>
        </is>
      </c>
      <c r="I102" s="2" t="n">
        <v>46245</v>
      </c>
      <c r="J102" t="inlineStr">
        <is>
          <t>Disetujui</t>
        </is>
      </c>
      <c r="K102" t="n">
        <v>60</v>
      </c>
      <c r="L102" t="inlineStr">
        <is>
          <t>11 Agustus 2026</t>
        </is>
      </c>
      <c r="M102" t="inlineStr">
        <is>
          <t>Konstruksi Gedung Perkantoran</t>
        </is>
      </c>
      <c r="N102" t="inlineStr">
        <is>
          <t>K</t>
        </is>
      </c>
      <c r="O102" t="inlineStr">
        <is>
          <t>20230811</t>
        </is>
      </c>
      <c r="P102" t="inlineStr">
        <is>
          <t>Jawa Barat</t>
        </is>
      </c>
      <c r="Q102" t="inlineStr"/>
    </row>
    <row r="103">
      <c r="A103" t="inlineStr">
        <is>
          <t>SURYA AGUNG NUGRAHA</t>
        </is>
      </c>
      <c r="B103" t="inlineStr">
        <is>
          <t>Kota Medan</t>
        </is>
      </c>
      <c r="C103" t="inlineStr">
        <is>
          <t>08116222280</t>
        </is>
      </c>
      <c r="D103" t="inlineStr">
        <is>
          <t>sankontraktor@gmail.com</t>
        </is>
      </c>
      <c r="E103" t="inlineStr">
        <is>
          <t>https://lpjk.pu.go.id/search-badan-usaha-detail/cGp3L2RMc2VHdUQ5ZVhsUW95Q0FVdz09</t>
        </is>
      </c>
      <c r="F103" t="n">
        <v>4</v>
      </c>
      <c r="G103" t="inlineStr">
        <is>
          <t>BG002, BG006, BG009, BS004</t>
        </is>
      </c>
      <c r="H103" t="inlineStr">
        <is>
          <t>17 Februari 2023</t>
        </is>
      </c>
      <c r="I103" s="2" t="n">
        <v>46245</v>
      </c>
      <c r="J103" t="inlineStr">
        <is>
          <t>Disetujui</t>
        </is>
      </c>
      <c r="K103" t="n">
        <v>60</v>
      </c>
      <c r="L103" t="inlineStr">
        <is>
          <t>11 Agustus 2026</t>
        </is>
      </c>
      <c r="M103" t="inlineStr">
        <is>
          <t>Konstruksi Gedung Lainnya, Konstruksi Gedung Pendidikan, Konstruksi Gedung Perkantoran, Konstruksi Jaringan Irigasi dan Drainase</t>
        </is>
      </c>
      <c r="N103" t="inlineStr">
        <is>
          <t>K</t>
        </is>
      </c>
      <c r="O103" t="inlineStr">
        <is>
          <t>20230810</t>
        </is>
      </c>
      <c r="P103" t="inlineStr">
        <is>
          <t>Sumatera Utara</t>
        </is>
      </c>
      <c r="Q103" t="inlineStr"/>
    </row>
    <row r="104">
      <c r="A104" t="inlineStr">
        <is>
          <t>TELADAN INDAH</t>
        </is>
      </c>
      <c r="B104" t="inlineStr">
        <is>
          <t>Kota Palembang</t>
        </is>
      </c>
      <c r="C104" t="inlineStr">
        <is>
          <t>0711377631</t>
        </is>
      </c>
      <c r="D104" t="inlineStr">
        <is>
          <t>teladanindahoss@gmail.com</t>
        </is>
      </c>
      <c r="E104" t="inlineStr">
        <is>
          <t>https://lpjk.pu.go.id/search-badan-usaha-detail/ejJscGV5MzBXRlJXTzIrL0ZVdkpkUT09</t>
        </is>
      </c>
      <c r="F104" t="n">
        <v>1</v>
      </c>
      <c r="G104" t="inlineStr">
        <is>
          <t>BS004</t>
        </is>
      </c>
      <c r="H104" t="inlineStr">
        <is>
          <t>3 September 2004</t>
        </is>
      </c>
      <c r="I104" s="2" t="n">
        <v>46245</v>
      </c>
      <c r="J104" t="inlineStr">
        <is>
          <t>Disetujui</t>
        </is>
      </c>
      <c r="K104" t="n">
        <v>60</v>
      </c>
      <c r="L104" t="inlineStr">
        <is>
          <t>11 Agustus 2026</t>
        </is>
      </c>
      <c r="M104" t="inlineStr">
        <is>
          <t>Konstruksi Jaringan Irigasi dan Drainase</t>
        </is>
      </c>
      <c r="N104" t="inlineStr">
        <is>
          <t>K</t>
        </is>
      </c>
      <c r="O104" t="inlineStr">
        <is>
          <t>20230811</t>
        </is>
      </c>
      <c r="P104" t="inlineStr">
        <is>
          <t>Sumatera Selatan</t>
        </is>
      </c>
      <c r="Q104" t="inlineStr"/>
    </row>
    <row r="105">
      <c r="A105" t="inlineStr">
        <is>
          <t>THANISSA CONTRACTORS</t>
        </is>
      </c>
      <c r="B105" t="inlineStr">
        <is>
          <t>Kab. Jember</t>
        </is>
      </c>
      <c r="C105" t="inlineStr">
        <is>
          <t>081333030933</t>
        </is>
      </c>
      <c r="D105" t="inlineStr">
        <is>
          <t>thanissacontractors@gmail.com</t>
        </is>
      </c>
      <c r="E105" t="inlineStr">
        <is>
          <t>https://lpjk.pu.go.id/search-badan-usaha-detail/aVBSYTJ0RHVMOWx6K1JxSFZlbEptUT09</t>
        </is>
      </c>
      <c r="F105" t="n">
        <v>3</v>
      </c>
      <c r="G105" t="inlineStr">
        <is>
          <t>BG004, BG005, BS004</t>
        </is>
      </c>
      <c r="H105" t="inlineStr">
        <is>
          <t>9 Oktober 2019</t>
        </is>
      </c>
      <c r="I105" s="2" t="n">
        <v>46245</v>
      </c>
      <c r="J105" t="inlineStr">
        <is>
          <t>Pencabutan</t>
        </is>
      </c>
      <c r="K105" t="n">
        <v>60</v>
      </c>
      <c r="L105" t="inlineStr">
        <is>
          <t>11 Agustus 2026</t>
        </is>
      </c>
      <c r="M105" t="inlineStr">
        <is>
          <t>Konstruksi Gedung Kesehatan, Konstruksi Gedung Perbelanjaan, Konstruksi Jaringan Irigasi dan Drainase</t>
        </is>
      </c>
      <c r="N105" t="inlineStr">
        <is>
          <t>K</t>
        </is>
      </c>
      <c r="O105" t="inlineStr">
        <is>
          <t>20230801, 20230808</t>
        </is>
      </c>
      <c r="P105" t="inlineStr">
        <is>
          <t>Jawa Timur</t>
        </is>
      </c>
      <c r="Q105" t="inlineStr"/>
    </row>
    <row r="106">
      <c r="A106" t="inlineStr">
        <is>
          <t>THREE CAHAYA ABADI</t>
        </is>
      </c>
      <c r="B106" t="inlineStr">
        <is>
          <t>Kota Kupang</t>
        </is>
      </c>
      <c r="C106" t="inlineStr">
        <is>
          <t>081239098472</t>
        </is>
      </c>
      <c r="D106" t="inlineStr">
        <is>
          <t>cvthreecahayaabadi@gmail.com</t>
        </is>
      </c>
      <c r="E106" t="inlineStr">
        <is>
          <t>https://lpjk.pu.go.id/search-badan-usaha-detail/QWN0TGhBRnNCZ1h4aDdsSjJubnVFZz09</t>
        </is>
      </c>
      <c r="F106" t="n">
        <v>1</v>
      </c>
      <c r="G106" t="inlineStr">
        <is>
          <t>BS001</t>
        </is>
      </c>
      <c r="H106" t="inlineStr">
        <is>
          <t>18 Oktober 2022</t>
        </is>
      </c>
      <c r="I106" s="2" t="n">
        <v>46245</v>
      </c>
      <c r="J106" t="inlineStr">
        <is>
          <t>Disetujui</t>
        </is>
      </c>
      <c r="K106" t="n">
        <v>60</v>
      </c>
      <c r="L106" t="inlineStr">
        <is>
          <t>11 Agustus 2026</t>
        </is>
      </c>
      <c r="M106" t="inlineStr">
        <is>
          <t>Konstruksi Bangunan Sipil Jalan</t>
        </is>
      </c>
      <c r="N106" t="inlineStr">
        <is>
          <t>K</t>
        </is>
      </c>
      <c r="O106" t="inlineStr">
        <is>
          <t>20230809</t>
        </is>
      </c>
      <c r="P106" t="inlineStr">
        <is>
          <t>Nusa Tenggara Timur</t>
        </is>
      </c>
      <c r="Q106" t="inlineStr"/>
    </row>
    <row r="107">
      <c r="A107" t="inlineStr">
        <is>
          <t>TIARA ABADI</t>
        </is>
      </c>
      <c r="B107" t="inlineStr">
        <is>
          <t>Kota Sukabumi</t>
        </is>
      </c>
      <c r="C107" t="inlineStr">
        <is>
          <t>43165</t>
        </is>
      </c>
      <c r="D107" t="inlineStr">
        <is>
          <t>cvtiarabadi@gmail.com</t>
        </is>
      </c>
      <c r="E107" t="inlineStr">
        <is>
          <t>https://lpjk.pu.go.id/search-badan-usaha-detail/STJOQTVxNWlrZDFTZ1BwZ2pkUHZwZz09</t>
        </is>
      </c>
      <c r="F107" t="n">
        <v>1</v>
      </c>
      <c r="G107" t="inlineStr">
        <is>
          <t>BS002</t>
        </is>
      </c>
      <c r="H107" t="inlineStr">
        <is>
          <t>13 Januari 2016</t>
        </is>
      </c>
      <c r="I107" s="2" t="n">
        <v>46245</v>
      </c>
      <c r="J107" t="inlineStr">
        <is>
          <t>Disetujui</t>
        </is>
      </c>
      <c r="K107" t="n">
        <v>60</v>
      </c>
      <c r="L107" t="inlineStr">
        <is>
          <t>11 Agustus 2026</t>
        </is>
      </c>
      <c r="M107" t="inlineStr">
        <is>
          <t>Bangunan Sipil Jembatan, Jalan Layang, Fly Over, dan Underpass</t>
        </is>
      </c>
      <c r="N107" t="inlineStr">
        <is>
          <t>K</t>
        </is>
      </c>
      <c r="O107" t="inlineStr">
        <is>
          <t>20230807</t>
        </is>
      </c>
      <c r="P107" t="inlineStr">
        <is>
          <t>Jawa Barat</t>
        </is>
      </c>
      <c r="Q107" t="inlineStr"/>
    </row>
    <row r="108">
      <c r="A108" t="inlineStr">
        <is>
          <t>TITIK BIDANG</t>
        </is>
      </c>
      <c r="B108" t="inlineStr">
        <is>
          <t>Kab. Jember</t>
        </is>
      </c>
      <c r="C108" t="inlineStr">
        <is>
          <t>082334955398</t>
        </is>
      </c>
      <c r="D108" t="inlineStr">
        <is>
          <t>titikbidang@gmail.com</t>
        </is>
      </c>
      <c r="E108" t="inlineStr">
        <is>
          <t>https://lpjk.pu.go.id/search-badan-usaha-detail/OWl1L0VaZzNYUU1XZTdpQ2RCWFpEQT09</t>
        </is>
      </c>
      <c r="F108" t="n">
        <v>2</v>
      </c>
      <c r="G108" t="inlineStr">
        <is>
          <t>BS001, BS006</t>
        </is>
      </c>
      <c r="H108" t="inlineStr">
        <is>
          <t>6 Juni 2023</t>
        </is>
      </c>
      <c r="I108" s="2" t="n">
        <v>46245</v>
      </c>
      <c r="J108" t="inlineStr">
        <is>
          <t>Disetujui</t>
        </is>
      </c>
      <c r="K108" t="n">
        <v>60</v>
      </c>
      <c r="L108" t="inlineStr">
        <is>
          <t>11 Agustus 2026</t>
        </is>
      </c>
      <c r="M108" t="inlineStr">
        <is>
          <t>Konstruksi Bangunan Sipil Jalan, Konstruksi Bangunan Sipil Prasarana dan Sarana Sistem Pengolahan Limbah Padat, Cair, dan Gas</t>
        </is>
      </c>
      <c r="N108" t="inlineStr">
        <is>
          <t>K</t>
        </is>
      </c>
      <c r="O108" t="inlineStr">
        <is>
          <t>20230809</t>
        </is>
      </c>
      <c r="P108" t="inlineStr">
        <is>
          <t>Jawa Timur</t>
        </is>
      </c>
      <c r="Q108" t="inlineStr"/>
    </row>
    <row r="109">
      <c r="A109" t="inlineStr">
        <is>
          <t>TRACON INDUSTRI</t>
        </is>
      </c>
      <c r="B109" t="inlineStr">
        <is>
          <t>Kota Adm. Jakarta Selatan</t>
        </is>
      </c>
      <c r="C109" t="inlineStr">
        <is>
          <t>0217974367</t>
        </is>
      </c>
      <c r="D109" t="inlineStr">
        <is>
          <t>cslia@tracon.rekayasa.co.id</t>
        </is>
      </c>
      <c r="E109" t="inlineStr">
        <is>
          <t>https://lpjk.pu.go.id/search-badan-usaha-detail/UklzUGJSanVIdjRJa0lVU2ZnWjRDUT09</t>
        </is>
      </c>
      <c r="F109" t="n">
        <v>1</v>
      </c>
      <c r="G109" t="inlineStr">
        <is>
          <t>IN001</t>
        </is>
      </c>
      <c r="H109" t="inlineStr">
        <is>
          <t>27 Agustus 2001</t>
        </is>
      </c>
      <c r="I109" s="2" t="n">
        <v>46245</v>
      </c>
      <c r="J109" t="inlineStr">
        <is>
          <t>Pencabutan</t>
        </is>
      </c>
      <c r="K109" t="n">
        <v>60</v>
      </c>
      <c r="L109" t="inlineStr">
        <is>
          <t>11 Agustus 2026</t>
        </is>
      </c>
      <c r="M109" t="inlineStr">
        <is>
          <t>Instalasi Mekanikal</t>
        </is>
      </c>
      <c r="N109" t="inlineStr">
        <is>
          <t>Spesialis</t>
        </is>
      </c>
      <c r="O109" t="inlineStr">
        <is>
          <t>20230811</t>
        </is>
      </c>
      <c r="P109" t="inlineStr">
        <is>
          <t>DKI Jakarta</t>
        </is>
      </c>
      <c r="Q109" t="inlineStr"/>
    </row>
    <row r="110">
      <c r="A110" t="inlineStr">
        <is>
          <t>TUNAS AGUNG PRADANA</t>
        </is>
      </c>
      <c r="B110" t="inlineStr">
        <is>
          <t>Kota Kupang</t>
        </is>
      </c>
      <c r="C110" t="inlineStr">
        <is>
          <t>081288208070</t>
        </is>
      </c>
      <c r="D110" t="inlineStr">
        <is>
          <t>cvtunasagungpradana@gmail.com</t>
        </is>
      </c>
      <c r="E110" t="inlineStr">
        <is>
          <t>https://lpjk.pu.go.id/search-badan-usaha-detail/a1QyaVNITkR4TFhBd0hCSVFaaEpCdz09</t>
        </is>
      </c>
      <c r="F110" t="n">
        <v>2</v>
      </c>
      <c r="G110" t="inlineStr">
        <is>
          <t>BG002, BG005</t>
        </is>
      </c>
      <c r="H110" t="inlineStr">
        <is>
          <t>10 Januari 2020</t>
        </is>
      </c>
      <c r="I110" s="2" t="n">
        <v>46245</v>
      </c>
      <c r="J110" t="inlineStr">
        <is>
          <t>Disetujui</t>
        </is>
      </c>
      <c r="K110" t="n">
        <v>60</v>
      </c>
      <c r="L110" t="inlineStr">
        <is>
          <t>11 Agustus 2026</t>
        </is>
      </c>
      <c r="M110" t="inlineStr">
        <is>
          <t>Konstruksi Gedung Kesehatan, Konstruksi Gedung Perkantoran</t>
        </is>
      </c>
      <c r="N110" t="inlineStr">
        <is>
          <t>K</t>
        </is>
      </c>
      <c r="O110" t="inlineStr">
        <is>
          <t>20230725, 20230726</t>
        </is>
      </c>
      <c r="P110" t="inlineStr">
        <is>
          <t>Nusa Tenggara Timur</t>
        </is>
      </c>
      <c r="Q110" t="inlineStr"/>
    </row>
    <row r="111">
      <c r="A111" t="inlineStr">
        <is>
          <t>ULFA BANGKIT JAYA</t>
        </is>
      </c>
      <c r="B111" t="inlineStr">
        <is>
          <t>Kab. Banyuwangi</t>
        </is>
      </c>
      <c r="C111" t="inlineStr">
        <is>
          <t>-</t>
        </is>
      </c>
      <c r="D111" t="inlineStr">
        <is>
          <t>ulvabangkitjayabwi@gmail.com</t>
        </is>
      </c>
      <c r="E111" t="inlineStr">
        <is>
          <t>https://lpjk.pu.go.id/search-badan-usaha-detail/SFc1Wk5LZHVNVVMwdGZSSVJLNFNEZz09</t>
        </is>
      </c>
      <c r="F111" t="n">
        <v>2</v>
      </c>
      <c r="G111" t="inlineStr">
        <is>
          <t>BS001, BS004</t>
        </is>
      </c>
      <c r="H111" t="inlineStr">
        <is>
          <t>19 November 2015</t>
        </is>
      </c>
      <c r="I111" s="2" t="n">
        <v>46245</v>
      </c>
      <c r="J111" t="inlineStr">
        <is>
          <t>Pencabutan</t>
        </is>
      </c>
      <c r="K111" t="n">
        <v>60</v>
      </c>
      <c r="L111" t="inlineStr">
        <is>
          <t>11 Agustus 2026</t>
        </is>
      </c>
      <c r="M111" t="inlineStr">
        <is>
          <t>Konstruksi Bangunan Sipil Jalan, Konstruksi Jaringan Irigasi dan Drainase</t>
        </is>
      </c>
      <c r="N111" t="inlineStr">
        <is>
          <t>K</t>
        </is>
      </c>
      <c r="O111" t="inlineStr">
        <is>
          <t>20230811</t>
        </is>
      </c>
      <c r="P111" t="inlineStr">
        <is>
          <t>Jawa Timur</t>
        </is>
      </c>
      <c r="Q111" t="inlineStr"/>
    </row>
    <row r="112">
      <c r="A112" t="inlineStr">
        <is>
          <t>VITRA PRATAMA GV</t>
        </is>
      </c>
      <c r="B112" t="inlineStr">
        <is>
          <t>Kab. Karawang</t>
        </is>
      </c>
      <c r="C112" t="inlineStr">
        <is>
          <t>08567392122</t>
        </is>
      </c>
      <c r="D112" t="inlineStr">
        <is>
          <t>vitrapratama15@gmail.com</t>
        </is>
      </c>
      <c r="E112" t="inlineStr">
        <is>
          <t>https://lpjk.pu.go.id/search-badan-usaha-detail/VFc1UWNheVdKWHBnOW5QSHhiQmhjUT09</t>
        </is>
      </c>
      <c r="F112" t="n">
        <v>5</v>
      </c>
      <c r="G112" t="inlineStr">
        <is>
          <t>BG005, BG006, BG009, BS001, BS004</t>
        </is>
      </c>
      <c r="H112" t="inlineStr">
        <is>
          <t>24 Maret 2015</t>
        </is>
      </c>
      <c r="I112" s="2" t="n">
        <v>46245</v>
      </c>
      <c r="J112" t="inlineStr">
        <is>
          <t>Pencabutan</t>
        </is>
      </c>
      <c r="K112" t="n">
        <v>60</v>
      </c>
      <c r="L112" t="inlineStr">
        <is>
          <t>11 Agustus 2026</t>
        </is>
      </c>
      <c r="M112" t="inlineStr">
        <is>
          <t>Konstruksi Bangunan Sipil Jalan, Konstruksi Gedung Kesehatan, Konstruksi Gedung Lainnya, Konstruksi Gedung Pendidikan, Konstruksi Jaringan Irigasi dan Drainase</t>
        </is>
      </c>
      <c r="N112" t="inlineStr">
        <is>
          <t>K</t>
        </is>
      </c>
      <c r="O112" t="inlineStr">
        <is>
          <t>20230807</t>
        </is>
      </c>
      <c r="P112" t="inlineStr">
        <is>
          <t>Jawa Barat</t>
        </is>
      </c>
      <c r="Q112" t="inlineStr"/>
    </row>
    <row r="113">
      <c r="A113" t="inlineStr">
        <is>
          <t>WAHYU GEMILANG</t>
        </is>
      </c>
      <c r="B113" t="inlineStr">
        <is>
          <t>Kota Bontang</t>
        </is>
      </c>
      <c r="C113" t="inlineStr">
        <is>
          <t>08115812731</t>
        </is>
      </c>
      <c r="D113" t="inlineStr">
        <is>
          <t>andra8228@gmail.com</t>
        </is>
      </c>
      <c r="E113" t="inlineStr">
        <is>
          <t>https://lpjk.pu.go.id/search-badan-usaha-detail/TWFibHc1SzBybEJreU50VERCdldWZz09</t>
        </is>
      </c>
      <c r="F113" t="n">
        <v>1</v>
      </c>
      <c r="G113" t="inlineStr">
        <is>
          <t>BS001</t>
        </is>
      </c>
      <c r="H113" t="inlineStr">
        <is>
          <t>4 Februari 2015</t>
        </is>
      </c>
      <c r="I113" s="2" t="n">
        <v>46245</v>
      </c>
      <c r="J113" t="inlineStr">
        <is>
          <t>Disetujui</t>
        </is>
      </c>
      <c r="K113" t="n">
        <v>60</v>
      </c>
      <c r="L113" t="inlineStr">
        <is>
          <t>11 Agustus 2026</t>
        </is>
      </c>
      <c r="M113" t="inlineStr">
        <is>
          <t>Konstruksi Bangunan Sipil Jalan</t>
        </is>
      </c>
      <c r="N113" t="inlineStr">
        <is>
          <t>K</t>
        </is>
      </c>
      <c r="O113" t="inlineStr">
        <is>
          <t>20230808</t>
        </is>
      </c>
      <c r="P113" t="inlineStr">
        <is>
          <t>Kalimantan Timur</t>
        </is>
      </c>
      <c r="Q113" t="inlineStr"/>
    </row>
    <row r="114">
      <c r="A114" t="inlineStr">
        <is>
          <t>WAHYU KAMULYAN</t>
        </is>
      </c>
      <c r="B114" t="inlineStr">
        <is>
          <t>Kab. Wonosobo</t>
        </is>
      </c>
      <c r="C114" t="inlineStr">
        <is>
          <t>085327224497</t>
        </is>
      </c>
      <c r="D114" t="inlineStr">
        <is>
          <t>wahyukamulyan01@gmail.com</t>
        </is>
      </c>
      <c r="E114" t="inlineStr">
        <is>
          <t>https://lpjk.pu.go.id/search-badan-usaha-detail/djJneHBUZlB2V2RyTVcwT014V3l5QT09</t>
        </is>
      </c>
      <c r="F114" t="n">
        <v>1</v>
      </c>
      <c r="G114" t="inlineStr">
        <is>
          <t>BG006</t>
        </is>
      </c>
      <c r="H114" t="inlineStr">
        <is>
          <t>1 April 2019</t>
        </is>
      </c>
      <c r="I114" s="2" t="n">
        <v>46245</v>
      </c>
      <c r="J114" t="inlineStr">
        <is>
          <t>Disetujui</t>
        </is>
      </c>
      <c r="K114" t="n">
        <v>60</v>
      </c>
      <c r="L114" t="inlineStr">
        <is>
          <t>11 Agustus 2026</t>
        </is>
      </c>
      <c r="M114" t="inlineStr">
        <is>
          <t>Konstruksi Gedung Pendidikan</t>
        </is>
      </c>
      <c r="N114" t="inlineStr">
        <is>
          <t>K</t>
        </is>
      </c>
      <c r="O114" t="inlineStr">
        <is>
          <t>20230807</t>
        </is>
      </c>
      <c r="P114" t="inlineStr">
        <is>
          <t>Jawa Tengah</t>
        </is>
      </c>
      <c r="Q114" t="inlineStr"/>
    </row>
    <row r="115">
      <c r="A115" t="inlineStr">
        <is>
          <t>YUKI KARYA PERSADA</t>
        </is>
      </c>
      <c r="B115" t="inlineStr">
        <is>
          <t>Kab. Cirebon</t>
        </is>
      </c>
      <c r="C115" t="inlineStr">
        <is>
          <t>082217667522</t>
        </is>
      </c>
      <c r="D115" t="inlineStr">
        <is>
          <t>cvyukikaryapersada@gmail.com</t>
        </is>
      </c>
      <c r="E115" t="inlineStr">
        <is>
          <t>https://lpjk.pu.go.id/search-badan-usaha-detail/bkVxelB5S3pVaVREM2RTOU9yRmo2dz09</t>
        </is>
      </c>
      <c r="F115" t="n">
        <v>1</v>
      </c>
      <c r="G115" t="inlineStr">
        <is>
          <t>BS004</t>
        </is>
      </c>
      <c r="H115" t="inlineStr">
        <is>
          <t>13 Juni 2023</t>
        </is>
      </c>
      <c r="I115" s="2" t="n">
        <v>46245</v>
      </c>
      <c r="J115" t="inlineStr">
        <is>
          <t>Disetujui</t>
        </is>
      </c>
      <c r="K115" t="n">
        <v>60</v>
      </c>
      <c r="L115" t="inlineStr">
        <is>
          <t>11 Agustus 2026</t>
        </is>
      </c>
      <c r="M115" t="inlineStr">
        <is>
          <t>Konstruksi Jaringan Irigasi dan Drainase</t>
        </is>
      </c>
      <c r="N115" t="inlineStr">
        <is>
          <t>K</t>
        </is>
      </c>
      <c r="O115" t="inlineStr">
        <is>
          <t>20230809</t>
        </is>
      </c>
      <c r="P115" t="inlineStr">
        <is>
          <t>Jawa Barat</t>
        </is>
      </c>
      <c r="Q115" t="inlineStr"/>
    </row>
    <row r="116">
      <c r="A116" t="inlineStr">
        <is>
          <t>ZAKI PERKASA CIPTA</t>
        </is>
      </c>
      <c r="B116" t="inlineStr">
        <is>
          <t>Kab. Kutai Kartanegara</t>
        </is>
      </c>
      <c r="C116" t="inlineStr">
        <is>
          <t>085253783553</t>
        </is>
      </c>
      <c r="D116" t="inlineStr">
        <is>
          <t>zakiperkasacipta45@gmail.com</t>
        </is>
      </c>
      <c r="E116" t="inlineStr">
        <is>
          <t>https://lpjk.pu.go.id/search-badan-usaha-detail/VzZFTmZ6VWpaNTFOMjk5MVhZMk9ydz09</t>
        </is>
      </c>
      <c r="F116" t="n">
        <v>2</v>
      </c>
      <c r="G116" t="inlineStr">
        <is>
          <t>BS001, BS004</t>
        </is>
      </c>
      <c r="H116" t="inlineStr">
        <is>
          <t>21 November 2019</t>
        </is>
      </c>
      <c r="I116" s="2" t="n">
        <v>46245</v>
      </c>
      <c r="J116" t="inlineStr">
        <is>
          <t>Disetujui</t>
        </is>
      </c>
      <c r="K116" t="n">
        <v>60</v>
      </c>
      <c r="L116" t="inlineStr">
        <is>
          <t>11 Agustus 2026</t>
        </is>
      </c>
      <c r="M116" t="inlineStr">
        <is>
          <t>Konstruksi Bangunan Sipil Jalan, Konstruksi Jaringan Irigasi dan Drainase</t>
        </is>
      </c>
      <c r="N116" t="inlineStr">
        <is>
          <t>K</t>
        </is>
      </c>
      <c r="O116" t="inlineStr">
        <is>
          <t>20230802, 20230807</t>
        </is>
      </c>
      <c r="P116" t="inlineStr">
        <is>
          <t>Kalimantan Timur</t>
        </is>
      </c>
      <c r="Q116" t="inlineStr"/>
    </row>
    <row r="117">
      <c r="A117" t="inlineStr">
        <is>
          <t>ZHAFIRA WIJAYA</t>
        </is>
      </c>
      <c r="B117" t="inlineStr">
        <is>
          <t>Kab. Majalengka</t>
        </is>
      </c>
      <c r="C117" t="inlineStr">
        <is>
          <t>085227771177</t>
        </is>
      </c>
      <c r="D117" t="inlineStr">
        <is>
          <t>cv.zhafira.majalengka@gmail.com</t>
        </is>
      </c>
      <c r="E117" t="inlineStr">
        <is>
          <t>https://lpjk.pu.go.id/search-badan-usaha-detail/K2NoUjBmQ1Q3OUJWb3cwRVhxUi84Zz09</t>
        </is>
      </c>
      <c r="F117" t="n">
        <v>1</v>
      </c>
      <c r="G117" t="inlineStr">
        <is>
          <t>BS004</t>
        </is>
      </c>
      <c r="H117" t="inlineStr">
        <is>
          <t>22 Januari 2018</t>
        </is>
      </c>
      <c r="I117" s="2" t="n">
        <v>46245</v>
      </c>
      <c r="J117" t="inlineStr">
        <is>
          <t>Disetujui</t>
        </is>
      </c>
      <c r="K117" t="n">
        <v>60</v>
      </c>
      <c r="L117" t="inlineStr">
        <is>
          <t>11 Agustus 2026</t>
        </is>
      </c>
      <c r="M117" t="inlineStr">
        <is>
          <t>Konstruksi Jaringan Irigasi dan Drainase</t>
        </is>
      </c>
      <c r="N117" t="inlineStr">
        <is>
          <t>K</t>
        </is>
      </c>
      <c r="O117" t="inlineStr">
        <is>
          <t>20230811</t>
        </is>
      </c>
      <c r="P117" t="inlineStr">
        <is>
          <t>Jawa Barat</t>
        </is>
      </c>
      <c r="Q1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1"/>
  <sheetViews>
    <sheetView workbookViewId="0">
      <selection activeCell="A1" sqref="A1"/>
    </sheetView>
  </sheetViews>
  <sheetFormatPr baseColWidth="8" defaultRowHeight="15"/>
  <cols>
    <col width="33" customWidth="1" min="1" max="1"/>
    <col width="30" customWidth="1" min="2" max="2"/>
    <col width="16" customWidth="1" min="3" max="3"/>
    <col width="43" customWidth="1" min="4" max="4"/>
    <col width="50" customWidth="1" min="5" max="5"/>
    <col width="18" customWidth="1" min="6" max="6"/>
    <col width="42" customWidth="1" min="7" max="7"/>
    <col width="20" customWidth="1" min="8" max="8"/>
    <col width="28" customWidth="1" min="9" max="9"/>
    <col width="23" customWidth="1" min="10" max="10"/>
    <col width="11" customWidth="1" min="11" max="11"/>
    <col width="17" customWidth="1" min="12" max="12"/>
    <col width="50" customWidth="1" min="13" max="13"/>
    <col width="13" customWidth="1" min="14" max="14"/>
    <col width="30" customWidth="1" min="15" max="15"/>
    <col width="27" customWidth="1" min="16" max="16"/>
    <col width="50" customWidth="1" min="17" max="17"/>
  </cols>
  <sheetData>
    <row r="1">
      <c r="A1" s="1" t="inlineStr">
        <is>
          <t>Nama Perusahaan</t>
        </is>
      </c>
      <c r="B1" s="1" t="inlineStr">
        <is>
          <t>Kabupaten/Kota</t>
        </is>
      </c>
      <c r="C1" s="1" t="inlineStr">
        <is>
          <t>Telepon</t>
        </is>
      </c>
      <c r="D1" s="1" t="inlineStr">
        <is>
          <t>Email</t>
        </is>
      </c>
      <c r="E1" s="1" t="inlineStr">
        <is>
          <t>Link</t>
        </is>
      </c>
      <c r="F1" s="1" t="inlineStr">
        <is>
          <t>Jumlah KBLI 2020</t>
        </is>
      </c>
      <c r="G1" s="1" t="inlineStr">
        <is>
          <t>Kode Subklasifikasi</t>
        </is>
      </c>
      <c r="H1" s="1" t="inlineStr">
        <is>
          <t>Tanggal Ditetapkan</t>
        </is>
      </c>
      <c r="I1" s="1" t="inlineStr">
        <is>
          <t>Tanggal Habis Masa Berlaku</t>
        </is>
      </c>
      <c r="J1" s="1" t="inlineStr">
        <is>
          <t>Status</t>
        </is>
      </c>
      <c r="K1" s="1" t="inlineStr">
        <is>
          <t>Sisa Hari</t>
        </is>
      </c>
      <c r="L1" s="1" t="inlineStr">
        <is>
          <t>Tanggal Expired</t>
        </is>
      </c>
      <c r="M1" s="1" t="inlineStr">
        <is>
          <t>Subklasifikasi</t>
        </is>
      </c>
      <c r="N1" s="1" t="inlineStr">
        <is>
          <t>Kualifikasi</t>
        </is>
      </c>
      <c r="O1" s="1" t="inlineStr">
        <is>
          <t>ID Subklasifikasi</t>
        </is>
      </c>
      <c r="P1" s="1" t="inlineStr">
        <is>
          <t>Provinsi</t>
        </is>
      </c>
      <c r="Q1" s="1" t="inlineStr">
        <is>
          <t>Link WhatsApp</t>
        </is>
      </c>
    </row>
    <row r="2">
      <c r="A2" t="inlineStr">
        <is>
          <t>ALMA KARYA SEJATI</t>
        </is>
      </c>
      <c r="B2" t="inlineStr">
        <is>
          <t>Kota Adm. Jakarta Timur</t>
        </is>
      </c>
      <c r="C2" t="inlineStr">
        <is>
          <t>02129622295</t>
        </is>
      </c>
      <c r="D2" t="inlineStr">
        <is>
          <t>almakaryas@yahoo.com</t>
        </is>
      </c>
      <c r="E2" t="inlineStr">
        <is>
          <t>https://lpjk.pu.go.id/search-badan-usaha-detail/SFpMUXlISmVvWERQZFdvaEpTVFdqZz09</t>
        </is>
      </c>
      <c r="F2" t="n">
        <v>4</v>
      </c>
      <c r="G2" t="inlineStr">
        <is>
          <t>BG002, BG005, BG006, BG009</t>
        </is>
      </c>
      <c r="H2" t="inlineStr">
        <is>
          <t>19 Januari 2010</t>
        </is>
      </c>
      <c r="I2" s="2" t="n">
        <v>46215</v>
      </c>
      <c r="J2" t="inlineStr">
        <is>
          <t>Disetujui</t>
        </is>
      </c>
      <c r="K2" t="n">
        <v>30</v>
      </c>
      <c r="L2" t="inlineStr">
        <is>
          <t>12 Juli 2026</t>
        </is>
      </c>
      <c r="M2" t="inlineStr">
        <is>
          <t>Konstruksi Gedung Kesehatan, Konstruksi Gedung Lainnya, Konstruksi Gedung Pendidikan, Konstruksi Gedung Perkantoran</t>
        </is>
      </c>
      <c r="N2" t="inlineStr">
        <is>
          <t>K</t>
        </is>
      </c>
      <c r="O2" t="inlineStr">
        <is>
          <t>20230627, 20230707</t>
        </is>
      </c>
      <c r="P2" t="inlineStr">
        <is>
          <t>DKI Jakarta</t>
        </is>
      </c>
      <c r="Q2" t="inlineStr"/>
    </row>
    <row r="3">
      <c r="A3" t="inlineStr">
        <is>
          <t>BAYU SURYA BAKTI KONSTRUKSI</t>
        </is>
      </c>
      <c r="B3" t="inlineStr">
        <is>
          <t>Kab. Bogor</t>
        </is>
      </c>
      <c r="C3" t="inlineStr">
        <is>
          <t>02129464249</t>
        </is>
      </c>
      <c r="D3" t="inlineStr">
        <is>
          <t>info@bsbkonstruksi.co.id</t>
        </is>
      </c>
      <c r="E3" t="inlineStr">
        <is>
          <t>https://lpjk.pu.go.id/search-badan-usaha-detail/Y2E3WGV1NDlEdHNvbDdrSVBnMStwUT09</t>
        </is>
      </c>
      <c r="F3" t="n">
        <v>1</v>
      </c>
      <c r="G3" t="inlineStr">
        <is>
          <t>BS005</t>
        </is>
      </c>
      <c r="H3" t="inlineStr">
        <is>
          <t>11 Maret 2014</t>
        </is>
      </c>
      <c r="I3" s="2" t="n">
        <v>46215</v>
      </c>
      <c r="J3" t="inlineStr">
        <is>
          <t>Disetujui</t>
        </is>
      </c>
      <c r="K3" t="n">
        <v>30</v>
      </c>
      <c r="L3" t="inlineStr">
        <is>
          <t>12 Juli 2026</t>
        </is>
      </c>
      <c r="M3" t="inlineStr">
        <is>
          <t>Konstruksi Bangunan Sipil Pengolahan Air Bersih</t>
        </is>
      </c>
      <c r="N3" t="inlineStr">
        <is>
          <t>M</t>
        </is>
      </c>
      <c r="O3" t="inlineStr">
        <is>
          <t>20230711</t>
        </is>
      </c>
      <c r="P3" t="inlineStr">
        <is>
          <t>Jawa Barat</t>
        </is>
      </c>
      <c r="Q3" t="inlineStr"/>
    </row>
    <row r="4">
      <c r="A4" t="inlineStr">
        <is>
          <t>BILQIS JAYA</t>
        </is>
      </c>
      <c r="B4" t="inlineStr">
        <is>
          <t>Kab. Bekasi</t>
        </is>
      </c>
      <c r="C4" t="inlineStr">
        <is>
          <t>082231368188</t>
        </is>
      </c>
      <c r="D4" t="inlineStr">
        <is>
          <t>bilqissakti68@gmail.com</t>
        </is>
      </c>
      <c r="E4" t="inlineStr">
        <is>
          <t>https://lpjk.pu.go.id/search-badan-usaha-detail/UDJGZDlmb29TZEhYVXIzSUQ2VWU1UT09</t>
        </is>
      </c>
      <c r="F4" t="n">
        <v>1</v>
      </c>
      <c r="G4" t="inlineStr">
        <is>
          <t>BG009</t>
        </is>
      </c>
      <c r="H4" t="inlineStr">
        <is>
          <t>28 Mei 2012</t>
        </is>
      </c>
      <c r="I4" s="2" t="n">
        <v>46215</v>
      </c>
      <c r="J4" t="inlineStr">
        <is>
          <t>Disetujui</t>
        </is>
      </c>
      <c r="K4" t="n">
        <v>30</v>
      </c>
      <c r="L4" t="inlineStr">
        <is>
          <t>12 Juli 2026</t>
        </is>
      </c>
      <c r="M4" t="inlineStr">
        <is>
          <t>Konstruksi Gedung Lainnya</t>
        </is>
      </c>
      <c r="N4" t="inlineStr">
        <is>
          <t>K</t>
        </is>
      </c>
      <c r="O4" t="inlineStr">
        <is>
          <t>20230705</t>
        </is>
      </c>
      <c r="P4" t="inlineStr">
        <is>
          <t>Jawa Barat</t>
        </is>
      </c>
      <c r="Q4" s="3">
        <f>HYPERLINK("https://wa.me/6282231368188?text=*[Pengingat Masa Berlaku SBU BILQIS JAYA]*%0A%0AYth. Pimpinan BILQIS JAYA,%0AMohon izin menginformasikan status SBU Anda:%0A%0A📄 SBU: BG009%0A📅 Expired: 12 Juli 2026 (30 Hari Lagi)%0A%0AKami tim PT. ESDEA Assistance Management siap men-support proses perpanjangan segera agar administrasi proyek tidak terhambat%0A%0AApakah boleh saya bantu siapkan estimasi biaya dan waktu pengerjaannya?.", "Hubungi")</f>
        <v/>
      </c>
    </row>
    <row r="5">
      <c r="A5" t="inlineStr">
        <is>
          <t>DINAMIKA PRATAMA</t>
        </is>
      </c>
      <c r="B5" t="inlineStr">
        <is>
          <t>Kota Adm. Jakarta Timur</t>
        </is>
      </c>
      <c r="C5" t="inlineStr">
        <is>
          <t>085159503788</t>
        </is>
      </c>
      <c r="D5" t="inlineStr">
        <is>
          <t>cvdinamikapratama@gmail.com</t>
        </is>
      </c>
      <c r="E5" t="inlineStr">
        <is>
          <t>https://lpjk.pu.go.id/search-badan-usaha-detail/akFrTkpydGZUQ3c1ZCs5di91ZUs2dz09</t>
        </is>
      </c>
      <c r="F5" t="n">
        <v>6</v>
      </c>
      <c r="G5" t="inlineStr">
        <is>
          <t>BG001, BG002</t>
        </is>
      </c>
      <c r="H5" t="inlineStr">
        <is>
          <t>13 Februari 2018</t>
        </is>
      </c>
      <c r="I5" s="2" t="n">
        <v>46215</v>
      </c>
      <c r="J5" t="inlineStr">
        <is>
          <t>Disetujui</t>
        </is>
      </c>
      <c r="K5" t="n">
        <v>30</v>
      </c>
      <c r="L5" t="inlineStr">
        <is>
          <t>12 Juli 2026</t>
        </is>
      </c>
      <c r="M5" t="inlineStr">
        <is>
          <t>Konstruksi Gedung Hunian, Konstruksi Gedung Perkantoran</t>
        </is>
      </c>
      <c r="N5" t="inlineStr">
        <is>
          <t>K</t>
        </is>
      </c>
      <c r="O5" t="inlineStr">
        <is>
          <t>20220306, 20230712</t>
        </is>
      </c>
      <c r="P5" t="inlineStr">
        <is>
          <t>DKI Jakarta</t>
        </is>
      </c>
      <c r="Q5" s="3">
        <f>HYPERLINK("https://wa.me/6285159503788?text=*[Pengingat Masa Berlaku SBU DINAMIKA PRATAMA]*%0A%0AYth. Pimpinan DINAMIKA PRATAMA,%0AMohon izin menginformasikan status SBU Anda:%0A%0A📄 SBU: BG001, BG002%0A📅 Expired: 12 Juli 2026 (30 Hari Lagi)%0A%0AKami tim PT. ESDEA Assistance Management siap men-support proses perpanjangan segera agar administrasi proyek tidak terhambat%0A%0AApakah boleh saya bantu siapkan estimasi biaya dan waktu pengerjaannya?.", "Hubungi")</f>
        <v/>
      </c>
    </row>
    <row r="6">
      <c r="A6" t="inlineStr">
        <is>
          <t>DUTA PUTRA GEMILANG</t>
        </is>
      </c>
      <c r="B6" t="inlineStr">
        <is>
          <t>Kota Bekasi</t>
        </is>
      </c>
      <c r="C6" t="inlineStr">
        <is>
          <t>087783359453</t>
        </is>
      </c>
      <c r="D6" t="inlineStr">
        <is>
          <t>dutaputragemilang@yahoo.co.id</t>
        </is>
      </c>
      <c r="E6" t="inlineStr">
        <is>
          <t>https://lpjk.pu.go.id/search-badan-usaha-detail/SjJtU1ZLaUsyUjdVYS8xQnpwcE5Tdz09</t>
        </is>
      </c>
      <c r="F6" t="n">
        <v>4</v>
      </c>
      <c r="G6" t="inlineStr">
        <is>
          <t>BG002, BG003, BG004, BG009</t>
        </is>
      </c>
      <c r="H6" t="inlineStr">
        <is>
          <t>16 Januari 2016</t>
        </is>
      </c>
      <c r="I6" s="2" t="n">
        <v>46215</v>
      </c>
      <c r="J6" t="inlineStr">
        <is>
          <t>Disetujui</t>
        </is>
      </c>
      <c r="K6" t="n">
        <v>30</v>
      </c>
      <c r="L6" t="inlineStr">
        <is>
          <t>12 Juli 2026</t>
        </is>
      </c>
      <c r="M6" t="inlineStr">
        <is>
          <t>Konstruksi Gedung Industri, Konstruksi Gedung Lainnya, Konstruksi Gedung Perbelanjaan, Konstruksi Gedung Perkantoran</t>
        </is>
      </c>
      <c r="N6" t="inlineStr">
        <is>
          <t>K</t>
        </is>
      </c>
      <c r="O6" t="inlineStr">
        <is>
          <t>20230711</t>
        </is>
      </c>
      <c r="P6" t="inlineStr">
        <is>
          <t>Jawa Barat</t>
        </is>
      </c>
      <c r="Q6" s="3">
        <f>HYPERLINK("https://wa.me/6287783359453?text=*[Pengingat Masa Berlaku SBU DUTA PUTRA GEMILANG]*%0A%0AYth. Pimpinan DUTA PUTRA GEMILANG,%0AMohon izin menginformasikan status SBU Anda:%0A%0A📄 SBU: BG002, BG003, BG004, BG009%0A📅 Expired: 12 Juli 2026 (30 Hari Lagi)%0A%0AKami tim PT. ESDEA Assistance Management siap men-support proses perpanjangan segera agar administrasi proyek tidak terhambat%0A%0AApakah boleh saya bantu siapkan estimasi biaya dan waktu pengerjaannya?.", "Hubungi")</f>
        <v/>
      </c>
    </row>
    <row r="7">
      <c r="A7" t="inlineStr">
        <is>
          <t>HANASTHA KARYA MANDIRI</t>
        </is>
      </c>
      <c r="B7" t="inlineStr">
        <is>
          <t>Kota Adm. Jakarta Timur</t>
        </is>
      </c>
      <c r="C7" t="inlineStr">
        <is>
          <t>082312706498</t>
        </is>
      </c>
      <c r="D7" t="inlineStr">
        <is>
          <t>hanastha2020@gmail.com</t>
        </is>
      </c>
      <c r="E7" t="inlineStr">
        <is>
          <t>https://lpjk.pu.go.id/search-badan-usaha-detail/SjAyZXJjTkUxek5kOEduQW95U2hjUT09</t>
        </is>
      </c>
      <c r="F7" t="n">
        <v>2</v>
      </c>
      <c r="G7" t="inlineStr">
        <is>
          <t>BG001</t>
        </is>
      </c>
      <c r="H7" t="inlineStr">
        <is>
          <t>19 Mei 2020</t>
        </is>
      </c>
      <c r="I7" s="2" t="n">
        <v>46215</v>
      </c>
      <c r="J7" t="inlineStr">
        <is>
          <t>Pencabutan</t>
        </is>
      </c>
      <c r="K7" t="n">
        <v>30</v>
      </c>
      <c r="L7" t="inlineStr">
        <is>
          <t>12 Juli 2026</t>
        </is>
      </c>
      <c r="M7" t="inlineStr">
        <is>
          <t>Konstruksi Gedung Hunian</t>
        </is>
      </c>
      <c r="N7" t="inlineStr">
        <is>
          <t>K</t>
        </is>
      </c>
      <c r="O7" t="inlineStr">
        <is>
          <t>20230706</t>
        </is>
      </c>
      <c r="P7" t="inlineStr">
        <is>
          <t>DKI Jakarta</t>
        </is>
      </c>
      <c r="Q7" s="3">
        <f>HYPERLINK("https://wa.me/6282312706498?text=*[Pengingat Masa Berlaku SBU HANASTHA KARYA MANDIRI]*%0A%0AYth. Pimpinan HANASTHA KARYA MANDIRI,%0AMohon izin menginformasikan status SBU Anda:%0A%0A📄 SBU: BG001%0A📅 Expired: 12 Juli 2026 (30 Hari Lagi)%0A%0AKami tim PT. ESDEA Assistance Management siap men-support proses perpanjangan segera agar administrasi proyek tidak terhambat%0A%0AApakah boleh saya bantu siapkan estimasi biaya dan waktu pengerjaannya?.", "Hubungi")</f>
        <v/>
      </c>
    </row>
    <row r="8">
      <c r="A8" t="inlineStr">
        <is>
          <t>KHARISMA TANJUNG SELARAS</t>
        </is>
      </c>
      <c r="B8" t="inlineStr">
        <is>
          <t>Kab. Bogor</t>
        </is>
      </c>
      <c r="C8" t="inlineStr">
        <is>
          <t>02517584760</t>
        </is>
      </c>
      <c r="D8" t="inlineStr">
        <is>
          <t>kharismatanjungselaras21@gmail.com</t>
        </is>
      </c>
      <c r="E8" t="inlineStr">
        <is>
          <t>https://lpjk.pu.go.id/search-badan-usaha-detail/MU8vaGdxNS9ZamVTU3NIWDN5MmZSQT09</t>
        </is>
      </c>
      <c r="F8" t="n">
        <v>8</v>
      </c>
      <c r="G8" t="inlineStr">
        <is>
          <t>BG006, BS001, BS002, BS004</t>
        </is>
      </c>
      <c r="H8" t="inlineStr">
        <is>
          <t>28 April 2014</t>
        </is>
      </c>
      <c r="I8" s="2" t="n">
        <v>46215</v>
      </c>
      <c r="J8" t="inlineStr">
        <is>
          <t>Disetujui</t>
        </is>
      </c>
      <c r="K8" t="n">
        <v>30</v>
      </c>
      <c r="L8" t="inlineStr">
        <is>
          <t>12 Juli 2026</t>
        </is>
      </c>
      <c r="M8" t="inlineStr">
        <is>
          <t>Bangunan Sipil Jembatan, Jalan Layang, Fly Over, dan Underpass, Konstruksi Bangunan Sipil Jalan, Konstruksi Gedung Pendidikan, Konstruksi Jaringan Irigasi dan Drainase</t>
        </is>
      </c>
      <c r="N8" t="inlineStr">
        <is>
          <t>K</t>
        </is>
      </c>
      <c r="O8" t="inlineStr">
        <is>
          <t>20230629</t>
        </is>
      </c>
      <c r="P8" t="inlineStr">
        <is>
          <t>Jawa Barat</t>
        </is>
      </c>
      <c r="Q8" s="3">
        <f>HYPERLINK("https://wa.me/622517584760?text=*[Pengingat Masa Berlaku SBU KHARISMA TANJUNG SELARAS]*%0A%0AYth. Pimpinan KHARISMA TANJUNG SELARAS,%0AMohon izin menginformasikan status SBU Anda:%0A%0A📄 SBU: BG006, BS001, BS002, BS004%0A📅 Expired: 12 Juli 2026 (30 Hari Lagi)%0A%0AKami tim PT. ESDEA Assistance Management siap men-support proses perpanjangan segera agar administrasi proyek tidak terhambat%0A%0AApakah boleh saya bantu siapkan estimasi biaya dan waktu pengerjaannya?.", "Hubungi")</f>
        <v/>
      </c>
    </row>
    <row r="9">
      <c r="A9" t="inlineStr">
        <is>
          <t>LIA PIJER ENERGI</t>
        </is>
      </c>
      <c r="B9" t="inlineStr">
        <is>
          <t>Kota Bekasi</t>
        </is>
      </c>
      <c r="C9" t="inlineStr">
        <is>
          <t>0218252202</t>
        </is>
      </c>
      <c r="D9" t="inlineStr">
        <is>
          <t>liapijerenergikontraktor@gmail.com</t>
        </is>
      </c>
      <c r="E9" t="inlineStr">
        <is>
          <t>https://lpjk.pu.go.id/search-badan-usaha-detail/ak1BazNNa3NyZ0VOQ0xjUnJsdTRhQT09</t>
        </is>
      </c>
      <c r="F9" t="n">
        <v>1</v>
      </c>
      <c r="G9" t="inlineStr">
        <is>
          <t>BG009</t>
        </is>
      </c>
      <c r="H9" t="inlineStr">
        <is>
          <t>1 April 2015</t>
        </is>
      </c>
      <c r="I9" s="2" t="n">
        <v>46215</v>
      </c>
      <c r="J9" t="inlineStr">
        <is>
          <t>Disetujui</t>
        </is>
      </c>
      <c r="K9" t="n">
        <v>30</v>
      </c>
      <c r="L9" t="inlineStr">
        <is>
          <t>12 Juli 2026</t>
        </is>
      </c>
      <c r="M9" t="inlineStr">
        <is>
          <t>Konstruksi Gedung Lainnya</t>
        </is>
      </c>
      <c r="N9" t="inlineStr">
        <is>
          <t>K</t>
        </is>
      </c>
      <c r="O9" t="inlineStr">
        <is>
          <t>20230711</t>
        </is>
      </c>
      <c r="P9" t="inlineStr">
        <is>
          <t>Jawa Barat</t>
        </is>
      </c>
      <c r="Q9" t="inlineStr"/>
    </row>
    <row r="10">
      <c r="A10" t="inlineStr">
        <is>
          <t>LIMATUJUHLIMADELAPAN MAJU MAPAN</t>
        </is>
      </c>
      <c r="B10" t="inlineStr">
        <is>
          <t>Kota Bekasi</t>
        </is>
      </c>
      <c r="C10" t="inlineStr">
        <is>
          <t>082116845055</t>
        </is>
      </c>
      <c r="D10" t="inlineStr">
        <is>
          <t>cv5758majaumapan@gmail.com</t>
        </is>
      </c>
      <c r="E10" t="inlineStr">
        <is>
          <t>https://lpjk.pu.go.id/search-badan-usaha-detail/WU5vV1BmVjk5dFc4Q2ZhaHlRQlpUQT09</t>
        </is>
      </c>
      <c r="F10" t="n">
        <v>2</v>
      </c>
      <c r="G10" t="inlineStr">
        <is>
          <t>BS001</t>
        </is>
      </c>
      <c r="H10" t="inlineStr">
        <is>
          <t>9 Januari 2019</t>
        </is>
      </c>
      <c r="I10" s="2" t="n">
        <v>46215</v>
      </c>
      <c r="J10" t="inlineStr">
        <is>
          <t>Pencabutan</t>
        </is>
      </c>
      <c r="K10" t="n">
        <v>30</v>
      </c>
      <c r="L10" t="inlineStr">
        <is>
          <t>12 Juli 2026</t>
        </is>
      </c>
      <c r="M10" t="inlineStr">
        <is>
          <t>Konstruksi Bangunan Sipil Jalan</t>
        </is>
      </c>
      <c r="N10" t="inlineStr">
        <is>
          <t>K</t>
        </is>
      </c>
      <c r="O10" t="inlineStr">
        <is>
          <t>20230711</t>
        </is>
      </c>
      <c r="P10" t="inlineStr">
        <is>
          <t>Jawa Barat</t>
        </is>
      </c>
      <c r="Q10" s="3">
        <f>HYPERLINK("https://wa.me/6282116845055?text=*[Pengingat Masa Berlaku SBU LIMATUJUHLIMADELAPAN MAJU MAPAN]*%0A%0AYth. Pimpinan LIMATUJUHLIMADELAPAN MAJU MAPAN,%0AMohon izin menginformasikan status SBU Anda:%0A%0A📄 SBU: BS001%0A📅 Expired: 12 Juli 2026 (30 Hari Lagi)%0A%0AKami tim PT. ESDEA Assistance Management siap men-support proses perpanjangan segera agar administrasi proyek tidak terhambat%0A%0AApakah boleh saya bantu siapkan estimasi biaya dan waktu pengerjaannya?.", "Hubungi")</f>
        <v/>
      </c>
    </row>
    <row r="11">
      <c r="A11" t="inlineStr">
        <is>
          <t>MAS PERSADA SAKTI</t>
        </is>
      </c>
      <c r="B11" t="inlineStr">
        <is>
          <t>Kota Adm. Jakarta Timur</t>
        </is>
      </c>
      <c r="C11" t="inlineStr">
        <is>
          <t>081319634946</t>
        </is>
      </c>
      <c r="D11" t="inlineStr">
        <is>
          <t>maspersadasakti44@gmail.com</t>
        </is>
      </c>
      <c r="E11" t="inlineStr">
        <is>
          <t>https://lpjk.pu.go.id/search-badan-usaha-detail/eGtJdHE5NG16RCt0SkgrbkVjNjBIdz09</t>
        </is>
      </c>
      <c r="F11" t="n">
        <v>3</v>
      </c>
      <c r="G11" t="inlineStr">
        <is>
          <t>BG002, BG006, BG009</t>
        </is>
      </c>
      <c r="H11" t="inlineStr">
        <is>
          <t>8 Maret 2019</t>
        </is>
      </c>
      <c r="I11" s="2" t="n">
        <v>46215</v>
      </c>
      <c r="J11" t="inlineStr">
        <is>
          <t>Disetujui</t>
        </is>
      </c>
      <c r="K11" t="n">
        <v>30</v>
      </c>
      <c r="L11" t="inlineStr">
        <is>
          <t>12 Juli 2026</t>
        </is>
      </c>
      <c r="M11" t="inlineStr">
        <is>
          <t>Konstruksi Gedung Lainnya, Konstruksi Gedung Pendidikan, Konstruksi Gedung Perkantoran</t>
        </is>
      </c>
      <c r="N11" t="inlineStr">
        <is>
          <t>K</t>
        </is>
      </c>
      <c r="O11" t="inlineStr">
        <is>
          <t>20230706</t>
        </is>
      </c>
      <c r="P11" t="inlineStr">
        <is>
          <t>DKI Jakarta</t>
        </is>
      </c>
      <c r="Q11" s="3">
        <f>HYPERLINK("https://wa.me/6281319634946?text=*[Pengingat Masa Berlaku SBU MAS PERSADA SAKTI]*%0A%0AYth. Pimpinan MAS PERSADA SAKTI,%0AMohon izin menginformasikan status SBU Anda:%0A%0A📄 SBU: BG002, BG006, BG009%0A📅 Expired: 12 Juli 2026 (30 Hari Lagi)%0A%0AKami tim PT. ESDEA Assistance Management siap men-support proses perpanjangan segera agar administrasi proyek tidak terhambat%0A%0AApakah boleh saya bantu siapkan estimasi biaya dan waktu pengerjaannya?.", "Hubungi")</f>
        <v/>
      </c>
    </row>
    <row r="12">
      <c r="A12" t="inlineStr">
        <is>
          <t>PANGKAL JAYA</t>
        </is>
      </c>
      <c r="B12" t="inlineStr">
        <is>
          <t>Kab. Bogor</t>
        </is>
      </c>
      <c r="C12" t="inlineStr">
        <is>
          <t>085777746193</t>
        </is>
      </c>
      <c r="D12" t="inlineStr">
        <is>
          <t>cv.pangkaljaya@yahoo.com</t>
        </is>
      </c>
      <c r="E12" t="inlineStr">
        <is>
          <t>https://lpjk.pu.go.id/search-badan-usaha-detail/V1prczZEeko2K3lYTnN5dWp1WDBVUT09</t>
        </is>
      </c>
      <c r="F12" t="n">
        <v>1</v>
      </c>
      <c r="G12" t="inlineStr">
        <is>
          <t>BS004</t>
        </is>
      </c>
      <c r="H12" t="inlineStr">
        <is>
          <t>10 Oktober 2016</t>
        </is>
      </c>
      <c r="I12" s="2" t="n">
        <v>46215</v>
      </c>
      <c r="J12" t="inlineStr">
        <is>
          <t>Disetujui</t>
        </is>
      </c>
      <c r="K12" t="n">
        <v>30</v>
      </c>
      <c r="L12" t="inlineStr">
        <is>
          <t>12 Juli 2026</t>
        </is>
      </c>
      <c r="M12" t="inlineStr">
        <is>
          <t>Konstruksi Jaringan Irigasi dan Drainase</t>
        </is>
      </c>
      <c r="N12" t="inlineStr">
        <is>
          <t>K</t>
        </is>
      </c>
      <c r="O12" t="inlineStr">
        <is>
          <t>20230622</t>
        </is>
      </c>
      <c r="P12" t="inlineStr">
        <is>
          <t>Jawa Barat</t>
        </is>
      </c>
      <c r="Q12" s="3">
        <f>HYPERLINK("https://wa.me/6285777746193?text=*[Pengingat Masa Berlaku SBU PANGKAL JAYA]*%0A%0AYth. Pimpinan PANGKAL JAYA,%0AMohon izin menginformasikan status SBU Anda:%0A%0A📄 SBU: BS004%0A📅 Expired: 12 Juli 2026 (30 Hari Lagi)%0A%0AKami tim PT. ESDEA Assistance Management siap men-support proses perpanjangan segera agar administrasi proyek tidak terhambat%0A%0AApakah boleh saya bantu siapkan estimasi biaya dan waktu pengerjaannya?.", "Hubungi")</f>
        <v/>
      </c>
    </row>
    <row r="13">
      <c r="A13" t="inlineStr">
        <is>
          <t>PRIMA KARYA</t>
        </is>
      </c>
      <c r="B13" t="inlineStr">
        <is>
          <t>Kab. Bogor</t>
        </is>
      </c>
      <c r="C13" t="inlineStr">
        <is>
          <t>081210840195</t>
        </is>
      </c>
      <c r="D13" t="inlineStr">
        <is>
          <t>primakarya81@yahoo.co.id</t>
        </is>
      </c>
      <c r="E13" t="inlineStr">
        <is>
          <t>https://lpjk.pu.go.id/search-badan-usaha-detail/SWZyeElZd0tRWU9tUzRTL3YwWEZMdz09</t>
        </is>
      </c>
      <c r="F13" t="n">
        <v>1</v>
      </c>
      <c r="G13" t="inlineStr">
        <is>
          <t>BS001</t>
        </is>
      </c>
      <c r="H13" t="inlineStr">
        <is>
          <t>22 Juni 2012</t>
        </is>
      </c>
      <c r="I13" s="2" t="n">
        <v>46215</v>
      </c>
      <c r="J13" t="inlineStr">
        <is>
          <t>Disetujui</t>
        </is>
      </c>
      <c r="K13" t="n">
        <v>30</v>
      </c>
      <c r="L13" t="inlineStr">
        <is>
          <t>12 Juli 2026</t>
        </is>
      </c>
      <c r="M13" t="inlineStr">
        <is>
          <t>Konstruksi Bangunan Sipil Jalan</t>
        </is>
      </c>
      <c r="N13" t="inlineStr">
        <is>
          <t>K</t>
        </is>
      </c>
      <c r="O13" t="inlineStr">
        <is>
          <t>20230711</t>
        </is>
      </c>
      <c r="P13" t="inlineStr">
        <is>
          <t>Jawa Barat</t>
        </is>
      </c>
      <c r="Q13" s="3">
        <f>HYPERLINK("https://wa.me/6281210840195?text=*[Pengingat Masa Berlaku SBU PRIMA KARYA]*%0A%0AYth. Pimpinan PRIMA KARYA,%0AMohon izin menginformasikan status SBU Anda:%0A%0A📄 SBU: BS001%0A📅 Expired: 12 Juli 2026 (30 Hari Lagi)%0A%0AKami tim PT. ESDEA Assistance Management siap men-support proses perpanjangan segera agar administrasi proyek tidak terhambat%0A%0AApakah boleh saya bantu siapkan estimasi biaya dan waktu pengerjaannya?.", "Hubungi")</f>
        <v/>
      </c>
    </row>
    <row r="14">
      <c r="A14" t="inlineStr">
        <is>
          <t>RAFINDO IRON STEEL</t>
        </is>
      </c>
      <c r="B14" t="inlineStr">
        <is>
          <t>Kab. Bekasi</t>
        </is>
      </c>
      <c r="C14" t="inlineStr">
        <is>
          <t>081219762963</t>
        </is>
      </c>
      <c r="D14" t="inlineStr">
        <is>
          <t>ironsteelptrafindo1@gmail.com</t>
        </is>
      </c>
      <c r="E14" t="inlineStr">
        <is>
          <t>https://lpjk.pu.go.id/search-badan-usaha-detail/RG5uLzhjNi9hQmVtS3pWQkg2Y0VGQT09</t>
        </is>
      </c>
      <c r="F14" t="n">
        <v>2</v>
      </c>
      <c r="G14" t="inlineStr">
        <is>
          <t>KK011</t>
        </is>
      </c>
      <c r="H14" t="inlineStr">
        <is>
          <t>23 September 2006</t>
        </is>
      </c>
      <c r="I14" s="2" t="n">
        <v>46215</v>
      </c>
      <c r="J14" t="inlineStr">
        <is>
          <t>Pembekuan</t>
        </is>
      </c>
      <c r="K14" t="n">
        <v>30</v>
      </c>
      <c r="L14" t="inlineStr">
        <is>
          <t>12 Juli 2026</t>
        </is>
      </c>
      <c r="M14" t="inlineStr">
        <is>
          <t>Pemasangan Rangka dan Atap/Roof Covering</t>
        </is>
      </c>
      <c r="N14" t="inlineStr">
        <is>
          <t>Spesialis</t>
        </is>
      </c>
      <c r="O14" t="inlineStr">
        <is>
          <t>20230711</t>
        </is>
      </c>
      <c r="P14" t="inlineStr">
        <is>
          <t>Jawa Barat</t>
        </is>
      </c>
      <c r="Q14" s="3">
        <f>HYPERLINK("https://wa.me/6281219762963?text=*[Pengingat Masa Berlaku SBU RAFINDO IRON STEEL]*%0A%0AYth. Pimpinan RAFINDO IRON STEEL,%0AMohon izin menginformasikan status SBU Anda:%0A%0A📄 SBU: KK011%0A📅 Expired: 12 Juli 2026 (30 Hari Lagi)%0A%0AKami tim PT. ESDEA Assistance Management siap men-support proses perpanjangan segera agar administrasi proyek tidak terhambat%0A%0AApakah boleh saya bantu siapkan estimasi biaya dan waktu pengerjaannya?.", "Hubungi")</f>
        <v/>
      </c>
    </row>
    <row r="15">
      <c r="A15" t="inlineStr">
        <is>
          <t>SIS GEMILANG</t>
        </is>
      </c>
      <c r="B15" t="inlineStr">
        <is>
          <t>Kab. Bogor</t>
        </is>
      </c>
      <c r="C15" t="inlineStr">
        <is>
          <t>081227761979</t>
        </is>
      </c>
      <c r="D15" t="inlineStr">
        <is>
          <t>sis_gemilangcv@yahoo.com</t>
        </is>
      </c>
      <c r="E15" t="inlineStr">
        <is>
          <t>https://lpjk.pu.go.id/search-badan-usaha-detail/QXpOK2dMcTlHVVVFSWQwbXhHd1YzUT09</t>
        </is>
      </c>
      <c r="F15" t="n">
        <v>3</v>
      </c>
      <c r="G15" t="inlineStr">
        <is>
          <t>BG005, BG009, BS005</t>
        </is>
      </c>
      <c r="H15" t="inlineStr">
        <is>
          <t>10 Januari 2013</t>
        </is>
      </c>
      <c r="I15" s="2" t="n">
        <v>46215</v>
      </c>
      <c r="J15" t="inlineStr">
        <is>
          <t>Disetujui</t>
        </is>
      </c>
      <c r="K15" t="n">
        <v>30</v>
      </c>
      <c r="L15" t="inlineStr">
        <is>
          <t>12 Juli 2026</t>
        </is>
      </c>
      <c r="M15" t="inlineStr">
        <is>
          <t>Konstruksi Bangunan Sipil Pengolahan Air Bersih, Konstruksi Gedung Kesehatan, Konstruksi Gedung Lainnya</t>
        </is>
      </c>
      <c r="N15" t="inlineStr">
        <is>
          <t>K</t>
        </is>
      </c>
      <c r="O15" t="inlineStr">
        <is>
          <t>20230708, 20230712</t>
        </is>
      </c>
      <c r="P15" t="inlineStr">
        <is>
          <t>Jawa Barat</t>
        </is>
      </c>
      <c r="Q15" s="3">
        <f>HYPERLINK("https://wa.me/6281227761979?text=*[Pengingat Masa Berlaku SBU SIS GEMILANG]*%0A%0AYth. Pimpinan SIS GEMILANG,%0AMohon izin menginformasikan status SBU Anda:%0A%0A📄 SBU: BG005, BG009, BS005%0A📅 Expired: 12 Juli 2026 (30 Hari Lagi)%0A%0AKami tim PT. ESDEA Assistance Management siap men-support proses perpanjangan segera agar administrasi proyek tidak terhambat%0A%0AApakah boleh saya bantu siapkan estimasi biaya dan waktu pengerjaannya?.", "Hubungi")</f>
        <v/>
      </c>
    </row>
    <row r="16">
      <c r="A16" t="inlineStr">
        <is>
          <t>SUMBER KAYA STRUKTUR BAJA</t>
        </is>
      </c>
      <c r="B16" t="inlineStr">
        <is>
          <t>Kab. Bekasi</t>
        </is>
      </c>
      <c r="C16" t="inlineStr">
        <is>
          <t>0218997770</t>
        </is>
      </c>
      <c r="D16" t="inlineStr">
        <is>
          <t>strukturbaja@gmail.com</t>
        </is>
      </c>
      <c r="E16" t="inlineStr">
        <is>
          <t>https://lpjk.pu.go.id/search-badan-usaha-detail/Z1djaXFsTGd4OHJ1MEVseTExd3ZNQT09</t>
        </is>
      </c>
      <c r="F16" t="n">
        <v>1</v>
      </c>
      <c r="G16" t="inlineStr">
        <is>
          <t>BG003</t>
        </is>
      </c>
      <c r="H16" t="inlineStr">
        <is>
          <t>9 Februari 2012</t>
        </is>
      </c>
      <c r="I16" s="2" t="n">
        <v>46215</v>
      </c>
      <c r="J16" t="inlineStr">
        <is>
          <t>Disetujui</t>
        </is>
      </c>
      <c r="K16" t="n">
        <v>30</v>
      </c>
      <c r="L16" t="inlineStr">
        <is>
          <t>12 Juli 2026</t>
        </is>
      </c>
      <c r="M16" t="inlineStr">
        <is>
          <t>Konstruksi Gedung Industri</t>
        </is>
      </c>
      <c r="N16" t="inlineStr">
        <is>
          <t>M</t>
        </is>
      </c>
      <c r="O16" t="inlineStr">
        <is>
          <t>20230627</t>
        </is>
      </c>
      <c r="P16" t="inlineStr">
        <is>
          <t>Jawa Barat</t>
        </is>
      </c>
      <c r="Q16" t="inlineStr"/>
    </row>
    <row r="17">
      <c r="A17" t="inlineStr">
        <is>
          <t>TOTAL KONSTRUKSI INDONESIA</t>
        </is>
      </c>
      <c r="B17" t="inlineStr">
        <is>
          <t>Kota Bekasi</t>
        </is>
      </c>
      <c r="C17" t="inlineStr">
        <is>
          <t>02185504017</t>
        </is>
      </c>
      <c r="D17" t="inlineStr">
        <is>
          <t>admin@totalkonstruksi.com</t>
        </is>
      </c>
      <c r="E17" t="inlineStr">
        <is>
          <t>https://lpjk.pu.go.id/search-badan-usaha-detail/MUhoa1pYM1hkSk1WblY4NUxBSGhaQT09</t>
        </is>
      </c>
      <c r="F17" t="n">
        <v>1</v>
      </c>
      <c r="G17" t="inlineStr">
        <is>
          <t>BG009</t>
        </is>
      </c>
      <c r="H17" t="inlineStr">
        <is>
          <t>20 Juni 2022</t>
        </is>
      </c>
      <c r="I17" s="2" t="n">
        <v>46215</v>
      </c>
      <c r="J17" t="inlineStr">
        <is>
          <t>Disetujui</t>
        </is>
      </c>
      <c r="K17" t="n">
        <v>30</v>
      </c>
      <c r="L17" t="inlineStr">
        <is>
          <t>12 Juli 2026</t>
        </is>
      </c>
      <c r="M17" t="inlineStr">
        <is>
          <t>Konstruksi Gedung Lainnya</t>
        </is>
      </c>
      <c r="N17" t="inlineStr">
        <is>
          <t>K</t>
        </is>
      </c>
      <c r="O17" t="inlineStr">
        <is>
          <t>20230707</t>
        </is>
      </c>
      <c r="P17" t="inlineStr">
        <is>
          <t>Jawa Barat</t>
        </is>
      </c>
      <c r="Q17" t="inlineStr"/>
    </row>
    <row r="18">
      <c r="A18" t="inlineStr">
        <is>
          <t>TRI PUTRA MARANGGI</t>
        </is>
      </c>
      <c r="B18" t="inlineStr">
        <is>
          <t>Kab. Bekasi</t>
        </is>
      </c>
      <c r="C18" t="inlineStr">
        <is>
          <t>02188366934</t>
        </is>
      </c>
      <c r="D18" t="inlineStr">
        <is>
          <t>triputramaranggi@gmail.com</t>
        </is>
      </c>
      <c r="E18" t="inlineStr">
        <is>
          <t>https://lpjk.pu.go.id/search-badan-usaha-detail/K1FweEpLOGoybjlaWXhwR3dibjlhZz09</t>
        </is>
      </c>
      <c r="F18" t="n">
        <v>3</v>
      </c>
      <c r="G18" t="inlineStr">
        <is>
          <t>BG005, BG006, BG009</t>
        </is>
      </c>
      <c r="H18" t="inlineStr">
        <is>
          <t>12 April 2012</t>
        </is>
      </c>
      <c r="I18" s="2" t="n">
        <v>46215</v>
      </c>
      <c r="J18" t="inlineStr">
        <is>
          <t>Disetujui</t>
        </is>
      </c>
      <c r="K18" t="n">
        <v>30</v>
      </c>
      <c r="L18" t="inlineStr">
        <is>
          <t>12 Juli 2026</t>
        </is>
      </c>
      <c r="M18" t="inlineStr">
        <is>
          <t>Konstruksi Gedung Kesehatan, Konstruksi Gedung Lainnya, Konstruksi Gedung Pendidikan</t>
        </is>
      </c>
      <c r="N18" t="inlineStr">
        <is>
          <t>K</t>
        </is>
      </c>
      <c r="O18" t="inlineStr">
        <is>
          <t>20230711</t>
        </is>
      </c>
      <c r="P18" t="inlineStr">
        <is>
          <t>Jawa Barat</t>
        </is>
      </c>
      <c r="Q18" t="inlineStr"/>
    </row>
    <row r="19">
      <c r="A19" t="inlineStr">
        <is>
          <t>WINDU AGUNG JAYA</t>
        </is>
      </c>
      <c r="B19" t="inlineStr">
        <is>
          <t>Kota Depok</t>
        </is>
      </c>
      <c r="C19" t="inlineStr">
        <is>
          <t>081219862391</t>
        </is>
      </c>
      <c r="D19" t="inlineStr">
        <is>
          <t>winduagungjaya0112@gmail.com</t>
        </is>
      </c>
      <c r="E19" t="inlineStr">
        <is>
          <t>https://lpjk.pu.go.id/search-badan-usaha-detail/cC9pVThFNUVpbng1dkg2akxnTFRhQT09</t>
        </is>
      </c>
      <c r="F19" t="n">
        <v>1</v>
      </c>
      <c r="G19" t="inlineStr">
        <is>
          <t>BS004</t>
        </is>
      </c>
      <c r="H19" t="inlineStr">
        <is>
          <t>30 November 2020</t>
        </is>
      </c>
      <c r="I19" s="2" t="n">
        <v>46215</v>
      </c>
      <c r="J19" t="inlineStr">
        <is>
          <t>Pencabutan</t>
        </is>
      </c>
      <c r="K19" t="n">
        <v>30</v>
      </c>
      <c r="L19" t="inlineStr">
        <is>
          <t>12 Juli 2026</t>
        </is>
      </c>
      <c r="M19" t="inlineStr">
        <is>
          <t>Konstruksi Jaringan Irigasi dan Drainase</t>
        </is>
      </c>
      <c r="N19" t="inlineStr">
        <is>
          <t>K</t>
        </is>
      </c>
      <c r="O19" t="inlineStr">
        <is>
          <t>20230709</t>
        </is>
      </c>
      <c r="P19" t="inlineStr">
        <is>
          <t>Jawa Barat</t>
        </is>
      </c>
      <c r="Q19" s="3">
        <f>HYPERLINK("https://wa.me/6281219862391?text=*[Pengingat Masa Berlaku SBU WINDU AGUNG JAYA]*%0A%0AYth. Pimpinan WINDU AGUNG JAYA,%0AMohon izin menginformasikan status SBU Anda:%0A%0A📄 SBU: BS004%0A📅 Expired: 12 Juli 2026 (30 Hari Lagi)%0A%0AKami tim PT. ESDEA Assistance Management siap men-support proses perpanjangan segera agar administrasi proyek tidak terhambat%0A%0AApakah boleh saya bantu siapkan estimasi biaya dan waktu pengerjaannya?.", "Hubungi")</f>
        <v/>
      </c>
    </row>
    <row r="20">
      <c r="A20" t="inlineStr">
        <is>
          <t>ABDI BERDIKARI</t>
        </is>
      </c>
      <c r="B20" t="inlineStr">
        <is>
          <t>Kab. Banyuwangi</t>
        </is>
      </c>
      <c r="C20" t="inlineStr">
        <is>
          <t>081333562977</t>
        </is>
      </c>
      <c r="D20" t="inlineStr">
        <is>
          <t>abdiberdikari.cv@gmail.com</t>
        </is>
      </c>
      <c r="E20" t="inlineStr">
        <is>
          <t>https://lpjk.pu.go.id/search-badan-usaha-detail/UU5wU2s5VUFLcng0cDQrM25nNG5nZz09</t>
        </is>
      </c>
      <c r="F20" t="n">
        <v>2</v>
      </c>
      <c r="G20" t="inlineStr">
        <is>
          <t>BG006, BG009</t>
        </is>
      </c>
      <c r="H20" t="inlineStr">
        <is>
          <t>8 Februari 2019</t>
        </is>
      </c>
      <c r="I20" s="2" t="n">
        <v>46215</v>
      </c>
      <c r="J20" t="inlineStr">
        <is>
          <t>Disetujui</t>
        </is>
      </c>
      <c r="K20" t="n">
        <v>30</v>
      </c>
      <c r="L20" t="inlineStr">
        <is>
          <t>12 Juli 2026</t>
        </is>
      </c>
      <c r="M20" t="inlineStr">
        <is>
          <t>Konstruksi Gedung Lainnya, Konstruksi Gedung Pendidikan</t>
        </is>
      </c>
      <c r="N20" t="inlineStr">
        <is>
          <t>K</t>
        </is>
      </c>
      <c r="O20" t="inlineStr">
        <is>
          <t>20230712</t>
        </is>
      </c>
      <c r="P20" t="inlineStr">
        <is>
          <t>Jawa Timur</t>
        </is>
      </c>
      <c r="Q20" t="inlineStr"/>
    </row>
    <row r="21">
      <c r="A21" t="inlineStr">
        <is>
          <t>ABDI PUTRA SAGARA</t>
        </is>
      </c>
      <c r="B21" t="inlineStr">
        <is>
          <t>Kota Bandung</t>
        </is>
      </c>
      <c r="C21" t="inlineStr">
        <is>
          <t>081312246666</t>
        </is>
      </c>
      <c r="D21" t="inlineStr">
        <is>
          <t>abdiputrasagara@gmail.com</t>
        </is>
      </c>
      <c r="E21" t="inlineStr">
        <is>
          <t>https://lpjk.pu.go.id/search-badan-usaha-detail/YmsrNkVFMExUUWtzZU1YUk5ObEordz09</t>
        </is>
      </c>
      <c r="F21" t="n">
        <v>1</v>
      </c>
      <c r="G21" t="inlineStr">
        <is>
          <t>BG002</t>
        </is>
      </c>
      <c r="H21" t="inlineStr">
        <is>
          <t>3 Januari 2022</t>
        </is>
      </c>
      <c r="I21" s="2" t="n">
        <v>46215</v>
      </c>
      <c r="J21" t="inlineStr">
        <is>
          <t>Disetujui</t>
        </is>
      </c>
      <c r="K21" t="n">
        <v>30</v>
      </c>
      <c r="L21" t="inlineStr">
        <is>
          <t>12 Juli 2026</t>
        </is>
      </c>
      <c r="M21" t="inlineStr">
        <is>
          <t>Konstruksi Gedung Perkantoran</t>
        </is>
      </c>
      <c r="N21" t="inlineStr">
        <is>
          <t>K</t>
        </is>
      </c>
      <c r="O21" t="inlineStr">
        <is>
          <t>20230609</t>
        </is>
      </c>
      <c r="P21" t="inlineStr">
        <is>
          <t>Jawa Barat</t>
        </is>
      </c>
      <c r="Q21" t="inlineStr"/>
    </row>
    <row r="22">
      <c r="A22" t="inlineStr">
        <is>
          <t>ADHI MULYA KARYA</t>
        </is>
      </c>
      <c r="B22" t="inlineStr">
        <is>
          <t>Kota Bandung</t>
        </is>
      </c>
      <c r="C22" t="inlineStr">
        <is>
          <t>087822875582</t>
        </is>
      </c>
      <c r="D22" t="inlineStr">
        <is>
          <t>adhimulyakarya_cv@yahoo.co.id</t>
        </is>
      </c>
      <c r="E22" t="inlineStr">
        <is>
          <t>https://lpjk.pu.go.id/search-badan-usaha-detail/SkR0UFdrZ1Q4Z2pXNklVUjJqeG0zUT09</t>
        </is>
      </c>
      <c r="F22" t="n">
        <v>4</v>
      </c>
      <c r="G22" t="inlineStr">
        <is>
          <t>BG004, BG006, BS001, BS004</t>
        </is>
      </c>
      <c r="H22" t="inlineStr">
        <is>
          <t>28 Agustus 1993</t>
        </is>
      </c>
      <c r="I22" s="2" t="n">
        <v>46215</v>
      </c>
      <c r="J22" t="inlineStr">
        <is>
          <t>Disetujui</t>
        </is>
      </c>
      <c r="K22" t="n">
        <v>30</v>
      </c>
      <c r="L22" t="inlineStr">
        <is>
          <t>12 Juli 2026</t>
        </is>
      </c>
      <c r="M22" t="inlineStr">
        <is>
          <t>Konstruksi Bangunan Sipil Jalan, Konstruksi Gedung Pendidikan, Konstruksi Gedung Perbelanjaan, Konstruksi Jaringan Irigasi dan Drainase</t>
        </is>
      </c>
      <c r="N22" t="inlineStr">
        <is>
          <t>K</t>
        </is>
      </c>
      <c r="O22" t="inlineStr">
        <is>
          <t>20230709, 20230711</t>
        </is>
      </c>
      <c r="P22" t="inlineStr">
        <is>
          <t>Jawa Barat</t>
        </is>
      </c>
      <c r="Q22" t="inlineStr"/>
    </row>
    <row r="23">
      <c r="A23" t="inlineStr">
        <is>
          <t>ADI KURNIA</t>
        </is>
      </c>
      <c r="B23" t="inlineStr">
        <is>
          <t>Kab. Ngawi</t>
        </is>
      </c>
      <c r="C23" t="inlineStr">
        <is>
          <t>081335597241</t>
        </is>
      </c>
      <c r="D23" t="inlineStr">
        <is>
          <t>cv.adikurnia@yahoo.com</t>
        </is>
      </c>
      <c r="E23" t="inlineStr">
        <is>
          <t>https://lpjk.pu.go.id/search-badan-usaha-detail/WlJkY0N3RG5tYVoyMlZKb0FCdXJYZz09</t>
        </is>
      </c>
      <c r="F23" t="n">
        <v>1</v>
      </c>
      <c r="G23" t="inlineStr">
        <is>
          <t>BG006</t>
        </is>
      </c>
      <c r="H23" t="inlineStr">
        <is>
          <t>10 Maret 1980</t>
        </is>
      </c>
      <c r="I23" s="2" t="n">
        <v>46215</v>
      </c>
      <c r="J23" t="inlineStr">
        <is>
          <t>Disetujui</t>
        </is>
      </c>
      <c r="K23" t="n">
        <v>30</v>
      </c>
      <c r="L23" t="inlineStr">
        <is>
          <t>12 Juli 2026</t>
        </is>
      </c>
      <c r="M23" t="inlineStr">
        <is>
          <t>Konstruksi Gedung Pendidikan</t>
        </is>
      </c>
      <c r="N23" t="inlineStr">
        <is>
          <t>K</t>
        </is>
      </c>
      <c r="O23" t="inlineStr">
        <is>
          <t>20230711</t>
        </is>
      </c>
      <c r="P23" t="inlineStr">
        <is>
          <t>Jawa Timur</t>
        </is>
      </c>
      <c r="Q23" t="inlineStr"/>
    </row>
    <row r="24">
      <c r="A24" t="inlineStr">
        <is>
          <t>ADI LAKSANA</t>
        </is>
      </c>
      <c r="B24" t="inlineStr">
        <is>
          <t>Kab. Ponorogo</t>
        </is>
      </c>
      <c r="C24" t="inlineStr">
        <is>
          <t>0</t>
        </is>
      </c>
      <c r="D24" t="inlineStr">
        <is>
          <t>cv.adilaksana@gmail.com</t>
        </is>
      </c>
      <c r="E24" t="inlineStr">
        <is>
          <t>https://lpjk.pu.go.id/search-badan-usaha-detail/Q2luem01c1RqY1FDdXgyZnVET0R1QT09</t>
        </is>
      </c>
      <c r="F24" t="n">
        <v>1</v>
      </c>
      <c r="G24" t="inlineStr">
        <is>
          <t>BS001</t>
        </is>
      </c>
      <c r="H24" t="inlineStr">
        <is>
          <t>22 Juni 2012</t>
        </is>
      </c>
      <c r="I24" s="2" t="n">
        <v>46215</v>
      </c>
      <c r="J24" t="inlineStr">
        <is>
          <t>Disetujui</t>
        </is>
      </c>
      <c r="K24" t="n">
        <v>30</v>
      </c>
      <c r="L24" t="inlineStr">
        <is>
          <t>12 Juli 2026</t>
        </is>
      </c>
      <c r="M24" t="inlineStr">
        <is>
          <t>Konstruksi Bangunan Sipil Jalan</t>
        </is>
      </c>
      <c r="N24" t="inlineStr">
        <is>
          <t>K</t>
        </is>
      </c>
      <c r="O24" t="inlineStr">
        <is>
          <t>20230709</t>
        </is>
      </c>
      <c r="P24" t="inlineStr">
        <is>
          <t>Jawa Timur</t>
        </is>
      </c>
      <c r="Q24" t="inlineStr"/>
    </row>
    <row r="25">
      <c r="A25" t="inlineStr">
        <is>
          <t>ADITYA PERKASA</t>
        </is>
      </c>
      <c r="B25" t="inlineStr">
        <is>
          <t>Kab. Sumba Timur</t>
        </is>
      </c>
      <c r="C25" t="inlineStr">
        <is>
          <t>081353964999</t>
        </is>
      </c>
      <c r="D25" t="inlineStr">
        <is>
          <t>morotresnomanubara2020@gmail.com</t>
        </is>
      </c>
      <c r="E25" t="inlineStr">
        <is>
          <t>https://lpjk.pu.go.id/search-badan-usaha-detail/U3FXN21ILzFXbjhZTUJxVDlDdkFJdz09</t>
        </is>
      </c>
      <c r="F25" t="n">
        <v>2</v>
      </c>
      <c r="G25" t="inlineStr">
        <is>
          <t>BG002, BG005</t>
        </is>
      </c>
      <c r="H25" t="inlineStr">
        <is>
          <t>6 Mei 2013</t>
        </is>
      </c>
      <c r="I25" s="2" t="n">
        <v>46215</v>
      </c>
      <c r="J25" t="inlineStr">
        <is>
          <t>Disetujui</t>
        </is>
      </c>
      <c r="K25" t="n">
        <v>30</v>
      </c>
      <c r="L25" t="inlineStr">
        <is>
          <t>12 Juli 2026</t>
        </is>
      </c>
      <c r="M25" t="inlineStr">
        <is>
          <t>Konstruksi Gedung Kesehatan, Konstruksi Gedung Perkantoran</t>
        </is>
      </c>
      <c r="N25" t="inlineStr">
        <is>
          <t>K</t>
        </is>
      </c>
      <c r="O25" t="inlineStr">
        <is>
          <t>20230705</t>
        </is>
      </c>
      <c r="P25" t="inlineStr">
        <is>
          <t>Nusa Tenggara Timur</t>
        </is>
      </c>
      <c r="Q25" t="inlineStr"/>
    </row>
    <row r="26">
      <c r="A26" t="inlineStr">
        <is>
          <t>AEK RAJA</t>
        </is>
      </c>
      <c r="B26" t="inlineStr">
        <is>
          <t>Kab. Samosir</t>
        </is>
      </c>
      <c r="C26" t="inlineStr">
        <is>
          <t>082262558184</t>
        </is>
      </c>
      <c r="D26" t="inlineStr">
        <is>
          <t>cv.aekraja75@gmail.com</t>
        </is>
      </c>
      <c r="E26" t="inlineStr">
        <is>
          <t>https://lpjk.pu.go.id/search-badan-usaha-detail/SlUrL05DRTFVR2UwYy9hdTh1WmM5UT09</t>
        </is>
      </c>
      <c r="F26" t="n">
        <v>1</v>
      </c>
      <c r="G26" t="inlineStr">
        <is>
          <t>BS001</t>
        </is>
      </c>
      <c r="H26" t="inlineStr">
        <is>
          <t>17 Mei 2021</t>
        </is>
      </c>
      <c r="I26" s="2" t="n">
        <v>46215</v>
      </c>
      <c r="J26" t="inlineStr">
        <is>
          <t>Disetujui</t>
        </is>
      </c>
      <c r="K26" t="n">
        <v>30</v>
      </c>
      <c r="L26" t="inlineStr">
        <is>
          <t>12 Juli 2026</t>
        </is>
      </c>
      <c r="M26" t="inlineStr">
        <is>
          <t>Konstruksi Bangunan Sipil Jalan</t>
        </is>
      </c>
      <c r="N26" t="inlineStr">
        <is>
          <t>K</t>
        </is>
      </c>
      <c r="O26" t="inlineStr">
        <is>
          <t>20230621</t>
        </is>
      </c>
      <c r="P26" t="inlineStr">
        <is>
          <t>Sumatera Utara</t>
        </is>
      </c>
      <c r="Q26" t="inlineStr"/>
    </row>
    <row r="27">
      <c r="A27" t="inlineStr">
        <is>
          <t>AGUNG ADHI MANGGALA</t>
        </is>
      </c>
      <c r="B27" t="inlineStr">
        <is>
          <t>Kota Cilegon</t>
        </is>
      </c>
      <c r="C27" t="inlineStr">
        <is>
          <t>085216962403</t>
        </is>
      </c>
      <c r="D27" t="inlineStr">
        <is>
          <t>agungadhimanggala28@gmail.com</t>
        </is>
      </c>
      <c r="E27" t="inlineStr">
        <is>
          <t>https://lpjk.pu.go.id/search-badan-usaha-detail/bnYySFpyWmN5WTNFMTUxMGJvUEk2Zz09</t>
        </is>
      </c>
      <c r="F27" t="n">
        <v>2</v>
      </c>
      <c r="G27" t="inlineStr">
        <is>
          <t>BG009</t>
        </is>
      </c>
      <c r="H27" t="inlineStr">
        <is>
          <t>27 Maret 2023</t>
        </is>
      </c>
      <c r="I27" s="2" t="n">
        <v>46215</v>
      </c>
      <c r="J27" t="inlineStr">
        <is>
          <t>Disetujui</t>
        </is>
      </c>
      <c r="K27" t="n">
        <v>30</v>
      </c>
      <c r="L27" t="inlineStr">
        <is>
          <t>12 Juli 2026</t>
        </is>
      </c>
      <c r="M27" t="inlineStr">
        <is>
          <t>Konstruksi Gedung Lainnya</t>
        </is>
      </c>
      <c r="N27" t="inlineStr">
        <is>
          <t>K</t>
        </is>
      </c>
      <c r="O27" t="inlineStr">
        <is>
          <t>20230703</t>
        </is>
      </c>
      <c r="P27" t="inlineStr">
        <is>
          <t>Banten</t>
        </is>
      </c>
      <c r="Q27" t="inlineStr"/>
    </row>
    <row r="28">
      <c r="A28" t="inlineStr">
        <is>
          <t>AISYAH KARYA INDAH</t>
        </is>
      </c>
      <c r="B28" t="inlineStr">
        <is>
          <t>Kota Adm. Jakarta Pusat</t>
        </is>
      </c>
      <c r="C28" t="inlineStr">
        <is>
          <t>02122580028</t>
        </is>
      </c>
      <c r="D28" t="inlineStr">
        <is>
          <t>aisyahkarya@gmail.com</t>
        </is>
      </c>
      <c r="E28" t="inlineStr">
        <is>
          <t>https://lpjk.pu.go.id/search-badan-usaha-detail/OHlTTFAyS2pQRnhiUHdid0NEU3dkQT09</t>
        </is>
      </c>
      <c r="F28" t="n">
        <v>2</v>
      </c>
      <c r="G28" t="inlineStr">
        <is>
          <t>BG001</t>
        </is>
      </c>
      <c r="H28" t="inlineStr">
        <is>
          <t>14 Maret 2011</t>
        </is>
      </c>
      <c r="I28" s="2" t="n">
        <v>46215</v>
      </c>
      <c r="J28" t="inlineStr">
        <is>
          <t>Pencabutan</t>
        </is>
      </c>
      <c r="K28" t="n">
        <v>30</v>
      </c>
      <c r="L28" t="inlineStr">
        <is>
          <t>12 Juli 2026</t>
        </is>
      </c>
      <c r="M28" t="inlineStr">
        <is>
          <t>Konstruksi Gedung Hunian</t>
        </is>
      </c>
      <c r="N28" t="inlineStr">
        <is>
          <t>K</t>
        </is>
      </c>
      <c r="O28" t="inlineStr">
        <is>
          <t>20230712</t>
        </is>
      </c>
      <c r="P28" t="inlineStr">
        <is>
          <t>DKI Jakarta</t>
        </is>
      </c>
      <c r="Q28" t="inlineStr"/>
    </row>
    <row r="29">
      <c r="A29" t="inlineStr">
        <is>
          <t>ALUR DESAIN</t>
        </is>
      </c>
      <c r="B29" t="inlineStr">
        <is>
          <t>Kab. Ponorogo</t>
        </is>
      </c>
      <c r="C29" t="inlineStr">
        <is>
          <t>081216014050</t>
        </is>
      </c>
      <c r="D29" t="inlineStr">
        <is>
          <t>alurdesain7@gmail.com</t>
        </is>
      </c>
      <c r="E29" t="inlineStr">
        <is>
          <t>https://lpjk.pu.go.id/search-badan-usaha-detail/aUMzYkVlR29OT1hQZ09LQVdYQjcrZz09</t>
        </is>
      </c>
      <c r="F29" t="n">
        <v>3</v>
      </c>
      <c r="G29" t="inlineStr">
        <is>
          <t>RK001, RK002, RK003</t>
        </is>
      </c>
      <c r="H29" t="inlineStr">
        <is>
          <t>7 Juni 2023</t>
        </is>
      </c>
      <c r="I29" s="2" t="n">
        <v>46215</v>
      </c>
      <c r="J29" t="inlineStr">
        <is>
          <t>Dokumen Tidak Lengkap</t>
        </is>
      </c>
      <c r="K29" t="n">
        <v>30</v>
      </c>
      <c r="L29" t="inlineStr">
        <is>
          <t>12 Juli 2026</t>
        </is>
      </c>
      <c r="M29" t="inlineStr">
        <is>
          <t>Jasa Rekayasa Konstruksi Bangunan Gedung Hunian dan Non Hunian, Jasa Rekayasa Pekerjaan Teknik Sipil Sumber Daya Air, Jasa Rekayasa Pekerjaan Teknik Sipil Transportasi</t>
        </is>
      </c>
      <c r="N29" t="inlineStr">
        <is>
          <t>K</t>
        </is>
      </c>
      <c r="O29" t="inlineStr">
        <is>
          <t>20230706</t>
        </is>
      </c>
      <c r="P29" t="inlineStr">
        <is>
          <t>Jawa Timur</t>
        </is>
      </c>
      <c r="Q29" t="inlineStr"/>
    </row>
    <row r="30">
      <c r="A30" t="inlineStr">
        <is>
          <t>AMAN LANCAR BERKAH</t>
        </is>
      </c>
      <c r="B30" t="inlineStr">
        <is>
          <t>Kota Salatiga</t>
        </is>
      </c>
      <c r="C30" t="inlineStr">
        <is>
          <t>085640776669</t>
        </is>
      </c>
      <c r="D30" t="inlineStr">
        <is>
          <t>cvamanlancarberkah@gmail.com</t>
        </is>
      </c>
      <c r="E30" t="inlineStr">
        <is>
          <t>https://lpjk.pu.go.id/search-badan-usaha-detail/WlFWY3MzdjkvWVhvZFZlWjVXd1UvZz09</t>
        </is>
      </c>
      <c r="F30" t="n">
        <v>1</v>
      </c>
      <c r="G30" t="inlineStr">
        <is>
          <t>BS004</t>
        </is>
      </c>
      <c r="H30" t="inlineStr">
        <is>
          <t>27 Januari 2023</t>
        </is>
      </c>
      <c r="I30" s="2" t="n">
        <v>46215</v>
      </c>
      <c r="J30" t="inlineStr">
        <is>
          <t>Dokumen Lengkap</t>
        </is>
      </c>
      <c r="K30" t="n">
        <v>30</v>
      </c>
      <c r="L30" t="inlineStr">
        <is>
          <t>12 Juli 2026</t>
        </is>
      </c>
      <c r="M30" t="inlineStr">
        <is>
          <t>Konstruksi Jaringan Irigasi dan Drainase</t>
        </is>
      </c>
      <c r="N30" t="inlineStr">
        <is>
          <t>K</t>
        </is>
      </c>
      <c r="O30" t="inlineStr">
        <is>
          <t>20230712</t>
        </is>
      </c>
      <c r="P30" t="inlineStr">
        <is>
          <t>Jawa Tengah</t>
        </is>
      </c>
      <c r="Q30" t="inlineStr"/>
    </row>
    <row r="31">
      <c r="A31" t="inlineStr">
        <is>
          <t>AMIRA</t>
        </is>
      </c>
      <c r="B31" t="inlineStr">
        <is>
          <t>Kab. Bolaang Mongondow Utara</t>
        </is>
      </c>
      <c r="C31" t="inlineStr">
        <is>
          <t>085399503780</t>
        </is>
      </c>
      <c r="D31" t="inlineStr">
        <is>
          <t>cv.amira69@gmail.com</t>
        </is>
      </c>
      <c r="E31" t="inlineStr">
        <is>
          <t>https://lpjk.pu.go.id/search-badan-usaha-detail/bWdkQmVaQklBRlQxSTA5NzlKY0kwUT09</t>
        </is>
      </c>
      <c r="F31" t="n">
        <v>1</v>
      </c>
      <c r="G31" t="inlineStr">
        <is>
          <t>BG004</t>
        </is>
      </c>
      <c r="H31" t="inlineStr">
        <is>
          <t>27 Januari 2010</t>
        </is>
      </c>
      <c r="I31" s="2" t="n">
        <v>46215</v>
      </c>
      <c r="J31" t="inlineStr">
        <is>
          <t>Disetujui</t>
        </is>
      </c>
      <c r="K31" t="n">
        <v>30</v>
      </c>
      <c r="L31" t="inlineStr">
        <is>
          <t>12 Juli 2026</t>
        </is>
      </c>
      <c r="M31" t="inlineStr">
        <is>
          <t>Konstruksi Gedung Perbelanjaan</t>
        </is>
      </c>
      <c r="N31" t="inlineStr">
        <is>
          <t>K</t>
        </is>
      </c>
      <c r="O31" t="inlineStr">
        <is>
          <t>20230629</t>
        </is>
      </c>
      <c r="P31" t="inlineStr">
        <is>
          <t>Sulawesi Utara</t>
        </is>
      </c>
      <c r="Q31" t="inlineStr"/>
    </row>
    <row r="32">
      <c r="A32" t="inlineStr">
        <is>
          <t>ANDI KARYA</t>
        </is>
      </c>
      <c r="B32" t="inlineStr">
        <is>
          <t>Kab. Sumenep</t>
        </is>
      </c>
      <c r="C32" t="inlineStr">
        <is>
          <t>08179311342</t>
        </is>
      </c>
      <c r="D32" t="inlineStr">
        <is>
          <t>abdurrahman.andikarya1972@yahoo.com</t>
        </is>
      </c>
      <c r="E32" t="inlineStr">
        <is>
          <t>https://lpjk.pu.go.id/search-badan-usaha-detail/aTNhNTIzU1JZR3gvWEJpTUR5YkJMQT09</t>
        </is>
      </c>
      <c r="F32" t="n">
        <v>1</v>
      </c>
      <c r="G32" t="inlineStr">
        <is>
          <t>BS004</t>
        </is>
      </c>
      <c r="H32" t="inlineStr">
        <is>
          <t>29 April 1997</t>
        </is>
      </c>
      <c r="I32" s="2" t="n">
        <v>46215</v>
      </c>
      <c r="J32" t="inlineStr">
        <is>
          <t>Disetujui</t>
        </is>
      </c>
      <c r="K32" t="n">
        <v>30</v>
      </c>
      <c r="L32" t="inlineStr">
        <is>
          <t>12 Juli 2026</t>
        </is>
      </c>
      <c r="M32" t="inlineStr">
        <is>
          <t>Konstruksi Jaringan Irigasi dan Drainase</t>
        </is>
      </c>
      <c r="N32" t="inlineStr">
        <is>
          <t>K</t>
        </is>
      </c>
      <c r="O32" t="inlineStr">
        <is>
          <t>20230711</t>
        </is>
      </c>
      <c r="P32" t="inlineStr">
        <is>
          <t>Jawa Timur</t>
        </is>
      </c>
      <c r="Q32" t="inlineStr"/>
    </row>
    <row r="33">
      <c r="A33" t="inlineStr">
        <is>
          <t>ANGKASA PRIMA</t>
        </is>
      </c>
      <c r="B33" t="inlineStr">
        <is>
          <t>Kab. Ogan Ilir</t>
        </is>
      </c>
      <c r="C33" t="inlineStr">
        <is>
          <t>081290807988</t>
        </is>
      </c>
      <c r="D33" t="inlineStr">
        <is>
          <t>ciptagiri_mulya@yahoo.com</t>
        </is>
      </c>
      <c r="E33" t="inlineStr">
        <is>
          <t>https://lpjk.pu.go.id/search-badan-usaha-detail/ekZ2T2QrYkVYQ2J5bWtuVUhrdkZWQT09</t>
        </is>
      </c>
      <c r="F33" t="n">
        <v>6</v>
      </c>
      <c r="G33" t="inlineStr">
        <is>
          <t>BG005, BS004, BS005</t>
        </is>
      </c>
      <c r="H33" t="inlineStr">
        <is>
          <t>29 Maret 2006</t>
        </is>
      </c>
      <c r="I33" s="2" t="n">
        <v>46215</v>
      </c>
      <c r="J33" t="inlineStr">
        <is>
          <t>Pencabutan</t>
        </is>
      </c>
      <c r="K33" t="n">
        <v>30</v>
      </c>
      <c r="L33" t="inlineStr">
        <is>
          <t>12 Juli 2026</t>
        </is>
      </c>
      <c r="M33" t="inlineStr">
        <is>
          <t>Konstruksi Bangunan Sipil Pengolahan Air Bersih, Konstruksi Gedung Kesehatan, Konstruksi Jaringan Irigasi dan Drainase</t>
        </is>
      </c>
      <c r="N33" t="inlineStr">
        <is>
          <t>K</t>
        </is>
      </c>
      <c r="O33" t="inlineStr">
        <is>
          <t>20230712, 20230713</t>
        </is>
      </c>
      <c r="P33" t="inlineStr">
        <is>
          <t>Sumatera Selatan</t>
        </is>
      </c>
      <c r="Q33" t="inlineStr"/>
    </row>
    <row r="34">
      <c r="A34" t="inlineStr">
        <is>
          <t>ANTON BRAWIJAYA MARIO</t>
        </is>
      </c>
      <c r="B34" t="inlineStr">
        <is>
          <t>Kab. Malinau</t>
        </is>
      </c>
      <c r="C34" t="inlineStr">
        <is>
          <t>082325124076</t>
        </is>
      </c>
      <c r="D34" t="inlineStr">
        <is>
          <t>antonbrawijayamario@gmail.com</t>
        </is>
      </c>
      <c r="E34" t="inlineStr">
        <is>
          <t>https://lpjk.pu.go.id/search-badan-usaha-detail/REVzL1BiZzVqZXFKYk1KVG5WaUNTQT09</t>
        </is>
      </c>
      <c r="F34" t="n">
        <v>1</v>
      </c>
      <c r="G34" t="inlineStr">
        <is>
          <t>BG004</t>
        </is>
      </c>
      <c r="H34" t="inlineStr">
        <is>
          <t>19 Juni 2023</t>
        </is>
      </c>
      <c r="I34" s="2" t="n">
        <v>46215</v>
      </c>
      <c r="J34" t="inlineStr">
        <is>
          <t>Disetujui</t>
        </is>
      </c>
      <c r="K34" t="n">
        <v>30</v>
      </c>
      <c r="L34" t="inlineStr">
        <is>
          <t>12 Juli 2026</t>
        </is>
      </c>
      <c r="M34" t="inlineStr">
        <is>
          <t>Konstruksi Gedung Perbelanjaan</t>
        </is>
      </c>
      <c r="N34" t="inlineStr">
        <is>
          <t>K</t>
        </is>
      </c>
      <c r="O34" t="inlineStr">
        <is>
          <t>20230711</t>
        </is>
      </c>
      <c r="P34" t="inlineStr">
        <is>
          <t>Kalimantan Utara</t>
        </is>
      </c>
      <c r="Q34" t="inlineStr"/>
    </row>
    <row r="35">
      <c r="A35" t="inlineStr">
        <is>
          <t>ANUGRAH MONGJAYA UTAMA</t>
        </is>
      </c>
      <c r="B35" t="inlineStr">
        <is>
          <t>Kota Pontianak</t>
        </is>
      </c>
      <c r="C35" t="inlineStr">
        <is>
          <t>08115672308</t>
        </is>
      </c>
      <c r="D35" t="inlineStr">
        <is>
          <t>pt.anugrahmongjayautama@yahoo.com</t>
        </is>
      </c>
      <c r="E35" t="inlineStr">
        <is>
          <t>https://lpjk.pu.go.id/search-badan-usaha-detail/NFRsTnpBa0hkZ21jaFFEKzc4b3ZqQT09</t>
        </is>
      </c>
      <c r="F35" t="n">
        <v>6</v>
      </c>
      <c r="G35" t="inlineStr">
        <is>
          <t>BG001, BG002, BG003</t>
        </is>
      </c>
      <c r="H35" t="inlineStr">
        <is>
          <t>16 April 2017</t>
        </is>
      </c>
      <c r="I35" s="2" t="n">
        <v>46215</v>
      </c>
      <c r="J35" t="inlineStr">
        <is>
          <t>Disetujui</t>
        </is>
      </c>
      <c r="K35" t="n">
        <v>30</v>
      </c>
      <c r="L35" t="inlineStr">
        <is>
          <t>12 Juli 2026</t>
        </is>
      </c>
      <c r="M35" t="inlineStr">
        <is>
          <t>Konstruksi Gedung Hunian, Konstruksi Gedung Industri, Konstruksi Gedung Perkantoran</t>
        </is>
      </c>
      <c r="N35" t="inlineStr">
        <is>
          <t>K</t>
        </is>
      </c>
      <c r="O35" t="inlineStr">
        <is>
          <t>20230713</t>
        </is>
      </c>
      <c r="P35" t="inlineStr">
        <is>
          <t>Kalimantan Barat</t>
        </is>
      </c>
      <c r="Q35" t="inlineStr"/>
    </row>
    <row r="36">
      <c r="A36" t="inlineStr">
        <is>
          <t>APRILYANTI CONTRAKTOR</t>
        </is>
      </c>
      <c r="B36" t="inlineStr">
        <is>
          <t>Kab. Lebak</t>
        </is>
      </c>
      <c r="C36" t="inlineStr">
        <is>
          <t>0811120178</t>
        </is>
      </c>
      <c r="D36" t="inlineStr">
        <is>
          <t>aprilyanticontraktor@gmail.com</t>
        </is>
      </c>
      <c r="E36" t="inlineStr">
        <is>
          <t>https://lpjk.pu.go.id/search-badan-usaha-detail/azhQeWpabVBVZlBPUHNueXU2SWNoZz09</t>
        </is>
      </c>
      <c r="F36" t="n">
        <v>1</v>
      </c>
      <c r="G36" t="inlineStr">
        <is>
          <t>BG009</t>
        </is>
      </c>
      <c r="H36" t="inlineStr">
        <is>
          <t>30 Juni 2014</t>
        </is>
      </c>
      <c r="I36" s="2" t="n">
        <v>46215</v>
      </c>
      <c r="J36" t="inlineStr">
        <is>
          <t>Disetujui</t>
        </is>
      </c>
      <c r="K36" t="n">
        <v>30</v>
      </c>
      <c r="L36" t="inlineStr">
        <is>
          <t>12 Juli 2026</t>
        </is>
      </c>
      <c r="M36" t="inlineStr">
        <is>
          <t>Konstruksi Gedung Lainnya</t>
        </is>
      </c>
      <c r="N36" t="inlineStr">
        <is>
          <t>K</t>
        </is>
      </c>
      <c r="O36" t="inlineStr">
        <is>
          <t>20230711</t>
        </is>
      </c>
      <c r="P36" t="inlineStr">
        <is>
          <t>Banten</t>
        </is>
      </c>
      <c r="Q36" t="inlineStr"/>
    </row>
    <row r="37">
      <c r="A37" t="inlineStr">
        <is>
          <t>AQILA JAYA MANDIRI</t>
        </is>
      </c>
      <c r="B37" t="inlineStr">
        <is>
          <t>Kota Langsa</t>
        </is>
      </c>
      <c r="C37" t="inlineStr">
        <is>
          <t>082277332493</t>
        </is>
      </c>
      <c r="D37" t="inlineStr">
        <is>
          <t>aqilajayamandiri@gmail.com</t>
        </is>
      </c>
      <c r="E37" t="inlineStr">
        <is>
          <t>https://lpjk.pu.go.id/search-badan-usaha-detail/TjlaRGpwRVVUM3BmcjYvZk5pSjV5dz09</t>
        </is>
      </c>
      <c r="F37" t="n">
        <v>1</v>
      </c>
      <c r="G37" t="inlineStr">
        <is>
          <t>BS001</t>
        </is>
      </c>
      <c r="H37" t="inlineStr">
        <is>
          <t>22 Juni 2012</t>
        </is>
      </c>
      <c r="I37" s="2" t="n">
        <v>46215</v>
      </c>
      <c r="J37" t="inlineStr">
        <is>
          <t>Pencabutan</t>
        </is>
      </c>
      <c r="K37" t="n">
        <v>30</v>
      </c>
      <c r="L37" t="inlineStr">
        <is>
          <t>12 Juli 2026</t>
        </is>
      </c>
      <c r="M37" t="inlineStr">
        <is>
          <t>Konstruksi Bangunan Sipil Jalan</t>
        </is>
      </c>
      <c r="N37" t="inlineStr">
        <is>
          <t>K</t>
        </is>
      </c>
      <c r="O37" t="inlineStr">
        <is>
          <t>20230710</t>
        </is>
      </c>
      <c r="P37" t="inlineStr">
        <is>
          <t>Aceh</t>
        </is>
      </c>
      <c r="Q37" t="inlineStr"/>
    </row>
    <row r="38">
      <c r="A38" t="inlineStr">
        <is>
          <t>ARAH ABADI</t>
        </is>
      </c>
      <c r="B38" t="inlineStr">
        <is>
          <t>Kab. Malinau</t>
        </is>
      </c>
      <c r="C38" t="inlineStr">
        <is>
          <t>081255557846</t>
        </is>
      </c>
      <c r="D38" t="inlineStr">
        <is>
          <t>cvarahabadi@gmail.com</t>
        </is>
      </c>
      <c r="E38" t="inlineStr">
        <is>
          <t>https://lpjk.pu.go.id/search-badan-usaha-detail/dlI2Nk44SmozSDV0U2c3ZC83RDE3UT09</t>
        </is>
      </c>
      <c r="F38" t="n">
        <v>3</v>
      </c>
      <c r="G38" t="inlineStr">
        <is>
          <t>BG002, BG006, BG009</t>
        </is>
      </c>
      <c r="H38" t="inlineStr">
        <is>
          <t>25 Juli 2013</t>
        </is>
      </c>
      <c r="I38" s="2" t="n">
        <v>46215</v>
      </c>
      <c r="J38" t="inlineStr">
        <is>
          <t>Disetujui</t>
        </is>
      </c>
      <c r="K38" t="n">
        <v>30</v>
      </c>
      <c r="L38" t="inlineStr">
        <is>
          <t>12 Juli 2026</t>
        </is>
      </c>
      <c r="M38" t="inlineStr">
        <is>
          <t>Konstruksi Gedung Lainnya, Konstruksi Gedung Pendidikan, Konstruksi Gedung Perkantoran</t>
        </is>
      </c>
      <c r="N38" t="inlineStr">
        <is>
          <t>K</t>
        </is>
      </c>
      <c r="O38" t="inlineStr">
        <is>
          <t>20230710, 20230712</t>
        </is>
      </c>
      <c r="P38" t="inlineStr">
        <is>
          <t>Kalimantan Utara</t>
        </is>
      </c>
      <c r="Q38" t="inlineStr"/>
    </row>
    <row r="39">
      <c r="A39" t="inlineStr">
        <is>
          <t>ARDILA PRATAMA</t>
        </is>
      </c>
      <c r="B39" t="inlineStr">
        <is>
          <t>Kota Madiun</t>
        </is>
      </c>
      <c r="C39" t="inlineStr">
        <is>
          <t>081259687879</t>
        </is>
      </c>
      <c r="D39" t="inlineStr">
        <is>
          <t>cvardilapratama@gmail.com</t>
        </is>
      </c>
      <c r="E39" t="inlineStr">
        <is>
          <t>https://lpjk.pu.go.id/search-badan-usaha-detail/U05zM05mMkE3ZmtVaGUxcDdOZjhhdz09</t>
        </is>
      </c>
      <c r="F39" t="n">
        <v>1</v>
      </c>
      <c r="G39" t="inlineStr">
        <is>
          <t>BS001</t>
        </is>
      </c>
      <c r="H39" t="inlineStr">
        <is>
          <t>7 Juni 2007</t>
        </is>
      </c>
      <c r="I39" s="2" t="n">
        <v>46215</v>
      </c>
      <c r="J39" t="inlineStr">
        <is>
          <t>Disetujui</t>
        </is>
      </c>
      <c r="K39" t="n">
        <v>30</v>
      </c>
      <c r="L39" t="inlineStr">
        <is>
          <t>12 Juli 2026</t>
        </is>
      </c>
      <c r="M39" t="inlineStr">
        <is>
          <t>Konstruksi Bangunan Sipil Jalan</t>
        </is>
      </c>
      <c r="N39" t="inlineStr">
        <is>
          <t>K</t>
        </is>
      </c>
      <c r="O39" t="inlineStr">
        <is>
          <t>20230707</t>
        </is>
      </c>
      <c r="P39" t="inlineStr">
        <is>
          <t>Jawa Timur</t>
        </is>
      </c>
      <c r="Q39" t="inlineStr"/>
    </row>
    <row r="40">
      <c r="A40" t="inlineStr">
        <is>
          <t>ARUNG PALAKKA</t>
        </is>
      </c>
      <c r="B40" t="inlineStr">
        <is>
          <t>Kota Palu</t>
        </is>
      </c>
      <c r="C40" t="inlineStr">
        <is>
          <t>081289362255</t>
        </is>
      </c>
      <c r="D40" t="inlineStr">
        <is>
          <t>elvisamir79@gmail.com</t>
        </is>
      </c>
      <c r="E40" t="inlineStr">
        <is>
          <t>https://lpjk.pu.go.id/search-badan-usaha-detail/UEhJRlZQS0MwMjRXblphb3FqbnJidz09</t>
        </is>
      </c>
      <c r="F40" t="n">
        <v>1</v>
      </c>
      <c r="G40" t="inlineStr">
        <is>
          <t>BS001</t>
        </is>
      </c>
      <c r="H40" t="inlineStr">
        <is>
          <t>31 Agustus 2016</t>
        </is>
      </c>
      <c r="I40" s="2" t="n">
        <v>46215</v>
      </c>
      <c r="J40" t="inlineStr">
        <is>
          <t>Disetujui</t>
        </is>
      </c>
      <c r="K40" t="n">
        <v>30</v>
      </c>
      <c r="L40" t="inlineStr">
        <is>
          <t>12 Juli 2026</t>
        </is>
      </c>
      <c r="M40" t="inlineStr">
        <is>
          <t>Konstruksi Bangunan Sipil Jalan</t>
        </is>
      </c>
      <c r="N40" t="inlineStr">
        <is>
          <t>K</t>
        </is>
      </c>
      <c r="O40" t="inlineStr">
        <is>
          <t>20230708</t>
        </is>
      </c>
      <c r="P40" t="inlineStr">
        <is>
          <t>Sulawesi Tengah</t>
        </is>
      </c>
      <c r="Q40" t="inlineStr"/>
    </row>
    <row r="41">
      <c r="A41" t="inlineStr">
        <is>
          <t>ASCARYA KONSULTAN</t>
        </is>
      </c>
      <c r="B41" t="inlineStr">
        <is>
          <t>Kota Banda Aceh</t>
        </is>
      </c>
      <c r="C41" t="inlineStr">
        <is>
          <t>081269749900</t>
        </is>
      </c>
      <c r="D41" t="inlineStr">
        <is>
          <t>Ascaryasurvey@gmail.com</t>
        </is>
      </c>
      <c r="E41" t="inlineStr">
        <is>
          <t>https://lpjk.pu.go.id/search-badan-usaha-detail/aUNIN2ZaMmRmY1Z6bDRkNm9ibHRWZz09</t>
        </is>
      </c>
      <c r="F41" t="n">
        <v>4</v>
      </c>
      <c r="G41" t="inlineStr">
        <is>
          <t>RK001, RK002, RK003, RK005</t>
        </is>
      </c>
      <c r="H41" t="inlineStr">
        <is>
          <t>8 Oktober 2018</t>
        </is>
      </c>
      <c r="I41" s="2" t="n">
        <v>46215</v>
      </c>
      <c r="J41" t="inlineStr">
        <is>
          <t>Disetujui</t>
        </is>
      </c>
      <c r="K41" t="n">
        <v>30</v>
      </c>
      <c r="L41" t="inlineStr">
        <is>
          <t>12 Juli 2026</t>
        </is>
      </c>
      <c r="M41" t="inlineStr">
        <is>
          <t>Jasa Rekayasa Konstruksi Bangunan Gedung Hunian dan Non Hunian, Jasa Rekayasa Lainnya, Jasa Rekayasa Pekerjaan Teknik Sipil Sumber Daya Air, Jasa Rekayasa Pekerjaan Teknik Sipil Transportasi</t>
        </is>
      </c>
      <c r="N41" t="inlineStr">
        <is>
          <t>K</t>
        </is>
      </c>
      <c r="O41" t="inlineStr">
        <is>
          <t>20230627</t>
        </is>
      </c>
      <c r="P41" t="inlineStr">
        <is>
          <t>Aceh</t>
        </is>
      </c>
      <c r="Q41" t="inlineStr"/>
    </row>
    <row r="42">
      <c r="A42" t="inlineStr">
        <is>
          <t>ASSIA MANGGALA DAYU</t>
        </is>
      </c>
      <c r="B42" t="inlineStr">
        <is>
          <t>Kota Pekanbaru</t>
        </is>
      </c>
      <c r="C42" t="inlineStr">
        <is>
          <t>08127712366</t>
        </is>
      </c>
      <c r="D42" t="inlineStr">
        <is>
          <t>antoni_chia@hotmail.com</t>
        </is>
      </c>
      <c r="E42" t="inlineStr">
        <is>
          <t>https://lpjk.pu.go.id/search-badan-usaha-detail/eWxnVDQ4L0tOLzdFS2g1MXVFQ1JRQT09</t>
        </is>
      </c>
      <c r="F42" t="n">
        <v>1</v>
      </c>
      <c r="G42" t="inlineStr">
        <is>
          <t>BG001</t>
        </is>
      </c>
      <c r="H42" t="inlineStr">
        <is>
          <t>19 Juni 2020</t>
        </is>
      </c>
      <c r="I42" s="2" t="n">
        <v>46215</v>
      </c>
      <c r="J42" t="inlineStr">
        <is>
          <t>Disetujui</t>
        </is>
      </c>
      <c r="K42" t="n">
        <v>30</v>
      </c>
      <c r="L42" t="inlineStr">
        <is>
          <t>12 Juli 2026</t>
        </is>
      </c>
      <c r="M42" t="inlineStr">
        <is>
          <t>Konstruksi Gedung Hunian</t>
        </is>
      </c>
      <c r="N42" t="inlineStr">
        <is>
          <t>K</t>
        </is>
      </c>
      <c r="O42" t="inlineStr">
        <is>
          <t>20230622</t>
        </is>
      </c>
      <c r="P42" t="inlineStr">
        <is>
          <t>Riau</t>
        </is>
      </c>
      <c r="Q42" t="inlineStr"/>
    </row>
    <row r="43">
      <c r="A43" t="inlineStr">
        <is>
          <t>BANAWA</t>
        </is>
      </c>
      <c r="B43" t="inlineStr">
        <is>
          <t>Kab. Sukabumi</t>
        </is>
      </c>
      <c r="C43" t="inlineStr">
        <is>
          <t>082210999302</t>
        </is>
      </c>
      <c r="D43" t="inlineStr">
        <is>
          <t>banawacv@yahoo.com</t>
        </is>
      </c>
      <c r="E43" t="inlineStr">
        <is>
          <t>https://lpjk.pu.go.id/search-badan-usaha-detail/bzJQano4TDVVeTl3aFB4d3pYU1ZwQT09</t>
        </is>
      </c>
      <c r="F43" t="n">
        <v>2</v>
      </c>
      <c r="G43" t="inlineStr">
        <is>
          <t>BS004</t>
        </is>
      </c>
      <c r="H43" t="inlineStr">
        <is>
          <t>16 Oktober 2014</t>
        </is>
      </c>
      <c r="I43" s="2" t="n">
        <v>46215</v>
      </c>
      <c r="J43" t="inlineStr">
        <is>
          <t>Disetujui</t>
        </is>
      </c>
      <c r="K43" t="n">
        <v>30</v>
      </c>
      <c r="L43" t="inlineStr">
        <is>
          <t>12 Juli 2026</t>
        </is>
      </c>
      <c r="M43" t="inlineStr">
        <is>
          <t>Konstruksi Jaringan Irigasi dan Drainase</t>
        </is>
      </c>
      <c r="N43" t="inlineStr">
        <is>
          <t>K</t>
        </is>
      </c>
      <c r="O43" t="inlineStr">
        <is>
          <t>20230707</t>
        </is>
      </c>
      <c r="P43" t="inlineStr">
        <is>
          <t>Jawa Barat</t>
        </is>
      </c>
      <c r="Q43" t="inlineStr"/>
    </row>
    <row r="44">
      <c r="A44" t="inlineStr">
        <is>
          <t>BANGUN ALAM SEMESTA</t>
        </is>
      </c>
      <c r="B44" t="inlineStr">
        <is>
          <t>Kota Banjarmasin</t>
        </is>
      </c>
      <c r="C44" t="inlineStr">
        <is>
          <t>8115201992</t>
        </is>
      </c>
      <c r="D44" t="inlineStr">
        <is>
          <t>bangunalamsemesta@gmail.com</t>
        </is>
      </c>
      <c r="E44" t="inlineStr">
        <is>
          <t>https://lpjk.pu.go.id/search-badan-usaha-detail/K09OREpTK0JFRHZDWGRVdnVmdHhoQT09</t>
        </is>
      </c>
      <c r="F44" t="n">
        <v>1</v>
      </c>
      <c r="G44" t="inlineStr">
        <is>
          <t>BG002</t>
        </is>
      </c>
      <c r="H44" t="inlineStr">
        <is>
          <t>1 Juni 2023</t>
        </is>
      </c>
      <c r="I44" s="2" t="n">
        <v>46215</v>
      </c>
      <c r="J44" t="inlineStr">
        <is>
          <t>Disetujui</t>
        </is>
      </c>
      <c r="K44" t="n">
        <v>30</v>
      </c>
      <c r="L44" t="inlineStr">
        <is>
          <t>12 Juli 2026</t>
        </is>
      </c>
      <c r="M44" t="inlineStr">
        <is>
          <t>Konstruksi Gedung Perkantoran</t>
        </is>
      </c>
      <c r="N44" t="inlineStr">
        <is>
          <t>K</t>
        </is>
      </c>
      <c r="O44" t="inlineStr">
        <is>
          <t>20230710</t>
        </is>
      </c>
      <c r="P44" t="inlineStr">
        <is>
          <t>Kalimantan Selatan</t>
        </is>
      </c>
      <c r="Q44" t="inlineStr"/>
    </row>
    <row r="45">
      <c r="A45" t="inlineStr">
        <is>
          <t>BANGUN DONGORAN PERSADA</t>
        </is>
      </c>
      <c r="B45" t="inlineStr">
        <is>
          <t>Kab. Samosir</t>
        </is>
      </c>
      <c r="C45" t="inlineStr">
        <is>
          <t>81265207067</t>
        </is>
      </c>
      <c r="D45" t="inlineStr">
        <is>
          <t>bangundongoranpersada09@gmail.com</t>
        </is>
      </c>
      <c r="E45" t="inlineStr">
        <is>
          <t>https://lpjk.pu.go.id/search-badan-usaha-detail/N3kwMDY4akhhcUZIdjlBMkEyY1dFQT09</t>
        </is>
      </c>
      <c r="F45" t="n">
        <v>1</v>
      </c>
      <c r="G45" t="inlineStr">
        <is>
          <t>BG006</t>
        </is>
      </c>
      <c r="H45" t="inlineStr">
        <is>
          <t>14 Januari 2022</t>
        </is>
      </c>
      <c r="I45" s="2" t="n">
        <v>46215</v>
      </c>
      <c r="J45" t="inlineStr">
        <is>
          <t>Disetujui</t>
        </is>
      </c>
      <c r="K45" t="n">
        <v>30</v>
      </c>
      <c r="L45" t="inlineStr">
        <is>
          <t>12 Juli 2026</t>
        </is>
      </c>
      <c r="M45" t="inlineStr">
        <is>
          <t>Konstruksi Gedung Pendidikan</t>
        </is>
      </c>
      <c r="N45" t="inlineStr">
        <is>
          <t>K</t>
        </is>
      </c>
      <c r="O45" t="inlineStr">
        <is>
          <t>20230712</t>
        </is>
      </c>
      <c r="P45" t="inlineStr">
        <is>
          <t>Sumatera Utara</t>
        </is>
      </c>
      <c r="Q45" t="inlineStr"/>
    </row>
    <row r="46">
      <c r="A46" t="inlineStr">
        <is>
          <t>BAROKAH DUA</t>
        </is>
      </c>
      <c r="B46" t="inlineStr">
        <is>
          <t>Kab. Ogan Ilir</t>
        </is>
      </c>
      <c r="C46" t="inlineStr">
        <is>
          <t>081290807988</t>
        </is>
      </c>
      <c r="D46" t="inlineStr">
        <is>
          <t>barokahokey23@gmail.com</t>
        </is>
      </c>
      <c r="E46" t="inlineStr">
        <is>
          <t>https://lpjk.pu.go.id/search-badan-usaha-detail/dGZjK05sc2hzOVQ1STQvUkR2Ly9FQT09</t>
        </is>
      </c>
      <c r="F46" t="n">
        <v>4</v>
      </c>
      <c r="G46" t="inlineStr">
        <is>
          <t>BS001, BS016</t>
        </is>
      </c>
      <c r="H46" t="inlineStr">
        <is>
          <t>18 Februari 2020</t>
        </is>
      </c>
      <c r="I46" s="2" t="n">
        <v>46215</v>
      </c>
      <c r="J46" t="inlineStr">
        <is>
          <t>Pencabutan</t>
        </is>
      </c>
      <c r="K46" t="n">
        <v>30</v>
      </c>
      <c r="L46" t="inlineStr">
        <is>
          <t>12 Juli 2026</t>
        </is>
      </c>
      <c r="M46" t="inlineStr">
        <is>
          <t>Konstruksi Bangunan Sipil Fasilitas Olah Raga, Konstruksi Bangunan Sipil Jalan</t>
        </is>
      </c>
      <c r="N46" t="inlineStr">
        <is>
          <t>K</t>
        </is>
      </c>
      <c r="O46" t="inlineStr">
        <is>
          <t>20230713</t>
        </is>
      </c>
      <c r="P46" t="inlineStr">
        <is>
          <t>Sumatera Selatan</t>
        </is>
      </c>
      <c r="Q46" t="inlineStr"/>
    </row>
    <row r="47">
      <c r="A47" t="inlineStr">
        <is>
          <t>BATU NAGA ULENG</t>
        </is>
      </c>
      <c r="B47" t="inlineStr">
        <is>
          <t>Kab. Bone</t>
        </is>
      </c>
      <c r="C47" t="inlineStr">
        <is>
          <t>0811456730</t>
        </is>
      </c>
      <c r="D47" t="inlineStr">
        <is>
          <t>cvbatunagauleng@gmail.com</t>
        </is>
      </c>
      <c r="E47" t="inlineStr">
        <is>
          <t>https://lpjk.pu.go.id/search-badan-usaha-detail/MVFnTm04TlFvWDNnUmJjWEpGc2ltZz09</t>
        </is>
      </c>
      <c r="F47" t="n">
        <v>1</v>
      </c>
      <c r="G47" t="inlineStr">
        <is>
          <t>BS001</t>
        </is>
      </c>
      <c r="H47" t="inlineStr">
        <is>
          <t>5 Januari 2022</t>
        </is>
      </c>
      <c r="I47" s="2" t="n">
        <v>46215</v>
      </c>
      <c r="J47" t="inlineStr">
        <is>
          <t>Disetujui</t>
        </is>
      </c>
      <c r="K47" t="n">
        <v>30</v>
      </c>
      <c r="L47" t="inlineStr">
        <is>
          <t>12 Juli 2026</t>
        </is>
      </c>
      <c r="M47" t="inlineStr">
        <is>
          <t>Konstruksi Bangunan Sipil Jalan</t>
        </is>
      </c>
      <c r="N47" t="inlineStr">
        <is>
          <t>K</t>
        </is>
      </c>
      <c r="O47" t="inlineStr">
        <is>
          <t>20230713</t>
        </is>
      </c>
      <c r="P47" t="inlineStr">
        <is>
          <t>Sulawesi Selatan</t>
        </is>
      </c>
      <c r="Q47" t="inlineStr"/>
    </row>
    <row r="48">
      <c r="A48" t="inlineStr">
        <is>
          <t>BATU NALUIR PUTRA LANGGASON</t>
        </is>
      </c>
      <c r="B48" t="inlineStr">
        <is>
          <t>Kab. Nunukan</t>
        </is>
      </c>
      <c r="C48" t="inlineStr">
        <is>
          <t>085348126387</t>
        </is>
      </c>
      <c r="D48" t="inlineStr">
        <is>
          <t>satusatusayangkamu20@gmail.com</t>
        </is>
      </c>
      <c r="E48" t="inlineStr">
        <is>
          <t>https://lpjk.pu.go.id/search-badan-usaha-detail/OG02Nm1sMHUveW52aWVPdnZHbUcrUT09</t>
        </is>
      </c>
      <c r="F48" t="n">
        <v>1</v>
      </c>
      <c r="G48" t="inlineStr">
        <is>
          <t>BS001</t>
        </is>
      </c>
      <c r="H48" t="inlineStr">
        <is>
          <t>4 Februari 2003</t>
        </is>
      </c>
      <c r="I48" s="2" t="n">
        <v>46215</v>
      </c>
      <c r="J48" t="inlineStr">
        <is>
          <t>Disetujui</t>
        </is>
      </c>
      <c r="K48" t="n">
        <v>30</v>
      </c>
      <c r="L48" t="inlineStr">
        <is>
          <t>12 Juli 2026</t>
        </is>
      </c>
      <c r="M48" t="inlineStr">
        <is>
          <t>Konstruksi Bangunan Sipil Jalan</t>
        </is>
      </c>
      <c r="N48" t="inlineStr">
        <is>
          <t>K</t>
        </is>
      </c>
      <c r="O48" t="inlineStr">
        <is>
          <t>20230606</t>
        </is>
      </c>
      <c r="P48" t="inlineStr">
        <is>
          <t>Kalimantan Utara</t>
        </is>
      </c>
      <c r="Q48" t="inlineStr"/>
    </row>
    <row r="49">
      <c r="A49" t="inlineStr">
        <is>
          <t>BERKAH MAJU MAKMUR</t>
        </is>
      </c>
      <c r="B49" t="inlineStr">
        <is>
          <t>Kab. Pacitan</t>
        </is>
      </c>
      <c r="C49" t="inlineStr">
        <is>
          <t>085234432292</t>
        </is>
      </c>
      <c r="D49" t="inlineStr">
        <is>
          <t>majumakmurberkah@gmail.com</t>
        </is>
      </c>
      <c r="E49" t="inlineStr">
        <is>
          <t>https://lpjk.pu.go.id/search-badan-usaha-detail/cVFXYzR4b3BaMUc5QWg3T0N5RHV6QT09</t>
        </is>
      </c>
      <c r="F49" t="n">
        <v>6</v>
      </c>
      <c r="G49" t="inlineStr">
        <is>
          <t>BG005, BG006, BS001</t>
        </is>
      </c>
      <c r="H49" t="inlineStr">
        <is>
          <t>10 Oktober 2019</t>
        </is>
      </c>
      <c r="I49" s="2" t="n">
        <v>46215</v>
      </c>
      <c r="J49" t="inlineStr">
        <is>
          <t>Disetujui</t>
        </is>
      </c>
      <c r="K49" t="n">
        <v>30</v>
      </c>
      <c r="L49" t="inlineStr">
        <is>
          <t>12 Juli 2026</t>
        </is>
      </c>
      <c r="M49" t="inlineStr">
        <is>
          <t>Konstruksi Bangunan Sipil Jalan, Konstruksi Gedung Kesehatan, Konstruksi Gedung Pendidikan</t>
        </is>
      </c>
      <c r="N49" t="inlineStr">
        <is>
          <t>K</t>
        </is>
      </c>
      <c r="O49" t="inlineStr">
        <is>
          <t>20230705</t>
        </is>
      </c>
      <c r="P49" t="inlineStr">
        <is>
          <t>Jawa Timur</t>
        </is>
      </c>
      <c r="Q49" t="inlineStr"/>
    </row>
    <row r="50">
      <c r="A50" t="inlineStr">
        <is>
          <t>BERKAH PAJAR UTAMA</t>
        </is>
      </c>
      <c r="B50" t="inlineStr">
        <is>
          <t>Kab. Kuningan</t>
        </is>
      </c>
      <c r="C50" t="inlineStr">
        <is>
          <t>082119623623</t>
        </is>
      </c>
      <c r="D50" t="inlineStr">
        <is>
          <t>cv.berkahpajarutama.kng@gmail.com</t>
        </is>
      </c>
      <c r="E50" t="inlineStr">
        <is>
          <t>https://lpjk.pu.go.id/search-badan-usaha-detail/Zk1uYnl0cDBtVVpVcmlpdklpZkJsdz09</t>
        </is>
      </c>
      <c r="F50" t="n">
        <v>2</v>
      </c>
      <c r="G50" t="inlineStr">
        <is>
          <t>BG006</t>
        </is>
      </c>
      <c r="H50" t="inlineStr">
        <is>
          <t>11 Oktober 2003</t>
        </is>
      </c>
      <c r="I50" s="2" t="n">
        <v>46215</v>
      </c>
      <c r="J50" t="inlineStr">
        <is>
          <t>Disetujui</t>
        </is>
      </c>
      <c r="K50" t="n">
        <v>30</v>
      </c>
      <c r="L50" t="inlineStr">
        <is>
          <t>12 Juli 2026</t>
        </is>
      </c>
      <c r="M50" t="inlineStr">
        <is>
          <t>Konstruksi Gedung Pendidikan</t>
        </is>
      </c>
      <c r="N50" t="inlineStr">
        <is>
          <t>K</t>
        </is>
      </c>
      <c r="O50" t="inlineStr">
        <is>
          <t>20230711</t>
        </is>
      </c>
      <c r="P50" t="inlineStr">
        <is>
          <t>Jawa Barat</t>
        </is>
      </c>
      <c r="Q50" t="inlineStr"/>
    </row>
    <row r="51">
      <c r="A51" t="inlineStr">
        <is>
          <t>BERKAH RAMBANG MENDAYUN</t>
        </is>
      </c>
      <c r="B51" t="inlineStr">
        <is>
          <t>Kota Prabumulih</t>
        </is>
      </c>
      <c r="C51" t="inlineStr">
        <is>
          <t>085267890662</t>
        </is>
      </c>
      <c r="D51" t="inlineStr">
        <is>
          <t>cv.berayun@gmail.com</t>
        </is>
      </c>
      <c r="E51" t="inlineStr">
        <is>
          <t>https://lpjk.pu.go.id/search-badan-usaha-detail/eVlGZGhCbzFNR2o5NnNhV1duNFk0dz09</t>
        </is>
      </c>
      <c r="F51" t="n">
        <v>2</v>
      </c>
      <c r="G51" t="inlineStr">
        <is>
          <t>BG006</t>
        </is>
      </c>
      <c r="H51" t="inlineStr">
        <is>
          <t>26 April 2019</t>
        </is>
      </c>
      <c r="I51" s="2" t="n">
        <v>46215</v>
      </c>
      <c r="J51" t="inlineStr">
        <is>
          <t>Disetujui</t>
        </is>
      </c>
      <c r="K51" t="n">
        <v>30</v>
      </c>
      <c r="L51" t="inlineStr">
        <is>
          <t>12 Juli 2026</t>
        </is>
      </c>
      <c r="M51" t="inlineStr">
        <is>
          <t>Konstruksi Gedung Pendidikan</t>
        </is>
      </c>
      <c r="N51" t="inlineStr">
        <is>
          <t>K</t>
        </is>
      </c>
      <c r="O51" t="inlineStr">
        <is>
          <t>20230704</t>
        </is>
      </c>
      <c r="P51" t="inlineStr">
        <is>
          <t>Sumatera Selatan</t>
        </is>
      </c>
      <c r="Q51" t="inlineStr"/>
    </row>
    <row r="52">
      <c r="A52" t="inlineStr">
        <is>
          <t>BERKAH WIJAYA</t>
        </is>
      </c>
      <c r="B52" t="inlineStr">
        <is>
          <t>Kab. Magelang</t>
        </is>
      </c>
      <c r="C52" t="inlineStr">
        <is>
          <t>08122796303</t>
        </is>
      </c>
      <c r="D52" t="inlineStr">
        <is>
          <t>cvberkah.wijayasakti@gmail.com</t>
        </is>
      </c>
      <c r="E52" t="inlineStr">
        <is>
          <t>https://lpjk.pu.go.id/search-badan-usaha-detail/WHpJT2dmUFJpaXk1NDFyN2NnM1lnZz09</t>
        </is>
      </c>
      <c r="F52" t="n">
        <v>4</v>
      </c>
      <c r="G52" t="inlineStr">
        <is>
          <t>BG002, BG005</t>
        </is>
      </c>
      <c r="H52" t="inlineStr">
        <is>
          <t>7 Desember 2015</t>
        </is>
      </c>
      <c r="I52" s="2" t="n">
        <v>46215</v>
      </c>
      <c r="J52" t="inlineStr">
        <is>
          <t>Disetujui</t>
        </is>
      </c>
      <c r="K52" t="n">
        <v>30</v>
      </c>
      <c r="L52" t="inlineStr">
        <is>
          <t>12 Juli 2026</t>
        </is>
      </c>
      <c r="M52" t="inlineStr">
        <is>
          <t>Konstruksi Gedung Kesehatan, Konstruksi Gedung Perkantoran</t>
        </is>
      </c>
      <c r="N52" t="inlineStr">
        <is>
          <t>K</t>
        </is>
      </c>
      <c r="O52" t="inlineStr">
        <is>
          <t>20230707, 20230713</t>
        </is>
      </c>
      <c r="P52" t="inlineStr">
        <is>
          <t>Jawa Tengah</t>
        </is>
      </c>
      <c r="Q52" t="inlineStr"/>
    </row>
    <row r="53">
      <c r="A53" t="inlineStr">
        <is>
          <t>BHAKTI SURYA MANDALA</t>
        </is>
      </c>
      <c r="B53" t="inlineStr">
        <is>
          <t>Kota Surabaya</t>
        </is>
      </c>
      <c r="C53" t="inlineStr">
        <is>
          <t>081913300066</t>
        </is>
      </c>
      <c r="D53" t="inlineStr">
        <is>
          <t>office.bhaktisuryamandala@gmail.com</t>
        </is>
      </c>
      <c r="E53" t="inlineStr">
        <is>
          <t>https://lpjk.pu.go.id/search-badan-usaha-detail/djhEOHgvZFhrMlZUWW5HQWFXMEFVUT09</t>
        </is>
      </c>
      <c r="F53" t="n">
        <v>1</v>
      </c>
      <c r="G53" t="inlineStr">
        <is>
          <t>BG006</t>
        </is>
      </c>
      <c r="H53" t="inlineStr">
        <is>
          <t>14 Januari 2022</t>
        </is>
      </c>
      <c r="I53" s="2" t="n">
        <v>46215</v>
      </c>
      <c r="J53" t="inlineStr">
        <is>
          <t>Disetujui</t>
        </is>
      </c>
      <c r="K53" t="n">
        <v>30</v>
      </c>
      <c r="L53" t="inlineStr">
        <is>
          <t>12 Juli 2026</t>
        </is>
      </c>
      <c r="M53" t="inlineStr">
        <is>
          <t>Konstruksi Gedung Pendidikan</t>
        </is>
      </c>
      <c r="N53" t="inlineStr">
        <is>
          <t>K</t>
        </is>
      </c>
      <c r="O53" t="inlineStr">
        <is>
          <t>20230706</t>
        </is>
      </c>
      <c r="P53" t="inlineStr">
        <is>
          <t>Jawa Timur</t>
        </is>
      </c>
      <c r="Q53" t="inlineStr"/>
    </row>
    <row r="54">
      <c r="A54" t="inlineStr">
        <is>
          <t>BIMMEL JAYA MANDIRI</t>
        </is>
      </c>
      <c r="B54" t="inlineStr">
        <is>
          <t>Kab. Cirebon</t>
        </is>
      </c>
      <c r="C54" t="inlineStr">
        <is>
          <t>087705048382</t>
        </is>
      </c>
      <c r="D54" t="inlineStr">
        <is>
          <t>CVBIMMELJAYAMANDIRI@GMAIL.COM</t>
        </is>
      </c>
      <c r="E54" t="inlineStr">
        <is>
          <t>https://lpjk.pu.go.id/search-badan-usaha-detail/aW9hOHhxNDlzc0g4MmFYUkFnT3NBQT09</t>
        </is>
      </c>
      <c r="F54" t="n">
        <v>3</v>
      </c>
      <c r="G54" t="inlineStr">
        <is>
          <t>BG006, BG009, BS001</t>
        </is>
      </c>
      <c r="H54" t="inlineStr">
        <is>
          <t>8 Juni 2023</t>
        </is>
      </c>
      <c r="I54" s="2" t="n">
        <v>46215</v>
      </c>
      <c r="J54" t="inlineStr">
        <is>
          <t>Disetujui</t>
        </is>
      </c>
      <c r="K54" t="n">
        <v>30</v>
      </c>
      <c r="L54" t="inlineStr">
        <is>
          <t>12 Juli 2026</t>
        </is>
      </c>
      <c r="M54" t="inlineStr">
        <is>
          <t>Konstruksi Bangunan Sipil Jalan, Konstruksi Gedung Lainnya, Konstruksi Gedung Pendidikan</t>
        </is>
      </c>
      <c r="N54" t="inlineStr">
        <is>
          <t>K</t>
        </is>
      </c>
      <c r="O54" t="inlineStr">
        <is>
          <t>20230711</t>
        </is>
      </c>
      <c r="P54" t="inlineStr">
        <is>
          <t>Jawa Barat</t>
        </is>
      </c>
      <c r="Q54" t="inlineStr"/>
    </row>
    <row r="55">
      <c r="A55" t="inlineStr">
        <is>
          <t>BINA KARYA PRIMA</t>
        </is>
      </c>
      <c r="B55" t="inlineStr">
        <is>
          <t>Kab. Cirebon</t>
        </is>
      </c>
      <c r="C55" t="inlineStr">
        <is>
          <t>081312333384</t>
        </is>
      </c>
      <c r="D55" t="inlineStr">
        <is>
          <t>binakaryaprima9@gmail.com</t>
        </is>
      </c>
      <c r="E55" t="inlineStr">
        <is>
          <t>https://lpjk.pu.go.id/search-badan-usaha-detail/cEJzQmdlVzBpejBGdndlYWFRT2taZz09</t>
        </is>
      </c>
      <c r="F55" t="n">
        <v>1</v>
      </c>
      <c r="G55" t="inlineStr">
        <is>
          <t>RK001</t>
        </is>
      </c>
      <c r="H55" t="inlineStr">
        <is>
          <t>6 September 2019</t>
        </is>
      </c>
      <c r="I55" s="2" t="n">
        <v>46215</v>
      </c>
      <c r="J55" t="inlineStr">
        <is>
          <t>Pencabutan</t>
        </is>
      </c>
      <c r="K55" t="n">
        <v>30</v>
      </c>
      <c r="L55" t="inlineStr">
        <is>
          <t>12 Juli 2026</t>
        </is>
      </c>
      <c r="M55" t="inlineStr">
        <is>
          <t>Jasa Rekayasa Konstruksi Bangunan Gedung Hunian dan Non Hunian</t>
        </is>
      </c>
      <c r="N55" t="inlineStr">
        <is>
          <t>K</t>
        </is>
      </c>
      <c r="O55" t="inlineStr">
        <is>
          <t>20230331</t>
        </is>
      </c>
      <c r="P55" t="inlineStr">
        <is>
          <t>Jawa Barat</t>
        </is>
      </c>
      <c r="Q55" t="inlineStr"/>
    </row>
    <row r="56">
      <c r="A56" t="inlineStr">
        <is>
          <t>BINTANG MUDA</t>
        </is>
      </c>
      <c r="B56" t="inlineStr">
        <is>
          <t>Kab. Bengkalis</t>
        </is>
      </c>
      <c r="C56" t="inlineStr">
        <is>
          <t>085278522044</t>
        </is>
      </c>
      <c r="D56" t="inlineStr">
        <is>
          <t>bintangmuda_cv@yahoo.com</t>
        </is>
      </c>
      <c r="E56" t="inlineStr">
        <is>
          <t>https://lpjk.pu.go.id/search-badan-usaha-detail/RkVONE0xVHRWaWw5ejFOY3hianBUdz09</t>
        </is>
      </c>
      <c r="F56" t="n">
        <v>4</v>
      </c>
      <c r="G56" t="inlineStr">
        <is>
          <t>BG006, BS001</t>
        </is>
      </c>
      <c r="H56" t="inlineStr">
        <is>
          <t>24 Januari 2012</t>
        </is>
      </c>
      <c r="I56" s="2" t="n">
        <v>46215</v>
      </c>
      <c r="J56" t="inlineStr">
        <is>
          <t>Disetujui</t>
        </is>
      </c>
      <c r="K56" t="n">
        <v>30</v>
      </c>
      <c r="L56" t="inlineStr">
        <is>
          <t>12 Juli 2026</t>
        </is>
      </c>
      <c r="M56" t="inlineStr">
        <is>
          <t>Konstruksi Bangunan Sipil Jalan, Konstruksi Gedung Pendidikan</t>
        </is>
      </c>
      <c r="N56" t="inlineStr">
        <is>
          <t>K</t>
        </is>
      </c>
      <c r="O56" t="inlineStr">
        <is>
          <t>20230712, 20230713</t>
        </is>
      </c>
      <c r="P56" t="inlineStr">
        <is>
          <t>Riau</t>
        </is>
      </c>
      <c r="Q56" t="inlineStr"/>
    </row>
    <row r="57">
      <c r="A57" t="inlineStr">
        <is>
          <t>BINTANG SEJATI NUSANTARA</t>
        </is>
      </c>
      <c r="B57" t="inlineStr">
        <is>
          <t>Kota Palembang</t>
        </is>
      </c>
      <c r="C57" t="inlineStr">
        <is>
          <t>082362479840</t>
        </is>
      </c>
      <c r="D57" t="inlineStr">
        <is>
          <t>bintangsejatinusantara@gmail.com</t>
        </is>
      </c>
      <c r="E57" t="inlineStr">
        <is>
          <t>https://lpjk.pu.go.id/search-badan-usaha-detail/djhuMTVtVy9kWGdINVBKdGRyWmVqZz09</t>
        </is>
      </c>
      <c r="F57" t="n">
        <v>2</v>
      </c>
      <c r="G57" t="inlineStr">
        <is>
          <t>BS001</t>
        </is>
      </c>
      <c r="H57" t="inlineStr">
        <is>
          <t>29 Desember 2022</t>
        </is>
      </c>
      <c r="I57" s="2" t="n">
        <v>46215</v>
      </c>
      <c r="J57" t="inlineStr">
        <is>
          <t>Pencabutan</t>
        </is>
      </c>
      <c r="K57" t="n">
        <v>30</v>
      </c>
      <c r="L57" t="inlineStr">
        <is>
          <t>12 Juli 2026</t>
        </is>
      </c>
      <c r="M57" t="inlineStr">
        <is>
          <t>Konstruksi Bangunan Sipil Jalan</t>
        </is>
      </c>
      <c r="N57" t="inlineStr">
        <is>
          <t>K</t>
        </is>
      </c>
      <c r="O57" t="inlineStr">
        <is>
          <t>20230705</t>
        </is>
      </c>
      <c r="P57" t="inlineStr">
        <is>
          <t>Sumatera Selatan</t>
        </is>
      </c>
      <c r="Q57" t="inlineStr"/>
    </row>
    <row r="58">
      <c r="A58" t="inlineStr">
        <is>
          <t>BINTANG TERANG PERKASA</t>
        </is>
      </c>
      <c r="B58" t="inlineStr">
        <is>
          <t>Kab. Kapuas Hulu</t>
        </is>
      </c>
      <c r="C58" t="inlineStr">
        <is>
          <t>085245567116</t>
        </is>
      </c>
      <c r="D58" t="inlineStr">
        <is>
          <t>bintangterangperkasa.cv@gmail.com</t>
        </is>
      </c>
      <c r="E58" t="inlineStr">
        <is>
          <t>https://lpjk.pu.go.id/search-badan-usaha-detail/amptRHdrbzFQM2FBUWgzSno1QXZaZz09</t>
        </is>
      </c>
      <c r="F58" t="n">
        <v>4</v>
      </c>
      <c r="G58" t="inlineStr">
        <is>
          <t>BG005, BG006</t>
        </is>
      </c>
      <c r="H58" t="inlineStr">
        <is>
          <t>12 Februari 2019</t>
        </is>
      </c>
      <c r="I58" s="2" t="n">
        <v>46215</v>
      </c>
      <c r="J58" t="inlineStr">
        <is>
          <t>Disetujui</t>
        </is>
      </c>
      <c r="K58" t="n">
        <v>30</v>
      </c>
      <c r="L58" t="inlineStr">
        <is>
          <t>12 Juli 2026</t>
        </is>
      </c>
      <c r="M58" t="inlineStr">
        <is>
          <t>Konstruksi Gedung Kesehatan, Konstruksi Gedung Pendidikan</t>
        </is>
      </c>
      <c r="N58" t="inlineStr">
        <is>
          <t>K</t>
        </is>
      </c>
      <c r="O58" t="inlineStr">
        <is>
          <t>20230630, 20230701</t>
        </is>
      </c>
      <c r="P58" t="inlineStr">
        <is>
          <t>Kalimantan Barat</t>
        </is>
      </c>
      <c r="Q58" t="inlineStr"/>
    </row>
    <row r="59">
      <c r="A59" t="inlineStr">
        <is>
          <t>BUMI MADANI CONSULTING</t>
        </is>
      </c>
      <c r="B59" t="inlineStr">
        <is>
          <t>Kab. Berau</t>
        </is>
      </c>
      <c r="C59" t="inlineStr">
        <is>
          <t>085391595607</t>
        </is>
      </c>
      <c r="D59" t="inlineStr">
        <is>
          <t>bumimadani2023@gmail.com</t>
        </is>
      </c>
      <c r="E59" t="inlineStr">
        <is>
          <t>https://lpjk.pu.go.id/search-badan-usaha-detail/UWtDNWp0SE1wb1JybEdJbmp0aTRDQT09</t>
        </is>
      </c>
      <c r="F59" t="n">
        <v>4</v>
      </c>
      <c r="G59" t="inlineStr">
        <is>
          <t>AL001, AL002, AL003, AL004</t>
        </is>
      </c>
      <c r="H59" t="inlineStr">
        <is>
          <t>5 Juni 2023</t>
        </is>
      </c>
      <c r="I59" s="2" t="n">
        <v>46215</v>
      </c>
      <c r="J59" t="inlineStr">
        <is>
          <t>Disetujui</t>
        </is>
      </c>
      <c r="K59" t="n">
        <v>30</v>
      </c>
      <c r="L59" t="inlineStr">
        <is>
          <t>12 Juli 2026</t>
        </is>
      </c>
      <c r="M59" t="inlineStr">
        <is>
          <t>Jasa Pengembangan Lingkungan Bangunan dan Lanskap, Jasa Pengembangan Pemanfaatan Ruang, Jasa Pengembangan Perkotaan, Jasa Pengembangan Wilayah</t>
        </is>
      </c>
      <c r="N59" t="inlineStr">
        <is>
          <t>K</t>
        </is>
      </c>
      <c r="O59" t="inlineStr">
        <is>
          <t>20230703</t>
        </is>
      </c>
      <c r="P59" t="inlineStr">
        <is>
          <t>Kalimantan Timur</t>
        </is>
      </c>
      <c r="Q59" t="inlineStr"/>
    </row>
    <row r="60">
      <c r="A60" t="inlineStr">
        <is>
          <t>BUMI PERKASA PRATAMA</t>
        </is>
      </c>
      <c r="B60" t="inlineStr">
        <is>
          <t>Kota Pangkal Pinang</t>
        </is>
      </c>
      <c r="C60" t="inlineStr">
        <is>
          <t>07174261150</t>
        </is>
      </c>
      <c r="D60" t="inlineStr">
        <is>
          <t>bpp.office98@gmail.com</t>
        </is>
      </c>
      <c r="E60" t="inlineStr">
        <is>
          <t>https://lpjk.pu.go.id/search-badan-usaha-detail/ZFFOb2g2NUNiQTYzQ00xS2dtUWtaUT09</t>
        </is>
      </c>
      <c r="F60" t="n">
        <v>1</v>
      </c>
      <c r="G60" t="inlineStr">
        <is>
          <t>BG001</t>
        </is>
      </c>
      <c r="H60" t="inlineStr">
        <is>
          <t>6 Desember 2007</t>
        </is>
      </c>
      <c r="I60" s="2" t="n">
        <v>46215</v>
      </c>
      <c r="J60" t="inlineStr">
        <is>
          <t>Disetujui</t>
        </is>
      </c>
      <c r="K60" t="n">
        <v>30</v>
      </c>
      <c r="L60" t="inlineStr">
        <is>
          <t>12 Juli 2026</t>
        </is>
      </c>
      <c r="M60" t="inlineStr">
        <is>
          <t>Konstruksi Gedung Hunian</t>
        </is>
      </c>
      <c r="N60" t="inlineStr">
        <is>
          <t>K</t>
        </is>
      </c>
      <c r="O60" t="inlineStr">
        <is>
          <t>20230710</t>
        </is>
      </c>
      <c r="P60" t="inlineStr">
        <is>
          <t>Kepulauan Bangka Belitung</t>
        </is>
      </c>
      <c r="Q60" t="inlineStr"/>
    </row>
    <row r="61">
      <c r="A61" t="inlineStr">
        <is>
          <t>BUMI SRIWIJAYA UTAMA</t>
        </is>
      </c>
      <c r="B61" t="inlineStr">
        <is>
          <t>Kota Pontianak</t>
        </is>
      </c>
      <c r="C61" t="inlineStr">
        <is>
          <t>085650801899</t>
        </is>
      </c>
      <c r="D61" t="inlineStr">
        <is>
          <t>bumisriwijayautama@gmail.com</t>
        </is>
      </c>
      <c r="E61" t="inlineStr">
        <is>
          <t>https://lpjk.pu.go.id/search-badan-usaha-detail/Mk50Q3R5Rld0a0p5V3FqTlE4Q2NTQT09</t>
        </is>
      </c>
      <c r="F61" t="n">
        <v>2</v>
      </c>
      <c r="G61" t="inlineStr">
        <is>
          <t>BG001, BG003</t>
        </is>
      </c>
      <c r="H61" t="inlineStr">
        <is>
          <t>6 Februari 2020</t>
        </is>
      </c>
      <c r="I61" s="2" t="n">
        <v>46215</v>
      </c>
      <c r="J61" t="inlineStr">
        <is>
          <t>Pencabutan</t>
        </is>
      </c>
      <c r="K61" t="n">
        <v>30</v>
      </c>
      <c r="L61" t="inlineStr">
        <is>
          <t>12 Juli 2026</t>
        </is>
      </c>
      <c r="M61" t="inlineStr">
        <is>
          <t>Konstruksi Gedung Hunian, Konstruksi Gedung Industri</t>
        </is>
      </c>
      <c r="N61" t="inlineStr">
        <is>
          <t>K</t>
        </is>
      </c>
      <c r="O61" t="inlineStr">
        <is>
          <t>20230712</t>
        </is>
      </c>
      <c r="P61" t="inlineStr">
        <is>
          <t>Kalimantan Barat</t>
        </is>
      </c>
      <c r="Q61" t="inlineStr"/>
    </row>
    <row r="62">
      <c r="A62" t="inlineStr">
        <is>
          <t>CAHAYA KONSULTAN</t>
        </is>
      </c>
      <c r="B62" t="inlineStr">
        <is>
          <t>Kota Semarang</t>
        </is>
      </c>
      <c r="C62" t="inlineStr">
        <is>
          <t>085842354973</t>
        </is>
      </c>
      <c r="D62" t="inlineStr">
        <is>
          <t>konsultancahaya@gmail.com</t>
        </is>
      </c>
      <c r="E62" t="inlineStr">
        <is>
          <t>https://lpjk.pu.go.id/search-badan-usaha-detail/OXFMS2EzNHUvN3JmTXc1d3FEck5BZkF5RllmWnViV2p5cVBtQndQV0JNQT0</t>
        </is>
      </c>
      <c r="F62" t="n">
        <v>1</v>
      </c>
      <c r="G62" t="inlineStr">
        <is>
          <t>RK002</t>
        </is>
      </c>
      <c r="H62" t="inlineStr">
        <is>
          <t>7 Februari 2025</t>
        </is>
      </c>
      <c r="I62" s="2" t="n">
        <v>46215</v>
      </c>
      <c r="J62" t="inlineStr">
        <is>
          <t>Disetujui</t>
        </is>
      </c>
      <c r="K62" t="n">
        <v>30</v>
      </c>
      <c r="L62" t="inlineStr">
        <is>
          <t>12 Juli 2026</t>
        </is>
      </c>
      <c r="M62" t="inlineStr">
        <is>
          <t>Jasa Rekayasa Pekerjaan Teknik Sipil Sumber Daya Air</t>
        </is>
      </c>
      <c r="N62" t="inlineStr">
        <is>
          <t>K</t>
        </is>
      </c>
      <c r="O62" t="inlineStr">
        <is>
          <t>20230624</t>
        </is>
      </c>
      <c r="P62" t="inlineStr">
        <is>
          <t>Jawa Tengah</t>
        </is>
      </c>
      <c r="Q62" t="inlineStr"/>
    </row>
    <row r="63">
      <c r="A63" t="inlineStr">
        <is>
          <t>CAHAYA MAS PURNAMA LOMBOK</t>
        </is>
      </c>
      <c r="B63" t="inlineStr">
        <is>
          <t>Kota Mataram</t>
        </is>
      </c>
      <c r="C63" t="inlineStr">
        <is>
          <t>0370635858</t>
        </is>
      </c>
      <c r="D63" t="inlineStr">
        <is>
          <t>cahayamaspurnama17@gmail.com</t>
        </is>
      </c>
      <c r="E63" t="inlineStr">
        <is>
          <t>https://lpjk.pu.go.id/search-badan-usaha-detail/bVRPektLUG1sSzhXbjRQaHFTWmZpZz09</t>
        </is>
      </c>
      <c r="F63" t="n">
        <v>2</v>
      </c>
      <c r="G63" t="inlineStr">
        <is>
          <t>BG004, BG006</t>
        </is>
      </c>
      <c r="H63" t="inlineStr">
        <is>
          <t>17 Maret 2017</t>
        </is>
      </c>
      <c r="I63" s="2" t="n">
        <v>46215</v>
      </c>
      <c r="J63" t="inlineStr">
        <is>
          <t>Disetujui</t>
        </is>
      </c>
      <c r="K63" t="n">
        <v>30</v>
      </c>
      <c r="L63" t="inlineStr">
        <is>
          <t>12 Juli 2026</t>
        </is>
      </c>
      <c r="M63" t="inlineStr">
        <is>
          <t>Konstruksi Gedung Pendidikan, Konstruksi Gedung Perbelanjaan</t>
        </is>
      </c>
      <c r="N63" t="inlineStr">
        <is>
          <t>K</t>
        </is>
      </c>
      <c r="O63" t="inlineStr">
        <is>
          <t>20230713</t>
        </is>
      </c>
      <c r="P63" t="inlineStr">
        <is>
          <t>Nusa Tenggara Barat</t>
        </is>
      </c>
      <c r="Q63" t="inlineStr"/>
    </row>
    <row r="64">
      <c r="A64" t="inlineStr">
        <is>
          <t>CENDANAPURA ALFATIH TOILI</t>
        </is>
      </c>
      <c r="B64" t="inlineStr">
        <is>
          <t>Kab. Banggai</t>
        </is>
      </c>
      <c r="C64" t="inlineStr">
        <is>
          <t>082188924981</t>
        </is>
      </c>
      <c r="D64" t="inlineStr">
        <is>
          <t>cendanapuraalfatihtoili@gmail.com</t>
        </is>
      </c>
      <c r="E64" t="inlineStr">
        <is>
          <t>https://lpjk.pu.go.id/search-badan-usaha-detail/MXh2UnM1Q25vbWVxK1NJSStSRmZvQT09</t>
        </is>
      </c>
      <c r="F64" t="n">
        <v>2</v>
      </c>
      <c r="G64" t="inlineStr">
        <is>
          <t>BG006, BG009</t>
        </is>
      </c>
      <c r="H64" t="inlineStr">
        <is>
          <t>8 Juni 2023</t>
        </is>
      </c>
      <c r="I64" s="2" t="n">
        <v>46215</v>
      </c>
      <c r="J64" t="inlineStr">
        <is>
          <t>Disetujui</t>
        </is>
      </c>
      <c r="K64" t="n">
        <v>30</v>
      </c>
      <c r="L64" t="inlineStr">
        <is>
          <t>12 Juli 2026</t>
        </is>
      </c>
      <c r="M64" t="inlineStr">
        <is>
          <t>Konstruksi Gedung Lainnya, Konstruksi Gedung Pendidikan</t>
        </is>
      </c>
      <c r="N64" t="inlineStr">
        <is>
          <t>K</t>
        </is>
      </c>
      <c r="O64" t="inlineStr">
        <is>
          <t>20230713</t>
        </is>
      </c>
      <c r="P64" t="inlineStr">
        <is>
          <t>Sulawesi Tengah</t>
        </is>
      </c>
      <c r="Q64" t="inlineStr"/>
    </row>
    <row r="65">
      <c r="A65" t="inlineStr">
        <is>
          <t>CINTA KARYA MEMBANGUN</t>
        </is>
      </c>
      <c r="B65" t="inlineStr">
        <is>
          <t>Kota Medan</t>
        </is>
      </c>
      <c r="C65" t="inlineStr">
        <is>
          <t>06142777095</t>
        </is>
      </c>
      <c r="D65" t="inlineStr">
        <is>
          <t>cintakaryapt@gmail.com</t>
        </is>
      </c>
      <c r="E65" t="inlineStr">
        <is>
          <t>https://lpjk.pu.go.id/search-badan-usaha-detail/OTFPMkFsWGJmY0dsVTdrejMySFI5Zz09</t>
        </is>
      </c>
      <c r="F65" t="n">
        <v>1</v>
      </c>
      <c r="G65" t="inlineStr">
        <is>
          <t>BG006</t>
        </is>
      </c>
      <c r="H65" t="inlineStr">
        <is>
          <t>28 Oktober 2015</t>
        </is>
      </c>
      <c r="I65" s="2" t="n">
        <v>46215</v>
      </c>
      <c r="J65" t="inlineStr">
        <is>
          <t>Pembekuan</t>
        </is>
      </c>
      <c r="K65" t="n">
        <v>30</v>
      </c>
      <c r="L65" t="inlineStr">
        <is>
          <t>12 Juli 2026</t>
        </is>
      </c>
      <c r="M65" t="inlineStr">
        <is>
          <t>Konstruksi Gedung Pendidikan</t>
        </is>
      </c>
      <c r="N65" t="inlineStr">
        <is>
          <t>M</t>
        </is>
      </c>
      <c r="O65" t="inlineStr">
        <is>
          <t>20230708</t>
        </is>
      </c>
      <c r="P65" t="inlineStr">
        <is>
          <t>Sumatera Utara</t>
        </is>
      </c>
      <c r="Q65" t="inlineStr"/>
    </row>
    <row r="66">
      <c r="A66" t="inlineStr">
        <is>
          <t>CIPTA BANGUN RAYA</t>
        </is>
      </c>
      <c r="B66" t="inlineStr">
        <is>
          <t>Kab. Ogan Komering Ulu</t>
        </is>
      </c>
      <c r="C66" t="inlineStr">
        <is>
          <t>082281741445</t>
        </is>
      </c>
      <c r="D66" t="inlineStr">
        <is>
          <t>ciptabangunrayacv@gmail.com</t>
        </is>
      </c>
      <c r="E66" t="inlineStr">
        <is>
          <t>https://lpjk.pu.go.id/search-badan-usaha-detail/bytZaGh5MDdsQVc2eHdvOVM4Y2dLQT09</t>
        </is>
      </c>
      <c r="F66" t="n">
        <v>2</v>
      </c>
      <c r="G66" t="inlineStr">
        <is>
          <t>BG008, BS004</t>
        </is>
      </c>
      <c r="H66" t="inlineStr">
        <is>
          <t>21 Januari 2020</t>
        </is>
      </c>
      <c r="I66" s="2" t="n">
        <v>46215</v>
      </c>
      <c r="J66" t="inlineStr">
        <is>
          <t>Disetujui</t>
        </is>
      </c>
      <c r="K66" t="n">
        <v>30</v>
      </c>
      <c r="L66" t="inlineStr">
        <is>
          <t>12 Juli 2026</t>
        </is>
      </c>
      <c r="M66" t="inlineStr">
        <is>
          <t>Konstruksi Gedung Tempat Hiburan dan Olahraga, Konstruksi Jaringan Irigasi dan Drainase</t>
        </is>
      </c>
      <c r="N66" t="inlineStr">
        <is>
          <t>K</t>
        </is>
      </c>
      <c r="O66" t="inlineStr">
        <is>
          <t>20230711</t>
        </is>
      </c>
      <c r="P66" t="inlineStr">
        <is>
          <t>Sumatera Selatan</t>
        </is>
      </c>
      <c r="Q66" t="inlineStr"/>
    </row>
    <row r="67">
      <c r="A67" t="inlineStr">
        <is>
          <t>CIPTA INDAH ABADI GEMILANG</t>
        </is>
      </c>
      <c r="B67" t="inlineStr">
        <is>
          <t>Kota Probolinggo</t>
        </is>
      </c>
      <c r="C67" t="inlineStr">
        <is>
          <t>0813 3671 6268</t>
        </is>
      </c>
      <c r="D67" t="inlineStr">
        <is>
          <t>wiksyanti@gmail.com</t>
        </is>
      </c>
      <c r="E67" t="inlineStr">
        <is>
          <t>https://lpjk.pu.go.id/search-badan-usaha-detail/ekNpSVBTZkdlbDA3VFhCWTVQN2VhUT09</t>
        </is>
      </c>
      <c r="F67" t="n">
        <v>4</v>
      </c>
      <c r="G67" t="inlineStr">
        <is>
          <t>RK002, RK003</t>
        </is>
      </c>
      <c r="H67" t="inlineStr">
        <is>
          <t>13 Oktober 2010</t>
        </is>
      </c>
      <c r="I67" s="2" t="n">
        <v>46215</v>
      </c>
      <c r="J67" t="inlineStr">
        <is>
          <t>Disetujui</t>
        </is>
      </c>
      <c r="K67" t="n">
        <v>30</v>
      </c>
      <c r="L67" t="inlineStr">
        <is>
          <t>12 Juli 2026</t>
        </is>
      </c>
      <c r="M67" t="inlineStr">
        <is>
          <t>Jasa Rekayasa Pekerjaan Teknik Sipil Sumber Daya Air, Jasa Rekayasa Pekerjaan Teknik Sipil Transportasi</t>
        </is>
      </c>
      <c r="N67" t="inlineStr">
        <is>
          <t>K</t>
        </is>
      </c>
      <c r="O67" t="inlineStr">
        <is>
          <t>20230703</t>
        </is>
      </c>
      <c r="P67" t="inlineStr">
        <is>
          <t>Jawa Timur</t>
        </is>
      </c>
      <c r="Q67" t="inlineStr"/>
    </row>
    <row r="68">
      <c r="A68" t="inlineStr">
        <is>
          <t>CIPTA KREASI UTAMA</t>
        </is>
      </c>
      <c r="B68" t="inlineStr">
        <is>
          <t>Kab. Pasaman</t>
        </is>
      </c>
      <c r="C68" t="inlineStr">
        <is>
          <t>0812663636666</t>
        </is>
      </c>
      <c r="D68" t="inlineStr">
        <is>
          <t>cku.denny@yahoo.co.id</t>
        </is>
      </c>
      <c r="E68" t="inlineStr">
        <is>
          <t>https://lpjk.pu.go.id/search-badan-usaha-detail/MHFoaUt4QmY1TlZMeGczOW9yUDQ4dz09</t>
        </is>
      </c>
      <c r="F68" t="n">
        <v>3</v>
      </c>
      <c r="G68" t="inlineStr">
        <is>
          <t>BG006, BG008, BG009</t>
        </is>
      </c>
      <c r="H68" t="inlineStr">
        <is>
          <t>13 Oktober 2008</t>
        </is>
      </c>
      <c r="I68" s="2" t="n">
        <v>46215</v>
      </c>
      <c r="J68" t="inlineStr">
        <is>
          <t>Pencabutan</t>
        </is>
      </c>
      <c r="K68" t="n">
        <v>30</v>
      </c>
      <c r="L68" t="inlineStr">
        <is>
          <t>12 Juli 2026</t>
        </is>
      </c>
      <c r="M68" t="inlineStr">
        <is>
          <t>Konstruksi Gedung Lainnya, Konstruksi Gedung Pendidikan, Konstruksi Gedung Tempat Hiburan dan Olahraga</t>
        </is>
      </c>
      <c r="N68" t="inlineStr">
        <is>
          <t>K</t>
        </is>
      </c>
      <c r="O68" t="inlineStr">
        <is>
          <t>20230712</t>
        </is>
      </c>
      <c r="P68" t="inlineStr">
        <is>
          <t>Sumatera Barat</t>
        </is>
      </c>
      <c r="Q68" t="inlineStr"/>
    </row>
    <row r="69">
      <c r="A69" t="inlineStr">
        <is>
          <t>CITRA SUKSES KAMIJAYA</t>
        </is>
      </c>
      <c r="B69" t="inlineStr">
        <is>
          <t>Kab. Lamandau</t>
        </is>
      </c>
      <c r="C69" t="inlineStr">
        <is>
          <t>085348311732</t>
        </is>
      </c>
      <c r="D69" t="inlineStr">
        <is>
          <t>citrasukseskamijaya@gmail.com</t>
        </is>
      </c>
      <c r="E69" t="inlineStr">
        <is>
          <t>https://lpjk.pu.go.id/search-badan-usaha-detail/NGRPS293aUJwU0ZmK0dlaC9XMThadz09</t>
        </is>
      </c>
      <c r="F69" t="n">
        <v>1</v>
      </c>
      <c r="G69" t="inlineStr">
        <is>
          <t>BS010</t>
        </is>
      </c>
      <c r="H69" t="inlineStr">
        <is>
          <t>29 Januari 2020</t>
        </is>
      </c>
      <c r="I69" s="2" t="n">
        <v>46215</v>
      </c>
      <c r="J69" t="inlineStr">
        <is>
          <t>Disetujui</t>
        </is>
      </c>
      <c r="K69" t="n">
        <v>30</v>
      </c>
      <c r="L69" t="inlineStr">
        <is>
          <t>12 Juli 2026</t>
        </is>
      </c>
      <c r="M69" t="inlineStr">
        <is>
          <t>Konstruksi Bangunan Prasarana Sumber Daya Air</t>
        </is>
      </c>
      <c r="N69" t="inlineStr">
        <is>
          <t>K</t>
        </is>
      </c>
      <c r="O69" t="inlineStr">
        <is>
          <t>20230706</t>
        </is>
      </c>
      <c r="P69" t="inlineStr">
        <is>
          <t>Kalimantan Tengah</t>
        </is>
      </c>
      <c r="Q69" t="inlineStr"/>
    </row>
    <row r="70">
      <c r="A70" t="inlineStr">
        <is>
          <t>CV. GANEFO</t>
        </is>
      </c>
      <c r="B70" t="inlineStr">
        <is>
          <t>Kab. Karanganyar</t>
        </is>
      </c>
      <c r="C70" t="inlineStr">
        <is>
          <t>085778336444</t>
        </is>
      </c>
      <c r="D70" t="inlineStr">
        <is>
          <t>ganefocv2002@gmail.com</t>
        </is>
      </c>
      <c r="E70" t="inlineStr">
        <is>
          <t>https://lpjk.pu.go.id/search-badan-usaha-detail/R1ViZ01uc0F5ZWhZS284ZTVpeFBpdz09</t>
        </is>
      </c>
      <c r="F70" t="n">
        <v>4</v>
      </c>
      <c r="G70" t="inlineStr">
        <is>
          <t>BG005, BG006, BG009, BS001</t>
        </is>
      </c>
      <c r="H70" t="inlineStr">
        <is>
          <t>15 Mei 2002</t>
        </is>
      </c>
      <c r="I70" s="2" t="n">
        <v>46215</v>
      </c>
      <c r="J70" t="inlineStr">
        <is>
          <t>Disetujui</t>
        </is>
      </c>
      <c r="K70" t="n">
        <v>30</v>
      </c>
      <c r="L70" t="inlineStr">
        <is>
          <t>12 Juli 2026</t>
        </is>
      </c>
      <c r="M70" t="inlineStr">
        <is>
          <t>Konstruksi Bangunan Sipil Jalan, Konstruksi Gedung Kesehatan, Konstruksi Gedung Lainnya, Konstruksi Gedung Pendidikan</t>
        </is>
      </c>
      <c r="N70" t="inlineStr">
        <is>
          <t>K</t>
        </is>
      </c>
      <c r="O70" t="inlineStr">
        <is>
          <t>20230626, 20230707</t>
        </is>
      </c>
      <c r="P70" t="inlineStr">
        <is>
          <t>Jawa Tengah</t>
        </is>
      </c>
      <c r="Q70" t="inlineStr"/>
    </row>
    <row r="71">
      <c r="A71" t="inlineStr">
        <is>
          <t>CV. GENDIS</t>
        </is>
      </c>
      <c r="B71" t="inlineStr">
        <is>
          <t>Kab. Purbalingga</t>
        </is>
      </c>
      <c r="C71" t="inlineStr">
        <is>
          <t>085227383111</t>
        </is>
      </c>
      <c r="D71" t="inlineStr">
        <is>
          <t>adararatugendis@gmail.com</t>
        </is>
      </c>
      <c r="E71" t="inlineStr">
        <is>
          <t>https://lpjk.pu.go.id/search-badan-usaha-detail/UjNPQVk2VElvcFVBRWJXVk9rdUJxUT09</t>
        </is>
      </c>
      <c r="F71" t="n">
        <v>1</v>
      </c>
      <c r="G71" t="inlineStr">
        <is>
          <t>BS002</t>
        </is>
      </c>
      <c r="H71" t="inlineStr">
        <is>
          <t>18 Januari 2017</t>
        </is>
      </c>
      <c r="I71" s="2" t="n">
        <v>46215</v>
      </c>
      <c r="J71" t="inlineStr">
        <is>
          <t>Disetujui</t>
        </is>
      </c>
      <c r="K71" t="n">
        <v>30</v>
      </c>
      <c r="L71" t="inlineStr">
        <is>
          <t>12 Juli 2026</t>
        </is>
      </c>
      <c r="M71" t="inlineStr">
        <is>
          <t>Bangunan Sipil Jembatan, Jalan Layang, Fly Over, dan Underpass</t>
        </is>
      </c>
      <c r="N71" t="inlineStr">
        <is>
          <t>K</t>
        </is>
      </c>
      <c r="O71" t="inlineStr">
        <is>
          <t>20230707</t>
        </is>
      </c>
      <c r="P71" t="inlineStr">
        <is>
          <t>Jawa Tengah</t>
        </is>
      </c>
      <c r="Q71" t="inlineStr"/>
    </row>
    <row r="72">
      <c r="A72" t="inlineStr">
        <is>
          <t>CV. SINAR KARYA SETIA</t>
        </is>
      </c>
      <c r="B72" t="inlineStr">
        <is>
          <t>Kota Padang Sidempuan</t>
        </is>
      </c>
      <c r="C72" t="inlineStr">
        <is>
          <t>063421829</t>
        </is>
      </c>
      <c r="D72" t="inlineStr">
        <is>
          <t>cv.sinarkaryasetia@yahoo.co.id</t>
        </is>
      </c>
      <c r="E72" t="inlineStr">
        <is>
          <t>https://lpjk.pu.go.id/search-badan-usaha-detail/MXJnbzZjNzE4TG5oaC9HSjdMOVpGUT09</t>
        </is>
      </c>
      <c r="F72" t="n">
        <v>4</v>
      </c>
      <c r="G72" t="inlineStr">
        <is>
          <t>BS001, BS004</t>
        </is>
      </c>
      <c r="H72" t="inlineStr">
        <is>
          <t>6 Oktober 1982</t>
        </is>
      </c>
      <c r="I72" s="2" t="n">
        <v>46215</v>
      </c>
      <c r="J72" t="inlineStr">
        <is>
          <t>Pencabutan</t>
        </is>
      </c>
      <c r="K72" t="n">
        <v>30</v>
      </c>
      <c r="L72" t="inlineStr">
        <is>
          <t>12 Juli 2026</t>
        </is>
      </c>
      <c r="M72" t="inlineStr">
        <is>
          <t>Konstruksi Bangunan Sipil Jalan, Konstruksi Jaringan Irigasi dan Drainase</t>
        </is>
      </c>
      <c r="N72" t="inlineStr">
        <is>
          <t>K</t>
        </is>
      </c>
      <c r="O72" t="inlineStr">
        <is>
          <t>20230712</t>
        </is>
      </c>
      <c r="P72" t="inlineStr">
        <is>
          <t>Sumatera Utara</t>
        </is>
      </c>
      <c r="Q72" t="inlineStr"/>
    </row>
    <row r="73">
      <c r="A73" t="inlineStr">
        <is>
          <t>DAMAI JAYA</t>
        </is>
      </c>
      <c r="B73" t="inlineStr">
        <is>
          <t>Kab. Labuhanbatu Utara</t>
        </is>
      </c>
      <c r="C73" t="inlineStr">
        <is>
          <t>085270145578</t>
        </is>
      </c>
      <c r="D73" t="inlineStr">
        <is>
          <t>zdesril273@gmail.com</t>
        </is>
      </c>
      <c r="E73" t="inlineStr">
        <is>
          <t>https://lpjk.pu.go.id/search-badan-usaha-detail/ZVVSNTdKc1BmV2svLzkzaWI5QXdYQT09</t>
        </is>
      </c>
      <c r="F73" t="n">
        <v>2</v>
      </c>
      <c r="G73" t="inlineStr">
        <is>
          <t>BG006</t>
        </is>
      </c>
      <c r="H73" t="inlineStr">
        <is>
          <t>5 Februari 2014</t>
        </is>
      </c>
      <c r="I73" s="2" t="n">
        <v>46215</v>
      </c>
      <c r="J73" t="inlineStr">
        <is>
          <t>Disetujui</t>
        </is>
      </c>
      <c r="K73" t="n">
        <v>30</v>
      </c>
      <c r="L73" t="inlineStr">
        <is>
          <t>12 Juli 2026</t>
        </is>
      </c>
      <c r="M73" t="inlineStr">
        <is>
          <t>Konstruksi Gedung Pendidikan</t>
        </is>
      </c>
      <c r="N73" t="inlineStr">
        <is>
          <t>K</t>
        </is>
      </c>
      <c r="O73" t="inlineStr">
        <is>
          <t>20230630</t>
        </is>
      </c>
      <c r="P73" t="inlineStr">
        <is>
          <t>Sumatera Utara</t>
        </is>
      </c>
      <c r="Q73" t="inlineStr"/>
    </row>
    <row r="74">
      <c r="A74" t="inlineStr">
        <is>
          <t>DANUM KAHARINGAN</t>
        </is>
      </c>
      <c r="B74" t="inlineStr">
        <is>
          <t>Kab. Sintang</t>
        </is>
      </c>
      <c r="C74" t="inlineStr">
        <is>
          <t>081349002188</t>
        </is>
      </c>
      <c r="D74" t="inlineStr">
        <is>
          <t>danumkaharingan1@gmail.com</t>
        </is>
      </c>
      <c r="E74" t="inlineStr">
        <is>
          <t>https://lpjk.pu.go.id/search-badan-usaha-detail/QWFHTE9tWlcwaC9EdzA1NHFzeUJVdz09</t>
        </is>
      </c>
      <c r="F74" t="n">
        <v>1</v>
      </c>
      <c r="G74" t="inlineStr">
        <is>
          <t>BS001</t>
        </is>
      </c>
      <c r="H74" t="inlineStr">
        <is>
          <t>30 Agustus 2016</t>
        </is>
      </c>
      <c r="I74" s="2" t="n">
        <v>46215</v>
      </c>
      <c r="J74" t="inlineStr">
        <is>
          <t>Disetujui</t>
        </is>
      </c>
      <c r="K74" t="n">
        <v>30</v>
      </c>
      <c r="L74" t="inlineStr">
        <is>
          <t>12 Juli 2026</t>
        </is>
      </c>
      <c r="M74" t="inlineStr">
        <is>
          <t>Konstruksi Bangunan Sipil Jalan</t>
        </is>
      </c>
      <c r="N74" t="inlineStr">
        <is>
          <t>K</t>
        </is>
      </c>
      <c r="O74" t="inlineStr">
        <is>
          <t>20230706</t>
        </is>
      </c>
      <c r="P74" t="inlineStr">
        <is>
          <t>Kalimantan Barat</t>
        </is>
      </c>
      <c r="Q74" t="inlineStr"/>
    </row>
    <row r="75">
      <c r="A75" t="inlineStr">
        <is>
          <t>DEBILA</t>
        </is>
      </c>
      <c r="B75" t="inlineStr">
        <is>
          <t>Kota Serang</t>
        </is>
      </c>
      <c r="C75" t="inlineStr">
        <is>
          <t>087889888758</t>
        </is>
      </c>
      <c r="D75" t="inlineStr">
        <is>
          <t>debilaahmad123@gmail.com</t>
        </is>
      </c>
      <c r="E75" t="inlineStr">
        <is>
          <t>https://lpjk.pu.go.id/search-badan-usaha-detail/UXo1RktvOUxOSWlnSjJQcGJkUFU4dz09</t>
        </is>
      </c>
      <c r="F75" t="n">
        <v>1</v>
      </c>
      <c r="G75" t="inlineStr">
        <is>
          <t>BS001</t>
        </is>
      </c>
      <c r="H75" t="inlineStr">
        <is>
          <t>11 Januari 2019</t>
        </is>
      </c>
      <c r="I75" s="2" t="n">
        <v>46215</v>
      </c>
      <c r="J75" t="inlineStr">
        <is>
          <t>Disetujui</t>
        </is>
      </c>
      <c r="K75" t="n">
        <v>30</v>
      </c>
      <c r="L75" t="inlineStr">
        <is>
          <t>12 Juli 2026</t>
        </is>
      </c>
      <c r="M75" t="inlineStr">
        <is>
          <t>Konstruksi Bangunan Sipil Jalan</t>
        </is>
      </c>
      <c r="N75" t="inlineStr">
        <is>
          <t>K</t>
        </is>
      </c>
      <c r="O75" t="inlineStr">
        <is>
          <t>20230703</t>
        </is>
      </c>
      <c r="P75" t="inlineStr">
        <is>
          <t>Banten</t>
        </is>
      </c>
      <c r="Q75" t="inlineStr"/>
    </row>
    <row r="76">
      <c r="A76" t="inlineStr">
        <is>
          <t>DEWI KRIBO</t>
        </is>
      </c>
      <c r="B76" t="inlineStr">
        <is>
          <t>Kota Jayapura</t>
        </is>
      </c>
      <c r="C76" t="inlineStr">
        <is>
          <t>0</t>
        </is>
      </c>
      <c r="D76" t="inlineStr">
        <is>
          <t>annelouise681@gmail.com</t>
        </is>
      </c>
      <c r="E76" t="inlineStr">
        <is>
          <t>https://lpjk.pu.go.id/search-badan-usaha-detail/elNsSm5VZm0rTUlqbGhQM2hnTXdidz09</t>
        </is>
      </c>
      <c r="F76" t="n">
        <v>1</v>
      </c>
      <c r="G76" t="inlineStr">
        <is>
          <t>BG001</t>
        </is>
      </c>
      <c r="H76" t="inlineStr">
        <is>
          <t>21 Januari 2022</t>
        </is>
      </c>
      <c r="I76" s="2" t="n">
        <v>46215</v>
      </c>
      <c r="J76" t="inlineStr">
        <is>
          <t>Disetujui</t>
        </is>
      </c>
      <c r="K76" t="n">
        <v>30</v>
      </c>
      <c r="L76" t="inlineStr">
        <is>
          <t>12 Juli 2026</t>
        </is>
      </c>
      <c r="M76" t="inlineStr">
        <is>
          <t>Konstruksi Gedung Hunian</t>
        </is>
      </c>
      <c r="N76" t="inlineStr">
        <is>
          <t>K</t>
        </is>
      </c>
      <c r="O76" t="inlineStr">
        <is>
          <t>20230711</t>
        </is>
      </c>
      <c r="P76" t="inlineStr">
        <is>
          <t>Papua</t>
        </is>
      </c>
      <c r="Q76" t="inlineStr"/>
    </row>
    <row r="77">
      <c r="A77" t="inlineStr">
        <is>
          <t>DEWI KUNTI</t>
        </is>
      </c>
      <c r="B77" t="inlineStr">
        <is>
          <t>Kab. Tapin</t>
        </is>
      </c>
      <c r="C77" t="inlineStr">
        <is>
          <t>051731666</t>
        </is>
      </c>
      <c r="D77" t="inlineStr">
        <is>
          <t>cv.dewikunti@gmail.com</t>
        </is>
      </c>
      <c r="E77" t="inlineStr">
        <is>
          <t>https://lpjk.pu.go.id/search-badan-usaha-detail/VElTQW14WmdLMmUyNG9GWXZmRmg3dz09</t>
        </is>
      </c>
      <c r="F77" t="n">
        <v>5</v>
      </c>
      <c r="G77" t="inlineStr">
        <is>
          <t>BG009, BS001, BS002, BS005, BS006</t>
        </is>
      </c>
      <c r="H77" t="inlineStr">
        <is>
          <t>4 November 2002</t>
        </is>
      </c>
      <c r="I77" s="2" t="n">
        <v>46215</v>
      </c>
      <c r="J77" t="inlineStr">
        <is>
          <t>Disetujui</t>
        </is>
      </c>
      <c r="K77" t="n">
        <v>30</v>
      </c>
      <c r="L77" t="inlineStr">
        <is>
          <t>12 Juli 2026</t>
        </is>
      </c>
      <c r="M77" t="inlineStr">
        <is>
          <t>Bangunan Sipil Jembatan, Jalan Layang, Fly Over, dan Underpass, Konstruksi Bangunan Sipil Jalan, Konstruksi Bangunan Sipil Pengolahan Air Bersih, Konstruksi Bangunan Sipil Prasarana dan Sarana Sistem Pengolahan Limbah Padat, Cair, dan Gas, Konstruksi Gedung Lainnya</t>
        </is>
      </c>
      <c r="N77" t="inlineStr">
        <is>
          <t>K</t>
        </is>
      </c>
      <c r="O77" t="inlineStr">
        <is>
          <t>20230710</t>
        </is>
      </c>
      <c r="P77" t="inlineStr">
        <is>
          <t>Kalimantan Selatan</t>
        </is>
      </c>
      <c r="Q77" t="inlineStr"/>
    </row>
    <row r="78">
      <c r="A78" t="inlineStr">
        <is>
          <t>DHARMA HUTAMA KARYA</t>
        </is>
      </c>
      <c r="B78" t="inlineStr">
        <is>
          <t>Kota Adm. Jakarta Pusat</t>
        </is>
      </c>
      <c r="C78" t="inlineStr">
        <is>
          <t>0214223348</t>
        </is>
      </c>
      <c r="D78" t="inlineStr">
        <is>
          <t>ptdharmahutamakarya@gmail.com</t>
        </is>
      </c>
      <c r="E78" t="inlineStr">
        <is>
          <t>https://lpjk.pu.go.id/search-badan-usaha-detail/czNZUXpZbEpkWm8rbzFVYXFmOGordz09</t>
        </is>
      </c>
      <c r="F78" t="n">
        <v>2</v>
      </c>
      <c r="G78" t="inlineStr">
        <is>
          <t>BG005, BG009</t>
        </is>
      </c>
      <c r="H78" t="inlineStr">
        <is>
          <t>6 Februari 2018</t>
        </is>
      </c>
      <c r="I78" s="2" t="n">
        <v>46215</v>
      </c>
      <c r="J78" t="inlineStr">
        <is>
          <t>Pencabutan</t>
        </is>
      </c>
      <c r="K78" t="n">
        <v>30</v>
      </c>
      <c r="L78" t="inlineStr">
        <is>
          <t>12 Juli 2026</t>
        </is>
      </c>
      <c r="M78" t="inlineStr">
        <is>
          <t>Konstruksi Gedung Kesehatan, Konstruksi Gedung Lainnya</t>
        </is>
      </c>
      <c r="N78" t="inlineStr">
        <is>
          <t>K</t>
        </is>
      </c>
      <c r="O78" t="inlineStr">
        <is>
          <t>20230626, 20230709</t>
        </is>
      </c>
      <c r="P78" t="inlineStr">
        <is>
          <t>DKI Jakarta</t>
        </is>
      </c>
      <c r="Q78" t="inlineStr"/>
    </row>
    <row r="79">
      <c r="A79" t="inlineStr">
        <is>
          <t>DHARMA UTAMA</t>
        </is>
      </c>
      <c r="B79" t="inlineStr">
        <is>
          <t>Kota Batu</t>
        </is>
      </c>
      <c r="C79" t="inlineStr">
        <is>
          <t>0341464250</t>
        </is>
      </c>
      <c r="D79" t="inlineStr">
        <is>
          <t>dharmautama2019@gmail.com</t>
        </is>
      </c>
      <c r="E79" t="inlineStr">
        <is>
          <t>https://lpjk.pu.go.id/search-badan-usaha-detail/NE9MZHNNZU83ak92YW5NODhlRFhMZz09</t>
        </is>
      </c>
      <c r="F79" t="n">
        <v>1</v>
      </c>
      <c r="G79" t="inlineStr">
        <is>
          <t>BG009</t>
        </is>
      </c>
      <c r="H79" t="inlineStr">
        <is>
          <t>11 Maret 1986</t>
        </is>
      </c>
      <c r="I79" s="2" t="n">
        <v>46215</v>
      </c>
      <c r="J79" t="inlineStr">
        <is>
          <t>Disetujui</t>
        </is>
      </c>
      <c r="K79" t="n">
        <v>30</v>
      </c>
      <c r="L79" t="inlineStr">
        <is>
          <t>12 Juli 2026</t>
        </is>
      </c>
      <c r="M79" t="inlineStr">
        <is>
          <t>Konstruksi Gedung Lainnya</t>
        </is>
      </c>
      <c r="N79" t="inlineStr">
        <is>
          <t>K</t>
        </is>
      </c>
      <c r="O79" t="inlineStr">
        <is>
          <t>20230703</t>
        </is>
      </c>
      <c r="P79" t="inlineStr">
        <is>
          <t>Jawa Timur</t>
        </is>
      </c>
      <c r="Q79" t="inlineStr"/>
    </row>
    <row r="80">
      <c r="A80" t="inlineStr">
        <is>
          <t>DIANA ANDALAS MANDIRI</t>
        </is>
      </c>
      <c r="B80" t="inlineStr">
        <is>
          <t>Kota Palembang</t>
        </is>
      </c>
      <c r="C80" t="inlineStr">
        <is>
          <t>08117887520</t>
        </is>
      </c>
      <c r="D80" t="inlineStr">
        <is>
          <t>cv.dianandalasmandiri@gmail.com</t>
        </is>
      </c>
      <c r="E80" t="inlineStr">
        <is>
          <t>https://lpjk.pu.go.id/search-badan-usaha-detail/Z3pWZjVPUWxvTlFmT0tDL3hRdWVGQT09</t>
        </is>
      </c>
      <c r="F80" t="n">
        <v>5</v>
      </c>
      <c r="G80" t="inlineStr">
        <is>
          <t>BG001, BG002, BG005, BG006, BG009</t>
        </is>
      </c>
      <c r="H80" t="inlineStr">
        <is>
          <t>19 Februari 2016</t>
        </is>
      </c>
      <c r="I80" s="2" t="n">
        <v>46215</v>
      </c>
      <c r="J80" t="inlineStr">
        <is>
          <t>Disetujui</t>
        </is>
      </c>
      <c r="K80" t="n">
        <v>30</v>
      </c>
      <c r="L80" t="inlineStr">
        <is>
          <t>12 Juli 2026</t>
        </is>
      </c>
      <c r="M80" t="inlineStr">
        <is>
          <t>Konstruksi Gedung Hunian, Konstruksi Gedung Kesehatan, Konstruksi Gedung Lainnya, Konstruksi Gedung Pendidikan, Konstruksi Gedung Perkantoran</t>
        </is>
      </c>
      <c r="N80" t="inlineStr">
        <is>
          <t>K</t>
        </is>
      </c>
      <c r="O80" t="inlineStr">
        <is>
          <t>20230701, 20230702, 20230708</t>
        </is>
      </c>
      <c r="P80" t="inlineStr">
        <is>
          <t>Sumatera Selatan</t>
        </is>
      </c>
      <c r="Q80" t="inlineStr"/>
    </row>
    <row r="81">
      <c r="A81" t="inlineStr">
        <is>
          <t>DINS PRATAMA ABADI</t>
        </is>
      </c>
      <c r="B81" t="inlineStr">
        <is>
          <t>Kota Bandung</t>
        </is>
      </c>
      <c r="C81" t="inlineStr">
        <is>
          <t>0227233240</t>
        </is>
      </c>
      <c r="D81" t="inlineStr">
        <is>
          <t>dpaindonesia@gmail.com</t>
        </is>
      </c>
      <c r="E81" t="inlineStr">
        <is>
          <t>https://lpjk.pu.go.id/search-badan-usaha-detail/M09UZEtsNldmRHViNUtQMmFnMlhvdz09</t>
        </is>
      </c>
      <c r="F81" t="n">
        <v>1</v>
      </c>
      <c r="G81" t="inlineStr">
        <is>
          <t>BS011</t>
        </is>
      </c>
      <c r="H81" t="inlineStr">
        <is>
          <t>20 Maret 2012</t>
        </is>
      </c>
      <c r="I81" s="2" t="n">
        <v>46215</v>
      </c>
      <c r="J81" t="inlineStr">
        <is>
          <t>Pencabutan</t>
        </is>
      </c>
      <c r="K81" t="n">
        <v>30</v>
      </c>
      <c r="L81" t="inlineStr">
        <is>
          <t>12 Juli 2026</t>
        </is>
      </c>
      <c r="M81" t="inlineStr">
        <is>
          <t>Konstruksi Bangunan Pelabuhan Bukan Perikanan</t>
        </is>
      </c>
      <c r="N81" t="inlineStr">
        <is>
          <t>K</t>
        </is>
      </c>
      <c r="O81" t="inlineStr">
        <is>
          <t>20230712</t>
        </is>
      </c>
      <c r="P81" t="inlineStr">
        <is>
          <t>Jawa Barat</t>
        </is>
      </c>
      <c r="Q81" t="inlineStr"/>
    </row>
    <row r="82">
      <c r="A82" t="inlineStr">
        <is>
          <t>DUA PUSAKA</t>
        </is>
      </c>
      <c r="B82" t="inlineStr">
        <is>
          <t>Kab. Pekalongan</t>
        </is>
      </c>
      <c r="C82" t="inlineStr">
        <is>
          <t>085642558995</t>
        </is>
      </c>
      <c r="D82" t="inlineStr">
        <is>
          <t>cvduapusaka792@gmail.com</t>
        </is>
      </c>
      <c r="E82" t="inlineStr">
        <is>
          <t>https://lpjk.pu.go.id/search-badan-usaha-detail/bnNQNzB4WGtYaFgra1NNSTBmTm5HZz09</t>
        </is>
      </c>
      <c r="F82" t="n">
        <v>1</v>
      </c>
      <c r="G82" t="inlineStr">
        <is>
          <t>BS001</t>
        </is>
      </c>
      <c r="H82" t="inlineStr">
        <is>
          <t>18 Februari 2020</t>
        </is>
      </c>
      <c r="I82" s="2" t="n">
        <v>46215</v>
      </c>
      <c r="J82" t="inlineStr">
        <is>
          <t>Pencabutan</t>
        </is>
      </c>
      <c r="K82" t="n">
        <v>30</v>
      </c>
      <c r="L82" t="inlineStr">
        <is>
          <t>12 Juli 2026</t>
        </is>
      </c>
      <c r="M82" t="inlineStr">
        <is>
          <t>Konstruksi Bangunan Sipil Jalan</t>
        </is>
      </c>
      <c r="N82" t="inlineStr">
        <is>
          <t>K</t>
        </is>
      </c>
      <c r="O82" t="inlineStr">
        <is>
          <t>20230706</t>
        </is>
      </c>
      <c r="P82" t="inlineStr">
        <is>
          <t>Jawa Tengah</t>
        </is>
      </c>
      <c r="Q82" t="inlineStr"/>
    </row>
    <row r="83">
      <c r="A83" t="inlineStr">
        <is>
          <t>DUTA ANGKASA</t>
        </is>
      </c>
      <c r="B83" t="inlineStr">
        <is>
          <t>Kab. Gunungkidul</t>
        </is>
      </c>
      <c r="C83" t="inlineStr">
        <is>
          <t>082139191561</t>
        </is>
      </c>
      <c r="D83" t="inlineStr">
        <is>
          <t>dutaangkasa.gk@gmail.com</t>
        </is>
      </c>
      <c r="E83" t="inlineStr">
        <is>
          <t>https://lpjk.pu.go.id/search-badan-usaha-detail/M2kvTExSc1NuQ0o4aE5tUjl2dVU0UT09</t>
        </is>
      </c>
      <c r="F83" t="n">
        <v>2</v>
      </c>
      <c r="G83" t="inlineStr">
        <is>
          <t>BS001, BS004</t>
        </is>
      </c>
      <c r="H83" t="inlineStr">
        <is>
          <t>13 Mei 2019</t>
        </is>
      </c>
      <c r="I83" s="2" t="n">
        <v>46215</v>
      </c>
      <c r="J83" t="inlineStr">
        <is>
          <t>Disetujui</t>
        </is>
      </c>
      <c r="K83" t="n">
        <v>30</v>
      </c>
      <c r="L83" t="inlineStr">
        <is>
          <t>12 Juli 2026</t>
        </is>
      </c>
      <c r="M83" t="inlineStr">
        <is>
          <t>Konstruksi Bangunan Sipil Jalan, Konstruksi Jaringan Irigasi dan Drainase</t>
        </is>
      </c>
      <c r="N83" t="inlineStr">
        <is>
          <t>K</t>
        </is>
      </c>
      <c r="O83" t="inlineStr">
        <is>
          <t>20230706</t>
        </is>
      </c>
      <c r="P83" t="inlineStr">
        <is>
          <t>DI Yogyakarta</t>
        </is>
      </c>
      <c r="Q83" t="inlineStr"/>
    </row>
    <row r="84">
      <c r="A84" t="inlineStr">
        <is>
          <t>DUTA SARANA ABADI</t>
        </is>
      </c>
      <c r="B84" t="inlineStr">
        <is>
          <t>Kota Kendari</t>
        </is>
      </c>
      <c r="C84" t="inlineStr">
        <is>
          <t>085256222668</t>
        </is>
      </c>
      <c r="D84" t="inlineStr">
        <is>
          <t>duta_saranaabadi@yahoo.com</t>
        </is>
      </c>
      <c r="E84" t="inlineStr">
        <is>
          <t>https://lpjk.pu.go.id/search-badan-usaha-detail/NlVscXkzZ2VvdmxjTldOa05TcGk5UT09</t>
        </is>
      </c>
      <c r="F84" t="n">
        <v>1</v>
      </c>
      <c r="G84" t="inlineStr">
        <is>
          <t>BG005</t>
        </is>
      </c>
      <c r="H84" t="inlineStr">
        <is>
          <t>1 November 1997</t>
        </is>
      </c>
      <c r="I84" s="2" t="n">
        <v>46215</v>
      </c>
      <c r="J84" t="inlineStr">
        <is>
          <t>Disetujui</t>
        </is>
      </c>
      <c r="K84" t="n">
        <v>30</v>
      </c>
      <c r="L84" t="inlineStr">
        <is>
          <t>12 Juli 2026</t>
        </is>
      </c>
      <c r="M84" t="inlineStr">
        <is>
          <t>Konstruksi Gedung Kesehatan</t>
        </is>
      </c>
      <c r="N84" t="inlineStr">
        <is>
          <t>K</t>
        </is>
      </c>
      <c r="O84" t="inlineStr">
        <is>
          <t>20230711</t>
        </is>
      </c>
      <c r="P84" t="inlineStr">
        <is>
          <t>Sulawesi Tenggara</t>
        </is>
      </c>
      <c r="Q84" t="inlineStr"/>
    </row>
    <row r="85">
      <c r="A85" t="inlineStr">
        <is>
          <t>ELANG JAYA</t>
        </is>
      </c>
      <c r="B85" t="inlineStr">
        <is>
          <t>Kab. Brebes</t>
        </is>
      </c>
      <c r="C85" t="inlineStr">
        <is>
          <t>081328413470</t>
        </is>
      </c>
      <c r="D85" t="inlineStr">
        <is>
          <t>elang_jaya@rocketmail.com</t>
        </is>
      </c>
      <c r="E85" t="inlineStr">
        <is>
          <t>https://lpjk.pu.go.id/search-badan-usaha-detail/K3g0cGJleGVPd0RTK3JjUU9hNkdkQT09</t>
        </is>
      </c>
      <c r="F85" t="n">
        <v>4</v>
      </c>
      <c r="G85" t="inlineStr">
        <is>
          <t>BG005, BG006</t>
        </is>
      </c>
      <c r="H85" t="inlineStr">
        <is>
          <t>13 Maret 2013</t>
        </is>
      </c>
      <c r="I85" s="2" t="n">
        <v>46215</v>
      </c>
      <c r="J85" t="inlineStr">
        <is>
          <t>Pencabutan</t>
        </is>
      </c>
      <c r="K85" t="n">
        <v>30</v>
      </c>
      <c r="L85" t="inlineStr">
        <is>
          <t>12 Juli 2026</t>
        </is>
      </c>
      <c r="M85" t="inlineStr">
        <is>
          <t>Konstruksi Gedung Kesehatan, Konstruksi Gedung Pendidikan</t>
        </is>
      </c>
      <c r="N85" t="inlineStr">
        <is>
          <t>K</t>
        </is>
      </c>
      <c r="O85" t="inlineStr">
        <is>
          <t>20230712</t>
        </is>
      </c>
      <c r="P85" t="inlineStr">
        <is>
          <t>Jawa Tengah</t>
        </is>
      </c>
      <c r="Q85" t="inlineStr"/>
    </row>
    <row r="86">
      <c r="A86" t="inlineStr">
        <is>
          <t>FAJAR MULIA UTAMA</t>
        </is>
      </c>
      <c r="B86" t="inlineStr">
        <is>
          <t>Kab. Kendal</t>
        </is>
      </c>
      <c r="C86" t="inlineStr">
        <is>
          <t>081524054322</t>
        </is>
      </c>
      <c r="D86" t="inlineStr">
        <is>
          <t>fajar.muliautama@gmail.com</t>
        </is>
      </c>
      <c r="E86" t="inlineStr">
        <is>
          <t>https://lpjk.pu.go.id/search-badan-usaha-detail/MWFxVXQwQytuQkRlN1JBcVV5K2J2UT09</t>
        </is>
      </c>
      <c r="F86" t="n">
        <v>1</v>
      </c>
      <c r="G86" t="inlineStr">
        <is>
          <t>BG001</t>
        </is>
      </c>
      <c r="H86" t="inlineStr">
        <is>
          <t>10 Juni 2014</t>
        </is>
      </c>
      <c r="I86" s="2" t="n">
        <v>46215</v>
      </c>
      <c r="J86" t="inlineStr">
        <is>
          <t>Disetujui</t>
        </is>
      </c>
      <c r="K86" t="n">
        <v>30</v>
      </c>
      <c r="L86" t="inlineStr">
        <is>
          <t>12 Juli 2026</t>
        </is>
      </c>
      <c r="M86" t="inlineStr">
        <is>
          <t>Konstruksi Gedung Hunian</t>
        </is>
      </c>
      <c r="N86" t="inlineStr">
        <is>
          <t>K</t>
        </is>
      </c>
      <c r="O86" t="inlineStr">
        <is>
          <t>20230712</t>
        </is>
      </c>
      <c r="P86" t="inlineStr">
        <is>
          <t>Jawa Tengah</t>
        </is>
      </c>
      <c r="Q86" t="inlineStr"/>
    </row>
    <row r="87">
      <c r="A87" t="inlineStr">
        <is>
          <t>FAMILIA &amp; CO</t>
        </is>
      </c>
      <c r="B87" t="inlineStr">
        <is>
          <t>Kota Lubuk Linggau</t>
        </is>
      </c>
      <c r="C87" t="inlineStr">
        <is>
          <t>082178533189</t>
        </is>
      </c>
      <c r="D87" t="inlineStr">
        <is>
          <t>fco938991@gmail.com</t>
        </is>
      </c>
      <c r="E87" t="inlineStr">
        <is>
          <t>https://lpjk.pu.go.id/search-badan-usaha-detail/a291QzQ2bDN1L2dwQkMxOXVQRFFudz09</t>
        </is>
      </c>
      <c r="F87" t="n">
        <v>1</v>
      </c>
      <c r="G87" t="inlineStr">
        <is>
          <t>BG004</t>
        </is>
      </c>
      <c r="H87" t="inlineStr">
        <is>
          <t>27 Januari 2007</t>
        </is>
      </c>
      <c r="I87" s="2" t="n">
        <v>46215</v>
      </c>
      <c r="J87" t="inlineStr">
        <is>
          <t>Disetujui</t>
        </is>
      </c>
      <c r="K87" t="n">
        <v>30</v>
      </c>
      <c r="L87" t="inlineStr">
        <is>
          <t>12 Juli 2026</t>
        </is>
      </c>
      <c r="M87" t="inlineStr">
        <is>
          <t>Konstruksi Gedung Perbelanjaan</t>
        </is>
      </c>
      <c r="N87" t="inlineStr">
        <is>
          <t>K</t>
        </is>
      </c>
      <c r="O87" t="inlineStr">
        <is>
          <t>20230711</t>
        </is>
      </c>
      <c r="P87" t="inlineStr">
        <is>
          <t>Sumatera Selatan</t>
        </is>
      </c>
      <c r="Q87" t="inlineStr"/>
    </row>
    <row r="88">
      <c r="A88" t="inlineStr">
        <is>
          <t>FATIMAH BROTHER'S</t>
        </is>
      </c>
      <c r="B88" t="inlineStr">
        <is>
          <t>Kab. Subang</t>
        </is>
      </c>
      <c r="C88" t="inlineStr">
        <is>
          <t>085315010999</t>
        </is>
      </c>
      <c r="D88" t="inlineStr">
        <is>
          <t>cvfatimahb@gmail.com</t>
        </is>
      </c>
      <c r="E88" t="inlineStr">
        <is>
          <t>https://lpjk.pu.go.id/search-badan-usaha-detail/blAyYWhEOEV0QTU5NW9ZbFlwZVM4QT09</t>
        </is>
      </c>
      <c r="F88" t="n">
        <v>1</v>
      </c>
      <c r="G88" t="inlineStr">
        <is>
          <t>BS004</t>
        </is>
      </c>
      <c r="H88" t="inlineStr">
        <is>
          <t>17 Oktober 2016</t>
        </is>
      </c>
      <c r="I88" s="2" t="n">
        <v>46215</v>
      </c>
      <c r="J88" t="inlineStr">
        <is>
          <t>Disetujui</t>
        </is>
      </c>
      <c r="K88" t="n">
        <v>30</v>
      </c>
      <c r="L88" t="inlineStr">
        <is>
          <t>12 Juli 2026</t>
        </is>
      </c>
      <c r="M88" t="inlineStr">
        <is>
          <t>Konstruksi Jaringan Irigasi dan Drainase</t>
        </is>
      </c>
      <c r="N88" t="inlineStr">
        <is>
          <t>K</t>
        </is>
      </c>
      <c r="O88" t="inlineStr">
        <is>
          <t>20230708</t>
        </is>
      </c>
      <c r="P88" t="inlineStr">
        <is>
          <t>Jawa Barat</t>
        </is>
      </c>
      <c r="Q88" t="inlineStr"/>
    </row>
    <row r="89">
      <c r="A89" t="inlineStr">
        <is>
          <t>FERRY PRATAMA TUNGGAL</t>
        </is>
      </c>
      <c r="B89" t="inlineStr">
        <is>
          <t>Kab. Bandung</t>
        </is>
      </c>
      <c r="C89" t="inlineStr">
        <is>
          <t>082121982072</t>
        </is>
      </c>
      <c r="D89" t="inlineStr">
        <is>
          <t>ferry.pratamatunggal@gmail.com</t>
        </is>
      </c>
      <c r="E89" t="inlineStr">
        <is>
          <t>https://lpjk.pu.go.id/search-badan-usaha-detail/UUNrTkMyMnhYazZUaUFSUWlZYmlXZz09</t>
        </is>
      </c>
      <c r="F89" t="n">
        <v>2</v>
      </c>
      <c r="G89" t="inlineStr">
        <is>
          <t>BS001, BS002</t>
        </is>
      </c>
      <c r="H89" t="inlineStr">
        <is>
          <t>9 Juni 2009</t>
        </is>
      </c>
      <c r="I89" s="2" t="n">
        <v>46215</v>
      </c>
      <c r="J89" t="inlineStr">
        <is>
          <t>Disetujui</t>
        </is>
      </c>
      <c r="K89" t="n">
        <v>30</v>
      </c>
      <c r="L89" t="inlineStr">
        <is>
          <t>12 Juli 2026</t>
        </is>
      </c>
      <c r="M89" t="inlineStr">
        <is>
          <t>Bangunan Sipil Jembatan, Jalan Layang, Fly Over, dan Underpass, Konstruksi Bangunan Sipil Jalan</t>
        </is>
      </c>
      <c r="N89" t="inlineStr">
        <is>
          <t>K</t>
        </is>
      </c>
      <c r="O89" t="inlineStr">
        <is>
          <t>20230712</t>
        </is>
      </c>
      <c r="P89" t="inlineStr">
        <is>
          <t>Jawa Barat</t>
        </is>
      </c>
      <c r="Q89" t="inlineStr"/>
    </row>
    <row r="90">
      <c r="A90" t="inlineStr">
        <is>
          <t>FREYA JAYA MANDIRI</t>
        </is>
      </c>
      <c r="B90" t="inlineStr">
        <is>
          <t>Kota Kendari</t>
        </is>
      </c>
      <c r="C90" t="inlineStr">
        <is>
          <t>085241612951</t>
        </is>
      </c>
      <c r="D90" t="inlineStr">
        <is>
          <t>freyajayamandiri@gmail.com</t>
        </is>
      </c>
      <c r="E90" t="inlineStr">
        <is>
          <t>https://lpjk.pu.go.id/search-badan-usaha-detail/dGpPNUpOSXdEdm1KUEI2VVBCbUI5V2ZwMUs1YUVsUGg2TFQzMytEcW5UND0</t>
        </is>
      </c>
      <c r="F90" t="n">
        <v>1</v>
      </c>
      <c r="G90" t="inlineStr">
        <is>
          <t>BG008</t>
        </is>
      </c>
      <c r="H90" t="inlineStr">
        <is>
          <t>29 Oktober 2025</t>
        </is>
      </c>
      <c r="I90" s="2" t="n">
        <v>46215</v>
      </c>
      <c r="J90" t="inlineStr">
        <is>
          <t>Disetujui</t>
        </is>
      </c>
      <c r="K90" t="n">
        <v>30</v>
      </c>
      <c r="L90" t="inlineStr">
        <is>
          <t>12 Juli 2026</t>
        </is>
      </c>
      <c r="M90" t="inlineStr">
        <is>
          <t>Konstruksi Gedung Tempat Hiburan dan Olahraga</t>
        </is>
      </c>
      <c r="N90" t="inlineStr">
        <is>
          <t>K</t>
        </is>
      </c>
      <c r="O90" t="inlineStr">
        <is>
          <t>20230712</t>
        </is>
      </c>
      <c r="P90" t="inlineStr">
        <is>
          <t>Sulawesi Tenggara</t>
        </is>
      </c>
      <c r="Q90" t="inlineStr"/>
    </row>
    <row r="91">
      <c r="A91" t="inlineStr">
        <is>
          <t>GAMAKUM</t>
        </is>
      </c>
      <c r="B91" t="inlineStr">
        <is>
          <t>Kab. Puncak</t>
        </is>
      </c>
      <c r="C91" t="inlineStr">
        <is>
          <t>081356659869</t>
        </is>
      </c>
      <c r="D91" t="inlineStr">
        <is>
          <t>gamakumc@gmail.com</t>
        </is>
      </c>
      <c r="E91" t="inlineStr">
        <is>
          <t>https://lpjk.pu.go.id/search-badan-usaha-detail/N294bEhYbXB0aUppQk1ud1BEblJiQT09</t>
        </is>
      </c>
      <c r="F91" t="n">
        <v>1</v>
      </c>
      <c r="G91" t="inlineStr">
        <is>
          <t>BG001</t>
        </is>
      </c>
      <c r="H91" t="inlineStr">
        <is>
          <t>5 Maret 2015</t>
        </is>
      </c>
      <c r="I91" s="2" t="n">
        <v>46215</v>
      </c>
      <c r="J91" t="inlineStr">
        <is>
          <t>Disetujui</t>
        </is>
      </c>
      <c r="K91" t="n">
        <v>30</v>
      </c>
      <c r="L91" t="inlineStr">
        <is>
          <t>12 Juli 2026</t>
        </is>
      </c>
      <c r="M91" t="inlineStr">
        <is>
          <t>Konstruksi Gedung Hunian</t>
        </is>
      </c>
      <c r="N91" t="inlineStr">
        <is>
          <t>K</t>
        </is>
      </c>
      <c r="O91" t="inlineStr">
        <is>
          <t>20230713</t>
        </is>
      </c>
      <c r="P91" t="inlineStr">
        <is>
          <t>Papua</t>
        </is>
      </c>
      <c r="Q91" t="inlineStr"/>
    </row>
    <row r="92">
      <c r="A92" t="inlineStr">
        <is>
          <t>GANIMAH SAKTI</t>
        </is>
      </c>
      <c r="B92" t="inlineStr">
        <is>
          <t>Kota Padang Sidempuan</t>
        </is>
      </c>
      <c r="C92" t="inlineStr">
        <is>
          <t>081377320500</t>
        </is>
      </c>
      <c r="D92" t="inlineStr">
        <is>
          <t>ganimahsakticv@ymail.com</t>
        </is>
      </c>
      <c r="E92" t="inlineStr">
        <is>
          <t>https://lpjk.pu.go.id/search-badan-usaha-detail/ZE5vS1U3TDE0eExtaGRZdTBtQjJCUT09</t>
        </is>
      </c>
      <c r="F92" t="n">
        <v>1</v>
      </c>
      <c r="G92" t="inlineStr">
        <is>
          <t>BS001</t>
        </is>
      </c>
      <c r="H92" t="inlineStr">
        <is>
          <t>15 Oktober 1994</t>
        </is>
      </c>
      <c r="I92" s="2" t="n">
        <v>46215</v>
      </c>
      <c r="J92" t="inlineStr">
        <is>
          <t>Disetujui</t>
        </is>
      </c>
      <c r="K92" t="n">
        <v>30</v>
      </c>
      <c r="L92" t="inlineStr">
        <is>
          <t>12 Juli 2026</t>
        </is>
      </c>
      <c r="M92" t="inlineStr">
        <is>
          <t>Konstruksi Bangunan Sipil Jalan</t>
        </is>
      </c>
      <c r="N92" t="inlineStr">
        <is>
          <t>K</t>
        </is>
      </c>
      <c r="O92" t="inlineStr">
        <is>
          <t>20230712</t>
        </is>
      </c>
      <c r="P92" t="inlineStr">
        <is>
          <t>Sumatera Utara</t>
        </is>
      </c>
      <c r="Q92" t="inlineStr"/>
    </row>
    <row r="93">
      <c r="A93" t="inlineStr">
        <is>
          <t>GENERAL KONTRUKSI</t>
        </is>
      </c>
      <c r="B93" t="inlineStr">
        <is>
          <t>Kab. Kayong Utara</t>
        </is>
      </c>
      <c r="C93" t="inlineStr">
        <is>
          <t>085348191006</t>
        </is>
      </c>
      <c r="D93" t="inlineStr">
        <is>
          <t>generalkontruksi21@gmail.com</t>
        </is>
      </c>
      <c r="E93" t="inlineStr">
        <is>
          <t>https://lpjk.pu.go.id/search-badan-usaha-detail/UVBaYVNCYVpuY0RCR2c2Ny9sZXJDZz09</t>
        </is>
      </c>
      <c r="F93" t="n">
        <v>2</v>
      </c>
      <c r="G93" t="inlineStr">
        <is>
          <t>BS001, BS004</t>
        </is>
      </c>
      <c r="H93" t="inlineStr">
        <is>
          <t>17 Desember 2021</t>
        </is>
      </c>
      <c r="I93" s="2" t="n">
        <v>46215</v>
      </c>
      <c r="J93" t="inlineStr">
        <is>
          <t>Pencabutan</t>
        </is>
      </c>
      <c r="K93" t="n">
        <v>30</v>
      </c>
      <c r="L93" t="inlineStr">
        <is>
          <t>12 Juli 2026</t>
        </is>
      </c>
      <c r="M93" t="inlineStr">
        <is>
          <t>Konstruksi Bangunan Sipil Jalan, Konstruksi Jaringan Irigasi dan Drainase</t>
        </is>
      </c>
      <c r="N93" t="inlineStr">
        <is>
          <t>K</t>
        </is>
      </c>
      <c r="O93" t="inlineStr">
        <is>
          <t>20230611, 20230712</t>
        </is>
      </c>
      <c r="P93" t="inlineStr">
        <is>
          <t>Kalimantan Barat</t>
        </is>
      </c>
      <c r="Q93" t="inlineStr"/>
    </row>
    <row r="94">
      <c r="A94" t="inlineStr">
        <is>
          <t>GERBANG KONSTRUKSI NUSANTARA</t>
        </is>
      </c>
      <c r="B94" t="inlineStr">
        <is>
          <t>Kota Padang</t>
        </is>
      </c>
      <c r="C94" t="inlineStr">
        <is>
          <t>081266515108</t>
        </is>
      </c>
      <c r="D94" t="inlineStr">
        <is>
          <t>gerbang108.pajak@gmail.com</t>
        </is>
      </c>
      <c r="E94" t="inlineStr">
        <is>
          <t>https://lpjk.pu.go.id/search-badan-usaha-detail/ZzBXbEt6OFBQNzRRUTdwVUp3Y0xHQT09</t>
        </is>
      </c>
      <c r="F94" t="n">
        <v>1</v>
      </c>
      <c r="G94" t="inlineStr">
        <is>
          <t>BS001</t>
        </is>
      </c>
      <c r="H94" t="inlineStr">
        <is>
          <t>10 Agustus 2009</t>
        </is>
      </c>
      <c r="I94" s="2" t="n">
        <v>46215</v>
      </c>
      <c r="J94" t="inlineStr">
        <is>
          <t>Disetujui</t>
        </is>
      </c>
      <c r="K94" t="n">
        <v>30</v>
      </c>
      <c r="L94" t="inlineStr">
        <is>
          <t>12 Juli 2026</t>
        </is>
      </c>
      <c r="M94" t="inlineStr">
        <is>
          <t>Konstruksi Bangunan Sipil Jalan</t>
        </is>
      </c>
      <c r="N94" t="inlineStr">
        <is>
          <t>K</t>
        </is>
      </c>
      <c r="O94" t="inlineStr">
        <is>
          <t>20230710</t>
        </is>
      </c>
      <c r="P94" t="inlineStr">
        <is>
          <t>Sumatera Barat</t>
        </is>
      </c>
      <c r="Q94" t="inlineStr"/>
    </row>
    <row r="95">
      <c r="A95" t="inlineStr">
        <is>
          <t>GLOBAL TRUST MEDIA</t>
        </is>
      </c>
      <c r="B95" t="inlineStr">
        <is>
          <t>Kota Cilegon</t>
        </is>
      </c>
      <c r="C95" t="inlineStr">
        <is>
          <t>085946772071</t>
        </is>
      </c>
      <c r="D95" t="inlineStr">
        <is>
          <t>globaltrustmedia191118@gmail.com</t>
        </is>
      </c>
      <c r="E95" t="inlineStr">
        <is>
          <t>https://lpjk.pu.go.id/search-badan-usaha-detail/UWQ2S0pZbGxPTEhadmhCS0ZIQ2I2QT09</t>
        </is>
      </c>
      <c r="F95" t="n">
        <v>2</v>
      </c>
      <c r="G95" t="inlineStr">
        <is>
          <t>BS001, BS004</t>
        </is>
      </c>
      <c r="H95" t="inlineStr">
        <is>
          <t>19 November 2018</t>
        </is>
      </c>
      <c r="I95" s="2" t="n">
        <v>46215</v>
      </c>
      <c r="J95" t="inlineStr">
        <is>
          <t>Disetujui, Pencabutan</t>
        </is>
      </c>
      <c r="K95" t="n">
        <v>30</v>
      </c>
      <c r="L95" t="inlineStr">
        <is>
          <t>12 Juli 2026</t>
        </is>
      </c>
      <c r="M95" t="inlineStr">
        <is>
          <t>Konstruksi Bangunan Sipil Jalan, Konstruksi Jaringan Irigasi dan Drainase</t>
        </is>
      </c>
      <c r="N95" t="inlineStr">
        <is>
          <t>K</t>
        </is>
      </c>
      <c r="O95" t="inlineStr">
        <is>
          <t>20230711</t>
        </is>
      </c>
      <c r="P95" t="inlineStr">
        <is>
          <t>Banten</t>
        </is>
      </c>
      <c r="Q95" t="inlineStr"/>
    </row>
    <row r="96">
      <c r="A96" t="inlineStr">
        <is>
          <t>HANNA CITRA KONSTRUKSI</t>
        </is>
      </c>
      <c r="B96" t="inlineStr">
        <is>
          <t>Kab. Pacitan</t>
        </is>
      </c>
      <c r="C96" t="inlineStr">
        <is>
          <t>081232745028</t>
        </is>
      </c>
      <c r="D96" t="inlineStr">
        <is>
          <t>cvhannacitra@gmail.com</t>
        </is>
      </c>
      <c r="E96" t="inlineStr">
        <is>
          <t>https://lpjk.pu.go.id/search-badan-usaha-detail/MWk3YlkrTUV4bmZFdFoyTHZrbXRXdz09</t>
        </is>
      </c>
      <c r="F96" t="n">
        <v>1</v>
      </c>
      <c r="G96" t="inlineStr">
        <is>
          <t>BS001</t>
        </is>
      </c>
      <c r="H96" t="inlineStr">
        <is>
          <t>30 Desember 2004</t>
        </is>
      </c>
      <c r="I96" s="2" t="n">
        <v>46215</v>
      </c>
      <c r="J96" t="inlineStr">
        <is>
          <t>Disetujui</t>
        </is>
      </c>
      <c r="K96" t="n">
        <v>30</v>
      </c>
      <c r="L96" t="inlineStr">
        <is>
          <t>12 Juli 2026</t>
        </is>
      </c>
      <c r="M96" t="inlineStr">
        <is>
          <t>Konstruksi Bangunan Sipil Jalan</t>
        </is>
      </c>
      <c r="N96" t="inlineStr">
        <is>
          <t>K</t>
        </is>
      </c>
      <c r="O96" t="inlineStr">
        <is>
          <t>20230628</t>
        </is>
      </c>
      <c r="P96" t="inlineStr">
        <is>
          <t>Jawa Timur</t>
        </is>
      </c>
      <c r="Q96" t="inlineStr"/>
    </row>
    <row r="97">
      <c r="A97" t="inlineStr">
        <is>
          <t>HARMONI KARYA</t>
        </is>
      </c>
      <c r="B97" t="inlineStr">
        <is>
          <t>Kota Sukabumi</t>
        </is>
      </c>
      <c r="C97" t="inlineStr">
        <is>
          <t>081563770269</t>
        </is>
      </c>
      <c r="D97" t="inlineStr">
        <is>
          <t>cv.harmonikarya@gmail.com</t>
        </is>
      </c>
      <c r="E97" t="inlineStr">
        <is>
          <t>https://lpjk.pu.go.id/search-badan-usaha-detail/QWIxVGYwamRhUGpiNDE4WEZsTUprdz09</t>
        </is>
      </c>
      <c r="F97" t="n">
        <v>1</v>
      </c>
      <c r="G97" t="inlineStr">
        <is>
          <t>RK003</t>
        </is>
      </c>
      <c r="H97" t="inlineStr">
        <is>
          <t>3 Mei 2013</t>
        </is>
      </c>
      <c r="I97" s="2" t="n">
        <v>46215</v>
      </c>
      <c r="J97" t="inlineStr">
        <is>
          <t>Disetujui</t>
        </is>
      </c>
      <c r="K97" t="n">
        <v>30</v>
      </c>
      <c r="L97" t="inlineStr">
        <is>
          <t>12 Juli 2026</t>
        </is>
      </c>
      <c r="M97" t="inlineStr">
        <is>
          <t>Jasa Rekayasa Pekerjaan Teknik Sipil Transportasi</t>
        </is>
      </c>
      <c r="N97" t="inlineStr">
        <is>
          <t>K</t>
        </is>
      </c>
      <c r="O97" t="inlineStr">
        <is>
          <t>20230626</t>
        </is>
      </c>
      <c r="P97" t="inlineStr">
        <is>
          <t>Jawa Barat</t>
        </is>
      </c>
      <c r="Q97" t="inlineStr"/>
    </row>
    <row r="98">
      <c r="A98" t="inlineStr">
        <is>
          <t>HARTONO KARYA INDONESIA</t>
        </is>
      </c>
      <c r="B98" t="inlineStr">
        <is>
          <t>Kab. Seruyan</t>
        </is>
      </c>
      <c r="C98" t="inlineStr">
        <is>
          <t>0811521581</t>
        </is>
      </c>
      <c r="D98" t="inlineStr">
        <is>
          <t>hakaindohaka@gmail.com</t>
        </is>
      </c>
      <c r="E98" t="inlineStr">
        <is>
          <t>https://lpjk.pu.go.id/search-badan-usaha-detail/dWRwb2xMRFQ1eS9vbzVlZXBRcmhNZz09</t>
        </is>
      </c>
      <c r="F98" t="n">
        <v>1</v>
      </c>
      <c r="G98" t="inlineStr">
        <is>
          <t>BG002</t>
        </is>
      </c>
      <c r="H98" t="inlineStr">
        <is>
          <t>20 Agustus 2007</t>
        </is>
      </c>
      <c r="I98" s="2" t="n">
        <v>46215</v>
      </c>
      <c r="J98" t="inlineStr">
        <is>
          <t>Disetujui</t>
        </is>
      </c>
      <c r="K98" t="n">
        <v>30</v>
      </c>
      <c r="L98" t="inlineStr">
        <is>
          <t>12 Juli 2026</t>
        </is>
      </c>
      <c r="M98" t="inlineStr">
        <is>
          <t>Konstruksi Gedung Perkantoran</t>
        </is>
      </c>
      <c r="N98" t="inlineStr">
        <is>
          <t>M</t>
        </is>
      </c>
      <c r="O98" t="inlineStr">
        <is>
          <t>20230708</t>
        </is>
      </c>
      <c r="P98" t="inlineStr">
        <is>
          <t>Kalimantan Tengah</t>
        </is>
      </c>
      <c r="Q98" t="inlineStr"/>
    </row>
    <row r="99">
      <c r="A99" t="inlineStr">
        <is>
          <t>HAZBRO JAYA BERSAMA</t>
        </is>
      </c>
      <c r="B99" t="inlineStr">
        <is>
          <t>Kab. Karawang</t>
        </is>
      </c>
      <c r="C99" t="inlineStr">
        <is>
          <t>08119851108</t>
        </is>
      </c>
      <c r="D99" t="inlineStr">
        <is>
          <t>hjb_karawang@hazbro-jayabersama.com</t>
        </is>
      </c>
      <c r="E99" t="inlineStr">
        <is>
          <t>https://lpjk.pu.go.id/search-badan-usaha-detail/T0t5aHpSdGVnYXBCakF4YlBPY1Z2QT09</t>
        </is>
      </c>
      <c r="F99" t="n">
        <v>1</v>
      </c>
      <c r="G99" t="inlineStr">
        <is>
          <t>BS001</t>
        </is>
      </c>
      <c r="H99" t="inlineStr">
        <is>
          <t>20 Februari 2023</t>
        </is>
      </c>
      <c r="I99" s="2" t="n">
        <v>46215</v>
      </c>
      <c r="J99" t="inlineStr">
        <is>
          <t>Disetujui</t>
        </is>
      </c>
      <c r="K99" t="n">
        <v>30</v>
      </c>
      <c r="L99" t="inlineStr">
        <is>
          <t>12 Juli 2026</t>
        </is>
      </c>
      <c r="M99" t="inlineStr">
        <is>
          <t>Konstruksi Bangunan Sipil Jalan</t>
        </is>
      </c>
      <c r="N99" t="inlineStr">
        <is>
          <t>K</t>
        </is>
      </c>
      <c r="O99" t="inlineStr">
        <is>
          <t>20230705</t>
        </is>
      </c>
      <c r="P99" t="inlineStr">
        <is>
          <t>Jawa Barat</t>
        </is>
      </c>
      <c r="Q99" t="inlineStr"/>
    </row>
    <row r="100">
      <c r="A100" t="inlineStr">
        <is>
          <t>INDOTAMA GLOBAL KONSTRUKSI</t>
        </is>
      </c>
      <c r="B100" t="inlineStr">
        <is>
          <t>Kab. Boyolali</t>
        </is>
      </c>
      <c r="C100" t="inlineStr">
        <is>
          <t>081225156690</t>
        </is>
      </c>
      <c r="D100" t="inlineStr">
        <is>
          <t>cv.indotamaglobalkontruksi@gmail.com</t>
        </is>
      </c>
      <c r="E100" t="inlineStr">
        <is>
          <t>https://lpjk.pu.go.id/search-badan-usaha-detail/eDNuNVZkeVdoQVBmaEVWK2dRUU40dz09</t>
        </is>
      </c>
      <c r="F100" t="n">
        <v>1</v>
      </c>
      <c r="G100" t="inlineStr">
        <is>
          <t>BS001</t>
        </is>
      </c>
      <c r="H100" t="inlineStr">
        <is>
          <t>20 Juni 2019</t>
        </is>
      </c>
      <c r="I100" s="2" t="n">
        <v>46215</v>
      </c>
      <c r="J100" t="inlineStr">
        <is>
          <t>Disetujui</t>
        </is>
      </c>
      <c r="K100" t="n">
        <v>30</v>
      </c>
      <c r="L100" t="inlineStr">
        <is>
          <t>12 Juli 2026</t>
        </is>
      </c>
      <c r="M100" t="inlineStr">
        <is>
          <t>Konstruksi Bangunan Sipil Jalan</t>
        </is>
      </c>
      <c r="N100" t="inlineStr">
        <is>
          <t>K</t>
        </is>
      </c>
      <c r="O100" t="inlineStr">
        <is>
          <t>20230711</t>
        </is>
      </c>
      <c r="P100" t="inlineStr">
        <is>
          <t>Jawa Tengah</t>
        </is>
      </c>
      <c r="Q100" t="inlineStr"/>
    </row>
    <row r="101">
      <c r="A101" t="inlineStr">
        <is>
          <t>INDRA PRIMA</t>
        </is>
      </c>
      <c r="B101" t="inlineStr">
        <is>
          <t>Kab. Garut</t>
        </is>
      </c>
      <c r="C101" t="inlineStr">
        <is>
          <t>082218009394</t>
        </is>
      </c>
      <c r="D101" t="inlineStr">
        <is>
          <t>cv.indraprima@gmail.com</t>
        </is>
      </c>
      <c r="E101" t="inlineStr">
        <is>
          <t>https://lpjk.pu.go.id/search-badan-usaha-detail/WERBb2pONFVaMVNuK3RkRitrck55Zz09</t>
        </is>
      </c>
      <c r="F101" t="n">
        <v>1</v>
      </c>
      <c r="G101" t="inlineStr">
        <is>
          <t>BG005</t>
        </is>
      </c>
      <c r="H101" t="inlineStr">
        <is>
          <t>10 November 2016</t>
        </is>
      </c>
      <c r="I101" s="2" t="n">
        <v>46215</v>
      </c>
      <c r="J101" t="inlineStr">
        <is>
          <t>Disetujui</t>
        </is>
      </c>
      <c r="K101" t="n">
        <v>30</v>
      </c>
      <c r="L101" t="inlineStr">
        <is>
          <t>12 Juli 2026</t>
        </is>
      </c>
      <c r="M101" t="inlineStr">
        <is>
          <t>Konstruksi Gedung Kesehatan</t>
        </is>
      </c>
      <c r="N101" t="inlineStr">
        <is>
          <t>K</t>
        </is>
      </c>
      <c r="O101" t="inlineStr">
        <is>
          <t>20230713</t>
        </is>
      </c>
      <c r="P101" t="inlineStr">
        <is>
          <t>Jawa Barat</t>
        </is>
      </c>
      <c r="Q101" t="inlineStr"/>
    </row>
    <row r="102">
      <c r="A102" t="inlineStr">
        <is>
          <t>INTI BUANA RAYA</t>
        </is>
      </c>
      <c r="B102" t="inlineStr">
        <is>
          <t>Kab. Konawe</t>
        </is>
      </c>
      <c r="C102" t="inlineStr">
        <is>
          <t>082226333165</t>
        </is>
      </c>
      <c r="D102" t="inlineStr">
        <is>
          <t>inti_buanaraya@yahoo.co.id</t>
        </is>
      </c>
      <c r="E102" t="inlineStr">
        <is>
          <t>https://lpjk.pu.go.id/search-badan-usaha-detail/azZqMDQ5N2dDc1l0MFNIQ0Q4WjVDQT09</t>
        </is>
      </c>
      <c r="F102" t="n">
        <v>2</v>
      </c>
      <c r="G102" t="inlineStr">
        <is>
          <t>BG006, BS004</t>
        </is>
      </c>
      <c r="H102" t="inlineStr">
        <is>
          <t>30 Oktober 2014</t>
        </is>
      </c>
      <c r="I102" s="2" t="n">
        <v>46215</v>
      </c>
      <c r="J102" t="inlineStr">
        <is>
          <t>Disetujui</t>
        </is>
      </c>
      <c r="K102" t="n">
        <v>30</v>
      </c>
      <c r="L102" t="inlineStr">
        <is>
          <t>12 Juli 2026</t>
        </is>
      </c>
      <c r="M102" t="inlineStr">
        <is>
          <t>Konstruksi Gedung Pendidikan, Konstruksi Jaringan Irigasi dan Drainase</t>
        </is>
      </c>
      <c r="N102" t="inlineStr">
        <is>
          <t>K</t>
        </is>
      </c>
      <c r="O102" t="inlineStr">
        <is>
          <t>20230712, 20230713</t>
        </is>
      </c>
      <c r="P102" t="inlineStr">
        <is>
          <t>Sulawesi Tenggara</t>
        </is>
      </c>
      <c r="Q102" t="inlineStr"/>
    </row>
    <row r="103">
      <c r="A103" t="inlineStr">
        <is>
          <t>INTI KONSTRUKSI ABADI</t>
        </is>
      </c>
      <c r="B103" t="inlineStr">
        <is>
          <t>Kab. Mamuju</t>
        </is>
      </c>
      <c r="C103" t="inlineStr">
        <is>
          <t>081356355495</t>
        </is>
      </c>
      <c r="D103" t="inlineStr">
        <is>
          <t>cenranaujungbaja@gmail.com</t>
        </is>
      </c>
      <c r="E103" t="inlineStr">
        <is>
          <t>https://lpjk.pu.go.id/search-badan-usaha-detail/TUZWTDdhY0VLSU9RQVRZUE9WdWUwdz09</t>
        </is>
      </c>
      <c r="F103" t="n">
        <v>2</v>
      </c>
      <c r="G103" t="inlineStr">
        <is>
          <t>BG005, BG006</t>
        </is>
      </c>
      <c r="H103" t="inlineStr">
        <is>
          <t>4 November 2022</t>
        </is>
      </c>
      <c r="I103" s="2" t="n">
        <v>46215</v>
      </c>
      <c r="J103" t="inlineStr">
        <is>
          <t>Disetujui</t>
        </is>
      </c>
      <c r="K103" t="n">
        <v>30</v>
      </c>
      <c r="L103" t="inlineStr">
        <is>
          <t>12 Juli 2026</t>
        </is>
      </c>
      <c r="M103" t="inlineStr">
        <is>
          <t>Konstruksi Gedung Kesehatan, Konstruksi Gedung Pendidikan</t>
        </is>
      </c>
      <c r="N103" t="inlineStr">
        <is>
          <t>K</t>
        </is>
      </c>
      <c r="O103" t="inlineStr">
        <is>
          <t>20230709</t>
        </is>
      </c>
      <c r="P103" t="inlineStr">
        <is>
          <t>Sulawesi Barat</t>
        </is>
      </c>
      <c r="Q103" t="inlineStr"/>
    </row>
    <row r="104">
      <c r="A104" t="inlineStr">
        <is>
          <t>JATILUHUR USAHA PRATAMA</t>
        </is>
      </c>
      <c r="B104" t="inlineStr">
        <is>
          <t>Kab. Blitar</t>
        </is>
      </c>
      <c r="C104" t="inlineStr">
        <is>
          <t>085331004890</t>
        </is>
      </c>
      <c r="D104" t="inlineStr">
        <is>
          <t>jatiluhurusahapratama16@gmail.com</t>
        </is>
      </c>
      <c r="E104" t="inlineStr">
        <is>
          <t>https://lpjk.pu.go.id/search-badan-usaha-detail/ZTNnYVY0eVcxYVJyUFUxRWVvSmt1Zz09</t>
        </is>
      </c>
      <c r="F104" t="n">
        <v>4</v>
      </c>
      <c r="G104" t="inlineStr">
        <is>
          <t>BG006, BG009</t>
        </is>
      </c>
      <c r="H104" t="inlineStr">
        <is>
          <t>10 Januari 2007</t>
        </is>
      </c>
      <c r="I104" s="2" t="n">
        <v>46215</v>
      </c>
      <c r="J104" t="inlineStr">
        <is>
          <t>Disetujui</t>
        </is>
      </c>
      <c r="K104" t="n">
        <v>30</v>
      </c>
      <c r="L104" t="inlineStr">
        <is>
          <t>12 Juli 2026</t>
        </is>
      </c>
      <c r="M104" t="inlineStr">
        <is>
          <t>Konstruksi Gedung Lainnya, Konstruksi Gedung Pendidikan</t>
        </is>
      </c>
      <c r="N104" t="inlineStr">
        <is>
          <t>K</t>
        </is>
      </c>
      <c r="O104" t="inlineStr">
        <is>
          <t>20230704</t>
        </is>
      </c>
      <c r="P104" t="inlineStr">
        <is>
          <t>Jawa Timur</t>
        </is>
      </c>
      <c r="Q104" t="inlineStr"/>
    </row>
    <row r="105">
      <c r="A105" t="inlineStr">
        <is>
          <t>JAYA MANDIRI</t>
        </is>
      </c>
      <c r="B105" t="inlineStr">
        <is>
          <t>Kota Padang Sidempuan</t>
        </is>
      </c>
      <c r="C105" t="inlineStr">
        <is>
          <t>081260002020</t>
        </is>
      </c>
      <c r="D105" t="inlineStr">
        <is>
          <t>khairulsiregar53@gmail.com</t>
        </is>
      </c>
      <c r="E105" t="inlineStr">
        <is>
          <t>https://lpjk.pu.go.id/search-badan-usaha-detail/RTRPd1NHd1MvODZuRDFNbnhBNjYvUT09</t>
        </is>
      </c>
      <c r="F105" t="n">
        <v>1</v>
      </c>
      <c r="G105" t="inlineStr">
        <is>
          <t>BG002</t>
        </is>
      </c>
      <c r="H105" t="inlineStr">
        <is>
          <t>11 Mei 2023</t>
        </is>
      </c>
      <c r="I105" s="2" t="n">
        <v>46215</v>
      </c>
      <c r="J105" t="inlineStr">
        <is>
          <t>Disetujui</t>
        </is>
      </c>
      <c r="K105" t="n">
        <v>30</v>
      </c>
      <c r="L105" t="inlineStr">
        <is>
          <t>12 Juli 2026</t>
        </is>
      </c>
      <c r="M105" t="inlineStr">
        <is>
          <t>Konstruksi Gedung Perkantoran</t>
        </is>
      </c>
      <c r="N105" t="inlineStr">
        <is>
          <t>K</t>
        </is>
      </c>
      <c r="O105" t="inlineStr">
        <is>
          <t>20230712</t>
        </is>
      </c>
      <c r="P105" t="inlineStr">
        <is>
          <t>Sumatera Utara</t>
        </is>
      </c>
      <c r="Q105" t="inlineStr"/>
    </row>
    <row r="106">
      <c r="A106" t="inlineStr">
        <is>
          <t>JAYAWIRATAMA MAKMUR ABADI</t>
        </is>
      </c>
      <c r="B106" t="inlineStr">
        <is>
          <t>Kota Bandung</t>
        </is>
      </c>
      <c r="C106" t="inlineStr">
        <is>
          <t>081214991673</t>
        </is>
      </c>
      <c r="D106" t="inlineStr">
        <is>
          <t>jayawiratama.ma.2018@gmail.com</t>
        </is>
      </c>
      <c r="E106" t="inlineStr">
        <is>
          <t>https://lpjk.pu.go.id/search-badan-usaha-detail/elprYmhKK1FLcDQ3TURNOFRONlhYZz09</t>
        </is>
      </c>
      <c r="F106" t="n">
        <v>8</v>
      </c>
      <c r="G106" t="inlineStr">
        <is>
          <t>BG002, BG004, BG006, BG009</t>
        </is>
      </c>
      <c r="H106" t="inlineStr">
        <is>
          <t>2 Maret 2018</t>
        </is>
      </c>
      <c r="I106" s="2" t="n">
        <v>46215</v>
      </c>
      <c r="J106" t="inlineStr">
        <is>
          <t>Disetujui</t>
        </is>
      </c>
      <c r="K106" t="n">
        <v>30</v>
      </c>
      <c r="L106" t="inlineStr">
        <is>
          <t>12 Juli 2026</t>
        </is>
      </c>
      <c r="M106" t="inlineStr">
        <is>
          <t>Konstruksi Gedung Lainnya, Konstruksi Gedung Pendidikan, Konstruksi Gedung Perbelanjaan, Konstruksi Gedung Perkantoran</t>
        </is>
      </c>
      <c r="N106" t="inlineStr">
        <is>
          <t>K</t>
        </is>
      </c>
      <c r="O106" t="inlineStr">
        <is>
          <t>20230711</t>
        </is>
      </c>
      <c r="P106" t="inlineStr">
        <is>
          <t>Jawa Barat</t>
        </is>
      </c>
      <c r="Q106" t="inlineStr"/>
    </row>
    <row r="107">
      <c r="A107" t="inlineStr">
        <is>
          <t>KANCAH RATNA PUTRA</t>
        </is>
      </c>
      <c r="B107" t="inlineStr">
        <is>
          <t>Kab. Sumedang</t>
        </is>
      </c>
      <c r="C107" t="inlineStr">
        <is>
          <t>0852 2247 7739</t>
        </is>
      </c>
      <c r="D107" t="inlineStr">
        <is>
          <t>krp.gmsg@gmail.com</t>
        </is>
      </c>
      <c r="E107" t="inlineStr">
        <is>
          <t>https://lpjk.pu.go.id/search-badan-usaha-detail/OHBPTGhNWkozQjZhWlRvRG8rdlpvZz09</t>
        </is>
      </c>
      <c r="F107" t="n">
        <v>4</v>
      </c>
      <c r="G107" t="inlineStr">
        <is>
          <t>BG006, BS004</t>
        </is>
      </c>
      <c r="H107" t="inlineStr">
        <is>
          <t>9 Oktober 2013</t>
        </is>
      </c>
      <c r="I107" s="2" t="n">
        <v>46215</v>
      </c>
      <c r="J107" t="inlineStr">
        <is>
          <t>Disetujui</t>
        </is>
      </c>
      <c r="K107" t="n">
        <v>30</v>
      </c>
      <c r="L107" t="inlineStr">
        <is>
          <t>12 Juli 2026</t>
        </is>
      </c>
      <c r="M107" t="inlineStr">
        <is>
          <t>Konstruksi Gedung Pendidikan, Konstruksi Jaringan Irigasi dan Drainase</t>
        </is>
      </c>
      <c r="N107" t="inlineStr">
        <is>
          <t>K</t>
        </is>
      </c>
      <c r="O107" t="inlineStr">
        <is>
          <t>20230712, 20230713</t>
        </is>
      </c>
      <c r="P107" t="inlineStr">
        <is>
          <t>Jawa Barat</t>
        </is>
      </c>
      <c r="Q107" t="inlineStr"/>
    </row>
    <row r="108">
      <c r="A108" t="inlineStr">
        <is>
          <t>KARUNIA INDAH ARTHA SEJAHTERA</t>
        </is>
      </c>
      <c r="B108" t="inlineStr">
        <is>
          <t>Kota Adm. Jakarta Pusat</t>
        </is>
      </c>
      <c r="C108" t="inlineStr">
        <is>
          <t>0811977711</t>
        </is>
      </c>
      <c r="D108" t="inlineStr">
        <is>
          <t>pt.karuniaindaharthasejahtera@gmail.com</t>
        </is>
      </c>
      <c r="E108" t="inlineStr">
        <is>
          <t>https://lpjk.pu.go.id/search-badan-usaha-detail/cHk4L01wUExEZithelVBWnRiMlNIdz09</t>
        </is>
      </c>
      <c r="F108" t="n">
        <v>3</v>
      </c>
      <c r="G108" t="inlineStr">
        <is>
          <t>BG001, BG002, BG006</t>
        </is>
      </c>
      <c r="H108" t="inlineStr">
        <is>
          <t>28 September 2020</t>
        </is>
      </c>
      <c r="I108" s="2" t="n">
        <v>46215</v>
      </c>
      <c r="J108" t="inlineStr">
        <is>
          <t>Disetujui</t>
        </is>
      </c>
      <c r="K108" t="n">
        <v>30</v>
      </c>
      <c r="L108" t="inlineStr">
        <is>
          <t>12 Juli 2026</t>
        </is>
      </c>
      <c r="M108" t="inlineStr">
        <is>
          <t>Konstruksi Gedung Hunian, Konstruksi Gedung Pendidikan, Konstruksi Gedung Perkantoran</t>
        </is>
      </c>
      <c r="N108" t="inlineStr">
        <is>
          <t>K</t>
        </is>
      </c>
      <c r="O108" t="inlineStr">
        <is>
          <t>20230618</t>
        </is>
      </c>
      <c r="P108" t="inlineStr">
        <is>
          <t>DKI Jakarta</t>
        </is>
      </c>
      <c r="Q108" t="inlineStr"/>
    </row>
    <row r="109">
      <c r="A109" t="inlineStr">
        <is>
          <t>KARYA MANUNGGAL BERKAH</t>
        </is>
      </c>
      <c r="B109" t="inlineStr">
        <is>
          <t>Kab. Sragen</t>
        </is>
      </c>
      <c r="C109" t="inlineStr">
        <is>
          <t>085641062261</t>
        </is>
      </c>
      <c r="D109" t="inlineStr">
        <is>
          <t>karya.manunggal.berkah@gmail.com</t>
        </is>
      </c>
      <c r="E109" t="inlineStr">
        <is>
          <t>https://lpjk.pu.go.id/search-badan-usaha-detail/aEgwVkd0WkFIbzg4cnZESXBUR25oQT09</t>
        </is>
      </c>
      <c r="F109" t="n">
        <v>2</v>
      </c>
      <c r="G109" t="inlineStr">
        <is>
          <t>BS001, BS004</t>
        </is>
      </c>
      <c r="H109" t="inlineStr">
        <is>
          <t>8 Mei 2023</t>
        </is>
      </c>
      <c r="I109" s="2" t="n">
        <v>46215</v>
      </c>
      <c r="J109" t="inlineStr">
        <is>
          <t>Pencabutan</t>
        </is>
      </c>
      <c r="K109" t="n">
        <v>30</v>
      </c>
      <c r="L109" t="inlineStr">
        <is>
          <t>12 Juli 2026</t>
        </is>
      </c>
      <c r="M109" t="inlineStr">
        <is>
          <t>Konstruksi Bangunan Sipil Jalan, Konstruksi Jaringan Irigasi dan Drainase</t>
        </is>
      </c>
      <c r="N109" t="inlineStr">
        <is>
          <t>K</t>
        </is>
      </c>
      <c r="O109" t="inlineStr">
        <is>
          <t>20230711</t>
        </is>
      </c>
      <c r="P109" t="inlineStr">
        <is>
          <t>Jawa Tengah</t>
        </is>
      </c>
      <c r="Q109" t="inlineStr"/>
    </row>
    <row r="110">
      <c r="A110" t="inlineStr">
        <is>
          <t>KARYA PANGESTU</t>
        </is>
      </c>
      <c r="B110" t="inlineStr">
        <is>
          <t>Kota Banjarmasin</t>
        </is>
      </c>
      <c r="C110" t="inlineStr">
        <is>
          <t>0811504537</t>
        </is>
      </c>
      <c r="D110" t="inlineStr">
        <is>
          <t>karyap9@gmail.com</t>
        </is>
      </c>
      <c r="E110" t="inlineStr">
        <is>
          <t>https://lpjk.pu.go.id/search-badan-usaha-detail/N3NCbmdBQzhNM0JMLzlYdVVnR3U3dz09</t>
        </is>
      </c>
      <c r="F110" t="n">
        <v>1</v>
      </c>
      <c r="G110" t="inlineStr">
        <is>
          <t>BS004</t>
        </is>
      </c>
      <c r="H110" t="inlineStr">
        <is>
          <t>2 Mei 2008</t>
        </is>
      </c>
      <c r="I110" s="2" t="n">
        <v>46215</v>
      </c>
      <c r="J110" t="inlineStr">
        <is>
          <t>Disetujui</t>
        </is>
      </c>
      <c r="K110" t="n">
        <v>30</v>
      </c>
      <c r="L110" t="inlineStr">
        <is>
          <t>12 Juli 2026</t>
        </is>
      </c>
      <c r="M110" t="inlineStr">
        <is>
          <t>Konstruksi Jaringan Irigasi dan Drainase</t>
        </is>
      </c>
      <c r="N110" t="inlineStr">
        <is>
          <t>K</t>
        </is>
      </c>
      <c r="O110" t="inlineStr">
        <is>
          <t>20230531</t>
        </is>
      </c>
      <c r="P110" t="inlineStr">
        <is>
          <t>Kalimantan Selatan</t>
        </is>
      </c>
      <c r="Q110" t="inlineStr"/>
    </row>
    <row r="111">
      <c r="A111" t="inlineStr">
        <is>
          <t>KARYA PERDANA MANDIRI</t>
        </is>
      </c>
      <c r="B111" t="inlineStr">
        <is>
          <t>Kota Jambi</t>
        </is>
      </c>
      <c r="C111" t="inlineStr">
        <is>
          <t>081271143443</t>
        </is>
      </c>
      <c r="D111" t="inlineStr">
        <is>
          <t>cvkaryaperdanama@gmail.com</t>
        </is>
      </c>
      <c r="E111" t="inlineStr">
        <is>
          <t>https://lpjk.pu.go.id/search-badan-usaha-detail/dlZ0dkJmelZKdEpESUY0RTYwUTdDQT09</t>
        </is>
      </c>
      <c r="F111" t="n">
        <v>2</v>
      </c>
      <c r="G111" t="inlineStr">
        <is>
          <t>BG009, BS004</t>
        </is>
      </c>
      <c r="H111" t="inlineStr">
        <is>
          <t>21 Februari 2002</t>
        </is>
      </c>
      <c r="I111" s="2" t="n">
        <v>46215</v>
      </c>
      <c r="J111" t="inlineStr">
        <is>
          <t>Disetujui</t>
        </is>
      </c>
      <c r="K111" t="n">
        <v>30</v>
      </c>
      <c r="L111" t="inlineStr">
        <is>
          <t>12 Juli 2026</t>
        </is>
      </c>
      <c r="M111" t="inlineStr">
        <is>
          <t>Konstruksi Gedung Lainnya, Konstruksi Jaringan Irigasi dan Drainase</t>
        </is>
      </c>
      <c r="N111" t="inlineStr">
        <is>
          <t>K</t>
        </is>
      </c>
      <c r="O111" t="inlineStr">
        <is>
          <t>20230705, 20230707</t>
        </is>
      </c>
      <c r="P111" t="inlineStr">
        <is>
          <t>Jambi</t>
        </is>
      </c>
      <c r="Q111" t="inlineStr"/>
    </row>
    <row r="112">
      <c r="A112" t="inlineStr">
        <is>
          <t>KARYA PRIMA USAHATAMA</t>
        </is>
      </c>
      <c r="B112" t="inlineStr">
        <is>
          <t>Kota Adm. Jakarta Barat</t>
        </is>
      </c>
      <c r="C112" t="inlineStr">
        <is>
          <t>0216343558</t>
        </is>
      </c>
      <c r="D112" t="inlineStr">
        <is>
          <t>contact@pt-kpusahatama.com</t>
        </is>
      </c>
      <c r="E112" t="inlineStr">
        <is>
          <t>https://lpjk.pu.go.id/search-badan-usaha-detail/Tnd3eU5aVWV4UXVPSmJ0SU1vQmFQZz09</t>
        </is>
      </c>
      <c r="F112" t="n">
        <v>1</v>
      </c>
      <c r="G112" t="inlineStr">
        <is>
          <t>IN004</t>
        </is>
      </c>
      <c r="H112" t="inlineStr">
        <is>
          <t>21 November 2000</t>
        </is>
      </c>
      <c r="I112" s="2" t="n">
        <v>46215</v>
      </c>
      <c r="J112" t="inlineStr">
        <is>
          <t>Pencabutan</t>
        </is>
      </c>
      <c r="K112" t="n">
        <v>30</v>
      </c>
      <c r="L112" t="inlineStr">
        <is>
          <t>12 Juli 2026</t>
        </is>
      </c>
      <c r="M112" t="inlineStr">
        <is>
          <t>Instalasi Minyak dan Gas</t>
        </is>
      </c>
      <c r="N112" t="inlineStr">
        <is>
          <t>Spesialis</t>
        </is>
      </c>
      <c r="O112" t="inlineStr">
        <is>
          <t>20230712</t>
        </is>
      </c>
      <c r="P112" t="inlineStr">
        <is>
          <t>DKI Jakarta</t>
        </is>
      </c>
      <c r="Q112" t="inlineStr"/>
    </row>
    <row r="113">
      <c r="A113" t="inlineStr">
        <is>
          <t>KARYA PUTRI</t>
        </is>
      </c>
      <c r="B113" t="inlineStr">
        <is>
          <t>Kab. Sumba Timur</t>
        </is>
      </c>
      <c r="C113" t="inlineStr">
        <is>
          <t>082146022447</t>
        </is>
      </c>
      <c r="D113" t="inlineStr">
        <is>
          <t>karyaputriwgp@gmail.com</t>
        </is>
      </c>
      <c r="E113" t="inlineStr">
        <is>
          <t>https://lpjk.pu.go.id/search-badan-usaha-detail/VVNIUXJNQzFrZDMwMmt3ZFZHbUt6QT09</t>
        </is>
      </c>
      <c r="F113" t="n">
        <v>1</v>
      </c>
      <c r="G113" t="inlineStr">
        <is>
          <t>BG005</t>
        </is>
      </c>
      <c r="H113" t="inlineStr">
        <is>
          <t>31 Januari 2023</t>
        </is>
      </c>
      <c r="I113" s="2" t="n">
        <v>46215</v>
      </c>
      <c r="J113" t="inlineStr">
        <is>
          <t>Disetujui</t>
        </is>
      </c>
      <c r="K113" t="n">
        <v>30</v>
      </c>
      <c r="L113" t="inlineStr">
        <is>
          <t>12 Juli 2026</t>
        </is>
      </c>
      <c r="M113" t="inlineStr">
        <is>
          <t>Konstruksi Gedung Kesehatan</t>
        </is>
      </c>
      <c r="N113" t="inlineStr">
        <is>
          <t>K</t>
        </is>
      </c>
      <c r="O113" t="inlineStr">
        <is>
          <t>20230709</t>
        </is>
      </c>
      <c r="P113" t="inlineStr">
        <is>
          <t>Nusa Tenggara Timur</t>
        </is>
      </c>
      <c r="Q113" t="inlineStr"/>
    </row>
    <row r="114">
      <c r="A114" t="inlineStr">
        <is>
          <t>KARYA REMAJA</t>
        </is>
      </c>
      <c r="B114" t="inlineStr">
        <is>
          <t>Kab. Tulungagung</t>
        </is>
      </c>
      <c r="C114" t="inlineStr">
        <is>
          <t>0355336693</t>
        </is>
      </c>
      <c r="D114" t="inlineStr">
        <is>
          <t>karyaremaja20@yahoo.co.id</t>
        </is>
      </c>
      <c r="E114" t="inlineStr">
        <is>
          <t>https://lpjk.pu.go.id/search-badan-usaha-detail/c3pPYzgwS2Q5Uy9KZTRGRmh6Qk1NQT09</t>
        </is>
      </c>
      <c r="F114" t="n">
        <v>1</v>
      </c>
      <c r="G114" t="inlineStr">
        <is>
          <t>BS004</t>
        </is>
      </c>
      <c r="H114" t="inlineStr">
        <is>
          <t>14 Maret 1997</t>
        </is>
      </c>
      <c r="I114" s="2" t="n">
        <v>46215</v>
      </c>
      <c r="J114" t="inlineStr">
        <is>
          <t>Disetujui</t>
        </is>
      </c>
      <c r="K114" t="n">
        <v>30</v>
      </c>
      <c r="L114" t="inlineStr">
        <is>
          <t>12 Juli 2026</t>
        </is>
      </c>
      <c r="M114" t="inlineStr">
        <is>
          <t>Konstruksi Jaringan Irigasi dan Drainase</t>
        </is>
      </c>
      <c r="N114" t="inlineStr">
        <is>
          <t>K</t>
        </is>
      </c>
      <c r="O114" t="inlineStr">
        <is>
          <t>20230622</t>
        </is>
      </c>
      <c r="P114" t="inlineStr">
        <is>
          <t>Jawa Timur</t>
        </is>
      </c>
      <c r="Q114" t="inlineStr"/>
    </row>
    <row r="115">
      <c r="A115" t="inlineStr">
        <is>
          <t>KAWAN KITA</t>
        </is>
      </c>
      <c r="B115" t="inlineStr">
        <is>
          <t>Kab. Trenggalek</t>
        </is>
      </c>
      <c r="C115" t="inlineStr">
        <is>
          <t>085330872251</t>
        </is>
      </c>
      <c r="D115" t="inlineStr">
        <is>
          <t>cvkawankita202@gmail.com</t>
        </is>
      </c>
      <c r="E115" t="inlineStr">
        <is>
          <t>https://lpjk.pu.go.id/search-badan-usaha-detail/RC8zbDdnTnVNeXZRVFF6RlVPRlhnZz09</t>
        </is>
      </c>
      <c r="F115" t="n">
        <v>4</v>
      </c>
      <c r="G115" t="inlineStr">
        <is>
          <t>BG005, BG006</t>
        </is>
      </c>
      <c r="H115" t="inlineStr">
        <is>
          <t>1 Februari 2019</t>
        </is>
      </c>
      <c r="I115" s="2" t="n">
        <v>46215</v>
      </c>
      <c r="J115" t="inlineStr">
        <is>
          <t>Disetujui</t>
        </is>
      </c>
      <c r="K115" t="n">
        <v>30</v>
      </c>
      <c r="L115" t="inlineStr">
        <is>
          <t>12 Juli 2026</t>
        </is>
      </c>
      <c r="M115" t="inlineStr">
        <is>
          <t>Konstruksi Gedung Kesehatan, Konstruksi Gedung Pendidikan</t>
        </is>
      </c>
      <c r="N115" t="inlineStr">
        <is>
          <t>K</t>
        </is>
      </c>
      <c r="O115" t="inlineStr">
        <is>
          <t>20230702, 20230710</t>
        </is>
      </c>
      <c r="P115" t="inlineStr">
        <is>
          <t>Jawa Timur</t>
        </is>
      </c>
      <c r="Q115" t="inlineStr"/>
    </row>
    <row r="116">
      <c r="A116" t="inlineStr">
        <is>
          <t>KRIYA PRATAMA</t>
        </is>
      </c>
      <c r="B116" t="inlineStr">
        <is>
          <t>Kota Sabang</t>
        </is>
      </c>
      <c r="C116" t="inlineStr">
        <is>
          <t>082304538101</t>
        </is>
      </c>
      <c r="D116" t="inlineStr">
        <is>
          <t>cv.kriyapratama@gmail.com</t>
        </is>
      </c>
      <c r="E116" t="inlineStr">
        <is>
          <t>https://lpjk.pu.go.id/search-badan-usaha-detail/VnFENzdxc1U0MzVDb2dSSmVMekNIZz09</t>
        </is>
      </c>
      <c r="F116" t="n">
        <v>1</v>
      </c>
      <c r="G116" t="inlineStr">
        <is>
          <t>BG002</t>
        </is>
      </c>
      <c r="H116" t="inlineStr">
        <is>
          <t>2 Januari 2012</t>
        </is>
      </c>
      <c r="I116" s="2" t="n">
        <v>46215</v>
      </c>
      <c r="J116" t="inlineStr">
        <is>
          <t>Disetujui</t>
        </is>
      </c>
      <c r="K116" t="n">
        <v>30</v>
      </c>
      <c r="L116" t="inlineStr">
        <is>
          <t>12 Juli 2026</t>
        </is>
      </c>
      <c r="M116" t="inlineStr">
        <is>
          <t>Konstruksi Gedung Perkantoran</t>
        </is>
      </c>
      <c r="N116" t="inlineStr">
        <is>
          <t>K</t>
        </is>
      </c>
      <c r="O116" t="inlineStr">
        <is>
          <t>20230711</t>
        </is>
      </c>
      <c r="P116" t="inlineStr">
        <is>
          <t>Aceh</t>
        </is>
      </c>
      <c r="Q116" t="inlineStr"/>
    </row>
    <row r="117">
      <c r="A117" t="inlineStr">
        <is>
          <t>KUALA PERSADA PAPUA NUSANTARA</t>
        </is>
      </c>
      <c r="B117" t="inlineStr">
        <is>
          <t>Kab. Mimika</t>
        </is>
      </c>
      <c r="C117" t="inlineStr">
        <is>
          <t>085241700502</t>
        </is>
      </c>
      <c r="D117" t="inlineStr">
        <is>
          <t>pt.kualapersadapapuanusantara01@gmail.com</t>
        </is>
      </c>
      <c r="E117" t="inlineStr">
        <is>
          <t>https://lpjk.pu.go.id/search-badan-usaha-detail/TTh3YVVBa2pJQmVyQW1KMVdXTm4rZz09</t>
        </is>
      </c>
      <c r="F117" t="n">
        <v>1</v>
      </c>
      <c r="G117" t="inlineStr">
        <is>
          <t>BS001</t>
        </is>
      </c>
      <c r="H117" t="inlineStr">
        <is>
          <t>4 November 2004</t>
        </is>
      </c>
      <c r="I117" s="2" t="n">
        <v>46215</v>
      </c>
      <c r="J117" t="inlineStr">
        <is>
          <t>Pembekuan</t>
        </is>
      </c>
      <c r="K117" t="n">
        <v>30</v>
      </c>
      <c r="L117" t="inlineStr">
        <is>
          <t>12 Juli 2026</t>
        </is>
      </c>
      <c r="M117" t="inlineStr">
        <is>
          <t>Konstruksi Bangunan Sipil Jalan</t>
        </is>
      </c>
      <c r="N117" t="inlineStr">
        <is>
          <t>M</t>
        </is>
      </c>
      <c r="O117" t="inlineStr">
        <is>
          <t>20230712</t>
        </is>
      </c>
      <c r="P117" t="inlineStr">
        <is>
          <t>Papua</t>
        </is>
      </c>
      <c r="Q117" t="inlineStr"/>
    </row>
    <row r="118">
      <c r="A118" t="inlineStr">
        <is>
          <t>LAKSANA NUSANTARA</t>
        </is>
      </c>
      <c r="B118" t="inlineStr">
        <is>
          <t>Kab. Sumbawa</t>
        </is>
      </c>
      <c r="C118" t="inlineStr">
        <is>
          <t>081933146999</t>
        </is>
      </c>
      <c r="D118" t="inlineStr">
        <is>
          <t>cv.laksana.nusantara@gmail.com</t>
        </is>
      </c>
      <c r="E118" t="inlineStr">
        <is>
          <t>https://lpjk.pu.go.id/search-badan-usaha-detail/MHF2WjRwY1ZRc2ZycnJwcFR3RTFIdz09</t>
        </is>
      </c>
      <c r="F118" t="n">
        <v>3</v>
      </c>
      <c r="G118" t="inlineStr">
        <is>
          <t>BG002, BG005, BG006</t>
        </is>
      </c>
      <c r="H118" t="inlineStr">
        <is>
          <t>31 Januari 2023</t>
        </is>
      </c>
      <c r="I118" s="2" t="n">
        <v>46215</v>
      </c>
      <c r="J118" t="inlineStr">
        <is>
          <t>Disetujui</t>
        </is>
      </c>
      <c r="K118" t="n">
        <v>30</v>
      </c>
      <c r="L118" t="inlineStr">
        <is>
          <t>12 Juli 2026</t>
        </is>
      </c>
      <c r="M118" t="inlineStr">
        <is>
          <t>Konstruksi Gedung Kesehatan, Konstruksi Gedung Pendidikan, Konstruksi Gedung Perkantoran</t>
        </is>
      </c>
      <c r="N118" t="inlineStr">
        <is>
          <t>K</t>
        </is>
      </c>
      <c r="O118" t="inlineStr">
        <is>
          <t>20230708</t>
        </is>
      </c>
      <c r="P118" t="inlineStr">
        <is>
          <t>Nusa Tenggara Barat</t>
        </is>
      </c>
      <c r="Q118" t="inlineStr"/>
    </row>
    <row r="119">
      <c r="A119" t="inlineStr">
        <is>
          <t>LANCAR BANGUN KONSTRUKSI</t>
        </is>
      </c>
      <c r="B119" t="inlineStr">
        <is>
          <t>Kab. Banyuwangi</t>
        </is>
      </c>
      <c r="C119" t="inlineStr">
        <is>
          <t>082334207359</t>
        </is>
      </c>
      <c r="D119" t="inlineStr">
        <is>
          <t>ossLBKCV@gmail.com</t>
        </is>
      </c>
      <c r="E119" t="inlineStr">
        <is>
          <t>https://lpjk.pu.go.id/search-badan-usaha-detail/elJBOEhyMEh6VlppeUs2REVzRU5Idz09</t>
        </is>
      </c>
      <c r="F119" t="n">
        <v>1</v>
      </c>
      <c r="G119" t="inlineStr">
        <is>
          <t>BS001</t>
        </is>
      </c>
      <c r="H119" t="inlineStr">
        <is>
          <t>7 Maret 2023</t>
        </is>
      </c>
      <c r="I119" s="2" t="n">
        <v>46215</v>
      </c>
      <c r="J119" t="inlineStr">
        <is>
          <t>Disetujui</t>
        </is>
      </c>
      <c r="K119" t="n">
        <v>30</v>
      </c>
      <c r="L119" t="inlineStr">
        <is>
          <t>12 Juli 2026</t>
        </is>
      </c>
      <c r="M119" t="inlineStr">
        <is>
          <t>Konstruksi Bangunan Sipil Jalan</t>
        </is>
      </c>
      <c r="N119" t="inlineStr">
        <is>
          <t>K</t>
        </is>
      </c>
      <c r="O119" t="inlineStr">
        <is>
          <t>20230712</t>
        </is>
      </c>
      <c r="P119" t="inlineStr">
        <is>
          <t>Jawa Timur</t>
        </is>
      </c>
      <c r="Q119" t="inlineStr"/>
    </row>
    <row r="120">
      <c r="A120" t="inlineStr">
        <is>
          <t>LAUT RAYA KRENINDO</t>
        </is>
      </c>
      <c r="B120" t="inlineStr">
        <is>
          <t>Kota Bandar Lampung</t>
        </is>
      </c>
      <c r="C120" t="inlineStr">
        <is>
          <t>0811721289</t>
        </is>
      </c>
      <c r="D120" t="inlineStr">
        <is>
          <t>ptlrk2022@gmail.com</t>
        </is>
      </c>
      <c r="E120" t="inlineStr">
        <is>
          <t>https://lpjk.pu.go.id/search-badan-usaha-detail/ZGoyMkV3elBPZ20vam1RZVBEU0dmdz09</t>
        </is>
      </c>
      <c r="F120" t="n">
        <v>3</v>
      </c>
      <c r="G120" t="inlineStr">
        <is>
          <t>BG009, BS001</t>
        </is>
      </c>
      <c r="H120" t="inlineStr">
        <is>
          <t>29 Oktober 2009</t>
        </is>
      </c>
      <c r="I120" s="2" t="n">
        <v>46215</v>
      </c>
      <c r="J120" t="inlineStr">
        <is>
          <t>Pencabutan</t>
        </is>
      </c>
      <c r="K120" t="n">
        <v>30</v>
      </c>
      <c r="L120" t="inlineStr">
        <is>
          <t>12 Juli 2026</t>
        </is>
      </c>
      <c r="M120" t="inlineStr">
        <is>
          <t>Konstruksi Bangunan Sipil Jalan, Konstruksi Gedung Lainnya</t>
        </is>
      </c>
      <c r="N120" t="inlineStr">
        <is>
          <t>M</t>
        </is>
      </c>
      <c r="O120" t="inlineStr">
        <is>
          <t>20230705, 20230707</t>
        </is>
      </c>
      <c r="P120" t="inlineStr">
        <is>
          <t>Lampung</t>
        </is>
      </c>
      <c r="Q120" t="inlineStr"/>
    </row>
    <row r="121">
      <c r="A121" t="inlineStr">
        <is>
          <t>LEMBAH ASRI</t>
        </is>
      </c>
      <c r="B121" t="inlineStr">
        <is>
          <t>Kota Magelang</t>
        </is>
      </c>
      <c r="C121" t="inlineStr">
        <is>
          <t>085842041731</t>
        </is>
      </c>
      <c r="D121" t="inlineStr">
        <is>
          <t>ardiantoyayan71@yahoo.co.id</t>
        </is>
      </c>
      <c r="E121" t="inlineStr">
        <is>
          <t>https://lpjk.pu.go.id/search-badan-usaha-detail/dTEySjBReFI0dDVSMHhtSDgvb2E0Zz09</t>
        </is>
      </c>
      <c r="F121" t="n">
        <v>1</v>
      </c>
      <c r="G121" t="inlineStr">
        <is>
          <t>BS001</t>
        </is>
      </c>
      <c r="H121" t="inlineStr">
        <is>
          <t>23 Maret 2002</t>
        </is>
      </c>
      <c r="I121" s="2" t="n">
        <v>46215</v>
      </c>
      <c r="J121" t="inlineStr">
        <is>
          <t>Disetujui</t>
        </is>
      </c>
      <c r="K121" t="n">
        <v>30</v>
      </c>
      <c r="L121" t="inlineStr">
        <is>
          <t>12 Juli 2026</t>
        </is>
      </c>
      <c r="M121" t="inlineStr">
        <is>
          <t>Konstruksi Bangunan Sipil Jalan</t>
        </is>
      </c>
      <c r="N121" t="inlineStr">
        <is>
          <t>K</t>
        </is>
      </c>
      <c r="O121" t="inlineStr">
        <is>
          <t>20230706</t>
        </is>
      </c>
      <c r="P121" t="inlineStr">
        <is>
          <t>Jawa Tengah</t>
        </is>
      </c>
      <c r="Q121" t="inlineStr"/>
    </row>
    <row r="122">
      <c r="A122" t="inlineStr">
        <is>
          <t>LINATHA TECH</t>
        </is>
      </c>
      <c r="B122" t="inlineStr">
        <is>
          <t>Kota Manado</t>
        </is>
      </c>
      <c r="C122" t="inlineStr">
        <is>
          <t>081354308505</t>
        </is>
      </c>
      <c r="D122" t="inlineStr">
        <is>
          <t>linathatech@gmail.com</t>
        </is>
      </c>
      <c r="E122" t="inlineStr">
        <is>
          <t>https://lpjk.pu.go.id/search-badan-usaha-detail/c3BlQjNUbG9kWE45a0lMUFNoYXdTQT09</t>
        </is>
      </c>
      <c r="F122" t="n">
        <v>1</v>
      </c>
      <c r="G122" t="inlineStr">
        <is>
          <t>BG005</t>
        </is>
      </c>
      <c r="H122" t="inlineStr">
        <is>
          <t>4 Mei 2023</t>
        </is>
      </c>
      <c r="I122" s="2" t="n">
        <v>46215</v>
      </c>
      <c r="J122" t="inlineStr">
        <is>
          <t>Disetujui</t>
        </is>
      </c>
      <c r="K122" t="n">
        <v>30</v>
      </c>
      <c r="L122" t="inlineStr">
        <is>
          <t>12 Juli 2026</t>
        </is>
      </c>
      <c r="M122" t="inlineStr">
        <is>
          <t>Konstruksi Gedung Kesehatan</t>
        </is>
      </c>
      <c r="N122" t="inlineStr">
        <is>
          <t>K</t>
        </is>
      </c>
      <c r="O122" t="inlineStr">
        <is>
          <t>20230713</t>
        </is>
      </c>
      <c r="P122" t="inlineStr">
        <is>
          <t>Sulawesi Utara</t>
        </is>
      </c>
      <c r="Q122" t="inlineStr"/>
    </row>
    <row r="123">
      <c r="A123" t="inlineStr">
        <is>
          <t>LITA-LISA</t>
        </is>
      </c>
      <c r="B123" t="inlineStr">
        <is>
          <t>Kab. Ponorogo</t>
        </is>
      </c>
      <c r="C123" t="inlineStr">
        <is>
          <t>081329650301</t>
        </is>
      </c>
      <c r="D123" t="inlineStr">
        <is>
          <t>lita.lisa12@gmail.com</t>
        </is>
      </c>
      <c r="E123" t="inlineStr">
        <is>
          <t>https://lpjk.pu.go.id/search-badan-usaha-detail/cTI2N2Y3L0lBMWtFZWhhVEpFcW9HZz09</t>
        </is>
      </c>
      <c r="F123" t="n">
        <v>1</v>
      </c>
      <c r="G123" t="inlineStr">
        <is>
          <t>BS001</t>
        </is>
      </c>
      <c r="H123" t="inlineStr">
        <is>
          <t>24 Agustus 2016</t>
        </is>
      </c>
      <c r="I123" s="2" t="n">
        <v>46215</v>
      </c>
      <c r="J123" t="inlineStr">
        <is>
          <t>Disetujui</t>
        </is>
      </c>
      <c r="K123" t="n">
        <v>30</v>
      </c>
      <c r="L123" t="inlineStr">
        <is>
          <t>12 Juli 2026</t>
        </is>
      </c>
      <c r="M123" t="inlineStr">
        <is>
          <t>Konstruksi Bangunan Sipil Jalan</t>
        </is>
      </c>
      <c r="N123" t="inlineStr">
        <is>
          <t>K</t>
        </is>
      </c>
      <c r="O123" t="inlineStr">
        <is>
          <t>20230706</t>
        </is>
      </c>
      <c r="P123" t="inlineStr">
        <is>
          <t>Jawa Timur</t>
        </is>
      </c>
      <c r="Q123" t="inlineStr"/>
    </row>
    <row r="124">
      <c r="A124" t="inlineStr">
        <is>
          <t>LOTUS</t>
        </is>
      </c>
      <c r="B124" t="inlineStr">
        <is>
          <t>Kota Pekanbaru</t>
        </is>
      </c>
      <c r="C124" t="inlineStr">
        <is>
          <t>085272675530</t>
        </is>
      </c>
      <c r="D124" t="inlineStr">
        <is>
          <t>cv_lotus@ymail.com</t>
        </is>
      </c>
      <c r="E124" t="inlineStr">
        <is>
          <t>https://lpjk.pu.go.id/search-badan-usaha-detail/aS85RThIZ2RKWXI3am1GSXJZOUZVZz09</t>
        </is>
      </c>
      <c r="F124" t="n">
        <v>6</v>
      </c>
      <c r="G124" t="inlineStr">
        <is>
          <t>BG002, BG005, BG006, BG008, BG009, BS001</t>
        </is>
      </c>
      <c r="H124" t="inlineStr">
        <is>
          <t>14 Februari 2011</t>
        </is>
      </c>
      <c r="I124" s="2" t="n">
        <v>46215</v>
      </c>
      <c r="J124" t="inlineStr">
        <is>
          <t>Disetujui</t>
        </is>
      </c>
      <c r="K124" t="n">
        <v>30</v>
      </c>
      <c r="L124" t="inlineStr">
        <is>
          <t>12 Juli 2026</t>
        </is>
      </c>
      <c r="M124" t="inlineStr">
        <is>
          <t>Konstruksi Bangunan Sipil Jalan, Konstruksi Gedung Kesehatan, Konstruksi Gedung Lainnya, Konstruksi Gedung Pendidikan, Konstruksi Gedung Perkantoran, Konstruksi Gedung Tempat Hiburan dan Olahraga</t>
        </is>
      </c>
      <c r="N124" t="inlineStr">
        <is>
          <t>K</t>
        </is>
      </c>
      <c r="O124" t="inlineStr">
        <is>
          <t>20230713</t>
        </is>
      </c>
      <c r="P124" t="inlineStr">
        <is>
          <t>Riau</t>
        </is>
      </c>
      <c r="Q124" t="inlineStr"/>
    </row>
    <row r="125">
      <c r="A125" t="inlineStr">
        <is>
          <t>LUWUK CENTRAL CELEBES</t>
        </is>
      </c>
      <c r="B125" t="inlineStr">
        <is>
          <t>Kab. Banggai</t>
        </is>
      </c>
      <c r="C125" t="inlineStr">
        <is>
          <t>082291545639</t>
        </is>
      </c>
      <c r="D125" t="inlineStr">
        <is>
          <t>luwuk.celebes@gmail.com</t>
        </is>
      </c>
      <c r="E125" t="inlineStr">
        <is>
          <t>https://lpjk.pu.go.id/search-badan-usaha-detail/VDFKS3FuNzBuL0pBNk9EY1JZakdwdz09</t>
        </is>
      </c>
      <c r="F125" t="n">
        <v>3</v>
      </c>
      <c r="G125" t="inlineStr">
        <is>
          <t>BG005, BG006, BG009</t>
        </is>
      </c>
      <c r="H125" t="inlineStr">
        <is>
          <t>19 Agustus 2022</t>
        </is>
      </c>
      <c r="I125" s="2" t="n">
        <v>46215</v>
      </c>
      <c r="J125" t="inlineStr">
        <is>
          <t>Disetujui</t>
        </is>
      </c>
      <c r="K125" t="n">
        <v>30</v>
      </c>
      <c r="L125" t="inlineStr">
        <is>
          <t>12 Juli 2026</t>
        </is>
      </c>
      <c r="M125" t="inlineStr">
        <is>
          <t>Konstruksi Gedung Kesehatan, Konstruksi Gedung Lainnya, Konstruksi Gedung Pendidikan</t>
        </is>
      </c>
      <c r="N125" t="inlineStr">
        <is>
          <t>K</t>
        </is>
      </c>
      <c r="O125" t="inlineStr">
        <is>
          <t>20230711, 20230712</t>
        </is>
      </c>
      <c r="P125" t="inlineStr">
        <is>
          <t>Sulawesi Tengah</t>
        </is>
      </c>
      <c r="Q125" t="inlineStr"/>
    </row>
    <row r="126">
      <c r="A126" t="inlineStr">
        <is>
          <t>MADINAHCORP</t>
        </is>
      </c>
      <c r="B126" t="inlineStr">
        <is>
          <t>Kab. Bandung</t>
        </is>
      </c>
      <c r="C126" t="inlineStr">
        <is>
          <t>08112225362</t>
        </is>
      </c>
      <c r="D126" t="inlineStr">
        <is>
          <t>madinah_corp@yahoo.co.id</t>
        </is>
      </c>
      <c r="E126" t="inlineStr">
        <is>
          <t>https://lpjk.pu.go.id/search-badan-usaha-detail/dnNZaVBBZVRRR0wzc1lPanptTmJVUT09</t>
        </is>
      </c>
      <c r="F126" t="n">
        <v>5</v>
      </c>
      <c r="G126" t="inlineStr">
        <is>
          <t>BG002, BG003, BG005, BG006, BG009</t>
        </is>
      </c>
      <c r="H126" t="inlineStr">
        <is>
          <t>30 Oktober 2015</t>
        </is>
      </c>
      <c r="I126" s="2" t="n">
        <v>46215</v>
      </c>
      <c r="J126" t="inlineStr">
        <is>
          <t>Pencabutan</t>
        </is>
      </c>
      <c r="K126" t="n">
        <v>30</v>
      </c>
      <c r="L126" t="inlineStr">
        <is>
          <t>12 Juli 2026</t>
        </is>
      </c>
      <c r="M126" t="inlineStr">
        <is>
          <t>Konstruksi Gedung Industri, Konstruksi Gedung Kesehatan, Konstruksi Gedung Lainnya, Konstruksi Gedung Pendidikan, Konstruksi Gedung Perkantoran</t>
        </is>
      </c>
      <c r="N126" t="inlineStr">
        <is>
          <t>K</t>
        </is>
      </c>
      <c r="O126" t="inlineStr">
        <is>
          <t>20230710</t>
        </is>
      </c>
      <c r="P126" t="inlineStr">
        <is>
          <t>Jawa Barat</t>
        </is>
      </c>
      <c r="Q126" t="inlineStr"/>
    </row>
    <row r="127">
      <c r="A127" t="inlineStr">
        <is>
          <t>MAHESA CIPTA CREATIVE</t>
        </is>
      </c>
      <c r="B127" t="inlineStr">
        <is>
          <t>Kota Malang</t>
        </is>
      </c>
      <c r="C127" t="inlineStr">
        <is>
          <t>082257096102</t>
        </is>
      </c>
      <c r="D127" t="inlineStr">
        <is>
          <t>cvmccmlg@gmail.com</t>
        </is>
      </c>
      <c r="E127" t="inlineStr">
        <is>
          <t>https://lpjk.pu.go.id/search-badan-usaha-detail/ZUVzRUMwc1ZWWnBHMUUrWW5ROHZudz09</t>
        </is>
      </c>
      <c r="F127" t="n">
        <v>1</v>
      </c>
      <c r="G127" t="inlineStr">
        <is>
          <t>BG006</t>
        </is>
      </c>
      <c r="H127" t="inlineStr">
        <is>
          <t>7 Juni 2023</t>
        </is>
      </c>
      <c r="I127" s="2" t="n">
        <v>46215</v>
      </c>
      <c r="J127" t="inlineStr">
        <is>
          <t>Disetujui</t>
        </is>
      </c>
      <c r="K127" t="n">
        <v>30</v>
      </c>
      <c r="L127" t="inlineStr">
        <is>
          <t>12 Juli 2026</t>
        </is>
      </c>
      <c r="M127" t="inlineStr">
        <is>
          <t>Konstruksi Gedung Pendidikan</t>
        </is>
      </c>
      <c r="N127" t="inlineStr">
        <is>
          <t>K</t>
        </is>
      </c>
      <c r="O127" t="inlineStr">
        <is>
          <t>20230713</t>
        </is>
      </c>
      <c r="P127" t="inlineStr">
        <is>
          <t>Jawa Timur</t>
        </is>
      </c>
      <c r="Q127" t="inlineStr"/>
    </row>
    <row r="128">
      <c r="A128" t="inlineStr">
        <is>
          <t>MAHKOTA TIMUR PERKASA</t>
        </is>
      </c>
      <c r="B128" t="inlineStr">
        <is>
          <t>Kota Tual</t>
        </is>
      </c>
      <c r="C128" t="inlineStr">
        <is>
          <t>081343005558</t>
        </is>
      </c>
      <c r="D128" t="inlineStr">
        <is>
          <t>cvmahkotatimur@gmail.com</t>
        </is>
      </c>
      <c r="E128" t="inlineStr">
        <is>
          <t>https://lpjk.pu.go.id/search-badan-usaha-detail/RkNBT2JraDhnZERyb3BscDEybUludz09</t>
        </is>
      </c>
      <c r="F128" t="n">
        <v>3</v>
      </c>
      <c r="G128" t="inlineStr">
        <is>
          <t>BG001, BG005, BG006</t>
        </is>
      </c>
      <c r="H128" t="inlineStr">
        <is>
          <t>5 April 2013</t>
        </is>
      </c>
      <c r="I128" s="2" t="n">
        <v>46215</v>
      </c>
      <c r="J128" t="inlineStr">
        <is>
          <t>Disetujui</t>
        </is>
      </c>
      <c r="K128" t="n">
        <v>30</v>
      </c>
      <c r="L128" t="inlineStr">
        <is>
          <t>12 Juli 2026</t>
        </is>
      </c>
      <c r="M128" t="inlineStr">
        <is>
          <t>Konstruksi Gedung Hunian, Konstruksi Gedung Kesehatan, Konstruksi Gedung Pendidikan</t>
        </is>
      </c>
      <c r="N128" t="inlineStr">
        <is>
          <t>K</t>
        </is>
      </c>
      <c r="O128" t="inlineStr">
        <is>
          <t>20230712</t>
        </is>
      </c>
      <c r="P128" t="inlineStr">
        <is>
          <t>Maluku</t>
        </is>
      </c>
      <c r="Q128" t="inlineStr"/>
    </row>
    <row r="129">
      <c r="A129" t="inlineStr">
        <is>
          <t>MAJU TERUS KONSTRUKSINDO</t>
        </is>
      </c>
      <c r="B129" t="inlineStr">
        <is>
          <t>Kab. Sleman</t>
        </is>
      </c>
      <c r="C129" t="inlineStr">
        <is>
          <t>087739744448</t>
        </is>
      </c>
      <c r="D129" t="inlineStr">
        <is>
          <t>majuteruskonstruksindo.cv@gmail.com</t>
        </is>
      </c>
      <c r="E129" t="inlineStr">
        <is>
          <t>https://lpjk.pu.go.id/search-badan-usaha-detail/WkYvckx2WUt3aEh2QnB5QWx0WWYxdz09</t>
        </is>
      </c>
      <c r="F129" t="n">
        <v>3</v>
      </c>
      <c r="G129" t="inlineStr">
        <is>
          <t>BG005, BG006, BG009</t>
        </is>
      </c>
      <c r="H129" t="inlineStr">
        <is>
          <t>28 Maret 2023</t>
        </is>
      </c>
      <c r="I129" s="2" t="n">
        <v>46215</v>
      </c>
      <c r="J129" t="inlineStr">
        <is>
          <t>Disetujui</t>
        </is>
      </c>
      <c r="K129" t="n">
        <v>30</v>
      </c>
      <c r="L129" t="inlineStr">
        <is>
          <t>12 Juli 2026</t>
        </is>
      </c>
      <c r="M129" t="inlineStr">
        <is>
          <t>Konstruksi Gedung Kesehatan, Konstruksi Gedung Lainnya, Konstruksi Gedung Pendidikan</t>
        </is>
      </c>
      <c r="N129" t="inlineStr">
        <is>
          <t>K</t>
        </is>
      </c>
      <c r="O129" t="inlineStr">
        <is>
          <t>20230704, 20230707</t>
        </is>
      </c>
      <c r="P129" t="inlineStr">
        <is>
          <t>DI Yogyakarta</t>
        </is>
      </c>
      <c r="Q129" t="inlineStr"/>
    </row>
    <row r="130">
      <c r="A130" t="inlineStr">
        <is>
          <t>MALEO GALERI UTAMA</t>
        </is>
      </c>
      <c r="B130" t="inlineStr">
        <is>
          <t>Kota Palu</t>
        </is>
      </c>
      <c r="C130" t="inlineStr">
        <is>
          <t>08114530918</t>
        </is>
      </c>
      <c r="D130" t="inlineStr">
        <is>
          <t>maleogaleriutama@gmail.com</t>
        </is>
      </c>
      <c r="E130" t="inlineStr">
        <is>
          <t>https://lpjk.pu.go.id/search-badan-usaha-detail/YWJOVnB0VGtzeHUwTW5UU1BReG82UT09</t>
        </is>
      </c>
      <c r="F130" t="n">
        <v>2</v>
      </c>
      <c r="G130" t="inlineStr">
        <is>
          <t>BG006</t>
        </is>
      </c>
      <c r="H130" t="inlineStr">
        <is>
          <t>14 Maret 2012</t>
        </is>
      </c>
      <c r="I130" s="2" t="n">
        <v>46215</v>
      </c>
      <c r="J130" t="inlineStr">
        <is>
          <t>Disetujui</t>
        </is>
      </c>
      <c r="K130" t="n">
        <v>30</v>
      </c>
      <c r="L130" t="inlineStr">
        <is>
          <t>12 Juli 2026</t>
        </is>
      </c>
      <c r="M130" t="inlineStr">
        <is>
          <t>Konstruksi Gedung Pendidikan</t>
        </is>
      </c>
      <c r="N130" t="inlineStr">
        <is>
          <t>M</t>
        </is>
      </c>
      <c r="O130" t="inlineStr">
        <is>
          <t>20230329</t>
        </is>
      </c>
      <c r="P130" t="inlineStr">
        <is>
          <t>Sulawesi Tengah</t>
        </is>
      </c>
      <c r="Q130" t="inlineStr"/>
    </row>
    <row r="131">
      <c r="A131" t="inlineStr">
        <is>
          <t>MALIKA PRATAMA</t>
        </is>
      </c>
      <c r="B131" t="inlineStr">
        <is>
          <t>Kab. Dharmasraya</t>
        </is>
      </c>
      <c r="C131" t="inlineStr">
        <is>
          <t>081372540239</t>
        </is>
      </c>
      <c r="D131" t="inlineStr">
        <is>
          <t>cv.malikapratama888@gmail.com</t>
        </is>
      </c>
      <c r="E131" t="inlineStr">
        <is>
          <t>https://lpjk.pu.go.id/search-badan-usaha-detail/UzlWQlVSOGlINkNGY0J3RDVyS0J6Zz09</t>
        </is>
      </c>
      <c r="F131" t="n">
        <v>2</v>
      </c>
      <c r="G131" t="inlineStr">
        <is>
          <t>BG009</t>
        </is>
      </c>
      <c r="H131" t="inlineStr">
        <is>
          <t>21 Januari 2010</t>
        </is>
      </c>
      <c r="I131" s="2" t="n">
        <v>46215</v>
      </c>
      <c r="J131" t="inlineStr">
        <is>
          <t>Disetujui</t>
        </is>
      </c>
      <c r="K131" t="n">
        <v>30</v>
      </c>
      <c r="L131" t="inlineStr">
        <is>
          <t>12 Juli 2026</t>
        </is>
      </c>
      <c r="M131" t="inlineStr">
        <is>
          <t>Konstruksi Gedung Lainnya</t>
        </is>
      </c>
      <c r="N131" t="inlineStr">
        <is>
          <t>K</t>
        </is>
      </c>
      <c r="O131" t="inlineStr">
        <is>
          <t>20230711</t>
        </is>
      </c>
      <c r="P131" t="inlineStr">
        <is>
          <t>Sumatera Barat</t>
        </is>
      </c>
      <c r="Q131" t="inlineStr"/>
    </row>
    <row r="132">
      <c r="A132" t="inlineStr">
        <is>
          <t>MERAH DELIMA</t>
        </is>
      </c>
      <c r="B132" t="inlineStr">
        <is>
          <t>Kota Sawahlunto</t>
        </is>
      </c>
      <c r="C132" t="inlineStr">
        <is>
          <t>081266131535</t>
        </is>
      </c>
      <c r="D132" t="inlineStr">
        <is>
          <t>cv.merahdelima.mds@gmail.com</t>
        </is>
      </c>
      <c r="E132" t="inlineStr">
        <is>
          <t>https://lpjk.pu.go.id/search-badan-usaha-detail/M0VHbHZDa24wV3ZVMkluWkExOHVKUT09</t>
        </is>
      </c>
      <c r="F132" t="n">
        <v>2</v>
      </c>
      <c r="G132" t="inlineStr">
        <is>
          <t>BG006, BS001</t>
        </is>
      </c>
      <c r="H132" t="inlineStr">
        <is>
          <t>10 November 1986</t>
        </is>
      </c>
      <c r="I132" s="2" t="n">
        <v>46215</v>
      </c>
      <c r="J132" t="inlineStr">
        <is>
          <t>Disetujui</t>
        </is>
      </c>
      <c r="K132" t="n">
        <v>30</v>
      </c>
      <c r="L132" t="inlineStr">
        <is>
          <t>12 Juli 2026</t>
        </is>
      </c>
      <c r="M132" t="inlineStr">
        <is>
          <t>Konstruksi Bangunan Sipil Jalan, Konstruksi Gedung Pendidikan</t>
        </is>
      </c>
      <c r="N132" t="inlineStr">
        <is>
          <t>K</t>
        </is>
      </c>
      <c r="O132" t="inlineStr">
        <is>
          <t>20230506</t>
        </is>
      </c>
      <c r="P132" t="inlineStr">
        <is>
          <t>Sumatera Barat</t>
        </is>
      </c>
      <c r="Q132" t="inlineStr"/>
    </row>
    <row r="133">
      <c r="A133" t="inlineStr">
        <is>
          <t>MINANGKARA UTAMA</t>
        </is>
      </c>
      <c r="B133" t="inlineStr">
        <is>
          <t>Kab. Banyuwangi</t>
        </is>
      </c>
      <c r="C133" t="inlineStr">
        <is>
          <t>085204583716</t>
        </is>
      </c>
      <c r="D133" t="inlineStr">
        <is>
          <t>minangkarautama25@gmail.com</t>
        </is>
      </c>
      <c r="E133" t="inlineStr">
        <is>
          <t>https://lpjk.pu.go.id/search-badan-usaha-detail/S2VIVmhrT016a1hYbW10dU4xcHBDZz09</t>
        </is>
      </c>
      <c r="F133" t="n">
        <v>2</v>
      </c>
      <c r="G133" t="inlineStr">
        <is>
          <t>BS001, BS004</t>
        </is>
      </c>
      <c r="H133" t="inlineStr">
        <is>
          <t>5 Juli 2022</t>
        </is>
      </c>
      <c r="I133" s="2" t="n">
        <v>46215</v>
      </c>
      <c r="J133" t="inlineStr">
        <is>
          <t>Disetujui</t>
        </is>
      </c>
      <c r="K133" t="n">
        <v>30</v>
      </c>
      <c r="L133" t="inlineStr">
        <is>
          <t>12 Juli 2026</t>
        </is>
      </c>
      <c r="M133" t="inlineStr">
        <is>
          <t>Konstruksi Bangunan Sipil Jalan, Konstruksi Jaringan Irigasi dan Drainase</t>
        </is>
      </c>
      <c r="N133" t="inlineStr">
        <is>
          <t>K</t>
        </is>
      </c>
      <c r="O133" t="inlineStr">
        <is>
          <t>20230712</t>
        </is>
      </c>
      <c r="P133" t="inlineStr">
        <is>
          <t>Jawa Timur</t>
        </is>
      </c>
      <c r="Q133" t="inlineStr"/>
    </row>
    <row r="134">
      <c r="A134" t="inlineStr">
        <is>
          <t>MITA NADYA</t>
        </is>
      </c>
      <c r="B134" t="inlineStr">
        <is>
          <t>Kab. Jember</t>
        </is>
      </c>
      <c r="C134" t="inlineStr">
        <is>
          <t>08123455572</t>
        </is>
      </c>
      <c r="D134" t="inlineStr">
        <is>
          <t>cvmitanadya@yahoo.com</t>
        </is>
      </c>
      <c r="E134" t="inlineStr">
        <is>
          <t>https://lpjk.pu.go.id/search-badan-usaha-detail/M0VKeXRTRDZGR2RCRXZqQ3owQVladz09</t>
        </is>
      </c>
      <c r="F134" t="n">
        <v>1</v>
      </c>
      <c r="G134" t="inlineStr">
        <is>
          <t>BG009</t>
        </is>
      </c>
      <c r="H134" t="inlineStr">
        <is>
          <t>8 Januari 2007</t>
        </is>
      </c>
      <c r="I134" s="2" t="n">
        <v>46215</v>
      </c>
      <c r="J134" t="inlineStr">
        <is>
          <t>Disetujui</t>
        </is>
      </c>
      <c r="K134" t="n">
        <v>30</v>
      </c>
      <c r="L134" t="inlineStr">
        <is>
          <t>12 Juli 2026</t>
        </is>
      </c>
      <c r="M134" t="inlineStr">
        <is>
          <t>Konstruksi Gedung Lainnya</t>
        </is>
      </c>
      <c r="N134" t="inlineStr">
        <is>
          <t>K</t>
        </is>
      </c>
      <c r="O134" t="inlineStr">
        <is>
          <t>20230707</t>
        </is>
      </c>
      <c r="P134" t="inlineStr">
        <is>
          <t>Jawa Timur</t>
        </is>
      </c>
      <c r="Q134" t="inlineStr"/>
    </row>
    <row r="135">
      <c r="A135" t="inlineStr">
        <is>
          <t>MITRA ABADI</t>
        </is>
      </c>
      <c r="B135" t="inlineStr">
        <is>
          <t>Kab. Probolinggo</t>
        </is>
      </c>
      <c r="C135" t="inlineStr">
        <is>
          <t>0</t>
        </is>
      </c>
      <c r="D135" t="inlineStr">
        <is>
          <t>mitra.saridi@yahoo.co.id</t>
        </is>
      </c>
      <c r="E135" t="inlineStr">
        <is>
          <t>https://lpjk.pu.go.id/search-badan-usaha-detail/UEtMc3I5dDBDSUJtWlRKUFFPbGlsUT09</t>
        </is>
      </c>
      <c r="F135" t="n">
        <v>1</v>
      </c>
      <c r="G135" t="inlineStr">
        <is>
          <t>BS001</t>
        </is>
      </c>
      <c r="H135" t="inlineStr">
        <is>
          <t>22 Oktober 1991</t>
        </is>
      </c>
      <c r="I135" s="2" t="n">
        <v>46215</v>
      </c>
      <c r="J135" t="inlineStr">
        <is>
          <t>Disetujui</t>
        </is>
      </c>
      <c r="K135" t="n">
        <v>30</v>
      </c>
      <c r="L135" t="inlineStr">
        <is>
          <t>12 Juli 2026</t>
        </is>
      </c>
      <c r="M135" t="inlineStr">
        <is>
          <t>Konstruksi Bangunan Sipil Jalan</t>
        </is>
      </c>
      <c r="N135" t="inlineStr">
        <is>
          <t>K</t>
        </is>
      </c>
      <c r="O135" t="inlineStr">
        <is>
          <t>20230326</t>
        </is>
      </c>
      <c r="P135" t="inlineStr">
        <is>
          <t>Jawa Timur</t>
        </is>
      </c>
      <c r="Q135" t="inlineStr"/>
    </row>
    <row r="136">
      <c r="A136" t="inlineStr">
        <is>
          <t>MITRA KONSTRUKSI</t>
        </is>
      </c>
      <c r="B136" t="inlineStr">
        <is>
          <t>Kota Kendari</t>
        </is>
      </c>
      <c r="C136" t="inlineStr">
        <is>
          <t>085396998210</t>
        </is>
      </c>
      <c r="D136" t="inlineStr">
        <is>
          <t>mitra.konstruksi2000@gmail.com</t>
        </is>
      </c>
      <c r="E136" t="inlineStr">
        <is>
          <t>https://lpjk.pu.go.id/search-badan-usaha-detail/TTdoVUhBVmJlSDdiVS9TQ0FZUUF6dz09</t>
        </is>
      </c>
      <c r="F136" t="n">
        <v>1</v>
      </c>
      <c r="G136" t="inlineStr">
        <is>
          <t>BG005</t>
        </is>
      </c>
      <c r="H136" t="inlineStr">
        <is>
          <t>15 Januari 2014</t>
        </is>
      </c>
      <c r="I136" s="2" t="n">
        <v>46215</v>
      </c>
      <c r="J136" t="inlineStr">
        <is>
          <t>Disetujui</t>
        </is>
      </c>
      <c r="K136" t="n">
        <v>30</v>
      </c>
      <c r="L136" t="inlineStr">
        <is>
          <t>12 Juli 2026</t>
        </is>
      </c>
      <c r="M136" t="inlineStr">
        <is>
          <t>Konstruksi Gedung Kesehatan</t>
        </is>
      </c>
      <c r="N136" t="inlineStr">
        <is>
          <t>K</t>
        </is>
      </c>
      <c r="O136" t="inlineStr">
        <is>
          <t>20230621</t>
        </is>
      </c>
      <c r="P136" t="inlineStr">
        <is>
          <t>Sulawesi Tenggara</t>
        </is>
      </c>
      <c r="Q136" t="inlineStr"/>
    </row>
    <row r="137">
      <c r="A137" t="inlineStr">
        <is>
          <t>MODERN MAKMUR MANDIRI</t>
        </is>
      </c>
      <c r="B137" t="inlineStr">
        <is>
          <t>Kota Blitar</t>
        </is>
      </c>
      <c r="C137" t="inlineStr">
        <is>
          <t>03199788242</t>
        </is>
      </c>
      <c r="D137" t="inlineStr">
        <is>
          <t>modern_makmur_mandiri03@yahoo.com</t>
        </is>
      </c>
      <c r="E137" t="inlineStr">
        <is>
          <t>https://lpjk.pu.go.id/search-badan-usaha-detail/N09KbXdDYTY2cGhMV3ZxZVBNRkhwUT09</t>
        </is>
      </c>
      <c r="F137" t="n">
        <v>1</v>
      </c>
      <c r="G137" t="inlineStr">
        <is>
          <t>KK009</t>
        </is>
      </c>
      <c r="H137" t="inlineStr">
        <is>
          <t>29 Mei 2003</t>
        </is>
      </c>
      <c r="I137" s="2" t="n">
        <v>46215</v>
      </c>
      <c r="J137" t="inlineStr">
        <is>
          <t>Pencabutan</t>
        </is>
      </c>
      <c r="K137" t="n">
        <v>30</v>
      </c>
      <c r="L137" t="inlineStr">
        <is>
          <t>12 Juli 2026</t>
        </is>
      </c>
      <c r="M137" t="inlineStr">
        <is>
          <t>Perkerasan Berbutir</t>
        </is>
      </c>
      <c r="N137" t="inlineStr">
        <is>
          <t>Spesialis</t>
        </is>
      </c>
      <c r="O137" t="inlineStr">
        <is>
          <t>20230621</t>
        </is>
      </c>
      <c r="P137" t="inlineStr">
        <is>
          <t>Jawa Timur</t>
        </is>
      </c>
      <c r="Q137" t="inlineStr"/>
    </row>
    <row r="138">
      <c r="A138" t="inlineStr">
        <is>
          <t>MORA BROTHERS CONSTRUCTION</t>
        </is>
      </c>
      <c r="B138" t="inlineStr">
        <is>
          <t>Kab. Tanjung Jabung Barat</t>
        </is>
      </c>
      <c r="C138" t="inlineStr">
        <is>
          <t>0895629123080</t>
        </is>
      </c>
      <c r="D138" t="inlineStr">
        <is>
          <t>morabrotherconstruction@gmail.com</t>
        </is>
      </c>
      <c r="E138" t="inlineStr">
        <is>
          <t>https://lpjk.pu.go.id/search-badan-usaha-detail/TTVNU25qamNTSHp5eUVoVzRSTTdWQT09</t>
        </is>
      </c>
      <c r="F138" t="n">
        <v>1</v>
      </c>
      <c r="G138" t="inlineStr">
        <is>
          <t>BG009</t>
        </is>
      </c>
      <c r="H138" t="inlineStr">
        <is>
          <t>6 Juni 2023</t>
        </is>
      </c>
      <c r="I138" s="2" t="n">
        <v>46215</v>
      </c>
      <c r="J138" t="inlineStr">
        <is>
          <t>Disetujui</t>
        </is>
      </c>
      <c r="K138" t="n">
        <v>30</v>
      </c>
      <c r="L138" t="inlineStr">
        <is>
          <t>12 Juli 2026</t>
        </is>
      </c>
      <c r="M138" t="inlineStr">
        <is>
          <t>Konstruksi Gedung Lainnya</t>
        </is>
      </c>
      <c r="N138" t="inlineStr">
        <is>
          <t>K</t>
        </is>
      </c>
      <c r="O138" t="inlineStr">
        <is>
          <t>20230710</t>
        </is>
      </c>
      <c r="P138" t="inlineStr">
        <is>
          <t>Jambi</t>
        </is>
      </c>
      <c r="Q138" t="inlineStr"/>
    </row>
    <row r="139">
      <c r="A139" t="inlineStr">
        <is>
          <t>MULTI PERSADA</t>
        </is>
      </c>
      <c r="B139" t="inlineStr">
        <is>
          <t>Kota Padang</t>
        </is>
      </c>
      <c r="C139" t="inlineStr">
        <is>
          <t>085274590199</t>
        </is>
      </c>
      <c r="D139" t="inlineStr">
        <is>
          <t>cv.multipersada@yahoo.com</t>
        </is>
      </c>
      <c r="E139" t="inlineStr">
        <is>
          <t>https://lpjk.pu.go.id/search-badan-usaha-detail/M1JCVmV4VmdIZUIxUW9Nc25EZEo5Zz09</t>
        </is>
      </c>
      <c r="F139" t="n">
        <v>2</v>
      </c>
      <c r="G139" t="inlineStr">
        <is>
          <t>BG001, BG005</t>
        </is>
      </c>
      <c r="H139" t="inlineStr">
        <is>
          <t>19 Desember 2018</t>
        </is>
      </c>
      <c r="I139" s="2" t="n">
        <v>46215</v>
      </c>
      <c r="J139" t="inlineStr">
        <is>
          <t>Pencabutan</t>
        </is>
      </c>
      <c r="K139" t="n">
        <v>30</v>
      </c>
      <c r="L139" t="inlineStr">
        <is>
          <t>12 Juli 2026</t>
        </is>
      </c>
      <c r="M139" t="inlineStr">
        <is>
          <t>Konstruksi Gedung Hunian, Konstruksi Gedung Kesehatan</t>
        </is>
      </c>
      <c r="N139" t="inlineStr">
        <is>
          <t>K</t>
        </is>
      </c>
      <c r="O139" t="inlineStr">
        <is>
          <t>20230710, 20230712</t>
        </is>
      </c>
      <c r="P139" t="inlineStr">
        <is>
          <t>Sumatera Barat</t>
        </is>
      </c>
      <c r="Q139" t="inlineStr"/>
    </row>
    <row r="140">
      <c r="A140" t="inlineStr">
        <is>
          <t>MULTI RAYA KONSTRUKSI</t>
        </is>
      </c>
      <c r="B140" t="inlineStr">
        <is>
          <t>Kab. Banggai</t>
        </is>
      </c>
      <c r="C140" t="inlineStr">
        <is>
          <t>082188851602</t>
        </is>
      </c>
      <c r="D140" t="inlineStr">
        <is>
          <t>konstruksimultiraya@gmail.com</t>
        </is>
      </c>
      <c r="E140" t="inlineStr">
        <is>
          <t>https://lpjk.pu.go.id/search-badan-usaha-detail/YUN4WHBGNlpRSy9IQUI1c3NFeEpjQT09</t>
        </is>
      </c>
      <c r="F140" t="n">
        <v>4</v>
      </c>
      <c r="G140" t="inlineStr">
        <is>
          <t>BG002, BG005, BG006, BG009</t>
        </is>
      </c>
      <c r="H140" t="inlineStr">
        <is>
          <t>6 September 2021</t>
        </is>
      </c>
      <c r="I140" s="2" t="n">
        <v>46215</v>
      </c>
      <c r="J140" t="inlineStr">
        <is>
          <t>Disetujui</t>
        </is>
      </c>
      <c r="K140" t="n">
        <v>30</v>
      </c>
      <c r="L140" t="inlineStr">
        <is>
          <t>12 Juli 2026</t>
        </is>
      </c>
      <c r="M140" t="inlineStr">
        <is>
          <t>Konstruksi Gedung Kesehatan, Konstruksi Gedung Lainnya, Konstruksi Gedung Pendidikan, Konstruksi Gedung Perkantoran</t>
        </is>
      </c>
      <c r="N140" t="inlineStr">
        <is>
          <t>K</t>
        </is>
      </c>
      <c r="O140" t="inlineStr">
        <is>
          <t>20230710, 20230713</t>
        </is>
      </c>
      <c r="P140" t="inlineStr">
        <is>
          <t>Sulawesi Tengah</t>
        </is>
      </c>
      <c r="Q140" t="inlineStr"/>
    </row>
    <row r="141">
      <c r="A141" t="inlineStr">
        <is>
          <t>MUSTIKA ARTHA MANDIRI</t>
        </is>
      </c>
      <c r="B141" t="inlineStr">
        <is>
          <t>Kota Bontang</t>
        </is>
      </c>
      <c r="C141" t="inlineStr">
        <is>
          <t>08115449017</t>
        </is>
      </c>
      <c r="D141" t="inlineStr">
        <is>
          <t>mustikaartha.mandiri@gmail.com</t>
        </is>
      </c>
      <c r="E141" t="inlineStr">
        <is>
          <t>https://lpjk.pu.go.id/search-badan-usaha-detail/RGdnbzBZd1h5c3VGNUhvdVJtY0NWQT09</t>
        </is>
      </c>
      <c r="F141" t="n">
        <v>2</v>
      </c>
      <c r="G141" t="inlineStr">
        <is>
          <t>BS001, BS002</t>
        </is>
      </c>
      <c r="H141" t="inlineStr">
        <is>
          <t>17 Januari 2023</t>
        </is>
      </c>
      <c r="I141" s="2" t="n">
        <v>46215</v>
      </c>
      <c r="J141" t="inlineStr">
        <is>
          <t>Pencabutan</t>
        </is>
      </c>
      <c r="K141" t="n">
        <v>30</v>
      </c>
      <c r="L141" t="inlineStr">
        <is>
          <t>12 Juli 2026</t>
        </is>
      </c>
      <c r="M141" t="inlineStr">
        <is>
          <t>Bangunan Sipil Jembatan, Jalan Layang, Fly Over, dan Underpass, Konstruksi Bangunan Sipil Jalan</t>
        </is>
      </c>
      <c r="N141" t="inlineStr">
        <is>
          <t>K</t>
        </is>
      </c>
      <c r="O141" t="inlineStr">
        <is>
          <t>20230711, 20230712</t>
        </is>
      </c>
      <c r="P141" t="inlineStr">
        <is>
          <t>Kalimantan Timur</t>
        </is>
      </c>
      <c r="Q141" t="inlineStr"/>
    </row>
    <row r="142">
      <c r="A142" t="inlineStr">
        <is>
          <t>MUTIARA SEJATI</t>
        </is>
      </c>
      <c r="B142" t="inlineStr">
        <is>
          <t>Kab. Konawe Selatan</t>
        </is>
      </c>
      <c r="C142" t="inlineStr">
        <is>
          <t>081330374544</t>
        </is>
      </c>
      <c r="D142" t="inlineStr">
        <is>
          <t>ardinfaad790@gmail.com</t>
        </is>
      </c>
      <c r="E142" t="inlineStr">
        <is>
          <t>https://lpjk.pu.go.id/search-badan-usaha-detail/TTcyWnZBMEZZbW0yaDBmSlk3T3pGdz09</t>
        </is>
      </c>
      <c r="F142" t="n">
        <v>2</v>
      </c>
      <c r="G142" t="inlineStr">
        <is>
          <t>BG002</t>
        </is>
      </c>
      <c r="H142" t="inlineStr">
        <is>
          <t>5 Maret 1999</t>
        </is>
      </c>
      <c r="I142" s="2" t="n">
        <v>46215</v>
      </c>
      <c r="J142" t="inlineStr">
        <is>
          <t>Disetujui</t>
        </is>
      </c>
      <c r="K142" t="n">
        <v>30</v>
      </c>
      <c r="L142" t="inlineStr">
        <is>
          <t>12 Juli 2026</t>
        </is>
      </c>
      <c r="M142" t="inlineStr">
        <is>
          <t>Konstruksi Gedung Perkantoran</t>
        </is>
      </c>
      <c r="N142" t="inlineStr">
        <is>
          <t>K</t>
        </is>
      </c>
      <c r="O142" t="inlineStr">
        <is>
          <t>20230703</t>
        </is>
      </c>
      <c r="P142" t="inlineStr">
        <is>
          <t>Sulawesi Tenggara</t>
        </is>
      </c>
      <c r="Q142" t="inlineStr"/>
    </row>
    <row r="143">
      <c r="A143" t="inlineStr">
        <is>
          <t>NAYLA PEMBAREP MANDIRI</t>
        </is>
      </c>
      <c r="B143" t="inlineStr">
        <is>
          <t>Kab. Cirebon</t>
        </is>
      </c>
      <c r="C143" t="inlineStr">
        <is>
          <t>081905060354</t>
        </is>
      </c>
      <c r="D143" t="inlineStr">
        <is>
          <t>CVNAYLAPEMBAREPMANDIRI@GMAIL.COM</t>
        </is>
      </c>
      <c r="E143" t="inlineStr">
        <is>
          <t>https://lpjk.pu.go.id/search-badan-usaha-detail/OGFJWjNJRGN5cnkxaXlLZVFKWTByQT09</t>
        </is>
      </c>
      <c r="F143" t="n">
        <v>2</v>
      </c>
      <c r="G143" t="inlineStr">
        <is>
          <t>BG002, BG005</t>
        </is>
      </c>
      <c r="H143" t="inlineStr">
        <is>
          <t>8 Juni 2023</t>
        </is>
      </c>
      <c r="I143" s="2" t="n">
        <v>46215</v>
      </c>
      <c r="J143" t="inlineStr">
        <is>
          <t>Disetujui</t>
        </is>
      </c>
      <c r="K143" t="n">
        <v>30</v>
      </c>
      <c r="L143" t="inlineStr">
        <is>
          <t>12 Juli 2026</t>
        </is>
      </c>
      <c r="M143" t="inlineStr">
        <is>
          <t>Konstruksi Gedung Kesehatan, Konstruksi Gedung Perkantoran</t>
        </is>
      </c>
      <c r="N143" t="inlineStr">
        <is>
          <t>K</t>
        </is>
      </c>
      <c r="O143" t="inlineStr">
        <is>
          <t>20230711</t>
        </is>
      </c>
      <c r="P143" t="inlineStr">
        <is>
          <t>Jawa Barat</t>
        </is>
      </c>
      <c r="Q143" t="inlineStr"/>
    </row>
    <row r="144">
      <c r="A144" t="inlineStr">
        <is>
          <t>NUGRAHA PERSADA UTAMA</t>
        </is>
      </c>
      <c r="B144" t="inlineStr">
        <is>
          <t>Kota Makassar</t>
        </is>
      </c>
      <c r="C144" t="inlineStr">
        <is>
          <t>081242349999</t>
        </is>
      </c>
      <c r="D144" t="inlineStr">
        <is>
          <t>cv.nugrahapersadautama@gmail.com</t>
        </is>
      </c>
      <c r="E144" t="inlineStr">
        <is>
          <t>https://lpjk.pu.go.id/search-badan-usaha-detail/eTQ4RG1kL2FHZ0xsOFQ4REZ3b29wdz09</t>
        </is>
      </c>
      <c r="F144" t="n">
        <v>2</v>
      </c>
      <c r="G144" t="inlineStr">
        <is>
          <t>BS004</t>
        </is>
      </c>
      <c r="H144" t="inlineStr">
        <is>
          <t>1 Juli 2021</t>
        </is>
      </c>
      <c r="I144" s="2" t="n">
        <v>46215</v>
      </c>
      <c r="J144" t="inlineStr">
        <is>
          <t>Disetujui</t>
        </is>
      </c>
      <c r="K144" t="n">
        <v>30</v>
      </c>
      <c r="L144" t="inlineStr">
        <is>
          <t>12 Juli 2026</t>
        </is>
      </c>
      <c r="M144" t="inlineStr">
        <is>
          <t>Konstruksi Jaringan Irigasi dan Drainase</t>
        </is>
      </c>
      <c r="N144" t="inlineStr">
        <is>
          <t>K</t>
        </is>
      </c>
      <c r="O144" t="inlineStr">
        <is>
          <t>20230511</t>
        </is>
      </c>
      <c r="P144" t="inlineStr">
        <is>
          <t>Sulawesi Selatan</t>
        </is>
      </c>
      <c r="Q144" t="inlineStr"/>
    </row>
    <row r="145">
      <c r="A145" t="inlineStr">
        <is>
          <t>NURUL HIDAYATULLAH</t>
        </is>
      </c>
      <c r="B145" t="inlineStr">
        <is>
          <t>Kab. Sumenep</t>
        </is>
      </c>
      <c r="C145" t="inlineStr">
        <is>
          <t>081703541561</t>
        </is>
      </c>
      <c r="D145" t="inlineStr">
        <is>
          <t>cvnurulhidayatullah@gmail.com</t>
        </is>
      </c>
      <c r="E145" t="inlineStr">
        <is>
          <t>https://lpjk.pu.go.id/search-badan-usaha-detail/RjVjdVh0U1FXbUpOMllWRWJydmZLUT09</t>
        </is>
      </c>
      <c r="F145" t="n">
        <v>1</v>
      </c>
      <c r="G145" t="inlineStr">
        <is>
          <t>BS004</t>
        </is>
      </c>
      <c r="H145" t="inlineStr">
        <is>
          <t>22 Januari 2002</t>
        </is>
      </c>
      <c r="I145" s="2" t="n">
        <v>46215</v>
      </c>
      <c r="J145" t="inlineStr">
        <is>
          <t>Disetujui</t>
        </is>
      </c>
      <c r="K145" t="n">
        <v>30</v>
      </c>
      <c r="L145" t="inlineStr">
        <is>
          <t>12 Juli 2026</t>
        </is>
      </c>
      <c r="M145" t="inlineStr">
        <is>
          <t>Konstruksi Jaringan Irigasi dan Drainase</t>
        </is>
      </c>
      <c r="N145" t="inlineStr">
        <is>
          <t>K</t>
        </is>
      </c>
      <c r="O145" t="inlineStr">
        <is>
          <t>20230711</t>
        </is>
      </c>
      <c r="P145" t="inlineStr">
        <is>
          <t>Jawa Timur</t>
        </is>
      </c>
      <c r="Q145" t="inlineStr"/>
    </row>
    <row r="146">
      <c r="A146" t="inlineStr">
        <is>
          <t>PADI JAYA MAKMUR</t>
        </is>
      </c>
      <c r="B146" t="inlineStr">
        <is>
          <t>Kab. Sumba Barat Daya</t>
        </is>
      </c>
      <c r="C146" t="inlineStr">
        <is>
          <t>082190104127</t>
        </is>
      </c>
      <c r="D146" t="inlineStr">
        <is>
          <t>ptpadijayamakmur@gmail.com</t>
        </is>
      </c>
      <c r="E146" t="inlineStr">
        <is>
          <t>https://lpjk.pu.go.id/search-badan-usaha-detail/ZDZ2SVlSRC9VSzFMb0hzSU9UOWh2dz09</t>
        </is>
      </c>
      <c r="F146" t="n">
        <v>1</v>
      </c>
      <c r="G146" t="inlineStr">
        <is>
          <t>BS001</t>
        </is>
      </c>
      <c r="H146" t="inlineStr">
        <is>
          <t>14 Juni 2013</t>
        </is>
      </c>
      <c r="I146" s="2" t="n">
        <v>46215</v>
      </c>
      <c r="J146" t="inlineStr">
        <is>
          <t>Pencabutan</t>
        </is>
      </c>
      <c r="K146" t="n">
        <v>30</v>
      </c>
      <c r="L146" t="inlineStr">
        <is>
          <t>12 Juli 2026</t>
        </is>
      </c>
      <c r="M146" t="inlineStr">
        <is>
          <t>Konstruksi Bangunan Sipil Jalan</t>
        </is>
      </c>
      <c r="N146" t="inlineStr">
        <is>
          <t>M</t>
        </is>
      </c>
      <c r="O146" t="inlineStr">
        <is>
          <t>20230302</t>
        </is>
      </c>
      <c r="P146" t="inlineStr">
        <is>
          <t>Nusa Tenggara Timur</t>
        </is>
      </c>
      <c r="Q146" t="inlineStr"/>
    </row>
    <row r="147">
      <c r="A147" t="inlineStr">
        <is>
          <t>PAHALA KENCANA</t>
        </is>
      </c>
      <c r="B147" t="inlineStr">
        <is>
          <t>Kab. Kulon Progo</t>
        </is>
      </c>
      <c r="C147" t="inlineStr">
        <is>
          <t>085329589123</t>
        </is>
      </c>
      <c r="D147" t="inlineStr">
        <is>
          <t>pkencana8625@yahoo.com</t>
        </is>
      </c>
      <c r="E147" t="inlineStr">
        <is>
          <t>https://lpjk.pu.go.id/search-badan-usaha-detail/ejlMVFg2ZWZ6cWtUTTlvT0dUOW5idz09</t>
        </is>
      </c>
      <c r="F147" t="n">
        <v>1</v>
      </c>
      <c r="G147" t="inlineStr">
        <is>
          <t>BG001</t>
        </is>
      </c>
      <c r="H147" t="inlineStr">
        <is>
          <t>1 Juli 2013</t>
        </is>
      </c>
      <c r="I147" s="2" t="n">
        <v>46215</v>
      </c>
      <c r="J147" t="inlineStr">
        <is>
          <t>Disetujui</t>
        </is>
      </c>
      <c r="K147" t="n">
        <v>30</v>
      </c>
      <c r="L147" t="inlineStr">
        <is>
          <t>12 Juli 2026</t>
        </is>
      </c>
      <c r="M147" t="inlineStr">
        <is>
          <t>Konstruksi Gedung Hunian</t>
        </is>
      </c>
      <c r="N147" t="inlineStr">
        <is>
          <t>K</t>
        </is>
      </c>
      <c r="O147" t="inlineStr">
        <is>
          <t>20230711</t>
        </is>
      </c>
      <c r="P147" t="inlineStr">
        <is>
          <t>DI Yogyakarta</t>
        </is>
      </c>
      <c r="Q147" t="inlineStr"/>
    </row>
    <row r="148">
      <c r="A148" t="inlineStr">
        <is>
          <t>PANCARONA MITRA ABADI</t>
        </is>
      </c>
      <c r="B148" t="inlineStr">
        <is>
          <t>Kota Adm. Jakarta Barat</t>
        </is>
      </c>
      <c r="C148" t="inlineStr">
        <is>
          <t>081223717161</t>
        </is>
      </c>
      <c r="D148" t="inlineStr">
        <is>
          <t>pt.pancaronamitraabadi@gmail.com</t>
        </is>
      </c>
      <c r="E148" t="inlineStr">
        <is>
          <t>https://lpjk.pu.go.id/search-badan-usaha-detail/RFBUSVRMM2ZjMktyV0RBeHJIRWRnTkRyRWJJU1VUTTVoUFZiR0lrOEI2UT0</t>
        </is>
      </c>
      <c r="F148" t="n">
        <v>3</v>
      </c>
      <c r="G148" t="inlineStr">
        <is>
          <t>BG005</t>
        </is>
      </c>
      <c r="H148" t="inlineStr">
        <is>
          <t>29 Juni 2022</t>
        </is>
      </c>
      <c r="I148" s="2" t="n">
        <v>46215</v>
      </c>
      <c r="J148" t="inlineStr">
        <is>
          <t>Pencabutan</t>
        </is>
      </c>
      <c r="K148" t="n">
        <v>30</v>
      </c>
      <c r="L148" t="inlineStr">
        <is>
          <t>12 Juli 2026</t>
        </is>
      </c>
      <c r="M148" t="inlineStr">
        <is>
          <t>Konstruksi Gedung Kesehatan</t>
        </is>
      </c>
      <c r="N148" t="inlineStr">
        <is>
          <t>K</t>
        </is>
      </c>
      <c r="O148" t="inlineStr">
        <is>
          <t>20230705</t>
        </is>
      </c>
      <c r="P148" t="inlineStr">
        <is>
          <t>DKI Jakarta</t>
        </is>
      </c>
      <c r="Q148" t="inlineStr"/>
    </row>
    <row r="149">
      <c r="A149" t="inlineStr">
        <is>
          <t>PANCATAMA CIPTA ANUGRAH</t>
        </is>
      </c>
      <c r="B149" t="inlineStr">
        <is>
          <t>Kota Adm. Jakarta Utara</t>
        </is>
      </c>
      <c r="C149" t="inlineStr">
        <is>
          <t>0</t>
        </is>
      </c>
      <c r="D149" t="inlineStr">
        <is>
          <t>infopca88@gmail.com</t>
        </is>
      </c>
      <c r="E149" t="inlineStr">
        <is>
          <t>https://lpjk.pu.go.id/search-badan-usaha-detail/NFhUSFV5NHhOSncxUGUyc2s3RDFUQT09</t>
        </is>
      </c>
      <c r="F149" t="n">
        <v>3</v>
      </c>
      <c r="G149" t="inlineStr">
        <is>
          <t>BG001, BG002, BG007</t>
        </is>
      </c>
      <c r="H149" t="inlineStr">
        <is>
          <t>30 Januari 2015</t>
        </is>
      </c>
      <c r="I149" s="2" t="n">
        <v>46215</v>
      </c>
      <c r="J149" t="inlineStr">
        <is>
          <t>Pencabutan</t>
        </is>
      </c>
      <c r="K149" t="n">
        <v>30</v>
      </c>
      <c r="L149" t="inlineStr">
        <is>
          <t>12 Juli 2026</t>
        </is>
      </c>
      <c r="M149" t="inlineStr">
        <is>
          <t>Konstruksi Gedung Hunian, Konstruksi Gedung Penginapan, Konstruksi Gedung Perkantoran</t>
        </is>
      </c>
      <c r="N149" t="inlineStr">
        <is>
          <t>K</t>
        </is>
      </c>
      <c r="O149" t="inlineStr">
        <is>
          <t>20230712</t>
        </is>
      </c>
      <c r="P149" t="inlineStr">
        <is>
          <t>DKI Jakarta</t>
        </is>
      </c>
      <c r="Q149" t="inlineStr"/>
    </row>
    <row r="150">
      <c r="A150" t="inlineStr">
        <is>
          <t>PEMBANGUNAN NUSANTARA JAYA</t>
        </is>
      </c>
      <c r="B150" t="inlineStr">
        <is>
          <t>Kab. Sidoarjo</t>
        </is>
      </c>
      <c r="C150" t="inlineStr">
        <is>
          <t>0318068967</t>
        </is>
      </c>
      <c r="D150" t="inlineStr">
        <is>
          <t>pembangunan.nusantara@gmail.com</t>
        </is>
      </c>
      <c r="E150" t="inlineStr">
        <is>
          <t>https://lpjk.pu.go.id/search-badan-usaha-detail/a2dvYnd5QnFpSk5UaUVheEdTREFWdz09</t>
        </is>
      </c>
      <c r="F150" t="n">
        <v>1</v>
      </c>
      <c r="G150" t="inlineStr">
        <is>
          <t>BS010</t>
        </is>
      </c>
      <c r="H150" t="inlineStr">
        <is>
          <t>2 Desember 2008</t>
        </is>
      </c>
      <c r="I150" s="2" t="n">
        <v>46215</v>
      </c>
      <c r="J150" t="inlineStr">
        <is>
          <t>Disetujui</t>
        </is>
      </c>
      <c r="K150" t="n">
        <v>30</v>
      </c>
      <c r="L150" t="inlineStr">
        <is>
          <t>12 Juli 2026</t>
        </is>
      </c>
      <c r="M150" t="inlineStr">
        <is>
          <t>Konstruksi Bangunan Prasarana Sumber Daya Air</t>
        </is>
      </c>
      <c r="N150" t="inlineStr">
        <is>
          <t>K</t>
        </is>
      </c>
      <c r="O150" t="inlineStr">
        <is>
          <t>20230712</t>
        </is>
      </c>
      <c r="P150" t="inlineStr">
        <is>
          <t>Jawa Timur</t>
        </is>
      </c>
      <c r="Q150" t="inlineStr"/>
    </row>
    <row r="151">
      <c r="A151" t="inlineStr">
        <is>
          <t>PERMAI INDAH SINGKAWANG</t>
        </is>
      </c>
      <c r="B151" t="inlineStr">
        <is>
          <t>Kota Singkawang</t>
        </is>
      </c>
      <c r="C151" t="inlineStr">
        <is>
          <t>081345186979</t>
        </is>
      </c>
      <c r="D151" t="inlineStr">
        <is>
          <t>ptpermaiindahskw8@gmail.com</t>
        </is>
      </c>
      <c r="E151" t="inlineStr">
        <is>
          <t>https://lpjk.pu.go.id/search-badan-usaha-detail/SkQ5RkFCN2dBOHY5ZmU2OEo4UlAwZz09</t>
        </is>
      </c>
      <c r="F151" t="n">
        <v>2</v>
      </c>
      <c r="G151" t="inlineStr">
        <is>
          <t>BG001, BS001</t>
        </is>
      </c>
      <c r="H151" t="inlineStr">
        <is>
          <t>2 Desember 2016</t>
        </is>
      </c>
      <c r="I151" s="2" t="n">
        <v>46215</v>
      </c>
      <c r="J151" t="inlineStr">
        <is>
          <t>Disetujui</t>
        </is>
      </c>
      <c r="K151" t="n">
        <v>30</v>
      </c>
      <c r="L151" t="inlineStr">
        <is>
          <t>12 Juli 2026</t>
        </is>
      </c>
      <c r="M151" t="inlineStr">
        <is>
          <t>Konstruksi Bangunan Sipil Jalan, Konstruksi Gedung Hunian</t>
        </is>
      </c>
      <c r="N151" t="inlineStr">
        <is>
          <t>K</t>
        </is>
      </c>
      <c r="O151" t="inlineStr">
        <is>
          <t>20230712</t>
        </is>
      </c>
      <c r="P151" t="inlineStr">
        <is>
          <t>Kalimantan Barat</t>
        </is>
      </c>
      <c r="Q151" t="inlineStr"/>
    </row>
    <row r="152">
      <c r="A152" t="inlineStr">
        <is>
          <t>PESONA RINJANI EXPLORE</t>
        </is>
      </c>
      <c r="B152" t="inlineStr">
        <is>
          <t>Kab. Pesawaran</t>
        </is>
      </c>
      <c r="C152" t="inlineStr">
        <is>
          <t>081369605443</t>
        </is>
      </c>
      <c r="D152" t="inlineStr">
        <is>
          <t>pesonarinjanieksplorcv@gmail.com</t>
        </is>
      </c>
      <c r="E152" t="inlineStr">
        <is>
          <t>https://lpjk.pu.go.id/search-badan-usaha-detail/UlVQQlN5VzRnRkMyODYyVWNYbVVBdz09</t>
        </is>
      </c>
      <c r="F152" t="n">
        <v>1</v>
      </c>
      <c r="G152" t="inlineStr">
        <is>
          <t>BS001</t>
        </is>
      </c>
      <c r="H152" t="inlineStr">
        <is>
          <t>21 Mei 2022</t>
        </is>
      </c>
      <c r="I152" s="2" t="n">
        <v>46215</v>
      </c>
      <c r="J152" t="inlineStr">
        <is>
          <t>Disetujui</t>
        </is>
      </c>
      <c r="K152" t="n">
        <v>30</v>
      </c>
      <c r="L152" t="inlineStr">
        <is>
          <t>12 Juli 2026</t>
        </is>
      </c>
      <c r="M152" t="inlineStr">
        <is>
          <t>Konstruksi Bangunan Sipil Jalan</t>
        </is>
      </c>
      <c r="N152" t="inlineStr">
        <is>
          <t>K</t>
        </is>
      </c>
      <c r="O152" t="inlineStr">
        <is>
          <t>20230712</t>
        </is>
      </c>
      <c r="P152" t="inlineStr">
        <is>
          <t>Lampung</t>
        </is>
      </c>
      <c r="Q152" t="inlineStr"/>
    </row>
    <row r="153">
      <c r="A153" t="inlineStr">
        <is>
          <t>PILAR KONSULTAN</t>
        </is>
      </c>
      <c r="B153" t="inlineStr">
        <is>
          <t>Kab. Aceh Singkil</t>
        </is>
      </c>
      <c r="C153" t="inlineStr">
        <is>
          <t>081377029776</t>
        </is>
      </c>
      <c r="D153" t="inlineStr">
        <is>
          <t>pilarkonsultan16@gmail.com</t>
        </is>
      </c>
      <c r="E153" t="inlineStr">
        <is>
          <t>https://lpjk.pu.go.id/search-badan-usaha-detail/WkFlLzFOSnFrdHJWdk9QVElYN3JIdz09</t>
        </is>
      </c>
      <c r="F153" t="n">
        <v>4</v>
      </c>
      <c r="G153" t="inlineStr">
        <is>
          <t>RK001, RK002, RK003, RK005</t>
        </is>
      </c>
      <c r="H153" t="inlineStr">
        <is>
          <t>18 Maret 2016</t>
        </is>
      </c>
      <c r="I153" s="2" t="n">
        <v>46215</v>
      </c>
      <c r="J153" t="inlineStr">
        <is>
          <t>Disetujui</t>
        </is>
      </c>
      <c r="K153" t="n">
        <v>30</v>
      </c>
      <c r="L153" t="inlineStr">
        <is>
          <t>12 Juli 2026</t>
        </is>
      </c>
      <c r="M153" t="inlineStr">
        <is>
          <t>Jasa Rekayasa Konstruksi Bangunan Gedung Hunian dan Non Hunian, Jasa Rekayasa Lainnya, Jasa Rekayasa Pekerjaan Teknik Sipil Sumber Daya Air, Jasa Rekayasa Pekerjaan Teknik Sipil Transportasi</t>
        </is>
      </c>
      <c r="N153" t="inlineStr">
        <is>
          <t>K</t>
        </is>
      </c>
      <c r="O153" t="inlineStr">
        <is>
          <t>20230626</t>
        </is>
      </c>
      <c r="P153" t="inlineStr">
        <is>
          <t>Aceh</t>
        </is>
      </c>
      <c r="Q153" t="inlineStr"/>
    </row>
    <row r="154">
      <c r="A154" t="inlineStr">
        <is>
          <t>PITA PERDANA</t>
        </is>
      </c>
      <c r="B154" t="inlineStr">
        <is>
          <t>Kab. Donggala</t>
        </is>
      </c>
      <c r="C154" t="inlineStr">
        <is>
          <t>08114568830</t>
        </is>
      </c>
      <c r="D154" t="inlineStr">
        <is>
          <t>pitaperdana8@gmail.com</t>
        </is>
      </c>
      <c r="E154" t="inlineStr">
        <is>
          <t>https://lpjk.pu.go.id/search-badan-usaha-detail/VlFPbjlOaXN6VkF3YVJtTGtLVFp0QT09</t>
        </is>
      </c>
      <c r="F154" t="n">
        <v>5</v>
      </c>
      <c r="G154" t="inlineStr">
        <is>
          <t>BG002, BG004, BG005, BG006, BG009</t>
        </is>
      </c>
      <c r="H154" t="inlineStr">
        <is>
          <t>16 Februari 2019</t>
        </is>
      </c>
      <c r="I154" s="2" t="n">
        <v>46215</v>
      </c>
      <c r="J154" t="inlineStr">
        <is>
          <t>Disetujui</t>
        </is>
      </c>
      <c r="K154" t="n">
        <v>30</v>
      </c>
      <c r="L154" t="inlineStr">
        <is>
          <t>12 Juli 2026</t>
        </is>
      </c>
      <c r="M154" t="inlineStr">
        <is>
          <t>Konstruksi Gedung Kesehatan, Konstruksi Gedung Lainnya, Konstruksi Gedung Pendidikan, Konstruksi Gedung Perbelanjaan, Konstruksi Gedung Perkantoran</t>
        </is>
      </c>
      <c r="N154" t="inlineStr">
        <is>
          <t>K</t>
        </is>
      </c>
      <c r="O154" t="inlineStr">
        <is>
          <t>20230707, 20230708</t>
        </is>
      </c>
      <c r="P154" t="inlineStr">
        <is>
          <t>Sulawesi Tengah</t>
        </is>
      </c>
      <c r="Q154" t="inlineStr"/>
    </row>
    <row r="155">
      <c r="A155" t="inlineStr">
        <is>
          <t>POLARIS PRIMA LESTARI</t>
        </is>
      </c>
      <c r="B155" t="inlineStr">
        <is>
          <t>Kota Medan</t>
        </is>
      </c>
      <c r="C155" t="inlineStr">
        <is>
          <t>082365039711</t>
        </is>
      </c>
      <c r="D155" t="inlineStr">
        <is>
          <t>Rusli@polarisprima.com</t>
        </is>
      </c>
      <c r="E155" t="inlineStr">
        <is>
          <t>https://lpjk.pu.go.id/search-badan-usaha-detail/alNoMUhHRE92ZmdLVk02bllvTkZBQT09</t>
        </is>
      </c>
      <c r="F155" t="n">
        <v>2</v>
      </c>
      <c r="G155" t="inlineStr">
        <is>
          <t>BG003</t>
        </is>
      </c>
      <c r="H155" t="inlineStr">
        <is>
          <t>8 April 2009</t>
        </is>
      </c>
      <c r="I155" s="2" t="n">
        <v>46215</v>
      </c>
      <c r="J155" t="inlineStr">
        <is>
          <t>Pencabutan</t>
        </is>
      </c>
      <c r="K155" t="n">
        <v>30</v>
      </c>
      <c r="L155" t="inlineStr">
        <is>
          <t>12 Juli 2026</t>
        </is>
      </c>
      <c r="M155" t="inlineStr">
        <is>
          <t>Konstruksi Gedung Industri</t>
        </is>
      </c>
      <c r="N155" t="inlineStr">
        <is>
          <t>K</t>
        </is>
      </c>
      <c r="O155" t="inlineStr">
        <is>
          <t>20230712</t>
        </is>
      </c>
      <c r="P155" t="inlineStr">
        <is>
          <t>Sumatera Utara</t>
        </is>
      </c>
      <c r="Q155" t="inlineStr"/>
    </row>
    <row r="156">
      <c r="A156" t="inlineStr">
        <is>
          <t>PRAMA KARYA NUSANTARA</t>
        </is>
      </c>
      <c r="B156" t="inlineStr">
        <is>
          <t>Kab. Bengkulu Tengah</t>
        </is>
      </c>
      <c r="C156" t="inlineStr">
        <is>
          <t>082177282400</t>
        </is>
      </c>
      <c r="D156" t="inlineStr">
        <is>
          <t>pramakaryanusantara@gmail.com</t>
        </is>
      </c>
      <c r="E156" t="inlineStr">
        <is>
          <t>https://lpjk.pu.go.id/search-badan-usaha-detail/WWVoRlk4T1ZqcmViY0U1ckZkVHFkZz09</t>
        </is>
      </c>
      <c r="F156" t="n">
        <v>1</v>
      </c>
      <c r="G156" t="inlineStr">
        <is>
          <t>RK001</t>
        </is>
      </c>
      <c r="H156" t="inlineStr">
        <is>
          <t>13 Januari 2023</t>
        </is>
      </c>
      <c r="I156" s="2" t="n">
        <v>46215</v>
      </c>
      <c r="J156" t="inlineStr">
        <is>
          <t>Disetujui</t>
        </is>
      </c>
      <c r="K156" t="n">
        <v>30</v>
      </c>
      <c r="L156" t="inlineStr">
        <is>
          <t>12 Juli 2026</t>
        </is>
      </c>
      <c r="M156" t="inlineStr">
        <is>
          <t>Jasa Rekayasa Konstruksi Bangunan Gedung Hunian dan Non Hunian</t>
        </is>
      </c>
      <c r="N156" t="inlineStr">
        <is>
          <t>K</t>
        </is>
      </c>
      <c r="O156" t="inlineStr">
        <is>
          <t>20230623</t>
        </is>
      </c>
      <c r="P156" t="inlineStr">
        <is>
          <t>Bengkulu</t>
        </is>
      </c>
      <c r="Q156" t="inlineStr"/>
    </row>
    <row r="157">
      <c r="A157" t="inlineStr">
        <is>
          <t>PRAMUDITA KANAKA</t>
        </is>
      </c>
      <c r="B157" t="inlineStr">
        <is>
          <t>Kab. Semarang</t>
        </is>
      </c>
      <c r="C157" t="inlineStr">
        <is>
          <t>02476911442</t>
        </is>
      </c>
      <c r="D157" t="inlineStr">
        <is>
          <t>pramudita.kanaka@gmail.com</t>
        </is>
      </c>
      <c r="E157" t="inlineStr">
        <is>
          <t>https://lpjk.pu.go.id/search-badan-usaha-detail/UEVMais2N3l6TXN1RnZoZkFDeDYyUT09</t>
        </is>
      </c>
      <c r="F157" t="n">
        <v>3</v>
      </c>
      <c r="G157" t="inlineStr">
        <is>
          <t>BG004, BG005, BS001</t>
        </is>
      </c>
      <c r="H157" t="inlineStr">
        <is>
          <t>5 Oktober 2007</t>
        </is>
      </c>
      <c r="I157" s="2" t="n">
        <v>46215</v>
      </c>
      <c r="J157" t="inlineStr">
        <is>
          <t>Disetujui</t>
        </is>
      </c>
      <c r="K157" t="n">
        <v>30</v>
      </c>
      <c r="L157" t="inlineStr">
        <is>
          <t>12 Juli 2026</t>
        </is>
      </c>
      <c r="M157" t="inlineStr">
        <is>
          <t>Konstruksi Bangunan Sipil Jalan, Konstruksi Gedung Kesehatan, Konstruksi Gedung Perbelanjaan</t>
        </is>
      </c>
      <c r="N157" t="inlineStr">
        <is>
          <t>K</t>
        </is>
      </c>
      <c r="O157" t="inlineStr">
        <is>
          <t>20230325, 20230327, 20230505</t>
        </is>
      </c>
      <c r="P157" t="inlineStr">
        <is>
          <t>Jawa Tengah</t>
        </is>
      </c>
      <c r="Q157" t="inlineStr"/>
    </row>
    <row r="158">
      <c r="A158" t="inlineStr">
        <is>
          <t>PRATAMA KARYA MANDIRI</t>
        </is>
      </c>
      <c r="B158" t="inlineStr">
        <is>
          <t>Kota Surabaya</t>
        </is>
      </c>
      <c r="C158" t="inlineStr">
        <is>
          <t>081335043601</t>
        </is>
      </c>
      <c r="D158" t="inlineStr">
        <is>
          <t>pratamakaryamandiri89@gmail.com</t>
        </is>
      </c>
      <c r="E158" t="inlineStr">
        <is>
          <t>https://lpjk.pu.go.id/search-badan-usaha-detail/V00veHpHT2lvRytFbVZXaGZuK0V4QT09</t>
        </is>
      </c>
      <c r="F158" t="n">
        <v>1</v>
      </c>
      <c r="G158" t="inlineStr">
        <is>
          <t>BG006</t>
        </is>
      </c>
      <c r="H158" t="inlineStr">
        <is>
          <t>6 Maret 2014</t>
        </is>
      </c>
      <c r="I158" s="2" t="n">
        <v>46215</v>
      </c>
      <c r="J158" t="inlineStr">
        <is>
          <t>Disetujui</t>
        </is>
      </c>
      <c r="K158" t="n">
        <v>30</v>
      </c>
      <c r="L158" t="inlineStr">
        <is>
          <t>12 Juli 2026</t>
        </is>
      </c>
      <c r="M158" t="inlineStr">
        <is>
          <t>Konstruksi Gedung Pendidikan</t>
        </is>
      </c>
      <c r="N158" t="inlineStr">
        <is>
          <t>K</t>
        </is>
      </c>
      <c r="O158" t="inlineStr">
        <is>
          <t>20230626</t>
        </is>
      </c>
      <c r="P158" t="inlineStr">
        <is>
          <t>Jawa Timur</t>
        </is>
      </c>
      <c r="Q158" t="inlineStr"/>
    </row>
    <row r="159">
      <c r="A159" t="inlineStr">
        <is>
          <t>PRISMA KREASI</t>
        </is>
      </c>
      <c r="B159" t="inlineStr">
        <is>
          <t>Kab. Kendal</t>
        </is>
      </c>
      <c r="C159" t="inlineStr">
        <is>
          <t>0813 2646 2551</t>
        </is>
      </c>
      <c r="D159" t="inlineStr">
        <is>
          <t>prismakreasi17@gmail.com</t>
        </is>
      </c>
      <c r="E159" t="inlineStr">
        <is>
          <t>https://lpjk.pu.go.id/search-badan-usaha-detail/SzU0bDdXM2d1N2xXZ2daR3VSZFlxQT09</t>
        </is>
      </c>
      <c r="F159" t="n">
        <v>3</v>
      </c>
      <c r="G159" t="inlineStr">
        <is>
          <t>RK001, RK002, RK003</t>
        </is>
      </c>
      <c r="H159" t="inlineStr">
        <is>
          <t>15 September 2016</t>
        </is>
      </c>
      <c r="I159" s="2" t="n">
        <v>46215</v>
      </c>
      <c r="J159" t="inlineStr">
        <is>
          <t>Disetujui</t>
        </is>
      </c>
      <c r="K159" t="n">
        <v>30</v>
      </c>
      <c r="L159" t="inlineStr">
        <is>
          <t>12 Juli 2026</t>
        </is>
      </c>
      <c r="M159" t="inlineStr">
        <is>
          <t>Jasa Rekayasa Konstruksi Bangunan Gedung Hunian dan Non Hunian, Jasa Rekayasa Pekerjaan Teknik Sipil Sumber Daya Air, Jasa Rekayasa Pekerjaan Teknik Sipil Transportasi</t>
        </is>
      </c>
      <c r="N159" t="inlineStr">
        <is>
          <t>K</t>
        </is>
      </c>
      <c r="O159" t="inlineStr">
        <is>
          <t>20230703</t>
        </is>
      </c>
      <c r="P159" t="inlineStr">
        <is>
          <t>Jawa Tengah</t>
        </is>
      </c>
      <c r="Q159" t="inlineStr"/>
    </row>
    <row r="160">
      <c r="A160" t="inlineStr">
        <is>
          <t>PROPERTINDO MANDIRI SEJATI</t>
        </is>
      </c>
      <c r="B160" t="inlineStr">
        <is>
          <t>Kab. Deli Serdang</t>
        </is>
      </c>
      <c r="C160" t="inlineStr">
        <is>
          <t>08126009882</t>
        </is>
      </c>
      <c r="D160" t="inlineStr">
        <is>
          <t>legalpropertindomandiri@gmail.com</t>
        </is>
      </c>
      <c r="E160" t="inlineStr">
        <is>
          <t>https://lpjk.pu.go.id/search-badan-usaha-detail/MVU5RXoxaXBTcjN6TWs2eVhCTzlKQT09</t>
        </is>
      </c>
      <c r="F160" t="n">
        <v>2</v>
      </c>
      <c r="G160" t="inlineStr">
        <is>
          <t>BG001, BG003</t>
        </is>
      </c>
      <c r="H160" t="inlineStr">
        <is>
          <t>9 Juni 2023</t>
        </is>
      </c>
      <c r="I160" s="2" t="n">
        <v>46215</v>
      </c>
      <c r="J160" t="inlineStr">
        <is>
          <t>Pencabutan</t>
        </is>
      </c>
      <c r="K160" t="n">
        <v>30</v>
      </c>
      <c r="L160" t="inlineStr">
        <is>
          <t>12 Juli 2026</t>
        </is>
      </c>
      <c r="M160" t="inlineStr">
        <is>
          <t>Konstruksi Gedung Hunian, Konstruksi Gedung Industri</t>
        </is>
      </c>
      <c r="N160" t="inlineStr">
        <is>
          <t>K</t>
        </is>
      </c>
      <c r="O160" t="inlineStr">
        <is>
          <t>20230712</t>
        </is>
      </c>
      <c r="P160" t="inlineStr">
        <is>
          <t>Sumatera Utara</t>
        </is>
      </c>
      <c r="Q160" t="inlineStr"/>
    </row>
    <row r="161">
      <c r="A161" t="inlineStr">
        <is>
          <t>PUNCAK RIMBA RAYA</t>
        </is>
      </c>
      <c r="B161" t="inlineStr">
        <is>
          <t>Kab. Mamuju</t>
        </is>
      </c>
      <c r="C161" t="inlineStr">
        <is>
          <t>081242874287</t>
        </is>
      </c>
      <c r="D161" t="inlineStr">
        <is>
          <t>cvpuncakrimbaraya@gmail.com</t>
        </is>
      </c>
      <c r="E161" t="inlineStr">
        <is>
          <t>https://lpjk.pu.go.id/search-badan-usaha-detail/L24rNTQyNkZiSGgxUUdDR0o3bkI4Zz09</t>
        </is>
      </c>
      <c r="F161" t="n">
        <v>1</v>
      </c>
      <c r="G161" t="inlineStr">
        <is>
          <t>BG001</t>
        </is>
      </c>
      <c r="H161" t="inlineStr">
        <is>
          <t>13 Januari 2023</t>
        </is>
      </c>
      <c r="I161" s="2" t="n">
        <v>46215</v>
      </c>
      <c r="J161" t="inlineStr">
        <is>
          <t>Pencabutan</t>
        </is>
      </c>
      <c r="K161" t="n">
        <v>30</v>
      </c>
      <c r="L161" t="inlineStr">
        <is>
          <t>12 Juli 2026</t>
        </is>
      </c>
      <c r="M161" t="inlineStr">
        <is>
          <t>Konstruksi Gedung Hunian</t>
        </is>
      </c>
      <c r="N161" t="inlineStr">
        <is>
          <t>K</t>
        </is>
      </c>
      <c r="O161" t="inlineStr">
        <is>
          <t>20230713</t>
        </is>
      </c>
      <c r="P161" t="inlineStr">
        <is>
          <t>Sulawesi Barat</t>
        </is>
      </c>
      <c r="Q161" t="inlineStr"/>
    </row>
    <row r="162">
      <c r="A162" t="inlineStr">
        <is>
          <t>PURBASARI BROTHERS</t>
        </is>
      </c>
      <c r="B162" t="inlineStr">
        <is>
          <t>Kab. Subang</t>
        </is>
      </c>
      <c r="C162" t="inlineStr">
        <is>
          <t>085222063312</t>
        </is>
      </c>
      <c r="D162" t="inlineStr">
        <is>
          <t>purbasaribrothers@gmail.com</t>
        </is>
      </c>
      <c r="E162" t="inlineStr">
        <is>
          <t>https://lpjk.pu.go.id/search-badan-usaha-detail/NGFrUHFCdEtKcmdja2RpdmhkTFRvUT09</t>
        </is>
      </c>
      <c r="F162" t="n">
        <v>2</v>
      </c>
      <c r="G162" t="inlineStr">
        <is>
          <t>BS004</t>
        </is>
      </c>
      <c r="H162" t="inlineStr">
        <is>
          <t>21 Oktober 2019</t>
        </is>
      </c>
      <c r="I162" s="2" t="n">
        <v>46215</v>
      </c>
      <c r="J162" t="inlineStr">
        <is>
          <t>Pencabutan</t>
        </is>
      </c>
      <c r="K162" t="n">
        <v>30</v>
      </c>
      <c r="L162" t="inlineStr">
        <is>
          <t>12 Juli 2026</t>
        </is>
      </c>
      <c r="M162" t="inlineStr">
        <is>
          <t>Konstruksi Jaringan Irigasi dan Drainase</t>
        </is>
      </c>
      <c r="N162" t="inlineStr">
        <is>
          <t>K</t>
        </is>
      </c>
      <c r="O162" t="inlineStr">
        <is>
          <t>20230708</t>
        </is>
      </c>
      <c r="P162" t="inlineStr">
        <is>
          <t>Jawa Barat</t>
        </is>
      </c>
      <c r="Q162" t="inlineStr"/>
    </row>
    <row r="163">
      <c r="A163" t="inlineStr">
        <is>
          <t>PUTRA MERATUS</t>
        </is>
      </c>
      <c r="B163" t="inlineStr">
        <is>
          <t>Kab. Tanah Bumbu</t>
        </is>
      </c>
      <c r="C163" t="inlineStr">
        <is>
          <t>085251243937</t>
        </is>
      </c>
      <c r="D163" t="inlineStr">
        <is>
          <t>putrameratus17@gmail.com</t>
        </is>
      </c>
      <c r="E163" t="inlineStr">
        <is>
          <t>https://lpjk.pu.go.id/search-badan-usaha-detail/R0ppMUltWnZZYUplQjNNd0ZETkNOUT09</t>
        </is>
      </c>
      <c r="F163" t="n">
        <v>2</v>
      </c>
      <c r="G163" t="inlineStr">
        <is>
          <t>BG006, BS001</t>
        </is>
      </c>
      <c r="H163" t="inlineStr">
        <is>
          <t>1 April 2013</t>
        </is>
      </c>
      <c r="I163" s="2" t="n">
        <v>46215</v>
      </c>
      <c r="J163" t="inlineStr">
        <is>
          <t>Disetujui</t>
        </is>
      </c>
      <c r="K163" t="n">
        <v>30</v>
      </c>
      <c r="L163" t="inlineStr">
        <is>
          <t>12 Juli 2026</t>
        </is>
      </c>
      <c r="M163" t="inlineStr">
        <is>
          <t>Konstruksi Bangunan Sipil Jalan, Konstruksi Gedung Pendidikan</t>
        </is>
      </c>
      <c r="N163" t="inlineStr">
        <is>
          <t>K</t>
        </is>
      </c>
      <c r="O163" t="inlineStr">
        <is>
          <t>20230711</t>
        </is>
      </c>
      <c r="P163" t="inlineStr">
        <is>
          <t>Kalimantan Selatan</t>
        </is>
      </c>
      <c r="Q163" t="inlineStr"/>
    </row>
    <row r="164">
      <c r="A164" t="inlineStr">
        <is>
          <t>PUTRA RIBU</t>
        </is>
      </c>
      <c r="B164" t="inlineStr">
        <is>
          <t>Kab. Mappi</t>
        </is>
      </c>
      <c r="C164" t="inlineStr">
        <is>
          <t>082198232334</t>
        </is>
      </c>
      <c r="D164" t="inlineStr">
        <is>
          <t>yulianusdadimu@gmail.com</t>
        </is>
      </c>
      <c r="E164" t="inlineStr">
        <is>
          <t>https://lpjk.pu.go.id/search-badan-usaha-detail/Rk91RVRoSTVwZlpOYzdhdDFTNlVSdz09</t>
        </is>
      </c>
      <c r="F164" t="n">
        <v>2</v>
      </c>
      <c r="G164" t="inlineStr">
        <is>
          <t>BG006, BG008</t>
        </is>
      </c>
      <c r="H164" t="inlineStr">
        <is>
          <t>10 Januari 2022</t>
        </is>
      </c>
      <c r="I164" s="2" t="n">
        <v>46215</v>
      </c>
      <c r="J164" t="inlineStr">
        <is>
          <t>Pencabutan</t>
        </is>
      </c>
      <c r="K164" t="n">
        <v>30</v>
      </c>
      <c r="L164" t="inlineStr">
        <is>
          <t>12 Juli 2026</t>
        </is>
      </c>
      <c r="M164" t="inlineStr">
        <is>
          <t>Konstruksi Gedung Pendidikan, Konstruksi Gedung Tempat Hiburan dan Olahraga</t>
        </is>
      </c>
      <c r="N164" t="inlineStr">
        <is>
          <t>K</t>
        </is>
      </c>
      <c r="O164" t="inlineStr">
        <is>
          <t>20230711, 20230712</t>
        </is>
      </c>
      <c r="P164" t="inlineStr">
        <is>
          <t>Papua</t>
        </is>
      </c>
      <c r="Q164" t="inlineStr"/>
    </row>
    <row r="165">
      <c r="A165" t="inlineStr">
        <is>
          <t>PUTRA TUNGGAL</t>
        </is>
      </c>
      <c r="B165" t="inlineStr">
        <is>
          <t>Kab. Situbondo</t>
        </is>
      </c>
      <c r="C165" t="inlineStr">
        <is>
          <t>08113500807</t>
        </is>
      </c>
      <c r="D165" t="inlineStr">
        <is>
          <t>putratunggal0513@yahoo.co.id</t>
        </is>
      </c>
      <c r="E165" t="inlineStr">
        <is>
          <t>https://lpjk.pu.go.id/search-badan-usaha-detail/Sy9iT21LUEhpMHFQMG5NUDFMeTJ3QT09</t>
        </is>
      </c>
      <c r="F165" t="n">
        <v>1</v>
      </c>
      <c r="G165" t="inlineStr">
        <is>
          <t>BS004</t>
        </is>
      </c>
      <c r="H165" t="inlineStr">
        <is>
          <t>7 November 2006</t>
        </is>
      </c>
      <c r="I165" s="2" t="n">
        <v>46215</v>
      </c>
      <c r="J165" t="inlineStr">
        <is>
          <t>Disetujui</t>
        </is>
      </c>
      <c r="K165" t="n">
        <v>30</v>
      </c>
      <c r="L165" t="inlineStr">
        <is>
          <t>12 Juli 2026</t>
        </is>
      </c>
      <c r="M165" t="inlineStr">
        <is>
          <t>Konstruksi Jaringan Irigasi dan Drainase</t>
        </is>
      </c>
      <c r="N165" t="inlineStr">
        <is>
          <t>K</t>
        </is>
      </c>
      <c r="O165" t="inlineStr">
        <is>
          <t>20230707</t>
        </is>
      </c>
      <c r="P165" t="inlineStr">
        <is>
          <t>Jawa Timur</t>
        </is>
      </c>
      <c r="Q165" t="inlineStr"/>
    </row>
    <row r="166">
      <c r="A166" t="inlineStr">
        <is>
          <t>PUTROE CONSTRUCKSI MANDIRI</t>
        </is>
      </c>
      <c r="B166" t="inlineStr">
        <is>
          <t>Kab. Aceh Barat Daya</t>
        </is>
      </c>
      <c r="C166" t="inlineStr">
        <is>
          <t>000000</t>
        </is>
      </c>
      <c r="D166" t="inlineStr">
        <is>
          <t>putroeconstrucksimandiri@gmail.com</t>
        </is>
      </c>
      <c r="E166" t="inlineStr">
        <is>
          <t>https://lpjk.pu.go.id/search-badan-usaha-detail/ZXQvNWFzRDVWWi9yWjNsckJSU3F0dz09</t>
        </is>
      </c>
      <c r="F166" t="n">
        <v>1</v>
      </c>
      <c r="G166" t="inlineStr">
        <is>
          <t>BS001</t>
        </is>
      </c>
      <c r="H166" t="inlineStr">
        <is>
          <t>3 Maret 2021</t>
        </is>
      </c>
      <c r="I166" s="2" t="n">
        <v>46215</v>
      </c>
      <c r="J166" t="inlineStr">
        <is>
          <t>Disetujui</t>
        </is>
      </c>
      <c r="K166" t="n">
        <v>30</v>
      </c>
      <c r="L166" t="inlineStr">
        <is>
          <t>12 Juli 2026</t>
        </is>
      </c>
      <c r="M166" t="inlineStr">
        <is>
          <t>Konstruksi Bangunan Sipil Jalan</t>
        </is>
      </c>
      <c r="N166" t="inlineStr">
        <is>
          <t>K</t>
        </is>
      </c>
      <c r="O166" t="inlineStr">
        <is>
          <t>20230712</t>
        </is>
      </c>
      <c r="P166" t="inlineStr">
        <is>
          <t>Aceh</t>
        </is>
      </c>
      <c r="Q166" t="inlineStr"/>
    </row>
    <row r="167">
      <c r="A167" t="inlineStr">
        <is>
          <t>RADAR RIZKI</t>
        </is>
      </c>
      <c r="B167" t="inlineStr">
        <is>
          <t>Kab. Tanjung Jabung Barat</t>
        </is>
      </c>
      <c r="C167" t="inlineStr">
        <is>
          <t>082152581818</t>
        </is>
      </c>
      <c r="D167" t="inlineStr">
        <is>
          <t>radar.rizki59@gmail.com</t>
        </is>
      </c>
      <c r="E167" t="inlineStr">
        <is>
          <t>https://lpjk.pu.go.id/search-badan-usaha-detail/TW5QNndrRmpnV3Vxb2FSNVdpT3dXQT09</t>
        </is>
      </c>
      <c r="F167" t="n">
        <v>1</v>
      </c>
      <c r="G167" t="inlineStr">
        <is>
          <t>BS007</t>
        </is>
      </c>
      <c r="H167" t="inlineStr">
        <is>
          <t>21 Desember 2011</t>
        </is>
      </c>
      <c r="I167" s="2" t="n">
        <v>46215</v>
      </c>
      <c r="J167" t="inlineStr">
        <is>
          <t>Disetujui</t>
        </is>
      </c>
      <c r="K167" t="n">
        <v>30</v>
      </c>
      <c r="L167" t="inlineStr">
        <is>
          <t>12 Juli 2026</t>
        </is>
      </c>
      <c r="M167" t="inlineStr">
        <is>
          <t>Konstruksi Bangunan Sipil Elektrikal</t>
        </is>
      </c>
      <c r="N167" t="inlineStr">
        <is>
          <t>K</t>
        </is>
      </c>
      <c r="O167" t="inlineStr">
        <is>
          <t>20230706</t>
        </is>
      </c>
      <c r="P167" t="inlineStr">
        <is>
          <t>Jambi</t>
        </is>
      </c>
      <c r="Q167" t="inlineStr"/>
    </row>
    <row r="168">
      <c r="A168" t="inlineStr">
        <is>
          <t>RAFINDO JAYA ABADI</t>
        </is>
      </c>
      <c r="B168" t="inlineStr">
        <is>
          <t>Kota Adm. Jakarta Pusat</t>
        </is>
      </c>
      <c r="C168" t="inlineStr">
        <is>
          <t>087866855251</t>
        </is>
      </c>
      <c r="D168" t="inlineStr">
        <is>
          <t>fuad.alsilbi@gmail.com</t>
        </is>
      </c>
      <c r="E168" t="inlineStr">
        <is>
          <t>https://lpjk.pu.go.id/search-badan-usaha-detail/bERVK0ZJaTA1RmtqOVBPSTV0MVpwdz09</t>
        </is>
      </c>
      <c r="F168" t="n">
        <v>2</v>
      </c>
      <c r="G168" t="inlineStr">
        <is>
          <t>BG009</t>
        </is>
      </c>
      <c r="H168" t="inlineStr">
        <is>
          <t>12 Februari 2015</t>
        </is>
      </c>
      <c r="I168" s="2" t="n">
        <v>46215</v>
      </c>
      <c r="J168" t="inlineStr">
        <is>
          <t>Disetujui</t>
        </is>
      </c>
      <c r="K168" t="n">
        <v>30</v>
      </c>
      <c r="L168" t="inlineStr">
        <is>
          <t>12 Juli 2026</t>
        </is>
      </c>
      <c r="M168" t="inlineStr">
        <is>
          <t>Konstruksi Gedung Lainnya</t>
        </is>
      </c>
      <c r="N168" t="inlineStr">
        <is>
          <t>K</t>
        </is>
      </c>
      <c r="O168" t="inlineStr">
        <is>
          <t>20230630</t>
        </is>
      </c>
      <c r="P168" t="inlineStr">
        <is>
          <t>DKI Jakarta</t>
        </is>
      </c>
      <c r="Q168" t="inlineStr"/>
    </row>
    <row r="169">
      <c r="A169" t="inlineStr">
        <is>
          <t>RAIHAN</t>
        </is>
      </c>
      <c r="B169" t="inlineStr">
        <is>
          <t>Kota Probolinggo</t>
        </is>
      </c>
      <c r="C169" t="inlineStr">
        <is>
          <t>081234793959</t>
        </is>
      </c>
      <c r="D169" t="inlineStr">
        <is>
          <t>raihanjreng@gmail.com</t>
        </is>
      </c>
      <c r="E169" t="inlineStr">
        <is>
          <t>https://lpjk.pu.go.id/search-badan-usaha-detail/UzNzUUd5cWlMcXh1WlU3VzBCTU1iZz09</t>
        </is>
      </c>
      <c r="F169" t="n">
        <v>2</v>
      </c>
      <c r="G169" t="inlineStr">
        <is>
          <t>BG009</t>
        </is>
      </c>
      <c r="H169" t="inlineStr">
        <is>
          <t>26 Juli 2004</t>
        </is>
      </c>
      <c r="I169" s="2" t="n">
        <v>46215</v>
      </c>
      <c r="J169" t="inlineStr">
        <is>
          <t>Disetujui</t>
        </is>
      </c>
      <c r="K169" t="n">
        <v>30</v>
      </c>
      <c r="L169" t="inlineStr">
        <is>
          <t>12 Juli 2026</t>
        </is>
      </c>
      <c r="M169" t="inlineStr">
        <is>
          <t>Konstruksi Gedung Lainnya</t>
        </is>
      </c>
      <c r="N169" t="inlineStr">
        <is>
          <t>K</t>
        </is>
      </c>
      <c r="O169" t="inlineStr">
        <is>
          <t>20230709</t>
        </is>
      </c>
      <c r="P169" t="inlineStr">
        <is>
          <t>Jawa Timur</t>
        </is>
      </c>
      <c r="Q169" t="inlineStr"/>
    </row>
    <row r="170">
      <c r="A170" t="inlineStr">
        <is>
          <t>RAJA MAS</t>
        </is>
      </c>
      <c r="B170" t="inlineStr">
        <is>
          <t>Kab. Lombok Barat</t>
        </is>
      </c>
      <c r="C170" t="inlineStr">
        <is>
          <t>081907222233</t>
        </is>
      </c>
      <c r="D170" t="inlineStr">
        <is>
          <t>cvrajamas0@gmail.com</t>
        </is>
      </c>
      <c r="E170" t="inlineStr">
        <is>
          <t>https://lpjk.pu.go.id/search-badan-usaha-detail/K3VvL0Q0Z2tBQkZwaTdYckJRRVVYZz09</t>
        </is>
      </c>
      <c r="F170" t="n">
        <v>1</v>
      </c>
      <c r="G170" t="inlineStr">
        <is>
          <t>BG009</t>
        </is>
      </c>
      <c r="H170" t="inlineStr">
        <is>
          <t>6 Oktober 2011</t>
        </is>
      </c>
      <c r="I170" s="2" t="n">
        <v>46215</v>
      </c>
      <c r="J170" t="inlineStr">
        <is>
          <t>Pencabutan</t>
        </is>
      </c>
      <c r="K170" t="n">
        <v>30</v>
      </c>
      <c r="L170" t="inlineStr">
        <is>
          <t>12 Juli 2026</t>
        </is>
      </c>
      <c r="M170" t="inlineStr">
        <is>
          <t>Konstruksi Gedung Lainnya</t>
        </is>
      </c>
      <c r="N170" t="inlineStr">
        <is>
          <t>K</t>
        </is>
      </c>
      <c r="O170" t="inlineStr">
        <is>
          <t>20230707</t>
        </is>
      </c>
      <c r="P170" t="inlineStr">
        <is>
          <t>Nusa Tenggara Barat</t>
        </is>
      </c>
      <c r="Q170" t="inlineStr"/>
    </row>
    <row r="171">
      <c r="A171" t="inlineStr">
        <is>
          <t>RAMA OKSIBIL SEJAHTERA</t>
        </is>
      </c>
      <c r="B171" t="inlineStr">
        <is>
          <t>Kab Pegunungan Bintang</t>
        </is>
      </c>
      <c r="C171" t="inlineStr">
        <is>
          <t>082337195698</t>
        </is>
      </c>
      <c r="D171" t="inlineStr">
        <is>
          <t>cvramaoks@gmail.com</t>
        </is>
      </c>
      <c r="E171" t="inlineStr">
        <is>
          <t>https://lpjk.pu.go.id/search-badan-usaha-detail/enVSTUw0NGZNR2pEblBBQnQrakJDZz09</t>
        </is>
      </c>
      <c r="F171" t="n">
        <v>2</v>
      </c>
      <c r="G171" t="inlineStr">
        <is>
          <t>BG001, BG009</t>
        </is>
      </c>
      <c r="H171" t="inlineStr">
        <is>
          <t>15 Januari 2020</t>
        </is>
      </c>
      <c r="I171" s="2" t="n">
        <v>46215</v>
      </c>
      <c r="J171" t="inlineStr">
        <is>
          <t>Disetujui</t>
        </is>
      </c>
      <c r="K171" t="n">
        <v>30</v>
      </c>
      <c r="L171" t="inlineStr">
        <is>
          <t>12 Juli 2026</t>
        </is>
      </c>
      <c r="M171" t="inlineStr">
        <is>
          <t>Konstruksi Gedung Hunian, Konstruksi Gedung Lainnya</t>
        </is>
      </c>
      <c r="N171" t="inlineStr">
        <is>
          <t>K</t>
        </is>
      </c>
      <c r="O171" t="inlineStr">
        <is>
          <t>20230710</t>
        </is>
      </c>
      <c r="P171" t="inlineStr">
        <is>
          <t>Papua</t>
        </is>
      </c>
      <c r="Q171" t="inlineStr"/>
    </row>
    <row r="172">
      <c r="A172" t="inlineStr">
        <is>
          <t>RIMBA KENCANA</t>
        </is>
      </c>
      <c r="B172" t="inlineStr">
        <is>
          <t>Kab. Ponorogo</t>
        </is>
      </c>
      <c r="C172" t="inlineStr">
        <is>
          <t>081234641610</t>
        </is>
      </c>
      <c r="D172" t="inlineStr">
        <is>
          <t>rimbakencana01@gmail.com</t>
        </is>
      </c>
      <c r="E172" t="inlineStr">
        <is>
          <t>https://lpjk.pu.go.id/search-badan-usaha-detail/alN5dTlSaUJ3V0ttZlZBajBqK3Bydz09</t>
        </is>
      </c>
      <c r="F172" t="n">
        <v>1</v>
      </c>
      <c r="G172" t="inlineStr">
        <is>
          <t>BS001</t>
        </is>
      </c>
      <c r="H172" t="inlineStr">
        <is>
          <t>27 September 1993</t>
        </is>
      </c>
      <c r="I172" s="2" t="n">
        <v>46215</v>
      </c>
      <c r="J172" t="inlineStr">
        <is>
          <t>Pencabutan</t>
        </is>
      </c>
      <c r="K172" t="n">
        <v>30</v>
      </c>
      <c r="L172" t="inlineStr">
        <is>
          <t>12 Juli 2026</t>
        </is>
      </c>
      <c r="M172" t="inlineStr">
        <is>
          <t>Konstruksi Bangunan Sipil Jalan</t>
        </is>
      </c>
      <c r="N172" t="inlineStr">
        <is>
          <t>K</t>
        </is>
      </c>
      <c r="O172" t="inlineStr">
        <is>
          <t>20230519</t>
        </is>
      </c>
      <c r="P172" t="inlineStr">
        <is>
          <t>Jawa Timur</t>
        </is>
      </c>
      <c r="Q172" t="inlineStr"/>
    </row>
    <row r="173">
      <c r="A173" t="inlineStr">
        <is>
          <t>SABRI CIPTA SARANA</t>
        </is>
      </c>
      <c r="B173" t="inlineStr">
        <is>
          <t>Kab. Garut</t>
        </is>
      </c>
      <c r="C173" t="inlineStr">
        <is>
          <t>082120897002</t>
        </is>
      </c>
      <c r="D173" t="inlineStr">
        <is>
          <t>sabriciptasarana@gmail.com</t>
        </is>
      </c>
      <c r="E173" t="inlineStr">
        <is>
          <t>https://lpjk.pu.go.id/search-badan-usaha-detail/YjN3RU5raUtVc2lBdDlhMkxxSk5VQT09</t>
        </is>
      </c>
      <c r="F173" t="n">
        <v>1</v>
      </c>
      <c r="G173" t="inlineStr">
        <is>
          <t>BG009</t>
        </is>
      </c>
      <c r="H173" t="inlineStr">
        <is>
          <t>10 Oktober 2019</t>
        </is>
      </c>
      <c r="I173" s="2" t="n">
        <v>46215</v>
      </c>
      <c r="J173" t="inlineStr">
        <is>
          <t>Disetujui</t>
        </is>
      </c>
      <c r="K173" t="n">
        <v>30</v>
      </c>
      <c r="L173" t="inlineStr">
        <is>
          <t>12 Juli 2026</t>
        </is>
      </c>
      <c r="M173" t="inlineStr">
        <is>
          <t>Konstruksi Gedung Lainnya</t>
        </is>
      </c>
      <c r="N173" t="inlineStr">
        <is>
          <t>K</t>
        </is>
      </c>
      <c r="O173" t="inlineStr">
        <is>
          <t>20230712</t>
        </is>
      </c>
      <c r="P173" t="inlineStr">
        <is>
          <t>Jawa Barat</t>
        </is>
      </c>
      <c r="Q173" t="inlineStr"/>
    </row>
    <row r="174">
      <c r="A174" t="inlineStr">
        <is>
          <t>SAFIRA PASYAH</t>
        </is>
      </c>
      <c r="B174" t="inlineStr">
        <is>
          <t>Kab. Sumbawa</t>
        </is>
      </c>
      <c r="C174" t="inlineStr">
        <is>
          <t>081238090672</t>
        </is>
      </c>
      <c r="D174" t="inlineStr">
        <is>
          <t>safirapasyah19@gmail.com</t>
        </is>
      </c>
      <c r="E174" t="inlineStr">
        <is>
          <t>https://lpjk.pu.go.id/search-badan-usaha-detail/MTk1RUtadEhvaURzOS9FVEN5bDQyZz09</t>
        </is>
      </c>
      <c r="F174" t="n">
        <v>1</v>
      </c>
      <c r="G174" t="inlineStr">
        <is>
          <t>BG006</t>
        </is>
      </c>
      <c r="H174" t="inlineStr">
        <is>
          <t>28 Januari 2019</t>
        </is>
      </c>
      <c r="I174" s="2" t="n">
        <v>46215</v>
      </c>
      <c r="J174" t="inlineStr">
        <is>
          <t>Disetujui</t>
        </is>
      </c>
      <c r="K174" t="n">
        <v>30</v>
      </c>
      <c r="L174" t="inlineStr">
        <is>
          <t>12 Juli 2026</t>
        </is>
      </c>
      <c r="M174" t="inlineStr">
        <is>
          <t>Konstruksi Gedung Pendidikan</t>
        </is>
      </c>
      <c r="N174" t="inlineStr">
        <is>
          <t>K</t>
        </is>
      </c>
      <c r="O174" t="inlineStr">
        <is>
          <t>20230711</t>
        </is>
      </c>
      <c r="P174" t="inlineStr">
        <is>
          <t>Nusa Tenggara Barat</t>
        </is>
      </c>
      <c r="Q174" t="inlineStr"/>
    </row>
    <row r="175">
      <c r="A175" t="inlineStr">
        <is>
          <t>SANDI PRATAMA RAYA</t>
        </is>
      </c>
      <c r="B175" t="inlineStr">
        <is>
          <t>Kota Pariaman</t>
        </is>
      </c>
      <c r="C175" t="inlineStr">
        <is>
          <t>081372783171</t>
        </is>
      </c>
      <c r="D175" t="inlineStr">
        <is>
          <t>yudiikhsan717@gmail.com</t>
        </is>
      </c>
      <c r="E175" t="inlineStr">
        <is>
          <t>https://lpjk.pu.go.id/search-badan-usaha-detail/S2p0Nk9zZ2RyUkRCTTVJaFhyVmx0QT09</t>
        </is>
      </c>
      <c r="F175" t="n">
        <v>3</v>
      </c>
      <c r="G175" t="inlineStr">
        <is>
          <t>BG005, BG006, BG009</t>
        </is>
      </c>
      <c r="H175" t="inlineStr">
        <is>
          <t>6 Oktober 1994</t>
        </is>
      </c>
      <c r="I175" s="2" t="n">
        <v>46215</v>
      </c>
      <c r="J175" t="inlineStr">
        <is>
          <t>Pencabutan</t>
        </is>
      </c>
      <c r="K175" t="n">
        <v>30</v>
      </c>
      <c r="L175" t="inlineStr">
        <is>
          <t>12 Juli 2026</t>
        </is>
      </c>
      <c r="M175" t="inlineStr">
        <is>
          <t>Konstruksi Gedung Kesehatan, Konstruksi Gedung Lainnya, Konstruksi Gedung Pendidikan</t>
        </is>
      </c>
      <c r="N175" t="inlineStr">
        <is>
          <t>K</t>
        </is>
      </c>
      <c r="O175" t="inlineStr">
        <is>
          <t>20230712</t>
        </is>
      </c>
      <c r="P175" t="inlineStr">
        <is>
          <t>Sumatera Barat</t>
        </is>
      </c>
      <c r="Q175" t="inlineStr"/>
    </row>
    <row r="176">
      <c r="A176" t="inlineStr">
        <is>
          <t>SARANA BANGUN ABADI</t>
        </is>
      </c>
      <c r="B176" t="inlineStr">
        <is>
          <t>Kota Surabaya</t>
        </is>
      </c>
      <c r="C176" t="inlineStr">
        <is>
          <t>03158253580</t>
        </is>
      </c>
      <c r="D176" t="inlineStr">
        <is>
          <t>saranabangunabadi@yahoo.com</t>
        </is>
      </c>
      <c r="E176" t="inlineStr">
        <is>
          <t>https://lpjk.pu.go.id/search-badan-usaha-detail/WDJ2Z0VPdEM1MGdLa2VPc05Md2hidz09</t>
        </is>
      </c>
      <c r="F176" t="n">
        <v>1</v>
      </c>
      <c r="G176" t="inlineStr">
        <is>
          <t>BG001</t>
        </is>
      </c>
      <c r="H176" t="inlineStr">
        <is>
          <t>22 Oktober 2014</t>
        </is>
      </c>
      <c r="I176" s="2" t="n">
        <v>46215</v>
      </c>
      <c r="J176" t="inlineStr">
        <is>
          <t>Disetujui</t>
        </is>
      </c>
      <c r="K176" t="n">
        <v>30</v>
      </c>
      <c r="L176" t="inlineStr">
        <is>
          <t>12 Juli 2026</t>
        </is>
      </c>
      <c r="M176" t="inlineStr">
        <is>
          <t>Konstruksi Gedung Hunian</t>
        </is>
      </c>
      <c r="N176" t="inlineStr">
        <is>
          <t>K</t>
        </is>
      </c>
      <c r="O176" t="inlineStr">
        <is>
          <t>20230703</t>
        </is>
      </c>
      <c r="P176" t="inlineStr">
        <is>
          <t>Jawa Timur</t>
        </is>
      </c>
      <c r="Q176" t="inlineStr"/>
    </row>
    <row r="177">
      <c r="A177" t="inlineStr">
        <is>
          <t>SARANA BANGUN NUSA ENGINEERING</t>
        </is>
      </c>
      <c r="B177" t="inlineStr">
        <is>
          <t>Kota Kupang</t>
        </is>
      </c>
      <c r="C177" t="inlineStr">
        <is>
          <t>082244738282</t>
        </is>
      </c>
      <c r="D177" t="inlineStr">
        <is>
          <t>sarana_bangun_nusa_eng@yahoo.com</t>
        </is>
      </c>
      <c r="E177" t="inlineStr">
        <is>
          <t>https://lpjk.pu.go.id/search-badan-usaha-detail/ME1lR1I4UkxpSGVTY2QxcHo2YjJ6UT09</t>
        </is>
      </c>
      <c r="F177" t="n">
        <v>1</v>
      </c>
      <c r="G177" t="inlineStr">
        <is>
          <t>RK004</t>
        </is>
      </c>
      <c r="H177" t="inlineStr">
        <is>
          <t>4 Oktober 2007</t>
        </is>
      </c>
      <c r="I177" s="2" t="n">
        <v>46215</v>
      </c>
      <c r="J177" t="inlineStr">
        <is>
          <t>Disetujui</t>
        </is>
      </c>
      <c r="K177" t="n">
        <v>30</v>
      </c>
      <c r="L177" t="inlineStr">
        <is>
          <t>12 Juli 2026</t>
        </is>
      </c>
      <c r="M177" t="inlineStr">
        <is>
          <t>Jasa Rekayasa Pekerjaan Mekanikal Dalam Bangunan</t>
        </is>
      </c>
      <c r="N177" t="inlineStr">
        <is>
          <t>K</t>
        </is>
      </c>
      <c r="O177" t="inlineStr">
        <is>
          <t>20230621</t>
        </is>
      </c>
      <c r="P177" t="inlineStr">
        <is>
          <t>Nusa Tenggara Timur</t>
        </is>
      </c>
      <c r="Q177" t="inlineStr"/>
    </row>
    <row r="178">
      <c r="A178" t="inlineStr">
        <is>
          <t>SARI WIBISONO &amp; CO</t>
        </is>
      </c>
      <c r="B178" t="inlineStr">
        <is>
          <t>Kab. Cilacap</t>
        </is>
      </c>
      <c r="C178" t="inlineStr">
        <is>
          <t>082137456522</t>
        </is>
      </c>
      <c r="D178" t="inlineStr">
        <is>
          <t>sari_wibisono81@yahoo.co.id</t>
        </is>
      </c>
      <c r="E178" t="inlineStr">
        <is>
          <t>https://lpjk.pu.go.id/search-badan-usaha-detail/R3o2cHdnV2wrV0U5Ly9lWGF1R2cwUT09</t>
        </is>
      </c>
      <c r="F178" t="n">
        <v>2</v>
      </c>
      <c r="G178" t="inlineStr">
        <is>
          <t>BG005, BG006</t>
        </is>
      </c>
      <c r="H178" t="inlineStr">
        <is>
          <t>31 Oktober 1981</t>
        </is>
      </c>
      <c r="I178" s="2" t="n">
        <v>46215</v>
      </c>
      <c r="J178" t="inlineStr">
        <is>
          <t>Disetujui</t>
        </is>
      </c>
      <c r="K178" t="n">
        <v>30</v>
      </c>
      <c r="L178" t="inlineStr">
        <is>
          <t>12 Juli 2026</t>
        </is>
      </c>
      <c r="M178" t="inlineStr">
        <is>
          <t>Konstruksi Gedung Kesehatan, Konstruksi Gedung Pendidikan</t>
        </is>
      </c>
      <c r="N178" t="inlineStr">
        <is>
          <t>K</t>
        </is>
      </c>
      <c r="O178" t="inlineStr">
        <is>
          <t>20230711</t>
        </is>
      </c>
      <c r="P178" t="inlineStr">
        <is>
          <t>Jawa Tengah</t>
        </is>
      </c>
      <c r="Q178" t="inlineStr"/>
    </row>
    <row r="179">
      <c r="A179" t="inlineStr">
        <is>
          <t>SEGI TIGA EMAS</t>
        </is>
      </c>
      <c r="B179" t="inlineStr">
        <is>
          <t>Kab. Kerinci</t>
        </is>
      </c>
      <c r="C179" t="inlineStr">
        <is>
          <t>085366482851</t>
        </is>
      </c>
      <c r="D179" t="inlineStr">
        <is>
          <t>segitigaemascv5@gmail.com</t>
        </is>
      </c>
      <c r="E179" t="inlineStr">
        <is>
          <t>https://lpjk.pu.go.id/search-badan-usaha-detail/bHBGNmpIYVJMTUtwVDhjTGRWY2dQUT09</t>
        </is>
      </c>
      <c r="F179" t="n">
        <v>1</v>
      </c>
      <c r="G179" t="inlineStr">
        <is>
          <t>BS001</t>
        </is>
      </c>
      <c r="H179" t="inlineStr">
        <is>
          <t>7 Februari 2023</t>
        </is>
      </c>
      <c r="I179" s="2" t="n">
        <v>46215</v>
      </c>
      <c r="J179" t="inlineStr">
        <is>
          <t>Disetujui</t>
        </is>
      </c>
      <c r="K179" t="n">
        <v>30</v>
      </c>
      <c r="L179" t="inlineStr">
        <is>
          <t>12 Juli 2026</t>
        </is>
      </c>
      <c r="M179" t="inlineStr">
        <is>
          <t>Konstruksi Bangunan Sipil Jalan</t>
        </is>
      </c>
      <c r="N179" t="inlineStr">
        <is>
          <t>K</t>
        </is>
      </c>
      <c r="O179" t="inlineStr">
        <is>
          <t>20230626</t>
        </is>
      </c>
      <c r="P179" t="inlineStr">
        <is>
          <t>Jambi</t>
        </is>
      </c>
      <c r="Q179" t="inlineStr"/>
    </row>
    <row r="180">
      <c r="A180" t="inlineStr">
        <is>
          <t>SEMAR MESEM GMBH</t>
        </is>
      </c>
      <c r="B180" t="inlineStr">
        <is>
          <t>Kota Bandar Lampung</t>
        </is>
      </c>
      <c r="C180" t="inlineStr">
        <is>
          <t>0813 7919 9002</t>
        </is>
      </c>
      <c r="D180" t="inlineStr">
        <is>
          <t>cv.semarmesemgmbh2019@gmail.com</t>
        </is>
      </c>
      <c r="E180" t="inlineStr">
        <is>
          <t>https://lpjk.pu.go.id/search-badan-usaha-detail/dU5uWDBWdUZ4ZnNJR2RDVDlvQit6dz09</t>
        </is>
      </c>
      <c r="F180" t="n">
        <v>3</v>
      </c>
      <c r="G180" t="inlineStr">
        <is>
          <t>AR001, RK001, RK003</t>
        </is>
      </c>
      <c r="H180" t="inlineStr">
        <is>
          <t>17 Januari 2012</t>
        </is>
      </c>
      <c r="I180" s="2" t="n">
        <v>46215</v>
      </c>
      <c r="J180" t="inlineStr">
        <is>
          <t>Disetujui, Pencabutan</t>
        </is>
      </c>
      <c r="K180" t="n">
        <v>30</v>
      </c>
      <c r="L180" t="inlineStr">
        <is>
          <t>12 Juli 2026</t>
        </is>
      </c>
      <c r="M180" t="inlineStr">
        <is>
          <t>Jasa Arsitektural Bangunan Gedung Hunian dan Non Hunian, Jasa Rekayasa Konstruksi Bangunan Gedung Hunian dan Non Hunian, Jasa Rekayasa Pekerjaan Teknik Sipil Transportasi</t>
        </is>
      </c>
      <c r="N180" t="inlineStr">
        <is>
          <t>K</t>
        </is>
      </c>
      <c r="O180" t="inlineStr">
        <is>
          <t>20230621</t>
        </is>
      </c>
      <c r="P180" t="inlineStr">
        <is>
          <t>Lampung</t>
        </is>
      </c>
      <c r="Q180" t="inlineStr"/>
    </row>
    <row r="181">
      <c r="A181" t="inlineStr">
        <is>
          <t>SENTRAL JAYA</t>
        </is>
      </c>
      <c r="B181" t="inlineStr">
        <is>
          <t>Kota Pontianak</t>
        </is>
      </c>
      <c r="C181" t="inlineStr">
        <is>
          <t>082148852288</t>
        </is>
      </c>
      <c r="D181" t="inlineStr">
        <is>
          <t>sentraljaya.2008@gmail.com</t>
        </is>
      </c>
      <c r="E181" t="inlineStr">
        <is>
          <t>https://lpjk.pu.go.id/search-badan-usaha-detail/R0VBVVIrNDhQYmdGdEY4WjZKd0QrUT09</t>
        </is>
      </c>
      <c r="F181" t="n">
        <v>2</v>
      </c>
      <c r="G181" t="inlineStr">
        <is>
          <t>BS001</t>
        </is>
      </c>
      <c r="H181" t="inlineStr">
        <is>
          <t>27 Maret 2008</t>
        </is>
      </c>
      <c r="I181" s="2" t="n">
        <v>46215</v>
      </c>
      <c r="J181" t="inlineStr">
        <is>
          <t>Disetujui</t>
        </is>
      </c>
      <c r="K181" t="n">
        <v>30</v>
      </c>
      <c r="L181" t="inlineStr">
        <is>
          <t>12 Juli 2026</t>
        </is>
      </c>
      <c r="M181" t="inlineStr">
        <is>
          <t>Konstruksi Bangunan Sipil Jalan</t>
        </is>
      </c>
      <c r="N181" t="inlineStr">
        <is>
          <t>K</t>
        </is>
      </c>
      <c r="O181" t="inlineStr">
        <is>
          <t>20230711</t>
        </is>
      </c>
      <c r="P181" t="inlineStr">
        <is>
          <t>Kalimantan Barat</t>
        </is>
      </c>
      <c r="Q181" t="inlineStr"/>
    </row>
    <row r="182">
      <c r="A182" t="inlineStr">
        <is>
          <t>SERBA GUNA HUTAMA</t>
        </is>
      </c>
      <c r="B182" t="inlineStr">
        <is>
          <t>Kab. Karangasem</t>
        </is>
      </c>
      <c r="C182" t="inlineStr">
        <is>
          <t>08123889447</t>
        </is>
      </c>
      <c r="D182" t="inlineStr">
        <is>
          <t>serbagunahutamapt@yahoo.com</t>
        </is>
      </c>
      <c r="E182" t="inlineStr">
        <is>
          <t>https://lpjk.pu.go.id/search-badan-usaha-detail/cER1ck5yMEVVS0JrQ29jWlhYSnF1UT09</t>
        </is>
      </c>
      <c r="F182" t="n">
        <v>1</v>
      </c>
      <c r="G182" t="inlineStr">
        <is>
          <t>BS001</t>
        </is>
      </c>
      <c r="H182" t="inlineStr">
        <is>
          <t>14 September 1987</t>
        </is>
      </c>
      <c r="I182" s="2" t="n">
        <v>46215</v>
      </c>
      <c r="J182" t="inlineStr">
        <is>
          <t>Disetujui</t>
        </is>
      </c>
      <c r="K182" t="n">
        <v>30</v>
      </c>
      <c r="L182" t="inlineStr">
        <is>
          <t>12 Juli 2026</t>
        </is>
      </c>
      <c r="M182" t="inlineStr">
        <is>
          <t>Konstruksi Bangunan Sipil Jalan</t>
        </is>
      </c>
      <c r="N182" t="inlineStr">
        <is>
          <t>K</t>
        </is>
      </c>
      <c r="O182" t="inlineStr">
        <is>
          <t>20230707</t>
        </is>
      </c>
      <c r="P182" t="inlineStr">
        <is>
          <t>Bali</t>
        </is>
      </c>
      <c r="Q182" t="inlineStr"/>
    </row>
    <row r="183">
      <c r="A183" t="inlineStr">
        <is>
          <t>SIDO MAKMUR</t>
        </is>
      </c>
      <c r="B183" t="inlineStr">
        <is>
          <t>Kab. Ngawi</t>
        </is>
      </c>
      <c r="C183" t="inlineStr">
        <is>
          <t>0812 2545 3090</t>
        </is>
      </c>
      <c r="D183" t="inlineStr">
        <is>
          <t>sidomakmurlah@gmail.com</t>
        </is>
      </c>
      <c r="E183" t="inlineStr">
        <is>
          <t>https://lpjk.pu.go.id/search-badan-usaha-detail/QnpRRTdsdGZwVy9DVEVCK052MkgrQT09</t>
        </is>
      </c>
      <c r="F183" t="n">
        <v>2</v>
      </c>
      <c r="G183" t="inlineStr">
        <is>
          <t>BG002, BS001</t>
        </is>
      </c>
      <c r="H183" t="inlineStr">
        <is>
          <t>10 Januari 2013</t>
        </is>
      </c>
      <c r="I183" s="2" t="n">
        <v>46215</v>
      </c>
      <c r="J183" t="inlineStr">
        <is>
          <t>Disetujui</t>
        </is>
      </c>
      <c r="K183" t="n">
        <v>30</v>
      </c>
      <c r="L183" t="inlineStr">
        <is>
          <t>12 Juli 2026</t>
        </is>
      </c>
      <c r="M183" t="inlineStr">
        <is>
          <t>Konstruksi Bangunan Sipil Jalan, Konstruksi Gedung Perkantoran</t>
        </is>
      </c>
      <c r="N183" t="inlineStr">
        <is>
          <t>K</t>
        </is>
      </c>
      <c r="O183" t="inlineStr">
        <is>
          <t>20230711</t>
        </is>
      </c>
      <c r="P183" t="inlineStr">
        <is>
          <t>Jawa Timur</t>
        </is>
      </c>
      <c r="Q183" t="inlineStr"/>
    </row>
    <row r="184">
      <c r="A184" t="inlineStr">
        <is>
          <t>SINAR ARSYA SANGATTA</t>
        </is>
      </c>
      <c r="B184" t="inlineStr">
        <is>
          <t>Kab. Kutai Timur</t>
        </is>
      </c>
      <c r="C184" t="inlineStr">
        <is>
          <t>081372184888</t>
        </is>
      </c>
      <c r="D184" t="inlineStr">
        <is>
          <t>sinararsyasangatta@gmail.com</t>
        </is>
      </c>
      <c r="E184" t="inlineStr">
        <is>
          <t>https://lpjk.pu.go.id/search-badan-usaha-detail/ZkE3c2F2d054d3poZkZQVUFlazUvZz09</t>
        </is>
      </c>
      <c r="F184" t="n">
        <v>1</v>
      </c>
      <c r="G184" t="inlineStr">
        <is>
          <t>BS001</t>
        </is>
      </c>
      <c r="H184" t="inlineStr">
        <is>
          <t>15 November 2019</t>
        </is>
      </c>
      <c r="I184" s="2" t="n">
        <v>46215</v>
      </c>
      <c r="J184" t="inlineStr">
        <is>
          <t>Disetujui</t>
        </is>
      </c>
      <c r="K184" t="n">
        <v>30</v>
      </c>
      <c r="L184" t="inlineStr">
        <is>
          <t>12 Juli 2026</t>
        </is>
      </c>
      <c r="M184" t="inlineStr">
        <is>
          <t>Konstruksi Bangunan Sipil Jalan</t>
        </is>
      </c>
      <c r="N184" t="inlineStr">
        <is>
          <t>K</t>
        </is>
      </c>
      <c r="O184" t="inlineStr">
        <is>
          <t>20230713</t>
        </is>
      </c>
      <c r="P184" t="inlineStr">
        <is>
          <t>Kalimantan Timur</t>
        </is>
      </c>
      <c r="Q184" t="inlineStr"/>
    </row>
    <row r="185">
      <c r="A185" t="inlineStr">
        <is>
          <t>SINAR MASA</t>
        </is>
      </c>
      <c r="B185" t="inlineStr">
        <is>
          <t>Kab. Pasaman</t>
        </is>
      </c>
      <c r="C185" t="inlineStr">
        <is>
          <t>081363495934</t>
        </is>
      </c>
      <c r="D185" t="inlineStr">
        <is>
          <t>sinarmasa@gmail.com</t>
        </is>
      </c>
      <c r="E185" t="inlineStr">
        <is>
          <t>https://lpjk.pu.go.id/search-badan-usaha-detail/alV4b0pKU08xalB2TDZOWlB5ZUVXZz09</t>
        </is>
      </c>
      <c r="F185" t="n">
        <v>1</v>
      </c>
      <c r="G185" t="inlineStr">
        <is>
          <t>BS002</t>
        </is>
      </c>
      <c r="H185" t="inlineStr">
        <is>
          <t>4 Februari 2002</t>
        </is>
      </c>
      <c r="I185" s="2" t="n">
        <v>46215</v>
      </c>
      <c r="J185" t="inlineStr">
        <is>
          <t>Disetujui</t>
        </is>
      </c>
      <c r="K185" t="n">
        <v>30</v>
      </c>
      <c r="L185" t="inlineStr">
        <is>
          <t>12 Juli 2026</t>
        </is>
      </c>
      <c r="M185" t="inlineStr">
        <is>
          <t>Bangunan Sipil Jembatan, Jalan Layang, Fly Over, dan Underpass</t>
        </is>
      </c>
      <c r="N185" t="inlineStr">
        <is>
          <t>K</t>
        </is>
      </c>
      <c r="O185" t="inlineStr">
        <is>
          <t>20230101</t>
        </is>
      </c>
      <c r="P185" t="inlineStr">
        <is>
          <t>Sumatera Barat</t>
        </is>
      </c>
      <c r="Q185" t="inlineStr"/>
    </row>
    <row r="186">
      <c r="A186" t="inlineStr">
        <is>
          <t>SINAR SETIA</t>
        </is>
      </c>
      <c r="B186" t="inlineStr">
        <is>
          <t>Kab. Jombang</t>
        </is>
      </c>
      <c r="C186" t="inlineStr">
        <is>
          <t>08125298091</t>
        </is>
      </c>
      <c r="D186" t="inlineStr">
        <is>
          <t>cvsinarsetiajombang@yahoo.com</t>
        </is>
      </c>
      <c r="E186" t="inlineStr">
        <is>
          <t>https://lpjk.pu.go.id/search-badan-usaha-detail/Nk5pb0lYWWZPcTBJTDg2Q2ttYzNDUT09</t>
        </is>
      </c>
      <c r="F186" t="n">
        <v>1</v>
      </c>
      <c r="G186" t="inlineStr">
        <is>
          <t>BG006</t>
        </is>
      </c>
      <c r="H186" t="inlineStr">
        <is>
          <t>23 Mei 2013</t>
        </is>
      </c>
      <c r="I186" s="2" t="n">
        <v>46215</v>
      </c>
      <c r="J186" t="inlineStr">
        <is>
          <t>Disetujui</t>
        </is>
      </c>
      <c r="K186" t="n">
        <v>30</v>
      </c>
      <c r="L186" t="inlineStr">
        <is>
          <t>12 Juli 2026</t>
        </is>
      </c>
      <c r="M186" t="inlineStr">
        <is>
          <t>Konstruksi Gedung Pendidikan</t>
        </is>
      </c>
      <c r="N186" t="inlineStr">
        <is>
          <t>K</t>
        </is>
      </c>
      <c r="O186" t="inlineStr">
        <is>
          <t>20230710</t>
        </is>
      </c>
      <c r="P186" t="inlineStr">
        <is>
          <t>Jawa Timur</t>
        </is>
      </c>
      <c r="Q186" t="inlineStr"/>
    </row>
    <row r="187">
      <c r="A187" t="inlineStr">
        <is>
          <t>SUMBER MULYO</t>
        </is>
      </c>
      <c r="B187" t="inlineStr">
        <is>
          <t>Kab. Gunungkidul</t>
        </is>
      </c>
      <c r="C187" t="inlineStr">
        <is>
          <t>081327725559</t>
        </is>
      </c>
      <c r="D187" t="inlineStr">
        <is>
          <t>sumbermulyocvpri@ymail.com</t>
        </is>
      </c>
      <c r="E187" t="inlineStr">
        <is>
          <t>https://lpjk.pu.go.id/search-badan-usaha-detail/d3hmTEg5ZjJVOVZURUh2VFp5TnFoQT09</t>
        </is>
      </c>
      <c r="F187" t="n">
        <v>1</v>
      </c>
      <c r="G187" t="inlineStr">
        <is>
          <t>BS004</t>
        </is>
      </c>
      <c r="H187" t="inlineStr">
        <is>
          <t>31 Juli 2004</t>
        </is>
      </c>
      <c r="I187" s="2" t="n">
        <v>46215</v>
      </c>
      <c r="J187" t="inlineStr">
        <is>
          <t>Disetujui</t>
        </is>
      </c>
      <c r="K187" t="n">
        <v>30</v>
      </c>
      <c r="L187" t="inlineStr">
        <is>
          <t>12 Juli 2026</t>
        </is>
      </c>
      <c r="M187" t="inlineStr">
        <is>
          <t>Konstruksi Jaringan Irigasi dan Drainase</t>
        </is>
      </c>
      <c r="N187" t="inlineStr">
        <is>
          <t>K</t>
        </is>
      </c>
      <c r="O187" t="inlineStr">
        <is>
          <t>20230709</t>
        </is>
      </c>
      <c r="P187" t="inlineStr">
        <is>
          <t>DI Yogyakarta</t>
        </is>
      </c>
      <c r="Q187" t="inlineStr"/>
    </row>
    <row r="188">
      <c r="A188" t="inlineStr">
        <is>
          <t>SURYA PRATHAMA</t>
        </is>
      </c>
      <c r="B188" t="inlineStr">
        <is>
          <t>Kab. Probolinggo</t>
        </is>
      </c>
      <c r="C188" t="inlineStr">
        <is>
          <t>082331115222</t>
        </is>
      </c>
      <c r="D188" t="inlineStr">
        <is>
          <t>suryapratamacv@ymail.com</t>
        </is>
      </c>
      <c r="E188" t="inlineStr">
        <is>
          <t>https://lpjk.pu.go.id/search-badan-usaha-detail/UU9UaDFGVGpTeU84MnhXcjZKOHNzdz09</t>
        </is>
      </c>
      <c r="F188" t="n">
        <v>1</v>
      </c>
      <c r="G188" t="inlineStr">
        <is>
          <t>BG009</t>
        </is>
      </c>
      <c r="H188" t="inlineStr">
        <is>
          <t>11 Oktober 1993</t>
        </is>
      </c>
      <c r="I188" s="2" t="n">
        <v>46215</v>
      </c>
      <c r="J188" t="inlineStr">
        <is>
          <t>Disetujui</t>
        </is>
      </c>
      <c r="K188" t="n">
        <v>30</v>
      </c>
      <c r="L188" t="inlineStr">
        <is>
          <t>12 Juli 2026</t>
        </is>
      </c>
      <c r="M188" t="inlineStr">
        <is>
          <t>Konstruksi Gedung Lainnya</t>
        </is>
      </c>
      <c r="N188" t="inlineStr">
        <is>
          <t>K</t>
        </is>
      </c>
      <c r="O188" t="inlineStr">
        <is>
          <t>20230705</t>
        </is>
      </c>
      <c r="P188" t="inlineStr">
        <is>
          <t>Jawa Timur</t>
        </is>
      </c>
      <c r="Q188" t="inlineStr"/>
    </row>
    <row r="189">
      <c r="A189" t="inlineStr">
        <is>
          <t>SURYA RAMA</t>
        </is>
      </c>
      <c r="B189" t="inlineStr">
        <is>
          <t>Kab. Malang</t>
        </is>
      </c>
      <c r="C189" t="inlineStr">
        <is>
          <t>087859070161</t>
        </is>
      </c>
      <c r="D189" t="inlineStr">
        <is>
          <t>cvsuryarama@gmail.com</t>
        </is>
      </c>
      <c r="E189" t="inlineStr">
        <is>
          <t>https://lpjk.pu.go.id/search-badan-usaha-detail/dnVmZ2U0UjljRmhJRVI5OTNwclUxZz09</t>
        </is>
      </c>
      <c r="F189" t="n">
        <v>1</v>
      </c>
      <c r="G189" t="inlineStr">
        <is>
          <t>BS001</t>
        </is>
      </c>
      <c r="H189" t="inlineStr">
        <is>
          <t>23 April 2019</t>
        </is>
      </c>
      <c r="I189" s="2" t="n">
        <v>46215</v>
      </c>
      <c r="J189" t="inlineStr">
        <is>
          <t>Disetujui</t>
        </is>
      </c>
      <c r="K189" t="n">
        <v>30</v>
      </c>
      <c r="L189" t="inlineStr">
        <is>
          <t>12 Juli 2026</t>
        </is>
      </c>
      <c r="M189" t="inlineStr">
        <is>
          <t>Konstruksi Bangunan Sipil Jalan</t>
        </is>
      </c>
      <c r="N189" t="inlineStr">
        <is>
          <t>K</t>
        </is>
      </c>
      <c r="O189" t="inlineStr">
        <is>
          <t>20230705</t>
        </is>
      </c>
      <c r="P189" t="inlineStr">
        <is>
          <t>Jawa Timur</t>
        </is>
      </c>
      <c r="Q189" t="inlineStr"/>
    </row>
    <row r="190">
      <c r="A190" t="inlineStr">
        <is>
          <t>SYAIMA ABIYA ADILUHUNG</t>
        </is>
      </c>
      <c r="B190" t="inlineStr">
        <is>
          <t>Kota Cirebon</t>
        </is>
      </c>
      <c r="C190" t="inlineStr">
        <is>
          <t>089660577987</t>
        </is>
      </c>
      <c r="D190" t="inlineStr">
        <is>
          <t>syaimaabiyaabiluhung@gmail.com</t>
        </is>
      </c>
      <c r="E190" t="inlineStr">
        <is>
          <t>https://lpjk.pu.go.id/search-badan-usaha-detail/c3RjV1NkQXY4OWI1Q3AxckxzWEtxZz09</t>
        </is>
      </c>
      <c r="F190" t="n">
        <v>2</v>
      </c>
      <c r="G190" t="inlineStr">
        <is>
          <t>BS001, BS004</t>
        </is>
      </c>
      <c r="H190" t="inlineStr">
        <is>
          <t>28 Desember 2017</t>
        </is>
      </c>
      <c r="I190" s="2" t="n">
        <v>46215</v>
      </c>
      <c r="J190" t="inlineStr">
        <is>
          <t>Pencabutan</t>
        </is>
      </c>
      <c r="K190" t="n">
        <v>30</v>
      </c>
      <c r="L190" t="inlineStr">
        <is>
          <t>12 Juli 2026</t>
        </is>
      </c>
      <c r="M190" t="inlineStr">
        <is>
          <t>Konstruksi Bangunan Sipil Jalan, Konstruksi Jaringan Irigasi dan Drainase</t>
        </is>
      </c>
      <c r="N190" t="inlineStr">
        <is>
          <t>K</t>
        </is>
      </c>
      <c r="O190" t="inlineStr">
        <is>
          <t>20230707</t>
        </is>
      </c>
      <c r="P190" t="inlineStr">
        <is>
          <t>Jawa Barat</t>
        </is>
      </c>
      <c r="Q190" t="inlineStr"/>
    </row>
    <row r="191">
      <c r="A191" t="inlineStr">
        <is>
          <t>SYIFA KAMILA</t>
        </is>
      </c>
      <c r="B191" t="inlineStr">
        <is>
          <t>Kota Tangerang</t>
        </is>
      </c>
      <c r="C191" t="inlineStr">
        <is>
          <t>085781275125</t>
        </is>
      </c>
      <c r="D191" t="inlineStr">
        <is>
          <t>milkakamila0414@gmail.com</t>
        </is>
      </c>
      <c r="E191" t="inlineStr">
        <is>
          <t>https://lpjk.pu.go.id/search-badan-usaha-detail/Rng4aGtiSGVKSy9meWhHSDB1Q3lOZz09</t>
        </is>
      </c>
      <c r="F191" t="n">
        <v>1</v>
      </c>
      <c r="G191" t="inlineStr">
        <is>
          <t>BG009</t>
        </is>
      </c>
      <c r="H191" t="inlineStr">
        <is>
          <t>16 November 2022</t>
        </is>
      </c>
      <c r="I191" s="2" t="n">
        <v>46215</v>
      </c>
      <c r="J191" t="inlineStr">
        <is>
          <t>Disetujui</t>
        </is>
      </c>
      <c r="K191" t="n">
        <v>30</v>
      </c>
      <c r="L191" t="inlineStr">
        <is>
          <t>12 Juli 2026</t>
        </is>
      </c>
      <c r="M191" t="inlineStr">
        <is>
          <t>Konstruksi Gedung Lainnya</t>
        </is>
      </c>
      <c r="N191" t="inlineStr">
        <is>
          <t>K</t>
        </is>
      </c>
      <c r="O191" t="inlineStr">
        <is>
          <t>20230713</t>
        </is>
      </c>
      <c r="P191" t="inlineStr">
        <is>
          <t>Banten</t>
        </is>
      </c>
      <c r="Q191" t="inlineStr"/>
    </row>
    <row r="192">
      <c r="A192" t="inlineStr">
        <is>
          <t>TAKASIMA JAYA</t>
        </is>
      </c>
      <c r="B192" t="inlineStr">
        <is>
          <t>Kab. Sorong</t>
        </is>
      </c>
      <c r="C192" t="inlineStr">
        <is>
          <t>085295016648</t>
        </is>
      </c>
      <c r="D192" t="inlineStr">
        <is>
          <t>cv.takasimajaya@gmail.com</t>
        </is>
      </c>
      <c r="E192" t="inlineStr">
        <is>
          <t>https://lpjk.pu.go.id/search-badan-usaha-detail/Y0lQQ2QzTlhOQmVOOXI3NGd0ZjFmUT09</t>
        </is>
      </c>
      <c r="F192" t="n">
        <v>1</v>
      </c>
      <c r="G192" t="inlineStr">
        <is>
          <t>BS010</t>
        </is>
      </c>
      <c r="H192" t="inlineStr">
        <is>
          <t>17 November 2008</t>
        </is>
      </c>
      <c r="I192" s="2" t="n">
        <v>46215</v>
      </c>
      <c r="J192" t="inlineStr">
        <is>
          <t>Disetujui</t>
        </is>
      </c>
      <c r="K192" t="n">
        <v>30</v>
      </c>
      <c r="L192" t="inlineStr">
        <is>
          <t>12 Juli 2026</t>
        </is>
      </c>
      <c r="M192" t="inlineStr">
        <is>
          <t>Konstruksi Bangunan Prasarana Sumber Daya Air</t>
        </is>
      </c>
      <c r="N192" t="inlineStr">
        <is>
          <t>K</t>
        </is>
      </c>
      <c r="O192" t="inlineStr">
        <is>
          <t>20230712</t>
        </is>
      </c>
      <c r="P192" t="inlineStr">
        <is>
          <t>Papua Barat</t>
        </is>
      </c>
      <c r="Q192" t="inlineStr"/>
    </row>
    <row r="193">
      <c r="A193" t="inlineStr">
        <is>
          <t>TERAS IMAJI</t>
        </is>
      </c>
      <c r="B193" t="inlineStr">
        <is>
          <t>Kab. Morowali</t>
        </is>
      </c>
      <c r="C193" t="inlineStr">
        <is>
          <t>082296562245</t>
        </is>
      </c>
      <c r="D193" t="inlineStr">
        <is>
          <t>cvterasimaji@gmail.com</t>
        </is>
      </c>
      <c r="E193" t="inlineStr">
        <is>
          <t>https://lpjk.pu.go.id/search-badan-usaha-detail/TzlZR1o3ZTJDZkIvWVVXcUJPRStRdz09</t>
        </is>
      </c>
      <c r="F193" t="n">
        <v>2</v>
      </c>
      <c r="G193" t="inlineStr">
        <is>
          <t>BS006</t>
        </is>
      </c>
      <c r="H193" t="inlineStr">
        <is>
          <t>26 Oktober 2021</t>
        </is>
      </c>
      <c r="I193" s="2" t="n">
        <v>46215</v>
      </c>
      <c r="J193" t="inlineStr">
        <is>
          <t>Disetujui</t>
        </is>
      </c>
      <c r="K193" t="n">
        <v>30</v>
      </c>
      <c r="L193" t="inlineStr">
        <is>
          <t>12 Juli 2026</t>
        </is>
      </c>
      <c r="M193" t="inlineStr">
        <is>
          <t>Konstruksi Bangunan Sipil Prasarana dan Sarana Sistem Pengolahan Limbah Padat, Cair, dan Gas</t>
        </is>
      </c>
      <c r="N193" t="inlineStr">
        <is>
          <t>K</t>
        </is>
      </c>
      <c r="O193" t="inlineStr">
        <is>
          <t>20230713</t>
        </is>
      </c>
      <c r="P193" t="inlineStr">
        <is>
          <t>Sulawesi Tengah</t>
        </is>
      </c>
      <c r="Q193" t="inlineStr"/>
    </row>
    <row r="194">
      <c r="A194" t="inlineStr">
        <is>
          <t>TIARA EDELWEIS</t>
        </is>
      </c>
      <c r="B194" t="inlineStr">
        <is>
          <t>Kab. Sambas</t>
        </is>
      </c>
      <c r="C194" t="inlineStr">
        <is>
          <t>08125733019</t>
        </is>
      </c>
      <c r="D194" t="inlineStr">
        <is>
          <t>ramajaya639@gmail.com</t>
        </is>
      </c>
      <c r="E194" t="inlineStr">
        <is>
          <t>https://lpjk.pu.go.id/search-badan-usaha-detail/cEY5dVhaNnMzYVRLODBhY2UzZ210Zz09</t>
        </is>
      </c>
      <c r="F194" t="n">
        <v>1</v>
      </c>
      <c r="G194" t="inlineStr">
        <is>
          <t>BS002</t>
        </is>
      </c>
      <c r="H194" t="inlineStr">
        <is>
          <t>20 Januari 2005</t>
        </is>
      </c>
      <c r="I194" s="2" t="n">
        <v>46215</v>
      </c>
      <c r="J194" t="inlineStr">
        <is>
          <t>Disetujui</t>
        </is>
      </c>
      <c r="K194" t="n">
        <v>30</v>
      </c>
      <c r="L194" t="inlineStr">
        <is>
          <t>12 Juli 2026</t>
        </is>
      </c>
      <c r="M194" t="inlineStr">
        <is>
          <t>Bangunan Sipil Jembatan, Jalan Layang, Fly Over, dan Underpass</t>
        </is>
      </c>
      <c r="N194" t="inlineStr">
        <is>
          <t>K</t>
        </is>
      </c>
      <c r="O194" t="inlineStr">
        <is>
          <t>20230712</t>
        </is>
      </c>
      <c r="P194" t="inlineStr">
        <is>
          <t>Kalimantan Barat</t>
        </is>
      </c>
      <c r="Q194" t="inlineStr"/>
    </row>
    <row r="195">
      <c r="A195" t="inlineStr">
        <is>
          <t>TIGA BANUA PERKASA</t>
        </is>
      </c>
      <c r="B195" t="inlineStr">
        <is>
          <t>Kab. Berau</t>
        </is>
      </c>
      <c r="C195" t="inlineStr">
        <is>
          <t>082250011313</t>
        </is>
      </c>
      <c r="D195" t="inlineStr">
        <is>
          <t>tigabanuap@gmail.com</t>
        </is>
      </c>
      <c r="E195" t="inlineStr">
        <is>
          <t>https://lpjk.pu.go.id/search-badan-usaha-detail/U2svd1VKUXNWeDhYTkthRDZ4SCt3UT09</t>
        </is>
      </c>
      <c r="F195" t="n">
        <v>4</v>
      </c>
      <c r="G195" t="inlineStr">
        <is>
          <t>BS001, BS002, BS004, BS010</t>
        </is>
      </c>
      <c r="H195" t="inlineStr">
        <is>
          <t>1 Maret 2023</t>
        </is>
      </c>
      <c r="I195" s="2" t="n">
        <v>46215</v>
      </c>
      <c r="J195" t="inlineStr">
        <is>
          <t>Disetujui</t>
        </is>
      </c>
      <c r="K195" t="n">
        <v>30</v>
      </c>
      <c r="L195" t="inlineStr">
        <is>
          <t>12 Juli 2026</t>
        </is>
      </c>
      <c r="M195" t="inlineStr">
        <is>
          <t>Bangunan Sipil Jembatan, Jalan Layang, Fly Over, dan Underpass, Konstruksi Bangunan Prasarana Sumber Daya Air, Konstruksi Bangunan Sipil Jalan, Konstruksi Jaringan Irigasi dan Drainase</t>
        </is>
      </c>
      <c r="N195" t="inlineStr">
        <is>
          <t>K</t>
        </is>
      </c>
      <c r="O195" t="inlineStr">
        <is>
          <t>20230622</t>
        </is>
      </c>
      <c r="P195" t="inlineStr">
        <is>
          <t>Kalimantan Timur</t>
        </is>
      </c>
      <c r="Q195" t="inlineStr"/>
    </row>
    <row r="196">
      <c r="A196" t="inlineStr">
        <is>
          <t>TORACO JAYA</t>
        </is>
      </c>
      <c r="B196" t="inlineStr">
        <is>
          <t>Kota Kotamobagu</t>
        </is>
      </c>
      <c r="C196" t="inlineStr">
        <is>
          <t>081244225255</t>
        </is>
      </c>
      <c r="D196" t="inlineStr">
        <is>
          <t>toraco.jaya@gmail.com</t>
        </is>
      </c>
      <c r="E196" t="inlineStr">
        <is>
          <t>https://lpjk.pu.go.id/search-badan-usaha-detail/V0hkQTNqOUljZFFQUklpbm02NkpBdz09</t>
        </is>
      </c>
      <c r="F196" t="n">
        <v>1</v>
      </c>
      <c r="G196" t="inlineStr">
        <is>
          <t>BG005</t>
        </is>
      </c>
      <c r="H196" t="inlineStr">
        <is>
          <t>9 Juni 2017</t>
        </is>
      </c>
      <c r="I196" s="2" t="n">
        <v>46215</v>
      </c>
      <c r="J196" t="inlineStr">
        <is>
          <t>Disetujui</t>
        </is>
      </c>
      <c r="K196" t="n">
        <v>30</v>
      </c>
      <c r="L196" t="inlineStr">
        <is>
          <t>12 Juli 2026</t>
        </is>
      </c>
      <c r="M196" t="inlineStr">
        <is>
          <t>Konstruksi Gedung Kesehatan</t>
        </is>
      </c>
      <c r="N196" t="inlineStr">
        <is>
          <t>K</t>
        </is>
      </c>
      <c r="O196" t="inlineStr">
        <is>
          <t>20230712</t>
        </is>
      </c>
      <c r="P196" t="inlineStr">
        <is>
          <t>Sulawesi Utara</t>
        </is>
      </c>
      <c r="Q196" t="inlineStr"/>
    </row>
    <row r="197">
      <c r="A197" t="inlineStr">
        <is>
          <t>TRI PAPUA MANDIRI</t>
        </is>
      </c>
      <c r="B197" t="inlineStr">
        <is>
          <t>Kab. Biak Numfor</t>
        </is>
      </c>
      <c r="C197" t="inlineStr">
        <is>
          <t>082239344040</t>
        </is>
      </c>
      <c r="D197" t="inlineStr">
        <is>
          <t>cv.tripapuamandiri@gmail.com</t>
        </is>
      </c>
      <c r="E197" t="inlineStr">
        <is>
          <t>https://lpjk.pu.go.id/search-badan-usaha-detail/NUVDTzhoTjE4aXN0aXUzc2pzZWZldz09</t>
        </is>
      </c>
      <c r="F197" t="n">
        <v>3</v>
      </c>
      <c r="G197" t="inlineStr">
        <is>
          <t>BG005, BG006, BG009</t>
        </is>
      </c>
      <c r="H197" t="inlineStr">
        <is>
          <t>6 November 2013</t>
        </is>
      </c>
      <c r="I197" s="2" t="n">
        <v>46215</v>
      </c>
      <c r="J197" t="inlineStr">
        <is>
          <t>Disetujui</t>
        </is>
      </c>
      <c r="K197" t="n">
        <v>30</v>
      </c>
      <c r="L197" t="inlineStr">
        <is>
          <t>12 Juli 2026</t>
        </is>
      </c>
      <c r="M197" t="inlineStr">
        <is>
          <t>Konstruksi Gedung Kesehatan, Konstruksi Gedung Lainnya, Konstruksi Gedung Pendidikan</t>
        </is>
      </c>
      <c r="N197" t="inlineStr">
        <is>
          <t>K</t>
        </is>
      </c>
      <c r="O197" t="inlineStr">
        <is>
          <t>20230712, 20230713</t>
        </is>
      </c>
      <c r="P197" t="inlineStr">
        <is>
          <t>Papua</t>
        </is>
      </c>
      <c r="Q197" t="inlineStr"/>
    </row>
    <row r="198">
      <c r="A198" t="inlineStr">
        <is>
          <t>TRI PUTRI</t>
        </is>
      </c>
      <c r="B198" t="inlineStr">
        <is>
          <t>Kab. Magetan</t>
        </is>
      </c>
      <c r="C198" t="inlineStr">
        <is>
          <t>0822 3262 3928</t>
        </is>
      </c>
      <c r="D198" t="inlineStr">
        <is>
          <t>cvtriputri66@gmail.com</t>
        </is>
      </c>
      <c r="E198" t="inlineStr">
        <is>
          <t>https://lpjk.pu.go.id/search-badan-usaha-detail/R1BnejJZZFA5NU8wVzljY3pzUmY0QT09</t>
        </is>
      </c>
      <c r="F198" t="n">
        <v>3</v>
      </c>
      <c r="G198" t="inlineStr">
        <is>
          <t>BG004, BG005, BG006</t>
        </is>
      </c>
      <c r="H198" t="inlineStr">
        <is>
          <t>23 September 2002</t>
        </is>
      </c>
      <c r="I198" s="2" t="n">
        <v>46215</v>
      </c>
      <c r="J198" t="inlineStr">
        <is>
          <t>Disetujui</t>
        </is>
      </c>
      <c r="K198" t="n">
        <v>30</v>
      </c>
      <c r="L198" t="inlineStr">
        <is>
          <t>12 Juli 2026</t>
        </is>
      </c>
      <c r="M198" t="inlineStr">
        <is>
          <t>Konstruksi Gedung Kesehatan, Konstruksi Gedung Pendidikan, Konstruksi Gedung Perbelanjaan</t>
        </is>
      </c>
      <c r="N198" t="inlineStr">
        <is>
          <t>K</t>
        </is>
      </c>
      <c r="O198" t="inlineStr">
        <is>
          <t>20230622, 20230710</t>
        </is>
      </c>
      <c r="P198" t="inlineStr">
        <is>
          <t>Jawa Timur</t>
        </is>
      </c>
      <c r="Q198" t="inlineStr"/>
    </row>
    <row r="199">
      <c r="A199" t="inlineStr">
        <is>
          <t>TUNAS PUJUNGAN</t>
        </is>
      </c>
      <c r="B199" t="inlineStr">
        <is>
          <t>Kab. Malinau</t>
        </is>
      </c>
      <c r="C199" t="inlineStr">
        <is>
          <t>082153270159</t>
        </is>
      </c>
      <c r="D199" t="inlineStr">
        <is>
          <t>tunaspujungan@gmail.com</t>
        </is>
      </c>
      <c r="E199" t="inlineStr">
        <is>
          <t>https://lpjk.pu.go.id/search-badan-usaha-detail/b0JlcGRob2Z2dHN1RUQyU2gxOGNIUT09</t>
        </is>
      </c>
      <c r="F199" t="n">
        <v>2</v>
      </c>
      <c r="G199" t="inlineStr">
        <is>
          <t>BG006, BG009</t>
        </is>
      </c>
      <c r="H199" t="inlineStr">
        <is>
          <t>1 Agustus 2018</t>
        </is>
      </c>
      <c r="I199" s="2" t="n">
        <v>46215</v>
      </c>
      <c r="J199" t="inlineStr">
        <is>
          <t>Disetujui</t>
        </is>
      </c>
      <c r="K199" t="n">
        <v>30</v>
      </c>
      <c r="L199" t="inlineStr">
        <is>
          <t>12 Juli 2026</t>
        </is>
      </c>
      <c r="M199" t="inlineStr">
        <is>
          <t>Konstruksi Gedung Lainnya, Konstruksi Gedung Pendidikan</t>
        </is>
      </c>
      <c r="N199" t="inlineStr">
        <is>
          <t>K</t>
        </is>
      </c>
      <c r="O199" t="inlineStr">
        <is>
          <t>20230710</t>
        </is>
      </c>
      <c r="P199" t="inlineStr">
        <is>
          <t>Kalimantan Utara</t>
        </is>
      </c>
      <c r="Q199" t="inlineStr"/>
    </row>
    <row r="200">
      <c r="A200" t="inlineStr">
        <is>
          <t>UPAYA KARYA MALAQBIQ</t>
        </is>
      </c>
      <c r="B200" t="inlineStr">
        <is>
          <t>Kab. Kotabaru</t>
        </is>
      </c>
      <c r="C200" t="inlineStr">
        <is>
          <t>081348683528</t>
        </is>
      </c>
      <c r="D200" t="inlineStr">
        <is>
          <t>cvupayakaryamalaqbiq@gmail.com</t>
        </is>
      </c>
      <c r="E200" t="inlineStr">
        <is>
          <t>https://lpjk.pu.go.id/search-badan-usaha-detail/REFBSnFndUg2MmZGcHRIWXgvamQ5dz09</t>
        </is>
      </c>
      <c r="F200" t="n">
        <v>4</v>
      </c>
      <c r="G200" t="inlineStr">
        <is>
          <t>BG002, BG005, BG006, BG008</t>
        </is>
      </c>
      <c r="H200" t="inlineStr">
        <is>
          <t>3 Mei 2023</t>
        </is>
      </c>
      <c r="I200" s="2" t="n">
        <v>46215</v>
      </c>
      <c r="J200" t="inlineStr">
        <is>
          <t>Disetujui</t>
        </is>
      </c>
      <c r="K200" t="n">
        <v>30</v>
      </c>
      <c r="L200" t="inlineStr">
        <is>
          <t>12 Juli 2026</t>
        </is>
      </c>
      <c r="M200" t="inlineStr">
        <is>
          <t>Konstruksi Gedung Kesehatan, Konstruksi Gedung Pendidikan, Konstruksi Gedung Perkantoran, Konstruksi Gedung Tempat Hiburan dan Olahraga</t>
        </is>
      </c>
      <c r="N200" t="inlineStr">
        <is>
          <t>K</t>
        </is>
      </c>
      <c r="O200" t="inlineStr">
        <is>
          <t>20230703</t>
        </is>
      </c>
      <c r="P200" t="inlineStr">
        <is>
          <t>Kalimantan Selatan</t>
        </is>
      </c>
      <c r="Q200" t="inlineStr"/>
    </row>
    <row r="201">
      <c r="A201" t="inlineStr">
        <is>
          <t>UTAMI ANUGRAH</t>
        </is>
      </c>
      <c r="B201" t="inlineStr">
        <is>
          <t>Kab. Lombok Tengah</t>
        </is>
      </c>
      <c r="C201" t="inlineStr">
        <is>
          <t>087864744515</t>
        </is>
      </c>
      <c r="D201" t="inlineStr">
        <is>
          <t>muhamadbasri1988@gmail.com</t>
        </is>
      </c>
      <c r="E201" t="inlineStr">
        <is>
          <t>https://lpjk.pu.go.id/search-badan-usaha-detail/cTJGNlR2YXdLL2JtNXloY2dhNHkrUT09</t>
        </is>
      </c>
      <c r="F201" t="n">
        <v>1</v>
      </c>
      <c r="G201" t="inlineStr">
        <is>
          <t>BS004</t>
        </is>
      </c>
      <c r="H201" t="inlineStr">
        <is>
          <t>20 Desember 2018</t>
        </is>
      </c>
      <c r="I201" s="2" t="n">
        <v>46215</v>
      </c>
      <c r="J201" t="inlineStr">
        <is>
          <t>Disetujui</t>
        </is>
      </c>
      <c r="K201" t="n">
        <v>30</v>
      </c>
      <c r="L201" t="inlineStr">
        <is>
          <t>12 Juli 2026</t>
        </is>
      </c>
      <c r="M201" t="inlineStr">
        <is>
          <t>Konstruksi Jaringan Irigasi dan Drainase</t>
        </is>
      </c>
      <c r="N201" t="inlineStr">
        <is>
          <t>K</t>
        </is>
      </c>
      <c r="O201" t="inlineStr">
        <is>
          <t>20230712</t>
        </is>
      </c>
      <c r="P201" t="inlineStr">
        <is>
          <t>Nusa Tenggara Barat</t>
        </is>
      </c>
      <c r="Q201" t="inlineStr"/>
    </row>
    <row r="202">
      <c r="A202" t="inlineStr">
        <is>
          <t>WAE NGALI LEOK</t>
        </is>
      </c>
      <c r="B202" t="inlineStr">
        <is>
          <t>Kab. Manggarai</t>
        </is>
      </c>
      <c r="C202" t="inlineStr">
        <is>
          <t>081236343088</t>
        </is>
      </c>
      <c r="D202" t="inlineStr">
        <is>
          <t>cvwaengalileok2022@gmail.com</t>
        </is>
      </c>
      <c r="E202" t="inlineStr">
        <is>
          <t>https://lpjk.pu.go.id/search-badan-usaha-detail/Vk9hMUVwcisvakJNTThiSHFOZ1Fqdz09</t>
        </is>
      </c>
      <c r="F202" t="n">
        <v>2</v>
      </c>
      <c r="G202" t="inlineStr">
        <is>
          <t>BG003</t>
        </is>
      </c>
      <c r="H202" t="inlineStr">
        <is>
          <t>22 Januari 2007</t>
        </is>
      </c>
      <c r="I202" s="2" t="n">
        <v>46215</v>
      </c>
      <c r="J202" t="inlineStr">
        <is>
          <t>Disetujui</t>
        </is>
      </c>
      <c r="K202" t="n">
        <v>30</v>
      </c>
      <c r="L202" t="inlineStr">
        <is>
          <t>12 Juli 2026</t>
        </is>
      </c>
      <c r="M202" t="inlineStr">
        <is>
          <t>Konstruksi Gedung Industri</t>
        </is>
      </c>
      <c r="N202" t="inlineStr">
        <is>
          <t>K</t>
        </is>
      </c>
      <c r="O202" t="inlineStr">
        <is>
          <t>20230713</t>
        </is>
      </c>
      <c r="P202" t="inlineStr">
        <is>
          <t>Nusa Tenggara Timur</t>
        </is>
      </c>
      <c r="Q202" t="inlineStr"/>
    </row>
    <row r="203">
      <c r="A203" t="inlineStr">
        <is>
          <t>WANGUN JAYA</t>
        </is>
      </c>
      <c r="B203" t="inlineStr">
        <is>
          <t>Kab. Gianyar</t>
        </is>
      </c>
      <c r="C203" t="inlineStr">
        <is>
          <t>03614791166</t>
        </is>
      </c>
      <c r="D203" t="inlineStr">
        <is>
          <t>ptwangunjaya@gmail.com</t>
        </is>
      </c>
      <c r="E203" t="inlineStr">
        <is>
          <t>https://lpjk.pu.go.id/search-badan-usaha-detail/SGdmSUZoeXZHTXRTKzd1M2syUEdDZz09</t>
        </is>
      </c>
      <c r="F203" t="n">
        <v>2</v>
      </c>
      <c r="G203" t="inlineStr">
        <is>
          <t>BS001</t>
        </is>
      </c>
      <c r="H203" t="inlineStr">
        <is>
          <t>16 Mei 2007</t>
        </is>
      </c>
      <c r="I203" s="2" t="n">
        <v>46215</v>
      </c>
      <c r="J203" t="inlineStr">
        <is>
          <t>Disetujui</t>
        </is>
      </c>
      <c r="K203" t="n">
        <v>30</v>
      </c>
      <c r="L203" t="inlineStr">
        <is>
          <t>12 Juli 2026</t>
        </is>
      </c>
      <c r="M203" t="inlineStr">
        <is>
          <t>Konstruksi Bangunan Sipil Jalan</t>
        </is>
      </c>
      <c r="N203" t="inlineStr">
        <is>
          <t>K</t>
        </is>
      </c>
      <c r="O203" t="inlineStr">
        <is>
          <t>20230614</t>
        </is>
      </c>
      <c r="P203" t="inlineStr">
        <is>
          <t>Bali</t>
        </is>
      </c>
      <c r="Q203" t="inlineStr"/>
    </row>
    <row r="204">
      <c r="A204" t="inlineStr">
        <is>
          <t>WASTU CITRA PRATAMA</t>
        </is>
      </c>
      <c r="B204" t="inlineStr">
        <is>
          <t>Kota Tomohon</t>
        </is>
      </c>
      <c r="C204" t="inlineStr">
        <is>
          <t>0431-351834</t>
        </is>
      </c>
      <c r="D204" t="inlineStr">
        <is>
          <t>wastucitra_pratama@yahoo.com</t>
        </is>
      </c>
      <c r="E204" t="inlineStr">
        <is>
          <t>https://lpjk.pu.go.id/search-badan-usaha-detail/NndGRkZGNmZIQTZ5SFptYUZ0a2JJQT09</t>
        </is>
      </c>
      <c r="F204" t="n">
        <v>1</v>
      </c>
      <c r="G204" t="inlineStr">
        <is>
          <t>RK001</t>
        </is>
      </c>
      <c r="H204" t="inlineStr">
        <is>
          <t>23 Juni 1997</t>
        </is>
      </c>
      <c r="I204" s="2" t="n">
        <v>46215</v>
      </c>
      <c r="J204" t="inlineStr">
        <is>
          <t>Disetujui</t>
        </is>
      </c>
      <c r="K204" t="n">
        <v>30</v>
      </c>
      <c r="L204" t="inlineStr">
        <is>
          <t>12 Juli 2026</t>
        </is>
      </c>
      <c r="M204" t="inlineStr">
        <is>
          <t>Jasa Rekayasa Konstruksi Bangunan Gedung Hunian dan Non Hunian</t>
        </is>
      </c>
      <c r="N204" t="inlineStr">
        <is>
          <t>K</t>
        </is>
      </c>
      <c r="O204" t="inlineStr">
        <is>
          <t>20230630</t>
        </is>
      </c>
      <c r="P204" t="inlineStr">
        <is>
          <t>Sulawesi Utara</t>
        </is>
      </c>
      <c r="Q204" t="inlineStr"/>
    </row>
    <row r="205">
      <c r="A205" t="inlineStr">
        <is>
          <t>WIJAYA CIPTA UTAMA</t>
        </is>
      </c>
      <c r="B205" t="inlineStr">
        <is>
          <t>Kab. Lombok Tengah</t>
        </is>
      </c>
      <c r="C205" t="inlineStr">
        <is>
          <t>03706504463</t>
        </is>
      </c>
      <c r="D205" t="inlineStr">
        <is>
          <t>wijaya.cipta.utama@gmail.com</t>
        </is>
      </c>
      <c r="E205" t="inlineStr">
        <is>
          <t>https://lpjk.pu.go.id/search-badan-usaha-detail/eXE4UGFBOVg2R3pPMHFWNjErdEFVQT09</t>
        </is>
      </c>
      <c r="F205" t="n">
        <v>2</v>
      </c>
      <c r="G205" t="inlineStr">
        <is>
          <t>BG009</t>
        </is>
      </c>
      <c r="H205" t="inlineStr">
        <is>
          <t>22 Juli 2015</t>
        </is>
      </c>
      <c r="I205" s="2" t="n">
        <v>46215</v>
      </c>
      <c r="J205" t="inlineStr">
        <is>
          <t>Pencabutan</t>
        </is>
      </c>
      <c r="K205" t="n">
        <v>30</v>
      </c>
      <c r="L205" t="inlineStr">
        <is>
          <t>12 Juli 2026</t>
        </is>
      </c>
      <c r="M205" t="inlineStr">
        <is>
          <t>Konstruksi Gedung Lainnya</t>
        </is>
      </c>
      <c r="N205" t="inlineStr">
        <is>
          <t>K</t>
        </is>
      </c>
      <c r="O205" t="inlineStr">
        <is>
          <t>20230713</t>
        </is>
      </c>
      <c r="P205" t="inlineStr">
        <is>
          <t>Nusa Tenggara Barat</t>
        </is>
      </c>
      <c r="Q205" t="inlineStr"/>
    </row>
    <row r="206">
      <c r="A206" t="inlineStr">
        <is>
          <t>WINOV</t>
        </is>
      </c>
      <c r="B206" t="inlineStr">
        <is>
          <t>Kab. Bandung</t>
        </is>
      </c>
      <c r="C206" t="inlineStr">
        <is>
          <t>081312137994</t>
        </is>
      </c>
      <c r="D206" t="inlineStr">
        <is>
          <t>cvwinovgroup@gmail.com</t>
        </is>
      </c>
      <c r="E206" t="inlineStr">
        <is>
          <t>https://lpjk.pu.go.id/search-badan-usaha-detail/Z3RFUStJM3VLSEhDbWlrZVRNdTdtZz09</t>
        </is>
      </c>
      <c r="F206" t="n">
        <v>1</v>
      </c>
      <c r="G206" t="inlineStr">
        <is>
          <t>BS001</t>
        </is>
      </c>
      <c r="H206" t="inlineStr">
        <is>
          <t>9 September 2019</t>
        </is>
      </c>
      <c r="I206" s="2" t="n">
        <v>46215</v>
      </c>
      <c r="J206" t="inlineStr">
        <is>
          <t>Disetujui</t>
        </is>
      </c>
      <c r="K206" t="n">
        <v>30</v>
      </c>
      <c r="L206" t="inlineStr">
        <is>
          <t>12 Juli 2026</t>
        </is>
      </c>
      <c r="M206" t="inlineStr">
        <is>
          <t>Konstruksi Bangunan Sipil Jalan</t>
        </is>
      </c>
      <c r="N206" t="inlineStr">
        <is>
          <t>K</t>
        </is>
      </c>
      <c r="O206" t="inlineStr">
        <is>
          <t>20230623</t>
        </is>
      </c>
      <c r="P206" t="inlineStr">
        <is>
          <t>Jawa Barat</t>
        </is>
      </c>
      <c r="Q206" t="inlineStr"/>
    </row>
    <row r="207">
      <c r="A207" t="inlineStr">
        <is>
          <t>WIRA TAMA</t>
        </is>
      </c>
      <c r="B207" t="inlineStr">
        <is>
          <t>Kab. Sintang</t>
        </is>
      </c>
      <c r="C207" t="inlineStr">
        <is>
          <t>082255915777</t>
        </is>
      </c>
      <c r="D207" t="inlineStr">
        <is>
          <t>wiratama.cv2@yahoo.com</t>
        </is>
      </c>
      <c r="E207" t="inlineStr">
        <is>
          <t>https://lpjk.pu.go.id/search-badan-usaha-detail/dStFeGE4OTI1WjcrY0N6RlhJcTJ4QT09</t>
        </is>
      </c>
      <c r="F207" t="n">
        <v>1</v>
      </c>
      <c r="G207" t="inlineStr">
        <is>
          <t>BG006</t>
        </is>
      </c>
      <c r="H207" t="inlineStr">
        <is>
          <t>26 Oktober 1992</t>
        </is>
      </c>
      <c r="I207" s="2" t="n">
        <v>46215</v>
      </c>
      <c r="J207" t="inlineStr">
        <is>
          <t>Disetujui</t>
        </is>
      </c>
      <c r="K207" t="n">
        <v>30</v>
      </c>
      <c r="L207" t="inlineStr">
        <is>
          <t>12 Juli 2026</t>
        </is>
      </c>
      <c r="M207" t="inlineStr">
        <is>
          <t>Konstruksi Gedung Pendidikan</t>
        </is>
      </c>
      <c r="N207" t="inlineStr">
        <is>
          <t>K</t>
        </is>
      </c>
      <c r="O207" t="inlineStr">
        <is>
          <t>20230418</t>
        </is>
      </c>
      <c r="P207" t="inlineStr">
        <is>
          <t>Kalimantan Barat</t>
        </is>
      </c>
      <c r="Q207" t="inlineStr"/>
    </row>
    <row r="208">
      <c r="A208" t="inlineStr">
        <is>
          <t>YANA KARYA MANDIRI</t>
        </is>
      </c>
      <c r="B208" t="inlineStr">
        <is>
          <t>Kab. Tanah Datar</t>
        </is>
      </c>
      <c r="C208" t="inlineStr">
        <is>
          <t>081363589888</t>
        </is>
      </c>
      <c r="D208" t="inlineStr">
        <is>
          <t>alisajasalimpaung@gmail.com</t>
        </is>
      </c>
      <c r="E208" t="inlineStr">
        <is>
          <t>https://lpjk.pu.go.id/search-badan-usaha-detail/QkxNbTYwQ0dTMHBLT0F2eHJWenQzQT09</t>
        </is>
      </c>
      <c r="F208" t="n">
        <v>1</v>
      </c>
      <c r="G208" t="inlineStr">
        <is>
          <t>BS001</t>
        </is>
      </c>
      <c r="H208" t="inlineStr">
        <is>
          <t>4 Juni 2007</t>
        </is>
      </c>
      <c r="I208" s="2" t="n">
        <v>46215</v>
      </c>
      <c r="J208" t="inlineStr">
        <is>
          <t>Disetujui</t>
        </is>
      </c>
      <c r="K208" t="n">
        <v>30</v>
      </c>
      <c r="L208" t="inlineStr">
        <is>
          <t>12 Juli 2026</t>
        </is>
      </c>
      <c r="M208" t="inlineStr">
        <is>
          <t>Konstruksi Bangunan Sipil Jalan</t>
        </is>
      </c>
      <c r="N208" t="inlineStr">
        <is>
          <t>K</t>
        </is>
      </c>
      <c r="O208" t="inlineStr">
        <is>
          <t>20230708</t>
        </is>
      </c>
      <c r="P208" t="inlineStr">
        <is>
          <t>Sumatera Barat</t>
        </is>
      </c>
      <c r="Q208" t="inlineStr"/>
    </row>
    <row r="209">
      <c r="A209" t="inlineStr">
        <is>
          <t>YANS PERDANA</t>
        </is>
      </c>
      <c r="B209" t="inlineStr">
        <is>
          <t>Kab. Bengkalis</t>
        </is>
      </c>
      <c r="C209" t="inlineStr">
        <is>
          <t>082384767575</t>
        </is>
      </c>
      <c r="D209" t="inlineStr">
        <is>
          <t>cv.yansperdana@gmail.com</t>
        </is>
      </c>
      <c r="E209" t="inlineStr">
        <is>
          <t>https://lpjk.pu.go.id/search-badan-usaha-detail/Yzg2cnprUGdEZFpZK3drNlNPY0lIQT09</t>
        </is>
      </c>
      <c r="F209" t="n">
        <v>1</v>
      </c>
      <c r="G209" t="inlineStr">
        <is>
          <t>BS001</t>
        </is>
      </c>
      <c r="H209" t="inlineStr">
        <is>
          <t>9 September 2021</t>
        </is>
      </c>
      <c r="I209" s="2" t="n">
        <v>46215</v>
      </c>
      <c r="J209" t="inlineStr">
        <is>
          <t>Disetujui</t>
        </is>
      </c>
      <c r="K209" t="n">
        <v>30</v>
      </c>
      <c r="L209" t="inlineStr">
        <is>
          <t>12 Juli 2026</t>
        </is>
      </c>
      <c r="M209" t="inlineStr">
        <is>
          <t>Konstruksi Bangunan Sipil Jalan</t>
        </is>
      </c>
      <c r="N209" t="inlineStr">
        <is>
          <t>K</t>
        </is>
      </c>
      <c r="O209" t="inlineStr">
        <is>
          <t>20230709</t>
        </is>
      </c>
      <c r="P209" t="inlineStr">
        <is>
          <t>Riau</t>
        </is>
      </c>
      <c r="Q209" t="inlineStr"/>
    </row>
    <row r="210">
      <c r="A210" t="inlineStr">
        <is>
          <t>ZAKI PERKASA CIPTA</t>
        </is>
      </c>
      <c r="B210" t="inlineStr">
        <is>
          <t>Kab. Kutai Kartanegara</t>
        </is>
      </c>
      <c r="C210" t="inlineStr">
        <is>
          <t>085253783553</t>
        </is>
      </c>
      <c r="D210" t="inlineStr">
        <is>
          <t>zakiperkasacipta45@gmail.com</t>
        </is>
      </c>
      <c r="E210" t="inlineStr">
        <is>
          <t>https://lpjk.pu.go.id/search-badan-usaha-detail/VzZFTmZ6VWpaNTFOMjk5MVhZMk9ydz09</t>
        </is>
      </c>
      <c r="F210" t="n">
        <v>1</v>
      </c>
      <c r="G210" t="inlineStr">
        <is>
          <t>BG004</t>
        </is>
      </c>
      <c r="H210" t="inlineStr">
        <is>
          <t>21 November 2019</t>
        </is>
      </c>
      <c r="I210" s="2" t="n">
        <v>46215</v>
      </c>
      <c r="J210" t="inlineStr">
        <is>
          <t>Disetujui</t>
        </is>
      </c>
      <c r="K210" t="n">
        <v>30</v>
      </c>
      <c r="L210" t="inlineStr">
        <is>
          <t>12 Juli 2026</t>
        </is>
      </c>
      <c r="M210" t="inlineStr">
        <is>
          <t>Konstruksi Gedung Perbelanjaan</t>
        </is>
      </c>
      <c r="N210" t="inlineStr">
        <is>
          <t>K</t>
        </is>
      </c>
      <c r="O210" t="inlineStr">
        <is>
          <t>20230712</t>
        </is>
      </c>
      <c r="P210" t="inlineStr">
        <is>
          <t>Kalimantan Timur</t>
        </is>
      </c>
      <c r="Q210" t="inlineStr"/>
    </row>
    <row r="211">
      <c r="A211" t="inlineStr">
        <is>
          <t>ZHAFIRAH JAYA TUNGGAL</t>
        </is>
      </c>
      <c r="B211" t="inlineStr">
        <is>
          <t>Kota Tangerang</t>
        </is>
      </c>
      <c r="C211" t="inlineStr">
        <is>
          <t>021</t>
        </is>
      </c>
      <c r="D211" t="inlineStr">
        <is>
          <t>zharifahjayatunggal@outlook.co.id</t>
        </is>
      </c>
      <c r="E211" t="inlineStr">
        <is>
          <t>https://lpjk.pu.go.id/search-badan-usaha-detail/ZXgxMVFRNkNwR3R4M25TQk85ejc0dz09</t>
        </is>
      </c>
      <c r="F211" t="n">
        <v>2</v>
      </c>
      <c r="G211" t="inlineStr">
        <is>
          <t>BG002, BS002</t>
        </is>
      </c>
      <c r="H211" t="inlineStr">
        <is>
          <t>11 Februari 2019</t>
        </is>
      </c>
      <c r="I211" s="2" t="n">
        <v>46215</v>
      </c>
      <c r="J211" t="inlineStr">
        <is>
          <t>Pencabutan</t>
        </is>
      </c>
      <c r="K211" t="n">
        <v>30</v>
      </c>
      <c r="L211" t="inlineStr">
        <is>
          <t>12 Juli 2026</t>
        </is>
      </c>
      <c r="M211" t="inlineStr">
        <is>
          <t>Bangunan Sipil Jembatan, Jalan Layang, Fly Over, dan Underpass, Konstruksi Gedung Perkantoran</t>
        </is>
      </c>
      <c r="N211" t="inlineStr">
        <is>
          <t>K</t>
        </is>
      </c>
      <c r="O211" t="inlineStr">
        <is>
          <t>20230624, 20230628</t>
        </is>
      </c>
      <c r="P211" t="inlineStr">
        <is>
          <t>Banten</t>
        </is>
      </c>
      <c r="Q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2026-06-12T02:34:14Z</dcterms:created>
  <dcterms:modified xsi:type="dcterms:W3CDTF">2026-06-12T02:34:14Z</dcterms:modified>
</cp:coreProperties>
</file>