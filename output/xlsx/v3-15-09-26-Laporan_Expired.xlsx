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87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8"/>
  <sheetViews>
    <sheetView workbookViewId="0">
      <selection activeCell="A1" sqref="A1"/>
    </sheetView>
  </sheetViews>
  <sheetFormatPr baseColWidth="8" defaultRowHeight="15"/>
  <cols>
    <col width="32" customWidth="1" min="1" max="1"/>
    <col width="25" customWidth="1" min="2" max="2"/>
    <col width="14" customWidth="1" min="3" max="3"/>
    <col width="37" customWidth="1" min="4" max="4"/>
    <col width="50" customWidth="1" min="5" max="5"/>
    <col width="18" customWidth="1" min="6" max="6"/>
    <col width="49" customWidth="1" min="7" max="7"/>
    <col width="20" customWidth="1" min="8" max="8"/>
    <col width="28" customWidth="1" min="9" max="9"/>
    <col width="23" customWidth="1" min="10" max="10"/>
    <col width="11" customWidth="1" min="11" max="11"/>
    <col width="18" customWidth="1" min="12" max="12"/>
    <col width="50" customWidth="1" min="13" max="13"/>
    <col width="14" customWidth="1" min="14" max="14"/>
    <col width="20" customWidth="1" min="15" max="15"/>
    <col width="21" customWidth="1" min="16" max="16"/>
    <col width="15"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DCK INDONESIA</t>
        </is>
      </c>
      <c r="B2" t="inlineStr">
        <is>
          <t>Kota Depok</t>
        </is>
      </c>
      <c r="C2" t="inlineStr">
        <is>
          <t>02187900129</t>
        </is>
      </c>
      <c r="D2" t="inlineStr">
        <is>
          <t>indonesia.dck@gmail.com</t>
        </is>
      </c>
      <c r="E2" t="inlineStr">
        <is>
          <t>https://lpjk.pu.go.id/search-badan-usaha-detail/Y1lEYWhxZjA3c1ljMTh4QmdhVUZLUT09</t>
        </is>
      </c>
      <c r="F2" t="n">
        <v>4</v>
      </c>
      <c r="G2" t="inlineStr">
        <is>
          <t>BG001, BG002, BG005, BG009</t>
        </is>
      </c>
      <c r="H2" t="inlineStr">
        <is>
          <t>13 Desember 2006</t>
        </is>
      </c>
      <c r="I2" s="2" t="n">
        <v>46367</v>
      </c>
      <c r="J2" t="inlineStr">
        <is>
          <t>Disetujui</t>
        </is>
      </c>
      <c r="K2" t="n">
        <v>87</v>
      </c>
      <c r="L2" t="inlineStr">
        <is>
          <t>11 Desember 2026</t>
        </is>
      </c>
      <c r="M2" t="inlineStr">
        <is>
          <t>Konstruksi Gedung Hunian, Konstruksi Gedung Kesehatan, Konstruksi Gedung Lainnya, Konstruksi Gedung Perkantoran</t>
        </is>
      </c>
      <c r="N2" t="inlineStr">
        <is>
          <t>M</t>
        </is>
      </c>
      <c r="O2" t="inlineStr">
        <is>
          <t>20231205, 20231206</t>
        </is>
      </c>
      <c r="P2" t="inlineStr">
        <is>
          <t>Jawa Barat</t>
        </is>
      </c>
      <c r="Q2" t="inlineStr"/>
    </row>
    <row r="3">
      <c r="A3" t="inlineStr">
        <is>
          <t>SAGARA BERLIAN SUKSES</t>
        </is>
      </c>
      <c r="B3" t="inlineStr">
        <is>
          <t>Kota Adm. Jakarta Timur</t>
        </is>
      </c>
      <c r="C3" t="inlineStr">
        <is>
          <t>02121874480</t>
        </is>
      </c>
      <c r="D3" t="inlineStr">
        <is>
          <t>sagaraberliansukses@gmail.com</t>
        </is>
      </c>
      <c r="E3" t="inlineStr">
        <is>
          <t>https://lpjk.pu.go.id/search-badan-usaha-detail/MStHTDJHRjhhRlhBbmlHNVBzcnBvdz09</t>
        </is>
      </c>
      <c r="F3" t="n">
        <v>1</v>
      </c>
      <c r="G3" t="inlineStr">
        <is>
          <t>BS001</t>
        </is>
      </c>
      <c r="H3" t="inlineStr">
        <is>
          <t>28 Maret 2019</t>
        </is>
      </c>
      <c r="I3" s="2" t="n">
        <v>46367</v>
      </c>
      <c r="J3" t="inlineStr">
        <is>
          <t>Disetujui</t>
        </is>
      </c>
      <c r="K3" t="n">
        <v>87</v>
      </c>
      <c r="L3" t="inlineStr">
        <is>
          <t>11 Desember 2026</t>
        </is>
      </c>
      <c r="M3" t="inlineStr">
        <is>
          <t>Konstruksi Bangunan Sipil Jalan</t>
        </is>
      </c>
      <c r="N3" t="inlineStr">
        <is>
          <t>K</t>
        </is>
      </c>
      <c r="O3" t="inlineStr">
        <is>
          <t>20231201</t>
        </is>
      </c>
      <c r="P3" t="inlineStr">
        <is>
          <t>DKI Jakarta</t>
        </is>
      </c>
      <c r="Q3" t="inlineStr"/>
    </row>
    <row r="4">
      <c r="A4" t="inlineStr">
        <is>
          <t>ADHINATA KARYA SENTOSA</t>
        </is>
      </c>
      <c r="B4" t="inlineStr">
        <is>
          <t>Kab. Sleman</t>
        </is>
      </c>
      <c r="C4" t="inlineStr">
        <is>
          <t>02742874726</t>
        </is>
      </c>
      <c r="D4" t="inlineStr">
        <is>
          <t>adhinata.ks2020@gmail.com</t>
        </is>
      </c>
      <c r="E4" t="inlineStr">
        <is>
          <t>https://lpjk.pu.go.id/search-badan-usaha-detail/VzVic1F2ckhQWlVML2NiNUY3SEtJZz09</t>
        </is>
      </c>
      <c r="F4" t="n">
        <v>2</v>
      </c>
      <c r="G4" t="inlineStr">
        <is>
          <t>BS005</t>
        </is>
      </c>
      <c r="H4" t="inlineStr">
        <is>
          <t>12 Maret 2022</t>
        </is>
      </c>
      <c r="I4" s="2" t="n">
        <v>46367</v>
      </c>
      <c r="J4" t="inlineStr">
        <is>
          <t>Disetujui</t>
        </is>
      </c>
      <c r="K4" t="n">
        <v>87</v>
      </c>
      <c r="L4" t="inlineStr">
        <is>
          <t>11 Desember 2026</t>
        </is>
      </c>
      <c r="M4" t="inlineStr">
        <is>
          <t>Konstruksi Bangunan Sipil Pengolahan Air Bersih</t>
        </is>
      </c>
      <c r="N4" t="inlineStr">
        <is>
          <t>K</t>
        </is>
      </c>
      <c r="O4" t="inlineStr">
        <is>
          <t>20231128</t>
        </is>
      </c>
      <c r="P4" t="inlineStr">
        <is>
          <t>DI Yogyakarta</t>
        </is>
      </c>
      <c r="Q4" t="inlineStr"/>
    </row>
    <row r="5">
      <c r="A5" t="inlineStr">
        <is>
          <t>ARAS BERKARYA MANDIRI</t>
        </is>
      </c>
      <c r="B5" t="inlineStr">
        <is>
          <t>Kota Manado</t>
        </is>
      </c>
      <c r="C5" t="inlineStr">
        <is>
          <t>081524326568</t>
        </is>
      </c>
      <c r="D5" t="inlineStr">
        <is>
          <t>ptarasberkaryamandiri@gmail.com</t>
        </is>
      </c>
      <c r="E5" t="inlineStr">
        <is>
          <t>https://lpjk.pu.go.id/search-badan-usaha-detail/QjRLY1BzNjhRTEFwVyswUnd3ZE90Zz09</t>
        </is>
      </c>
      <c r="F5" t="n">
        <v>1</v>
      </c>
      <c r="G5" t="inlineStr">
        <is>
          <t>RK002</t>
        </is>
      </c>
      <c r="H5" t="inlineStr">
        <is>
          <t>22 Juni 2023</t>
        </is>
      </c>
      <c r="I5" s="2" t="n">
        <v>46367</v>
      </c>
      <c r="J5" t="inlineStr">
        <is>
          <t>Disetujui</t>
        </is>
      </c>
      <c r="K5" t="n">
        <v>87</v>
      </c>
      <c r="L5" t="inlineStr">
        <is>
          <t>11 Desember 2026</t>
        </is>
      </c>
      <c r="M5" t="inlineStr">
        <is>
          <t>Jasa Rekayasa Pekerjaan Teknik Sipil Sumber Daya Air</t>
        </is>
      </c>
      <c r="N5" t="inlineStr">
        <is>
          <t>K</t>
        </is>
      </c>
      <c r="O5" t="inlineStr">
        <is>
          <t>20231127</t>
        </is>
      </c>
      <c r="P5" t="inlineStr">
        <is>
          <t>Sulawesi Utara</t>
        </is>
      </c>
      <c r="Q5" t="inlineStr"/>
    </row>
    <row r="6">
      <c r="A6" t="inlineStr">
        <is>
          <t>ASKON MULTI JASA</t>
        </is>
      </c>
      <c r="B6" t="inlineStr">
        <is>
          <t>Kota Pontianak</t>
        </is>
      </c>
      <c r="C6" t="inlineStr">
        <is>
          <t>089667211206</t>
        </is>
      </c>
      <c r="D6" t="inlineStr">
        <is>
          <t>multijasa.askon@gmail.com</t>
        </is>
      </c>
      <c r="E6" t="inlineStr">
        <is>
          <t>https://lpjk.pu.go.id/search-badan-usaha-detail/THAwTFVZeXpvRVdqczdxdWhiWUl5dz09</t>
        </is>
      </c>
      <c r="F6" t="n">
        <v>2</v>
      </c>
      <c r="G6" t="inlineStr">
        <is>
          <t>RK001, RK003</t>
        </is>
      </c>
      <c r="H6" t="inlineStr">
        <is>
          <t>11 Desember 2008</t>
        </is>
      </c>
      <c r="I6" s="2" t="n">
        <v>46367</v>
      </c>
      <c r="J6" t="inlineStr">
        <is>
          <t>Disetujui</t>
        </is>
      </c>
      <c r="K6" t="n">
        <v>87</v>
      </c>
      <c r="L6" t="inlineStr">
        <is>
          <t>11 Desember 2026</t>
        </is>
      </c>
      <c r="M6" t="inlineStr">
        <is>
          <t>Jasa Rekayasa Konstruksi Bangunan Gedung Hunian dan Non Hunian, Jasa Rekayasa Pekerjaan Teknik Sipil Transportasi</t>
        </is>
      </c>
      <c r="N6" t="inlineStr">
        <is>
          <t>K</t>
        </is>
      </c>
      <c r="O6" t="inlineStr">
        <is>
          <t>20231128, 20231206</t>
        </is>
      </c>
      <c r="P6" t="inlineStr">
        <is>
          <t>Kalimantan Barat</t>
        </is>
      </c>
      <c r="Q6" t="inlineStr"/>
    </row>
    <row r="7">
      <c r="A7" t="inlineStr">
        <is>
          <t>BEN ARAS</t>
        </is>
      </c>
      <c r="B7" t="inlineStr">
        <is>
          <t>Kab. Siak</t>
        </is>
      </c>
      <c r="C7" t="inlineStr">
        <is>
          <t>085263897877</t>
        </is>
      </c>
      <c r="D7" t="inlineStr">
        <is>
          <t>benaraspt@yahoo.com</t>
        </is>
      </c>
      <c r="E7" t="inlineStr">
        <is>
          <t>https://lpjk.pu.go.id/search-badan-usaha-detail/cjY4ZDRLQVVkOHhjMkZhcHJrSzViUT09</t>
        </is>
      </c>
      <c r="F7" t="n">
        <v>1</v>
      </c>
      <c r="G7" t="inlineStr">
        <is>
          <t>BG009</t>
        </is>
      </c>
      <c r="H7" t="inlineStr">
        <is>
          <t>22 Juni 2012</t>
        </is>
      </c>
      <c r="I7" s="2" t="n">
        <v>46367</v>
      </c>
      <c r="J7" t="inlineStr">
        <is>
          <t>Disetujui</t>
        </is>
      </c>
      <c r="K7" t="n">
        <v>87</v>
      </c>
      <c r="L7" t="inlineStr">
        <is>
          <t>11 Desember 2026</t>
        </is>
      </c>
      <c r="M7" t="inlineStr">
        <is>
          <t>Konstruksi Gedung Lainnya</t>
        </is>
      </c>
      <c r="N7" t="inlineStr">
        <is>
          <t>K</t>
        </is>
      </c>
      <c r="O7" t="inlineStr">
        <is>
          <t>20231207</t>
        </is>
      </c>
      <c r="P7" t="inlineStr">
        <is>
          <t>Riau</t>
        </is>
      </c>
      <c r="Q7" t="inlineStr"/>
    </row>
    <row r="8">
      <c r="A8" t="inlineStr">
        <is>
          <t>BINTANG SARANA SENTOSA</t>
        </is>
      </c>
      <c r="B8" t="inlineStr">
        <is>
          <t>Kota Semarang</t>
        </is>
      </c>
      <c r="C8" t="inlineStr">
        <is>
          <t>08115445252</t>
        </is>
      </c>
      <c r="D8" t="inlineStr">
        <is>
          <t>bintangsaranasentosa@gmail.com</t>
        </is>
      </c>
      <c r="E8" t="inlineStr">
        <is>
          <t>https://lpjk.pu.go.id/search-badan-usaha-detail/N3JWVWRCUGpZMkFpSmtzdzFYRUZhdz09</t>
        </is>
      </c>
      <c r="F8" t="n">
        <v>2</v>
      </c>
      <c r="G8" t="inlineStr">
        <is>
          <t>BG009</t>
        </is>
      </c>
      <c r="H8" t="inlineStr">
        <is>
          <t>5 Desember 2019</t>
        </is>
      </c>
      <c r="I8" s="2" t="n">
        <v>46367</v>
      </c>
      <c r="J8" t="inlineStr">
        <is>
          <t>Pembekuan</t>
        </is>
      </c>
      <c r="K8" t="n">
        <v>87</v>
      </c>
      <c r="L8" t="inlineStr">
        <is>
          <t>11 Desember 2026</t>
        </is>
      </c>
      <c r="M8" t="inlineStr">
        <is>
          <t>Konstruksi Gedung Lainnya</t>
        </is>
      </c>
      <c r="N8" t="inlineStr">
        <is>
          <t>M</t>
        </is>
      </c>
      <c r="O8" t="inlineStr">
        <is>
          <t>20231207</t>
        </is>
      </c>
      <c r="P8" t="inlineStr">
        <is>
          <t>Jawa Tengah</t>
        </is>
      </c>
      <c r="Q8" t="inlineStr"/>
    </row>
    <row r="9">
      <c r="A9" t="inlineStr">
        <is>
          <t>CAHAYA BUMI</t>
        </is>
      </c>
      <c r="B9" t="inlineStr">
        <is>
          <t>Kab. Kutai Timur</t>
        </is>
      </c>
      <c r="C9" t="inlineStr">
        <is>
          <t>081257723872</t>
        </is>
      </c>
      <c r="D9" t="inlineStr">
        <is>
          <t>cv.cahayabumi.kaltim@gmail.com</t>
        </is>
      </c>
      <c r="E9" t="inlineStr">
        <is>
          <t>https://lpjk.pu.go.id/search-badan-usaha-detail/UVV4TzJnSE1wVHdBbVUxenY2SGdoZz09</t>
        </is>
      </c>
      <c r="F9" t="n">
        <v>2</v>
      </c>
      <c r="G9" t="inlineStr">
        <is>
          <t>BS001, BS004</t>
        </is>
      </c>
      <c r="H9" t="inlineStr">
        <is>
          <t>23 November 2021</t>
        </is>
      </c>
      <c r="I9" s="2" t="n">
        <v>46367</v>
      </c>
      <c r="J9" t="inlineStr">
        <is>
          <t>Disetujui</t>
        </is>
      </c>
      <c r="K9" t="n">
        <v>87</v>
      </c>
      <c r="L9" t="inlineStr">
        <is>
          <t>11 Desember 2026</t>
        </is>
      </c>
      <c r="M9" t="inlineStr">
        <is>
          <t>Konstruksi Bangunan Sipil Jalan, Konstruksi Jaringan Irigasi dan Drainase</t>
        </is>
      </c>
      <c r="N9" t="inlineStr">
        <is>
          <t>K</t>
        </is>
      </c>
      <c r="O9" t="inlineStr">
        <is>
          <t>20231206, 20231212</t>
        </is>
      </c>
      <c r="P9" t="inlineStr">
        <is>
          <t>Kalimantan Timur</t>
        </is>
      </c>
      <c r="Q9" t="inlineStr"/>
    </row>
    <row r="10">
      <c r="A10" t="inlineStr">
        <is>
          <t>CENDRAWASIH ABADI MAKMUR</t>
        </is>
      </c>
      <c r="B10" t="inlineStr">
        <is>
          <t>Kab. Jayawijaya</t>
        </is>
      </c>
      <c r="C10" t="inlineStr">
        <is>
          <t>082173048888</t>
        </is>
      </c>
      <c r="D10" t="inlineStr">
        <is>
          <t>pt.cendrawasihabadimakmur@gmail.com</t>
        </is>
      </c>
      <c r="E10" t="inlineStr">
        <is>
          <t>https://lpjk.pu.go.id/search-badan-usaha-detail/dDdWNG14WjNIWkYzc2crUjFsVkNHZz09</t>
        </is>
      </c>
      <c r="F10" t="n">
        <v>6</v>
      </c>
      <c r="G10" t="inlineStr">
        <is>
          <t>BG006, BG009, BS001, BS002, BS004, BS010</t>
        </is>
      </c>
      <c r="H10" t="inlineStr">
        <is>
          <t>14 April 2014</t>
        </is>
      </c>
      <c r="I10" s="2" t="n">
        <v>46367</v>
      </c>
      <c r="J10" t="inlineStr">
        <is>
          <t>Disetujui</t>
        </is>
      </c>
      <c r="K10" t="n">
        <v>87</v>
      </c>
      <c r="L10" t="inlineStr">
        <is>
          <t>11 Desember 2026</t>
        </is>
      </c>
      <c r="M10" t="inlineStr">
        <is>
          <t>Bangunan Sipil Jembatan, Jalan Layang, Fly Over, dan Underpass, Konstruksi Bangunan Prasarana Sumber Daya Air, Konstruksi Bangunan Sipil Jalan, Konstruksi Gedung Lainnya, Konstruksi Gedung Pendidikan, Konstruksi Jaringan Irigasi dan Drainase</t>
        </is>
      </c>
      <c r="N10" t="inlineStr">
        <is>
          <t>M</t>
        </is>
      </c>
      <c r="O10" t="inlineStr">
        <is>
          <t>20231208, 20231214</t>
        </is>
      </c>
      <c r="P10" t="inlineStr">
        <is>
          <t>Papua Pegunungan</t>
        </is>
      </c>
      <c r="Q10" t="inlineStr"/>
    </row>
    <row r="11">
      <c r="A11" t="inlineStr">
        <is>
          <t>CIPTA ARTA KREASI KONSULTAN</t>
        </is>
      </c>
      <c r="B11" t="inlineStr">
        <is>
          <t>Kota Semarang</t>
        </is>
      </c>
      <c r="C11" t="inlineStr">
        <is>
          <t>081329097730</t>
        </is>
      </c>
      <c r="D11" t="inlineStr">
        <is>
          <t>ciptaartakreasi@yahoo.com</t>
        </is>
      </c>
      <c r="E11" t="inlineStr">
        <is>
          <t>https://lpjk.pu.go.id/search-badan-usaha-detail/czVNWmdNTVRpeFVxemRGa2FHYm9Xdz09</t>
        </is>
      </c>
      <c r="F11" t="n">
        <v>14</v>
      </c>
      <c r="G11" t="inlineStr">
        <is>
          <t>AR001, AR002, AR003, RK001, RK002, RK003, RK005</t>
        </is>
      </c>
      <c r="H11" t="inlineStr">
        <is>
          <t>24 Oktober 2003</t>
        </is>
      </c>
      <c r="I11" s="2" t="n">
        <v>46367</v>
      </c>
      <c r="J11" t="inlineStr">
        <is>
          <t>Disetujui</t>
        </is>
      </c>
      <c r="K11" t="n">
        <v>87</v>
      </c>
      <c r="L11" t="inlineStr">
        <is>
          <t>11 Desember 2026</t>
        </is>
      </c>
      <c r="M11" t="inlineStr">
        <is>
          <t>Jasa Arsitektural Bangunan Gedung Hunian dan Non Hunian, Jasa Arsitektural Lainnya, Jasa Desain Interior pada Bangunan Gedung dan Bangunan Sipil, Jasa Rekayasa Konstruksi Bangunan Gedung Hunian dan Non Hunian, Jasa Rekayasa Lainnya, Jasa Rekayasa Pekerjaan Teknik Sipil Sumber Daya Air, Jasa Rekayasa Pekerjaan Teknik Sipil Transportasi</t>
        </is>
      </c>
      <c r="N11" t="inlineStr">
        <is>
          <t>K</t>
        </is>
      </c>
      <c r="O11" t="inlineStr">
        <is>
          <t>20231201</t>
        </is>
      </c>
      <c r="P11" t="inlineStr">
        <is>
          <t>Jawa Tengah</t>
        </is>
      </c>
      <c r="Q11" t="inlineStr"/>
    </row>
    <row r="12">
      <c r="A12" t="inlineStr">
        <is>
          <t>CITRA BONEWA</t>
        </is>
      </c>
      <c r="B12" t="inlineStr">
        <is>
          <t>Kab. Gowa</t>
        </is>
      </c>
      <c r="C12" t="inlineStr">
        <is>
          <t>082238524842</t>
        </is>
      </c>
      <c r="D12" t="inlineStr">
        <is>
          <t>bonewaland8@gmail.com</t>
        </is>
      </c>
      <c r="E12" t="inlineStr">
        <is>
          <t>https://lpjk.pu.go.id/search-badan-usaha-detail/djFiTkVGaUJGc2FjbWc3SnloekNEdz09</t>
        </is>
      </c>
      <c r="F12" t="n">
        <v>1</v>
      </c>
      <c r="G12" t="inlineStr">
        <is>
          <t>BG001</t>
        </is>
      </c>
      <c r="H12" t="inlineStr">
        <is>
          <t>18 Desember 2018</t>
        </is>
      </c>
      <c r="I12" s="2" t="n">
        <v>46367</v>
      </c>
      <c r="J12" t="inlineStr">
        <is>
          <t>Pencabutan</t>
        </is>
      </c>
      <c r="K12" t="n">
        <v>87</v>
      </c>
      <c r="L12" t="inlineStr">
        <is>
          <t>11 Desember 2026</t>
        </is>
      </c>
      <c r="M12" t="inlineStr">
        <is>
          <t>Konstruksi Gedung Hunian</t>
        </is>
      </c>
      <c r="N12" t="inlineStr">
        <is>
          <t>K</t>
        </is>
      </c>
      <c r="O12" t="inlineStr">
        <is>
          <t>20230523</t>
        </is>
      </c>
      <c r="P12" t="inlineStr">
        <is>
          <t>Sulawesi Selatan</t>
        </is>
      </c>
      <c r="Q12" t="inlineStr"/>
    </row>
    <row r="13">
      <c r="A13" t="inlineStr">
        <is>
          <t>CITRA JAYA MAKMUR</t>
        </is>
      </c>
      <c r="B13" t="inlineStr">
        <is>
          <t>Kota Surabaya</t>
        </is>
      </c>
      <c r="C13" t="inlineStr">
        <is>
          <t>081230463317</t>
        </is>
      </c>
      <c r="D13" t="inlineStr">
        <is>
          <t>citrajayamakmur@yahoo.co.id</t>
        </is>
      </c>
      <c r="E13" t="inlineStr">
        <is>
          <t>https://lpjk.pu.go.id/search-badan-usaha-detail/Z05TOHdWTGZDdEdia0JPUXpxZUxhUT09</t>
        </is>
      </c>
      <c r="F13" t="n">
        <v>5</v>
      </c>
      <c r="G13" t="inlineStr">
        <is>
          <t>BG002, BG003, BG006, BG008, BG009</t>
        </is>
      </c>
      <c r="H13" t="inlineStr">
        <is>
          <t>21 Mei 2001</t>
        </is>
      </c>
      <c r="I13" s="2" t="n">
        <v>46367</v>
      </c>
      <c r="J13" t="inlineStr">
        <is>
          <t>Disetujui</t>
        </is>
      </c>
      <c r="K13" t="n">
        <v>87</v>
      </c>
      <c r="L13" t="inlineStr">
        <is>
          <t>11 Desember 2026</t>
        </is>
      </c>
      <c r="M13" t="inlineStr">
        <is>
          <t>Konstruksi Gedung Industri, Konstruksi Gedung Lainnya, Konstruksi Gedung Pendidikan, Konstruksi Gedung Perkantoran, Konstruksi Gedung Tempat Hiburan dan Olahraga</t>
        </is>
      </c>
      <c r="N13" t="inlineStr">
        <is>
          <t>K</t>
        </is>
      </c>
      <c r="O13" t="inlineStr">
        <is>
          <t>20231207, 20231212</t>
        </is>
      </c>
      <c r="P13" t="inlineStr">
        <is>
          <t>Jawa Timur</t>
        </is>
      </c>
      <c r="Q13" t="inlineStr"/>
    </row>
    <row r="14">
      <c r="A14" t="inlineStr">
        <is>
          <t>EDCON JAYA PURNAMA</t>
        </is>
      </c>
      <c r="B14" t="inlineStr">
        <is>
          <t>Kab. Karawang</t>
        </is>
      </c>
      <c r="C14" t="inlineStr">
        <is>
          <t>0267401034</t>
        </is>
      </c>
      <c r="D14" t="inlineStr">
        <is>
          <t>edcon.jayapurnama@gmail.com</t>
        </is>
      </c>
      <c r="E14" t="inlineStr">
        <is>
          <t>https://lpjk.pu.go.id/search-badan-usaha-detail/NTVLRlgwamhOZEg5RVJyaldoWS9tQT09</t>
        </is>
      </c>
      <c r="F14" t="n">
        <v>2</v>
      </c>
      <c r="G14" t="inlineStr">
        <is>
          <t>BG009</t>
        </is>
      </c>
      <c r="H14" t="inlineStr">
        <is>
          <t>3 Juni 2017</t>
        </is>
      </c>
      <c r="I14" s="2" t="n">
        <v>46367</v>
      </c>
      <c r="J14" t="inlineStr">
        <is>
          <t>Pencabutan</t>
        </is>
      </c>
      <c r="K14" t="n">
        <v>87</v>
      </c>
      <c r="L14" t="inlineStr">
        <is>
          <t>11 Desember 2026</t>
        </is>
      </c>
      <c r="M14" t="inlineStr">
        <is>
          <t>Konstruksi Gedung Lainnya</t>
        </is>
      </c>
      <c r="N14" t="inlineStr">
        <is>
          <t>K</t>
        </is>
      </c>
      <c r="O14" t="inlineStr">
        <is>
          <t>20231201</t>
        </is>
      </c>
      <c r="P14" t="inlineStr">
        <is>
          <t>Jawa Barat</t>
        </is>
      </c>
      <c r="Q14" t="inlineStr"/>
    </row>
    <row r="15">
      <c r="A15" t="inlineStr">
        <is>
          <t>FIRATEKNISINDO</t>
        </is>
      </c>
      <c r="B15" t="inlineStr">
        <is>
          <t>Kab. Kubu Raya</t>
        </is>
      </c>
      <c r="C15" t="inlineStr">
        <is>
          <t>081351502059</t>
        </is>
      </c>
      <c r="D15" t="inlineStr">
        <is>
          <t>firateknisindo@yahoo.co.id</t>
        </is>
      </c>
      <c r="E15" t="inlineStr">
        <is>
          <t>https://lpjk.pu.go.id/search-badan-usaha-detail/Q2gxcFlyMVpFWUlzRm5SWkdRQWZGdz09</t>
        </is>
      </c>
      <c r="F15" t="n">
        <v>2</v>
      </c>
      <c r="G15" t="inlineStr">
        <is>
          <t>BG001, BG009</t>
        </is>
      </c>
      <c r="H15" t="inlineStr">
        <is>
          <t>24 September 2008</t>
        </is>
      </c>
      <c r="I15" s="2" t="n">
        <v>46367</v>
      </c>
      <c r="J15" t="inlineStr">
        <is>
          <t>Disetujui</t>
        </is>
      </c>
      <c r="K15" t="n">
        <v>87</v>
      </c>
      <c r="L15" t="inlineStr">
        <is>
          <t>11 Desember 2026</t>
        </is>
      </c>
      <c r="M15" t="inlineStr">
        <is>
          <t>Konstruksi Gedung Hunian, Konstruksi Gedung Lainnya</t>
        </is>
      </c>
      <c r="N15" t="inlineStr">
        <is>
          <t>K</t>
        </is>
      </c>
      <c r="O15" t="inlineStr">
        <is>
          <t>20231128</t>
        </is>
      </c>
      <c r="P15" t="inlineStr">
        <is>
          <t>Kalimantan Barat</t>
        </is>
      </c>
      <c r="Q15" t="inlineStr"/>
    </row>
    <row r="16">
      <c r="A16" t="inlineStr">
        <is>
          <t>GEMILANG LESTARI</t>
        </is>
      </c>
      <c r="B16" t="inlineStr">
        <is>
          <t>Kab. Sumedang</t>
        </is>
      </c>
      <c r="C16" t="inlineStr">
        <is>
          <t>081324553769</t>
        </is>
      </c>
      <c r="D16" t="inlineStr">
        <is>
          <t>gemilanglestari5@gmail.com</t>
        </is>
      </c>
      <c r="E16" t="inlineStr">
        <is>
          <t>https://lpjk.pu.go.id/search-badan-usaha-detail/WGdCNWx6aEhQNVU1WmljRmpQMVB5QT09</t>
        </is>
      </c>
      <c r="F16" t="n">
        <v>2</v>
      </c>
      <c r="G16" t="inlineStr">
        <is>
          <t>BG006, BG009</t>
        </is>
      </c>
      <c r="H16" t="inlineStr">
        <is>
          <t>21 Maret 2005</t>
        </is>
      </c>
      <c r="I16" s="2" t="n">
        <v>46367</v>
      </c>
      <c r="J16" t="inlineStr">
        <is>
          <t>Disetujui</t>
        </is>
      </c>
      <c r="K16" t="n">
        <v>87</v>
      </c>
      <c r="L16" t="inlineStr">
        <is>
          <t>11 Desember 2026</t>
        </is>
      </c>
      <c r="M16" t="inlineStr">
        <is>
          <t>Konstruksi Gedung Lainnya, Konstruksi Gedung Pendidikan</t>
        </is>
      </c>
      <c r="N16" t="inlineStr">
        <is>
          <t>K</t>
        </is>
      </c>
      <c r="O16" t="inlineStr">
        <is>
          <t>20231207</t>
        </is>
      </c>
      <c r="P16" t="inlineStr">
        <is>
          <t>Jawa Barat</t>
        </is>
      </c>
      <c r="Q16" t="inlineStr"/>
    </row>
    <row r="17">
      <c r="A17" t="inlineStr">
        <is>
          <t>KARYA KARUNIA KONSTRUKSI</t>
        </is>
      </c>
      <c r="B17" t="inlineStr">
        <is>
          <t>Kota Semarang</t>
        </is>
      </c>
      <c r="C17" t="inlineStr">
        <is>
          <t>082139099590</t>
        </is>
      </c>
      <c r="D17" t="inlineStr">
        <is>
          <t>karyakaruniakonstruksi@gmail.com</t>
        </is>
      </c>
      <c r="E17" t="inlineStr">
        <is>
          <t>https://lpjk.pu.go.id/search-badan-usaha-detail/K0E3Mkk3YlE5d3pQemw5Z0xxZmE1UT09</t>
        </is>
      </c>
      <c r="F17" t="n">
        <v>2</v>
      </c>
      <c r="G17" t="inlineStr">
        <is>
          <t>BG001, BS001</t>
        </is>
      </c>
      <c r="H17" t="inlineStr">
        <is>
          <t>20 November 2023</t>
        </is>
      </c>
      <c r="I17" s="2" t="n">
        <v>46367</v>
      </c>
      <c r="J17" t="inlineStr">
        <is>
          <t>Disetujui</t>
        </is>
      </c>
      <c r="K17" t="n">
        <v>87</v>
      </c>
      <c r="L17" t="inlineStr">
        <is>
          <t>11 Desember 2026</t>
        </is>
      </c>
      <c r="M17" t="inlineStr">
        <is>
          <t>Konstruksi Bangunan Sipil Jalan, Konstruksi Gedung Hunian</t>
        </is>
      </c>
      <c r="N17" t="inlineStr">
        <is>
          <t>K</t>
        </is>
      </c>
      <c r="O17" t="inlineStr">
        <is>
          <t>20231202, 20231211</t>
        </is>
      </c>
      <c r="P17" t="inlineStr">
        <is>
          <t>Jawa Tengah</t>
        </is>
      </c>
      <c r="Q17" t="inlineStr"/>
    </row>
    <row r="18">
      <c r="A18" t="inlineStr">
        <is>
          <t>KARYA TAKA CONT</t>
        </is>
      </c>
      <c r="B18" t="inlineStr">
        <is>
          <t>Kab. Paser</t>
        </is>
      </c>
      <c r="C18" t="inlineStr">
        <is>
          <t>082266802028</t>
        </is>
      </c>
      <c r="D18" t="inlineStr">
        <is>
          <t>caryatakacont@yahoo.co.id</t>
        </is>
      </c>
      <c r="E18" t="inlineStr">
        <is>
          <t>https://lpjk.pu.go.id/search-badan-usaha-detail/elZIVUhMcWFxRm9TNjMySXBEUGQrZz09</t>
        </is>
      </c>
      <c r="F18" t="n">
        <v>1</v>
      </c>
      <c r="G18" t="inlineStr">
        <is>
          <t>BS001</t>
        </is>
      </c>
      <c r="H18" t="inlineStr">
        <is>
          <t>17 April 2001</t>
        </is>
      </c>
      <c r="I18" s="2" t="n">
        <v>46367</v>
      </c>
      <c r="J18" t="inlineStr">
        <is>
          <t>Disetujui</t>
        </is>
      </c>
      <c r="K18" t="n">
        <v>87</v>
      </c>
      <c r="L18" t="inlineStr">
        <is>
          <t>11 Desember 2026</t>
        </is>
      </c>
      <c r="M18" t="inlineStr">
        <is>
          <t>Konstruksi Bangunan Sipil Jalan</t>
        </is>
      </c>
      <c r="N18" t="inlineStr">
        <is>
          <t>K</t>
        </is>
      </c>
      <c r="O18" t="inlineStr">
        <is>
          <t>20231127</t>
        </is>
      </c>
      <c r="P18" t="inlineStr">
        <is>
          <t>Kalimantan Timur</t>
        </is>
      </c>
      <c r="Q18" t="inlineStr"/>
    </row>
    <row r="19">
      <c r="A19" t="inlineStr">
        <is>
          <t>KENCANA LAYANA KONSULTAN</t>
        </is>
      </c>
      <c r="B19" t="inlineStr">
        <is>
          <t>Kota Kupang</t>
        </is>
      </c>
      <c r="C19" t="inlineStr">
        <is>
          <t>081239919199</t>
        </is>
      </c>
      <c r="D19" t="inlineStr">
        <is>
          <t>ptkencanalayana@gmail.com</t>
        </is>
      </c>
      <c r="E19" t="inlineStr">
        <is>
          <t>https://lpjk.pu.go.id/search-badan-usaha-detail/N3lkWW1xMFJMbUtRSVpJUjY1cHRIdz09</t>
        </is>
      </c>
      <c r="F19" t="n">
        <v>1</v>
      </c>
      <c r="G19" t="inlineStr">
        <is>
          <t>RK005</t>
        </is>
      </c>
      <c r="H19" t="inlineStr">
        <is>
          <t>23 November 2007</t>
        </is>
      </c>
      <c r="I19" s="2" t="n">
        <v>46367</v>
      </c>
      <c r="J19" t="inlineStr">
        <is>
          <t>Permohonan Ditolak</t>
        </is>
      </c>
      <c r="K19" t="n">
        <v>87</v>
      </c>
      <c r="L19" t="inlineStr">
        <is>
          <t>11 Desember 2026</t>
        </is>
      </c>
      <c r="M19" t="inlineStr">
        <is>
          <t>Jasa Rekayasa Lainnya</t>
        </is>
      </c>
      <c r="N19" t="inlineStr">
        <is>
          <t>M</t>
        </is>
      </c>
      <c r="O19" t="inlineStr">
        <is>
          <t>20231102</t>
        </is>
      </c>
      <c r="P19" t="inlineStr">
        <is>
          <t>Nusa Tenggara Timur</t>
        </is>
      </c>
      <c r="Q19" t="inlineStr"/>
    </row>
    <row r="20">
      <c r="A20" t="inlineStr">
        <is>
          <t>KENCANA PRAMESWARI</t>
        </is>
      </c>
      <c r="B20" t="inlineStr">
        <is>
          <t>Kota Samarinda</t>
        </is>
      </c>
      <c r="C20" t="inlineStr">
        <is>
          <t>081347107921</t>
        </is>
      </c>
      <c r="D20" t="inlineStr">
        <is>
          <t>cv.kencanaprameswari@gmail.com</t>
        </is>
      </c>
      <c r="E20" t="inlineStr">
        <is>
          <t>https://lpjk.pu.go.id/search-badan-usaha-detail/OW1TZDZURDZFV3ZGZWpJUFQ5NWFWQT09</t>
        </is>
      </c>
      <c r="F20" t="n">
        <v>1</v>
      </c>
      <c r="G20" t="inlineStr">
        <is>
          <t>BG005</t>
        </is>
      </c>
      <c r="H20" t="inlineStr">
        <is>
          <t>13 Januari 2015</t>
        </is>
      </c>
      <c r="I20" s="2" t="n">
        <v>46367</v>
      </c>
      <c r="J20" t="inlineStr">
        <is>
          <t>Disetujui</t>
        </is>
      </c>
      <c r="K20" t="n">
        <v>87</v>
      </c>
      <c r="L20" t="inlineStr">
        <is>
          <t>11 Desember 2026</t>
        </is>
      </c>
      <c r="M20" t="inlineStr">
        <is>
          <t>Konstruksi Gedung Kesehatan</t>
        </is>
      </c>
      <c r="N20" t="inlineStr">
        <is>
          <t>K</t>
        </is>
      </c>
      <c r="O20" t="inlineStr">
        <is>
          <t>20231206</t>
        </is>
      </c>
      <c r="P20" t="inlineStr">
        <is>
          <t>Kalimantan Timur</t>
        </is>
      </c>
      <c r="Q20" t="inlineStr"/>
    </row>
    <row r="21">
      <c r="A21" t="inlineStr">
        <is>
          <t>LIMAS BERKAT ABADI</t>
        </is>
      </c>
      <c r="B21" t="inlineStr">
        <is>
          <t>Kota Tangerang</t>
        </is>
      </c>
      <c r="C21" t="inlineStr">
        <is>
          <t>02150208830</t>
        </is>
      </c>
      <c r="D21" t="inlineStr">
        <is>
          <t>limasberkatabadi@yahoo.com</t>
        </is>
      </c>
      <c r="E21" t="inlineStr">
        <is>
          <t>https://lpjk.pu.go.id/search-badan-usaha-detail/b212V09vUndWbU1YVThicXhWbXhWUT09</t>
        </is>
      </c>
      <c r="F21" t="n">
        <v>2</v>
      </c>
      <c r="G21" t="inlineStr">
        <is>
          <t>BG009</t>
        </is>
      </c>
      <c r="H21" t="inlineStr">
        <is>
          <t>13 Desember 2019</t>
        </is>
      </c>
      <c r="I21" s="2" t="n">
        <v>46367</v>
      </c>
      <c r="J21" t="inlineStr">
        <is>
          <t>Disetujui</t>
        </is>
      </c>
      <c r="K21" t="n">
        <v>87</v>
      </c>
      <c r="L21" t="inlineStr">
        <is>
          <t>11 Desember 2026</t>
        </is>
      </c>
      <c r="M21" t="inlineStr">
        <is>
          <t>Konstruksi Gedung Lainnya</t>
        </is>
      </c>
      <c r="N21" t="inlineStr">
        <is>
          <t>K</t>
        </is>
      </c>
      <c r="O21" t="inlineStr">
        <is>
          <t>20231128</t>
        </is>
      </c>
      <c r="P21" t="inlineStr">
        <is>
          <t>Banten</t>
        </is>
      </c>
      <c r="Q21" t="inlineStr"/>
    </row>
    <row r="22">
      <c r="A22" t="inlineStr">
        <is>
          <t>MARGATAMA</t>
        </is>
      </c>
      <c r="B22" t="inlineStr">
        <is>
          <t>Kab. Sukabumi</t>
        </is>
      </c>
      <c r="C22" t="inlineStr">
        <is>
          <t>085793903630</t>
        </is>
      </c>
      <c r="D22" t="inlineStr">
        <is>
          <t>cvmargatama812@gmail.com</t>
        </is>
      </c>
      <c r="E22" t="inlineStr">
        <is>
          <t>https://lpjk.pu.go.id/search-badan-usaha-detail/ZE5nK1kwQzQrZXJQQW91bHRhZGp4UT09</t>
        </is>
      </c>
      <c r="F22" t="n">
        <v>2</v>
      </c>
      <c r="G22" t="inlineStr">
        <is>
          <t>BS001</t>
        </is>
      </c>
      <c r="H22" t="inlineStr">
        <is>
          <t>18 September 2013</t>
        </is>
      </c>
      <c r="I22" s="2" t="n">
        <v>46367</v>
      </c>
      <c r="J22" t="inlineStr">
        <is>
          <t>Disetujui</t>
        </is>
      </c>
      <c r="K22" t="n">
        <v>87</v>
      </c>
      <c r="L22" t="inlineStr">
        <is>
          <t>11 Desember 2026</t>
        </is>
      </c>
      <c r="M22" t="inlineStr">
        <is>
          <t>Konstruksi Bangunan Sipil Jalan</t>
        </is>
      </c>
      <c r="N22" t="inlineStr">
        <is>
          <t>K</t>
        </is>
      </c>
      <c r="O22" t="inlineStr">
        <is>
          <t>20231107</t>
        </is>
      </c>
      <c r="P22" t="inlineStr">
        <is>
          <t>Jawa Barat</t>
        </is>
      </c>
      <c r="Q22" t="inlineStr"/>
    </row>
    <row r="23">
      <c r="A23" t="inlineStr">
        <is>
          <t>MITRA BALI INTERNASIONAL</t>
        </is>
      </c>
      <c r="B23" t="inlineStr">
        <is>
          <t>Kab. Gianyar</t>
        </is>
      </c>
      <c r="C23" t="inlineStr">
        <is>
          <t>082236651781</t>
        </is>
      </c>
      <c r="D23" t="inlineStr">
        <is>
          <t>mitrabaliinternasional@gmail.com</t>
        </is>
      </c>
      <c r="E23" t="inlineStr">
        <is>
          <t>https://lpjk.pu.go.id/search-badan-usaha-detail/SXRGSkZxUFZBRk5MN3hhWTF5MVNkZz09</t>
        </is>
      </c>
      <c r="F23" t="n">
        <v>1</v>
      </c>
      <c r="G23" t="inlineStr">
        <is>
          <t>BG001</t>
        </is>
      </c>
      <c r="H23" t="inlineStr">
        <is>
          <t>16 Juni 2023</t>
        </is>
      </c>
      <c r="I23" s="2" t="n">
        <v>46367</v>
      </c>
      <c r="J23" t="inlineStr">
        <is>
          <t>Disetujui</t>
        </is>
      </c>
      <c r="K23" t="n">
        <v>87</v>
      </c>
      <c r="L23" t="inlineStr">
        <is>
          <t>11 Desember 2026</t>
        </is>
      </c>
      <c r="M23" t="inlineStr">
        <is>
          <t>Konstruksi Gedung Hunian</t>
        </is>
      </c>
      <c r="N23" t="inlineStr">
        <is>
          <t>K</t>
        </is>
      </c>
      <c r="O23" t="inlineStr">
        <is>
          <t>20231129</t>
        </is>
      </c>
      <c r="P23" t="inlineStr">
        <is>
          <t>Bali</t>
        </is>
      </c>
      <c r="Q23" t="inlineStr"/>
    </row>
    <row r="24">
      <c r="A24" t="inlineStr">
        <is>
          <t>PENTAGRAM ESTUNGKARA</t>
        </is>
      </c>
      <c r="B24" t="inlineStr">
        <is>
          <t>Kota Madiun</t>
        </is>
      </c>
      <c r="C24" t="inlineStr">
        <is>
          <t>0351454549</t>
        </is>
      </c>
      <c r="D24" t="inlineStr">
        <is>
          <t>cvpentagramestungkara@gmail.com</t>
        </is>
      </c>
      <c r="E24" t="inlineStr">
        <is>
          <t>https://lpjk.pu.go.id/search-badan-usaha-detail/WnhKWFhrSkkxc1ZEYzNXalRSQkR5Zz09</t>
        </is>
      </c>
      <c r="F24" t="n">
        <v>3</v>
      </c>
      <c r="G24" t="inlineStr">
        <is>
          <t>RK001, RK002, RK003</t>
        </is>
      </c>
      <c r="H24" t="inlineStr">
        <is>
          <t>15 Oktober 2020</t>
        </is>
      </c>
      <c r="I24" s="2" t="n">
        <v>46367</v>
      </c>
      <c r="J24" t="inlineStr">
        <is>
          <t>Disetujui</t>
        </is>
      </c>
      <c r="K24" t="n">
        <v>87</v>
      </c>
      <c r="L24" t="inlineStr">
        <is>
          <t>11 Desember 2026</t>
        </is>
      </c>
      <c r="M24" t="inlineStr">
        <is>
          <t>Jasa Rekayasa Konstruksi Bangunan Gedung Hunian dan Non Hunian, Jasa Rekayasa Pekerjaan Teknik Sipil Sumber Daya Air, Jasa Rekayasa Pekerjaan Teknik Sipil Transportasi</t>
        </is>
      </c>
      <c r="N24" t="inlineStr">
        <is>
          <t>K</t>
        </is>
      </c>
      <c r="O24" t="inlineStr">
        <is>
          <t>20231127</t>
        </is>
      </c>
      <c r="P24" t="inlineStr">
        <is>
          <t>Jawa Timur</t>
        </is>
      </c>
      <c r="Q24" t="inlineStr"/>
    </row>
    <row r="25">
      <c r="A25" t="inlineStr">
        <is>
          <t>PUTRA BORNEO PROPERTY</t>
        </is>
      </c>
      <c r="B25" t="inlineStr">
        <is>
          <t>Kota Singkawang</t>
        </is>
      </c>
      <c r="C25" t="inlineStr">
        <is>
          <t>081212193988</t>
        </is>
      </c>
      <c r="D25" t="inlineStr">
        <is>
          <t>putraborneoproperty@yahoo.com</t>
        </is>
      </c>
      <c r="E25" t="inlineStr">
        <is>
          <t>https://lpjk.pu.go.id/search-badan-usaha-detail/a1o4dE5EcEU4NnFFWDdOTmV1Unp0dz09</t>
        </is>
      </c>
      <c r="F25" t="n">
        <v>2</v>
      </c>
      <c r="G25" t="inlineStr">
        <is>
          <t>BG001, BS001</t>
        </is>
      </c>
      <c r="H25" t="inlineStr">
        <is>
          <t>30 Desember 2021</t>
        </is>
      </c>
      <c r="I25" s="2" t="n">
        <v>46367</v>
      </c>
      <c r="J25" t="inlineStr">
        <is>
          <t>Disetujui</t>
        </is>
      </c>
      <c r="K25" t="n">
        <v>87</v>
      </c>
      <c r="L25" t="inlineStr">
        <is>
          <t>11 Desember 2026</t>
        </is>
      </c>
      <c r="M25" t="inlineStr">
        <is>
          <t>Konstruksi Bangunan Sipil Jalan, Konstruksi Gedung Hunian</t>
        </is>
      </c>
      <c r="N25" t="inlineStr">
        <is>
          <t>K</t>
        </is>
      </c>
      <c r="O25" t="inlineStr">
        <is>
          <t>20231202</t>
        </is>
      </c>
      <c r="P25" t="inlineStr">
        <is>
          <t>Kalimantan Barat</t>
        </is>
      </c>
      <c r="Q25" t="inlineStr"/>
    </row>
    <row r="26">
      <c r="A26" t="inlineStr">
        <is>
          <t>PUTRA CAKRA BHUANA</t>
        </is>
      </c>
      <c r="B26" t="inlineStr">
        <is>
          <t>Kab. Purwakarta</t>
        </is>
      </c>
      <c r="C26" t="inlineStr">
        <is>
          <t>087778646710</t>
        </is>
      </c>
      <c r="D26" t="inlineStr">
        <is>
          <t>cvputracakrabhuana@gmail.com</t>
        </is>
      </c>
      <c r="E26" t="inlineStr">
        <is>
          <t>https://lpjk.pu.go.id/search-badan-usaha-detail/bkdFNHFkYjBRMHU1dFBxbCtVU3JYUT09</t>
        </is>
      </c>
      <c r="F26" t="n">
        <v>2</v>
      </c>
      <c r="G26" t="inlineStr">
        <is>
          <t>BS001, BS004</t>
        </is>
      </c>
      <c r="H26" t="inlineStr">
        <is>
          <t>1 Juli 2021</t>
        </is>
      </c>
      <c r="I26" s="2" t="n">
        <v>46367</v>
      </c>
      <c r="J26" t="inlineStr">
        <is>
          <t>Disetujui</t>
        </is>
      </c>
      <c r="K26" t="n">
        <v>87</v>
      </c>
      <c r="L26" t="inlineStr">
        <is>
          <t>11 Desember 2026</t>
        </is>
      </c>
      <c r="M26" t="inlineStr">
        <is>
          <t>Konstruksi Bangunan Sipil Jalan, Konstruksi Jaringan Irigasi dan Drainase</t>
        </is>
      </c>
      <c r="N26" t="inlineStr">
        <is>
          <t>K</t>
        </is>
      </c>
      <c r="O26" t="inlineStr">
        <is>
          <t>20230729</t>
        </is>
      </c>
      <c r="P26" t="inlineStr">
        <is>
          <t>Jawa Barat</t>
        </is>
      </c>
      <c r="Q26" t="inlineStr"/>
    </row>
    <row r="27">
      <c r="A27" t="inlineStr">
        <is>
          <t>PUTRA PALDAS PERMAI</t>
        </is>
      </c>
      <c r="B27" t="inlineStr">
        <is>
          <t>Kab. Banyuasin</t>
        </is>
      </c>
      <c r="C27" t="inlineStr">
        <is>
          <t>081379761492</t>
        </is>
      </c>
      <c r="D27" t="inlineStr">
        <is>
          <t>cv.putrapaldaspermai@yahoo.com</t>
        </is>
      </c>
      <c r="E27" t="inlineStr">
        <is>
          <t>https://lpjk.pu.go.id/search-badan-usaha-detail/K2dTdytNQlVBSW5rUnVGRDlHRkZxZz09</t>
        </is>
      </c>
      <c r="F27" t="n">
        <v>2</v>
      </c>
      <c r="G27" t="inlineStr">
        <is>
          <t>BG006, PL005</t>
        </is>
      </c>
      <c r="H27" t="inlineStr">
        <is>
          <t>13 April 2022</t>
        </is>
      </c>
      <c r="I27" s="2" t="n">
        <v>46367</v>
      </c>
      <c r="J27" t="inlineStr">
        <is>
          <t>Disetujui</t>
        </is>
      </c>
      <c r="K27" t="n">
        <v>87</v>
      </c>
      <c r="L27" t="inlineStr">
        <is>
          <t>11 Desember 2026</t>
        </is>
      </c>
      <c r="M27" t="inlineStr">
        <is>
          <t>Konstruksi Gedung Pendidikan, Pembuatan/Pengeboran Sumur Air Tanah</t>
        </is>
      </c>
      <c r="N27" t="inlineStr">
        <is>
          <t>K, Spesialis</t>
        </is>
      </c>
      <c r="O27" t="inlineStr">
        <is>
          <t>20231123, 20231212</t>
        </is>
      </c>
      <c r="P27" t="inlineStr">
        <is>
          <t>Sumatera Selatan</t>
        </is>
      </c>
      <c r="Q27" t="inlineStr"/>
    </row>
    <row r="28">
      <c r="A28" t="inlineStr">
        <is>
          <t>PUTRA TAMBAK UTAMA</t>
        </is>
      </c>
      <c r="B28" t="inlineStr">
        <is>
          <t>Kab. Serang</t>
        </is>
      </c>
      <c r="C28" t="inlineStr">
        <is>
          <t>02548407067</t>
        </is>
      </c>
      <c r="D28" t="inlineStr">
        <is>
          <t>pt.putratambakutama@gmail.com</t>
        </is>
      </c>
      <c r="E28" t="inlineStr">
        <is>
          <t>https://lpjk.pu.go.id/search-badan-usaha-detail/WHdRVHV5aEV2VmxHU2wvbzFnb1V5QT09</t>
        </is>
      </c>
      <c r="F28" t="n">
        <v>3</v>
      </c>
      <c r="G28" t="inlineStr">
        <is>
          <t>PA001, PL003, PL004</t>
        </is>
      </c>
      <c r="H28" t="inlineStr">
        <is>
          <t>21 Juli 2016</t>
        </is>
      </c>
      <c r="I28" s="2" t="n">
        <v>46367</v>
      </c>
      <c r="J28" t="inlineStr">
        <is>
          <t>Pencabutan</t>
        </is>
      </c>
      <c r="K28" t="n">
        <v>87</v>
      </c>
      <c r="L28" t="inlineStr">
        <is>
          <t>11 Desember 2026</t>
        </is>
      </c>
      <c r="M28" t="inlineStr">
        <is>
          <t>Pekerjaan Tanah, Penyewaan Peralatan Konstruksi, Penyiapan Lahan Konstruksi</t>
        </is>
      </c>
      <c r="N28" t="inlineStr">
        <is>
          <t>Spesialis</t>
        </is>
      </c>
      <c r="O28" t="inlineStr">
        <is>
          <t>20231208</t>
        </is>
      </c>
      <c r="P28" t="inlineStr">
        <is>
          <t>Banten</t>
        </is>
      </c>
      <c r="Q28" t="inlineStr"/>
    </row>
    <row r="29">
      <c r="A29" t="inlineStr">
        <is>
          <t>RANCANG MANDIRI</t>
        </is>
      </c>
      <c r="B29" t="inlineStr">
        <is>
          <t>Kota Mataram</t>
        </is>
      </c>
      <c r="C29" t="inlineStr">
        <is>
          <t>03707501744</t>
        </is>
      </c>
      <c r="D29" t="inlineStr">
        <is>
          <t>rancang_mandiri@yahoo.com</t>
        </is>
      </c>
      <c r="E29" t="inlineStr">
        <is>
          <t>https://lpjk.pu.go.id/search-badan-usaha-detail/Ri91Q2ZSUS85dG1vTmNPR0hQVENiQT09</t>
        </is>
      </c>
      <c r="F29" t="n">
        <v>2</v>
      </c>
      <c r="G29" t="inlineStr">
        <is>
          <t>RK002</t>
        </is>
      </c>
      <c r="H29" t="inlineStr">
        <is>
          <t>5 Februari 2008</t>
        </is>
      </c>
      <c r="I29" s="2" t="n">
        <v>46367</v>
      </c>
      <c r="J29" t="inlineStr">
        <is>
          <t>Disetujui</t>
        </is>
      </c>
      <c r="K29" t="n">
        <v>87</v>
      </c>
      <c r="L29" t="inlineStr">
        <is>
          <t>11 Desember 2026</t>
        </is>
      </c>
      <c r="M29" t="inlineStr">
        <is>
          <t>Jasa Rekayasa Pekerjaan Teknik Sipil Sumber Daya Air</t>
        </is>
      </c>
      <c r="N29" t="inlineStr">
        <is>
          <t>M</t>
        </is>
      </c>
      <c r="O29" t="inlineStr">
        <is>
          <t>20231126</t>
        </is>
      </c>
      <c r="P29" t="inlineStr">
        <is>
          <t>Nusa Tenggara Barat</t>
        </is>
      </c>
      <c r="Q29" t="inlineStr"/>
    </row>
    <row r="30">
      <c r="A30" t="inlineStr">
        <is>
          <t>REZKY 77</t>
        </is>
      </c>
      <c r="B30" t="inlineStr">
        <is>
          <t>Kota Balikpapan</t>
        </is>
      </c>
      <c r="C30" t="inlineStr">
        <is>
          <t>085251528888</t>
        </is>
      </c>
      <c r="D30" t="inlineStr">
        <is>
          <t>cv.rezky77@gmail.com</t>
        </is>
      </c>
      <c r="E30" t="inlineStr">
        <is>
          <t>https://lpjk.pu.go.id/search-badan-usaha-detail/OXl2czFraW9QbGg5OFlmQlpYZUlRZz09</t>
        </is>
      </c>
      <c r="F30" t="n">
        <v>1</v>
      </c>
      <c r="G30" t="inlineStr">
        <is>
          <t>BS001</t>
        </is>
      </c>
      <c r="H30" t="inlineStr">
        <is>
          <t>10 Mei 2010</t>
        </is>
      </c>
      <c r="I30" s="2" t="n">
        <v>46367</v>
      </c>
      <c r="J30" t="inlineStr">
        <is>
          <t>Disetujui</t>
        </is>
      </c>
      <c r="K30" t="n">
        <v>87</v>
      </c>
      <c r="L30" t="inlineStr">
        <is>
          <t>11 Desember 2026</t>
        </is>
      </c>
      <c r="M30" t="inlineStr">
        <is>
          <t>Konstruksi Bangunan Sipil Jalan</t>
        </is>
      </c>
      <c r="N30" t="inlineStr">
        <is>
          <t>K</t>
        </is>
      </c>
      <c r="O30" t="inlineStr">
        <is>
          <t>20231208</t>
        </is>
      </c>
      <c r="P30" t="inlineStr">
        <is>
          <t>Kalimantan Timur</t>
        </is>
      </c>
      <c r="Q30" t="inlineStr"/>
    </row>
    <row r="31">
      <c r="A31" t="inlineStr">
        <is>
          <t>RISMAWAN ABADI TEKNIK</t>
        </is>
      </c>
      <c r="B31" t="inlineStr">
        <is>
          <t>Kota Sukabumi</t>
        </is>
      </c>
      <c r="C31" t="inlineStr">
        <is>
          <t>082118562552</t>
        </is>
      </c>
      <c r="D31" t="inlineStr">
        <is>
          <t>riswandi78.rr@gmail.com</t>
        </is>
      </c>
      <c r="E31" t="inlineStr">
        <is>
          <t>https://lpjk.pu.go.id/search-badan-usaha-detail/MTdtYi9Tb0tzeFNiS2p5VDdUVUQyZz09</t>
        </is>
      </c>
      <c r="F31" t="n">
        <v>4</v>
      </c>
      <c r="G31" t="inlineStr">
        <is>
          <t>BG004, BS005</t>
        </is>
      </c>
      <c r="H31" t="inlineStr">
        <is>
          <t>3 Maret 2023</t>
        </is>
      </c>
      <c r="I31" s="2" t="n">
        <v>46367</v>
      </c>
      <c r="J31" t="inlineStr">
        <is>
          <t>Disetujui</t>
        </is>
      </c>
      <c r="K31" t="n">
        <v>87</v>
      </c>
      <c r="L31" t="inlineStr">
        <is>
          <t>11 Desember 2026</t>
        </is>
      </c>
      <c r="M31" t="inlineStr">
        <is>
          <t>Konstruksi Bangunan Sipil Pengolahan Air Bersih, Konstruksi Gedung Perbelanjaan</t>
        </is>
      </c>
      <c r="N31" t="inlineStr">
        <is>
          <t>K</t>
        </is>
      </c>
      <c r="O31" t="inlineStr">
        <is>
          <t>20231204, 20231205</t>
        </is>
      </c>
      <c r="P31" t="inlineStr">
        <is>
          <t>Jawa Barat</t>
        </is>
      </c>
      <c r="Q31" t="inlineStr"/>
    </row>
    <row r="32">
      <c r="A32" t="inlineStr">
        <is>
          <t>SHAFA INDUSTRIES SEJAHTERA</t>
        </is>
      </c>
      <c r="B32" t="inlineStr">
        <is>
          <t>Kab. Indragiri Hulu</t>
        </is>
      </c>
      <c r="C32" t="inlineStr">
        <is>
          <t>081264073367</t>
        </is>
      </c>
      <c r="D32" t="inlineStr">
        <is>
          <t>shafaindustriessejahtera@gmail.com</t>
        </is>
      </c>
      <c r="E32" t="inlineStr">
        <is>
          <t>https://lpjk.pu.go.id/search-badan-usaha-detail/bVd6TEtaV24zNis3L2pEbHlxOUVKQT09</t>
        </is>
      </c>
      <c r="F32" t="n">
        <v>1</v>
      </c>
      <c r="G32" t="inlineStr">
        <is>
          <t>BS001</t>
        </is>
      </c>
      <c r="H32" t="inlineStr">
        <is>
          <t>5 Desember 2023</t>
        </is>
      </c>
      <c r="I32" s="2" t="n">
        <v>46367</v>
      </c>
      <c r="J32" t="inlineStr">
        <is>
          <t>Disetujui</t>
        </is>
      </c>
      <c r="K32" t="n">
        <v>87</v>
      </c>
      <c r="L32" t="inlineStr">
        <is>
          <t>11 Desember 2026</t>
        </is>
      </c>
      <c r="M32" t="inlineStr">
        <is>
          <t>Konstruksi Bangunan Sipil Jalan</t>
        </is>
      </c>
      <c r="N32" t="inlineStr">
        <is>
          <t>K</t>
        </is>
      </c>
      <c r="O32" t="inlineStr">
        <is>
          <t>20231212</t>
        </is>
      </c>
      <c r="P32" t="inlineStr">
        <is>
          <t>Riau</t>
        </is>
      </c>
      <c r="Q32" t="inlineStr"/>
    </row>
    <row r="33">
      <c r="A33" t="inlineStr">
        <is>
          <t>SINAR ESTETIKA DJAYA</t>
        </is>
      </c>
      <c r="B33" t="inlineStr">
        <is>
          <t>Kab. Serang</t>
        </is>
      </c>
      <c r="C33" t="inlineStr">
        <is>
          <t>081388067707</t>
        </is>
      </c>
      <c r="D33" t="inlineStr">
        <is>
          <t>sedjaya88@gmail.com</t>
        </is>
      </c>
      <c r="E33" t="inlineStr">
        <is>
          <t>https://lpjk.pu.go.id/search-badan-usaha-detail/TmpVS1g5NDcwWEhpcFZiUHZaV3Q3Zz09</t>
        </is>
      </c>
      <c r="F33" t="n">
        <v>1</v>
      </c>
      <c r="G33" t="inlineStr">
        <is>
          <t>BS002</t>
        </is>
      </c>
      <c r="H33" t="inlineStr">
        <is>
          <t>14 Februari 2023</t>
        </is>
      </c>
      <c r="I33" s="2" t="n">
        <v>46367</v>
      </c>
      <c r="J33" t="inlineStr">
        <is>
          <t>Disetujui</t>
        </is>
      </c>
      <c r="K33" t="n">
        <v>87</v>
      </c>
      <c r="L33" t="inlineStr">
        <is>
          <t>11 Desember 2026</t>
        </is>
      </c>
      <c r="M33" t="inlineStr">
        <is>
          <t>Bangunan Sipil Jembatan, Jalan Layang, Fly Over, dan Underpass</t>
        </is>
      </c>
      <c r="N33" t="inlineStr">
        <is>
          <t>K</t>
        </is>
      </c>
      <c r="O33" t="inlineStr">
        <is>
          <t>20231122</t>
        </is>
      </c>
      <c r="P33" t="inlineStr">
        <is>
          <t>Banten</t>
        </is>
      </c>
      <c r="Q33" t="inlineStr"/>
    </row>
    <row r="34">
      <c r="A34" t="inlineStr">
        <is>
          <t>SINTESA KONSULTAN</t>
        </is>
      </c>
      <c r="B34" t="inlineStr">
        <is>
          <t>Kab. Madiun</t>
        </is>
      </c>
      <c r="C34" t="inlineStr">
        <is>
          <t>08122002364</t>
        </is>
      </c>
      <c r="D34" t="inlineStr">
        <is>
          <t>konsultansintesa@gmail.com</t>
        </is>
      </c>
      <c r="E34" t="inlineStr">
        <is>
          <t>https://lpjk.pu.go.id/search-badan-usaha-detail/R2xBZkRDRHBKdEt2WHJCbnRKb0JOZz09</t>
        </is>
      </c>
      <c r="F34" t="n">
        <v>1</v>
      </c>
      <c r="G34" t="inlineStr">
        <is>
          <t>RK001</t>
        </is>
      </c>
      <c r="H34" t="inlineStr">
        <is>
          <t>24 September 2019</t>
        </is>
      </c>
      <c r="I34" s="2" t="n">
        <v>46367</v>
      </c>
      <c r="J34" t="inlineStr">
        <is>
          <t>Disetujui</t>
        </is>
      </c>
      <c r="K34" t="n">
        <v>87</v>
      </c>
      <c r="L34" t="inlineStr">
        <is>
          <t>11 Desember 2026</t>
        </is>
      </c>
      <c r="M34" t="inlineStr">
        <is>
          <t>Jasa Rekayasa Konstruksi Bangunan Gedung Hunian dan Non Hunian</t>
        </is>
      </c>
      <c r="N34" t="inlineStr">
        <is>
          <t>K</t>
        </is>
      </c>
      <c r="O34" t="inlineStr">
        <is>
          <t>20231129</t>
        </is>
      </c>
      <c r="P34" t="inlineStr">
        <is>
          <t>Jawa Timur</t>
        </is>
      </c>
      <c r="Q34" t="inlineStr"/>
    </row>
    <row r="35">
      <c r="A35" t="inlineStr">
        <is>
          <t>SUMBER KARYA MANDIRI SEJAHTERA</t>
        </is>
      </c>
      <c r="B35" t="inlineStr">
        <is>
          <t>Kab. Bantul</t>
        </is>
      </c>
      <c r="C35" t="inlineStr">
        <is>
          <t>081290905421</t>
        </is>
      </c>
      <c r="D35" t="inlineStr">
        <is>
          <t>skms.jogja@gmail.com</t>
        </is>
      </c>
      <c r="E35" t="inlineStr">
        <is>
          <t>https://lpjk.pu.go.id/search-badan-usaha-detail/UE1VMjJ5OHo1Z2hicjJlS2I4VzY3dz09</t>
        </is>
      </c>
      <c r="F35" t="n">
        <v>4</v>
      </c>
      <c r="G35" t="inlineStr">
        <is>
          <t>BG002, BG005, BG006, BG009</t>
        </is>
      </c>
      <c r="H35" t="inlineStr">
        <is>
          <t>11 Agustus 2023</t>
        </is>
      </c>
      <c r="I35" s="2" t="n">
        <v>46367</v>
      </c>
      <c r="J35" t="inlineStr">
        <is>
          <t>Disetujui</t>
        </is>
      </c>
      <c r="K35" t="n">
        <v>87</v>
      </c>
      <c r="L35" t="inlineStr">
        <is>
          <t>11 Desember 2026</t>
        </is>
      </c>
      <c r="M35" t="inlineStr">
        <is>
          <t>Konstruksi Gedung Kesehatan, Konstruksi Gedung Lainnya, Konstruksi Gedung Pendidikan, Konstruksi Gedung Perkantoran</t>
        </is>
      </c>
      <c r="N35" t="inlineStr">
        <is>
          <t>K</t>
        </is>
      </c>
      <c r="O35" t="inlineStr">
        <is>
          <t>20231204</t>
        </is>
      </c>
      <c r="P35" t="inlineStr">
        <is>
          <t>DI Yogyakarta</t>
        </is>
      </c>
      <c r="Q35" t="inlineStr"/>
    </row>
    <row r="36">
      <c r="A36" t="inlineStr">
        <is>
          <t>VARIA USAHA BETON</t>
        </is>
      </c>
      <c r="B36" t="inlineStr">
        <is>
          <t>Kab. Sidoarjo</t>
        </is>
      </c>
      <c r="C36" t="inlineStr">
        <is>
          <t>03199841300</t>
        </is>
      </c>
      <c r="D36" t="inlineStr">
        <is>
          <t>info@variabeton.com</t>
        </is>
      </c>
      <c r="E36" t="inlineStr">
        <is>
          <t>https://lpjk.pu.go.id/search-badan-usaha-detail/ZzkzMHMyWXh2L1ViOHMvMlEyc3owdz09</t>
        </is>
      </c>
      <c r="F36" t="n">
        <v>1</v>
      </c>
      <c r="G36" t="inlineStr">
        <is>
          <t>KK012</t>
        </is>
      </c>
      <c r="H36" t="inlineStr">
        <is>
          <t>3 Mei 1991</t>
        </is>
      </c>
      <c r="I36" s="2" t="n">
        <v>46367</v>
      </c>
      <c r="J36" t="inlineStr">
        <is>
          <t>Disetujui</t>
        </is>
      </c>
      <c r="K36" t="n">
        <v>87</v>
      </c>
      <c r="L36" t="inlineStr">
        <is>
          <t>11 Desember 2026</t>
        </is>
      </c>
      <c r="M36" t="inlineStr">
        <is>
          <t>Pekerjaan Struktur Beton</t>
        </is>
      </c>
      <c r="N36" t="inlineStr">
        <is>
          <t>Spesialis</t>
        </is>
      </c>
      <c r="O36" t="inlineStr">
        <is>
          <t>20230503</t>
        </is>
      </c>
      <c r="P36" t="inlineStr">
        <is>
          <t>Jawa Timur</t>
        </is>
      </c>
      <c r="Q36" t="inlineStr"/>
    </row>
    <row r="37">
      <c r="A37" t="inlineStr">
        <is>
          <t>VIRAJAYA RIAUPUTRA</t>
        </is>
      </c>
      <c r="B37" t="inlineStr">
        <is>
          <t>Kab. Kampar</t>
        </is>
      </c>
      <c r="C37" t="inlineStr">
        <is>
          <t>0812798356</t>
        </is>
      </c>
      <c r="D37" t="inlineStr">
        <is>
          <t>virajayariauputra@gmail.com</t>
        </is>
      </c>
      <c r="E37" t="inlineStr">
        <is>
          <t>https://lpjk.pu.go.id/search-badan-usaha-detail/Nm85amQzeW8wLzhDK20zRW81bXBKZz09</t>
        </is>
      </c>
      <c r="F37" t="n">
        <v>1</v>
      </c>
      <c r="G37" t="inlineStr">
        <is>
          <t>BS001</t>
        </is>
      </c>
      <c r="H37" t="inlineStr">
        <is>
          <t>5 April 2001</t>
        </is>
      </c>
      <c r="I37" s="2" t="n">
        <v>46367</v>
      </c>
      <c r="J37" t="inlineStr">
        <is>
          <t>Disetujui</t>
        </is>
      </c>
      <c r="K37" t="n">
        <v>87</v>
      </c>
      <c r="L37" t="inlineStr">
        <is>
          <t>11 Desember 2026</t>
        </is>
      </c>
      <c r="M37" t="inlineStr">
        <is>
          <t>Konstruksi Bangunan Sipil Jalan</t>
        </is>
      </c>
      <c r="N37" t="inlineStr">
        <is>
          <t>B</t>
        </is>
      </c>
      <c r="O37" t="inlineStr">
        <is>
          <t>20231127</t>
        </is>
      </c>
      <c r="P37" t="inlineStr">
        <is>
          <t>Riau</t>
        </is>
      </c>
      <c r="Q37" t="inlineStr"/>
    </row>
    <row r="38">
      <c r="A38" t="inlineStr">
        <is>
          <t>ZHAFRAN JAYA KONSTRUKSI</t>
        </is>
      </c>
      <c r="B38" t="inlineStr">
        <is>
          <t>Kab. Karanganyar</t>
        </is>
      </c>
      <c r="C38" t="inlineStr">
        <is>
          <t>085225505101</t>
        </is>
      </c>
      <c r="D38" t="inlineStr">
        <is>
          <t>zhafranjayakonstruksi@gmail.com</t>
        </is>
      </c>
      <c r="E38" t="inlineStr">
        <is>
          <t>https://lpjk.pu.go.id/search-badan-usaha-detail/YkVONVZDTnlJdEIvWVFHNUs4dThuQT09</t>
        </is>
      </c>
      <c r="F38" t="n">
        <v>2</v>
      </c>
      <c r="G38" t="inlineStr">
        <is>
          <t>BS001, BS004</t>
        </is>
      </c>
      <c r="H38" t="inlineStr">
        <is>
          <t>1 Desember 2023</t>
        </is>
      </c>
      <c r="I38" s="2" t="n">
        <v>46367</v>
      </c>
      <c r="J38" t="inlineStr">
        <is>
          <t>Disetujui, Pencabutan</t>
        </is>
      </c>
      <c r="K38" t="n">
        <v>87</v>
      </c>
      <c r="L38" t="inlineStr">
        <is>
          <t>11 Desember 2026</t>
        </is>
      </c>
      <c r="M38" t="inlineStr">
        <is>
          <t>Konstruksi Bangunan Sipil Jalan, Konstruksi Jaringan Irigasi dan Drainase</t>
        </is>
      </c>
      <c r="N38" t="inlineStr">
        <is>
          <t>K</t>
        </is>
      </c>
      <c r="O38" t="inlineStr">
        <is>
          <t>20231205, 20231206</t>
        </is>
      </c>
      <c r="P38" t="inlineStr">
        <is>
          <t>Jawa Tengah</t>
        </is>
      </c>
      <c r="Q3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46"/>
  <sheetViews>
    <sheetView workbookViewId="0">
      <selection activeCell="A1" sqref="A1"/>
    </sheetView>
  </sheetViews>
  <sheetFormatPr baseColWidth="8" defaultRowHeight="15"/>
  <cols>
    <col width="50" customWidth="1" min="1" max="1"/>
    <col width="27" customWidth="1" min="2" max="2"/>
    <col width="16" customWidth="1" min="3" max="3"/>
    <col width="43" customWidth="1" min="4" max="4"/>
    <col width="50" customWidth="1" min="5" max="5"/>
    <col width="18" customWidth="1" min="6" max="6"/>
    <col width="49" customWidth="1" min="7" max="7"/>
    <col width="20" customWidth="1" min="8" max="8"/>
    <col width="28" customWidth="1" min="9" max="9"/>
    <col width="23" customWidth="1" min="10" max="10"/>
    <col width="11" customWidth="1" min="11" max="11"/>
    <col width="18" customWidth="1" min="12" max="12"/>
    <col width="50" customWidth="1" min="13" max="13"/>
    <col width="14" customWidth="1" min="14" max="14"/>
    <col width="30" customWidth="1" min="15" max="15"/>
    <col width="21"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AGHITSNA KARYA INDAH</t>
        </is>
      </c>
      <c r="B2" t="inlineStr">
        <is>
          <t>Kota Depok</t>
        </is>
      </c>
      <c r="C2" t="inlineStr">
        <is>
          <t>08129596552</t>
        </is>
      </c>
      <c r="D2" t="inlineStr">
        <is>
          <t>design@aghitnsa.id</t>
        </is>
      </c>
      <c r="E2" t="inlineStr">
        <is>
          <t>https://lpjk.pu.go.id/search-badan-usaha-detail/UUpqOHdaK2Foay9hOHFxQkwyTi8zdz09</t>
        </is>
      </c>
      <c r="F2" t="n">
        <v>4</v>
      </c>
      <c r="G2" t="inlineStr">
        <is>
          <t>BG001, BG004, BG006, BG007</t>
        </is>
      </c>
      <c r="H2" t="inlineStr">
        <is>
          <t>11 Juni 2015</t>
        </is>
      </c>
      <c r="I2" s="2" t="n">
        <v>46340</v>
      </c>
      <c r="J2" t="inlineStr">
        <is>
          <t>Disetujui</t>
        </is>
      </c>
      <c r="K2" t="n">
        <v>60</v>
      </c>
      <c r="L2" t="inlineStr">
        <is>
          <t>14 November 2026</t>
        </is>
      </c>
      <c r="M2" t="inlineStr">
        <is>
          <t>Konstruksi Gedung Hunian, Konstruksi Gedung Pendidikan, Konstruksi Gedung Penginapan, Konstruksi Gedung Perbelanjaan</t>
        </is>
      </c>
      <c r="N2" t="inlineStr">
        <is>
          <t>K</t>
        </is>
      </c>
      <c r="O2" t="inlineStr">
        <is>
          <t>20231110</t>
        </is>
      </c>
      <c r="P2" t="inlineStr">
        <is>
          <t>Jawa Barat</t>
        </is>
      </c>
      <c r="Q2" s="3">
        <f>HYPERLINK("https://wa.me/628129596552?text=*[PENGINGAT MASA BERLAKU SBU AGHITSNA KARYA INDAH]*%0A%0AYth. Pimpinan AGHITSNA KARYA INDAH,%0AMohon izin menginformasikan status SBU Anda di sistem LPJK:%0A%0A📄 SBU: BG001, BG004, BG006, BG007%0A📅 Expired: 14 November 2026 (60 Hari Lagi)%0A%0AKami tim PT. ESDEA Assistance Management siap men-support proses perpanjangan segera agar administrasi proyek tidak terhambat%0A%0AApakah boleh saya bantu siapkan estimasi biaya dan waktu pengerjaannya?.", "Hubungi")</f>
        <v/>
      </c>
    </row>
    <row r="3">
      <c r="A3" t="inlineStr">
        <is>
          <t>BAGJA UTAMA SARIMBIT</t>
        </is>
      </c>
      <c r="B3" t="inlineStr">
        <is>
          <t>Kab. Bogor</t>
        </is>
      </c>
      <c r="C3" t="inlineStr">
        <is>
          <t>081294449960</t>
        </is>
      </c>
      <c r="D3" t="inlineStr">
        <is>
          <t>bagja.sarimbit@gmail.com</t>
        </is>
      </c>
      <c r="E3" t="inlineStr">
        <is>
          <t>https://lpjk.pu.go.id/search-badan-usaha-detail/S0lkeUp3bHlhS0V0UGFXbXY4bW9YUT09</t>
        </is>
      </c>
      <c r="F3" t="n">
        <v>1</v>
      </c>
      <c r="G3" t="inlineStr">
        <is>
          <t>BS004</t>
        </is>
      </c>
      <c r="H3" t="inlineStr">
        <is>
          <t>10 Februari 2022</t>
        </is>
      </c>
      <c r="I3" s="2" t="n">
        <v>46340</v>
      </c>
      <c r="J3" t="inlineStr">
        <is>
          <t>Disetujui</t>
        </is>
      </c>
      <c r="K3" t="n">
        <v>60</v>
      </c>
      <c r="L3" t="inlineStr">
        <is>
          <t>14 November 2026</t>
        </is>
      </c>
      <c r="M3" t="inlineStr">
        <is>
          <t>Konstruksi Jaringan Irigasi dan Drainase</t>
        </is>
      </c>
      <c r="N3" t="inlineStr">
        <is>
          <t>K</t>
        </is>
      </c>
      <c r="O3" t="inlineStr">
        <is>
          <t>20231103</t>
        </is>
      </c>
      <c r="P3" t="inlineStr">
        <is>
          <t>Jawa Barat</t>
        </is>
      </c>
      <c r="Q3" s="3">
        <f>HYPERLINK("https://wa.me/6281294449960?text=*[PENGINGAT MASA BERLAKU SBU BAGJA UTAMA SARIMBIT]*%0A%0AYth. Pimpinan BAGJA UTAMA SARIMBIT,%0AMohon izin menginformasikan status SBU Anda di sistem LPJK:%0A%0A📄 SBU: BS004%0A📅 Expired: 14 November 2026 (60 Hari Lagi)%0A%0AKami tim PT. ESDEA Assistance Management siap men-support proses perpanjangan segera agar administrasi proyek tidak terhambat%0A%0AApakah boleh saya bantu siapkan estimasi biaya dan waktu pengerjaannya?.", "Hubungi")</f>
        <v/>
      </c>
    </row>
    <row r="4">
      <c r="A4" t="inlineStr">
        <is>
          <t>HADERA UTAMA TEKNIK</t>
        </is>
      </c>
      <c r="B4" t="inlineStr">
        <is>
          <t>Kota Bogor</t>
        </is>
      </c>
      <c r="C4" t="inlineStr">
        <is>
          <t>02518324339</t>
        </is>
      </c>
      <c r="D4" t="inlineStr">
        <is>
          <t>haderautamateknik@yahoo.com</t>
        </is>
      </c>
      <c r="E4" t="inlineStr">
        <is>
          <t>https://lpjk.pu.go.id/search-badan-usaha-detail/aUpxbHJVdjg0SCtWNDNPaFA2ZEtPdz09</t>
        </is>
      </c>
      <c r="F4" t="n">
        <v>2</v>
      </c>
      <c r="G4" t="inlineStr">
        <is>
          <t>BG009</t>
        </is>
      </c>
      <c r="H4" t="inlineStr">
        <is>
          <t>8 Desember 2014</t>
        </is>
      </c>
      <c r="I4" s="2" t="n">
        <v>46340</v>
      </c>
      <c r="J4" t="inlineStr">
        <is>
          <t>Pembekuan</t>
        </is>
      </c>
      <c r="K4" t="n">
        <v>60</v>
      </c>
      <c r="L4" t="inlineStr">
        <is>
          <t>14 November 2026</t>
        </is>
      </c>
      <c r="M4" t="inlineStr">
        <is>
          <t>Konstruksi Gedung Lainnya</t>
        </is>
      </c>
      <c r="N4" t="inlineStr">
        <is>
          <t>M</t>
        </is>
      </c>
      <c r="O4" t="inlineStr">
        <is>
          <t>20231009</t>
        </is>
      </c>
      <c r="P4" t="inlineStr">
        <is>
          <t>Jawa Barat</t>
        </is>
      </c>
      <c r="Q4" s="3">
        <f>HYPERLINK("https://wa.me/622518324339?text=*[PENGINGAT MASA BERLAKU SBU HADERA UTAMA TEKNIK]*%0A%0AYth. Pimpinan HADERA UTAMA TEKNIK,%0AMohon izin menginformasikan status SBU Anda di sistem LPJK:%0A%0A📄 SBU: BG009%0A📅 Expired: 14 November 2026 (60 Hari Lagi)%0A%0AKami tim PT. ESDEA Assistance Management siap men-support proses perpanjangan segera agar administrasi proyek tidak terhambat%0A%0AApakah boleh saya bantu siapkan estimasi biaya dan waktu pengerjaannya?.", "Hubungi")</f>
        <v/>
      </c>
    </row>
    <row r="5">
      <c r="A5" t="inlineStr">
        <is>
          <t>KARYA DIVA ANIRA</t>
        </is>
      </c>
      <c r="B5" t="inlineStr">
        <is>
          <t>Kota Bogor</t>
        </is>
      </c>
      <c r="C5" t="inlineStr">
        <is>
          <t>087770680240</t>
        </is>
      </c>
      <c r="D5" t="inlineStr">
        <is>
          <t>cvkaryadivaanira@gmail.com</t>
        </is>
      </c>
      <c r="E5" t="inlineStr">
        <is>
          <t>https://lpjk.pu.go.id/search-badan-usaha-detail/dmY0bnRPS2poWituMUR4MjlEN1d0UT09</t>
        </is>
      </c>
      <c r="F5" t="n">
        <v>2</v>
      </c>
      <c r="G5" t="inlineStr">
        <is>
          <t>BS001, BS004</t>
        </is>
      </c>
      <c r="H5" t="inlineStr">
        <is>
          <t>8 Maret 2017</t>
        </is>
      </c>
      <c r="I5" s="2" t="n">
        <v>46340</v>
      </c>
      <c r="J5" t="inlineStr">
        <is>
          <t>Disetujui</t>
        </is>
      </c>
      <c r="K5" t="n">
        <v>60</v>
      </c>
      <c r="L5" t="inlineStr">
        <is>
          <t>14 November 2026</t>
        </is>
      </c>
      <c r="M5" t="inlineStr">
        <is>
          <t>Konstruksi Bangunan Sipil Jalan, Konstruksi Jaringan Irigasi dan Drainase</t>
        </is>
      </c>
      <c r="N5" t="inlineStr">
        <is>
          <t>K</t>
        </is>
      </c>
      <c r="O5" t="inlineStr">
        <is>
          <t>20231114</t>
        </is>
      </c>
      <c r="P5" t="inlineStr">
        <is>
          <t>Jawa Barat</t>
        </is>
      </c>
      <c r="Q5" s="3">
        <f>HYPERLINK("https://wa.me/6287770680240?text=*[PENGINGAT MASA BERLAKU SBU KARYA DIVA ANIRA]*%0A%0AYth. Pimpinan KARYA DIVA ANIRA,%0AMohon izin menginformasikan status SBU Anda di sistem LPJK:%0A%0A📄 SBU: BS001, BS004%0A📅 Expired: 14 November 2026 (60 Hari Lagi)%0A%0AKami tim PT. ESDEA Assistance Management siap men-support proses perpanjangan segera agar administrasi proyek tidak terhambat%0A%0AApakah boleh saya bantu siapkan estimasi biaya dan waktu pengerjaannya?.", "Hubungi")</f>
        <v/>
      </c>
    </row>
    <row r="6">
      <c r="A6" t="inlineStr">
        <is>
          <t>KAUSA SINERGI SEJAHTERA</t>
        </is>
      </c>
      <c r="B6" t="inlineStr">
        <is>
          <t>Kota Bekasi</t>
        </is>
      </c>
      <c r="C6" t="inlineStr">
        <is>
          <t>02182636387</t>
        </is>
      </c>
      <c r="D6" t="inlineStr">
        <is>
          <t>kausasinergisejahtera@gmail.com</t>
        </is>
      </c>
      <c r="E6" t="inlineStr">
        <is>
          <t>https://lpjk.pu.go.id/search-badan-usaha-detail/c2dUVUZtQXZxTHZEQitXQURDbzA0Zz09</t>
        </is>
      </c>
      <c r="F6" t="n">
        <v>1</v>
      </c>
      <c r="G6" t="inlineStr">
        <is>
          <t>BG001</t>
        </is>
      </c>
      <c r="H6" t="inlineStr">
        <is>
          <t>3 November 2022</t>
        </is>
      </c>
      <c r="I6" s="2" t="n">
        <v>46340</v>
      </c>
      <c r="J6" t="inlineStr">
        <is>
          <t>Disetujui</t>
        </is>
      </c>
      <c r="K6" t="n">
        <v>60</v>
      </c>
      <c r="L6" t="inlineStr">
        <is>
          <t>14 November 2026</t>
        </is>
      </c>
      <c r="M6" t="inlineStr">
        <is>
          <t>Konstruksi Gedung Hunian</t>
        </is>
      </c>
      <c r="N6" t="inlineStr">
        <is>
          <t>K</t>
        </is>
      </c>
      <c r="O6" t="inlineStr">
        <is>
          <t>20231101</t>
        </is>
      </c>
      <c r="P6" t="inlineStr">
        <is>
          <t>Jawa Barat</t>
        </is>
      </c>
      <c r="Q6" t="inlineStr"/>
    </row>
    <row r="7">
      <c r="A7" t="inlineStr">
        <is>
          <t>KHARISMA KARYA SEJATI</t>
        </is>
      </c>
      <c r="B7" t="inlineStr">
        <is>
          <t>Kota Bekasi</t>
        </is>
      </c>
      <c r="C7" t="inlineStr">
        <is>
          <t>0218868128</t>
        </is>
      </c>
      <c r="D7" t="inlineStr">
        <is>
          <t>kharismakaryasejati@yahoo.co.id</t>
        </is>
      </c>
      <c r="E7" t="inlineStr">
        <is>
          <t>https://lpjk.pu.go.id/search-badan-usaha-detail/UjkzRUQvb2ZBS0lySVVOT1gxQVFvQT09</t>
        </is>
      </c>
      <c r="F7" t="n">
        <v>3</v>
      </c>
      <c r="G7" t="inlineStr">
        <is>
          <t>BG001, BG008, BG009</t>
        </is>
      </c>
      <c r="H7" t="inlineStr">
        <is>
          <t>2 Desember 2009</t>
        </is>
      </c>
      <c r="I7" s="2" t="n">
        <v>46340</v>
      </c>
      <c r="J7" t="inlineStr">
        <is>
          <t>Disetujui</t>
        </is>
      </c>
      <c r="K7" t="n">
        <v>60</v>
      </c>
      <c r="L7" t="inlineStr">
        <is>
          <t>14 November 2026</t>
        </is>
      </c>
      <c r="M7" t="inlineStr">
        <is>
          <t>Konstruksi Gedung Hunian, Konstruksi Gedung Lainnya, Konstruksi Gedung Tempat Hiburan dan Olahraga</t>
        </is>
      </c>
      <c r="N7" t="inlineStr">
        <is>
          <t>K</t>
        </is>
      </c>
      <c r="O7" t="inlineStr">
        <is>
          <t>20231114</t>
        </is>
      </c>
      <c r="P7" t="inlineStr">
        <is>
          <t>Jawa Barat</t>
        </is>
      </c>
      <c r="Q7" t="inlineStr"/>
    </row>
    <row r="8">
      <c r="A8" t="inlineStr">
        <is>
          <t>LIMATUJUHLIMADELAPAN MAJU MAPAN</t>
        </is>
      </c>
      <c r="B8" t="inlineStr">
        <is>
          <t>Kota Bekasi</t>
        </is>
      </c>
      <c r="C8" t="inlineStr">
        <is>
          <t>082116845055</t>
        </is>
      </c>
      <c r="D8" t="inlineStr">
        <is>
          <t>cv5758majaumapan@gmail.com</t>
        </is>
      </c>
      <c r="E8" t="inlineStr">
        <is>
          <t>https://lpjk.pu.go.id/search-badan-usaha-detail/WU5vV1BmVjk5dFc4Q2ZhaHlRQlpUQT09</t>
        </is>
      </c>
      <c r="F8" t="n">
        <v>2</v>
      </c>
      <c r="G8" t="inlineStr">
        <is>
          <t>BG002</t>
        </is>
      </c>
      <c r="H8" t="inlineStr">
        <is>
          <t>9 Januari 2019</t>
        </is>
      </c>
      <c r="I8" s="2" t="n">
        <v>46340</v>
      </c>
      <c r="J8" t="inlineStr">
        <is>
          <t>Pencabutan</t>
        </is>
      </c>
      <c r="K8" t="n">
        <v>60</v>
      </c>
      <c r="L8" t="inlineStr">
        <is>
          <t>14 November 2026</t>
        </is>
      </c>
      <c r="M8" t="inlineStr">
        <is>
          <t>Konstruksi Gedung Perkantoran</t>
        </is>
      </c>
      <c r="N8" t="inlineStr">
        <is>
          <t>K</t>
        </is>
      </c>
      <c r="O8" t="inlineStr">
        <is>
          <t>20231030</t>
        </is>
      </c>
      <c r="P8" t="inlineStr">
        <is>
          <t>Jawa Barat</t>
        </is>
      </c>
      <c r="Q8" s="3">
        <f>HYPERLINK("https://wa.me/6282116845055?text=*[PENGINGAT MASA BERLAKU SBU LIMATUJUHLIMADELAPAN MAJU MAPAN]*%0A%0AYth. Pimpinan LIMATUJUHLIMADELAPAN MAJU MAPAN,%0AMohon izin menginformasikan status SBU Anda di sistem LPJK:%0A%0A📄 SBU: BG002%0A📅 Expired: 14 November 2026 (60 Hari Lagi)%0A%0AKami tim PT. ESDEA Assistance Management siap men-support proses perpanjangan segera agar administrasi proyek tidak terhambat%0A%0AApakah boleh saya bantu siapkan estimasi biaya dan waktu pengerjaannya?.", "Hubungi")</f>
        <v/>
      </c>
    </row>
    <row r="9">
      <c r="A9" t="inlineStr">
        <is>
          <t>LINITA KREASI PERSADA</t>
        </is>
      </c>
      <c r="B9" t="inlineStr">
        <is>
          <t>Kota Bekasi</t>
        </is>
      </c>
      <c r="C9" t="inlineStr">
        <is>
          <t>081387302378</t>
        </is>
      </c>
      <c r="D9" t="inlineStr">
        <is>
          <t>linitakreasipersada@gmail.com</t>
        </is>
      </c>
      <c r="E9" t="inlineStr">
        <is>
          <t>https://lpjk.pu.go.id/search-badan-usaha-detail/eHQzRTRoYWowckU1dVZxMzlGMGkzZz09</t>
        </is>
      </c>
      <c r="F9" t="n">
        <v>2</v>
      </c>
      <c r="G9" t="inlineStr">
        <is>
          <t>BS001, BS004</t>
        </is>
      </c>
      <c r="H9" t="inlineStr">
        <is>
          <t>2 Maret 2020</t>
        </is>
      </c>
      <c r="I9" s="2" t="n">
        <v>46340</v>
      </c>
      <c r="J9" t="inlineStr">
        <is>
          <t>Disetujui</t>
        </is>
      </c>
      <c r="K9" t="n">
        <v>60</v>
      </c>
      <c r="L9" t="inlineStr">
        <is>
          <t>14 November 2026</t>
        </is>
      </c>
      <c r="M9" t="inlineStr">
        <is>
          <t>Konstruksi Bangunan Sipil Jalan, Konstruksi Jaringan Irigasi dan Drainase</t>
        </is>
      </c>
      <c r="N9" t="inlineStr">
        <is>
          <t>K</t>
        </is>
      </c>
      <c r="O9" t="inlineStr">
        <is>
          <t>20231113</t>
        </is>
      </c>
      <c r="P9" t="inlineStr">
        <is>
          <t>Jawa Barat</t>
        </is>
      </c>
      <c r="Q9" s="3">
        <f>HYPERLINK("https://wa.me/6281387302378?text=*[PENGINGAT MASA BERLAKU SBU LINITA KREASI PERSADA]*%0A%0AYth. Pimpinan LINITA KREASI PERSADA,%0AMohon izin menginformasikan status SBU Anda di sistem LPJK:%0A%0A📄 SBU: BS001, BS004%0A📅 Expired: 14 November 2026 (60 Hari Lagi)%0A%0AKami tim PT. ESDEA Assistance Management siap men-support proses perpanjangan segera agar administrasi proyek tidak terhambat%0A%0AApakah boleh saya bantu siapkan estimasi biaya dan waktu pengerjaannya?.", "Hubungi")</f>
        <v/>
      </c>
    </row>
    <row r="10">
      <c r="A10" t="inlineStr">
        <is>
          <t>MELATI BAROKAH ABADI</t>
        </is>
      </c>
      <c r="B10" t="inlineStr">
        <is>
          <t>Kab. Bekasi</t>
        </is>
      </c>
      <c r="C10" t="inlineStr">
        <is>
          <t>082260691561</t>
        </is>
      </c>
      <c r="D10" t="inlineStr">
        <is>
          <t>melatibarokahabadi@gmail.com</t>
        </is>
      </c>
      <c r="E10" t="inlineStr">
        <is>
          <t>https://lpjk.pu.go.id/search-badan-usaha-detail/T1cwU0hYUm5wMzN3N2NkR1VMd1hTUT09</t>
        </is>
      </c>
      <c r="F10" t="n">
        <v>2</v>
      </c>
      <c r="G10" t="inlineStr">
        <is>
          <t>BS001, BS016</t>
        </is>
      </c>
      <c r="H10" t="inlineStr">
        <is>
          <t>30 Oktober 2023</t>
        </is>
      </c>
      <c r="I10" s="2" t="n">
        <v>46340</v>
      </c>
      <c r="J10" t="inlineStr">
        <is>
          <t>Disetujui, Pencabutan</t>
        </is>
      </c>
      <c r="K10" t="n">
        <v>60</v>
      </c>
      <c r="L10" t="inlineStr">
        <is>
          <t>14 November 2026</t>
        </is>
      </c>
      <c r="M10" t="inlineStr">
        <is>
          <t>Konstruksi Bangunan Sipil Fasilitas Olah Raga, Konstruksi Bangunan Sipil Jalan</t>
        </is>
      </c>
      <c r="N10" t="inlineStr">
        <is>
          <t>K</t>
        </is>
      </c>
      <c r="O10" t="inlineStr">
        <is>
          <t>20231110</t>
        </is>
      </c>
      <c r="P10" t="inlineStr">
        <is>
          <t>Jawa Barat</t>
        </is>
      </c>
      <c r="Q10" s="3">
        <f>HYPERLINK("https://wa.me/6282260691561?text=*[PENGINGAT MASA BERLAKU SBU MELATI BAROKAH ABADI]*%0A%0AYth. Pimpinan MELATI BAROKAH ABADI,%0AMohon izin menginformasikan status SBU Anda di sistem LPJK:%0A%0A📄 SBU: BS001, BS016%0A📅 Expired: 14 November 2026 (60 Hari Lagi)%0A%0AKami tim PT. ESDEA Assistance Management siap men-support proses perpanjangan segera agar administrasi proyek tidak terhambat%0A%0AApakah boleh saya bantu siapkan estimasi biaya dan waktu pengerjaannya?.", "Hubungi")</f>
        <v/>
      </c>
    </row>
    <row r="11">
      <c r="A11" t="inlineStr">
        <is>
          <t>METAL GLASSINDO INTIGRAHA</t>
        </is>
      </c>
      <c r="B11" t="inlineStr">
        <is>
          <t>Kota Adm. Jakarta Timur</t>
        </is>
      </c>
      <c r="C11" t="inlineStr">
        <is>
          <t>0214267938</t>
        </is>
      </c>
      <c r="D11" t="inlineStr">
        <is>
          <t>metalglassindo@yahoo.com</t>
        </is>
      </c>
      <c r="E11" t="inlineStr">
        <is>
          <t>https://lpjk.pu.go.id/search-badan-usaha-detail/bkZBUmhtLzlOYm8xVEwva3FuYWRTZz09</t>
        </is>
      </c>
      <c r="F11" t="n">
        <v>2</v>
      </c>
      <c r="G11" t="inlineStr">
        <is>
          <t>PB001</t>
        </is>
      </c>
      <c r="H11" t="inlineStr">
        <is>
          <t>2 Mei 2002</t>
        </is>
      </c>
      <c r="I11" s="2" t="n">
        <v>46340</v>
      </c>
      <c r="J11" t="inlineStr">
        <is>
          <t>Pembekuan</t>
        </is>
      </c>
      <c r="K11" t="n">
        <v>60</v>
      </c>
      <c r="L11" t="inlineStr">
        <is>
          <t>14 November 2026</t>
        </is>
      </c>
      <c r="M11" t="inlineStr">
        <is>
          <t>Pengerjaan Pemasangan Kaca dan Alumunium</t>
        </is>
      </c>
      <c r="N11" t="inlineStr">
        <is>
          <t>Spesialis</t>
        </is>
      </c>
      <c r="O11" t="inlineStr">
        <is>
          <t>20231113</t>
        </is>
      </c>
      <c r="P11" t="inlineStr">
        <is>
          <t>DKI Jakarta</t>
        </is>
      </c>
      <c r="Q11" t="inlineStr"/>
    </row>
    <row r="12">
      <c r="A12" t="inlineStr">
        <is>
          <t>MILAD BERKAH SEJAHTERA</t>
        </is>
      </c>
      <c r="B12" t="inlineStr">
        <is>
          <t>Kota Adm. Jakarta Timur</t>
        </is>
      </c>
      <c r="C12" t="inlineStr">
        <is>
          <t>081574164643</t>
        </is>
      </c>
      <c r="D12" t="inlineStr">
        <is>
          <t>ptmiladberkahsejahtera@gmail.com</t>
        </is>
      </c>
      <c r="E12" t="inlineStr">
        <is>
          <t>https://lpjk.pu.go.id/search-badan-usaha-detail/UFJYc21OQVp1a1ltb09UeWlOdnpldz09</t>
        </is>
      </c>
      <c r="F12" t="n">
        <v>3</v>
      </c>
      <c r="G12" t="inlineStr">
        <is>
          <t>BG001, BG002, BS001</t>
        </is>
      </c>
      <c r="H12" t="inlineStr">
        <is>
          <t>11 September 2023</t>
        </is>
      </c>
      <c r="I12" s="2" t="n">
        <v>46340</v>
      </c>
      <c r="J12" t="inlineStr">
        <is>
          <t>Disetujui</t>
        </is>
      </c>
      <c r="K12" t="n">
        <v>60</v>
      </c>
      <c r="L12" t="inlineStr">
        <is>
          <t>14 November 2026</t>
        </is>
      </c>
      <c r="M12" t="inlineStr">
        <is>
          <t>Konstruksi Bangunan Sipil Jalan, Konstruksi Gedung Hunian, Konstruksi Gedung Perkantoran</t>
        </is>
      </c>
      <c r="N12" t="inlineStr">
        <is>
          <t>K</t>
        </is>
      </c>
      <c r="O12" t="inlineStr">
        <is>
          <t>20231113, 20231114</t>
        </is>
      </c>
      <c r="P12" t="inlineStr">
        <is>
          <t>DKI Jakarta</t>
        </is>
      </c>
      <c r="Q12" s="3">
        <f>HYPERLINK("https://wa.me/6281574164643?text=*[PENGINGAT MASA BERLAKU SBU MILAD BERKAH SEJAHTERA]*%0A%0AYth. Pimpinan MILAD BERKAH SEJAHTERA,%0AMohon izin menginformasikan status SBU Anda di sistem LPJK:%0A%0A📄 SBU: BG001, BG002, BS001%0A📅 Expired: 14 November 2026 (60 Hari Lagi)%0A%0AKami tim PT. ESDEA Assistance Management siap men-support proses perpanjangan segera agar administrasi proyek tidak terhambat%0A%0AApakah boleh saya bantu siapkan estimasi biaya dan waktu pengerjaannya?.", "Hubungi")</f>
        <v/>
      </c>
    </row>
    <row r="13">
      <c r="A13" t="inlineStr">
        <is>
          <t>MSM NIRWANA PUTRA</t>
        </is>
      </c>
      <c r="B13" t="inlineStr">
        <is>
          <t>Kota Bekasi</t>
        </is>
      </c>
      <c r="C13" t="inlineStr">
        <is>
          <t>081317724444</t>
        </is>
      </c>
      <c r="D13" t="inlineStr">
        <is>
          <t>msmnirwana@gmail.com</t>
        </is>
      </c>
      <c r="E13" t="inlineStr">
        <is>
          <t>https://lpjk.pu.go.id/search-badan-usaha-detail/ZmNKcER4N2JaemdEYm5ldC91NTFMdz09</t>
        </is>
      </c>
      <c r="F13" t="n">
        <v>1</v>
      </c>
      <c r="G13" t="inlineStr">
        <is>
          <t>PL003</t>
        </is>
      </c>
      <c r="H13" t="inlineStr">
        <is>
          <t>22 Juni 2015</t>
        </is>
      </c>
      <c r="I13" s="2" t="n">
        <v>46340</v>
      </c>
      <c r="J13" t="inlineStr">
        <is>
          <t>Disetujui</t>
        </is>
      </c>
      <c r="K13" t="n">
        <v>60</v>
      </c>
      <c r="L13" t="inlineStr">
        <is>
          <t>14 November 2026</t>
        </is>
      </c>
      <c r="M13" t="inlineStr">
        <is>
          <t>Penyiapan Lahan Konstruksi</t>
        </is>
      </c>
      <c r="N13" t="inlineStr">
        <is>
          <t>Spesialis</t>
        </is>
      </c>
      <c r="O13" t="inlineStr">
        <is>
          <t>20231103</t>
        </is>
      </c>
      <c r="P13" t="inlineStr">
        <is>
          <t>Jawa Barat</t>
        </is>
      </c>
      <c r="Q13" s="3">
        <f>HYPERLINK("https://wa.me/6281317724444?text=*[PENGINGAT MASA BERLAKU SBU MSM NIRWANA PUTRA]*%0A%0AYth. Pimpinan MSM NIRWANA PUTRA,%0AMohon izin menginformasikan status SBU Anda di sistem LPJK:%0A%0A📄 SBU: PL003%0A📅 Expired: 14 November 2026 (60 Hari Lagi)%0A%0AKami tim PT. ESDEA Assistance Management siap men-support proses perpanjangan segera agar administrasi proyek tidak terhambat%0A%0AApakah boleh saya bantu siapkan estimasi biaya dan waktu pengerjaannya?.", "Hubungi")</f>
        <v/>
      </c>
    </row>
    <row r="14">
      <c r="A14" t="inlineStr">
        <is>
          <t>NURA BANGKIT PRATAMA</t>
        </is>
      </c>
      <c r="B14" t="inlineStr">
        <is>
          <t>Kota Bogor</t>
        </is>
      </c>
      <c r="C14" t="inlineStr">
        <is>
          <t>08111100749</t>
        </is>
      </c>
      <c r="D14" t="inlineStr">
        <is>
          <t>nurabangkitpratama.pt@gmail.com</t>
        </is>
      </c>
      <c r="E14" t="inlineStr">
        <is>
          <t>https://lpjk.pu.go.id/search-badan-usaha-detail/UE9URWUxVzAwVGRIYUVBQWF4U1NGQT09</t>
        </is>
      </c>
      <c r="F14" t="n">
        <v>1</v>
      </c>
      <c r="G14" t="inlineStr">
        <is>
          <t>BS001</t>
        </is>
      </c>
      <c r="H14" t="inlineStr">
        <is>
          <t>7 Juli 2023</t>
        </is>
      </c>
      <c r="I14" s="2" t="n">
        <v>46340</v>
      </c>
      <c r="J14" t="inlineStr">
        <is>
          <t>Disetujui</t>
        </is>
      </c>
      <c r="K14" t="n">
        <v>60</v>
      </c>
      <c r="L14" t="inlineStr">
        <is>
          <t>14 November 2026</t>
        </is>
      </c>
      <c r="M14" t="inlineStr">
        <is>
          <t>Konstruksi Bangunan Sipil Jalan</t>
        </is>
      </c>
      <c r="N14" t="inlineStr">
        <is>
          <t>K</t>
        </is>
      </c>
      <c r="O14" t="inlineStr">
        <is>
          <t>20231115</t>
        </is>
      </c>
      <c r="P14" t="inlineStr">
        <is>
          <t>Jawa Barat</t>
        </is>
      </c>
      <c r="Q14" s="3">
        <f>HYPERLINK("https://wa.me/628111100749?text=*[PENGINGAT MASA BERLAKU SBU NURA BANGKIT PRATAMA]*%0A%0AYth. Pimpinan NURA BANGKIT PRATAMA,%0AMohon izin menginformasikan status SBU Anda di sistem LPJK:%0A%0A📄 SBU: BS001%0A📅 Expired: 14 November 2026 (60 Hari Lagi)%0A%0AKami tim PT. ESDEA Assistance Management siap men-support proses perpanjangan segera agar administrasi proyek tidak terhambat%0A%0AApakah boleh saya bantu siapkan estimasi biaya dan waktu pengerjaannya?.", "Hubungi")</f>
        <v/>
      </c>
    </row>
    <row r="15">
      <c r="A15" t="inlineStr">
        <is>
          <t>OXALIS SUBUR</t>
        </is>
      </c>
      <c r="B15" t="inlineStr">
        <is>
          <t>Kota Bogor</t>
        </is>
      </c>
      <c r="C15" t="inlineStr">
        <is>
          <t>02518360274</t>
        </is>
      </c>
      <c r="D15" t="inlineStr">
        <is>
          <t>os.subur@gmail.com</t>
        </is>
      </c>
      <c r="E15" t="inlineStr">
        <is>
          <t>https://lpjk.pu.go.id/search-badan-usaha-detail/VTNxcXZ2OGYvUE5HTkdudU1TTlQrUT09</t>
        </is>
      </c>
      <c r="F15" t="n">
        <v>4</v>
      </c>
      <c r="G15" t="inlineStr">
        <is>
          <t>RK001, RK002, RK003, RK005</t>
        </is>
      </c>
      <c r="H15" t="inlineStr">
        <is>
          <t>31 Agustus 1994</t>
        </is>
      </c>
      <c r="I15" s="2" t="n">
        <v>46340</v>
      </c>
      <c r="J15" t="inlineStr">
        <is>
          <t>Disetujui</t>
        </is>
      </c>
      <c r="K15" t="n">
        <v>60</v>
      </c>
      <c r="L15" t="inlineStr">
        <is>
          <t>14 November 2026</t>
        </is>
      </c>
      <c r="M15" t="inlineStr">
        <is>
          <t>Jasa Rekayasa Konstruksi Bangunan Gedung Hunian dan Non Hunian, Jasa Rekayasa Lainnya, Jasa Rekayasa Pekerjaan Teknik Sipil Sumber Daya Air, Jasa Rekayasa Pekerjaan Teknik Sipil Transportasi</t>
        </is>
      </c>
      <c r="N15" t="inlineStr">
        <is>
          <t>K</t>
        </is>
      </c>
      <c r="O15" t="inlineStr">
        <is>
          <t>20231106</t>
        </is>
      </c>
      <c r="P15" t="inlineStr">
        <is>
          <t>Jawa Barat</t>
        </is>
      </c>
      <c r="Q15" s="3">
        <f>HYPERLINK("https://wa.me/622518360274?text=*[PENGINGAT MASA BERLAKU SBU OXALIS SUBUR]*%0A%0AYth. Pimpinan OXALIS SUBUR,%0AMohon izin menginformasikan status SBU Anda di sistem LPJK:%0A%0A📄 SBU: RK001, RK002, RK003, RK005%0A📅 Expired: 14 November 2026 (60 Hari Lagi)%0A%0AKami tim PT. ESDEA Assistance Management siap men-support proses perpanjangan segera agar administrasi proyek tidak terhambat%0A%0AApakah boleh saya bantu siapkan estimasi biaya dan waktu pengerjaannya?.", "Hubungi")</f>
        <v/>
      </c>
    </row>
    <row r="16">
      <c r="A16" t="inlineStr">
        <is>
          <t>SIARBAD MANDIRI JAYA</t>
        </is>
      </c>
      <c r="B16" t="inlineStr">
        <is>
          <t>Kota Bekasi</t>
        </is>
      </c>
      <c r="C16" t="inlineStr">
        <is>
          <t>08111786220</t>
        </is>
      </c>
      <c r="D16" t="inlineStr">
        <is>
          <t>siarbadmj@gmail.com</t>
        </is>
      </c>
      <c r="E16" t="inlineStr">
        <is>
          <t>https://lpjk.pu.go.id/search-badan-usaha-detail/dS9keWtoanYybi9HN1VnRWYrZlpKdz09</t>
        </is>
      </c>
      <c r="F16" t="n">
        <v>3</v>
      </c>
      <c r="G16" t="inlineStr">
        <is>
          <t>BS001, BS008, BS009</t>
        </is>
      </c>
      <c r="H16" t="inlineStr">
        <is>
          <t>4 Januari 2019</t>
        </is>
      </c>
      <c r="I16" s="2" t="n">
        <v>46340</v>
      </c>
      <c r="J16" t="inlineStr">
        <is>
          <t>Disetujui</t>
        </is>
      </c>
      <c r="K16" t="n">
        <v>60</v>
      </c>
      <c r="L16" t="inlineStr">
        <is>
          <t>14 November 2026</t>
        </is>
      </c>
      <c r="M16" t="inlineStr">
        <is>
          <t>Konstruksi Bangunan Sipil Jalan, Konstruksi Bangunan Sipil Telekomunikasi untuk Prasarana Transportasi, Konstruksi Sentral Telekomunikasi</t>
        </is>
      </c>
      <c r="N16" t="inlineStr">
        <is>
          <t>K</t>
        </is>
      </c>
      <c r="O16" t="inlineStr">
        <is>
          <t>20231114</t>
        </is>
      </c>
      <c r="P16" t="inlineStr">
        <is>
          <t>Jawa Barat</t>
        </is>
      </c>
      <c r="Q16" s="3">
        <f>HYPERLINK("https://wa.me/628111786220?text=*[PENGINGAT MASA BERLAKU SBU SIARBAD MANDIRI JAYA]*%0A%0AYth. Pimpinan SIARBAD MANDIRI JAYA,%0AMohon izin menginformasikan status SBU Anda di sistem LPJK:%0A%0A📄 SBU: BS001, BS008, BS009%0A📅 Expired: 14 November 2026 (60 Hari Lagi)%0A%0AKami tim PT. ESDEA Assistance Management siap men-support proses perpanjangan segera agar administrasi proyek tidak terhambat%0A%0AApakah boleh saya bantu siapkan estimasi biaya dan waktu pengerjaannya?.", "Hubungi")</f>
        <v/>
      </c>
    </row>
    <row r="17">
      <c r="A17" t="inlineStr">
        <is>
          <t>TIGA PUTRA ABIKARYA</t>
        </is>
      </c>
      <c r="B17" t="inlineStr">
        <is>
          <t>Kota Bogor</t>
        </is>
      </c>
      <c r="C17" t="inlineStr">
        <is>
          <t>081288228</t>
        </is>
      </c>
      <c r="D17" t="inlineStr">
        <is>
          <t>Cv.putraabikarya@gmail.com</t>
        </is>
      </c>
      <c r="E17" t="inlineStr">
        <is>
          <t>https://lpjk.pu.go.id/search-badan-usaha-detail/NnRQWTNpY2RmamtIQWZ5bFdndXY1QT09</t>
        </is>
      </c>
      <c r="F17" t="n">
        <v>1</v>
      </c>
      <c r="G17" t="inlineStr">
        <is>
          <t>BS001</t>
        </is>
      </c>
      <c r="H17" t="inlineStr">
        <is>
          <t>16 September 2020</t>
        </is>
      </c>
      <c r="I17" s="2" t="n">
        <v>46340</v>
      </c>
      <c r="J17" t="inlineStr">
        <is>
          <t>Disetujui</t>
        </is>
      </c>
      <c r="K17" t="n">
        <v>60</v>
      </c>
      <c r="L17" t="inlineStr">
        <is>
          <t>14 November 2026</t>
        </is>
      </c>
      <c r="M17" t="inlineStr">
        <is>
          <t>Konstruksi Bangunan Sipil Jalan</t>
        </is>
      </c>
      <c r="N17" t="inlineStr">
        <is>
          <t>K</t>
        </is>
      </c>
      <c r="O17" t="inlineStr">
        <is>
          <t>20231115</t>
        </is>
      </c>
      <c r="P17" t="inlineStr">
        <is>
          <t>Jawa Barat</t>
        </is>
      </c>
      <c r="Q17" s="3">
        <f>HYPERLINK("https://wa.me/6281288228?text=*[PENGINGAT MASA BERLAKU SBU TIGA PUTRA ABIKARYA]*%0A%0AYth. Pimpinan TIGA PUTRA ABIKARYA,%0AMohon izin menginformasikan status SBU Anda di sistem LPJK:%0A%0A📄 SBU: BS001%0A📅 Expired: 14 November 2026 (60 Hari Lagi)%0A%0AKami tim PT. ESDEA Assistance Management siap men-support proses perpanjangan segera agar administrasi proyek tidak terhambat%0A%0AApakah boleh saya bantu siapkan estimasi biaya dan waktu pengerjaannya?.", "Hubungi")</f>
        <v/>
      </c>
    </row>
    <row r="18">
      <c r="A18" t="inlineStr">
        <is>
          <t>TIGA SAKA UTAMA</t>
        </is>
      </c>
      <c r="B18" t="inlineStr">
        <is>
          <t>Kota Bekasi</t>
        </is>
      </c>
      <c r="C18" t="inlineStr">
        <is>
          <t>02182612230</t>
        </is>
      </c>
      <c r="D18" t="inlineStr">
        <is>
          <t>tigasakautama@gmail.com</t>
        </is>
      </c>
      <c r="E18" t="inlineStr">
        <is>
          <t>https://lpjk.pu.go.id/search-badan-usaha-detail/bWFIVUd4eVBNN1FuaDFqRXI4aHpsZz09</t>
        </is>
      </c>
      <c r="F18" t="n">
        <v>1</v>
      </c>
      <c r="G18" t="inlineStr">
        <is>
          <t>BG001</t>
        </is>
      </c>
      <c r="H18" t="inlineStr">
        <is>
          <t>12 September 2018</t>
        </is>
      </c>
      <c r="I18" s="2" t="n">
        <v>46340</v>
      </c>
      <c r="J18" t="inlineStr">
        <is>
          <t>Pencabutan</t>
        </is>
      </c>
      <c r="K18" t="n">
        <v>60</v>
      </c>
      <c r="L18" t="inlineStr">
        <is>
          <t>14 November 2026</t>
        </is>
      </c>
      <c r="M18" t="inlineStr">
        <is>
          <t>Konstruksi Gedung Hunian</t>
        </is>
      </c>
      <c r="N18" t="inlineStr">
        <is>
          <t>K</t>
        </is>
      </c>
      <c r="O18" t="inlineStr">
        <is>
          <t>20231110</t>
        </is>
      </c>
      <c r="P18" t="inlineStr">
        <is>
          <t>Jawa Barat</t>
        </is>
      </c>
      <c r="Q18" t="inlineStr"/>
    </row>
    <row r="19">
      <c r="A19" t="inlineStr">
        <is>
          <t>ADIEN FARM</t>
        </is>
      </c>
      <c r="B19" t="inlineStr">
        <is>
          <t>Kab. Kuningan</t>
        </is>
      </c>
      <c r="C19" t="inlineStr">
        <is>
          <t>082240378144</t>
        </is>
      </c>
      <c r="D19" t="inlineStr">
        <is>
          <t>adienfarmcv@gmail.com</t>
        </is>
      </c>
      <c r="E19" t="inlineStr">
        <is>
          <t>https://lpjk.pu.go.id/search-badan-usaha-detail/K2ZKVWRJMTFkVDQ1NzRwTVpRZVEvdz09</t>
        </is>
      </c>
      <c r="F19" t="n">
        <v>2</v>
      </c>
      <c r="G19" t="inlineStr">
        <is>
          <t>BS001</t>
        </is>
      </c>
      <c r="H19" t="inlineStr">
        <is>
          <t>30 Maret 2004</t>
        </is>
      </c>
      <c r="I19" s="2" t="n">
        <v>46340</v>
      </c>
      <c r="J19" t="inlineStr">
        <is>
          <t>Disetujui</t>
        </is>
      </c>
      <c r="K19" t="n">
        <v>60</v>
      </c>
      <c r="L19" t="inlineStr">
        <is>
          <t>14 November 2026</t>
        </is>
      </c>
      <c r="M19" t="inlineStr">
        <is>
          <t>Konstruksi Bangunan Sipil Jalan</t>
        </is>
      </c>
      <c r="N19" t="inlineStr">
        <is>
          <t>K</t>
        </is>
      </c>
      <c r="O19" t="inlineStr">
        <is>
          <t>20231114</t>
        </is>
      </c>
      <c r="P19" t="inlineStr">
        <is>
          <t>Jawa Barat</t>
        </is>
      </c>
      <c r="Q19" t="inlineStr"/>
    </row>
    <row r="20">
      <c r="A20" t="inlineStr">
        <is>
          <t>ADILOKA KHATULISTIWA</t>
        </is>
      </c>
      <c r="B20" t="inlineStr">
        <is>
          <t>Kab. Indramayu</t>
        </is>
      </c>
      <c r="C20" t="inlineStr">
        <is>
          <t>+6282115808950</t>
        </is>
      </c>
      <c r="D20" t="inlineStr">
        <is>
          <t>adiloka.cv@gmail.com</t>
        </is>
      </c>
      <c r="E20" t="inlineStr">
        <is>
          <t>https://lpjk.pu.go.id/search-badan-usaha-detail/SGFoZ1dacmpkdkxGdzRIaFVqWHUvQT09</t>
        </is>
      </c>
      <c r="F20" t="n">
        <v>2</v>
      </c>
      <c r="G20" t="inlineStr">
        <is>
          <t>BS001</t>
        </is>
      </c>
      <c r="H20" t="inlineStr">
        <is>
          <t>6 September 2023</t>
        </is>
      </c>
      <c r="I20" s="2" t="n">
        <v>46340</v>
      </c>
      <c r="J20" t="inlineStr">
        <is>
          <t>Disetujui</t>
        </is>
      </c>
      <c r="K20" t="n">
        <v>60</v>
      </c>
      <c r="L20" t="inlineStr">
        <is>
          <t>14 November 2026</t>
        </is>
      </c>
      <c r="M20" t="inlineStr">
        <is>
          <t>Konstruksi Bangunan Sipil Jalan</t>
        </is>
      </c>
      <c r="N20" t="inlineStr">
        <is>
          <t>K</t>
        </is>
      </c>
      <c r="O20" t="inlineStr">
        <is>
          <t>20230914</t>
        </is>
      </c>
      <c r="P20" t="inlineStr">
        <is>
          <t>Jawa Barat</t>
        </is>
      </c>
      <c r="Q20" t="inlineStr"/>
    </row>
    <row r="21">
      <c r="A21" t="inlineStr">
        <is>
          <t>ALKAFILA</t>
        </is>
      </c>
      <c r="B21" t="inlineStr">
        <is>
          <t>Kab. Blitar</t>
        </is>
      </c>
      <c r="C21" t="inlineStr">
        <is>
          <t>0</t>
        </is>
      </c>
      <c r="D21" t="inlineStr">
        <is>
          <t>cvalkafila@gmail.com</t>
        </is>
      </c>
      <c r="E21" t="inlineStr">
        <is>
          <t>https://lpjk.pu.go.id/search-badan-usaha-detail/SlEyQzdHc3pOVWVKSDhTQ09kU21UUT09</t>
        </is>
      </c>
      <c r="F21" t="n">
        <v>6</v>
      </c>
      <c r="G21" t="inlineStr">
        <is>
          <t>BG005, BG006, BG009</t>
        </is>
      </c>
      <c r="H21" t="inlineStr">
        <is>
          <t>13 Juni 2008</t>
        </is>
      </c>
      <c r="I21" s="2" t="n">
        <v>46340</v>
      </c>
      <c r="J21" t="inlineStr">
        <is>
          <t>Disetujui</t>
        </is>
      </c>
      <c r="K21" t="n">
        <v>60</v>
      </c>
      <c r="L21" t="inlineStr">
        <is>
          <t>14 November 2026</t>
        </is>
      </c>
      <c r="M21" t="inlineStr">
        <is>
          <t>Konstruksi Gedung Kesehatan, Konstruksi Gedung Lainnya, Konstruksi Gedung Pendidikan</t>
        </is>
      </c>
      <c r="N21" t="inlineStr">
        <is>
          <t>K</t>
        </is>
      </c>
      <c r="O21" t="inlineStr">
        <is>
          <t>20231113</t>
        </is>
      </c>
      <c r="P21" t="inlineStr">
        <is>
          <t>Jawa Timur</t>
        </is>
      </c>
      <c r="Q21" t="inlineStr"/>
    </row>
    <row r="22">
      <c r="A22" t="inlineStr">
        <is>
          <t>ANEKA INVESTA</t>
        </is>
      </c>
      <c r="B22" t="inlineStr">
        <is>
          <t>Kab. Pati</t>
        </is>
      </c>
      <c r="C22" t="inlineStr">
        <is>
          <t>082226603688</t>
        </is>
      </c>
      <c r="D22" t="inlineStr">
        <is>
          <t>cv.anekainvesta@gmail.com</t>
        </is>
      </c>
      <c r="E22" t="inlineStr">
        <is>
          <t>https://lpjk.pu.go.id/search-badan-usaha-detail/TU9McGdLSU1LdkFybmw1WnhSejNZQT09</t>
        </is>
      </c>
      <c r="F22" t="n">
        <v>4</v>
      </c>
      <c r="G22" t="inlineStr">
        <is>
          <t>BS001, BS004</t>
        </is>
      </c>
      <c r="H22" t="inlineStr">
        <is>
          <t>15 Maret 2021</t>
        </is>
      </c>
      <c r="I22" s="2" t="n">
        <v>46340</v>
      </c>
      <c r="J22" t="inlineStr">
        <is>
          <t>Disetujui</t>
        </is>
      </c>
      <c r="K22" t="n">
        <v>60</v>
      </c>
      <c r="L22" t="inlineStr">
        <is>
          <t>14 November 2026</t>
        </is>
      </c>
      <c r="M22" t="inlineStr">
        <is>
          <t>Konstruksi Bangunan Sipil Jalan, Konstruksi Jaringan Irigasi dan Drainase</t>
        </is>
      </c>
      <c r="N22" t="inlineStr">
        <is>
          <t>K</t>
        </is>
      </c>
      <c r="O22" t="inlineStr">
        <is>
          <t>20231005</t>
        </is>
      </c>
      <c r="P22" t="inlineStr">
        <is>
          <t>Jawa Tengah</t>
        </is>
      </c>
      <c r="Q22" t="inlineStr"/>
    </row>
    <row r="23">
      <c r="A23" t="inlineStr">
        <is>
          <t>ANGGREK MAS JAYA</t>
        </is>
      </c>
      <c r="B23" t="inlineStr">
        <is>
          <t>Kota Batam</t>
        </is>
      </c>
      <c r="C23" t="inlineStr">
        <is>
          <t>081991095091</t>
        </is>
      </c>
      <c r="D23" t="inlineStr">
        <is>
          <t>cv.amj321@gmail.com</t>
        </is>
      </c>
      <c r="E23" t="inlineStr">
        <is>
          <t>https://lpjk.pu.go.id/search-badan-usaha-detail/dHNvbXRlcExjUVRJZzM5V28vS1pNdz09</t>
        </is>
      </c>
      <c r="F23" t="n">
        <v>3</v>
      </c>
      <c r="G23" t="inlineStr">
        <is>
          <t>BG002, BG005, BG009</t>
        </is>
      </c>
      <c r="H23" t="inlineStr">
        <is>
          <t>13 Oktober 2023</t>
        </is>
      </c>
      <c r="I23" s="2" t="n">
        <v>46340</v>
      </c>
      <c r="J23" t="inlineStr">
        <is>
          <t>Disetujui</t>
        </is>
      </c>
      <c r="K23" t="n">
        <v>60</v>
      </c>
      <c r="L23" t="inlineStr">
        <is>
          <t>14 November 2026</t>
        </is>
      </c>
      <c r="M23" t="inlineStr">
        <is>
          <t>Konstruksi Gedung Kesehatan, Konstruksi Gedung Lainnya, Konstruksi Gedung Perkantoran</t>
        </is>
      </c>
      <c r="N23" t="inlineStr">
        <is>
          <t>K</t>
        </is>
      </c>
      <c r="O23" t="inlineStr">
        <is>
          <t>20231109</t>
        </is>
      </c>
      <c r="P23" t="inlineStr">
        <is>
          <t>Kepulauan Riau</t>
        </is>
      </c>
      <c r="Q23" t="inlineStr"/>
    </row>
    <row r="24">
      <c r="A24" t="inlineStr">
        <is>
          <t>ANIK KARYA</t>
        </is>
      </c>
      <c r="B24" t="inlineStr">
        <is>
          <t>Kab. Cirebon</t>
        </is>
      </c>
      <c r="C24" t="inlineStr">
        <is>
          <t>085224073344</t>
        </is>
      </c>
      <c r="D24" t="inlineStr">
        <is>
          <t>cv.anikkarya_crb@yahoo.co.id</t>
        </is>
      </c>
      <c r="E24" t="inlineStr">
        <is>
          <t>https://lpjk.pu.go.id/search-badan-usaha-detail/bVgzTG45RklFZ1pBQWxSSHd2TEhWQT09</t>
        </is>
      </c>
      <c r="F24" t="n">
        <v>1</v>
      </c>
      <c r="G24" t="inlineStr">
        <is>
          <t>BS005</t>
        </is>
      </c>
      <c r="H24" t="inlineStr">
        <is>
          <t>3 Januari 1983</t>
        </is>
      </c>
      <c r="I24" s="2" t="n">
        <v>46340</v>
      </c>
      <c r="J24" t="inlineStr">
        <is>
          <t>Disetujui</t>
        </is>
      </c>
      <c r="K24" t="n">
        <v>60</v>
      </c>
      <c r="L24" t="inlineStr">
        <is>
          <t>14 November 2026</t>
        </is>
      </c>
      <c r="M24" t="inlineStr">
        <is>
          <t>Konstruksi Bangunan Sipil Pengolahan Air Bersih</t>
        </is>
      </c>
      <c r="N24" t="inlineStr">
        <is>
          <t>K</t>
        </is>
      </c>
      <c r="O24" t="inlineStr">
        <is>
          <t>20231113</t>
        </is>
      </c>
      <c r="P24" t="inlineStr">
        <is>
          <t>Jawa Barat</t>
        </is>
      </c>
      <c r="Q24" t="inlineStr"/>
    </row>
    <row r="25">
      <c r="A25" t="inlineStr">
        <is>
          <t>ANUGRAH KARYA RIZQI</t>
        </is>
      </c>
      <c r="B25" t="inlineStr">
        <is>
          <t>Kab. Lombok Tengah</t>
        </is>
      </c>
      <c r="C25" t="inlineStr">
        <is>
          <t>087893300366</t>
        </is>
      </c>
      <c r="D25" t="inlineStr">
        <is>
          <t>anugrahkaryarizqi1@gmail.com</t>
        </is>
      </c>
      <c r="E25" t="inlineStr">
        <is>
          <t>https://lpjk.pu.go.id/search-badan-usaha-detail/SEZ5RkdQdTlrMVVYMFVUQmxZYmgvUT09</t>
        </is>
      </c>
      <c r="F25" t="n">
        <v>8</v>
      </c>
      <c r="G25" t="inlineStr">
        <is>
          <t>BG002, BG006, BG009, BS001</t>
        </is>
      </c>
      <c r="H25" t="inlineStr">
        <is>
          <t>10 Desember 2007</t>
        </is>
      </c>
      <c r="I25" s="2" t="n">
        <v>46340</v>
      </c>
      <c r="J25" t="inlineStr">
        <is>
          <t>Disetujui</t>
        </is>
      </c>
      <c r="K25" t="n">
        <v>60</v>
      </c>
      <c r="L25" t="inlineStr">
        <is>
          <t>14 November 2026</t>
        </is>
      </c>
      <c r="M25" t="inlineStr">
        <is>
          <t>Konstruksi Bangunan Sipil Jalan, Konstruksi Gedung Lainnya, Konstruksi Gedung Pendidikan, Konstruksi Gedung Perkantoran</t>
        </is>
      </c>
      <c r="N25" t="inlineStr">
        <is>
          <t>K</t>
        </is>
      </c>
      <c r="O25" t="inlineStr">
        <is>
          <t>20231111</t>
        </is>
      </c>
      <c r="P25" t="inlineStr">
        <is>
          <t>Nusa Tenggara Barat</t>
        </is>
      </c>
      <c r="Q25" t="inlineStr"/>
    </row>
    <row r="26">
      <c r="A26" t="inlineStr">
        <is>
          <t>ANUGRAH TOMATA</t>
        </is>
      </c>
      <c r="B26" t="inlineStr">
        <is>
          <t>Kab. Morowali Utara</t>
        </is>
      </c>
      <c r="C26" t="inlineStr">
        <is>
          <t>082247425334</t>
        </is>
      </c>
      <c r="D26" t="inlineStr">
        <is>
          <t>victorsudamara@gmail.com</t>
        </is>
      </c>
      <c r="E26" t="inlineStr">
        <is>
          <t>https://lpjk.pu.go.id/search-badan-usaha-detail/TWVqNnl0R2gyT3dtbjdoM3A2OW91dz09</t>
        </is>
      </c>
      <c r="F26" t="n">
        <v>2</v>
      </c>
      <c r="G26" t="inlineStr">
        <is>
          <t>BS002</t>
        </is>
      </c>
      <c r="H26" t="inlineStr">
        <is>
          <t>10 Februari 2020</t>
        </is>
      </c>
      <c r="I26" s="2" t="n">
        <v>46340</v>
      </c>
      <c r="J26" t="inlineStr">
        <is>
          <t>Pencabutan</t>
        </is>
      </c>
      <c r="K26" t="n">
        <v>60</v>
      </c>
      <c r="L26" t="inlineStr">
        <is>
          <t>14 November 2026</t>
        </is>
      </c>
      <c r="M26" t="inlineStr">
        <is>
          <t>Bangunan Sipil Jembatan, Jalan Layang, Fly Over, dan Underpass</t>
        </is>
      </c>
      <c r="N26" t="inlineStr">
        <is>
          <t>K</t>
        </is>
      </c>
      <c r="O26" t="inlineStr">
        <is>
          <t>20231114</t>
        </is>
      </c>
      <c r="P26" t="inlineStr">
        <is>
          <t>Sulawesi Tengah</t>
        </is>
      </c>
      <c r="Q26" t="inlineStr"/>
    </row>
    <row r="27">
      <c r="A27" t="inlineStr">
        <is>
          <t>ANUR HAISMA</t>
        </is>
      </c>
      <c r="B27" t="inlineStr">
        <is>
          <t>Kab. Tangerang</t>
        </is>
      </c>
      <c r="C27" t="inlineStr">
        <is>
          <t>081398252648</t>
        </is>
      </c>
      <c r="D27" t="inlineStr">
        <is>
          <t>cvanurhaisma21@gmail.com</t>
        </is>
      </c>
      <c r="E27" t="inlineStr">
        <is>
          <t>https://lpjk.pu.go.id/search-badan-usaha-detail/SVB5SGY1OEdPM2d5WjluTXZnNlBsZz09</t>
        </is>
      </c>
      <c r="F27" t="n">
        <v>4</v>
      </c>
      <c r="G27" t="inlineStr">
        <is>
          <t>BG009, BS001, BS004, BS010</t>
        </is>
      </c>
      <c r="H27" t="inlineStr">
        <is>
          <t>7 Januari 2013</t>
        </is>
      </c>
      <c r="I27" s="2" t="n">
        <v>46340</v>
      </c>
      <c r="J27" t="inlineStr">
        <is>
          <t>Disetujui</t>
        </is>
      </c>
      <c r="K27" t="n">
        <v>60</v>
      </c>
      <c r="L27" t="inlineStr">
        <is>
          <t>14 November 2026</t>
        </is>
      </c>
      <c r="M27" t="inlineStr">
        <is>
          <t>Konstruksi Bangunan Prasarana Sumber Daya Air, Konstruksi Bangunan Sipil Jalan, Konstruksi Gedung Lainnya, Konstruksi Jaringan Irigasi dan Drainase</t>
        </is>
      </c>
      <c r="N27" t="inlineStr">
        <is>
          <t>K</t>
        </is>
      </c>
      <c r="O27" t="inlineStr">
        <is>
          <t>20231111, 20231113</t>
        </is>
      </c>
      <c r="P27" t="inlineStr">
        <is>
          <t>Banten</t>
        </is>
      </c>
      <c r="Q27" t="inlineStr"/>
    </row>
    <row r="28">
      <c r="A28" t="inlineStr">
        <is>
          <t>ARIAPUTRA DWI PRIMA</t>
        </is>
      </c>
      <c r="B28" t="inlineStr">
        <is>
          <t>Kota Pontianak</t>
        </is>
      </c>
      <c r="C28" t="inlineStr">
        <is>
          <t>081345985550</t>
        </is>
      </c>
      <c r="D28" t="inlineStr">
        <is>
          <t>ariaputradwip@gmail.com</t>
        </is>
      </c>
      <c r="E28" t="inlineStr">
        <is>
          <t>https://lpjk.pu.go.id/search-badan-usaha-detail/R1R6MlA0aTZRTmxjWEtGMHpHWU83QT09</t>
        </is>
      </c>
      <c r="F28" t="n">
        <v>1</v>
      </c>
      <c r="G28" t="inlineStr">
        <is>
          <t>BS002</t>
        </is>
      </c>
      <c r="H28" t="inlineStr">
        <is>
          <t>11 Januari 2012</t>
        </is>
      </c>
      <c r="I28" s="2" t="n">
        <v>46340</v>
      </c>
      <c r="J28" t="inlineStr">
        <is>
          <t>Disetujui</t>
        </is>
      </c>
      <c r="K28" t="n">
        <v>60</v>
      </c>
      <c r="L28" t="inlineStr">
        <is>
          <t>14 November 2026</t>
        </is>
      </c>
      <c r="M28" t="inlineStr">
        <is>
          <t>Bangunan Sipil Jembatan, Jalan Layang, Fly Over, dan Underpass</t>
        </is>
      </c>
      <c r="N28" t="inlineStr">
        <is>
          <t>M</t>
        </is>
      </c>
      <c r="O28" t="inlineStr">
        <is>
          <t>20231104</t>
        </is>
      </c>
      <c r="P28" t="inlineStr">
        <is>
          <t>Kalimantan Barat</t>
        </is>
      </c>
      <c r="Q28" t="inlineStr"/>
    </row>
    <row r="29">
      <c r="A29" t="inlineStr">
        <is>
          <t>ARTAREKA CONSULTANT</t>
        </is>
      </c>
      <c r="B29" t="inlineStr">
        <is>
          <t>Kab. Balangan</t>
        </is>
      </c>
      <c r="C29" t="inlineStr">
        <is>
          <t>082255133776</t>
        </is>
      </c>
      <c r="D29" t="inlineStr">
        <is>
          <t>cv.artarekaconsultant@gmail.com</t>
        </is>
      </c>
      <c r="E29" t="inlineStr">
        <is>
          <t>https://lpjk.pu.go.id/search-badan-usaha-detail/a05sUGFGTm84TWFFQ1IxRnJwbXhZQT09</t>
        </is>
      </c>
      <c r="F29" t="n">
        <v>3</v>
      </c>
      <c r="G29" t="inlineStr">
        <is>
          <t>RK001, RK002, RK003</t>
        </is>
      </c>
      <c r="H29" t="inlineStr">
        <is>
          <t>27 Juni 2016</t>
        </is>
      </c>
      <c r="I29" s="2" t="n">
        <v>46340</v>
      </c>
      <c r="J29" t="inlineStr">
        <is>
          <t>Disetujui</t>
        </is>
      </c>
      <c r="K29" t="n">
        <v>60</v>
      </c>
      <c r="L29" t="inlineStr">
        <is>
          <t>14 November 2026</t>
        </is>
      </c>
      <c r="M29" t="inlineStr">
        <is>
          <t>Jasa Rekayasa Konstruksi Bangunan Gedung Hunian dan Non Hunian, Jasa Rekayasa Pekerjaan Teknik Sipil Sumber Daya Air, Jasa Rekayasa Pekerjaan Teknik Sipil Transportasi</t>
        </is>
      </c>
      <c r="N29" t="inlineStr">
        <is>
          <t>K</t>
        </is>
      </c>
      <c r="O29" t="inlineStr">
        <is>
          <t>20231023, 20231024</t>
        </is>
      </c>
      <c r="P29" t="inlineStr">
        <is>
          <t>Kalimantan Selatan</t>
        </is>
      </c>
      <c r="Q29" t="inlineStr"/>
    </row>
    <row r="30">
      <c r="A30" t="inlineStr">
        <is>
          <t>ATHARA</t>
        </is>
      </c>
      <c r="B30" t="inlineStr">
        <is>
          <t>Kab. Bondowoso</t>
        </is>
      </c>
      <c r="C30" t="inlineStr">
        <is>
          <t>082264157779</t>
        </is>
      </c>
      <c r="D30" t="inlineStr">
        <is>
          <t>atharacv0@gmail.com</t>
        </is>
      </c>
      <c r="E30" t="inlineStr">
        <is>
          <t>https://lpjk.pu.go.id/search-badan-usaha-detail/L3lSWTBLR0dhQ2RUSVJtNG1uSXJOQT09</t>
        </is>
      </c>
      <c r="F30" t="n">
        <v>1</v>
      </c>
      <c r="G30" t="inlineStr">
        <is>
          <t>BG009</t>
        </is>
      </c>
      <c r="H30" t="inlineStr">
        <is>
          <t>13 Desember 2017</t>
        </is>
      </c>
      <c r="I30" s="2" t="n">
        <v>46340</v>
      </c>
      <c r="J30" t="inlineStr">
        <is>
          <t>Disetujui</t>
        </is>
      </c>
      <c r="K30" t="n">
        <v>60</v>
      </c>
      <c r="L30" t="inlineStr">
        <is>
          <t>14 November 2026</t>
        </is>
      </c>
      <c r="M30" t="inlineStr">
        <is>
          <t>Konstruksi Gedung Lainnya</t>
        </is>
      </c>
      <c r="N30" t="inlineStr">
        <is>
          <t>K</t>
        </is>
      </c>
      <c r="O30" t="inlineStr">
        <is>
          <t>20231110</t>
        </is>
      </c>
      <c r="P30" t="inlineStr">
        <is>
          <t>Jawa Timur</t>
        </is>
      </c>
      <c r="Q30" t="inlineStr"/>
    </row>
    <row r="31">
      <c r="A31" t="inlineStr">
        <is>
          <t>AURA JAYA ABADI</t>
        </is>
      </c>
      <c r="B31" t="inlineStr">
        <is>
          <t>Kab. Sukabumi</t>
        </is>
      </c>
      <c r="C31" t="inlineStr">
        <is>
          <t>081382434786</t>
        </is>
      </c>
      <c r="D31" t="inlineStr">
        <is>
          <t>cv.aurajayaabadi08@gmail.com</t>
        </is>
      </c>
      <c r="E31" t="inlineStr">
        <is>
          <t>https://lpjk.pu.go.id/search-badan-usaha-detail/N1hkS2hWQWVDM3dhNEpLcWNERFI0UT09</t>
        </is>
      </c>
      <c r="F31" t="n">
        <v>3</v>
      </c>
      <c r="G31" t="inlineStr">
        <is>
          <t>BG003, BS001, BS004</t>
        </is>
      </c>
      <c r="H31" t="inlineStr">
        <is>
          <t>30 Juli 2010</t>
        </is>
      </c>
      <c r="I31" s="2" t="n">
        <v>46340</v>
      </c>
      <c r="J31" t="inlineStr">
        <is>
          <t>Disetujui</t>
        </is>
      </c>
      <c r="K31" t="n">
        <v>60</v>
      </c>
      <c r="L31" t="inlineStr">
        <is>
          <t>14 November 2026</t>
        </is>
      </c>
      <c r="M31" t="inlineStr">
        <is>
          <t>Konstruksi Bangunan Sipil Jalan, Konstruksi Gedung Industri, Konstruksi Jaringan Irigasi dan Drainase</t>
        </is>
      </c>
      <c r="N31" t="inlineStr">
        <is>
          <t>K</t>
        </is>
      </c>
      <c r="O31" t="inlineStr">
        <is>
          <t>20231113, 20231114</t>
        </is>
      </c>
      <c r="P31" t="inlineStr">
        <is>
          <t>Jawa Barat</t>
        </is>
      </c>
      <c r="Q31" t="inlineStr"/>
    </row>
    <row r="32">
      <c r="A32" t="inlineStr">
        <is>
          <t>AZI BANDUNG BANDAWASA</t>
        </is>
      </c>
      <c r="B32" t="inlineStr">
        <is>
          <t>Kota Cimahi</t>
        </is>
      </c>
      <c r="C32" t="inlineStr">
        <is>
          <t>0222003491</t>
        </is>
      </c>
      <c r="D32" t="inlineStr">
        <is>
          <t>ptazibandungbandawasa@gmail.com</t>
        </is>
      </c>
      <c r="E32" t="inlineStr">
        <is>
          <t>https://lpjk.pu.go.id/search-badan-usaha-detail/ckRub3lnZ2E5S1RrM01DblpkN2Q2UT09</t>
        </is>
      </c>
      <c r="F32" t="n">
        <v>1</v>
      </c>
      <c r="G32" t="inlineStr">
        <is>
          <t>BS001</t>
        </is>
      </c>
      <c r="H32" t="inlineStr">
        <is>
          <t>2 Maret 2023</t>
        </is>
      </c>
      <c r="I32" s="2" t="n">
        <v>46340</v>
      </c>
      <c r="J32" t="inlineStr">
        <is>
          <t>Disetujui</t>
        </is>
      </c>
      <c r="K32" t="n">
        <v>60</v>
      </c>
      <c r="L32" t="inlineStr">
        <is>
          <t>14 November 2026</t>
        </is>
      </c>
      <c r="M32" t="inlineStr">
        <is>
          <t>Konstruksi Bangunan Sipil Jalan</t>
        </is>
      </c>
      <c r="N32" t="inlineStr">
        <is>
          <t>K</t>
        </is>
      </c>
      <c r="O32" t="inlineStr">
        <is>
          <t>20231103</t>
        </is>
      </c>
      <c r="P32" t="inlineStr">
        <is>
          <t>Jawa Barat</t>
        </is>
      </c>
      <c r="Q32" t="inlineStr"/>
    </row>
    <row r="33">
      <c r="A33" t="inlineStr">
        <is>
          <t>BALADEWA SUKSES PROPERTINDO</t>
        </is>
      </c>
      <c r="B33" t="inlineStr">
        <is>
          <t>Kota Cirebon</t>
        </is>
      </c>
      <c r="C33" t="inlineStr">
        <is>
          <t>082214050064</t>
        </is>
      </c>
      <c r="D33" t="inlineStr">
        <is>
          <t>cvbaladewasp22@gmail.com</t>
        </is>
      </c>
      <c r="E33" t="inlineStr">
        <is>
          <t>https://lpjk.pu.go.id/search-badan-usaha-detail/WktTdUJqNjA1TFhvNjNWdjJYQkc0dz09</t>
        </is>
      </c>
      <c r="F33" t="n">
        <v>2</v>
      </c>
      <c r="G33" t="inlineStr">
        <is>
          <t>BG009</t>
        </is>
      </c>
      <c r="H33" t="inlineStr">
        <is>
          <t>22 Juli 2019</t>
        </is>
      </c>
      <c r="I33" s="2" t="n">
        <v>46340</v>
      </c>
      <c r="J33" t="inlineStr">
        <is>
          <t>Pencabutan</t>
        </is>
      </c>
      <c r="K33" t="n">
        <v>60</v>
      </c>
      <c r="L33" t="inlineStr">
        <is>
          <t>14 November 2026</t>
        </is>
      </c>
      <c r="M33" t="inlineStr">
        <is>
          <t>Konstruksi Gedung Lainnya</t>
        </is>
      </c>
      <c r="N33" t="inlineStr">
        <is>
          <t>K</t>
        </is>
      </c>
      <c r="O33" t="inlineStr">
        <is>
          <t>20231107</t>
        </is>
      </c>
      <c r="P33" t="inlineStr">
        <is>
          <t>Jawa Barat</t>
        </is>
      </c>
      <c r="Q33" t="inlineStr"/>
    </row>
    <row r="34">
      <c r="A34" t="inlineStr">
        <is>
          <t>BANGUN JAYA KHATULISTIWA</t>
        </is>
      </c>
      <c r="B34" t="inlineStr">
        <is>
          <t>Kota Pontianak</t>
        </is>
      </c>
      <c r="C34" t="inlineStr">
        <is>
          <t>08115757997</t>
        </is>
      </c>
      <c r="D34" t="inlineStr">
        <is>
          <t>bjs.bersaudara@gmail.com</t>
        </is>
      </c>
      <c r="E34" t="inlineStr">
        <is>
          <t>https://lpjk.pu.go.id/search-badan-usaha-detail/Vk1TSTN4RkMxNEpKNVB0QW1IakxpZz09</t>
        </is>
      </c>
      <c r="F34" t="n">
        <v>2</v>
      </c>
      <c r="G34" t="inlineStr">
        <is>
          <t>RK001, RK003</t>
        </is>
      </c>
      <c r="H34" t="inlineStr">
        <is>
          <t>9 Juli 2020</t>
        </is>
      </c>
      <c r="I34" s="2" t="n">
        <v>46340</v>
      </c>
      <c r="J34" t="inlineStr">
        <is>
          <t>Disetujui</t>
        </is>
      </c>
      <c r="K34" t="n">
        <v>60</v>
      </c>
      <c r="L34" t="inlineStr">
        <is>
          <t>14 November 2026</t>
        </is>
      </c>
      <c r="M34" t="inlineStr">
        <is>
          <t>Jasa Rekayasa Konstruksi Bangunan Gedung Hunian dan Non Hunian, Jasa Rekayasa Pekerjaan Teknik Sipil Transportasi</t>
        </is>
      </c>
      <c r="N34" t="inlineStr">
        <is>
          <t>K</t>
        </is>
      </c>
      <c r="O34" t="inlineStr">
        <is>
          <t>20231106, 20231108</t>
        </is>
      </c>
      <c r="P34" t="inlineStr">
        <is>
          <t>Kalimantan Barat</t>
        </is>
      </c>
      <c r="Q34" t="inlineStr"/>
    </row>
    <row r="35">
      <c r="A35" t="inlineStr">
        <is>
          <t>BARUNA KANAKA MARGA</t>
        </is>
      </c>
      <c r="B35" t="inlineStr">
        <is>
          <t>Kab. Karawang</t>
        </is>
      </c>
      <c r="C35" t="inlineStr">
        <is>
          <t>081210004019</t>
        </is>
      </c>
      <c r="D35" t="inlineStr">
        <is>
          <t>pt.barunakanakamarga@gmail.com</t>
        </is>
      </c>
      <c r="E35" t="inlineStr">
        <is>
          <t>https://lpjk.pu.go.id/search-badan-usaha-detail/VFZwUmhRV0xHWjhnbThNZ0ZFWStSQT09</t>
        </is>
      </c>
      <c r="F35" t="n">
        <v>1</v>
      </c>
      <c r="G35" t="inlineStr">
        <is>
          <t>BG001</t>
        </is>
      </c>
      <c r="H35" t="inlineStr">
        <is>
          <t>20 September 2021</t>
        </is>
      </c>
      <c r="I35" s="2" t="n">
        <v>46340</v>
      </c>
      <c r="J35" t="inlineStr">
        <is>
          <t>Disetujui</t>
        </is>
      </c>
      <c r="K35" t="n">
        <v>60</v>
      </c>
      <c r="L35" t="inlineStr">
        <is>
          <t>14 November 2026</t>
        </is>
      </c>
      <c r="M35" t="inlineStr">
        <is>
          <t>Konstruksi Gedung Hunian</t>
        </is>
      </c>
      <c r="N35" t="inlineStr">
        <is>
          <t>K</t>
        </is>
      </c>
      <c r="O35" t="inlineStr">
        <is>
          <t>20231031</t>
        </is>
      </c>
      <c r="P35" t="inlineStr">
        <is>
          <t>Jawa Barat</t>
        </is>
      </c>
      <c r="Q35" t="inlineStr"/>
    </row>
    <row r="36">
      <c r="A36" t="inlineStr">
        <is>
          <t>BENTENG BANGUN SEJAHTERA</t>
        </is>
      </c>
      <c r="B36" t="inlineStr">
        <is>
          <t>Kab. Tangerang</t>
        </is>
      </c>
      <c r="C36" t="inlineStr">
        <is>
          <t>02155933531</t>
        </is>
      </c>
      <c r="D36" t="inlineStr">
        <is>
          <t>pt_benteng_bangun_sejahtera@yahoo.co.id</t>
        </is>
      </c>
      <c r="E36" t="inlineStr">
        <is>
          <t>https://lpjk.pu.go.id/search-badan-usaha-detail/WDNYWGV5b3MrUHBrR1Q4dm40LzZ0UT09</t>
        </is>
      </c>
      <c r="F36" t="n">
        <v>1</v>
      </c>
      <c r="G36" t="inlineStr">
        <is>
          <t>BS004</t>
        </is>
      </c>
      <c r="H36" t="inlineStr">
        <is>
          <t>12 Desember 1982</t>
        </is>
      </c>
      <c r="I36" s="2" t="n">
        <v>46340</v>
      </c>
      <c r="J36" t="inlineStr">
        <is>
          <t>Disetujui</t>
        </is>
      </c>
      <c r="K36" t="n">
        <v>60</v>
      </c>
      <c r="L36" t="inlineStr">
        <is>
          <t>14 November 2026</t>
        </is>
      </c>
      <c r="M36" t="inlineStr">
        <is>
          <t>Konstruksi Jaringan Irigasi dan Drainase</t>
        </is>
      </c>
      <c r="N36" t="inlineStr">
        <is>
          <t>M</t>
        </is>
      </c>
      <c r="O36" t="inlineStr">
        <is>
          <t>20231018</t>
        </is>
      </c>
      <c r="P36" t="inlineStr">
        <is>
          <t>Banten</t>
        </is>
      </c>
      <c r="Q36" t="inlineStr"/>
    </row>
    <row r="37">
      <c r="A37" t="inlineStr">
        <is>
          <t>BERKAH INDUSTRI MESIN ANGKAT</t>
        </is>
      </c>
      <c r="B37" t="inlineStr">
        <is>
          <t>Kota Surabaya</t>
        </is>
      </c>
      <c r="C37" t="inlineStr">
        <is>
          <t>03132991598</t>
        </is>
      </c>
      <c r="D37" t="inlineStr">
        <is>
          <t>legal@ptbima.id</t>
        </is>
      </c>
      <c r="E37" t="inlineStr">
        <is>
          <t>https://lpjk.pu.go.id/search-badan-usaha-detail/N0dyV3hLZ0daSml5ejlhUXAxSWduUT09</t>
        </is>
      </c>
      <c r="F37" t="n">
        <v>4</v>
      </c>
      <c r="G37" t="inlineStr">
        <is>
          <t>BG004, BG009</t>
        </is>
      </c>
      <c r="H37" t="inlineStr">
        <is>
          <t>10 November 2015</t>
        </is>
      </c>
      <c r="I37" s="2" t="n">
        <v>46340</v>
      </c>
      <c r="J37" t="inlineStr">
        <is>
          <t>Disetujui</t>
        </is>
      </c>
      <c r="K37" t="n">
        <v>60</v>
      </c>
      <c r="L37" t="inlineStr">
        <is>
          <t>14 November 2026</t>
        </is>
      </c>
      <c r="M37" t="inlineStr">
        <is>
          <t>Konstruksi Gedung Lainnya, Konstruksi Gedung Perbelanjaan</t>
        </is>
      </c>
      <c r="N37" t="inlineStr">
        <is>
          <t>K</t>
        </is>
      </c>
      <c r="O37" t="inlineStr">
        <is>
          <t>20231115</t>
        </is>
      </c>
      <c r="P37" t="inlineStr">
        <is>
          <t>Jawa Timur</t>
        </is>
      </c>
      <c r="Q37" t="inlineStr"/>
    </row>
    <row r="38">
      <c r="A38" t="inlineStr">
        <is>
          <t>BERKAH LATISHA MANDIRI</t>
        </is>
      </c>
      <c r="B38" t="inlineStr">
        <is>
          <t>Kab. Konawe</t>
        </is>
      </c>
      <c r="C38" t="inlineStr">
        <is>
          <t>082395300723</t>
        </is>
      </c>
      <c r="D38" t="inlineStr">
        <is>
          <t>berkahlatishamandiricv@gmail.com</t>
        </is>
      </c>
      <c r="E38" t="inlineStr">
        <is>
          <t>https://lpjk.pu.go.id/search-badan-usaha-detail/N1I5RjR0aTFndThXeldZdFZVSUVaUT09</t>
        </is>
      </c>
      <c r="F38" t="n">
        <v>6</v>
      </c>
      <c r="G38" t="inlineStr">
        <is>
          <t>BG005, BG006, BG009</t>
        </is>
      </c>
      <c r="H38" t="inlineStr">
        <is>
          <t>8 Agustus 2015</t>
        </is>
      </c>
      <c r="I38" s="2" t="n">
        <v>46340</v>
      </c>
      <c r="J38" t="inlineStr">
        <is>
          <t>Disetujui</t>
        </is>
      </c>
      <c r="K38" t="n">
        <v>60</v>
      </c>
      <c r="L38" t="inlineStr">
        <is>
          <t>14 November 2026</t>
        </is>
      </c>
      <c r="M38" t="inlineStr">
        <is>
          <t>Konstruksi Gedung Kesehatan, Konstruksi Gedung Lainnya, Konstruksi Gedung Pendidikan</t>
        </is>
      </c>
      <c r="N38" t="inlineStr">
        <is>
          <t>K</t>
        </is>
      </c>
      <c r="O38" t="inlineStr">
        <is>
          <t>20231113</t>
        </is>
      </c>
      <c r="P38" t="inlineStr">
        <is>
          <t>Sulawesi Tenggara</t>
        </is>
      </c>
      <c r="Q38" t="inlineStr"/>
    </row>
    <row r="39">
      <c r="A39" t="inlineStr">
        <is>
          <t>BERKAT JUNJUNGAN JAYA</t>
        </is>
      </c>
      <c r="B39" t="inlineStr">
        <is>
          <t>Kab. Toba Samosir</t>
        </is>
      </c>
      <c r="C39" t="inlineStr">
        <is>
          <t>081396232500</t>
        </is>
      </c>
      <c r="D39" t="inlineStr">
        <is>
          <t>cvberkatjunjungan@gmail.com</t>
        </is>
      </c>
      <c r="E39" t="inlineStr">
        <is>
          <t>https://lpjk.pu.go.id/search-badan-usaha-detail/RkoydWJQd2NnL0h1ZFkxOGgwOEF3UT09</t>
        </is>
      </c>
      <c r="F39" t="n">
        <v>6</v>
      </c>
      <c r="G39" t="inlineStr">
        <is>
          <t>BG006, BS001, BS004</t>
        </is>
      </c>
      <c r="H39" t="inlineStr">
        <is>
          <t>18 Oktober 2023</t>
        </is>
      </c>
      <c r="I39" s="2" t="n">
        <v>46340</v>
      </c>
      <c r="J39" t="inlineStr">
        <is>
          <t>Disetujui</t>
        </is>
      </c>
      <c r="K39" t="n">
        <v>60</v>
      </c>
      <c r="L39" t="inlineStr">
        <is>
          <t>14 November 2026</t>
        </is>
      </c>
      <c r="M39" t="inlineStr">
        <is>
          <t>Konstruksi Bangunan Sipil Jalan, Konstruksi Gedung Pendidikan, Konstruksi Jaringan Irigasi dan Drainase</t>
        </is>
      </c>
      <c r="N39" t="inlineStr">
        <is>
          <t>K</t>
        </is>
      </c>
      <c r="O39" t="inlineStr">
        <is>
          <t>20231114, 20231115</t>
        </is>
      </c>
      <c r="P39" t="inlineStr">
        <is>
          <t>Sumatera Utara</t>
        </is>
      </c>
      <c r="Q39" t="inlineStr"/>
    </row>
    <row r="40">
      <c r="A40" t="inlineStr">
        <is>
          <t>BERLIAN DUNIA ABADI</t>
        </is>
      </c>
      <c r="B40" t="inlineStr">
        <is>
          <t>Kota Cilegon</t>
        </is>
      </c>
      <c r="C40" t="inlineStr">
        <is>
          <t>081906445322</t>
        </is>
      </c>
      <c r="D40" t="inlineStr">
        <is>
          <t>berlianduniaabadi.pt@gmail.com</t>
        </is>
      </c>
      <c r="E40" t="inlineStr">
        <is>
          <t>https://lpjk.pu.go.id/search-badan-usaha-detail/Z05BdFNzZ20rQVZZcDZGQUF4WGdwZz09</t>
        </is>
      </c>
      <c r="F40" t="n">
        <v>4</v>
      </c>
      <c r="G40" t="inlineStr">
        <is>
          <t>BG005, BG009, BS001, BS004</t>
        </is>
      </c>
      <c r="H40" t="inlineStr">
        <is>
          <t>13 November 2020</t>
        </is>
      </c>
      <c r="I40" s="2" t="n">
        <v>46340</v>
      </c>
      <c r="J40" t="inlineStr">
        <is>
          <t>Disetujui</t>
        </is>
      </c>
      <c r="K40" t="n">
        <v>60</v>
      </c>
      <c r="L40" t="inlineStr">
        <is>
          <t>14 November 2026</t>
        </is>
      </c>
      <c r="M40" t="inlineStr">
        <is>
          <t>Konstruksi Bangunan Sipil Jalan, Konstruksi Gedung Kesehatan, Konstruksi Gedung Lainnya, Konstruksi Jaringan Irigasi dan Drainase</t>
        </is>
      </c>
      <c r="N40" t="inlineStr">
        <is>
          <t>K</t>
        </is>
      </c>
      <c r="O40" t="inlineStr">
        <is>
          <t>20231110</t>
        </is>
      </c>
      <c r="P40" t="inlineStr">
        <is>
          <t>Banten</t>
        </is>
      </c>
      <c r="Q40" t="inlineStr"/>
    </row>
    <row r="41">
      <c r="A41" t="inlineStr">
        <is>
          <t>BERSAMA TUJUH SAUDARA</t>
        </is>
      </c>
      <c r="B41" t="inlineStr">
        <is>
          <t>Kab. Langkat</t>
        </is>
      </c>
      <c r="C41" t="inlineStr">
        <is>
          <t>081269822574</t>
        </is>
      </c>
      <c r="D41" t="inlineStr">
        <is>
          <t>cv.bersamatujuhsaudara@umkmgo.online</t>
        </is>
      </c>
      <c r="E41" t="inlineStr">
        <is>
          <t>https://lpjk.pu.go.id/search-badan-usaha-detail/Uld5L0NUWVJHZjRVZ3kyVkRjYzI4Zz09</t>
        </is>
      </c>
      <c r="F41" t="n">
        <v>5</v>
      </c>
      <c r="G41" t="inlineStr">
        <is>
          <t>BG002, BG003, BG005, BG006, BG009</t>
        </is>
      </c>
      <c r="H41" t="inlineStr">
        <is>
          <t>8 Maret 2023</t>
        </is>
      </c>
      <c r="I41" s="2" t="n">
        <v>46340</v>
      </c>
      <c r="J41" t="inlineStr">
        <is>
          <t>Disetujui</t>
        </is>
      </c>
      <c r="K41" t="n">
        <v>60</v>
      </c>
      <c r="L41" t="inlineStr">
        <is>
          <t>14 November 2026</t>
        </is>
      </c>
      <c r="M41" t="inlineStr">
        <is>
          <t>Konstruksi Gedung Industri, Konstruksi Gedung Kesehatan, Konstruksi Gedung Lainnya, Konstruksi Gedung Pendidikan, Konstruksi Gedung Perkantoran</t>
        </is>
      </c>
      <c r="N41" t="inlineStr">
        <is>
          <t>K</t>
        </is>
      </c>
      <c r="O41" t="inlineStr">
        <is>
          <t>20231115</t>
        </is>
      </c>
      <c r="P41" t="inlineStr">
        <is>
          <t>Sumatera Utara</t>
        </is>
      </c>
      <c r="Q41" t="inlineStr"/>
    </row>
    <row r="42">
      <c r="A42" t="inlineStr">
        <is>
          <t>BINTANG GAMER KONSTRUKSI</t>
        </is>
      </c>
      <c r="B42" t="inlineStr">
        <is>
          <t>Kab. Padang Pariaman</t>
        </is>
      </c>
      <c r="C42" t="inlineStr">
        <is>
          <t>0751480440</t>
        </is>
      </c>
      <c r="D42" t="inlineStr">
        <is>
          <t>cvbintanggamerkonstruksi@gmail.com</t>
        </is>
      </c>
      <c r="E42" t="inlineStr">
        <is>
          <t>https://lpjk.pu.go.id/search-badan-usaha-detail/bmZlUTUrSDBXNEpuMWdhNGJUZklmQT09</t>
        </is>
      </c>
      <c r="F42" t="n">
        <v>4</v>
      </c>
      <c r="G42" t="inlineStr">
        <is>
          <t>BG005, BG009</t>
        </is>
      </c>
      <c r="H42" t="inlineStr">
        <is>
          <t>18 Juli 2019</t>
        </is>
      </c>
      <c r="I42" s="2" t="n">
        <v>46340</v>
      </c>
      <c r="J42" t="inlineStr">
        <is>
          <t>Disetujui</t>
        </is>
      </c>
      <c r="K42" t="n">
        <v>60</v>
      </c>
      <c r="L42" t="inlineStr">
        <is>
          <t>14 November 2026</t>
        </is>
      </c>
      <c r="M42" t="inlineStr">
        <is>
          <t>Konstruksi Gedung Kesehatan, Konstruksi Gedung Lainnya</t>
        </is>
      </c>
      <c r="N42" t="inlineStr">
        <is>
          <t>K</t>
        </is>
      </c>
      <c r="O42" t="inlineStr">
        <is>
          <t>20231112</t>
        </is>
      </c>
      <c r="P42" t="inlineStr">
        <is>
          <t>Sumatera Barat</t>
        </is>
      </c>
      <c r="Q42" t="inlineStr"/>
    </row>
    <row r="43">
      <c r="A43" t="inlineStr">
        <is>
          <t>BINTANG SAMUDERA</t>
        </is>
      </c>
      <c r="B43" t="inlineStr">
        <is>
          <t>Kab. Blitar</t>
        </is>
      </c>
      <c r="C43" t="inlineStr">
        <is>
          <t>08134114302</t>
        </is>
      </c>
      <c r="D43" t="inlineStr">
        <is>
          <t>samudrabintang20@ymail.com</t>
        </is>
      </c>
      <c r="E43" t="inlineStr">
        <is>
          <t>https://lpjk.pu.go.id/search-badan-usaha-detail/dkNyOFNCckVEZExuWWxOKzVYQUZuQT09</t>
        </is>
      </c>
      <c r="F43" t="n">
        <v>6</v>
      </c>
      <c r="G43" t="inlineStr">
        <is>
          <t>BG006, BG009, BS004</t>
        </is>
      </c>
      <c r="H43" t="inlineStr">
        <is>
          <t>22 Desember 2006</t>
        </is>
      </c>
      <c r="I43" s="2" t="n">
        <v>46340</v>
      </c>
      <c r="J43" t="inlineStr">
        <is>
          <t>Disetujui</t>
        </is>
      </c>
      <c r="K43" t="n">
        <v>60</v>
      </c>
      <c r="L43" t="inlineStr">
        <is>
          <t>14 November 2026</t>
        </is>
      </c>
      <c r="M43" t="inlineStr">
        <is>
          <t>Konstruksi Gedung Lainnya, Konstruksi Gedung Pendidikan, Konstruksi Jaringan Irigasi dan Drainase</t>
        </is>
      </c>
      <c r="N43" t="inlineStr">
        <is>
          <t>K</t>
        </is>
      </c>
      <c r="O43" t="inlineStr">
        <is>
          <t>20231109</t>
        </is>
      </c>
      <c r="P43" t="inlineStr">
        <is>
          <t>Jawa Timur</t>
        </is>
      </c>
      <c r="Q43" t="inlineStr"/>
    </row>
    <row r="44">
      <c r="A44" t="inlineStr">
        <is>
          <t>BORNEO KEMBAR PUTRI</t>
        </is>
      </c>
      <c r="B44" t="inlineStr">
        <is>
          <t>Kab. Kapuas Hulu</t>
        </is>
      </c>
      <c r="C44" t="inlineStr">
        <is>
          <t>0895340179199</t>
        </is>
      </c>
      <c r="D44" t="inlineStr">
        <is>
          <t>cv.borneokembarputri@gmail.com</t>
        </is>
      </c>
      <c r="E44" t="inlineStr">
        <is>
          <t>https://lpjk.pu.go.id/search-badan-usaha-detail/R1NmRnhCd2Z1NENQbmhEdG5zSGdjZz09</t>
        </is>
      </c>
      <c r="F44" t="n">
        <v>2</v>
      </c>
      <c r="G44" t="inlineStr">
        <is>
          <t>BG006, BS001</t>
        </is>
      </c>
      <c r="H44" t="inlineStr">
        <is>
          <t>6 Januari 2017</t>
        </is>
      </c>
      <c r="I44" s="2" t="n">
        <v>46340</v>
      </c>
      <c r="J44" t="inlineStr">
        <is>
          <t>Disetujui</t>
        </is>
      </c>
      <c r="K44" t="n">
        <v>60</v>
      </c>
      <c r="L44" t="inlineStr">
        <is>
          <t>14 November 2026</t>
        </is>
      </c>
      <c r="M44" t="inlineStr">
        <is>
          <t>Konstruksi Bangunan Sipil Jalan, Konstruksi Gedung Pendidikan</t>
        </is>
      </c>
      <c r="N44" t="inlineStr">
        <is>
          <t>K</t>
        </is>
      </c>
      <c r="O44" t="inlineStr">
        <is>
          <t>20231114, 20231116</t>
        </is>
      </c>
      <c r="P44" t="inlineStr">
        <is>
          <t>Kalimantan Barat</t>
        </is>
      </c>
      <c r="Q44" t="inlineStr"/>
    </row>
    <row r="45">
      <c r="A45" t="inlineStr">
        <is>
          <t>BUANA CAHAYATAMA</t>
        </is>
      </c>
      <c r="B45" t="inlineStr">
        <is>
          <t>Kota Surabaya</t>
        </is>
      </c>
      <c r="C45" t="inlineStr">
        <is>
          <t>0315631530</t>
        </is>
      </c>
      <c r="D45" t="inlineStr">
        <is>
          <t>info@buana-ct.co.id</t>
        </is>
      </c>
      <c r="E45" t="inlineStr">
        <is>
          <t>https://lpjk.pu.go.id/search-badan-usaha-detail/QXoyNUJUWGl2UXZCZWVwb2IvTlNzQT09</t>
        </is>
      </c>
      <c r="F45" t="n">
        <v>1</v>
      </c>
      <c r="G45" t="inlineStr">
        <is>
          <t>IN004</t>
        </is>
      </c>
      <c r="H45" t="inlineStr">
        <is>
          <t>21 Oktober 2004</t>
        </is>
      </c>
      <c r="I45" s="2" t="n">
        <v>46340</v>
      </c>
      <c r="J45" t="inlineStr">
        <is>
          <t>Disetujui</t>
        </is>
      </c>
      <c r="K45" t="n">
        <v>60</v>
      </c>
      <c r="L45" t="inlineStr">
        <is>
          <t>14 November 2026</t>
        </is>
      </c>
      <c r="M45" t="inlineStr">
        <is>
          <t>Instalasi Minyak dan Gas</t>
        </is>
      </c>
      <c r="N45" t="inlineStr">
        <is>
          <t>Spesialis</t>
        </is>
      </c>
      <c r="O45" t="inlineStr">
        <is>
          <t>20230711</t>
        </is>
      </c>
      <c r="P45" t="inlineStr">
        <is>
          <t>Jawa Timur</t>
        </is>
      </c>
      <c r="Q45" t="inlineStr"/>
    </row>
    <row r="46">
      <c r="A46" t="inlineStr">
        <is>
          <t>BUDI AGUNG</t>
        </is>
      </c>
      <c r="B46" t="inlineStr">
        <is>
          <t>Kab. Blitar</t>
        </is>
      </c>
      <c r="C46" t="inlineStr">
        <is>
          <t>082211122132</t>
        </is>
      </c>
      <c r="D46" t="inlineStr">
        <is>
          <t>budisantoso.be14@yahoo.co.id</t>
        </is>
      </c>
      <c r="E46" t="inlineStr">
        <is>
          <t>https://lpjk.pu.go.id/search-badan-usaha-detail/Rm9HYVcwRlM3NmJaTm5Db2o2UER6UT09</t>
        </is>
      </c>
      <c r="F46" t="n">
        <v>1</v>
      </c>
      <c r="G46" t="inlineStr">
        <is>
          <t>BS016</t>
        </is>
      </c>
      <c r="H46" t="inlineStr">
        <is>
          <t>20 Desember 1985</t>
        </is>
      </c>
      <c r="I46" s="2" t="n">
        <v>46340</v>
      </c>
      <c r="J46" t="inlineStr">
        <is>
          <t>Disetujui</t>
        </is>
      </c>
      <c r="K46" t="n">
        <v>60</v>
      </c>
      <c r="L46" t="inlineStr">
        <is>
          <t>14 November 2026</t>
        </is>
      </c>
      <c r="M46" t="inlineStr">
        <is>
          <t>Konstruksi Bangunan Sipil Fasilitas Olah Raga</t>
        </is>
      </c>
      <c r="N46" t="inlineStr">
        <is>
          <t>K</t>
        </is>
      </c>
      <c r="O46" t="inlineStr">
        <is>
          <t>20231111</t>
        </is>
      </c>
      <c r="P46" t="inlineStr">
        <is>
          <t>Jawa Timur</t>
        </is>
      </c>
      <c r="Q46" t="inlineStr"/>
    </row>
    <row r="47">
      <c r="A47" t="inlineStr">
        <is>
          <t>BUMI NUSANTARA HIJAU</t>
        </is>
      </c>
      <c r="B47" t="inlineStr">
        <is>
          <t>Kota Medan</t>
        </is>
      </c>
      <c r="C47" t="inlineStr">
        <is>
          <t>081361573845</t>
        </is>
      </c>
      <c r="D47" t="inlineStr">
        <is>
          <t>buminusantarahijaupt@gmail.com</t>
        </is>
      </c>
      <c r="E47" t="inlineStr">
        <is>
          <t>https://lpjk.pu.go.id/search-badan-usaha-detail/czZFTnF5QldqWHJXWS9rVEhYdlpHUT09</t>
        </is>
      </c>
      <c r="F47" t="n">
        <v>1</v>
      </c>
      <c r="G47" t="inlineStr">
        <is>
          <t>RK005</t>
        </is>
      </c>
      <c r="H47" t="inlineStr">
        <is>
          <t>23 Desember 2019</t>
        </is>
      </c>
      <c r="I47" s="2" t="n">
        <v>46340</v>
      </c>
      <c r="J47" t="inlineStr">
        <is>
          <t>Disetujui</t>
        </is>
      </c>
      <c r="K47" t="n">
        <v>60</v>
      </c>
      <c r="L47" t="inlineStr">
        <is>
          <t>14 November 2026</t>
        </is>
      </c>
      <c r="M47" t="inlineStr">
        <is>
          <t>Jasa Rekayasa Lainnya</t>
        </is>
      </c>
      <c r="N47" t="inlineStr">
        <is>
          <t>K</t>
        </is>
      </c>
      <c r="O47" t="inlineStr">
        <is>
          <t>20231102</t>
        </is>
      </c>
      <c r="P47" t="inlineStr">
        <is>
          <t>Sumatera Utara</t>
        </is>
      </c>
      <c r="Q47" t="inlineStr"/>
    </row>
    <row r="48">
      <c r="A48" t="inlineStr">
        <is>
          <t>CAHAYA KANNU PUTRA</t>
        </is>
      </c>
      <c r="B48" t="inlineStr">
        <is>
          <t>Kab. Jayawijaya</t>
        </is>
      </c>
      <c r="C48" t="inlineStr">
        <is>
          <t>082199115406</t>
        </is>
      </c>
      <c r="D48" t="inlineStr">
        <is>
          <t>cv.cahayakannuputra23@gmail.com</t>
        </is>
      </c>
      <c r="E48" t="inlineStr">
        <is>
          <t>https://lpjk.pu.go.id/search-badan-usaha-detail/eklKbUtGYTRHOFZFL2hYMUVHMGIyZz09</t>
        </is>
      </c>
      <c r="F48" t="n">
        <v>1</v>
      </c>
      <c r="G48" t="inlineStr">
        <is>
          <t>BS001</t>
        </is>
      </c>
      <c r="H48" t="inlineStr">
        <is>
          <t>5 Oktober 2023</t>
        </is>
      </c>
      <c r="I48" s="2" t="n">
        <v>46340</v>
      </c>
      <c r="J48" t="inlineStr">
        <is>
          <t>Disetujui</t>
        </is>
      </c>
      <c r="K48" t="n">
        <v>60</v>
      </c>
      <c r="L48" t="inlineStr">
        <is>
          <t>14 November 2026</t>
        </is>
      </c>
      <c r="M48" t="inlineStr">
        <is>
          <t>Konstruksi Bangunan Sipil Jalan</t>
        </is>
      </c>
      <c r="N48" t="inlineStr">
        <is>
          <t>K</t>
        </is>
      </c>
      <c r="O48" t="inlineStr">
        <is>
          <t>20231114</t>
        </is>
      </c>
      <c r="P48" t="inlineStr">
        <is>
          <t>Papua Pegunungan</t>
        </is>
      </c>
      <c r="Q48" t="inlineStr"/>
    </row>
    <row r="49">
      <c r="A49" t="inlineStr">
        <is>
          <t>CIPTA PERSADA DEVELOPMENT</t>
        </is>
      </c>
      <c r="B49" t="inlineStr">
        <is>
          <t>Kota Tangerang Selatan</t>
        </is>
      </c>
      <c r="C49" t="inlineStr">
        <is>
          <t>0215854154</t>
        </is>
      </c>
      <c r="D49" t="inlineStr">
        <is>
          <t>pt.ciptadevelopment@gmail.com</t>
        </is>
      </c>
      <c r="E49" t="inlineStr">
        <is>
          <t>https://lpjk.pu.go.id/search-badan-usaha-detail/NjhkSUlSK2RUK3J2T0ZRV09HcytTdz09</t>
        </is>
      </c>
      <c r="F49" t="n">
        <v>6</v>
      </c>
      <c r="G49" t="inlineStr">
        <is>
          <t>BG002, BG009, PB004</t>
        </is>
      </c>
      <c r="H49" t="inlineStr">
        <is>
          <t>24 Desember 2009</t>
        </is>
      </c>
      <c r="I49" s="2" t="n">
        <v>46340</v>
      </c>
      <c r="J49" t="inlineStr">
        <is>
          <t>Disetujui</t>
        </is>
      </c>
      <c r="K49" t="n">
        <v>60</v>
      </c>
      <c r="L49" t="inlineStr">
        <is>
          <t>14 November 2026</t>
        </is>
      </c>
      <c r="M49" t="inlineStr">
        <is>
          <t>Dekorasi Interior, Konstruksi Gedung Lainnya, Konstruksi Gedung Perkantoran</t>
        </is>
      </c>
      <c r="N49" t="inlineStr">
        <is>
          <t>K, Spesialis</t>
        </is>
      </c>
      <c r="O49" t="inlineStr">
        <is>
          <t>20231109</t>
        </is>
      </c>
      <c r="P49" t="inlineStr">
        <is>
          <t>Banten</t>
        </is>
      </c>
      <c r="Q49" t="inlineStr"/>
    </row>
    <row r="50">
      <c r="A50" t="inlineStr">
        <is>
          <t>CITRA INDAH PERDANA</t>
        </is>
      </c>
      <c r="B50" t="inlineStr">
        <is>
          <t>Kota Adm. Jakarta Barat</t>
        </is>
      </c>
      <c r="C50" t="inlineStr">
        <is>
          <t>02129030893</t>
        </is>
      </c>
      <c r="D50" t="inlineStr">
        <is>
          <t>citraindah.p@gmail.com</t>
        </is>
      </c>
      <c r="E50" t="inlineStr">
        <is>
          <t>https://lpjk.pu.go.id/search-badan-usaha-detail/YkZ6dFNpWUYrL2N4dDFZM0pFRll2dz09</t>
        </is>
      </c>
      <c r="F50" t="n">
        <v>3</v>
      </c>
      <c r="G50" t="inlineStr">
        <is>
          <t>BG002, BG005, BG009</t>
        </is>
      </c>
      <c r="H50" t="inlineStr">
        <is>
          <t>1 Maret 2002</t>
        </is>
      </c>
      <c r="I50" s="2" t="n">
        <v>46340</v>
      </c>
      <c r="J50" t="inlineStr">
        <is>
          <t>Pencabutan</t>
        </is>
      </c>
      <c r="K50" t="n">
        <v>60</v>
      </c>
      <c r="L50" t="inlineStr">
        <is>
          <t>14 November 2026</t>
        </is>
      </c>
      <c r="M50" t="inlineStr">
        <is>
          <t>Konstruksi Gedung Kesehatan, Konstruksi Gedung Lainnya, Konstruksi Gedung Perkantoran</t>
        </is>
      </c>
      <c r="N50" t="inlineStr">
        <is>
          <t>K</t>
        </is>
      </c>
      <c r="O50" t="inlineStr">
        <is>
          <t>20231101</t>
        </is>
      </c>
      <c r="P50" t="inlineStr">
        <is>
          <t>DKI Jakarta</t>
        </is>
      </c>
      <c r="Q50" t="inlineStr"/>
    </row>
    <row r="51">
      <c r="A51" t="inlineStr">
        <is>
          <t>DUA DUA</t>
        </is>
      </c>
      <c r="B51" t="inlineStr">
        <is>
          <t>Kab. Majalengka</t>
        </is>
      </c>
      <c r="C51" t="inlineStr">
        <is>
          <t>08122431962</t>
        </is>
      </c>
      <c r="D51" t="inlineStr">
        <is>
          <t>cvduaduajaya2@gmail.com</t>
        </is>
      </c>
      <c r="E51" t="inlineStr">
        <is>
          <t>https://lpjk.pu.go.id/search-badan-usaha-detail/c3lNL2NVQ0NLZWN0SG9SVEszUzFTUT09</t>
        </is>
      </c>
      <c r="F51" t="n">
        <v>2</v>
      </c>
      <c r="G51" t="inlineStr">
        <is>
          <t>BS001, BS004</t>
        </is>
      </c>
      <c r="H51" t="inlineStr">
        <is>
          <t>19 Juni 2020</t>
        </is>
      </c>
      <c r="I51" s="2" t="n">
        <v>46340</v>
      </c>
      <c r="J51" t="inlineStr">
        <is>
          <t>Disetujui</t>
        </is>
      </c>
      <c r="K51" t="n">
        <v>60</v>
      </c>
      <c r="L51" t="inlineStr">
        <is>
          <t>14 November 2026</t>
        </is>
      </c>
      <c r="M51" t="inlineStr">
        <is>
          <t>Konstruksi Bangunan Sipil Jalan, Konstruksi Jaringan Irigasi dan Drainase</t>
        </is>
      </c>
      <c r="N51" t="inlineStr">
        <is>
          <t>K</t>
        </is>
      </c>
      <c r="O51" t="inlineStr">
        <is>
          <t>20231115</t>
        </is>
      </c>
      <c r="P51" t="inlineStr">
        <is>
          <t>Jawa Barat</t>
        </is>
      </c>
      <c r="Q51" t="inlineStr"/>
    </row>
    <row r="52">
      <c r="A52" t="inlineStr">
        <is>
          <t>DUTA PERSADA INDOTAMA</t>
        </is>
      </c>
      <c r="B52" t="inlineStr">
        <is>
          <t>Kota Pekanbaru</t>
        </is>
      </c>
      <c r="C52" t="inlineStr">
        <is>
          <t>0761561488</t>
        </is>
      </c>
      <c r="D52" t="inlineStr">
        <is>
          <t>dutapersada@rocketmail.com</t>
        </is>
      </c>
      <c r="E52" t="inlineStr">
        <is>
          <t>https://lpjk.pu.go.id/search-badan-usaha-detail/NUdKYWp1MzhuVWM4b3RMTUI5Mm1VQT09</t>
        </is>
      </c>
      <c r="F52" t="n">
        <v>1</v>
      </c>
      <c r="G52" t="inlineStr">
        <is>
          <t>RK003</t>
        </is>
      </c>
      <c r="H52" t="inlineStr">
        <is>
          <t>23 Agustus 2011</t>
        </is>
      </c>
      <c r="I52" s="2" t="n">
        <v>46340</v>
      </c>
      <c r="J52" t="inlineStr">
        <is>
          <t>Disetujui</t>
        </is>
      </c>
      <c r="K52" t="n">
        <v>60</v>
      </c>
      <c r="L52" t="inlineStr">
        <is>
          <t>14 November 2026</t>
        </is>
      </c>
      <c r="M52" t="inlineStr">
        <is>
          <t>Jasa Rekayasa Pekerjaan Teknik Sipil Transportasi</t>
        </is>
      </c>
      <c r="N52" t="inlineStr">
        <is>
          <t>M</t>
        </is>
      </c>
      <c r="O52" t="inlineStr">
        <is>
          <t>20231030</t>
        </is>
      </c>
      <c r="P52" t="inlineStr">
        <is>
          <t>Riau</t>
        </is>
      </c>
      <c r="Q52" t="inlineStr"/>
    </row>
    <row r="53">
      <c r="A53" t="inlineStr">
        <is>
          <t>DWIBARAT TANGGUH SETIA</t>
        </is>
      </c>
      <c r="B53" t="inlineStr">
        <is>
          <t>Kota Bandung</t>
        </is>
      </c>
      <c r="C53" t="inlineStr">
        <is>
          <t>0225208080</t>
        </is>
      </c>
      <c r="D53" t="inlineStr">
        <is>
          <t>dwibarat@gmail.com</t>
        </is>
      </c>
      <c r="E53" t="inlineStr">
        <is>
          <t>https://lpjk.pu.go.id/search-badan-usaha-detail/VTM3UHI5cFd0THlwQlRGcmZPb0N5dz09</t>
        </is>
      </c>
      <c r="F53" t="n">
        <v>2</v>
      </c>
      <c r="G53" t="inlineStr">
        <is>
          <t>BS009</t>
        </is>
      </c>
      <c r="H53" t="inlineStr">
        <is>
          <t>31 Mei 2023</t>
        </is>
      </c>
      <c r="I53" s="2" t="n">
        <v>46340</v>
      </c>
      <c r="J53" t="inlineStr">
        <is>
          <t>Disetujui</t>
        </is>
      </c>
      <c r="K53" t="n">
        <v>60</v>
      </c>
      <c r="L53" t="inlineStr">
        <is>
          <t>14 November 2026</t>
        </is>
      </c>
      <c r="M53" t="inlineStr">
        <is>
          <t>Konstruksi Sentral Telekomunikasi</t>
        </is>
      </c>
      <c r="N53" t="inlineStr">
        <is>
          <t>K</t>
        </is>
      </c>
      <c r="O53" t="inlineStr">
        <is>
          <t>20231102</t>
        </is>
      </c>
      <c r="P53" t="inlineStr">
        <is>
          <t>Jawa Barat</t>
        </is>
      </c>
      <c r="Q53" t="inlineStr"/>
    </row>
    <row r="54">
      <c r="A54" t="inlineStr">
        <is>
          <t>EKA DWI</t>
        </is>
      </c>
      <c r="B54" t="inlineStr">
        <is>
          <t>Kab. Tangerang</t>
        </is>
      </c>
      <c r="C54" t="inlineStr">
        <is>
          <t>087776650298</t>
        </is>
      </c>
      <c r="D54" t="inlineStr">
        <is>
          <t>cv.ekadwi@gmail.com</t>
        </is>
      </c>
      <c r="E54" t="inlineStr">
        <is>
          <t>https://lpjk.pu.go.id/search-badan-usaha-detail/TDB2Qi9KQThkdWxmRGJlQUVoN1J2UT09</t>
        </is>
      </c>
      <c r="F54" t="n">
        <v>3</v>
      </c>
      <c r="G54" t="inlineStr">
        <is>
          <t>BG009, BS001, BS004</t>
        </is>
      </c>
      <c r="H54" t="inlineStr">
        <is>
          <t>27 Agustus 2015</t>
        </is>
      </c>
      <c r="I54" s="2" t="n">
        <v>46340</v>
      </c>
      <c r="J54" t="inlineStr">
        <is>
          <t>Disetujui</t>
        </is>
      </c>
      <c r="K54" t="n">
        <v>60</v>
      </c>
      <c r="L54" t="inlineStr">
        <is>
          <t>14 November 2026</t>
        </is>
      </c>
      <c r="M54" t="inlineStr">
        <is>
          <t>Konstruksi Bangunan Sipil Jalan, Konstruksi Gedung Lainnya, Konstruksi Jaringan Irigasi dan Drainase</t>
        </is>
      </c>
      <c r="N54" t="inlineStr">
        <is>
          <t>K</t>
        </is>
      </c>
      <c r="O54" t="inlineStr">
        <is>
          <t>20231113</t>
        </is>
      </c>
      <c r="P54" t="inlineStr">
        <is>
          <t>Banten</t>
        </is>
      </c>
      <c r="Q54" t="inlineStr"/>
    </row>
    <row r="55">
      <c r="A55" t="inlineStr">
        <is>
          <t>ENDAH BANGUN NAGARA CONSULTANT</t>
        </is>
      </c>
      <c r="B55" t="inlineStr">
        <is>
          <t>Kota Jambi</t>
        </is>
      </c>
      <c r="C55" t="inlineStr">
        <is>
          <t>081288657796</t>
        </is>
      </c>
      <c r="D55" t="inlineStr">
        <is>
          <t>ebnconsultant@gmail.com</t>
        </is>
      </c>
      <c r="E55" t="inlineStr">
        <is>
          <t>https://lpjk.pu.go.id/search-badan-usaha-detail/N0VIckVoWEZwZUdGY3lqSFVKYmdGZz09</t>
        </is>
      </c>
      <c r="F55" t="n">
        <v>2</v>
      </c>
      <c r="G55" t="inlineStr">
        <is>
          <t>RK001</t>
        </is>
      </c>
      <c r="H55" t="inlineStr">
        <is>
          <t>27 Februari 2009</t>
        </is>
      </c>
      <c r="I55" s="2" t="n">
        <v>46340</v>
      </c>
      <c r="J55" t="inlineStr">
        <is>
          <t>Disetujui</t>
        </is>
      </c>
      <c r="K55" t="n">
        <v>60</v>
      </c>
      <c r="L55" t="inlineStr">
        <is>
          <t>14 November 2026</t>
        </is>
      </c>
      <c r="M55" t="inlineStr">
        <is>
          <t>Jasa Rekayasa Konstruksi Bangunan Gedung Hunian dan Non Hunian</t>
        </is>
      </c>
      <c r="N55" t="inlineStr">
        <is>
          <t>M</t>
        </is>
      </c>
      <c r="O55" t="inlineStr">
        <is>
          <t>20231102</t>
        </is>
      </c>
      <c r="P55" t="inlineStr">
        <is>
          <t>Jambi</t>
        </is>
      </c>
      <c r="Q55" t="inlineStr"/>
    </row>
    <row r="56">
      <c r="A56" t="inlineStr">
        <is>
          <t>FARABI</t>
        </is>
      </c>
      <c r="B56" t="inlineStr">
        <is>
          <t>Kota Sibolga</t>
        </is>
      </c>
      <c r="C56" t="inlineStr">
        <is>
          <t>081269985868</t>
        </is>
      </c>
      <c r="D56" t="inlineStr">
        <is>
          <t>cvfarabi6@gmail.com</t>
        </is>
      </c>
      <c r="E56" t="inlineStr">
        <is>
          <t>https://lpjk.pu.go.id/search-badan-usaha-detail/MTdmVzFWRjBOVTZDUUVvdHNydGpEZz09</t>
        </is>
      </c>
      <c r="F56" t="n">
        <v>4</v>
      </c>
      <c r="G56" t="inlineStr">
        <is>
          <t>BG002, BG006, BG009</t>
        </is>
      </c>
      <c r="H56" t="inlineStr">
        <is>
          <t>10 Oktober 2023</t>
        </is>
      </c>
      <c r="I56" s="2" t="n">
        <v>46340</v>
      </c>
      <c r="J56" t="inlineStr">
        <is>
          <t>Disetujui</t>
        </is>
      </c>
      <c r="K56" t="n">
        <v>60</v>
      </c>
      <c r="L56" t="inlineStr">
        <is>
          <t>14 November 2026</t>
        </is>
      </c>
      <c r="M56" t="inlineStr">
        <is>
          <t>Konstruksi Gedung Lainnya, Konstruksi Gedung Pendidikan, Konstruksi Gedung Perkantoran</t>
        </is>
      </c>
      <c r="N56" t="inlineStr">
        <is>
          <t>K</t>
        </is>
      </c>
      <c r="O56" t="inlineStr">
        <is>
          <t>20231115</t>
        </is>
      </c>
      <c r="P56" t="inlineStr">
        <is>
          <t>Sumatera Utara</t>
        </is>
      </c>
      <c r="Q56" t="inlineStr"/>
    </row>
    <row r="57">
      <c r="A57" t="inlineStr">
        <is>
          <t>GAJAH TUNGGAL PERKASA</t>
        </is>
      </c>
      <c r="B57" t="inlineStr">
        <is>
          <t>Kab. Bondowoso</t>
        </is>
      </c>
      <c r="C57" t="inlineStr">
        <is>
          <t>085230760441</t>
        </is>
      </c>
      <c r="D57" t="inlineStr">
        <is>
          <t>gajahtunggalperkasa_cv@yahoo.com</t>
        </is>
      </c>
      <c r="E57" t="inlineStr">
        <is>
          <t>https://lpjk.pu.go.id/search-badan-usaha-detail/NkppWEZpSTVWSzRCSW8veHllS01QUT09</t>
        </is>
      </c>
      <c r="F57" t="n">
        <v>1</v>
      </c>
      <c r="G57" t="inlineStr">
        <is>
          <t>BG001</t>
        </is>
      </c>
      <c r="H57" t="inlineStr">
        <is>
          <t>23 Desember 2003</t>
        </is>
      </c>
      <c r="I57" s="2" t="n">
        <v>46340</v>
      </c>
      <c r="J57" t="inlineStr">
        <is>
          <t>Disetujui</t>
        </is>
      </c>
      <c r="K57" t="n">
        <v>60</v>
      </c>
      <c r="L57" t="inlineStr">
        <is>
          <t>14 November 2026</t>
        </is>
      </c>
      <c r="M57" t="inlineStr">
        <is>
          <t>Konstruksi Gedung Hunian</t>
        </is>
      </c>
      <c r="N57" t="inlineStr">
        <is>
          <t>K</t>
        </is>
      </c>
      <c r="O57" t="inlineStr">
        <is>
          <t>20231105</t>
        </is>
      </c>
      <c r="P57" t="inlineStr">
        <is>
          <t>Jawa Timur</t>
        </is>
      </c>
      <c r="Q57" t="inlineStr"/>
    </row>
    <row r="58">
      <c r="A58" t="inlineStr">
        <is>
          <t>GANIMAH SAKTI</t>
        </is>
      </c>
      <c r="B58" t="inlineStr">
        <is>
          <t>Kota Padang Sidempuan</t>
        </is>
      </c>
      <c r="C58" t="inlineStr">
        <is>
          <t>081377320500</t>
        </is>
      </c>
      <c r="D58" t="inlineStr">
        <is>
          <t>ganimahsakticv@ymail.com</t>
        </is>
      </c>
      <c r="E58" t="inlineStr">
        <is>
          <t>https://lpjk.pu.go.id/search-badan-usaha-detail/ZE5vS1U3TDE0eExtaGRZdTBtQjJCUT09</t>
        </is>
      </c>
      <c r="F58" t="n">
        <v>1</v>
      </c>
      <c r="G58" t="inlineStr">
        <is>
          <t>BG009</t>
        </is>
      </c>
      <c r="H58" t="inlineStr">
        <is>
          <t>15 Oktober 1994</t>
        </is>
      </c>
      <c r="I58" s="2" t="n">
        <v>46340</v>
      </c>
      <c r="J58" t="inlineStr">
        <is>
          <t>Disetujui</t>
        </is>
      </c>
      <c r="K58" t="n">
        <v>60</v>
      </c>
      <c r="L58" t="inlineStr">
        <is>
          <t>14 November 2026</t>
        </is>
      </c>
      <c r="M58" t="inlineStr">
        <is>
          <t>Konstruksi Gedung Lainnya</t>
        </is>
      </c>
      <c r="N58" t="inlineStr">
        <is>
          <t>K</t>
        </is>
      </c>
      <c r="O58" t="inlineStr">
        <is>
          <t>20231115</t>
        </is>
      </c>
      <c r="P58" t="inlineStr">
        <is>
          <t>Sumatera Utara</t>
        </is>
      </c>
      <c r="Q58" t="inlineStr"/>
    </row>
    <row r="59">
      <c r="A59" t="inlineStr">
        <is>
          <t>GARUDA CAHAYA CONSULTANT</t>
        </is>
      </c>
      <c r="B59" t="inlineStr">
        <is>
          <t>Kab. Pemalang</t>
        </is>
      </c>
      <c r="C59" t="inlineStr">
        <is>
          <t>085225843004</t>
        </is>
      </c>
      <c r="D59" t="inlineStr">
        <is>
          <t>garudacahayaconsultant@gmail.com</t>
        </is>
      </c>
      <c r="E59" t="inlineStr">
        <is>
          <t>https://lpjk.pu.go.id/search-badan-usaha-detail/SlRrWXhIN3JrTE9lVkNJZkJsV2dBdz09</t>
        </is>
      </c>
      <c r="F59" t="n">
        <v>2</v>
      </c>
      <c r="G59" t="inlineStr">
        <is>
          <t>RK001, RK003</t>
        </is>
      </c>
      <c r="H59" t="inlineStr">
        <is>
          <t>19 Juni 2023</t>
        </is>
      </c>
      <c r="I59" s="2" t="n">
        <v>46340</v>
      </c>
      <c r="J59" t="inlineStr">
        <is>
          <t>Disetujui</t>
        </is>
      </c>
      <c r="K59" t="n">
        <v>60</v>
      </c>
      <c r="L59" t="inlineStr">
        <is>
          <t>14 November 2026</t>
        </is>
      </c>
      <c r="M59" t="inlineStr">
        <is>
          <t>Jasa Rekayasa Konstruksi Bangunan Gedung Hunian dan Non Hunian, Jasa Rekayasa Pekerjaan Teknik Sipil Transportasi</t>
        </is>
      </c>
      <c r="N59" t="inlineStr">
        <is>
          <t>K</t>
        </is>
      </c>
      <c r="O59" t="inlineStr">
        <is>
          <t>20231113</t>
        </is>
      </c>
      <c r="P59" t="inlineStr">
        <is>
          <t>Jawa Tengah</t>
        </is>
      </c>
      <c r="Q59" t="inlineStr"/>
    </row>
    <row r="60">
      <c r="A60" t="inlineStr">
        <is>
          <t>GIAN GIO GEMILANG</t>
        </is>
      </c>
      <c r="B60" t="inlineStr">
        <is>
          <t>Kab. Kutai Timur</t>
        </is>
      </c>
      <c r="C60" t="inlineStr">
        <is>
          <t>082150089172</t>
        </is>
      </c>
      <c r="D60" t="inlineStr">
        <is>
          <t>cv.giangiogemilang@gmail.com</t>
        </is>
      </c>
      <c r="E60" t="inlineStr">
        <is>
          <t>https://lpjk.pu.go.id/search-badan-usaha-detail/SEFpd1B2WEkweDh4WGpmaEpjeDY5Zz09</t>
        </is>
      </c>
      <c r="F60" t="n">
        <v>1</v>
      </c>
      <c r="G60" t="inlineStr">
        <is>
          <t>BG006</t>
        </is>
      </c>
      <c r="H60" t="inlineStr">
        <is>
          <t>4 Mei 2023</t>
        </is>
      </c>
      <c r="I60" s="2" t="n">
        <v>46340</v>
      </c>
      <c r="J60" t="inlineStr">
        <is>
          <t>Disetujui</t>
        </is>
      </c>
      <c r="K60" t="n">
        <v>60</v>
      </c>
      <c r="L60" t="inlineStr">
        <is>
          <t>14 November 2026</t>
        </is>
      </c>
      <c r="M60" t="inlineStr">
        <is>
          <t>Konstruksi Gedung Pendidikan</t>
        </is>
      </c>
      <c r="N60" t="inlineStr">
        <is>
          <t>K</t>
        </is>
      </c>
      <c r="O60" t="inlineStr">
        <is>
          <t>20231107</t>
        </is>
      </c>
      <c r="P60" t="inlineStr">
        <is>
          <t>Kalimantan Timur</t>
        </is>
      </c>
      <c r="Q60" t="inlineStr"/>
    </row>
    <row r="61">
      <c r="A61" t="inlineStr">
        <is>
          <t>GILANG SAKTI KANAKA</t>
        </is>
      </c>
      <c r="B61" t="inlineStr">
        <is>
          <t>Kab. Gresik</t>
        </is>
      </c>
      <c r="C61" t="inlineStr">
        <is>
          <t>081375756905</t>
        </is>
      </c>
      <c r="D61" t="inlineStr">
        <is>
          <t>ptgisaka@gmail.com</t>
        </is>
      </c>
      <c r="E61" t="inlineStr">
        <is>
          <t>https://lpjk.pu.go.id/search-badan-usaha-detail/S3owQTM1ZFNQbjRRY3A2eXF6SDUrQT09</t>
        </is>
      </c>
      <c r="F61" t="n">
        <v>1</v>
      </c>
      <c r="G61" t="inlineStr">
        <is>
          <t>BG001</t>
        </is>
      </c>
      <c r="H61" t="inlineStr">
        <is>
          <t>7 Agustus 2021</t>
        </is>
      </c>
      <c r="I61" s="2" t="n">
        <v>46340</v>
      </c>
      <c r="J61" t="inlineStr">
        <is>
          <t>Pencabutan</t>
        </is>
      </c>
      <c r="K61" t="n">
        <v>60</v>
      </c>
      <c r="L61" t="inlineStr">
        <is>
          <t>14 November 2026</t>
        </is>
      </c>
      <c r="M61" t="inlineStr">
        <is>
          <t>Konstruksi Gedung Hunian</t>
        </is>
      </c>
      <c r="N61" t="inlineStr">
        <is>
          <t>K</t>
        </is>
      </c>
      <c r="O61" t="inlineStr">
        <is>
          <t>20231025</t>
        </is>
      </c>
      <c r="P61" t="inlineStr">
        <is>
          <t>Jawa Timur</t>
        </is>
      </c>
      <c r="Q61" t="inlineStr"/>
    </row>
    <row r="62">
      <c r="A62" t="inlineStr">
        <is>
          <t>GITA PRATAMA LESTARI</t>
        </is>
      </c>
      <c r="B62" t="inlineStr">
        <is>
          <t>Kab. Ciamis</t>
        </is>
      </c>
      <c r="C62" t="inlineStr">
        <is>
          <t>082218652158</t>
        </is>
      </c>
      <c r="D62" t="inlineStr">
        <is>
          <t>pt.gplestari@gmail.com</t>
        </is>
      </c>
      <c r="E62" t="inlineStr">
        <is>
          <t>https://lpjk.pu.go.id/search-badan-usaha-detail/MWk5eTZyekhBZmlRSHNrTUs3M3pOUT09</t>
        </is>
      </c>
      <c r="F62" t="n">
        <v>4</v>
      </c>
      <c r="G62" t="inlineStr">
        <is>
          <t>BG004, BG005, BG006, BG009</t>
        </is>
      </c>
      <c r="H62" t="inlineStr">
        <is>
          <t>27 Juli 2023</t>
        </is>
      </c>
      <c r="I62" s="2" t="n">
        <v>46340</v>
      </c>
      <c r="J62" t="inlineStr">
        <is>
          <t>Disetujui</t>
        </is>
      </c>
      <c r="K62" t="n">
        <v>60</v>
      </c>
      <c r="L62" t="inlineStr">
        <is>
          <t>14 November 2026</t>
        </is>
      </c>
      <c r="M62" t="inlineStr">
        <is>
          <t>Konstruksi Gedung Kesehatan, Konstruksi Gedung Lainnya, Konstruksi Gedung Pendidikan, Konstruksi Gedung Perbelanjaan</t>
        </is>
      </c>
      <c r="N62" t="inlineStr">
        <is>
          <t>K</t>
        </is>
      </c>
      <c r="O62" t="inlineStr">
        <is>
          <t>20231110</t>
        </is>
      </c>
      <c r="P62" t="inlineStr">
        <is>
          <t>Jawa Barat</t>
        </is>
      </c>
      <c r="Q62" t="inlineStr"/>
    </row>
    <row r="63">
      <c r="A63" t="inlineStr">
        <is>
          <t>GLORY INDAH NUSAJAYA</t>
        </is>
      </c>
      <c r="B63" t="inlineStr">
        <is>
          <t>Kota Tangerang Selatan</t>
        </is>
      </c>
      <c r="C63" t="inlineStr">
        <is>
          <t>081213556237</t>
        </is>
      </c>
      <c r="D63" t="inlineStr">
        <is>
          <t>gloryindahnusajaya@gmail.com</t>
        </is>
      </c>
      <c r="E63" t="inlineStr">
        <is>
          <t>https://lpjk.pu.go.id/search-badan-usaha-detail/SmZIN2lRSDVVdE83ZU5sRTBqcUMvUT09</t>
        </is>
      </c>
      <c r="F63" t="n">
        <v>1</v>
      </c>
      <c r="G63" t="inlineStr">
        <is>
          <t>BG003</t>
        </is>
      </c>
      <c r="H63" t="inlineStr">
        <is>
          <t>5 Oktober 2023</t>
        </is>
      </c>
      <c r="I63" s="2" t="n">
        <v>46340</v>
      </c>
      <c r="J63" t="inlineStr">
        <is>
          <t>Disetujui</t>
        </is>
      </c>
      <c r="K63" t="n">
        <v>60</v>
      </c>
      <c r="L63" t="inlineStr">
        <is>
          <t>14 November 2026</t>
        </is>
      </c>
      <c r="M63" t="inlineStr">
        <is>
          <t>Konstruksi Gedung Industri</t>
        </is>
      </c>
      <c r="N63" t="inlineStr">
        <is>
          <t>K</t>
        </is>
      </c>
      <c r="O63" t="inlineStr">
        <is>
          <t>20231115</t>
        </is>
      </c>
      <c r="P63" t="inlineStr">
        <is>
          <t>Banten</t>
        </is>
      </c>
      <c r="Q63" t="inlineStr"/>
    </row>
    <row r="64">
      <c r="A64" t="inlineStr">
        <is>
          <t>GOLDMONK ARCHITECTS</t>
        </is>
      </c>
      <c r="B64" t="inlineStr">
        <is>
          <t>Kab. Gianyar</t>
        </is>
      </c>
      <c r="C64" t="inlineStr">
        <is>
          <t>082247109758</t>
        </is>
      </c>
      <c r="D64" t="inlineStr">
        <is>
          <t>goldmonk.arch@gmail.com</t>
        </is>
      </c>
      <c r="E64" t="inlineStr">
        <is>
          <t>https://lpjk.pu.go.id/search-badan-usaha-detail/OE5FblEzS0orRTRXblA5T1BmYldXUT09</t>
        </is>
      </c>
      <c r="F64" t="n">
        <v>1</v>
      </c>
      <c r="G64" t="inlineStr">
        <is>
          <t>AR002</t>
        </is>
      </c>
      <c r="H64" t="inlineStr">
        <is>
          <t>29 November 2018</t>
        </is>
      </c>
      <c r="I64" s="2" t="n">
        <v>46340</v>
      </c>
      <c r="J64" t="inlineStr">
        <is>
          <t>Disetujui</t>
        </is>
      </c>
      <c r="K64" t="n">
        <v>60</v>
      </c>
      <c r="L64" t="inlineStr">
        <is>
          <t>14 November 2026</t>
        </is>
      </c>
      <c r="M64" t="inlineStr">
        <is>
          <t>Jasa Arsitektural Lainnya</t>
        </is>
      </c>
      <c r="N64" t="inlineStr">
        <is>
          <t>K</t>
        </is>
      </c>
      <c r="O64" t="inlineStr">
        <is>
          <t>20230921</t>
        </is>
      </c>
      <c r="P64" t="inlineStr">
        <is>
          <t>Bali</t>
        </is>
      </c>
      <c r="Q64" t="inlineStr"/>
    </row>
    <row r="65">
      <c r="A65" t="inlineStr">
        <is>
          <t>GRAHA KENCANA</t>
        </is>
      </c>
      <c r="B65" t="inlineStr">
        <is>
          <t>Kota Jambi</t>
        </is>
      </c>
      <c r="C65" t="inlineStr">
        <is>
          <t>08117469809</t>
        </is>
      </c>
      <c r="D65" t="inlineStr">
        <is>
          <t>grahakencana123@gmail.com</t>
        </is>
      </c>
      <c r="E65" t="inlineStr">
        <is>
          <t>https://lpjk.pu.go.id/search-badan-usaha-detail/OWlnN3QvanFiVWdMempyQTZWTWxtZz09</t>
        </is>
      </c>
      <c r="F65" t="n">
        <v>1</v>
      </c>
      <c r="G65" t="inlineStr">
        <is>
          <t>BS004</t>
        </is>
      </c>
      <c r="H65" t="inlineStr">
        <is>
          <t>1 Oktober 2014</t>
        </is>
      </c>
      <c r="I65" s="2" t="n">
        <v>46340</v>
      </c>
      <c r="J65" t="inlineStr">
        <is>
          <t>Disetujui</t>
        </is>
      </c>
      <c r="K65" t="n">
        <v>60</v>
      </c>
      <c r="L65" t="inlineStr">
        <is>
          <t>14 November 2026</t>
        </is>
      </c>
      <c r="M65" t="inlineStr">
        <is>
          <t>Konstruksi Jaringan Irigasi dan Drainase</t>
        </is>
      </c>
      <c r="N65" t="inlineStr">
        <is>
          <t>K</t>
        </is>
      </c>
      <c r="O65" t="inlineStr">
        <is>
          <t>20231106</t>
        </is>
      </c>
      <c r="P65" t="inlineStr">
        <is>
          <t>Jambi</t>
        </is>
      </c>
      <c r="Q65" t="inlineStr"/>
    </row>
    <row r="66">
      <c r="A66" t="inlineStr">
        <is>
          <t>GRAHA TERUSAN JASA</t>
        </is>
      </c>
      <c r="B66" t="inlineStr">
        <is>
          <t>Kab. Indramayu</t>
        </is>
      </c>
      <c r="C66" t="inlineStr">
        <is>
          <t>082221290819</t>
        </is>
      </c>
      <c r="D66" t="inlineStr">
        <is>
          <t>terusanjasa99@gmail.com</t>
        </is>
      </c>
      <c r="E66" t="inlineStr">
        <is>
          <t>https://lpjk.pu.go.id/search-badan-usaha-detail/RlRmOVB2Q00ySjJVS0NPZFBRdmtiQT09</t>
        </is>
      </c>
      <c r="F66" t="n">
        <v>1</v>
      </c>
      <c r="G66" t="inlineStr">
        <is>
          <t>BS004</t>
        </is>
      </c>
      <c r="H66" t="inlineStr">
        <is>
          <t>18 Juli 2023</t>
        </is>
      </c>
      <c r="I66" s="2" t="n">
        <v>46340</v>
      </c>
      <c r="J66" t="inlineStr">
        <is>
          <t>Disetujui</t>
        </is>
      </c>
      <c r="K66" t="n">
        <v>60</v>
      </c>
      <c r="L66" t="inlineStr">
        <is>
          <t>14 November 2026</t>
        </is>
      </c>
      <c r="M66" t="inlineStr">
        <is>
          <t>Konstruksi Jaringan Irigasi dan Drainase</t>
        </is>
      </c>
      <c r="N66" t="inlineStr">
        <is>
          <t>K</t>
        </is>
      </c>
      <c r="O66" t="inlineStr">
        <is>
          <t>20231109</t>
        </is>
      </c>
      <c r="P66" t="inlineStr">
        <is>
          <t>Jawa Barat</t>
        </is>
      </c>
      <c r="Q66" t="inlineStr"/>
    </row>
    <row r="67">
      <c r="A67" t="inlineStr">
        <is>
          <t>GUMARANG</t>
        </is>
      </c>
      <c r="B67" t="inlineStr">
        <is>
          <t>Kab. Cilacap</t>
        </is>
      </c>
      <c r="C67" t="inlineStr">
        <is>
          <t>0282541677</t>
        </is>
      </c>
      <c r="D67" t="inlineStr">
        <is>
          <t>cvgumarang_clp@yahoo.co.id</t>
        </is>
      </c>
      <c r="E67" t="inlineStr">
        <is>
          <t>https://lpjk.pu.go.id/search-badan-usaha-detail/a3RocDVkTysybFV3WWxmRkpPbUdNQT09</t>
        </is>
      </c>
      <c r="F67" t="n">
        <v>1</v>
      </c>
      <c r="G67" t="inlineStr">
        <is>
          <t>IN004</t>
        </is>
      </c>
      <c r="H67" t="inlineStr">
        <is>
          <t>11 Januari 1994</t>
        </is>
      </c>
      <c r="I67" s="2" t="n">
        <v>46340</v>
      </c>
      <c r="J67" t="inlineStr">
        <is>
          <t>Pembekuan</t>
        </is>
      </c>
      <c r="K67" t="n">
        <v>60</v>
      </c>
      <c r="L67" t="inlineStr">
        <is>
          <t>14 November 2026</t>
        </is>
      </c>
      <c r="M67" t="inlineStr">
        <is>
          <t>Instalasi Minyak dan Gas</t>
        </is>
      </c>
      <c r="N67" t="inlineStr">
        <is>
          <t>Spesialis</t>
        </is>
      </c>
      <c r="O67" t="inlineStr">
        <is>
          <t>20231113</t>
        </is>
      </c>
      <c r="P67" t="inlineStr">
        <is>
          <t>Jawa Tengah</t>
        </is>
      </c>
      <c r="Q67" t="inlineStr"/>
    </row>
    <row r="68">
      <c r="A68" t="inlineStr">
        <is>
          <t>HARTA RAYA</t>
        </is>
      </c>
      <c r="B68" t="inlineStr">
        <is>
          <t>Kab. Bandung</t>
        </is>
      </c>
      <c r="C68" t="inlineStr">
        <is>
          <t>081312040415</t>
        </is>
      </c>
      <c r="D68" t="inlineStr">
        <is>
          <t>hartarayacv@gmail.com</t>
        </is>
      </c>
      <c r="E68" t="inlineStr">
        <is>
          <t>https://lpjk.pu.go.id/search-badan-usaha-detail/aUwxOE5IcTZxQTh4R3BFWjg3cS9EUT09</t>
        </is>
      </c>
      <c r="F68" t="n">
        <v>1</v>
      </c>
      <c r="G68" t="inlineStr">
        <is>
          <t>BS005</t>
        </is>
      </c>
      <c r="H68" t="inlineStr">
        <is>
          <t>18 Januari 2018</t>
        </is>
      </c>
      <c r="I68" s="2" t="n">
        <v>46340</v>
      </c>
      <c r="J68" t="inlineStr">
        <is>
          <t>Disetujui</t>
        </is>
      </c>
      <c r="K68" t="n">
        <v>60</v>
      </c>
      <c r="L68" t="inlineStr">
        <is>
          <t>14 November 2026</t>
        </is>
      </c>
      <c r="M68" t="inlineStr">
        <is>
          <t>Konstruksi Bangunan Sipil Pengolahan Air Bersih</t>
        </is>
      </c>
      <c r="N68" t="inlineStr">
        <is>
          <t>K</t>
        </is>
      </c>
      <c r="O68" t="inlineStr">
        <is>
          <t>20231114</t>
        </is>
      </c>
      <c r="P68" t="inlineStr">
        <is>
          <t>Jawa Barat</t>
        </is>
      </c>
      <c r="Q68" t="inlineStr"/>
    </row>
    <row r="69">
      <c r="A69" t="inlineStr">
        <is>
          <t>HIDAYAH</t>
        </is>
      </c>
      <c r="B69" t="inlineStr">
        <is>
          <t>Kab. Hulu Sungai Tengah</t>
        </is>
      </c>
      <c r="C69" t="inlineStr">
        <is>
          <t>081333499370</t>
        </is>
      </c>
      <c r="D69" t="inlineStr">
        <is>
          <t>dayahcv7@gmail.com</t>
        </is>
      </c>
      <c r="E69" t="inlineStr">
        <is>
          <t>https://lpjk.pu.go.id/search-badan-usaha-detail/UUNaME0zbUdSR09uSWRjSFN0a0ZBZz09</t>
        </is>
      </c>
      <c r="F69" t="n">
        <v>2</v>
      </c>
      <c r="G69" t="inlineStr">
        <is>
          <t>RK002, RK003</t>
        </is>
      </c>
      <c r="H69" t="inlineStr">
        <is>
          <t>20 Januari 2014</t>
        </is>
      </c>
      <c r="I69" s="2" t="n">
        <v>46340</v>
      </c>
      <c r="J69" t="inlineStr">
        <is>
          <t>Disetujui</t>
        </is>
      </c>
      <c r="K69" t="n">
        <v>60</v>
      </c>
      <c r="L69" t="inlineStr">
        <is>
          <t>14 November 2026</t>
        </is>
      </c>
      <c r="M69" t="inlineStr">
        <is>
          <t>Jasa Rekayasa Pekerjaan Teknik Sipil Sumber Daya Air, Jasa Rekayasa Pekerjaan Teknik Sipil Transportasi</t>
        </is>
      </c>
      <c r="N69" t="inlineStr">
        <is>
          <t>K</t>
        </is>
      </c>
      <c r="O69" t="inlineStr">
        <is>
          <t>20230107, 20231102</t>
        </is>
      </c>
      <c r="P69" t="inlineStr">
        <is>
          <t>Kalimantan Selatan</t>
        </is>
      </c>
      <c r="Q69" t="inlineStr"/>
    </row>
    <row r="70">
      <c r="A70" t="inlineStr">
        <is>
          <t>IBNU MUNSYIR DWI GUNA</t>
        </is>
      </c>
      <c r="B70" t="inlineStr">
        <is>
          <t>Kab. Gowa</t>
        </is>
      </c>
      <c r="C70" t="inlineStr">
        <is>
          <t>081341752007</t>
        </is>
      </c>
      <c r="D70" t="inlineStr">
        <is>
          <t>ibnumuunsyir@gmail.com</t>
        </is>
      </c>
      <c r="E70" t="inlineStr">
        <is>
          <t>https://lpjk.pu.go.id/search-badan-usaha-detail/RlBmcFh4cEVWdzVLeXBFSWRGVFBpdz09</t>
        </is>
      </c>
      <c r="F70" t="n">
        <v>1</v>
      </c>
      <c r="G70" t="inlineStr">
        <is>
          <t>BS004</t>
        </is>
      </c>
      <c r="H70" t="inlineStr">
        <is>
          <t>27 Juli 2005</t>
        </is>
      </c>
      <c r="I70" s="2" t="n">
        <v>46340</v>
      </c>
      <c r="J70" t="inlineStr">
        <is>
          <t>Disetujui</t>
        </is>
      </c>
      <c r="K70" t="n">
        <v>60</v>
      </c>
      <c r="L70" t="inlineStr">
        <is>
          <t>14 November 2026</t>
        </is>
      </c>
      <c r="M70" t="inlineStr">
        <is>
          <t>Konstruksi Jaringan Irigasi dan Drainase</t>
        </is>
      </c>
      <c r="N70" t="inlineStr">
        <is>
          <t>M</t>
        </is>
      </c>
      <c r="O70" t="inlineStr">
        <is>
          <t>20231114</t>
        </is>
      </c>
      <c r="P70" t="inlineStr">
        <is>
          <t>Sulawesi Selatan</t>
        </is>
      </c>
      <c r="Q70" t="inlineStr"/>
    </row>
    <row r="71">
      <c r="A71" t="inlineStr">
        <is>
          <t>INDAH LESTARI</t>
        </is>
      </c>
      <c r="B71" t="inlineStr">
        <is>
          <t>Kab. Langkat</t>
        </is>
      </c>
      <c r="C71" t="inlineStr">
        <is>
          <t>08126363624</t>
        </is>
      </c>
      <c r="D71" t="inlineStr">
        <is>
          <t>CV.INDAHLESTARI@GMAIL.COM</t>
        </is>
      </c>
      <c r="E71" t="inlineStr">
        <is>
          <t>https://lpjk.pu.go.id/search-badan-usaha-detail/Y2NpenRMOWdMblZ1bWxkMmtVOGFvZz09</t>
        </is>
      </c>
      <c r="F71" t="n">
        <v>2</v>
      </c>
      <c r="G71" t="inlineStr">
        <is>
          <t>BG001, BS010</t>
        </is>
      </c>
      <c r="H71" t="inlineStr">
        <is>
          <t>19 Januari 2016</t>
        </is>
      </c>
      <c r="I71" s="2" t="n">
        <v>46340</v>
      </c>
      <c r="J71" t="inlineStr">
        <is>
          <t>Disetujui</t>
        </is>
      </c>
      <c r="K71" t="n">
        <v>60</v>
      </c>
      <c r="L71" t="inlineStr">
        <is>
          <t>14 November 2026</t>
        </is>
      </c>
      <c r="M71" t="inlineStr">
        <is>
          <t>Konstruksi Bangunan Prasarana Sumber Daya Air, Konstruksi Gedung Hunian</t>
        </is>
      </c>
      <c r="N71" t="inlineStr">
        <is>
          <t>K</t>
        </is>
      </c>
      <c r="O71" t="inlineStr">
        <is>
          <t>20231114, 20231117</t>
        </is>
      </c>
      <c r="P71" t="inlineStr">
        <is>
          <t>Sumatera Utara</t>
        </is>
      </c>
      <c r="Q71" t="inlineStr"/>
    </row>
    <row r="72">
      <c r="A72" t="inlineStr">
        <is>
          <t>INDONESIA TRADING AND INDUSTRI</t>
        </is>
      </c>
      <c r="B72" t="inlineStr">
        <is>
          <t>Kota Bandar Lampung</t>
        </is>
      </c>
      <c r="C72" t="inlineStr">
        <is>
          <t>081273151316</t>
        </is>
      </c>
      <c r="D72" t="inlineStr">
        <is>
          <t>indonesia.tradingandindustri@gmail.com</t>
        </is>
      </c>
      <c r="E72" t="inlineStr">
        <is>
          <t>https://lpjk.pu.go.id/search-badan-usaha-detail/eEtNSEVwTFp6dVBoeFF1L0IybVdjUT09</t>
        </is>
      </c>
      <c r="F72" t="n">
        <v>4</v>
      </c>
      <c r="G72" t="inlineStr">
        <is>
          <t>BG001, BS004</t>
        </is>
      </c>
      <c r="H72" t="inlineStr">
        <is>
          <t>13 Oktober 2016</t>
        </is>
      </c>
      <c r="I72" s="2" t="n">
        <v>46340</v>
      </c>
      <c r="J72" t="inlineStr">
        <is>
          <t>Disetujui</t>
        </is>
      </c>
      <c r="K72" t="n">
        <v>60</v>
      </c>
      <c r="L72" t="inlineStr">
        <is>
          <t>14 November 2026</t>
        </is>
      </c>
      <c r="M72" t="inlineStr">
        <is>
          <t>Konstruksi Gedung Hunian, Konstruksi Jaringan Irigasi dan Drainase</t>
        </is>
      </c>
      <c r="N72" t="inlineStr">
        <is>
          <t>K</t>
        </is>
      </c>
      <c r="O72" t="inlineStr">
        <is>
          <t>20231113</t>
        </is>
      </c>
      <c r="P72" t="inlineStr">
        <is>
          <t>Lampung</t>
        </is>
      </c>
      <c r="Q72" t="inlineStr"/>
    </row>
    <row r="73">
      <c r="A73" t="inlineStr">
        <is>
          <t>JASA KONSTRUKSI BANJARNEGARA</t>
        </is>
      </c>
      <c r="B73" t="inlineStr">
        <is>
          <t>Kab. Banjarnegara</t>
        </is>
      </c>
      <c r="C73" t="inlineStr">
        <is>
          <t>082236684114</t>
        </is>
      </c>
      <c r="D73" t="inlineStr">
        <is>
          <t>pt.jasa.konstruksi.banjarnegara@gmail.com</t>
        </is>
      </c>
      <c r="E73" t="inlineStr">
        <is>
          <t>https://lpjk.pu.go.id/search-badan-usaha-detail/R2ZQTVNaZW5FOUQvVCttamZ3REh4Zz09</t>
        </is>
      </c>
      <c r="F73" t="n">
        <v>5</v>
      </c>
      <c r="G73" t="inlineStr">
        <is>
          <t>BG001, BG003, BG008, BG009, BS001</t>
        </is>
      </c>
      <c r="H73" t="inlineStr">
        <is>
          <t>7 Maret 2020</t>
        </is>
      </c>
      <c r="I73" s="2" t="n">
        <v>46340</v>
      </c>
      <c r="J73" t="inlineStr">
        <is>
          <t>Disetujui, Pencabutan</t>
        </is>
      </c>
      <c r="K73" t="n">
        <v>60</v>
      </c>
      <c r="L73" t="inlineStr">
        <is>
          <t>14 November 2026</t>
        </is>
      </c>
      <c r="M73" t="inlineStr">
        <is>
          <t>Konstruksi Bangunan Sipil Jalan, Konstruksi Gedung Hunian, Konstruksi Gedung Industri, Konstruksi Gedung Lainnya, Konstruksi Gedung Tempat Hiburan dan Olahraga</t>
        </is>
      </c>
      <c r="N73" t="inlineStr">
        <is>
          <t>K</t>
        </is>
      </c>
      <c r="O73" t="inlineStr">
        <is>
          <t>20231109, 20231113</t>
        </is>
      </c>
      <c r="P73" t="inlineStr">
        <is>
          <t>Jawa Tengah</t>
        </is>
      </c>
      <c r="Q73" t="inlineStr"/>
    </row>
    <row r="74">
      <c r="A74" t="inlineStr">
        <is>
          <t>JASACIPTA KARUNIA</t>
        </is>
      </c>
      <c r="B74" t="inlineStr">
        <is>
          <t>Kab. Sumbawa</t>
        </is>
      </c>
      <c r="C74" t="inlineStr">
        <is>
          <t>081935984447</t>
        </is>
      </c>
      <c r="D74" t="inlineStr">
        <is>
          <t>jasacipta@gmail.com</t>
        </is>
      </c>
      <c r="E74" t="inlineStr">
        <is>
          <t>https://lpjk.pu.go.id/search-badan-usaha-detail/SEx6Y0dlMUhuQ3NtLzFhVy9zMzdUdz09</t>
        </is>
      </c>
      <c r="F74" t="n">
        <v>2</v>
      </c>
      <c r="G74" t="inlineStr">
        <is>
          <t>BG005, BG006</t>
        </is>
      </c>
      <c r="H74" t="inlineStr">
        <is>
          <t>31 Oktober 2005</t>
        </is>
      </c>
      <c r="I74" s="2" t="n">
        <v>46340</v>
      </c>
      <c r="J74" t="inlineStr">
        <is>
          <t>Disetujui</t>
        </is>
      </c>
      <c r="K74" t="n">
        <v>60</v>
      </c>
      <c r="L74" t="inlineStr">
        <is>
          <t>14 November 2026</t>
        </is>
      </c>
      <c r="M74" t="inlineStr">
        <is>
          <t>Konstruksi Gedung Kesehatan, Konstruksi Gedung Pendidikan</t>
        </is>
      </c>
      <c r="N74" t="inlineStr">
        <is>
          <t>K</t>
        </is>
      </c>
      <c r="O74" t="inlineStr">
        <is>
          <t>20231114</t>
        </is>
      </c>
      <c r="P74" t="inlineStr">
        <is>
          <t>Nusa Tenggara Barat</t>
        </is>
      </c>
      <c r="Q74" t="inlineStr"/>
    </row>
    <row r="75">
      <c r="A75" t="inlineStr">
        <is>
          <t>KALINA SUMBER BERKAT</t>
        </is>
      </c>
      <c r="B75" t="inlineStr">
        <is>
          <t>Kota Surabaya</t>
        </is>
      </c>
      <c r="C75" t="inlineStr">
        <is>
          <t>08111509107</t>
        </is>
      </c>
      <c r="D75" t="inlineStr">
        <is>
          <t>kalinasumberberkat@gmail.com</t>
        </is>
      </c>
      <c r="E75" t="inlineStr">
        <is>
          <t>https://lpjk.pu.go.id/search-badan-usaha-detail/Y01jOWVveG1pVEZWQWszaFlSS01jUT09</t>
        </is>
      </c>
      <c r="F75" t="n">
        <v>4</v>
      </c>
      <c r="G75" t="inlineStr">
        <is>
          <t>BG002, BG009</t>
        </is>
      </c>
      <c r="H75" t="inlineStr">
        <is>
          <t>2 Mei 2023</t>
        </is>
      </c>
      <c r="I75" s="2" t="n">
        <v>46340</v>
      </c>
      <c r="J75" t="inlineStr">
        <is>
          <t>Disetujui</t>
        </is>
      </c>
      <c r="K75" t="n">
        <v>60</v>
      </c>
      <c r="L75" t="inlineStr">
        <is>
          <t>14 November 2026</t>
        </is>
      </c>
      <c r="M75" t="inlineStr">
        <is>
          <t>Konstruksi Gedung Lainnya, Konstruksi Gedung Perkantoran</t>
        </is>
      </c>
      <c r="N75" t="inlineStr">
        <is>
          <t>K</t>
        </is>
      </c>
      <c r="O75" t="inlineStr">
        <is>
          <t>20231114, 20231116</t>
        </is>
      </c>
      <c r="P75" t="inlineStr">
        <is>
          <t>Jawa Timur</t>
        </is>
      </c>
      <c r="Q75" t="inlineStr"/>
    </row>
    <row r="76">
      <c r="A76" t="inlineStr">
        <is>
          <t>KARYA BANGUN PRATAMA</t>
        </is>
      </c>
      <c r="B76" t="inlineStr">
        <is>
          <t>Kota Semarang</t>
        </is>
      </c>
      <c r="C76" t="inlineStr">
        <is>
          <t>087832328900</t>
        </is>
      </c>
      <c r="D76" t="inlineStr">
        <is>
          <t>karyabangunpratama@gmail.com</t>
        </is>
      </c>
      <c r="E76" t="inlineStr">
        <is>
          <t>https://lpjk.pu.go.id/search-badan-usaha-detail/NmQ5MlRUZGk0UmhwOXJFZWtrenlDQT09</t>
        </is>
      </c>
      <c r="F76" t="n">
        <v>6</v>
      </c>
      <c r="G76" t="inlineStr">
        <is>
          <t>BG002, BG003, BG004, BG005, BS001, BS004</t>
        </is>
      </c>
      <c r="H76" t="inlineStr">
        <is>
          <t>30 Januari 2015</t>
        </is>
      </c>
      <c r="I76" s="2" t="n">
        <v>46340</v>
      </c>
      <c r="J76" t="inlineStr">
        <is>
          <t>Disetujui</t>
        </is>
      </c>
      <c r="K76" t="n">
        <v>60</v>
      </c>
      <c r="L76" t="inlineStr">
        <is>
          <t>14 November 2026</t>
        </is>
      </c>
      <c r="M76" t="inlineStr">
        <is>
          <t>Konstruksi Bangunan Sipil Jalan, Konstruksi Gedung Industri, Konstruksi Gedung Kesehatan, Konstruksi Gedung Perbelanjaan, Konstruksi Gedung Perkantoran, Konstruksi Jaringan Irigasi dan Drainase</t>
        </is>
      </c>
      <c r="N76" t="inlineStr">
        <is>
          <t>K</t>
        </is>
      </c>
      <c r="O76" t="inlineStr">
        <is>
          <t>20230921, 20231109, 20231110</t>
        </is>
      </c>
      <c r="P76" t="inlineStr">
        <is>
          <t>Jawa Tengah</t>
        </is>
      </c>
      <c r="Q76" t="inlineStr"/>
    </row>
    <row r="77">
      <c r="A77" t="inlineStr">
        <is>
          <t>KARYA SUMAMPAN</t>
        </is>
      </c>
      <c r="B77" t="inlineStr">
        <is>
          <t>Kab. Klungkung</t>
        </is>
      </c>
      <c r="C77" t="inlineStr">
        <is>
          <t>081938104975</t>
        </is>
      </c>
      <c r="D77" t="inlineStr">
        <is>
          <t>karyasumampan@gmail.com</t>
        </is>
      </c>
      <c r="E77" t="inlineStr">
        <is>
          <t>https://lpjk.pu.go.id/search-badan-usaha-detail/RFFJNFRVNTdCOExQd0ljQ3d0Tk9Ndz09</t>
        </is>
      </c>
      <c r="F77" t="n">
        <v>4</v>
      </c>
      <c r="G77" t="inlineStr">
        <is>
          <t>BG002, BG005, BG006, BG009</t>
        </is>
      </c>
      <c r="H77" t="inlineStr">
        <is>
          <t>27 Januari 2004</t>
        </is>
      </c>
      <c r="I77" s="2" t="n">
        <v>46340</v>
      </c>
      <c r="J77" t="inlineStr">
        <is>
          <t>Disetujui</t>
        </is>
      </c>
      <c r="K77" t="n">
        <v>60</v>
      </c>
      <c r="L77" t="inlineStr">
        <is>
          <t>14 November 2026</t>
        </is>
      </c>
      <c r="M77" t="inlineStr">
        <is>
          <t>Konstruksi Gedung Kesehatan, Konstruksi Gedung Lainnya, Konstruksi Gedung Pendidikan, Konstruksi Gedung Perkantoran</t>
        </is>
      </c>
      <c r="N77" t="inlineStr">
        <is>
          <t>K</t>
        </is>
      </c>
      <c r="O77" t="inlineStr">
        <is>
          <t>20231102, 20231109</t>
        </is>
      </c>
      <c r="P77" t="inlineStr">
        <is>
          <t>Bali</t>
        </is>
      </c>
      <c r="Q77" t="inlineStr"/>
    </row>
    <row r="78">
      <c r="A78" t="inlineStr">
        <is>
          <t>KARYAKREASI NYAHUTAMA</t>
        </is>
      </c>
      <c r="B78" t="inlineStr">
        <is>
          <t>Kota Adm. Jakarta Pusat</t>
        </is>
      </c>
      <c r="C78" t="inlineStr">
        <is>
          <t>0213908650</t>
        </is>
      </c>
      <c r="D78" t="inlineStr">
        <is>
          <t>karyakreasinyahutama@gmail.com</t>
        </is>
      </c>
      <c r="E78" t="inlineStr">
        <is>
          <t>https://lpjk.pu.go.id/search-badan-usaha-detail/M1VhcU81anFpcW5tWisvT2E1MkZBZz09</t>
        </is>
      </c>
      <c r="F78" t="n">
        <v>1</v>
      </c>
      <c r="G78" t="inlineStr">
        <is>
          <t>BG001</t>
        </is>
      </c>
      <c r="H78" t="inlineStr">
        <is>
          <t>18 Desember 2019</t>
        </is>
      </c>
      <c r="I78" s="2" t="n">
        <v>46340</v>
      </c>
      <c r="J78" t="inlineStr">
        <is>
          <t>Disetujui</t>
        </is>
      </c>
      <c r="K78" t="n">
        <v>60</v>
      </c>
      <c r="L78" t="inlineStr">
        <is>
          <t>14 November 2026</t>
        </is>
      </c>
      <c r="M78" t="inlineStr">
        <is>
          <t>Konstruksi Gedung Hunian</t>
        </is>
      </c>
      <c r="N78" t="inlineStr">
        <is>
          <t>K</t>
        </is>
      </c>
      <c r="O78" t="inlineStr">
        <is>
          <t>20230508</t>
        </is>
      </c>
      <c r="P78" t="inlineStr">
        <is>
          <t>DKI Jakarta</t>
        </is>
      </c>
      <c r="Q78" t="inlineStr"/>
    </row>
    <row r="79">
      <c r="A79" t="inlineStr">
        <is>
          <t>KARYATAMA ADIGUNA MANDIRI</t>
        </is>
      </c>
      <c r="B79" t="inlineStr">
        <is>
          <t>Kota Pekanbaru</t>
        </is>
      </c>
      <c r="C79" t="inlineStr">
        <is>
          <t>082171849476</t>
        </is>
      </c>
      <c r="D79" t="inlineStr">
        <is>
          <t>karyatamaadigunamandiri@gmail.com</t>
        </is>
      </c>
      <c r="E79" t="inlineStr">
        <is>
          <t>https://lpjk.pu.go.id/search-badan-usaha-detail/SS9oaWQ1aGFGazhzallJaW16emxMUT09</t>
        </is>
      </c>
      <c r="F79" t="n">
        <v>2</v>
      </c>
      <c r="G79" t="inlineStr">
        <is>
          <t>BG001</t>
        </is>
      </c>
      <c r="H79" t="inlineStr">
        <is>
          <t>15 September 2023</t>
        </is>
      </c>
      <c r="I79" s="2" t="n">
        <v>46340</v>
      </c>
      <c r="J79" t="inlineStr">
        <is>
          <t>Disetujui</t>
        </is>
      </c>
      <c r="K79" t="n">
        <v>60</v>
      </c>
      <c r="L79" t="inlineStr">
        <is>
          <t>14 November 2026</t>
        </is>
      </c>
      <c r="M79" t="inlineStr">
        <is>
          <t>Konstruksi Gedung Hunian</t>
        </is>
      </c>
      <c r="N79" t="inlineStr">
        <is>
          <t>K</t>
        </is>
      </c>
      <c r="O79" t="inlineStr">
        <is>
          <t>20231110</t>
        </is>
      </c>
      <c r="P79" t="inlineStr">
        <is>
          <t>Riau</t>
        </is>
      </c>
      <c r="Q79" t="inlineStr"/>
    </row>
    <row r="80">
      <c r="A80" t="inlineStr">
        <is>
          <t>KEDUNG TIRTA SARANA</t>
        </is>
      </c>
      <c r="B80" t="inlineStr">
        <is>
          <t>Kota Semarang</t>
        </is>
      </c>
      <c r="C80" t="inlineStr">
        <is>
          <t>0248444044</t>
        </is>
      </c>
      <c r="D80" t="inlineStr">
        <is>
          <t>kedungtirtasarana@yahoo.co.id</t>
        </is>
      </c>
      <c r="E80" t="inlineStr">
        <is>
          <t>https://lpjk.pu.go.id/search-badan-usaha-detail/aGFNNDdhdWppWnFyaGp5NlBZbUxvQT09</t>
        </is>
      </c>
      <c r="F80" t="n">
        <v>1</v>
      </c>
      <c r="G80" t="inlineStr">
        <is>
          <t>BS005</t>
        </is>
      </c>
      <c r="H80" t="inlineStr">
        <is>
          <t>4 April 2011</t>
        </is>
      </c>
      <c r="I80" s="2" t="n">
        <v>46340</v>
      </c>
      <c r="J80" t="inlineStr">
        <is>
          <t>Disetujui</t>
        </is>
      </c>
      <c r="K80" t="n">
        <v>60</v>
      </c>
      <c r="L80" t="inlineStr">
        <is>
          <t>14 November 2026</t>
        </is>
      </c>
      <c r="M80" t="inlineStr">
        <is>
          <t>Konstruksi Bangunan Sipil Pengolahan Air Bersih</t>
        </is>
      </c>
      <c r="N80" t="inlineStr">
        <is>
          <t>K</t>
        </is>
      </c>
      <c r="O80" t="inlineStr">
        <is>
          <t>20231012</t>
        </is>
      </c>
      <c r="P80" t="inlineStr">
        <is>
          <t>Jawa Tengah</t>
        </is>
      </c>
      <c r="Q80" t="inlineStr"/>
    </row>
    <row r="81">
      <c r="A81" t="inlineStr">
        <is>
          <t>KIARA TUNGGAL</t>
        </is>
      </c>
      <c r="B81" t="inlineStr">
        <is>
          <t>Kab. Tangerang</t>
        </is>
      </c>
      <c r="C81" t="inlineStr">
        <is>
          <t>08567477573</t>
        </is>
      </c>
      <c r="D81" t="inlineStr">
        <is>
          <t>kiaratunggalcv@gmail.com</t>
        </is>
      </c>
      <c r="E81" t="inlineStr">
        <is>
          <t>https://lpjk.pu.go.id/search-badan-usaha-detail/dXVSOHhtV0RWV1lkTFJzdVU5UnhPZz09</t>
        </is>
      </c>
      <c r="F81" t="n">
        <v>4</v>
      </c>
      <c r="G81" t="inlineStr">
        <is>
          <t>BG006, BG009, BS001, BS004</t>
        </is>
      </c>
      <c r="H81" t="inlineStr">
        <is>
          <t>15 Januari 2013</t>
        </is>
      </c>
      <c r="I81" s="2" t="n">
        <v>46340</v>
      </c>
      <c r="J81" t="inlineStr">
        <is>
          <t>Pencabutan</t>
        </is>
      </c>
      <c r="K81" t="n">
        <v>60</v>
      </c>
      <c r="L81" t="inlineStr">
        <is>
          <t>14 November 2026</t>
        </is>
      </c>
      <c r="M81" t="inlineStr">
        <is>
          <t>Konstruksi Bangunan Sipil Jalan, Konstruksi Gedung Lainnya, Konstruksi Gedung Pendidikan, Konstruksi Jaringan Irigasi dan Drainase</t>
        </is>
      </c>
      <c r="N81" t="inlineStr">
        <is>
          <t>K</t>
        </is>
      </c>
      <c r="O81" t="inlineStr">
        <is>
          <t>20231109</t>
        </is>
      </c>
      <c r="P81" t="inlineStr">
        <is>
          <t>Banten</t>
        </is>
      </c>
      <c r="Q81" t="inlineStr"/>
    </row>
    <row r="82">
      <c r="A82" t="inlineStr">
        <is>
          <t>KINARA</t>
        </is>
      </c>
      <c r="B82" t="inlineStr">
        <is>
          <t>Kab. Lombok Timur</t>
        </is>
      </c>
      <c r="C82" t="inlineStr">
        <is>
          <t>087763309090</t>
        </is>
      </c>
      <c r="D82" t="inlineStr">
        <is>
          <t>kinaracv30@gmail.com</t>
        </is>
      </c>
      <c r="E82" t="inlineStr">
        <is>
          <t>https://lpjk.pu.go.id/search-badan-usaha-detail/aGZsUzR6d3NXWnhwU1RWVm1nZXgxQT09</t>
        </is>
      </c>
      <c r="F82" t="n">
        <v>2</v>
      </c>
      <c r="G82" t="inlineStr">
        <is>
          <t>BS001</t>
        </is>
      </c>
      <c r="H82" t="inlineStr">
        <is>
          <t>10 Juli 2020</t>
        </is>
      </c>
      <c r="I82" s="2" t="n">
        <v>46340</v>
      </c>
      <c r="J82" t="inlineStr">
        <is>
          <t>Pencabutan</t>
        </is>
      </c>
      <c r="K82" t="n">
        <v>60</v>
      </c>
      <c r="L82" t="inlineStr">
        <is>
          <t>14 November 2026</t>
        </is>
      </c>
      <c r="M82" t="inlineStr">
        <is>
          <t>Konstruksi Bangunan Sipil Jalan</t>
        </is>
      </c>
      <c r="N82" t="inlineStr">
        <is>
          <t>K</t>
        </is>
      </c>
      <c r="O82" t="inlineStr">
        <is>
          <t>20231110</t>
        </is>
      </c>
      <c r="P82" t="inlineStr">
        <is>
          <t>Nusa Tenggara Barat</t>
        </is>
      </c>
      <c r="Q82" t="inlineStr"/>
    </row>
    <row r="83">
      <c r="A83" t="inlineStr">
        <is>
          <t>KREASI KHATULISTIWA</t>
        </is>
      </c>
      <c r="B83" t="inlineStr">
        <is>
          <t>Kota Pontianak</t>
        </is>
      </c>
      <c r="C83" t="inlineStr">
        <is>
          <t>085345258483</t>
        </is>
      </c>
      <c r="D83" t="inlineStr">
        <is>
          <t>kreasikhatulistiwa7@gmail.com</t>
        </is>
      </c>
      <c r="E83" t="inlineStr">
        <is>
          <t>https://lpjk.pu.go.id/search-badan-usaha-detail/VlBXY0tqTXUzbVNMbW84OCtZdERNQT09</t>
        </is>
      </c>
      <c r="F83" t="n">
        <v>1</v>
      </c>
      <c r="G83" t="inlineStr">
        <is>
          <t>BG001</t>
        </is>
      </c>
      <c r="H83" t="inlineStr">
        <is>
          <t>27 Agustus 2005</t>
        </is>
      </c>
      <c r="I83" s="2" t="n">
        <v>46340</v>
      </c>
      <c r="J83" t="inlineStr">
        <is>
          <t>Disetujui</t>
        </is>
      </c>
      <c r="K83" t="n">
        <v>60</v>
      </c>
      <c r="L83" t="inlineStr">
        <is>
          <t>14 November 2026</t>
        </is>
      </c>
      <c r="M83" t="inlineStr">
        <is>
          <t>Konstruksi Gedung Hunian</t>
        </is>
      </c>
      <c r="N83" t="inlineStr">
        <is>
          <t>K</t>
        </is>
      </c>
      <c r="O83" t="inlineStr">
        <is>
          <t>20231107</t>
        </is>
      </c>
      <c r="P83" t="inlineStr">
        <is>
          <t>Kalimantan Barat</t>
        </is>
      </c>
      <c r="Q83" t="inlineStr"/>
    </row>
    <row r="84">
      <c r="A84" t="inlineStr">
        <is>
          <t>LENTERA ASROFA PERSADA</t>
        </is>
      </c>
      <c r="B84" t="inlineStr">
        <is>
          <t>Kota Semarang</t>
        </is>
      </c>
      <c r="C84" t="inlineStr">
        <is>
          <t>081391348791</t>
        </is>
      </c>
      <c r="D84" t="inlineStr">
        <is>
          <t>lenteraasrofapersada@gmail.com</t>
        </is>
      </c>
      <c r="E84" t="inlineStr">
        <is>
          <t>https://lpjk.pu.go.id/search-badan-usaha-detail/d1Z4OXBhUDcrbUdXbSt3b3gzVktwUT09</t>
        </is>
      </c>
      <c r="F84" t="n">
        <v>7</v>
      </c>
      <c r="G84" t="inlineStr">
        <is>
          <t>AL001, AL002, AL003, AL004, AR001, AR002, RK002</t>
        </is>
      </c>
      <c r="H84" t="inlineStr">
        <is>
          <t>17 Februari 2023</t>
        </is>
      </c>
      <c r="I84" s="2" t="n">
        <v>46340</v>
      </c>
      <c r="J84" t="inlineStr">
        <is>
          <t>Disetujui</t>
        </is>
      </c>
      <c r="K84" t="n">
        <v>60</v>
      </c>
      <c r="L84" t="inlineStr">
        <is>
          <t>14 November 2026</t>
        </is>
      </c>
      <c r="M84" t="inlineStr">
        <is>
          <t>Jasa Arsitektural Bangunan Gedung Hunian dan Non Hunian, Jasa Arsitektural Lainnya, Jasa Pengembangan Lingkungan Bangunan dan Lanskap, Jasa Pengembangan Pemanfaatan Ruang, Jasa Pengembangan Perkotaan, Jasa Pengembangan Wilayah, Jasa Rekayasa Pekerjaan Teknik Sipil Sumber Daya Air</t>
        </is>
      </c>
      <c r="N84" t="inlineStr">
        <is>
          <t>K</t>
        </is>
      </c>
      <c r="O84" t="inlineStr">
        <is>
          <t>20231016</t>
        </is>
      </c>
      <c r="P84" t="inlineStr">
        <is>
          <t>Jawa Tengah</t>
        </is>
      </c>
      <c r="Q84" t="inlineStr"/>
    </row>
    <row r="85">
      <c r="A85" t="inlineStr">
        <is>
          <t>LESTARI</t>
        </is>
      </c>
      <c r="B85" t="inlineStr">
        <is>
          <t>Kab. Grobogan</t>
        </is>
      </c>
      <c r="C85" t="inlineStr">
        <is>
          <t>081326533325</t>
        </is>
      </c>
      <c r="D85" t="inlineStr">
        <is>
          <t>lestari_cv01@yahoo.co.id</t>
        </is>
      </c>
      <c r="E85" t="inlineStr">
        <is>
          <t>https://lpjk.pu.go.id/search-badan-usaha-detail/NjJ0TUtlVTd6NVF2dWJocHhpKzhidz09</t>
        </is>
      </c>
      <c r="F85" t="n">
        <v>5</v>
      </c>
      <c r="G85" t="inlineStr">
        <is>
          <t>BG006, BG008, BS001, BS002, BS004</t>
        </is>
      </c>
      <c r="H85" t="inlineStr">
        <is>
          <t>21 Agustus 2001</t>
        </is>
      </c>
      <c r="I85" s="2" t="n">
        <v>46340</v>
      </c>
      <c r="J85" t="inlineStr">
        <is>
          <t>Disetujui</t>
        </is>
      </c>
      <c r="K85" t="n">
        <v>60</v>
      </c>
      <c r="L85" t="inlineStr">
        <is>
          <t>14 November 2026</t>
        </is>
      </c>
      <c r="M85" t="inlineStr">
        <is>
          <t>Bangunan Sipil Jembatan, Jalan Layang, Fly Over, dan Underpass, Konstruksi Bangunan Sipil Jalan, Konstruksi Gedung Pendidikan, Konstruksi Gedung Tempat Hiburan dan Olahraga, Konstruksi Jaringan Irigasi dan Drainase</t>
        </is>
      </c>
      <c r="N85" t="inlineStr">
        <is>
          <t>K</t>
        </is>
      </c>
      <c r="O85" t="inlineStr">
        <is>
          <t>20231110</t>
        </is>
      </c>
      <c r="P85" t="inlineStr">
        <is>
          <t>Jawa Tengah</t>
        </is>
      </c>
      <c r="Q85" t="inlineStr"/>
    </row>
    <row r="86">
      <c r="A86" t="inlineStr">
        <is>
          <t>MAHA DESIGN</t>
        </is>
      </c>
      <c r="B86" t="inlineStr">
        <is>
          <t>Kab. Tabanan</t>
        </is>
      </c>
      <c r="C86" t="inlineStr">
        <is>
          <t>082144928987</t>
        </is>
      </c>
      <c r="D86" t="inlineStr">
        <is>
          <t>maha05design@gmail.com</t>
        </is>
      </c>
      <c r="E86" t="inlineStr">
        <is>
          <t>https://lpjk.pu.go.id/search-badan-usaha-detail/Q3hjTmlhYzdVYXVNQ3JmQUtmTmNzdz09</t>
        </is>
      </c>
      <c r="F86" t="n">
        <v>2</v>
      </c>
      <c r="G86" t="inlineStr">
        <is>
          <t>RK002, RK003</t>
        </is>
      </c>
      <c r="H86" t="inlineStr">
        <is>
          <t>7 Januari 2017</t>
        </is>
      </c>
      <c r="I86" s="2" t="n">
        <v>46340</v>
      </c>
      <c r="J86" t="inlineStr">
        <is>
          <t>Disetujui</t>
        </is>
      </c>
      <c r="K86" t="n">
        <v>60</v>
      </c>
      <c r="L86" t="inlineStr">
        <is>
          <t>14 November 2026</t>
        </is>
      </c>
      <c r="M86" t="inlineStr">
        <is>
          <t>Jasa Rekayasa Pekerjaan Teknik Sipil Sumber Daya Air, Jasa Rekayasa Pekerjaan Teknik Sipil Transportasi</t>
        </is>
      </c>
      <c r="N86" t="inlineStr">
        <is>
          <t>K</t>
        </is>
      </c>
      <c r="O86" t="inlineStr">
        <is>
          <t>20231106</t>
        </is>
      </c>
      <c r="P86" t="inlineStr">
        <is>
          <t>Bali</t>
        </is>
      </c>
      <c r="Q86" t="inlineStr"/>
    </row>
    <row r="87">
      <c r="A87" t="inlineStr">
        <is>
          <t>MAHAJANA DIKARA AMERTA</t>
        </is>
      </c>
      <c r="B87" t="inlineStr">
        <is>
          <t>Kota Pagar Alam</t>
        </is>
      </c>
      <c r="C87" t="inlineStr">
        <is>
          <t>081279012057</t>
        </is>
      </c>
      <c r="D87" t="inlineStr">
        <is>
          <t>mahajanadikaraamerta23@gmail.com</t>
        </is>
      </c>
      <c r="E87" t="inlineStr">
        <is>
          <t>https://lpjk.pu.go.id/search-badan-usaha-detail/YVhWcForNFEyVUxoNGJOb1JBM2VyZz09</t>
        </is>
      </c>
      <c r="F87" t="n">
        <v>1</v>
      </c>
      <c r="G87" t="inlineStr">
        <is>
          <t>BS001</t>
        </is>
      </c>
      <c r="H87" t="inlineStr">
        <is>
          <t>24 Januari 2022</t>
        </is>
      </c>
      <c r="I87" s="2" t="n">
        <v>46340</v>
      </c>
      <c r="J87" t="inlineStr">
        <is>
          <t>Disetujui</t>
        </is>
      </c>
      <c r="K87" t="n">
        <v>60</v>
      </c>
      <c r="L87" t="inlineStr">
        <is>
          <t>14 November 2026</t>
        </is>
      </c>
      <c r="M87" t="inlineStr">
        <is>
          <t>Konstruksi Bangunan Sipil Jalan</t>
        </is>
      </c>
      <c r="N87" t="inlineStr">
        <is>
          <t>K</t>
        </is>
      </c>
      <c r="O87" t="inlineStr">
        <is>
          <t>20231114</t>
        </is>
      </c>
      <c r="P87" t="inlineStr">
        <is>
          <t>Sumatera Selatan</t>
        </is>
      </c>
      <c r="Q87" t="inlineStr"/>
    </row>
    <row r="88">
      <c r="A88" t="inlineStr">
        <is>
          <t>MAHAKARYA MULIA INDONESIA</t>
        </is>
      </c>
      <c r="B88" t="inlineStr">
        <is>
          <t>Kota Adm. Jakarta Barat</t>
        </is>
      </c>
      <c r="C88" t="inlineStr">
        <is>
          <t>082219289666</t>
        </is>
      </c>
      <c r="D88" t="inlineStr">
        <is>
          <t>mahakaryamuliaindonesia@gmail.com</t>
        </is>
      </c>
      <c r="E88" t="inlineStr">
        <is>
          <t>https://lpjk.pu.go.id/search-badan-usaha-detail/Qm9yTzFCU0dIMEY3S2lLeTBRUE5RZz09</t>
        </is>
      </c>
      <c r="F88" t="n">
        <v>3</v>
      </c>
      <c r="G88" t="inlineStr">
        <is>
          <t>BS017</t>
        </is>
      </c>
      <c r="H88" t="inlineStr">
        <is>
          <t>27 September 2023</t>
        </is>
      </c>
      <c r="I88" s="2" t="n">
        <v>46340</v>
      </c>
      <c r="J88" t="inlineStr">
        <is>
          <t>Disetujui</t>
        </is>
      </c>
      <c r="K88" t="n">
        <v>60</v>
      </c>
      <c r="L88" t="inlineStr">
        <is>
          <t>14 November 2026</t>
        </is>
      </c>
      <c r="M88" t="inlineStr">
        <is>
          <t>Konstruksi Bangunan Sipil Lainnya Ytdl</t>
        </is>
      </c>
      <c r="N88" t="inlineStr">
        <is>
          <t>K</t>
        </is>
      </c>
      <c r="O88" t="inlineStr">
        <is>
          <t>20231115</t>
        </is>
      </c>
      <c r="P88" t="inlineStr">
        <is>
          <t>DKI Jakarta</t>
        </is>
      </c>
      <c r="Q88" t="inlineStr"/>
    </row>
    <row r="89">
      <c r="A89" t="inlineStr">
        <is>
          <t>MAHANTA JAYA</t>
        </is>
      </c>
      <c r="B89" t="inlineStr">
        <is>
          <t>Kab. Bojonegoro</t>
        </is>
      </c>
      <c r="C89" t="inlineStr">
        <is>
          <t>082257702448</t>
        </is>
      </c>
      <c r="D89" t="inlineStr">
        <is>
          <t>CV.MAHANTAJAYA@GMAIL.COM</t>
        </is>
      </c>
      <c r="E89" t="inlineStr">
        <is>
          <t>https://lpjk.pu.go.id/search-badan-usaha-detail/cDM4QkVYWUQ4NkNwakEyY1AzWFRJUT09</t>
        </is>
      </c>
      <c r="F89" t="n">
        <v>2</v>
      </c>
      <c r="G89" t="inlineStr">
        <is>
          <t>BG006, BS004</t>
        </is>
      </c>
      <c r="H89" t="inlineStr">
        <is>
          <t>17 Juni 2020</t>
        </is>
      </c>
      <c r="I89" s="2" t="n">
        <v>46340</v>
      </c>
      <c r="J89" t="inlineStr">
        <is>
          <t>Disetujui</t>
        </is>
      </c>
      <c r="K89" t="n">
        <v>60</v>
      </c>
      <c r="L89" t="inlineStr">
        <is>
          <t>14 November 2026</t>
        </is>
      </c>
      <c r="M89" t="inlineStr">
        <is>
          <t>Konstruksi Gedung Pendidikan, Konstruksi Jaringan Irigasi dan Drainase</t>
        </is>
      </c>
      <c r="N89" t="inlineStr">
        <is>
          <t>K</t>
        </is>
      </c>
      <c r="O89" t="inlineStr">
        <is>
          <t>20231102, 20231113</t>
        </is>
      </c>
      <c r="P89" t="inlineStr">
        <is>
          <t>Jawa Timur</t>
        </is>
      </c>
      <c r="Q89" t="inlineStr"/>
    </row>
    <row r="90">
      <c r="A90" t="inlineStr">
        <is>
          <t>MAKNA WISAYA KARKASA</t>
        </is>
      </c>
      <c r="B90" t="inlineStr">
        <is>
          <t>Kota Semarang</t>
        </is>
      </c>
      <c r="C90" t="inlineStr">
        <is>
          <t>02486400786</t>
        </is>
      </c>
      <c r="D90" t="inlineStr">
        <is>
          <t>maknawisayakarkasa@gmail.com</t>
        </is>
      </c>
      <c r="E90" t="inlineStr">
        <is>
          <t>https://lpjk.pu.go.id/search-badan-usaha-detail/ZG16SG1wSUhaNVpveGVZODg1RzRrUT09</t>
        </is>
      </c>
      <c r="F90" t="n">
        <v>4</v>
      </c>
      <c r="G90" t="inlineStr">
        <is>
          <t>BG001, BG003, BG006, BG009</t>
        </is>
      </c>
      <c r="H90" t="inlineStr">
        <is>
          <t>26 Januari 2022</t>
        </is>
      </c>
      <c r="I90" s="2" t="n">
        <v>46340</v>
      </c>
      <c r="J90" t="inlineStr">
        <is>
          <t>Disetujui</t>
        </is>
      </c>
      <c r="K90" t="n">
        <v>60</v>
      </c>
      <c r="L90" t="inlineStr">
        <is>
          <t>14 November 2026</t>
        </is>
      </c>
      <c r="M90" t="inlineStr">
        <is>
          <t>Konstruksi Gedung Hunian, Konstruksi Gedung Industri, Konstruksi Gedung Lainnya, Konstruksi Gedung Pendidikan</t>
        </is>
      </c>
      <c r="N90" t="inlineStr">
        <is>
          <t>K</t>
        </is>
      </c>
      <c r="O90" t="inlineStr">
        <is>
          <t>20230901, 20230904</t>
        </is>
      </c>
      <c r="P90" t="inlineStr">
        <is>
          <t>Jawa Tengah</t>
        </is>
      </c>
      <c r="Q90" t="inlineStr"/>
    </row>
    <row r="91">
      <c r="A91" t="inlineStr">
        <is>
          <t>MANDIRI BETON UTAMA</t>
        </is>
      </c>
      <c r="B91" t="inlineStr">
        <is>
          <t>Kota Tasikmalaya</t>
        </is>
      </c>
      <c r="C91" t="inlineStr">
        <is>
          <t>082127920222</t>
        </is>
      </c>
      <c r="D91" t="inlineStr">
        <is>
          <t>mandiribeton15@gmail.com</t>
        </is>
      </c>
      <c r="E91" t="inlineStr">
        <is>
          <t>https://lpjk.pu.go.id/search-badan-usaha-detail/RHhhaE1jVnhzYlpYeWFId2JhTktWQT09</t>
        </is>
      </c>
      <c r="F91" t="n">
        <v>4</v>
      </c>
      <c r="G91" t="inlineStr">
        <is>
          <t>BG006, BG009, BS001, BS004</t>
        </is>
      </c>
      <c r="H91" t="inlineStr">
        <is>
          <t>19 Mei 2023</t>
        </is>
      </c>
      <c r="I91" s="2" t="n">
        <v>46340</v>
      </c>
      <c r="J91" t="inlineStr">
        <is>
          <t>Disetujui</t>
        </is>
      </c>
      <c r="K91" t="n">
        <v>60</v>
      </c>
      <c r="L91" t="inlineStr">
        <is>
          <t>14 November 2026</t>
        </is>
      </c>
      <c r="M91" t="inlineStr">
        <is>
          <t>Konstruksi Bangunan Sipil Jalan, Konstruksi Gedung Lainnya, Konstruksi Gedung Pendidikan, Konstruksi Jaringan Irigasi dan Drainase</t>
        </is>
      </c>
      <c r="N91" t="inlineStr">
        <is>
          <t>K</t>
        </is>
      </c>
      <c r="O91" t="inlineStr">
        <is>
          <t>20231113</t>
        </is>
      </c>
      <c r="P91" t="inlineStr">
        <is>
          <t>Jawa Barat</t>
        </is>
      </c>
      <c r="Q91" t="inlineStr"/>
    </row>
    <row r="92">
      <c r="A92" t="inlineStr">
        <is>
          <t>MASA JAYA ABADI</t>
        </is>
      </c>
      <c r="B92" t="inlineStr">
        <is>
          <t>Kab. Karawang</t>
        </is>
      </c>
      <c r="C92" t="inlineStr">
        <is>
          <t>081327119866</t>
        </is>
      </c>
      <c r="D92" t="inlineStr">
        <is>
          <t>cv.masajayaabadi@gmail.com</t>
        </is>
      </c>
      <c r="E92" t="inlineStr">
        <is>
          <t>https://lpjk.pu.go.id/search-badan-usaha-detail/TEY0RXBjSXBRYW4vYkNia1M3QkUvQT09</t>
        </is>
      </c>
      <c r="F92" t="n">
        <v>1</v>
      </c>
      <c r="G92" t="inlineStr">
        <is>
          <t>BS001</t>
        </is>
      </c>
      <c r="H92" t="inlineStr">
        <is>
          <t>22 Oktober 2010</t>
        </is>
      </c>
      <c r="I92" s="2" t="n">
        <v>46340</v>
      </c>
      <c r="J92" t="inlineStr">
        <is>
          <t>Disetujui</t>
        </is>
      </c>
      <c r="K92" t="n">
        <v>60</v>
      </c>
      <c r="L92" t="inlineStr">
        <is>
          <t>14 November 2026</t>
        </is>
      </c>
      <c r="M92" t="inlineStr">
        <is>
          <t>Konstruksi Bangunan Sipil Jalan</t>
        </is>
      </c>
      <c r="N92" t="inlineStr">
        <is>
          <t>K</t>
        </is>
      </c>
      <c r="O92" t="inlineStr">
        <is>
          <t>20231110</t>
        </is>
      </c>
      <c r="P92" t="inlineStr">
        <is>
          <t>Jawa Barat</t>
        </is>
      </c>
      <c r="Q92" t="inlineStr"/>
    </row>
    <row r="93">
      <c r="A93" t="inlineStr">
        <is>
          <t>MAVENDRA MITRA ABADI</t>
        </is>
      </c>
      <c r="B93" t="inlineStr">
        <is>
          <t>Kota Tangerang Selatan</t>
        </is>
      </c>
      <c r="C93" t="inlineStr">
        <is>
          <t>081383880212</t>
        </is>
      </c>
      <c r="D93" t="inlineStr">
        <is>
          <t>mavendra4@gmail.com</t>
        </is>
      </c>
      <c r="E93" t="inlineStr">
        <is>
          <t>https://lpjk.pu.go.id/search-badan-usaha-detail/ZFB1UUIydm1hcm04R2QvTDVycTk2Zz09</t>
        </is>
      </c>
      <c r="F93" t="n">
        <v>5</v>
      </c>
      <c r="G93" t="inlineStr">
        <is>
          <t>BG001, BG002, BG005, BG006, BG009</t>
        </is>
      </c>
      <c r="H93" t="inlineStr">
        <is>
          <t>7 September 2023</t>
        </is>
      </c>
      <c r="I93" s="2" t="n">
        <v>46340</v>
      </c>
      <c r="J93" t="inlineStr">
        <is>
          <t>Disetujui</t>
        </is>
      </c>
      <c r="K93" t="n">
        <v>60</v>
      </c>
      <c r="L93" t="inlineStr">
        <is>
          <t>14 November 2026</t>
        </is>
      </c>
      <c r="M93" t="inlineStr">
        <is>
          <t>Konstruksi Gedung Hunian, Konstruksi Gedung Kesehatan, Konstruksi Gedung Lainnya, Konstruksi Gedung Pendidikan, Konstruksi Gedung Perkantoran</t>
        </is>
      </c>
      <c r="N93" t="inlineStr">
        <is>
          <t>K</t>
        </is>
      </c>
      <c r="O93" t="inlineStr">
        <is>
          <t>20231009, 20231113</t>
        </is>
      </c>
      <c r="P93" t="inlineStr">
        <is>
          <t>Banten</t>
        </is>
      </c>
      <c r="Q93" t="inlineStr"/>
    </row>
    <row r="94">
      <c r="A94" t="inlineStr">
        <is>
          <t>MIRAI KAZOKU</t>
        </is>
      </c>
      <c r="B94" t="inlineStr">
        <is>
          <t>Kota Bontang</t>
        </is>
      </c>
      <c r="C94" t="inlineStr">
        <is>
          <t>081315634174</t>
        </is>
      </c>
      <c r="D94" t="inlineStr">
        <is>
          <t>miraikazoku.pt@gmail.com</t>
        </is>
      </c>
      <c r="E94" t="inlineStr">
        <is>
          <t>https://lpjk.pu.go.id/search-badan-usaha-detail/QUdlSjN3MGhtS1ptb1NOZlVwdnArQT09</t>
        </is>
      </c>
      <c r="F94" t="n">
        <v>2</v>
      </c>
      <c r="G94" t="inlineStr">
        <is>
          <t>IN004</t>
        </is>
      </c>
      <c r="H94" t="inlineStr">
        <is>
          <t>22 Februari 2012</t>
        </is>
      </c>
      <c r="I94" s="2" t="n">
        <v>46340</v>
      </c>
      <c r="J94" t="inlineStr">
        <is>
          <t>Pembekuan</t>
        </is>
      </c>
      <c r="K94" t="n">
        <v>60</v>
      </c>
      <c r="L94" t="inlineStr">
        <is>
          <t>14 November 2026</t>
        </is>
      </c>
      <c r="M94" t="inlineStr">
        <is>
          <t>Instalasi Minyak dan Gas</t>
        </is>
      </c>
      <c r="N94" t="inlineStr">
        <is>
          <t>Spesialis</t>
        </is>
      </c>
      <c r="O94" t="inlineStr">
        <is>
          <t>20231109</t>
        </is>
      </c>
      <c r="P94" t="inlineStr">
        <is>
          <t>Kalimantan Timur</t>
        </is>
      </c>
      <c r="Q94" t="inlineStr"/>
    </row>
    <row r="95">
      <c r="A95" t="inlineStr">
        <is>
          <t>MITRA PEMBANGUNAN</t>
        </is>
      </c>
      <c r="B95" t="inlineStr">
        <is>
          <t>Kota Pekanbaru</t>
        </is>
      </c>
      <c r="C95" t="inlineStr">
        <is>
          <t>085278783780</t>
        </is>
      </c>
      <c r="D95" t="inlineStr">
        <is>
          <t>mitrapembangunanriau@yahoo.com</t>
        </is>
      </c>
      <c r="E95" t="inlineStr">
        <is>
          <t>https://lpjk.pu.go.id/search-badan-usaha-detail/d21QWmEwTEFqNldwbEZGR1pIcWhmUT09</t>
        </is>
      </c>
      <c r="F95" t="n">
        <v>4</v>
      </c>
      <c r="G95" t="inlineStr">
        <is>
          <t>BG002, BG003, BG005, BG006</t>
        </is>
      </c>
      <c r="H95" t="inlineStr">
        <is>
          <t>11 Januari 2011</t>
        </is>
      </c>
      <c r="I95" s="2" t="n">
        <v>46340</v>
      </c>
      <c r="J95" t="inlineStr">
        <is>
          <t>Disetujui</t>
        </is>
      </c>
      <c r="K95" t="n">
        <v>60</v>
      </c>
      <c r="L95" t="inlineStr">
        <is>
          <t>14 November 2026</t>
        </is>
      </c>
      <c r="M95" t="inlineStr">
        <is>
          <t>Konstruksi Gedung Industri, Konstruksi Gedung Kesehatan, Konstruksi Gedung Pendidikan, Konstruksi Gedung Perkantoran</t>
        </is>
      </c>
      <c r="N95" t="inlineStr">
        <is>
          <t>K</t>
        </is>
      </c>
      <c r="O95" t="inlineStr">
        <is>
          <t>20231113</t>
        </is>
      </c>
      <c r="P95" t="inlineStr">
        <is>
          <t>Riau</t>
        </is>
      </c>
      <c r="Q95" t="inlineStr"/>
    </row>
    <row r="96">
      <c r="A96" t="inlineStr">
        <is>
          <t>MITRA UTAMA ESTUARI</t>
        </is>
      </c>
      <c r="B96" t="inlineStr">
        <is>
          <t>Kota Pekanbaru</t>
        </is>
      </c>
      <c r="C96" t="inlineStr">
        <is>
          <t>085322103531</t>
        </is>
      </c>
      <c r="D96" t="inlineStr">
        <is>
          <t>mtkons.utama@yahoo.com</t>
        </is>
      </c>
      <c r="E96" t="inlineStr">
        <is>
          <t>https://lpjk.pu.go.id/search-badan-usaha-detail/ZCtRdmxsYlFEdyszVVgrbUlWWVNJZz09</t>
        </is>
      </c>
      <c r="F96" t="n">
        <v>1</v>
      </c>
      <c r="G96" t="inlineStr">
        <is>
          <t>RK001</t>
        </is>
      </c>
      <c r="H96" t="inlineStr">
        <is>
          <t>11 September 2003</t>
        </is>
      </c>
      <c r="I96" s="2" t="n">
        <v>46340</v>
      </c>
      <c r="J96" t="inlineStr">
        <is>
          <t>Disetujui</t>
        </is>
      </c>
      <c r="K96" t="n">
        <v>60</v>
      </c>
      <c r="L96" t="inlineStr">
        <is>
          <t>14 November 2026</t>
        </is>
      </c>
      <c r="M96" t="inlineStr">
        <is>
          <t>Jasa Rekayasa Konstruksi Bangunan Gedung Hunian dan Non Hunian</t>
        </is>
      </c>
      <c r="N96" t="inlineStr">
        <is>
          <t>K</t>
        </is>
      </c>
      <c r="O96" t="inlineStr">
        <is>
          <t>20231103</t>
        </is>
      </c>
      <c r="P96" t="inlineStr">
        <is>
          <t>Riau</t>
        </is>
      </c>
      <c r="Q96" t="inlineStr"/>
    </row>
    <row r="97">
      <c r="A97" t="inlineStr">
        <is>
          <t>MUKTI MAHAKA UTAMA</t>
        </is>
      </c>
      <c r="B97" t="inlineStr">
        <is>
          <t>Kab. Tangerang</t>
        </is>
      </c>
      <c r="C97" t="inlineStr">
        <is>
          <t>081389869369</t>
        </is>
      </c>
      <c r="D97" t="inlineStr">
        <is>
          <t>ptmuktimahakautama@gmail.com</t>
        </is>
      </c>
      <c r="E97" t="inlineStr">
        <is>
          <t>https://lpjk.pu.go.id/search-badan-usaha-detail/VSs4bm9HN0xPdEVGNmdsYVRVZGVTQT09</t>
        </is>
      </c>
      <c r="F97" t="n">
        <v>3</v>
      </c>
      <c r="G97" t="inlineStr">
        <is>
          <t>BG009, BS001, BS004</t>
        </is>
      </c>
      <c r="H97" t="inlineStr">
        <is>
          <t>15 November 2022</t>
        </is>
      </c>
      <c r="I97" s="2" t="n">
        <v>46340</v>
      </c>
      <c r="J97" t="inlineStr">
        <is>
          <t>Pencabutan</t>
        </is>
      </c>
      <c r="K97" t="n">
        <v>60</v>
      </c>
      <c r="L97" t="inlineStr">
        <is>
          <t>14 November 2026</t>
        </is>
      </c>
      <c r="M97" t="inlineStr">
        <is>
          <t>Konstruksi Bangunan Sipil Jalan, Konstruksi Gedung Lainnya, Konstruksi Jaringan Irigasi dan Drainase</t>
        </is>
      </c>
      <c r="N97" t="inlineStr">
        <is>
          <t>K</t>
        </is>
      </c>
      <c r="O97" t="inlineStr">
        <is>
          <t>20231109, 20231110</t>
        </is>
      </c>
      <c r="P97" t="inlineStr">
        <is>
          <t>Banten</t>
        </is>
      </c>
      <c r="Q97" t="inlineStr"/>
    </row>
    <row r="98">
      <c r="A98" t="inlineStr">
        <is>
          <t>MULTI KARYA PRIMAS MANDIRI</t>
        </is>
      </c>
      <c r="B98" t="inlineStr">
        <is>
          <t>Kota Palangkaraya</t>
        </is>
      </c>
      <c r="C98" t="inlineStr">
        <is>
          <t>081254153139</t>
        </is>
      </c>
      <c r="D98" t="inlineStr">
        <is>
          <t>ptkarya_primas@yahoo.co.id</t>
        </is>
      </c>
      <c r="E98" t="inlineStr">
        <is>
          <t>https://lpjk.pu.go.id/search-badan-usaha-detail/Y2RhcHlVYkczVnRuN2pweEpjTFNCZz09</t>
        </is>
      </c>
      <c r="F98" t="n">
        <v>1</v>
      </c>
      <c r="G98" t="inlineStr">
        <is>
          <t>BS001</t>
        </is>
      </c>
      <c r="H98" t="inlineStr">
        <is>
          <t>6 Januari 2006</t>
        </is>
      </c>
      <c r="I98" s="2" t="n">
        <v>46340</v>
      </c>
      <c r="J98" t="inlineStr">
        <is>
          <t>Pembekuan</t>
        </is>
      </c>
      <c r="K98" t="n">
        <v>60</v>
      </c>
      <c r="L98" t="inlineStr">
        <is>
          <t>14 November 2026</t>
        </is>
      </c>
      <c r="M98" t="inlineStr">
        <is>
          <t>Konstruksi Bangunan Sipil Jalan</t>
        </is>
      </c>
      <c r="N98" t="inlineStr">
        <is>
          <t>M</t>
        </is>
      </c>
      <c r="O98" t="inlineStr">
        <is>
          <t>20231113</t>
        </is>
      </c>
      <c r="P98" t="inlineStr">
        <is>
          <t>Kalimantan Tengah</t>
        </is>
      </c>
      <c r="Q98" t="inlineStr"/>
    </row>
    <row r="99">
      <c r="A99" t="inlineStr">
        <is>
          <t>NABILA JAYA ABADI</t>
        </is>
      </c>
      <c r="B99" t="inlineStr">
        <is>
          <t>Kab. Tanah Bumbu</t>
        </is>
      </c>
      <c r="C99" t="inlineStr">
        <is>
          <t>081253807387</t>
        </is>
      </c>
      <c r="D99" t="inlineStr">
        <is>
          <t>nabilajayaabadi123@gmail.com</t>
        </is>
      </c>
      <c r="E99" t="inlineStr">
        <is>
          <t>https://lpjk.pu.go.id/search-badan-usaha-detail/ZUU4OUlybVBQdmI2SExuMWE5b0hXdz09</t>
        </is>
      </c>
      <c r="F99" t="n">
        <v>2</v>
      </c>
      <c r="G99" t="inlineStr">
        <is>
          <t>BS007</t>
        </is>
      </c>
      <c r="H99" t="inlineStr">
        <is>
          <t>28 Juni 2014</t>
        </is>
      </c>
      <c r="I99" s="2" t="n">
        <v>46340</v>
      </c>
      <c r="J99" t="inlineStr">
        <is>
          <t>Disetujui</t>
        </is>
      </c>
      <c r="K99" t="n">
        <v>60</v>
      </c>
      <c r="L99" t="inlineStr">
        <is>
          <t>14 November 2026</t>
        </is>
      </c>
      <c r="M99" t="inlineStr">
        <is>
          <t>Konstruksi Bangunan Sipil Elektrikal</t>
        </is>
      </c>
      <c r="N99" t="inlineStr">
        <is>
          <t>K</t>
        </is>
      </c>
      <c r="O99" t="inlineStr">
        <is>
          <t>20231114</t>
        </is>
      </c>
      <c r="P99" t="inlineStr">
        <is>
          <t>Kalimantan Selatan</t>
        </is>
      </c>
      <c r="Q99" t="inlineStr"/>
    </row>
    <row r="100">
      <c r="A100" t="inlineStr">
        <is>
          <t>NATURA INTI UNIVERSA</t>
        </is>
      </c>
      <c r="B100" t="inlineStr">
        <is>
          <t>Kab. Karawang</t>
        </is>
      </c>
      <c r="C100" t="inlineStr">
        <is>
          <t>083874135905</t>
        </is>
      </c>
      <c r="D100" t="inlineStr">
        <is>
          <t>naturauniversa@gmail.com</t>
        </is>
      </c>
      <c r="E100" t="inlineStr">
        <is>
          <t>https://lpjk.pu.go.id/search-badan-usaha-detail/bC9tQmNPcUxBMlEwMUUzSjhrU0Uydz09</t>
        </is>
      </c>
      <c r="F100" t="n">
        <v>2</v>
      </c>
      <c r="G100" t="inlineStr">
        <is>
          <t>BS001, BS004</t>
        </is>
      </c>
      <c r="H100" t="inlineStr">
        <is>
          <t>7 November 2023</t>
        </is>
      </c>
      <c r="I100" s="2" t="n">
        <v>46340</v>
      </c>
      <c r="J100" t="inlineStr">
        <is>
          <t>Disetujui</t>
        </is>
      </c>
      <c r="K100" t="n">
        <v>60</v>
      </c>
      <c r="L100" t="inlineStr">
        <is>
          <t>14 November 2026</t>
        </is>
      </c>
      <c r="M100" t="inlineStr">
        <is>
          <t>Konstruksi Bangunan Sipil Jalan, Konstruksi Jaringan Irigasi dan Drainase</t>
        </is>
      </c>
      <c r="N100" t="inlineStr">
        <is>
          <t>K</t>
        </is>
      </c>
      <c r="O100" t="inlineStr">
        <is>
          <t>20231110</t>
        </is>
      </c>
      <c r="P100" t="inlineStr">
        <is>
          <t>Jawa Barat</t>
        </is>
      </c>
      <c r="Q100" t="inlineStr"/>
    </row>
    <row r="101">
      <c r="A101" t="inlineStr">
        <is>
          <t>NOBELLINDO</t>
        </is>
      </c>
      <c r="B101" t="inlineStr">
        <is>
          <t>Kab. Banyumas</t>
        </is>
      </c>
      <c r="C101" t="inlineStr">
        <is>
          <t>02817656200</t>
        </is>
      </c>
      <c r="D101" t="inlineStr">
        <is>
          <t>cvnobellindopwt@gmail.com</t>
        </is>
      </c>
      <c r="E101" t="inlineStr">
        <is>
          <t>https://lpjk.pu.go.id/search-badan-usaha-detail/MTluK25Pd2twQjNEUE40bWZLMFgxQT09</t>
        </is>
      </c>
      <c r="F101" t="n">
        <v>2</v>
      </c>
      <c r="G101" t="inlineStr">
        <is>
          <t>BS001, BS004</t>
        </is>
      </c>
      <c r="H101" t="inlineStr">
        <is>
          <t>8 Juni 2000</t>
        </is>
      </c>
      <c r="I101" s="2" t="n">
        <v>46340</v>
      </c>
      <c r="J101" t="inlineStr">
        <is>
          <t>Disetujui</t>
        </is>
      </c>
      <c r="K101" t="n">
        <v>60</v>
      </c>
      <c r="L101" t="inlineStr">
        <is>
          <t>14 November 2026</t>
        </is>
      </c>
      <c r="M101" t="inlineStr">
        <is>
          <t>Konstruksi Bangunan Sipil Jalan, Konstruksi Jaringan Irigasi dan Drainase</t>
        </is>
      </c>
      <c r="N101" t="inlineStr">
        <is>
          <t>K</t>
        </is>
      </c>
      <c r="O101" t="inlineStr">
        <is>
          <t>20231025</t>
        </is>
      </c>
      <c r="P101" t="inlineStr">
        <is>
          <t>Jawa Tengah</t>
        </is>
      </c>
      <c r="Q101" t="inlineStr"/>
    </row>
    <row r="102">
      <c r="A102" t="inlineStr">
        <is>
          <t>NOVETA SAMUEL</t>
        </is>
      </c>
      <c r="B102" t="inlineStr">
        <is>
          <t>Kota Cimahi</t>
        </is>
      </c>
      <c r="C102" t="inlineStr">
        <is>
          <t>0226652453</t>
        </is>
      </c>
      <c r="D102" t="inlineStr">
        <is>
          <t>noveta.samuel@gmail.com</t>
        </is>
      </c>
      <c r="E102" t="inlineStr">
        <is>
          <t>https://lpjk.pu.go.id/search-badan-usaha-detail/ZW5iMEhkMUdnU0RHczVGbFNPTjZYQT09</t>
        </is>
      </c>
      <c r="F102" t="n">
        <v>3</v>
      </c>
      <c r="G102" t="inlineStr">
        <is>
          <t>BG005, BG009, BS001</t>
        </is>
      </c>
      <c r="H102" t="inlineStr">
        <is>
          <t>22 Juni 2000</t>
        </is>
      </c>
      <c r="I102" s="2" t="n">
        <v>46340</v>
      </c>
      <c r="J102" t="inlineStr">
        <is>
          <t>Disetujui</t>
        </is>
      </c>
      <c r="K102" t="n">
        <v>60</v>
      </c>
      <c r="L102" t="inlineStr">
        <is>
          <t>14 November 2026</t>
        </is>
      </c>
      <c r="M102" t="inlineStr">
        <is>
          <t>Konstruksi Bangunan Sipil Jalan, Konstruksi Gedung Kesehatan, Konstruksi Gedung Lainnya</t>
        </is>
      </c>
      <c r="N102" t="inlineStr">
        <is>
          <t>K</t>
        </is>
      </c>
      <c r="O102" t="inlineStr">
        <is>
          <t>20231011, 20231103, 20231110</t>
        </is>
      </c>
      <c r="P102" t="inlineStr">
        <is>
          <t>Jawa Barat</t>
        </is>
      </c>
      <c r="Q102" t="inlineStr"/>
    </row>
    <row r="103">
      <c r="A103" t="inlineStr">
        <is>
          <t>NUR AINI RAHMA MANDIRI</t>
        </is>
      </c>
      <c r="B103" t="inlineStr">
        <is>
          <t>Kab. Tuban</t>
        </is>
      </c>
      <c r="C103" t="inlineStr">
        <is>
          <t>081230596278</t>
        </is>
      </c>
      <c r="D103" t="inlineStr">
        <is>
          <t>narm.tuban@gmail.com</t>
        </is>
      </c>
      <c r="E103" t="inlineStr">
        <is>
          <t>https://lpjk.pu.go.id/search-badan-usaha-detail/ajI0MCtoWFovZzJyMWdSa1gzODBSUT09</t>
        </is>
      </c>
      <c r="F103" t="n">
        <v>1</v>
      </c>
      <c r="G103" t="inlineStr">
        <is>
          <t>BS001</t>
        </is>
      </c>
      <c r="H103" t="inlineStr">
        <is>
          <t>27 April 2015</t>
        </is>
      </c>
      <c r="I103" s="2" t="n">
        <v>46340</v>
      </c>
      <c r="J103" t="inlineStr">
        <is>
          <t>Disetujui</t>
        </is>
      </c>
      <c r="K103" t="n">
        <v>60</v>
      </c>
      <c r="L103" t="inlineStr">
        <is>
          <t>14 November 2026</t>
        </is>
      </c>
      <c r="M103" t="inlineStr">
        <is>
          <t>Konstruksi Bangunan Sipil Jalan</t>
        </is>
      </c>
      <c r="N103" t="inlineStr">
        <is>
          <t>K</t>
        </is>
      </c>
      <c r="O103" t="inlineStr">
        <is>
          <t>20231114</t>
        </is>
      </c>
      <c r="P103" t="inlineStr">
        <is>
          <t>Jawa Timur</t>
        </is>
      </c>
      <c r="Q103" t="inlineStr"/>
    </row>
    <row r="104">
      <c r="A104" t="inlineStr">
        <is>
          <t>PAYUNG JAGAD</t>
        </is>
      </c>
      <c r="B104" t="inlineStr">
        <is>
          <t>Kab. Mojokerto</t>
        </is>
      </c>
      <c r="C104" t="inlineStr">
        <is>
          <t>085748609006</t>
        </is>
      </c>
      <c r="D104" t="inlineStr">
        <is>
          <t>cvpayungjagad2023@gmail.com</t>
        </is>
      </c>
      <c r="E104" t="inlineStr">
        <is>
          <t>https://lpjk.pu.go.id/search-badan-usaha-detail/dy84WXRYUWJ5U0tHWkdCRURMdUhzZz09</t>
        </is>
      </c>
      <c r="F104" t="n">
        <v>4</v>
      </c>
      <c r="G104" t="inlineStr">
        <is>
          <t>BG002, BG005, BG006, BS001</t>
        </is>
      </c>
      <c r="H104" t="inlineStr">
        <is>
          <t>3 November 2023</t>
        </is>
      </c>
      <c r="I104" s="2" t="n">
        <v>46340</v>
      </c>
      <c r="J104" t="inlineStr">
        <is>
          <t>Disetujui</t>
        </is>
      </c>
      <c r="K104" t="n">
        <v>60</v>
      </c>
      <c r="L104" t="inlineStr">
        <is>
          <t>14 November 2026</t>
        </is>
      </c>
      <c r="M104" t="inlineStr">
        <is>
          <t>Konstruksi Bangunan Sipil Jalan, Konstruksi Gedung Kesehatan, Konstruksi Gedung Pendidikan, Konstruksi Gedung Perkantoran</t>
        </is>
      </c>
      <c r="N104" t="inlineStr">
        <is>
          <t>K</t>
        </is>
      </c>
      <c r="O104" t="inlineStr">
        <is>
          <t>20231110</t>
        </is>
      </c>
      <c r="P104" t="inlineStr">
        <is>
          <t>Jawa Timur</t>
        </is>
      </c>
      <c r="Q104" t="inlineStr"/>
    </row>
    <row r="105">
      <c r="A105" t="inlineStr">
        <is>
          <t>PELANGI PROPERTINDO PERSADA</t>
        </is>
      </c>
      <c r="B105" t="inlineStr">
        <is>
          <t>Kab. Tangerang</t>
        </is>
      </c>
      <c r="C105" t="inlineStr">
        <is>
          <t>02155655639</t>
        </is>
      </c>
      <c r="D105" t="inlineStr">
        <is>
          <t>pt.pppcompany@gmail.com</t>
        </is>
      </c>
      <c r="E105" t="inlineStr">
        <is>
          <t>https://lpjk.pu.go.id/search-badan-usaha-detail/NUlQc2hzZjZKZ3U3SWo2QllUUlFJUT09</t>
        </is>
      </c>
      <c r="F105" t="n">
        <v>5</v>
      </c>
      <c r="G105" t="inlineStr">
        <is>
          <t>BG001, BG002, BG004, BG006, BG009</t>
        </is>
      </c>
      <c r="H105" t="inlineStr">
        <is>
          <t>22 April 2015</t>
        </is>
      </c>
      <c r="I105" s="2" t="n">
        <v>46340</v>
      </c>
      <c r="J105" t="inlineStr">
        <is>
          <t>Disetujui</t>
        </is>
      </c>
      <c r="K105" t="n">
        <v>60</v>
      </c>
      <c r="L105" t="inlineStr">
        <is>
          <t>14 November 2026</t>
        </is>
      </c>
      <c r="M105" t="inlineStr">
        <is>
          <t>Konstruksi Gedung Hunian, Konstruksi Gedung Lainnya, Konstruksi Gedung Pendidikan, Konstruksi Gedung Perbelanjaan, Konstruksi Gedung Perkantoran</t>
        </is>
      </c>
      <c r="N105" t="inlineStr">
        <is>
          <t>K</t>
        </is>
      </c>
      <c r="O105" t="inlineStr">
        <is>
          <t>20231113, 20231114</t>
        </is>
      </c>
      <c r="P105" t="inlineStr">
        <is>
          <t>Banten</t>
        </is>
      </c>
      <c r="Q105" t="inlineStr"/>
    </row>
    <row r="106">
      <c r="A106" t="inlineStr">
        <is>
          <t>PESONA CITRA PROPERTINDO</t>
        </is>
      </c>
      <c r="B106" t="inlineStr">
        <is>
          <t>Kab. Kotawaringin Barat</t>
        </is>
      </c>
      <c r="C106" t="inlineStr">
        <is>
          <t>085888753008</t>
        </is>
      </c>
      <c r="D106" t="inlineStr">
        <is>
          <t>doc.control-pmhco@citraborneo.co.id</t>
        </is>
      </c>
      <c r="E106" t="inlineStr">
        <is>
          <t>https://lpjk.pu.go.id/search-badan-usaha-detail/cHZLaXFxQ0FtUlBTWlFKcW1qbmpydz09</t>
        </is>
      </c>
      <c r="F106" t="n">
        <v>3</v>
      </c>
      <c r="G106" t="inlineStr">
        <is>
          <t>BG001, BG002, BG003</t>
        </is>
      </c>
      <c r="H106" t="inlineStr">
        <is>
          <t>31 Mei 2013</t>
        </is>
      </c>
      <c r="I106" s="2" t="n">
        <v>46340</v>
      </c>
      <c r="J106" t="inlineStr">
        <is>
          <t>Disetujui</t>
        </is>
      </c>
      <c r="K106" t="n">
        <v>60</v>
      </c>
      <c r="L106" t="inlineStr">
        <is>
          <t>14 November 2026</t>
        </is>
      </c>
      <c r="M106" t="inlineStr">
        <is>
          <t>Konstruksi Gedung Hunian, Konstruksi Gedung Industri, Konstruksi Gedung Perkantoran</t>
        </is>
      </c>
      <c r="N106" t="inlineStr">
        <is>
          <t>K</t>
        </is>
      </c>
      <c r="O106" t="inlineStr">
        <is>
          <t>20231017, 20231115</t>
        </is>
      </c>
      <c r="P106" t="inlineStr">
        <is>
          <t>Kalimantan Tengah</t>
        </is>
      </c>
      <c r="Q106" t="inlineStr"/>
    </row>
    <row r="107">
      <c r="A107" t="inlineStr">
        <is>
          <t>PIRA KONSULTAN ENJINIRING</t>
        </is>
      </c>
      <c r="B107" t="inlineStr">
        <is>
          <t>Kota Bandung</t>
        </is>
      </c>
      <c r="C107" t="inlineStr">
        <is>
          <t>081919231082</t>
        </is>
      </c>
      <c r="D107" t="inlineStr">
        <is>
          <t>pirakonsultan@gmail.com</t>
        </is>
      </c>
      <c r="E107" t="inlineStr">
        <is>
          <t>https://lpjk.pu.go.id/search-badan-usaha-detail/Ui9CNEVoUlRjQnljUzJiTFZVcHhzUT09</t>
        </is>
      </c>
      <c r="F107" t="n">
        <v>1</v>
      </c>
      <c r="G107" t="inlineStr">
        <is>
          <t>RK001</t>
        </is>
      </c>
      <c r="H107" t="inlineStr">
        <is>
          <t>15 September 2021</t>
        </is>
      </c>
      <c r="I107" s="2" t="n">
        <v>46340</v>
      </c>
      <c r="J107" t="inlineStr">
        <is>
          <t>Disetujui</t>
        </is>
      </c>
      <c r="K107" t="n">
        <v>60</v>
      </c>
      <c r="L107" t="inlineStr">
        <is>
          <t>14 November 2026</t>
        </is>
      </c>
      <c r="M107" t="inlineStr">
        <is>
          <t>Jasa Rekayasa Konstruksi Bangunan Gedung Hunian dan Non Hunian</t>
        </is>
      </c>
      <c r="N107" t="inlineStr">
        <is>
          <t>K</t>
        </is>
      </c>
      <c r="O107" t="inlineStr">
        <is>
          <t>20231020</t>
        </is>
      </c>
      <c r="P107" t="inlineStr">
        <is>
          <t>Jawa Barat</t>
        </is>
      </c>
      <c r="Q107" t="inlineStr"/>
    </row>
    <row r="108">
      <c r="A108" t="inlineStr">
        <is>
          <t>PRISMA</t>
        </is>
      </c>
      <c r="B108" t="inlineStr">
        <is>
          <t>Kota Probolinggo</t>
        </is>
      </c>
      <c r="C108" t="inlineStr">
        <is>
          <t>08124929641</t>
        </is>
      </c>
      <c r="D108" t="inlineStr">
        <is>
          <t>cvprisma0@gmail.com</t>
        </is>
      </c>
      <c r="E108" t="inlineStr">
        <is>
          <t>https://lpjk.pu.go.id/search-badan-usaha-detail/dE1FZEtMZHNQemNwZHlsdGt3cFJBZz09</t>
        </is>
      </c>
      <c r="F108" t="n">
        <v>3</v>
      </c>
      <c r="G108" t="inlineStr">
        <is>
          <t>RK001, RK003, RK005</t>
        </is>
      </c>
      <c r="H108" t="inlineStr">
        <is>
          <t>1 Agustus 2019</t>
        </is>
      </c>
      <c r="I108" s="2" t="n">
        <v>46340</v>
      </c>
      <c r="J108" t="inlineStr">
        <is>
          <t>Disetujui</t>
        </is>
      </c>
      <c r="K108" t="n">
        <v>60</v>
      </c>
      <c r="L108" t="inlineStr">
        <is>
          <t>14 November 2026</t>
        </is>
      </c>
      <c r="M108" t="inlineStr">
        <is>
          <t>Jasa Rekayasa Konstruksi Bangunan Gedung Hunian dan Non Hunian, Jasa Rekayasa Lainnya, Jasa Rekayasa Pekerjaan Teknik Sipil Transportasi</t>
        </is>
      </c>
      <c r="N108" t="inlineStr">
        <is>
          <t>K</t>
        </is>
      </c>
      <c r="O108" t="inlineStr">
        <is>
          <t>20231107, 20231110</t>
        </is>
      </c>
      <c r="P108" t="inlineStr">
        <is>
          <t>Jawa Timur</t>
        </is>
      </c>
      <c r="Q108" t="inlineStr"/>
    </row>
    <row r="109">
      <c r="A109" t="inlineStr">
        <is>
          <t>PUTERA PRATAMA</t>
        </is>
      </c>
      <c r="B109" t="inlineStr">
        <is>
          <t>Kab. Banjar</t>
        </is>
      </c>
      <c r="C109" t="inlineStr">
        <is>
          <t>081250066777</t>
        </is>
      </c>
      <c r="D109" t="inlineStr">
        <is>
          <t>puterapratama5@gmail.com</t>
        </is>
      </c>
      <c r="E109" t="inlineStr">
        <is>
          <t>https://lpjk.pu.go.id/search-badan-usaha-detail/OUVkU3JUVUpwQ3VYRVJ4RStYOE5Udz09</t>
        </is>
      </c>
      <c r="F109" t="n">
        <v>2</v>
      </c>
      <c r="G109" t="inlineStr">
        <is>
          <t>BS001, BS002</t>
        </is>
      </c>
      <c r="H109" t="inlineStr">
        <is>
          <t>3 Desember 2003</t>
        </is>
      </c>
      <c r="I109" s="2" t="n">
        <v>46340</v>
      </c>
      <c r="J109" t="inlineStr">
        <is>
          <t>Disetujui</t>
        </is>
      </c>
      <c r="K109" t="n">
        <v>60</v>
      </c>
      <c r="L109" t="inlineStr">
        <is>
          <t>14 November 2026</t>
        </is>
      </c>
      <c r="M109" t="inlineStr">
        <is>
          <t>Bangunan Sipil Jembatan, Jalan Layang, Fly Over, dan Underpass, Konstruksi Bangunan Sipil Jalan</t>
        </is>
      </c>
      <c r="N109" t="inlineStr">
        <is>
          <t>K</t>
        </is>
      </c>
      <c r="O109" t="inlineStr">
        <is>
          <t>20231108, 20231113</t>
        </is>
      </c>
      <c r="P109" t="inlineStr">
        <is>
          <t>Kalimantan Selatan</t>
        </is>
      </c>
      <c r="Q109" t="inlineStr"/>
    </row>
    <row r="110">
      <c r="A110" t="inlineStr">
        <is>
          <t>PUTRA BERLIAN PERKASA</t>
        </is>
      </c>
      <c r="B110" t="inlineStr">
        <is>
          <t>Kab. Grobogan</t>
        </is>
      </c>
      <c r="C110" t="inlineStr">
        <is>
          <t>083154591807</t>
        </is>
      </c>
      <c r="D110" t="inlineStr">
        <is>
          <t>Putraberlianperkasa@gmail.com</t>
        </is>
      </c>
      <c r="E110" t="inlineStr">
        <is>
          <t>https://lpjk.pu.go.id/search-badan-usaha-detail/SE9WVWduRDBtQXR0eHQ4Z2syaXVFQT09</t>
        </is>
      </c>
      <c r="F110" t="n">
        <v>3</v>
      </c>
      <c r="G110" t="inlineStr">
        <is>
          <t>BG002, BS001, BS004</t>
        </is>
      </c>
      <c r="H110" t="inlineStr">
        <is>
          <t>24 Maret 2021</t>
        </is>
      </c>
      <c r="I110" s="2" t="n">
        <v>46340</v>
      </c>
      <c r="J110" t="inlineStr">
        <is>
          <t>Disetujui</t>
        </is>
      </c>
      <c r="K110" t="n">
        <v>60</v>
      </c>
      <c r="L110" t="inlineStr">
        <is>
          <t>14 November 2026</t>
        </is>
      </c>
      <c r="M110" t="inlineStr">
        <is>
          <t>Konstruksi Bangunan Sipil Jalan, Konstruksi Gedung Perkantoran, Konstruksi Jaringan Irigasi dan Drainase</t>
        </is>
      </c>
      <c r="N110" t="inlineStr">
        <is>
          <t>K</t>
        </is>
      </c>
      <c r="O110" t="inlineStr">
        <is>
          <t>20231019, 20231022, 20231111</t>
        </is>
      </c>
      <c r="P110" t="inlineStr">
        <is>
          <t>Jawa Tengah</t>
        </is>
      </c>
      <c r="Q110" t="inlineStr"/>
    </row>
    <row r="111">
      <c r="A111" t="inlineStr">
        <is>
          <t>PUTRA SANGKALI</t>
        </is>
      </c>
      <c r="B111" t="inlineStr">
        <is>
          <t>Kab. Bandung</t>
        </is>
      </c>
      <c r="C111" t="inlineStr">
        <is>
          <t>081322057725</t>
        </is>
      </c>
      <c r="D111" t="inlineStr">
        <is>
          <t>sangkaliputra@gmail.com</t>
        </is>
      </c>
      <c r="E111" t="inlineStr">
        <is>
          <t>https://lpjk.pu.go.id/search-badan-usaha-detail/Zzh6VnZSSUlKd3hYMCtybVc1Q0lDUT09</t>
        </is>
      </c>
      <c r="F111" t="n">
        <v>2</v>
      </c>
      <c r="G111" t="inlineStr">
        <is>
          <t>BS001, BS004</t>
        </is>
      </c>
      <c r="H111" t="inlineStr">
        <is>
          <t>12 September 2018</t>
        </is>
      </c>
      <c r="I111" s="2" t="n">
        <v>46340</v>
      </c>
      <c r="J111" t="inlineStr">
        <is>
          <t>Disetujui</t>
        </is>
      </c>
      <c r="K111" t="n">
        <v>60</v>
      </c>
      <c r="L111" t="inlineStr">
        <is>
          <t>14 November 2026</t>
        </is>
      </c>
      <c r="M111" t="inlineStr">
        <is>
          <t>Konstruksi Bangunan Sipil Jalan, Konstruksi Jaringan Irigasi dan Drainase</t>
        </is>
      </c>
      <c r="N111" t="inlineStr">
        <is>
          <t>K</t>
        </is>
      </c>
      <c r="O111" t="inlineStr">
        <is>
          <t>20231114</t>
        </is>
      </c>
      <c r="P111" t="inlineStr">
        <is>
          <t>Jawa Barat</t>
        </is>
      </c>
      <c r="Q111" t="inlineStr"/>
    </row>
    <row r="112">
      <c r="A112" t="inlineStr">
        <is>
          <t>PUTRI ABU BAKAR</t>
        </is>
      </c>
      <c r="B112" t="inlineStr">
        <is>
          <t>Kab. Bandung</t>
        </is>
      </c>
      <c r="C112" t="inlineStr">
        <is>
          <t>08818287651</t>
        </is>
      </c>
      <c r="D112" t="inlineStr">
        <is>
          <t>cvputriabubakar@gmail.com</t>
        </is>
      </c>
      <c r="E112" t="inlineStr">
        <is>
          <t>https://lpjk.pu.go.id/search-badan-usaha-detail/TFUzSHFsaFZEVFA0TDBRbU9FdExGQT09</t>
        </is>
      </c>
      <c r="F112" t="n">
        <v>3</v>
      </c>
      <c r="G112" t="inlineStr">
        <is>
          <t>BG006, BS001, BS004</t>
        </is>
      </c>
      <c r="H112" t="inlineStr">
        <is>
          <t>3 Oktober 2023</t>
        </is>
      </c>
      <c r="I112" s="2" t="n">
        <v>46340</v>
      </c>
      <c r="J112" t="inlineStr">
        <is>
          <t>Disetujui</t>
        </is>
      </c>
      <c r="K112" t="n">
        <v>60</v>
      </c>
      <c r="L112" t="inlineStr">
        <is>
          <t>14 November 2026</t>
        </is>
      </c>
      <c r="M112" t="inlineStr">
        <is>
          <t>Konstruksi Bangunan Sipil Jalan, Konstruksi Gedung Pendidikan, Konstruksi Jaringan Irigasi dan Drainase</t>
        </is>
      </c>
      <c r="N112" t="inlineStr">
        <is>
          <t>K</t>
        </is>
      </c>
      <c r="O112" t="inlineStr">
        <is>
          <t>20231113</t>
        </is>
      </c>
      <c r="P112" t="inlineStr">
        <is>
          <t>Jawa Barat</t>
        </is>
      </c>
      <c r="Q112" t="inlineStr"/>
    </row>
    <row r="113">
      <c r="A113" t="inlineStr">
        <is>
          <t>RAHAYU</t>
        </is>
      </c>
      <c r="B113" t="inlineStr">
        <is>
          <t>Kab. Subang</t>
        </is>
      </c>
      <c r="C113" t="inlineStr">
        <is>
          <t>082328391888</t>
        </is>
      </c>
      <c r="D113" t="inlineStr">
        <is>
          <t>rahayucv_26@yahoo.co.id</t>
        </is>
      </c>
      <c r="E113" t="inlineStr">
        <is>
          <t>https://lpjk.pu.go.id/search-badan-usaha-detail/QXNKM0daTkdla2VUNXdUWStWOEpTQT09</t>
        </is>
      </c>
      <c r="F113" t="n">
        <v>3</v>
      </c>
      <c r="G113" t="inlineStr">
        <is>
          <t>BG006, BS001, BS004</t>
        </is>
      </c>
      <c r="H113" t="inlineStr">
        <is>
          <t>21 Juli 1978</t>
        </is>
      </c>
      <c r="I113" s="2" t="n">
        <v>46340</v>
      </c>
      <c r="J113" t="inlineStr">
        <is>
          <t>Disetujui</t>
        </is>
      </c>
      <c r="K113" t="n">
        <v>60</v>
      </c>
      <c r="L113" t="inlineStr">
        <is>
          <t>14 November 2026</t>
        </is>
      </c>
      <c r="M113" t="inlineStr">
        <is>
          <t>Konstruksi Bangunan Sipil Jalan, Konstruksi Gedung Pendidikan, Konstruksi Jaringan Irigasi dan Drainase</t>
        </is>
      </c>
      <c r="N113" t="inlineStr">
        <is>
          <t>K</t>
        </is>
      </c>
      <c r="O113" t="inlineStr">
        <is>
          <t>20231113, 20231115</t>
        </is>
      </c>
      <c r="P113" t="inlineStr">
        <is>
          <t>Jawa Barat</t>
        </is>
      </c>
      <c r="Q113" t="inlineStr"/>
    </row>
    <row r="114">
      <c r="A114" t="inlineStr">
        <is>
          <t>RAHMAT BINTANG TIMUR</t>
        </is>
      </c>
      <c r="B114" t="inlineStr">
        <is>
          <t>Kab. Kutai Timur</t>
        </is>
      </c>
      <c r="C114" t="inlineStr">
        <is>
          <t>081320042044</t>
        </is>
      </c>
      <c r="D114" t="inlineStr">
        <is>
          <t>cvrahmatbintangtimur@gmail.com</t>
        </is>
      </c>
      <c r="E114" t="inlineStr">
        <is>
          <t>https://lpjk.pu.go.id/search-badan-usaha-detail/YzN6OHRoTUo4U3BRWUsyZDVzYjZNQT09</t>
        </is>
      </c>
      <c r="F114" t="n">
        <v>6</v>
      </c>
      <c r="G114" t="inlineStr">
        <is>
          <t>AR001, AR002, AR003</t>
        </is>
      </c>
      <c r="H114" t="inlineStr">
        <is>
          <t>5 Oktober 2023</t>
        </is>
      </c>
      <c r="I114" s="2" t="n">
        <v>46340</v>
      </c>
      <c r="J114" t="inlineStr">
        <is>
          <t>Pencabutan</t>
        </is>
      </c>
      <c r="K114" t="n">
        <v>60</v>
      </c>
      <c r="L114" t="inlineStr">
        <is>
          <t>14 November 2026</t>
        </is>
      </c>
      <c r="M114" t="inlineStr">
        <is>
          <t>Jasa Arsitektural Bangunan Gedung Hunian dan Non Hunian, Jasa Arsitektural Lainnya, Jasa Desain Interior pada Bangunan Gedung dan Bangunan Sipil</t>
        </is>
      </c>
      <c r="N114" t="inlineStr">
        <is>
          <t>K</t>
        </is>
      </c>
      <c r="O114" t="inlineStr">
        <is>
          <t>20231107</t>
        </is>
      </c>
      <c r="P114" t="inlineStr">
        <is>
          <t>Kalimantan Timur</t>
        </is>
      </c>
      <c r="Q114" t="inlineStr"/>
    </row>
    <row r="115">
      <c r="A115" t="inlineStr">
        <is>
          <t>RAKSA ARIA KENCANA</t>
        </is>
      </c>
      <c r="B115" t="inlineStr">
        <is>
          <t>Kota Sukabumi</t>
        </is>
      </c>
      <c r="C115" t="inlineStr">
        <is>
          <t>081381364610</t>
        </is>
      </c>
      <c r="D115" t="inlineStr">
        <is>
          <t>rak.sukabumi@gmail.com</t>
        </is>
      </c>
      <c r="E115" t="inlineStr">
        <is>
          <t>https://lpjk.pu.go.id/search-badan-usaha-detail/MFFuRFYxbjA1ZHNuemdwMDJoc0prQT09</t>
        </is>
      </c>
      <c r="F115" t="n">
        <v>3</v>
      </c>
      <c r="G115" t="inlineStr">
        <is>
          <t>BG001, BG002, BG003</t>
        </is>
      </c>
      <c r="H115" t="inlineStr">
        <is>
          <t>6 Januari 2020</t>
        </is>
      </c>
      <c r="I115" s="2" t="n">
        <v>46340</v>
      </c>
      <c r="J115" t="inlineStr">
        <is>
          <t>Disetujui</t>
        </is>
      </c>
      <c r="K115" t="n">
        <v>60</v>
      </c>
      <c r="L115" t="inlineStr">
        <is>
          <t>14 November 2026</t>
        </is>
      </c>
      <c r="M115" t="inlineStr">
        <is>
          <t>Konstruksi Gedung Hunian, Konstruksi Gedung Industri, Konstruksi Gedung Perkantoran</t>
        </is>
      </c>
      <c r="N115" t="inlineStr">
        <is>
          <t>K</t>
        </is>
      </c>
      <c r="O115" t="inlineStr">
        <is>
          <t>20231112, 20231114</t>
        </is>
      </c>
      <c r="P115" t="inlineStr">
        <is>
          <t>Jawa Barat</t>
        </is>
      </c>
      <c r="Q115" t="inlineStr"/>
    </row>
    <row r="116">
      <c r="A116" t="inlineStr">
        <is>
          <t>REGINA</t>
        </is>
      </c>
      <c r="B116" t="inlineStr">
        <is>
          <t>Kab. Lombok Timur</t>
        </is>
      </c>
      <c r="C116" t="inlineStr">
        <is>
          <t>08179360901</t>
        </is>
      </c>
      <c r="D116" t="inlineStr">
        <is>
          <t>cv.regina04@gmail.com</t>
        </is>
      </c>
      <c r="E116" t="inlineStr">
        <is>
          <t>https://lpjk.pu.go.id/search-badan-usaha-detail/eDBOZTJHeEhtc0hpQlZyOXhXVHY4QT09</t>
        </is>
      </c>
      <c r="F116" t="n">
        <v>4</v>
      </c>
      <c r="G116" t="inlineStr">
        <is>
          <t>BG006, BG009, BS001, BS004</t>
        </is>
      </c>
      <c r="H116" t="inlineStr">
        <is>
          <t>27 Desember 2017</t>
        </is>
      </c>
      <c r="I116" s="2" t="n">
        <v>46340</v>
      </c>
      <c r="J116" t="inlineStr">
        <is>
          <t>Disetujui</t>
        </is>
      </c>
      <c r="K116" t="n">
        <v>60</v>
      </c>
      <c r="L116" t="inlineStr">
        <is>
          <t>14 November 2026</t>
        </is>
      </c>
      <c r="M116" t="inlineStr">
        <is>
          <t>Konstruksi Bangunan Sipil Jalan, Konstruksi Gedung Lainnya, Konstruksi Gedung Pendidikan, Konstruksi Jaringan Irigasi dan Drainase</t>
        </is>
      </c>
      <c r="N116" t="inlineStr">
        <is>
          <t>K</t>
        </is>
      </c>
      <c r="O116" t="inlineStr">
        <is>
          <t>20231109, 20231111, 20231115</t>
        </is>
      </c>
      <c r="P116" t="inlineStr">
        <is>
          <t>Nusa Tenggara Barat</t>
        </is>
      </c>
      <c r="Q116" t="inlineStr"/>
    </row>
    <row r="117">
      <c r="A117" t="inlineStr">
        <is>
          <t>RENDY BERSAUDARA</t>
        </is>
      </c>
      <c r="B117" t="inlineStr">
        <is>
          <t>Kab. Padang Pariaman</t>
        </is>
      </c>
      <c r="C117" t="inlineStr">
        <is>
          <t>08126775493</t>
        </is>
      </c>
      <c r="D117" t="inlineStr">
        <is>
          <t>rendybersaudara56@gmail.com</t>
        </is>
      </c>
      <c r="E117" t="inlineStr">
        <is>
          <t>https://lpjk.pu.go.id/search-badan-usaha-detail/SXBwSkFJZ3FwU1MvaFF0QW9zNndTUT09</t>
        </is>
      </c>
      <c r="F117" t="n">
        <v>1</v>
      </c>
      <c r="G117" t="inlineStr">
        <is>
          <t>BS001</t>
        </is>
      </c>
      <c r="H117" t="inlineStr">
        <is>
          <t>25 Januari 2022</t>
        </is>
      </c>
      <c r="I117" s="2" t="n">
        <v>46340</v>
      </c>
      <c r="J117" t="inlineStr">
        <is>
          <t>Pencabutan</t>
        </is>
      </c>
      <c r="K117" t="n">
        <v>60</v>
      </c>
      <c r="L117" t="inlineStr">
        <is>
          <t>14 November 2026</t>
        </is>
      </c>
      <c r="M117" t="inlineStr">
        <is>
          <t>Konstruksi Bangunan Sipil Jalan</t>
        </is>
      </c>
      <c r="N117" t="inlineStr">
        <is>
          <t>K</t>
        </is>
      </c>
      <c r="O117" t="inlineStr">
        <is>
          <t>20231109</t>
        </is>
      </c>
      <c r="P117" t="inlineStr">
        <is>
          <t>Sumatera Barat</t>
        </is>
      </c>
      <c r="Q117" t="inlineStr"/>
    </row>
    <row r="118">
      <c r="A118" t="inlineStr">
        <is>
          <t>RIDE DWG INDONESIA</t>
        </is>
      </c>
      <c r="B118" t="inlineStr">
        <is>
          <t>Kota Bandung</t>
        </is>
      </c>
      <c r="C118" t="inlineStr">
        <is>
          <t>02287317438</t>
        </is>
      </c>
      <c r="D118" t="inlineStr">
        <is>
          <t>pt.ridedwgindonesia@gmail.com</t>
        </is>
      </c>
      <c r="E118" t="inlineStr">
        <is>
          <t>https://lpjk.pu.go.id/search-badan-usaha-detail/U29ETDJIR2h4dEpJUE1pUkdKWXJaUT09</t>
        </is>
      </c>
      <c r="F118" t="n">
        <v>3</v>
      </c>
      <c r="G118" t="inlineStr">
        <is>
          <t>AR001, AR002, AR003</t>
        </is>
      </c>
      <c r="H118" t="inlineStr">
        <is>
          <t>24 Oktober 2014</t>
        </is>
      </c>
      <c r="I118" s="2" t="n">
        <v>46340</v>
      </c>
      <c r="J118" t="inlineStr">
        <is>
          <t>Disetujui</t>
        </is>
      </c>
      <c r="K118" t="n">
        <v>60</v>
      </c>
      <c r="L118" t="inlineStr">
        <is>
          <t>14 November 2026</t>
        </is>
      </c>
      <c r="M118" t="inlineStr">
        <is>
          <t>Jasa Arsitektural Bangunan Gedung Hunian dan Non Hunian, Jasa Arsitektural Lainnya, Jasa Desain Interior pada Bangunan Gedung dan Bangunan Sipil</t>
        </is>
      </c>
      <c r="N118" t="inlineStr">
        <is>
          <t>K</t>
        </is>
      </c>
      <c r="O118" t="inlineStr">
        <is>
          <t>20231109, 20231112</t>
        </is>
      </c>
      <c r="P118" t="inlineStr">
        <is>
          <t>Jawa Barat</t>
        </is>
      </c>
      <c r="Q118" t="inlineStr"/>
    </row>
    <row r="119">
      <c r="A119" t="inlineStr">
        <is>
          <t>SAMUDERA ENERGI ASTANA</t>
        </is>
      </c>
      <c r="B119" t="inlineStr">
        <is>
          <t>Kota Surabaya</t>
        </is>
      </c>
      <c r="C119" t="inlineStr">
        <is>
          <t>08179154444</t>
        </is>
      </c>
      <c r="D119" t="inlineStr">
        <is>
          <t>samuderaenergiastana@gmail.com</t>
        </is>
      </c>
      <c r="E119" t="inlineStr">
        <is>
          <t>https://lpjk.pu.go.id/search-badan-usaha-detail/Y2w2TEJ3NEJTd2l3UmlLWHlKb1ZvQT09</t>
        </is>
      </c>
      <c r="F119" t="n">
        <v>1</v>
      </c>
      <c r="G119" t="inlineStr">
        <is>
          <t>BS006</t>
        </is>
      </c>
      <c r="H119" t="inlineStr">
        <is>
          <t>17 April 2023</t>
        </is>
      </c>
      <c r="I119" s="2" t="n">
        <v>46340</v>
      </c>
      <c r="J119" t="inlineStr">
        <is>
          <t>Disetujui</t>
        </is>
      </c>
      <c r="K119" t="n">
        <v>60</v>
      </c>
      <c r="L119" t="inlineStr">
        <is>
          <t>14 November 2026</t>
        </is>
      </c>
      <c r="M119" t="inlineStr">
        <is>
          <t>Konstruksi Bangunan Sipil Prasarana dan Sarana Sistem Pengolahan Limbah Padat, Cair, dan Gas</t>
        </is>
      </c>
      <c r="N119" t="inlineStr">
        <is>
          <t>K</t>
        </is>
      </c>
      <c r="O119" t="inlineStr">
        <is>
          <t>20231115</t>
        </is>
      </c>
      <c r="P119" t="inlineStr">
        <is>
          <t>Jawa Timur</t>
        </is>
      </c>
      <c r="Q119" t="inlineStr"/>
    </row>
    <row r="120">
      <c r="A120" t="inlineStr">
        <is>
          <t>SAMUDRA KARYA PERTAMA</t>
        </is>
      </c>
      <c r="B120" t="inlineStr">
        <is>
          <t>Kota Adm. Jakarta Selatan</t>
        </is>
      </c>
      <c r="C120" t="inlineStr">
        <is>
          <t>082173241122</t>
        </is>
      </c>
      <c r="D120" t="inlineStr">
        <is>
          <t>samudrakaryapertama@gmail.com</t>
        </is>
      </c>
      <c r="E120" t="inlineStr">
        <is>
          <t>https://lpjk.pu.go.id/search-badan-usaha-detail/Um5PT2RTcHFTbzNQK29iSklRT0JvUT09</t>
        </is>
      </c>
      <c r="F120" t="n">
        <v>3</v>
      </c>
      <c r="G120" t="inlineStr">
        <is>
          <t>BG002, BG003, BG009</t>
        </is>
      </c>
      <c r="H120" t="inlineStr">
        <is>
          <t>6 Oktober 2023</t>
        </is>
      </c>
      <c r="I120" s="2" t="n">
        <v>46340</v>
      </c>
      <c r="J120" t="inlineStr">
        <is>
          <t>Disetujui</t>
        </is>
      </c>
      <c r="K120" t="n">
        <v>60</v>
      </c>
      <c r="L120" t="inlineStr">
        <is>
          <t>14 November 2026</t>
        </is>
      </c>
      <c r="M120" t="inlineStr">
        <is>
          <t>Konstruksi Gedung Industri, Konstruksi Gedung Lainnya, Konstruksi Gedung Perkantoran</t>
        </is>
      </c>
      <c r="N120" t="inlineStr">
        <is>
          <t>K</t>
        </is>
      </c>
      <c r="O120" t="inlineStr">
        <is>
          <t>20231113, 20231115</t>
        </is>
      </c>
      <c r="P120" t="inlineStr">
        <is>
          <t>DKI Jakarta</t>
        </is>
      </c>
      <c r="Q120" t="inlineStr"/>
    </row>
    <row r="121">
      <c r="A121" t="inlineStr">
        <is>
          <t>SARANAH ARSITEK NUGRAHA</t>
        </is>
      </c>
      <c r="B121" t="inlineStr">
        <is>
          <t>Kota Surabaya</t>
        </is>
      </c>
      <c r="C121" t="inlineStr">
        <is>
          <t>0313890223</t>
        </is>
      </c>
      <c r="D121" t="inlineStr">
        <is>
          <t>ptsaranah@gmail.com</t>
        </is>
      </c>
      <c r="E121" t="inlineStr">
        <is>
          <t>https://lpjk.pu.go.id/search-badan-usaha-detail/U0FRRkFNV1BtUWZxTmRZMWoxdkhmdz09</t>
        </is>
      </c>
      <c r="F121" t="n">
        <v>5</v>
      </c>
      <c r="G121" t="inlineStr">
        <is>
          <t>BG001, BG002, BG003, BG006, BG009</t>
        </is>
      </c>
      <c r="H121" t="inlineStr">
        <is>
          <t>18 Januari 2017</t>
        </is>
      </c>
      <c r="I121" s="2" t="n">
        <v>46340</v>
      </c>
      <c r="J121" t="inlineStr">
        <is>
          <t>Disetujui</t>
        </is>
      </c>
      <c r="K121" t="n">
        <v>60</v>
      </c>
      <c r="L121" t="inlineStr">
        <is>
          <t>14 November 2026</t>
        </is>
      </c>
      <c r="M121" t="inlineStr">
        <is>
          <t>Konstruksi Gedung Hunian, Konstruksi Gedung Industri, Konstruksi Gedung Lainnya, Konstruksi Gedung Pendidikan, Konstruksi Gedung Perkantoran</t>
        </is>
      </c>
      <c r="N121" t="inlineStr">
        <is>
          <t>K</t>
        </is>
      </c>
      <c r="O121" t="inlineStr">
        <is>
          <t>20231114, 20231115</t>
        </is>
      </c>
      <c r="P121" t="inlineStr">
        <is>
          <t>Jawa Timur</t>
        </is>
      </c>
      <c r="Q121" t="inlineStr"/>
    </row>
    <row r="122">
      <c r="A122" t="inlineStr">
        <is>
          <t>SARI MAS INDAH SEJAHTERA</t>
        </is>
      </c>
      <c r="B122" t="inlineStr">
        <is>
          <t>Kota Semarang</t>
        </is>
      </c>
      <c r="C122" t="inlineStr">
        <is>
          <t>0247460302</t>
        </is>
      </c>
      <c r="D122" t="inlineStr">
        <is>
          <t>smi_sejahtera@yahoo.com</t>
        </is>
      </c>
      <c r="E122" t="inlineStr">
        <is>
          <t>https://lpjk.pu.go.id/search-badan-usaha-detail/ZkNUU3ZHOHhxSVhReHU0UXhXZWJ1Zz09</t>
        </is>
      </c>
      <c r="F122" t="n">
        <v>2</v>
      </c>
      <c r="G122" t="inlineStr">
        <is>
          <t>BS001, BS002</t>
        </is>
      </c>
      <c r="H122" t="inlineStr">
        <is>
          <t>8 Juni 2017</t>
        </is>
      </c>
      <c r="I122" s="2" t="n">
        <v>46340</v>
      </c>
      <c r="J122" t="inlineStr">
        <is>
          <t>Pencabutan</t>
        </is>
      </c>
      <c r="K122" t="n">
        <v>60</v>
      </c>
      <c r="L122" t="inlineStr">
        <is>
          <t>14 November 2026</t>
        </is>
      </c>
      <c r="M122" t="inlineStr">
        <is>
          <t>Bangunan Sipil Jembatan, Jalan Layang, Fly Over, dan Underpass, Konstruksi Bangunan Sipil Jalan</t>
        </is>
      </c>
      <c r="N122" t="inlineStr">
        <is>
          <t>M</t>
        </is>
      </c>
      <c r="O122" t="inlineStr">
        <is>
          <t>20231110</t>
        </is>
      </c>
      <c r="P122" t="inlineStr">
        <is>
          <t>Jawa Tengah</t>
        </is>
      </c>
      <c r="Q122" t="inlineStr"/>
    </row>
    <row r="123">
      <c r="A123" t="inlineStr">
        <is>
          <t>SINAR GRAHA INDONUSA</t>
        </is>
      </c>
      <c r="B123" t="inlineStr">
        <is>
          <t>Kota Medan</t>
        </is>
      </c>
      <c r="C123" t="inlineStr">
        <is>
          <t>0618369172</t>
        </is>
      </c>
      <c r="D123" t="inlineStr">
        <is>
          <t>pt.sinargraha_indonusa@yahoo.co.id</t>
        </is>
      </c>
      <c r="E123" t="inlineStr">
        <is>
          <t>https://lpjk.pu.go.id/search-badan-usaha-detail/Y2xOcFFGT3FGQUVKOGl4K2o2ckMwUT09</t>
        </is>
      </c>
      <c r="F123" t="n">
        <v>1</v>
      </c>
      <c r="G123" t="inlineStr">
        <is>
          <t>BG001</t>
        </is>
      </c>
      <c r="H123" t="inlineStr">
        <is>
          <t>3 Maret 2008</t>
        </is>
      </c>
      <c r="I123" s="2" t="n">
        <v>46340</v>
      </c>
      <c r="J123" t="inlineStr">
        <is>
          <t>Disetujui</t>
        </is>
      </c>
      <c r="K123" t="n">
        <v>60</v>
      </c>
      <c r="L123" t="inlineStr">
        <is>
          <t>14 November 2026</t>
        </is>
      </c>
      <c r="M123" t="inlineStr">
        <is>
          <t>Konstruksi Gedung Hunian</t>
        </is>
      </c>
      <c r="N123" t="inlineStr">
        <is>
          <t>K</t>
        </is>
      </c>
      <c r="O123" t="inlineStr">
        <is>
          <t>20231110</t>
        </is>
      </c>
      <c r="P123" t="inlineStr">
        <is>
          <t>Sumatera Utara</t>
        </is>
      </c>
      <c r="Q123" t="inlineStr"/>
    </row>
    <row r="124">
      <c r="A124" t="inlineStr">
        <is>
          <t>SINAR ROTE TIMUR</t>
        </is>
      </c>
      <c r="B124" t="inlineStr">
        <is>
          <t>Kab. Rote Ndao</t>
        </is>
      </c>
      <c r="C124" t="inlineStr">
        <is>
          <t>085238707919</t>
        </is>
      </c>
      <c r="D124" t="inlineStr">
        <is>
          <t>sinarrotetimur@gmail.com</t>
        </is>
      </c>
      <c r="E124" t="inlineStr">
        <is>
          <t>https://lpjk.pu.go.id/search-badan-usaha-detail/Mmc5UkNSUDhaWEswMzkxdmMrK1Rmdz09</t>
        </is>
      </c>
      <c r="F124" t="n">
        <v>1</v>
      </c>
      <c r="G124" t="inlineStr">
        <is>
          <t>BS010</t>
        </is>
      </c>
      <c r="H124" t="inlineStr">
        <is>
          <t>26 November 2019</t>
        </is>
      </c>
      <c r="I124" s="2" t="n">
        <v>46340</v>
      </c>
      <c r="J124" t="inlineStr">
        <is>
          <t>Disetujui</t>
        </is>
      </c>
      <c r="K124" t="n">
        <v>60</v>
      </c>
      <c r="L124" t="inlineStr">
        <is>
          <t>14 November 2026</t>
        </is>
      </c>
      <c r="M124" t="inlineStr">
        <is>
          <t>Konstruksi Bangunan Prasarana Sumber Daya Air</t>
        </is>
      </c>
      <c r="N124" t="inlineStr">
        <is>
          <t>K</t>
        </is>
      </c>
      <c r="O124" t="inlineStr">
        <is>
          <t>20231026</t>
        </is>
      </c>
      <c r="P124" t="inlineStr">
        <is>
          <t>Nusa Tenggara Timur</t>
        </is>
      </c>
      <c r="Q124" t="inlineStr"/>
    </row>
    <row r="125">
      <c r="A125" t="inlineStr">
        <is>
          <t>STUDIO A 17 CONSULTANT</t>
        </is>
      </c>
      <c r="B125" t="inlineStr">
        <is>
          <t>Kota Padang</t>
        </is>
      </c>
      <c r="C125" t="inlineStr">
        <is>
          <t>081363314175</t>
        </is>
      </c>
      <c r="D125" t="inlineStr">
        <is>
          <t>a17studioconsultan@gmail.com</t>
        </is>
      </c>
      <c r="E125" t="inlineStr">
        <is>
          <t>https://lpjk.pu.go.id/search-badan-usaha-detail/MDIzbmhZS1VUcVkwU1FFL3Voa252dz09</t>
        </is>
      </c>
      <c r="F125" t="n">
        <v>1</v>
      </c>
      <c r="G125" t="inlineStr">
        <is>
          <t>AR001</t>
        </is>
      </c>
      <c r="H125" t="inlineStr">
        <is>
          <t>5 Maret 2004</t>
        </is>
      </c>
      <c r="I125" s="2" t="n">
        <v>46340</v>
      </c>
      <c r="J125" t="inlineStr">
        <is>
          <t>Disetujui</t>
        </is>
      </c>
      <c r="K125" t="n">
        <v>60</v>
      </c>
      <c r="L125" t="inlineStr">
        <is>
          <t>14 November 2026</t>
        </is>
      </c>
      <c r="M125" t="inlineStr">
        <is>
          <t>Jasa Arsitektural Bangunan Gedung Hunian dan Non Hunian</t>
        </is>
      </c>
      <c r="N125" t="inlineStr">
        <is>
          <t>K</t>
        </is>
      </c>
      <c r="O125" t="inlineStr">
        <is>
          <t>20231016</t>
        </is>
      </c>
      <c r="P125" t="inlineStr">
        <is>
          <t>Sumatera Barat</t>
        </is>
      </c>
      <c r="Q125" t="inlineStr"/>
    </row>
    <row r="126">
      <c r="A126" t="inlineStr">
        <is>
          <t>SUBUR ABADI JAYA</t>
        </is>
      </c>
      <c r="B126" t="inlineStr">
        <is>
          <t>Kota Kendari</t>
        </is>
      </c>
      <c r="C126" t="inlineStr">
        <is>
          <t>082252308994</t>
        </is>
      </c>
      <c r="D126" t="inlineStr">
        <is>
          <t>abadijayasubur@yahoo.com</t>
        </is>
      </c>
      <c r="E126" t="inlineStr">
        <is>
          <t>https://lpjk.pu.go.id/search-badan-usaha-detail/VktNQVhoYmp0eklpSldRQ0NYbitGdz09</t>
        </is>
      </c>
      <c r="F126" t="n">
        <v>1</v>
      </c>
      <c r="G126" t="inlineStr">
        <is>
          <t>PB010</t>
        </is>
      </c>
      <c r="H126" t="inlineStr">
        <is>
          <t>5 Juli 1997</t>
        </is>
      </c>
      <c r="I126" s="2" t="n">
        <v>46340</v>
      </c>
      <c r="J126" t="inlineStr">
        <is>
          <t>Disetujui</t>
        </is>
      </c>
      <c r="K126" t="n">
        <v>60</v>
      </c>
      <c r="L126" t="inlineStr">
        <is>
          <t>14 November 2026</t>
        </is>
      </c>
      <c r="M126" t="inlineStr">
        <is>
          <t>Pekerjaan Lanskap, Pertamanan, dan Penanaman Vegetasi</t>
        </is>
      </c>
      <c r="N126" t="inlineStr">
        <is>
          <t>Spesialis</t>
        </is>
      </c>
      <c r="O126" t="inlineStr">
        <is>
          <t>20231108</t>
        </is>
      </c>
      <c r="P126" t="inlineStr">
        <is>
          <t>Sulawesi Tenggara</t>
        </is>
      </c>
      <c r="Q126" t="inlineStr"/>
    </row>
    <row r="127">
      <c r="A127" t="inlineStr">
        <is>
          <t>SUMBER BERKAH PUTRA</t>
        </is>
      </c>
      <c r="B127" t="inlineStr">
        <is>
          <t>Kab. Madiun</t>
        </is>
      </c>
      <c r="C127" t="inlineStr">
        <is>
          <t>085330069228</t>
        </is>
      </c>
      <c r="D127" t="inlineStr">
        <is>
          <t>sumberberkahputra123@gmail.com</t>
        </is>
      </c>
      <c r="E127" t="inlineStr">
        <is>
          <t>https://lpjk.pu.go.id/search-badan-usaha-detail/dVdPTEtDSFgvaUFOa1JMdXY2Ykh2dz09</t>
        </is>
      </c>
      <c r="F127" t="n">
        <v>2</v>
      </c>
      <c r="G127" t="inlineStr">
        <is>
          <t>BG004, BG005</t>
        </is>
      </c>
      <c r="H127" t="inlineStr">
        <is>
          <t>24 Desember 2021</t>
        </is>
      </c>
      <c r="I127" s="2" t="n">
        <v>46340</v>
      </c>
      <c r="J127" t="inlineStr">
        <is>
          <t>Disetujui</t>
        </is>
      </c>
      <c r="K127" t="n">
        <v>60</v>
      </c>
      <c r="L127" t="inlineStr">
        <is>
          <t>14 November 2026</t>
        </is>
      </c>
      <c r="M127" t="inlineStr">
        <is>
          <t>Konstruksi Gedung Kesehatan, Konstruksi Gedung Perbelanjaan</t>
        </is>
      </c>
      <c r="N127" t="inlineStr">
        <is>
          <t>K</t>
        </is>
      </c>
      <c r="O127" t="inlineStr">
        <is>
          <t>20231112</t>
        </is>
      </c>
      <c r="P127" t="inlineStr">
        <is>
          <t>Jawa Timur</t>
        </is>
      </c>
      <c r="Q127" t="inlineStr"/>
    </row>
    <row r="128">
      <c r="A128" t="inlineStr">
        <is>
          <t>SUNRISE CONTRACTOR</t>
        </is>
      </c>
      <c r="B128" t="inlineStr">
        <is>
          <t>Kab. Parigi Moutong</t>
        </is>
      </c>
      <c r="C128" t="inlineStr">
        <is>
          <t>081354868662</t>
        </is>
      </c>
      <c r="D128" t="inlineStr">
        <is>
          <t>cvsunrise86@gmail.com</t>
        </is>
      </c>
      <c r="E128" t="inlineStr">
        <is>
          <t>https://lpjk.pu.go.id/search-badan-usaha-detail/TzlqekxJenFZc3V2VkdRY1lwWHJodz09</t>
        </is>
      </c>
      <c r="F128" t="n">
        <v>2</v>
      </c>
      <c r="G128" t="inlineStr">
        <is>
          <t>BG006, BS001</t>
        </is>
      </c>
      <c r="H128" t="inlineStr">
        <is>
          <t>27 September 2019</t>
        </is>
      </c>
      <c r="I128" s="2" t="n">
        <v>46340</v>
      </c>
      <c r="J128" t="inlineStr">
        <is>
          <t>Disetujui</t>
        </is>
      </c>
      <c r="K128" t="n">
        <v>60</v>
      </c>
      <c r="L128" t="inlineStr">
        <is>
          <t>14 November 2026</t>
        </is>
      </c>
      <c r="M128" t="inlineStr">
        <is>
          <t>Konstruksi Bangunan Sipil Jalan, Konstruksi Gedung Pendidikan</t>
        </is>
      </c>
      <c r="N128" t="inlineStr">
        <is>
          <t>K</t>
        </is>
      </c>
      <c r="O128" t="inlineStr">
        <is>
          <t>20231113, 20231115</t>
        </is>
      </c>
      <c r="P128" t="inlineStr">
        <is>
          <t>Sulawesi Tengah</t>
        </is>
      </c>
      <c r="Q128" t="inlineStr"/>
    </row>
    <row r="129">
      <c r="A129" t="inlineStr">
        <is>
          <t>TAMBAKBERAS ABADI MAKMUR</t>
        </is>
      </c>
      <c r="B129" t="inlineStr">
        <is>
          <t>Kab. Jombang</t>
        </is>
      </c>
      <c r="C129" t="inlineStr">
        <is>
          <t>082230573009</t>
        </is>
      </c>
      <c r="D129" t="inlineStr">
        <is>
          <t>tam_jombang@yahoo.com</t>
        </is>
      </c>
      <c r="E129" t="inlineStr">
        <is>
          <t>https://lpjk.pu.go.id/search-badan-usaha-detail/ZmZocXFHMTRmTnJ2c3JpRDRoQVZTdz09</t>
        </is>
      </c>
      <c r="F129" t="n">
        <v>2</v>
      </c>
      <c r="G129" t="inlineStr">
        <is>
          <t>BG002, BG009</t>
        </is>
      </c>
      <c r="H129" t="inlineStr">
        <is>
          <t>22 Juni 2012</t>
        </is>
      </c>
      <c r="I129" s="2" t="n">
        <v>46340</v>
      </c>
      <c r="J129" t="inlineStr">
        <is>
          <t>Disetujui</t>
        </is>
      </c>
      <c r="K129" t="n">
        <v>60</v>
      </c>
      <c r="L129" t="inlineStr">
        <is>
          <t>14 November 2026</t>
        </is>
      </c>
      <c r="M129" t="inlineStr">
        <is>
          <t>Konstruksi Gedung Lainnya, Konstruksi Gedung Perkantoran</t>
        </is>
      </c>
      <c r="N129" t="inlineStr">
        <is>
          <t>K</t>
        </is>
      </c>
      <c r="O129" t="inlineStr">
        <is>
          <t>20231110, 20231113</t>
        </is>
      </c>
      <c r="P129" t="inlineStr">
        <is>
          <t>Jawa Timur</t>
        </is>
      </c>
      <c r="Q129" t="inlineStr"/>
    </row>
    <row r="130">
      <c r="A130" t="inlineStr">
        <is>
          <t>TAMBUN MUARA KASIH</t>
        </is>
      </c>
      <c r="B130" t="inlineStr">
        <is>
          <t>Kab. Deli Serdang</t>
        </is>
      </c>
      <c r="C130" t="inlineStr">
        <is>
          <t>082367509310</t>
        </is>
      </c>
      <c r="D130" t="inlineStr">
        <is>
          <t>cvtambunmuarakasih@gmail.com</t>
        </is>
      </c>
      <c r="E130" t="inlineStr">
        <is>
          <t>https://lpjk.pu.go.id/search-badan-usaha-detail/THFyckJSaFdQWUgxbGRTODNFQzNCQT09</t>
        </is>
      </c>
      <c r="F130" t="n">
        <v>2</v>
      </c>
      <c r="G130" t="inlineStr">
        <is>
          <t>BS001, BS004</t>
        </is>
      </c>
      <c r="H130" t="inlineStr">
        <is>
          <t>20 Oktober 2023</t>
        </is>
      </c>
      <c r="I130" s="2" t="n">
        <v>46340</v>
      </c>
      <c r="J130" t="inlineStr">
        <is>
          <t>Disetujui</t>
        </is>
      </c>
      <c r="K130" t="n">
        <v>60</v>
      </c>
      <c r="L130" t="inlineStr">
        <is>
          <t>14 November 2026</t>
        </is>
      </c>
      <c r="M130" t="inlineStr">
        <is>
          <t>Konstruksi Bangunan Sipil Jalan, Konstruksi Jaringan Irigasi dan Drainase</t>
        </is>
      </c>
      <c r="N130" t="inlineStr">
        <is>
          <t>K</t>
        </is>
      </c>
      <c r="O130" t="inlineStr">
        <is>
          <t>20231110, 20231116</t>
        </is>
      </c>
      <c r="P130" t="inlineStr">
        <is>
          <t>Sumatera Utara</t>
        </is>
      </c>
      <c r="Q130" t="inlineStr"/>
    </row>
    <row r="131">
      <c r="A131" t="inlineStr">
        <is>
          <t>TETRA KONSTRUKSINDO</t>
        </is>
      </c>
      <c r="B131" t="inlineStr">
        <is>
          <t>Kota Adm. Jakarta Pusat</t>
        </is>
      </c>
      <c r="C131" t="inlineStr">
        <is>
          <t>0213518910</t>
        </is>
      </c>
      <c r="D131" t="inlineStr">
        <is>
          <t>tender@tetra.co.id</t>
        </is>
      </c>
      <c r="E131" t="inlineStr">
        <is>
          <t>https://lpjk.pu.go.id/search-badan-usaha-detail/NVlld0RVYTAxMlNIK0c3cUJKbkdZdz09</t>
        </is>
      </c>
      <c r="F131" t="n">
        <v>1</v>
      </c>
      <c r="G131" t="inlineStr">
        <is>
          <t>IN007</t>
        </is>
      </c>
      <c r="H131" t="inlineStr">
        <is>
          <t>24 September 2001</t>
        </is>
      </c>
      <c r="I131" s="2" t="n">
        <v>46340</v>
      </c>
      <c r="J131" t="inlineStr">
        <is>
          <t>Disetujui</t>
        </is>
      </c>
      <c r="K131" t="n">
        <v>60</v>
      </c>
      <c r="L131" t="inlineStr">
        <is>
          <t>14 November 2026</t>
        </is>
      </c>
      <c r="M131" t="inlineStr">
        <is>
          <t>Instalasi Saluran Air (Plambing)</t>
        </is>
      </c>
      <c r="N131" t="inlineStr">
        <is>
          <t>Spesialis</t>
        </is>
      </c>
      <c r="O131" t="inlineStr">
        <is>
          <t>20231110</t>
        </is>
      </c>
      <c r="P131" t="inlineStr">
        <is>
          <t>DKI Jakarta</t>
        </is>
      </c>
      <c r="Q131" t="inlineStr"/>
    </row>
    <row r="132">
      <c r="A132" t="inlineStr">
        <is>
          <t>TIGA MANUNGGAL ABADI</t>
        </is>
      </c>
      <c r="B132" t="inlineStr">
        <is>
          <t>Kota Samarinda</t>
        </is>
      </c>
      <c r="C132" t="inlineStr">
        <is>
          <t>082318081969</t>
        </is>
      </c>
      <c r="D132" t="inlineStr">
        <is>
          <t>tma.smd.1@gmail.com</t>
        </is>
      </c>
      <c r="E132" t="inlineStr">
        <is>
          <t>https://lpjk.pu.go.id/search-badan-usaha-detail/WEtPckRlVjZaNWUrN1VGWDcxUW0xdz09</t>
        </is>
      </c>
      <c r="F132" t="n">
        <v>3</v>
      </c>
      <c r="G132" t="inlineStr">
        <is>
          <t>AL001, AL002, AL003</t>
        </is>
      </c>
      <c r="H132" t="inlineStr">
        <is>
          <t>26 Februari 2001</t>
        </is>
      </c>
      <c r="I132" s="2" t="n">
        <v>46340</v>
      </c>
      <c r="J132" t="inlineStr">
        <is>
          <t>Disetujui</t>
        </is>
      </c>
      <c r="K132" t="n">
        <v>60</v>
      </c>
      <c r="L132" t="inlineStr">
        <is>
          <t>14 November 2026</t>
        </is>
      </c>
      <c r="M132" t="inlineStr">
        <is>
          <t>Jasa Pengembangan Pemanfaatan Ruang, Jasa Pengembangan Perkotaan, Jasa Pengembangan Wilayah</t>
        </is>
      </c>
      <c r="N132" t="inlineStr">
        <is>
          <t>K</t>
        </is>
      </c>
      <c r="O132" t="inlineStr">
        <is>
          <t>20231108</t>
        </is>
      </c>
      <c r="P132" t="inlineStr">
        <is>
          <t>Kalimantan Timur</t>
        </is>
      </c>
      <c r="Q132" t="inlineStr"/>
    </row>
    <row r="133">
      <c r="A133" t="inlineStr">
        <is>
          <t>TIGA SAUDARA</t>
        </is>
      </c>
      <c r="B133" t="inlineStr">
        <is>
          <t>Kab. Bandung Barat</t>
        </is>
      </c>
      <c r="C133" t="inlineStr">
        <is>
          <t>0811215175</t>
        </is>
      </c>
      <c r="D133" t="inlineStr">
        <is>
          <t>cv.tsaudara@gmail.com</t>
        </is>
      </c>
      <c r="E133" t="inlineStr">
        <is>
          <t>https://lpjk.pu.go.id/search-badan-usaha-detail/c1JjeDZjeitZWXhnS1l1OXFNcVBFQT09</t>
        </is>
      </c>
      <c r="F133" t="n">
        <v>1</v>
      </c>
      <c r="G133" t="inlineStr">
        <is>
          <t>BS001</t>
        </is>
      </c>
      <c r="H133" t="inlineStr">
        <is>
          <t>25 Januari 2002</t>
        </is>
      </c>
      <c r="I133" s="2" t="n">
        <v>46340</v>
      </c>
      <c r="J133" t="inlineStr">
        <is>
          <t>Disetujui</t>
        </is>
      </c>
      <c r="K133" t="n">
        <v>60</v>
      </c>
      <c r="L133" t="inlineStr">
        <is>
          <t>14 November 2026</t>
        </is>
      </c>
      <c r="M133" t="inlineStr">
        <is>
          <t>Konstruksi Bangunan Sipil Jalan</t>
        </is>
      </c>
      <c r="N133" t="inlineStr">
        <is>
          <t>K</t>
        </is>
      </c>
      <c r="O133" t="inlineStr">
        <is>
          <t>20231109</t>
        </is>
      </c>
      <c r="P133" t="inlineStr">
        <is>
          <t>Jawa Barat</t>
        </is>
      </c>
      <c r="Q133" t="inlineStr"/>
    </row>
    <row r="134">
      <c r="A134" t="inlineStr">
        <is>
          <t>TIRTA KENCANA</t>
        </is>
      </c>
      <c r="B134" t="inlineStr">
        <is>
          <t>Kab. Tanjung Jabung Timur</t>
        </is>
      </c>
      <c r="C134" t="inlineStr">
        <is>
          <t>082280641219</t>
        </is>
      </c>
      <c r="D134" t="inlineStr">
        <is>
          <t>kencanatirta72@gmail.com</t>
        </is>
      </c>
      <c r="E134" t="inlineStr">
        <is>
          <t>https://lpjk.pu.go.id/search-badan-usaha-detail/TmtVVmo1aUQ2MXFjMXM4eDc1blZQUT09</t>
        </is>
      </c>
      <c r="F134" t="n">
        <v>1</v>
      </c>
      <c r="G134" t="inlineStr">
        <is>
          <t>BG009</t>
        </is>
      </c>
      <c r="H134" t="inlineStr">
        <is>
          <t>14 Januari 2016</t>
        </is>
      </c>
      <c r="I134" s="2" t="n">
        <v>46340</v>
      </c>
      <c r="J134" t="inlineStr">
        <is>
          <t>Disetujui</t>
        </is>
      </c>
      <c r="K134" t="n">
        <v>60</v>
      </c>
      <c r="L134" t="inlineStr">
        <is>
          <t>14 November 2026</t>
        </is>
      </c>
      <c r="M134" t="inlineStr">
        <is>
          <t>Konstruksi Gedung Lainnya</t>
        </is>
      </c>
      <c r="N134" t="inlineStr">
        <is>
          <t>K</t>
        </is>
      </c>
      <c r="O134" t="inlineStr">
        <is>
          <t>20230606</t>
        </is>
      </c>
      <c r="P134" t="inlineStr">
        <is>
          <t>Jambi</t>
        </is>
      </c>
      <c r="Q134" t="inlineStr"/>
    </row>
    <row r="135">
      <c r="A135" t="inlineStr">
        <is>
          <t>TIRTA WIDYAUTAMA</t>
        </is>
      </c>
      <c r="B135" t="inlineStr">
        <is>
          <t>Kota Palangkaraya</t>
        </is>
      </c>
      <c r="C135" t="inlineStr">
        <is>
          <t>081280000068</t>
        </is>
      </c>
      <c r="D135" t="inlineStr">
        <is>
          <t>tirta.widyautama@gmail.com</t>
        </is>
      </c>
      <c r="E135" t="inlineStr">
        <is>
          <t>https://lpjk.pu.go.id/search-badan-usaha-detail/YnUzMVRsKzMvNTI2M1VvcHFKanhVdz09</t>
        </is>
      </c>
      <c r="F135" t="n">
        <v>1</v>
      </c>
      <c r="G135" t="inlineStr">
        <is>
          <t>BS001</t>
        </is>
      </c>
      <c r="H135" t="inlineStr">
        <is>
          <t>17 Januari 2012</t>
        </is>
      </c>
      <c r="I135" s="2" t="n">
        <v>46340</v>
      </c>
      <c r="J135" t="inlineStr">
        <is>
          <t>Pencabutan</t>
        </is>
      </c>
      <c r="K135" t="n">
        <v>60</v>
      </c>
      <c r="L135" t="inlineStr">
        <is>
          <t>14 November 2026</t>
        </is>
      </c>
      <c r="M135" t="inlineStr">
        <is>
          <t>Konstruksi Bangunan Sipil Jalan</t>
        </is>
      </c>
      <c r="N135" t="inlineStr">
        <is>
          <t>K</t>
        </is>
      </c>
      <c r="O135" t="inlineStr">
        <is>
          <t>20231114</t>
        </is>
      </c>
      <c r="P135" t="inlineStr">
        <is>
          <t>Kalimantan Tengah</t>
        </is>
      </c>
      <c r="Q135" t="inlineStr"/>
    </row>
    <row r="136">
      <c r="A136" t="inlineStr">
        <is>
          <t>TOTAL PERSADA MOSAD</t>
        </is>
      </c>
      <c r="B136" t="inlineStr">
        <is>
          <t>Kota Jayapura</t>
        </is>
      </c>
      <c r="C136" t="inlineStr">
        <is>
          <t>085394938879</t>
        </is>
      </c>
      <c r="D136" t="inlineStr">
        <is>
          <t>cvtotalpersadamosad@gmail.com</t>
        </is>
      </c>
      <c r="E136" t="inlineStr">
        <is>
          <t>https://lpjk.pu.go.id/search-badan-usaha-detail/a0VZWW9ZMnhsc2dpQWJsc1NhM3cxUT09</t>
        </is>
      </c>
      <c r="F136" t="n">
        <v>1</v>
      </c>
      <c r="G136" t="inlineStr">
        <is>
          <t>BG001</t>
        </is>
      </c>
      <c r="H136" t="inlineStr">
        <is>
          <t>3 Januari 2024</t>
        </is>
      </c>
      <c r="I136" s="2" t="n">
        <v>46340</v>
      </c>
      <c r="J136" t="inlineStr">
        <is>
          <t>Disetujui</t>
        </is>
      </c>
      <c r="K136" t="n">
        <v>60</v>
      </c>
      <c r="L136" t="inlineStr">
        <is>
          <t>14 November 2026</t>
        </is>
      </c>
      <c r="M136" t="inlineStr">
        <is>
          <t>Konstruksi Gedung Hunian</t>
        </is>
      </c>
      <c r="N136" t="inlineStr">
        <is>
          <t>K</t>
        </is>
      </c>
      <c r="O136" t="inlineStr">
        <is>
          <t>20231115</t>
        </is>
      </c>
      <c r="P136" t="inlineStr">
        <is>
          <t>Papua</t>
        </is>
      </c>
      <c r="Q136" t="inlineStr"/>
    </row>
    <row r="137">
      <c r="A137" t="inlineStr">
        <is>
          <t>TRANSTEL UNIVERSAL</t>
        </is>
      </c>
      <c r="B137" t="inlineStr">
        <is>
          <t>Kota Adm. Jakarta Utara</t>
        </is>
      </c>
      <c r="C137" t="inlineStr">
        <is>
          <t>02145846292</t>
        </is>
      </c>
      <c r="D137" t="inlineStr">
        <is>
          <t>office@transteluniversal.co.id</t>
        </is>
      </c>
      <c r="E137" t="inlineStr">
        <is>
          <t>https://lpjk.pu.go.id/search-badan-usaha-detail/Y0pNdGFlZWlvL0dZOU0vMTFvdTNVZz09</t>
        </is>
      </c>
      <c r="F137" t="n">
        <v>6</v>
      </c>
      <c r="G137" t="inlineStr">
        <is>
          <t>KK007, PB009</t>
        </is>
      </c>
      <c r="H137" t="inlineStr">
        <is>
          <t>18 Juni 1997</t>
        </is>
      </c>
      <c r="I137" s="2" t="n">
        <v>46340</v>
      </c>
      <c r="J137" t="inlineStr">
        <is>
          <t>Disetujui</t>
        </is>
      </c>
      <c r="K137" t="n">
        <v>60</v>
      </c>
      <c r="L137" t="inlineStr">
        <is>
          <t>14 November 2026</t>
        </is>
      </c>
      <c r="M137" t="inlineStr">
        <is>
          <t>Pekerjaan Konstruksi Kedap Suara, Pembersihan dan Perapihan Bangunan Gedung dan/atau Bangunan Sipil</t>
        </is>
      </c>
      <c r="N137" t="inlineStr">
        <is>
          <t>Spesialis</t>
        </is>
      </c>
      <c r="O137" t="inlineStr">
        <is>
          <t>20231107, 20231113</t>
        </is>
      </c>
      <c r="P137" t="inlineStr">
        <is>
          <t>DKI Jakarta</t>
        </is>
      </c>
      <c r="Q137" t="inlineStr"/>
    </row>
    <row r="138">
      <c r="A138" t="inlineStr">
        <is>
          <t>TRI BRILLIANT SANJAYA</t>
        </is>
      </c>
      <c r="B138" t="inlineStr">
        <is>
          <t>Kab. Lampung Selatan</t>
        </is>
      </c>
      <c r="C138" t="inlineStr">
        <is>
          <t>-</t>
        </is>
      </c>
      <c r="D138" t="inlineStr">
        <is>
          <t>cv.tribrilliantsanjaya@gmail.com</t>
        </is>
      </c>
      <c r="E138" t="inlineStr">
        <is>
          <t>https://lpjk.pu.go.id/search-badan-usaha-detail/djcxcldQd2JMNm9TZG9PY1hUZFg4UT09</t>
        </is>
      </c>
      <c r="F138" t="n">
        <v>2</v>
      </c>
      <c r="G138" t="inlineStr">
        <is>
          <t>BG006, BG009</t>
        </is>
      </c>
      <c r="H138" t="inlineStr">
        <is>
          <t>28 Juli 2018</t>
        </is>
      </c>
      <c r="I138" s="2" t="n">
        <v>46340</v>
      </c>
      <c r="J138" t="inlineStr">
        <is>
          <t>Disetujui</t>
        </is>
      </c>
      <c r="K138" t="n">
        <v>60</v>
      </c>
      <c r="L138" t="inlineStr">
        <is>
          <t>14 November 2026</t>
        </is>
      </c>
      <c r="M138" t="inlineStr">
        <is>
          <t>Konstruksi Gedung Lainnya, Konstruksi Gedung Pendidikan</t>
        </is>
      </c>
      <c r="N138" t="inlineStr">
        <is>
          <t>K</t>
        </is>
      </c>
      <c r="O138" t="inlineStr">
        <is>
          <t>20230721</t>
        </is>
      </c>
      <c r="P138" t="inlineStr">
        <is>
          <t>Lampung</t>
        </is>
      </c>
      <c r="Q138" t="inlineStr"/>
    </row>
    <row r="139">
      <c r="A139" t="inlineStr">
        <is>
          <t>TRISAKA KOPKARSENTRA UTAMA</t>
        </is>
      </c>
      <c r="B139" t="inlineStr">
        <is>
          <t>Kab. Cilacap</t>
        </is>
      </c>
      <c r="C139" t="inlineStr">
        <is>
          <t>0282541804</t>
        </is>
      </c>
      <c r="D139" t="inlineStr">
        <is>
          <t>trisakaku_clp@yahoo.com</t>
        </is>
      </c>
      <c r="E139" t="inlineStr">
        <is>
          <t>https://lpjk.pu.go.id/search-badan-usaha-detail/T0ZqN0thbTg1Z0VtQ3hWSTM2bWcwZz09</t>
        </is>
      </c>
      <c r="F139" t="n">
        <v>6</v>
      </c>
      <c r="G139" t="inlineStr">
        <is>
          <t>BG001, BG002, BG003, BG009, BS001, BS004</t>
        </is>
      </c>
      <c r="H139" t="inlineStr">
        <is>
          <t>28 November 1996</t>
        </is>
      </c>
      <c r="I139" s="2" t="n">
        <v>46340</v>
      </c>
      <c r="J139" t="inlineStr">
        <is>
          <t>Disetujui</t>
        </is>
      </c>
      <c r="K139" t="n">
        <v>60</v>
      </c>
      <c r="L139" t="inlineStr">
        <is>
          <t>14 November 2026</t>
        </is>
      </c>
      <c r="M139" t="inlineStr">
        <is>
          <t>Konstruksi Bangunan Sipil Jalan, Konstruksi Gedung Hunian, Konstruksi Gedung Industri, Konstruksi Gedung Lainnya, Konstruksi Gedung Perkantoran, Konstruksi Jaringan Irigasi dan Drainase</t>
        </is>
      </c>
      <c r="N139" t="inlineStr">
        <is>
          <t>K</t>
        </is>
      </c>
      <c r="O139" t="inlineStr">
        <is>
          <t>20231113</t>
        </is>
      </c>
      <c r="P139" t="inlineStr">
        <is>
          <t>Jawa Tengah</t>
        </is>
      </c>
      <c r="Q139" t="inlineStr"/>
    </row>
    <row r="140">
      <c r="A140" t="inlineStr">
        <is>
          <t>USAHA PRIMA ABADI</t>
        </is>
      </c>
      <c r="B140" t="inlineStr">
        <is>
          <t>Kab. Sambas</t>
        </is>
      </c>
      <c r="C140" t="inlineStr">
        <is>
          <t>081253503865</t>
        </is>
      </c>
      <c r="D140" t="inlineStr">
        <is>
          <t>cvusahaprimaabadi@gmail.com</t>
        </is>
      </c>
      <c r="E140" t="inlineStr">
        <is>
          <t>https://lpjk.pu.go.id/search-badan-usaha-detail/WG8yUUJKUXFnU3ZVaFBwb1FJYzZsdz09</t>
        </is>
      </c>
      <c r="F140" t="n">
        <v>6</v>
      </c>
      <c r="G140" t="inlineStr">
        <is>
          <t>BG002, BG005, BG006, BG009, BS001, BS004</t>
        </is>
      </c>
      <c r="H140" t="inlineStr">
        <is>
          <t>12 Januari 2022</t>
        </is>
      </c>
      <c r="I140" s="2" t="n">
        <v>46340</v>
      </c>
      <c r="J140" t="inlineStr">
        <is>
          <t>Disetujui</t>
        </is>
      </c>
      <c r="K140" t="n">
        <v>60</v>
      </c>
      <c r="L140" t="inlineStr">
        <is>
          <t>14 November 2026</t>
        </is>
      </c>
      <c r="M140" t="inlineStr">
        <is>
          <t>Konstruksi Bangunan Sipil Jalan, Konstruksi Gedung Kesehatan, Konstruksi Gedung Lainnya, Konstruksi Gedung Pendidikan, Konstruksi Gedung Perkantoran, Konstruksi Jaringan Irigasi dan Drainase</t>
        </is>
      </c>
      <c r="N140" t="inlineStr">
        <is>
          <t>K</t>
        </is>
      </c>
      <c r="O140" t="inlineStr">
        <is>
          <t>20231114, 20231115, 20231116</t>
        </is>
      </c>
      <c r="P140" t="inlineStr">
        <is>
          <t>Kalimantan Barat</t>
        </is>
      </c>
      <c r="Q140" t="inlineStr"/>
    </row>
    <row r="141">
      <c r="A141" t="inlineStr">
        <is>
          <t>WAHANA OPTIMA PERMAI</t>
        </is>
      </c>
      <c r="B141" t="inlineStr">
        <is>
          <t>Kota Adm. Jakarta Pusat</t>
        </is>
      </c>
      <c r="C141" t="inlineStr">
        <is>
          <t>0213901727</t>
        </is>
      </c>
      <c r="D141" t="inlineStr">
        <is>
          <t>wop@wop.co.id</t>
        </is>
      </c>
      <c r="E141" t="inlineStr">
        <is>
          <t>https://lpjk.pu.go.id/search-badan-usaha-detail/SVgra0lySzdiNm0xQmo4RGY4c2Z5Zz09</t>
        </is>
      </c>
      <c r="F141" t="n">
        <v>1</v>
      </c>
      <c r="G141" t="inlineStr">
        <is>
          <t>PB004</t>
        </is>
      </c>
      <c r="H141" t="inlineStr">
        <is>
          <t>23 September 1986</t>
        </is>
      </c>
      <c r="I141" s="2" t="n">
        <v>46340</v>
      </c>
      <c r="J141" t="inlineStr">
        <is>
          <t>Disetujui</t>
        </is>
      </c>
      <c r="K141" t="n">
        <v>60</v>
      </c>
      <c r="L141" t="inlineStr">
        <is>
          <t>14 November 2026</t>
        </is>
      </c>
      <c r="M141" t="inlineStr">
        <is>
          <t>Dekorasi Interior</t>
        </is>
      </c>
      <c r="N141" t="inlineStr">
        <is>
          <t>Spesialis</t>
        </is>
      </c>
      <c r="O141" t="inlineStr">
        <is>
          <t>20231107</t>
        </is>
      </c>
      <c r="P141" t="inlineStr">
        <is>
          <t>DKI Jakarta</t>
        </is>
      </c>
      <c r="Q141" t="inlineStr"/>
    </row>
    <row r="142">
      <c r="A142" t="inlineStr">
        <is>
          <t>WAHYU SEJAHTERA</t>
        </is>
      </c>
      <c r="B142" t="inlineStr">
        <is>
          <t>Kab. Lampung Selatan</t>
        </is>
      </c>
      <c r="C142" t="inlineStr">
        <is>
          <t>081279326999</t>
        </is>
      </c>
      <c r="D142" t="inlineStr">
        <is>
          <t>cvwahyusejahtera128@gmail.com</t>
        </is>
      </c>
      <c r="E142" t="inlineStr">
        <is>
          <t>https://lpjk.pu.go.id/search-badan-usaha-detail/MzBVeXgyT0w3cmc0WWE4aUJ0LzkrUT09</t>
        </is>
      </c>
      <c r="F142" t="n">
        <v>6</v>
      </c>
      <c r="G142" t="inlineStr">
        <is>
          <t>BG005, BG006, BG009, BS001, BS002, BS004</t>
        </is>
      </c>
      <c r="H142" t="inlineStr">
        <is>
          <t>11 Juni 2004</t>
        </is>
      </c>
      <c r="I142" s="2" t="n">
        <v>46340</v>
      </c>
      <c r="J142" t="inlineStr">
        <is>
          <t>Disetujui</t>
        </is>
      </c>
      <c r="K142" t="n">
        <v>60</v>
      </c>
      <c r="L142" t="inlineStr">
        <is>
          <t>14 November 2026</t>
        </is>
      </c>
      <c r="M142" t="inlineStr">
        <is>
          <t>Bangunan Sipil Jembatan, Jalan Layang, Fly Over, dan Underpass, Konstruksi Bangunan Sipil Jalan, Konstruksi Gedung Kesehatan, Konstruksi Gedung Lainnya, Konstruksi Gedung Pendidikan, Konstruksi Jaringan Irigasi dan Drainase</t>
        </is>
      </c>
      <c r="N142" t="inlineStr">
        <is>
          <t>K</t>
        </is>
      </c>
      <c r="O142" t="inlineStr">
        <is>
          <t>20231115, 20231117, 20231118</t>
        </is>
      </c>
      <c r="P142" t="inlineStr">
        <is>
          <t>Lampung</t>
        </is>
      </c>
      <c r="Q142" t="inlineStr"/>
    </row>
    <row r="143">
      <c r="A143" t="inlineStr">
        <is>
          <t>WIDYAGRAHA ASANA ENGINEERING CONSULTANTS</t>
        </is>
      </c>
      <c r="B143" t="inlineStr">
        <is>
          <t>Kota Adm. Jakarta Selatan</t>
        </is>
      </c>
      <c r="C143" t="inlineStr">
        <is>
          <t>02129124930</t>
        </is>
      </c>
      <c r="D143" t="inlineStr">
        <is>
          <t>widyagrahaasana@yahoo.com</t>
        </is>
      </c>
      <c r="E143" t="inlineStr">
        <is>
          <t>https://lpjk.pu.go.id/search-badan-usaha-detail/TkQwWGxkMkRzbVJIS3huZnVoNWVPZz09</t>
        </is>
      </c>
      <c r="F143" t="n">
        <v>4</v>
      </c>
      <c r="G143" t="inlineStr">
        <is>
          <t>AL003, AR001, AR002, AR003</t>
        </is>
      </c>
      <c r="H143" t="inlineStr">
        <is>
          <t>29 November 1989</t>
        </is>
      </c>
      <c r="I143" s="2" t="n">
        <v>46340</v>
      </c>
      <c r="J143" t="inlineStr">
        <is>
          <t>Disetujui</t>
        </is>
      </c>
      <c r="K143" t="n">
        <v>60</v>
      </c>
      <c r="L143" t="inlineStr">
        <is>
          <t>14 November 2026</t>
        </is>
      </c>
      <c r="M143" t="inlineStr">
        <is>
          <t>Jasa Arsitektural Bangunan Gedung Hunian dan Non Hunian, Jasa Arsitektural Lainnya, Jasa Desain Interior pada Bangunan Gedung dan Bangunan Sipil, Jasa Pengembangan Perkotaan</t>
        </is>
      </c>
      <c r="N143" t="inlineStr">
        <is>
          <t>B, K</t>
        </is>
      </c>
      <c r="O143" t="inlineStr">
        <is>
          <t>20231102</t>
        </is>
      </c>
      <c r="P143" t="inlineStr">
        <is>
          <t>DKI Jakarta</t>
        </is>
      </c>
      <c r="Q143" t="inlineStr"/>
    </row>
    <row r="144">
      <c r="A144" t="inlineStr">
        <is>
          <t>YADIN KARYA</t>
        </is>
      </c>
      <c r="B144" t="inlineStr">
        <is>
          <t>Kota Bukittinggi</t>
        </is>
      </c>
      <c r="C144" t="inlineStr">
        <is>
          <t>081374219020</t>
        </is>
      </c>
      <c r="D144" t="inlineStr">
        <is>
          <t>yulibio90@gmail.com</t>
        </is>
      </c>
      <c r="E144" t="inlineStr">
        <is>
          <t>https://lpjk.pu.go.id/search-badan-usaha-detail/V0lpUmhjT2F6QUZZV0FaMWdiZ1VGUT09</t>
        </is>
      </c>
      <c r="F144" t="n">
        <v>1</v>
      </c>
      <c r="G144" t="inlineStr">
        <is>
          <t>BS001</t>
        </is>
      </c>
      <c r="H144" t="inlineStr">
        <is>
          <t>7 Januari 2004</t>
        </is>
      </c>
      <c r="I144" s="2" t="n">
        <v>46340</v>
      </c>
      <c r="J144" t="inlineStr">
        <is>
          <t>Disetujui</t>
        </is>
      </c>
      <c r="K144" t="n">
        <v>60</v>
      </c>
      <c r="L144" t="inlineStr">
        <is>
          <t>14 November 2026</t>
        </is>
      </c>
      <c r="M144" t="inlineStr">
        <is>
          <t>Konstruksi Bangunan Sipil Jalan</t>
        </is>
      </c>
      <c r="N144" t="inlineStr">
        <is>
          <t>K</t>
        </is>
      </c>
      <c r="O144" t="inlineStr">
        <is>
          <t>20231110</t>
        </is>
      </c>
      <c r="P144" t="inlineStr">
        <is>
          <t>Sumatera Barat</t>
        </is>
      </c>
      <c r="Q144" t="inlineStr"/>
    </row>
    <row r="145">
      <c r="A145" t="inlineStr">
        <is>
          <t>Yunnan Construction and Investment Holding Group Co.,LTD</t>
        </is>
      </c>
      <c r="B145" t="inlineStr">
        <is>
          <t>Kota Adm. Jakarta Utara</t>
        </is>
      </c>
      <c r="C145" t="inlineStr">
        <is>
          <t>082258668094</t>
        </is>
      </c>
      <c r="D145" t="inlineStr">
        <is>
          <t>yunnanconstructioninvestment@gmail.com</t>
        </is>
      </c>
      <c r="E145" t="inlineStr">
        <is>
          <t>https://lpjk.pu.go.id/search-badan-usaha-detail/U2RNb2c2KzR0UWVtUTNYcCtsb3dHQT09</t>
        </is>
      </c>
      <c r="F145" t="n">
        <v>2</v>
      </c>
      <c r="G145" t="inlineStr">
        <is>
          <t>BG003, BS006</t>
        </is>
      </c>
      <c r="H145" t="inlineStr">
        <is>
          <t>22 Juni 2012</t>
        </is>
      </c>
      <c r="I145" s="2" t="n">
        <v>46340</v>
      </c>
      <c r="J145" t="inlineStr">
        <is>
          <t>Disetujui</t>
        </is>
      </c>
      <c r="K145" t="n">
        <v>60</v>
      </c>
      <c r="L145" t="inlineStr">
        <is>
          <t>14 November 2026</t>
        </is>
      </c>
      <c r="M145" t="inlineStr">
        <is>
          <t>Konstruksi Bangunan Sipil Prasarana dan Sarana Sistem Pengolahan Limbah Padat, Cair, dan Gas, Konstruksi Gedung Industri</t>
        </is>
      </c>
      <c r="N145" t="inlineStr">
        <is>
          <t>B</t>
        </is>
      </c>
      <c r="O145" t="inlineStr">
        <is>
          <t>20231110</t>
        </is>
      </c>
      <c r="P145" t="inlineStr">
        <is>
          <t>DKI Jakarta</t>
        </is>
      </c>
      <c r="Q145" t="inlineStr"/>
    </row>
    <row r="146">
      <c r="A146" t="inlineStr">
        <is>
          <t>ZACKY PUTRA PERDANA</t>
        </is>
      </c>
      <c r="B146" t="inlineStr">
        <is>
          <t>Kota Palembang</t>
        </is>
      </c>
      <c r="C146" t="inlineStr">
        <is>
          <t>082181349560</t>
        </is>
      </c>
      <c r="D146" t="inlineStr">
        <is>
          <t>cvzackypp@gmail.com</t>
        </is>
      </c>
      <c r="E146" t="inlineStr">
        <is>
          <t>https://lpjk.pu.go.id/search-badan-usaha-detail/dlhyNTAvZ1kzc0d3eE1tenZiYWZFdz09</t>
        </is>
      </c>
      <c r="F146" t="n">
        <v>1</v>
      </c>
      <c r="G146" t="inlineStr">
        <is>
          <t>BS001</t>
        </is>
      </c>
      <c r="H146" t="inlineStr">
        <is>
          <t>10 November 2023</t>
        </is>
      </c>
      <c r="I146" s="2" t="n">
        <v>46340</v>
      </c>
      <c r="J146" t="inlineStr">
        <is>
          <t>Disetujui</t>
        </is>
      </c>
      <c r="K146" t="n">
        <v>60</v>
      </c>
      <c r="L146" t="inlineStr">
        <is>
          <t>14 November 2026</t>
        </is>
      </c>
      <c r="M146" t="inlineStr">
        <is>
          <t>Konstruksi Bangunan Sipil Jalan</t>
        </is>
      </c>
      <c r="N146" t="inlineStr">
        <is>
          <t>K</t>
        </is>
      </c>
      <c r="O146" t="inlineStr">
        <is>
          <t>20231115</t>
        </is>
      </c>
      <c r="P146" t="inlineStr">
        <is>
          <t>Sumatera Selatan</t>
        </is>
      </c>
      <c r="Q14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87"/>
  <sheetViews>
    <sheetView workbookViewId="0">
      <selection activeCell="A1" sqref="A1"/>
    </sheetView>
  </sheetViews>
  <sheetFormatPr baseColWidth="8" defaultRowHeight="15"/>
  <cols>
    <col width="28" customWidth="1" min="1" max="1"/>
    <col width="27" customWidth="1" min="2" max="2"/>
    <col width="15" customWidth="1" min="3" max="3"/>
    <col width="40" customWidth="1" min="4" max="4"/>
    <col width="50" customWidth="1" min="5" max="5"/>
    <col width="18" customWidth="1" min="6" max="6"/>
    <col width="50" customWidth="1" min="7" max="7"/>
    <col width="20" customWidth="1" min="8" max="8"/>
    <col width="28" customWidth="1" min="9" max="9"/>
    <col width="23" customWidth="1" min="10" max="10"/>
    <col width="11" customWidth="1" min="11" max="11"/>
    <col width="17" customWidth="1" min="12" max="12"/>
    <col width="50" customWidth="1" min="13" max="13"/>
    <col width="14"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ANDO METANOIA TEKNOLOGI</t>
        </is>
      </c>
      <c r="B2" t="inlineStr">
        <is>
          <t>Kota Bekasi</t>
        </is>
      </c>
      <c r="C2" t="inlineStr">
        <is>
          <t>087781124045</t>
        </is>
      </c>
      <c r="D2" t="inlineStr">
        <is>
          <t>ando.teknologi@gmail.com</t>
        </is>
      </c>
      <c r="E2" t="inlineStr">
        <is>
          <t>https://lpjk.pu.go.id/search-badan-usaha-detail/UFM5b05zbDN0U1FkNWQ2VWlsQURmdz09</t>
        </is>
      </c>
      <c r="F2" t="n">
        <v>2</v>
      </c>
      <c r="G2" t="inlineStr">
        <is>
          <t>BS001, BS004</t>
        </is>
      </c>
      <c r="H2" t="inlineStr">
        <is>
          <t>20 Januari 2017</t>
        </is>
      </c>
      <c r="I2" s="2" t="n">
        <v>46310</v>
      </c>
      <c r="J2" t="inlineStr">
        <is>
          <t>Disetujui</t>
        </is>
      </c>
      <c r="K2" t="n">
        <v>30</v>
      </c>
      <c r="L2" t="inlineStr">
        <is>
          <t>15 Oktober 2026</t>
        </is>
      </c>
      <c r="M2" t="inlineStr">
        <is>
          <t>Konstruksi Bangunan Sipil Jalan, Konstruksi Jaringan Irigasi dan Drainase</t>
        </is>
      </c>
      <c r="N2" t="inlineStr">
        <is>
          <t>K</t>
        </is>
      </c>
      <c r="O2" t="inlineStr">
        <is>
          <t>20231011</t>
        </is>
      </c>
      <c r="P2" t="inlineStr">
        <is>
          <t>Jawa Barat</t>
        </is>
      </c>
      <c r="Q2" s="3">
        <f>HYPERLINK("https://wa.me/6287781124045?text=*[Pengingat Masa Berlaku SBU ANDO METANOIA TEKNOLOGI]*%0A%0AYth. Pimpinan ANDO METANOIA TEKNOLOGI,%0AMohon izin menginformasikan status SBU Anda:%0A%0A📄 SBU: BS001, BS004%0A📅 Expired: 15 Oktober 2026 (30 Hari Lagi)%0A%0AKami tim PT. ESDEA Assistance Management siap men-support proses perpanjangan segera agar administrasi proyek tidak terhambat%0A%0AApakah boleh saya bantu siapkan estimasi biaya dan waktu pengerjaannya?.", "Hubungi")</f>
        <v/>
      </c>
    </row>
    <row r="3">
      <c r="A3" t="inlineStr">
        <is>
          <t>BAYU SARI</t>
        </is>
      </c>
      <c r="B3" t="inlineStr">
        <is>
          <t>Kab. Bogor</t>
        </is>
      </c>
      <c r="C3" t="inlineStr">
        <is>
          <t>081804904054</t>
        </is>
      </c>
      <c r="D3" t="inlineStr">
        <is>
          <t>octopulse12@gmail.com</t>
        </is>
      </c>
      <c r="E3" t="inlineStr">
        <is>
          <t>https://lpjk.pu.go.id/search-badan-usaha-detail/bEF0dElMNmZTT2orb0FvOGVtV2RIQT09</t>
        </is>
      </c>
      <c r="F3" t="n">
        <v>1</v>
      </c>
      <c r="G3" t="inlineStr">
        <is>
          <t>BG009</t>
        </is>
      </c>
      <c r="H3" t="inlineStr">
        <is>
          <t>17 November 1979</t>
        </is>
      </c>
      <c r="I3" s="2" t="n">
        <v>46310</v>
      </c>
      <c r="J3" t="inlineStr">
        <is>
          <t>Disetujui</t>
        </is>
      </c>
      <c r="K3" t="n">
        <v>30</v>
      </c>
      <c r="L3" t="inlineStr">
        <is>
          <t>15 Oktober 2026</t>
        </is>
      </c>
      <c r="M3" t="inlineStr">
        <is>
          <t>Konstruksi Gedung Lainnya</t>
        </is>
      </c>
      <c r="N3" t="inlineStr">
        <is>
          <t>K</t>
        </is>
      </c>
      <c r="O3" t="inlineStr">
        <is>
          <t>20230808</t>
        </is>
      </c>
      <c r="P3" t="inlineStr">
        <is>
          <t>Jawa Barat</t>
        </is>
      </c>
      <c r="Q3" s="3">
        <f>HYPERLINK("https://wa.me/6281804904054?text=*[Pengingat Masa Berlaku SBU BAYU SARI]*%0A%0AYth. Pimpinan BAYU SARI,%0AMohon izin menginformasikan status SBU Anda:%0A%0A📄 SBU: BG009%0A📅 Expired: 15 Oktober 2026 (30 Hari Lagi)%0A%0AKami tim PT. ESDEA Assistance Management siap men-support proses perpanjangan segera agar administrasi proyek tidak terhambat%0A%0AApakah boleh saya bantu siapkan estimasi biaya dan waktu pengerjaannya?.", "Hubungi")</f>
        <v/>
      </c>
    </row>
    <row r="4">
      <c r="A4" t="inlineStr">
        <is>
          <t>BREBES KARYA PERDANA</t>
        </is>
      </c>
      <c r="B4" t="inlineStr">
        <is>
          <t>Kota Bekasi</t>
        </is>
      </c>
      <c r="C4" t="inlineStr">
        <is>
          <t>081296578873</t>
        </is>
      </c>
      <c r="D4" t="inlineStr">
        <is>
          <t>brebeskaryaperdana2020@gmail.com</t>
        </is>
      </c>
      <c r="E4" t="inlineStr">
        <is>
          <t>https://lpjk.pu.go.id/search-badan-usaha-detail/ZnpvSzlNZStjN1A3RzB5ZS9aV3FBUT09</t>
        </is>
      </c>
      <c r="F4" t="n">
        <v>2</v>
      </c>
      <c r="G4" t="inlineStr">
        <is>
          <t>PL001, PL003</t>
        </is>
      </c>
      <c r="H4" t="inlineStr">
        <is>
          <t>29 November 2021</t>
        </is>
      </c>
      <c r="I4" s="2" t="n">
        <v>46310</v>
      </c>
      <c r="J4" t="inlineStr">
        <is>
          <t>Pencabutan</t>
        </is>
      </c>
      <c r="K4" t="n">
        <v>30</v>
      </c>
      <c r="L4" t="inlineStr">
        <is>
          <t>15 Oktober 2026</t>
        </is>
      </c>
      <c r="M4" t="inlineStr">
        <is>
          <t>Pembongkaran Bangunan, Penyiapan Lahan Konstruksi</t>
        </is>
      </c>
      <c r="N4" t="inlineStr">
        <is>
          <t>Spesialis</t>
        </is>
      </c>
      <c r="O4" t="inlineStr">
        <is>
          <t>20230911</t>
        </is>
      </c>
      <c r="P4" t="inlineStr">
        <is>
          <t>Jawa Barat</t>
        </is>
      </c>
      <c r="Q4" s="3">
        <f>HYPERLINK("https://wa.me/6281296578873?text=*[Pengingat Masa Berlaku SBU BREBES KARYA PERDANA]*%0A%0AYth. Pimpinan BREBES KARYA PERDANA,%0AMohon izin menginformasikan status SBU Anda:%0A%0A📄 SBU: PL001, PL003%0A📅 Expired: 15 Oktober 2026 (30 Hari Lagi)%0A%0AKami tim PT. ESDEA Assistance Management siap men-support proses perpanjangan segera agar administrasi proyek tidak terhambat%0A%0AApakah boleh saya bantu siapkan estimasi biaya dan waktu pengerjaannya?.", "Hubungi")</f>
        <v/>
      </c>
    </row>
    <row r="5">
      <c r="A5" t="inlineStr">
        <is>
          <t>CAHAYA FAJAR MITRANIAGA</t>
        </is>
      </c>
      <c r="B5" t="inlineStr">
        <is>
          <t>Kota Bogor</t>
        </is>
      </c>
      <c r="C5" t="inlineStr">
        <is>
          <t>02518625962</t>
        </is>
      </c>
      <c r="D5" t="inlineStr">
        <is>
          <t>cahayafajarmitraniaga@gmail.com</t>
        </is>
      </c>
      <c r="E5" t="inlineStr">
        <is>
          <t>https://lpjk.pu.go.id/search-badan-usaha-detail/M0o2MGRQcTRRVXpZdk5JOWVMaUkrUT09</t>
        </is>
      </c>
      <c r="F5" t="n">
        <v>3</v>
      </c>
      <c r="G5" t="inlineStr">
        <is>
          <t>BG003, BG005, BG008</t>
        </is>
      </c>
      <c r="H5" t="inlineStr">
        <is>
          <t>6 Maret 2023</t>
        </is>
      </c>
      <c r="I5" s="2" t="n">
        <v>46310</v>
      </c>
      <c r="J5" t="inlineStr">
        <is>
          <t>Disetujui</t>
        </is>
      </c>
      <c r="K5" t="n">
        <v>30</v>
      </c>
      <c r="L5" t="inlineStr">
        <is>
          <t>15 Oktober 2026</t>
        </is>
      </c>
      <c r="M5" t="inlineStr">
        <is>
          <t>Konstruksi Gedung Industri, Konstruksi Gedung Kesehatan, Konstruksi Gedung Tempat Hiburan dan Olahraga</t>
        </is>
      </c>
      <c r="N5" t="inlineStr">
        <is>
          <t>K</t>
        </is>
      </c>
      <c r="O5" t="inlineStr">
        <is>
          <t>20230827</t>
        </is>
      </c>
      <c r="P5" t="inlineStr">
        <is>
          <t>Jawa Barat</t>
        </is>
      </c>
      <c r="Q5" s="3">
        <f>HYPERLINK("https://wa.me/622518625962?text=*[Pengingat Masa Berlaku SBU CAHAYA FAJAR MITRANIAGA]*%0A%0AYth. Pimpinan CAHAYA FAJAR MITRANIAGA,%0AMohon izin menginformasikan status SBU Anda:%0A%0A📄 SBU: BG003, BG005, BG008%0A📅 Expired: 15 Oktober 2026 (30 Hari Lagi)%0A%0AKami tim PT. ESDEA Assistance Management siap men-support proses perpanjangan segera agar administrasi proyek tidak terhambat%0A%0AApakah boleh saya bantu siapkan estimasi biaya dan waktu pengerjaannya?.", "Hubungi")</f>
        <v/>
      </c>
    </row>
    <row r="6">
      <c r="A6" t="inlineStr">
        <is>
          <t>COMETOPAPA</t>
        </is>
      </c>
      <c r="B6" t="inlineStr">
        <is>
          <t>Kab. Bekasi</t>
        </is>
      </c>
      <c r="C6" t="inlineStr">
        <is>
          <t>081902307790</t>
        </is>
      </c>
      <c r="D6" t="inlineStr">
        <is>
          <t>cv.cometopapa@gmail.com</t>
        </is>
      </c>
      <c r="E6" t="inlineStr">
        <is>
          <t>https://lpjk.pu.go.id/search-badan-usaha-detail/cGFmZ0hsRmhtbEVtay9uQWlJZk9OQT09</t>
        </is>
      </c>
      <c r="F6" t="n">
        <v>1</v>
      </c>
      <c r="G6" t="inlineStr">
        <is>
          <t>BS002</t>
        </is>
      </c>
      <c r="H6" t="inlineStr">
        <is>
          <t>11 Januari 2023</t>
        </is>
      </c>
      <c r="I6" s="2" t="n">
        <v>46310</v>
      </c>
      <c r="J6" t="inlineStr">
        <is>
          <t>Disetujui</t>
        </is>
      </c>
      <c r="K6" t="n">
        <v>30</v>
      </c>
      <c r="L6" t="inlineStr">
        <is>
          <t>15 Oktober 2026</t>
        </is>
      </c>
      <c r="M6" t="inlineStr">
        <is>
          <t>Bangunan Sipil Jembatan, Jalan Layang, Fly Over, dan Underpass</t>
        </is>
      </c>
      <c r="N6" t="inlineStr">
        <is>
          <t>K</t>
        </is>
      </c>
      <c r="O6" t="inlineStr">
        <is>
          <t>20231013</t>
        </is>
      </c>
      <c r="P6" t="inlineStr">
        <is>
          <t>Jawa Barat</t>
        </is>
      </c>
      <c r="Q6" s="3">
        <f>HYPERLINK("https://wa.me/6281902307790?text=*[Pengingat Masa Berlaku SBU COMETOPAPA]*%0A%0AYth. Pimpinan COMETOPAPA,%0AMohon izin menginformasikan status SBU Anda:%0A%0A📄 SBU: BS002%0A📅 Expired: 15 Oktober 2026 (30 Hari Lagi)%0A%0AKami tim PT. ESDEA Assistance Management siap men-support proses perpanjangan segera agar administrasi proyek tidak terhambat%0A%0AApakah boleh saya bantu siapkan estimasi biaya dan waktu pengerjaannya?.", "Hubungi")</f>
        <v/>
      </c>
    </row>
    <row r="7">
      <c r="A7" t="inlineStr">
        <is>
          <t>INDO KARYA SEJATI</t>
        </is>
      </c>
      <c r="B7" t="inlineStr">
        <is>
          <t>Kota Adm. Jakarta Timur</t>
        </is>
      </c>
      <c r="C7" t="inlineStr">
        <is>
          <t>02146828330</t>
        </is>
      </c>
      <c r="D7" t="inlineStr">
        <is>
          <t>indokaryasejati8@gmail.com</t>
        </is>
      </c>
      <c r="E7" t="inlineStr">
        <is>
          <t>https://lpjk.pu.go.id/search-badan-usaha-detail/RXJJempRRVlSbEZOTjlpRDcrV3BaZz09</t>
        </is>
      </c>
      <c r="F7" t="n">
        <v>4</v>
      </c>
      <c r="G7" t="inlineStr">
        <is>
          <t>BG001, BG002, BG003, BS002</t>
        </is>
      </c>
      <c r="H7" t="inlineStr">
        <is>
          <t>6 Maret 2008</t>
        </is>
      </c>
      <c r="I7" s="2" t="n">
        <v>46310</v>
      </c>
      <c r="J7" t="inlineStr">
        <is>
          <t>Disetujui</t>
        </is>
      </c>
      <c r="K7" t="n">
        <v>30</v>
      </c>
      <c r="L7" t="inlineStr">
        <is>
          <t>15 Oktober 2026</t>
        </is>
      </c>
      <c r="M7" t="inlineStr">
        <is>
          <t>Bangunan Sipil Jembatan, Jalan Layang, Fly Over, dan Underpass, Konstruksi Gedung Hunian, Konstruksi Gedung Industri, Konstruksi Gedung Perkantoran</t>
        </is>
      </c>
      <c r="N7" t="inlineStr">
        <is>
          <t>K</t>
        </is>
      </c>
      <c r="O7" t="inlineStr">
        <is>
          <t>20231011, 20231012</t>
        </is>
      </c>
      <c r="P7" t="inlineStr">
        <is>
          <t>DKI Jakarta</t>
        </is>
      </c>
      <c r="Q7" t="inlineStr"/>
    </row>
    <row r="8">
      <c r="A8" t="inlineStr">
        <is>
          <t>KARYA JOUJA GEMILANG</t>
        </is>
      </c>
      <c r="B8" t="inlineStr">
        <is>
          <t>Kab. Bogor</t>
        </is>
      </c>
      <c r="C8" t="inlineStr">
        <is>
          <t>081210104992</t>
        </is>
      </c>
      <c r="D8" t="inlineStr">
        <is>
          <t>kjg70@yahoo.com</t>
        </is>
      </c>
      <c r="E8" t="inlineStr">
        <is>
          <t>https://lpjk.pu.go.id/search-badan-usaha-detail/QWNYV1hTQ0pFSk1mWTBEZk1oK0h4dz09</t>
        </is>
      </c>
      <c r="F8" t="n">
        <v>7</v>
      </c>
      <c r="G8" t="inlineStr">
        <is>
          <t>BG001, BG002, BG005, BG008, BG009, BS001, BS004</t>
        </is>
      </c>
      <c r="H8" t="inlineStr">
        <is>
          <t>3 Agustus 2023</t>
        </is>
      </c>
      <c r="I8" s="2" t="n">
        <v>46310</v>
      </c>
      <c r="J8" t="inlineStr">
        <is>
          <t>Disetujui</t>
        </is>
      </c>
      <c r="K8" t="n">
        <v>30</v>
      </c>
      <c r="L8" t="inlineStr">
        <is>
          <t>15 Oktober 2026</t>
        </is>
      </c>
      <c r="M8" t="inlineStr">
        <is>
          <t>Konstruksi Bangunan Sipil Jalan, Konstruksi Gedung Hunian, Konstruksi Gedung Kesehatan, Konstruksi Gedung Lainnya, Konstruksi Gedung Perkantoran, Konstruksi Gedung Tempat Hiburan dan Olahraga, Konstruksi Jaringan Irigasi dan Drainase</t>
        </is>
      </c>
      <c r="N8" t="inlineStr">
        <is>
          <t>K</t>
        </is>
      </c>
      <c r="O8" t="inlineStr">
        <is>
          <t>20231012</t>
        </is>
      </c>
      <c r="P8" t="inlineStr">
        <is>
          <t>Jawa Barat</t>
        </is>
      </c>
      <c r="Q8" s="3">
        <f>HYPERLINK("https://wa.me/6281210104992?text=*[Pengingat Masa Berlaku SBU KARYA JOUJA GEMILANG]*%0A%0AYth. Pimpinan KARYA JOUJA GEMILANG,%0AMohon izin menginformasikan status SBU Anda:%0A%0A📄 SBU: BG001, BG002, BG005, BG008, BG009, BS001, BS004%0A📅 Expired: 15 Oktober 2026 (30 Hari Lagi)%0A%0AKami tim PT. ESDEA Assistance Management siap men-support proses perpanjangan segera agar administrasi proyek tidak terhambat%0A%0AApakah boleh saya bantu siapkan estimasi biaya dan waktu pengerjaannya?.", "Hubungi")</f>
        <v/>
      </c>
    </row>
    <row r="9">
      <c r="A9" t="inlineStr">
        <is>
          <t>ADI MANUNGGAL</t>
        </is>
      </c>
      <c r="B9" t="inlineStr">
        <is>
          <t>Kab. Barito Kuala</t>
        </is>
      </c>
      <c r="C9" t="inlineStr">
        <is>
          <t>081351347778</t>
        </is>
      </c>
      <c r="D9" t="inlineStr">
        <is>
          <t>manunggal.cv_adi@yahoo.co.id</t>
        </is>
      </c>
      <c r="E9" t="inlineStr">
        <is>
          <t>https://lpjk.pu.go.id/search-badan-usaha-detail/RDhpZUR1OFIrOXRjSW1TMFlZaTY2Zz09</t>
        </is>
      </c>
      <c r="F9" t="n">
        <v>4</v>
      </c>
      <c r="G9" t="inlineStr">
        <is>
          <t>BG002, BG006, BS001, BS004</t>
        </is>
      </c>
      <c r="H9" t="inlineStr">
        <is>
          <t>4 Juli 2007</t>
        </is>
      </c>
      <c r="I9" s="2" t="n">
        <v>46310</v>
      </c>
      <c r="J9" t="inlineStr">
        <is>
          <t>Disetujui</t>
        </is>
      </c>
      <c r="K9" t="n">
        <v>30</v>
      </c>
      <c r="L9" t="inlineStr">
        <is>
          <t>15 Oktober 2026</t>
        </is>
      </c>
      <c r="M9" t="inlineStr">
        <is>
          <t>Konstruksi Bangunan Sipil Jalan, Konstruksi Gedung Pendidikan, Konstruksi Gedung Perkantoran, Konstruksi Jaringan Irigasi dan Drainase</t>
        </is>
      </c>
      <c r="N9" t="inlineStr">
        <is>
          <t>K</t>
        </is>
      </c>
      <c r="O9" t="inlineStr">
        <is>
          <t>20230914, 20231013</t>
        </is>
      </c>
      <c r="P9" t="inlineStr">
        <is>
          <t>Kalimantan Selatan</t>
        </is>
      </c>
      <c r="Q9" t="inlineStr"/>
    </row>
    <row r="10">
      <c r="A10" t="inlineStr">
        <is>
          <t>ADI PRIMA GRAHA</t>
        </is>
      </c>
      <c r="B10" t="inlineStr">
        <is>
          <t>Kota Padang</t>
        </is>
      </c>
      <c r="C10" t="inlineStr">
        <is>
          <t>081298705352</t>
        </is>
      </c>
      <c r="D10" t="inlineStr">
        <is>
          <t>cv.adiprimagraha412@gmail.com</t>
        </is>
      </c>
      <c r="E10" t="inlineStr">
        <is>
          <t>https://lpjk.pu.go.id/search-badan-usaha-detail/S2Y5a2VvbElvdzhrb2drOFROS1lxdz09</t>
        </is>
      </c>
      <c r="F10" t="n">
        <v>5</v>
      </c>
      <c r="G10" t="inlineStr">
        <is>
          <t>BG005, BG006, BG009, BS001, BS004</t>
        </is>
      </c>
      <c r="H10" t="inlineStr">
        <is>
          <t>3 Desember 2019</t>
        </is>
      </c>
      <c r="I10" s="2" t="n">
        <v>46310</v>
      </c>
      <c r="J10" t="inlineStr">
        <is>
          <t>Disetujui</t>
        </is>
      </c>
      <c r="K10" t="n">
        <v>30</v>
      </c>
      <c r="L10" t="inlineStr">
        <is>
          <t>15 Oktober 2026</t>
        </is>
      </c>
      <c r="M10" t="inlineStr">
        <is>
          <t>Konstruksi Bangunan Sipil Jalan, Konstruksi Gedung Kesehatan, Konstruksi Gedung Lainnya, Konstruksi Gedung Pendidikan, Konstruksi Jaringan Irigasi dan Drainase</t>
        </is>
      </c>
      <c r="N10" t="inlineStr">
        <is>
          <t>K</t>
        </is>
      </c>
      <c r="O10" t="inlineStr">
        <is>
          <t>20231016, 20231019</t>
        </is>
      </c>
      <c r="P10" t="inlineStr">
        <is>
          <t>Sumatera Barat</t>
        </is>
      </c>
      <c r="Q10" t="inlineStr"/>
    </row>
    <row r="11">
      <c r="A11" t="inlineStr">
        <is>
          <t>AGRO LESTARI</t>
        </is>
      </c>
      <c r="B11" t="inlineStr">
        <is>
          <t>Kota Pontianak</t>
        </is>
      </c>
      <c r="C11" t="inlineStr">
        <is>
          <t>081522631199</t>
        </is>
      </c>
      <c r="D11" t="inlineStr">
        <is>
          <t>cvagrolestari2019@gmail.com</t>
        </is>
      </c>
      <c r="E11" t="inlineStr">
        <is>
          <t>https://lpjk.pu.go.id/search-badan-usaha-detail/VFFGN2ErV2NHTzJpSXNTVUNTeVlMdz09</t>
        </is>
      </c>
      <c r="F11" t="n">
        <v>2</v>
      </c>
      <c r="G11" t="inlineStr">
        <is>
          <t>BG002, BS001</t>
        </is>
      </c>
      <c r="H11" t="inlineStr">
        <is>
          <t>1 Februari 2017</t>
        </is>
      </c>
      <c r="I11" s="2" t="n">
        <v>46310</v>
      </c>
      <c r="J11" t="inlineStr">
        <is>
          <t>Disetujui</t>
        </is>
      </c>
      <c r="K11" t="n">
        <v>30</v>
      </c>
      <c r="L11" t="inlineStr">
        <is>
          <t>15 Oktober 2026</t>
        </is>
      </c>
      <c r="M11" t="inlineStr">
        <is>
          <t>Konstruksi Bangunan Sipil Jalan, Konstruksi Gedung Perkantoran</t>
        </is>
      </c>
      <c r="N11" t="inlineStr">
        <is>
          <t>K</t>
        </is>
      </c>
      <c r="O11" t="inlineStr">
        <is>
          <t>20231012, 20231013</t>
        </is>
      </c>
      <c r="P11" t="inlineStr">
        <is>
          <t>Kalimantan Barat</t>
        </is>
      </c>
      <c r="Q11" t="inlineStr"/>
    </row>
    <row r="12">
      <c r="A12" t="inlineStr">
        <is>
          <t>ANEKA JASA</t>
        </is>
      </c>
      <c r="B12" t="inlineStr">
        <is>
          <t>Kab. Blora</t>
        </is>
      </c>
      <c r="C12" t="inlineStr">
        <is>
          <t>081219641411</t>
        </is>
      </c>
      <c r="D12" t="inlineStr">
        <is>
          <t>cv.anekajasarandu@gmail.com</t>
        </is>
      </c>
      <c r="E12" t="inlineStr">
        <is>
          <t>https://lpjk.pu.go.id/search-badan-usaha-detail/NXF2ZE1HZHlMZGYza2d1cjhoWkJCQT09</t>
        </is>
      </c>
      <c r="F12" t="n">
        <v>4</v>
      </c>
      <c r="G12" t="inlineStr">
        <is>
          <t>BS001, BS002</t>
        </is>
      </c>
      <c r="H12" t="inlineStr">
        <is>
          <t>13 Maret 2018</t>
        </is>
      </c>
      <c r="I12" s="2" t="n">
        <v>46310</v>
      </c>
      <c r="J12" t="inlineStr">
        <is>
          <t>Disetujui, Pencabutan</t>
        </is>
      </c>
      <c r="K12" t="n">
        <v>30</v>
      </c>
      <c r="L12" t="inlineStr">
        <is>
          <t>15 Oktober 2026</t>
        </is>
      </c>
      <c r="M12" t="inlineStr">
        <is>
          <t>Bangunan Sipil Jembatan, Jalan Layang, Fly Over, dan Underpass, Konstruksi Bangunan Sipil Jalan</t>
        </is>
      </c>
      <c r="N12" t="inlineStr">
        <is>
          <t>K</t>
        </is>
      </c>
      <c r="O12" t="inlineStr">
        <is>
          <t>20231010, 20231016</t>
        </is>
      </c>
      <c r="P12" t="inlineStr">
        <is>
          <t>Jawa Tengah</t>
        </is>
      </c>
      <c r="Q12" t="inlineStr"/>
    </row>
    <row r="13">
      <c r="A13" t="inlineStr">
        <is>
          <t>ANINDYA REKACIPTA UTAMA</t>
        </is>
      </c>
      <c r="B13" t="inlineStr">
        <is>
          <t>Kota Makassar</t>
        </is>
      </c>
      <c r="C13" t="inlineStr">
        <is>
          <t>082350140244</t>
        </is>
      </c>
      <c r="D13" t="inlineStr">
        <is>
          <t>anindyarekaciptautama@gmail.com</t>
        </is>
      </c>
      <c r="E13" t="inlineStr">
        <is>
          <t>https://lpjk.pu.go.id/search-badan-usaha-detail/SGpUcDdENW9uWSs0aCtDVVhqeS9KZz09</t>
        </is>
      </c>
      <c r="F13" t="n">
        <v>18</v>
      </c>
      <c r="G13" t="inlineStr">
        <is>
          <t>AL001, AL003, AL004, AR001, AR002, RK001, RK002, RK003, RK005</t>
        </is>
      </c>
      <c r="H13" t="inlineStr">
        <is>
          <t>1 Desember 2021</t>
        </is>
      </c>
      <c r="I13" s="2" t="n">
        <v>46310</v>
      </c>
      <c r="J13" t="inlineStr">
        <is>
          <t>Disetujui</t>
        </is>
      </c>
      <c r="K13" t="n">
        <v>30</v>
      </c>
      <c r="L13" t="inlineStr">
        <is>
          <t>15 Oktober 2026</t>
        </is>
      </c>
      <c r="M13" t="inlineStr">
        <is>
          <t>Jasa Arsitektural Bangunan Gedung Hunian dan Non Hunian, Jasa Arsitektural Lainnya, Jasa Pengembangan Lingkungan Bangunan dan Lanskap, Jasa Pengembangan Pemanfaatan Ruang, Jasa Pengembangan Perkotaan, Jasa Rekayasa Konstruksi Bangunan Gedung Hunian dan Non Hunian, Jasa Rekayasa Lainnya, Jasa Rekayasa Pekerjaan Teknik Sipil Sumber Daya Air, Jasa Rekayasa Pekerjaan Teknik Sipil Transportasi</t>
        </is>
      </c>
      <c r="N13" t="inlineStr">
        <is>
          <t>K</t>
        </is>
      </c>
      <c r="O13" t="inlineStr">
        <is>
          <t>20231005, 20231006, 20231012</t>
        </is>
      </c>
      <c r="P13" t="inlineStr">
        <is>
          <t>Sulawesi Selatan</t>
        </is>
      </c>
      <c r="Q13" t="inlineStr"/>
    </row>
    <row r="14">
      <c r="A14" t="inlineStr">
        <is>
          <t>AQILAH BERKAH ABADI</t>
        </is>
      </c>
      <c r="B14" t="inlineStr">
        <is>
          <t>Kota Makassar</t>
        </is>
      </c>
      <c r="C14" t="inlineStr">
        <is>
          <t>081354225384</t>
        </is>
      </c>
      <c r="D14" t="inlineStr">
        <is>
          <t>cv.aqilaberkahabadi@gmail.com</t>
        </is>
      </c>
      <c r="E14" t="inlineStr">
        <is>
          <t>https://lpjk.pu.go.id/search-badan-usaha-detail/bjhyT1QyZitDekRMQlN3TXAya0RKUT09</t>
        </is>
      </c>
      <c r="F14" t="n">
        <v>1</v>
      </c>
      <c r="G14" t="inlineStr">
        <is>
          <t>BG009</t>
        </is>
      </c>
      <c r="H14" t="inlineStr">
        <is>
          <t>3 Oktober 2023</t>
        </is>
      </c>
      <c r="I14" s="2" t="n">
        <v>46310</v>
      </c>
      <c r="J14" t="inlineStr">
        <is>
          <t>Disetujui</t>
        </is>
      </c>
      <c r="K14" t="n">
        <v>30</v>
      </c>
      <c r="L14" t="inlineStr">
        <is>
          <t>15 Oktober 2026</t>
        </is>
      </c>
      <c r="M14" t="inlineStr">
        <is>
          <t>Konstruksi Gedung Lainnya</t>
        </is>
      </c>
      <c r="N14" t="inlineStr">
        <is>
          <t>K</t>
        </is>
      </c>
      <c r="O14" t="inlineStr">
        <is>
          <t>20231009</t>
        </is>
      </c>
      <c r="P14" t="inlineStr">
        <is>
          <t>Sulawesi Selatan</t>
        </is>
      </c>
      <c r="Q14" t="inlineStr"/>
    </row>
    <row r="15">
      <c r="A15" t="inlineStr">
        <is>
          <t>ARIA BERSAUDARA GROUP</t>
        </is>
      </c>
      <c r="B15" t="inlineStr">
        <is>
          <t>Kab. Ogan Ilir</t>
        </is>
      </c>
      <c r="C15" t="inlineStr">
        <is>
          <t>08154036647</t>
        </is>
      </c>
      <c r="D15" t="inlineStr">
        <is>
          <t>cv.ariabersaudaragroup@gmail.com</t>
        </is>
      </c>
      <c r="E15" t="inlineStr">
        <is>
          <t>https://lpjk.pu.go.id/search-badan-usaha-detail/L3Vsd3NpZ2Q1aGxRczJ6c2UzZk5SUT09</t>
        </is>
      </c>
      <c r="F15" t="n">
        <v>2</v>
      </c>
      <c r="G15" t="inlineStr">
        <is>
          <t>BS001, BS002</t>
        </is>
      </c>
      <c r="H15" t="inlineStr">
        <is>
          <t>31 Mei 2023</t>
        </is>
      </c>
      <c r="I15" s="2" t="n">
        <v>46310</v>
      </c>
      <c r="J15" t="inlineStr">
        <is>
          <t>Disetujui</t>
        </is>
      </c>
      <c r="K15" t="n">
        <v>30</v>
      </c>
      <c r="L15" t="inlineStr">
        <is>
          <t>15 Oktober 2026</t>
        </is>
      </c>
      <c r="M15" t="inlineStr">
        <is>
          <t>Bangunan Sipil Jembatan, Jalan Layang, Fly Over, dan Underpass, Konstruksi Bangunan Sipil Jalan</t>
        </is>
      </c>
      <c r="N15" t="inlineStr">
        <is>
          <t>K</t>
        </is>
      </c>
      <c r="O15" t="inlineStr">
        <is>
          <t>20231011, 20231015</t>
        </is>
      </c>
      <c r="P15" t="inlineStr">
        <is>
          <t>Sumatera Selatan</t>
        </is>
      </c>
      <c r="Q15" t="inlineStr"/>
    </row>
    <row r="16">
      <c r="A16" t="inlineStr">
        <is>
          <t>ARTHA KARYA SEMPANA</t>
        </is>
      </c>
      <c r="B16" t="inlineStr">
        <is>
          <t>Kota Pekanbaru</t>
        </is>
      </c>
      <c r="C16" t="inlineStr">
        <is>
          <t>081216672228</t>
        </is>
      </c>
      <c r="D16" t="inlineStr">
        <is>
          <t>arthakaryasempana@gmail.com</t>
        </is>
      </c>
      <c r="E16" t="inlineStr">
        <is>
          <t>https://lpjk.pu.go.id/search-badan-usaha-detail/MFRER1B6Zis2OFZwUnJBNlNBdHRYZz09</t>
        </is>
      </c>
      <c r="F16" t="n">
        <v>1</v>
      </c>
      <c r="G16" t="inlineStr">
        <is>
          <t>BS001</t>
        </is>
      </c>
      <c r="H16" t="inlineStr">
        <is>
          <t>29 April 2025</t>
        </is>
      </c>
      <c r="I16" s="2" t="n">
        <v>46310</v>
      </c>
      <c r="J16" t="inlineStr">
        <is>
          <t>Disetujui</t>
        </is>
      </c>
      <c r="K16" t="n">
        <v>30</v>
      </c>
      <c r="L16" t="inlineStr">
        <is>
          <t>15 Oktober 2026</t>
        </is>
      </c>
      <c r="M16" t="inlineStr">
        <is>
          <t>Konstruksi Bangunan Sipil Jalan</t>
        </is>
      </c>
      <c r="N16" t="inlineStr">
        <is>
          <t>K</t>
        </is>
      </c>
      <c r="O16" t="inlineStr">
        <is>
          <t>20231015</t>
        </is>
      </c>
      <c r="P16" t="inlineStr">
        <is>
          <t>Riau</t>
        </is>
      </c>
      <c r="Q16" t="inlineStr"/>
    </row>
    <row r="17">
      <c r="A17" t="inlineStr">
        <is>
          <t>ARTHA KENCANA SERAYA</t>
        </is>
      </c>
      <c r="B17" t="inlineStr">
        <is>
          <t>Kota Pekanbaru</t>
        </is>
      </c>
      <c r="C17" t="inlineStr">
        <is>
          <t>081275885022</t>
        </is>
      </c>
      <c r="D17" t="inlineStr">
        <is>
          <t>arthakencanaseraya@gmail.com</t>
        </is>
      </c>
      <c r="E17" t="inlineStr">
        <is>
          <t>https://lpjk.pu.go.id/search-badan-usaha-detail/UDVtTHVQRXptdnBwUDBKRXlCTFZaUT09</t>
        </is>
      </c>
      <c r="F17" t="n">
        <v>1</v>
      </c>
      <c r="G17" t="inlineStr">
        <is>
          <t>BS001</t>
        </is>
      </c>
      <c r="H17" t="inlineStr">
        <is>
          <t>24 September 2021</t>
        </is>
      </c>
      <c r="I17" s="2" t="n">
        <v>46310</v>
      </c>
      <c r="J17" t="inlineStr">
        <is>
          <t>Disetujui</t>
        </is>
      </c>
      <c r="K17" t="n">
        <v>30</v>
      </c>
      <c r="L17" t="inlineStr">
        <is>
          <t>15 Oktober 2026</t>
        </is>
      </c>
      <c r="M17" t="inlineStr">
        <is>
          <t>Konstruksi Bangunan Sipil Jalan</t>
        </is>
      </c>
      <c r="N17" t="inlineStr">
        <is>
          <t>K</t>
        </is>
      </c>
      <c r="O17" t="inlineStr">
        <is>
          <t>20231015</t>
        </is>
      </c>
      <c r="P17" t="inlineStr">
        <is>
          <t>Riau</t>
        </is>
      </c>
      <c r="Q17" t="inlineStr"/>
    </row>
    <row r="18">
      <c r="A18" t="inlineStr">
        <is>
          <t>ARWANA CENDANA SRIWIJAYA</t>
        </is>
      </c>
      <c r="B18" t="inlineStr">
        <is>
          <t>Kota Palembang</t>
        </is>
      </c>
      <c r="C18" t="inlineStr">
        <is>
          <t>081366147800</t>
        </is>
      </c>
      <c r="D18" t="inlineStr">
        <is>
          <t>arwanacendanasriwijaya@gmail.com</t>
        </is>
      </c>
      <c r="E18" t="inlineStr">
        <is>
          <t>https://lpjk.pu.go.id/search-badan-usaha-detail/UTIyOW16bTFNUFRsdys3VU5kQm1wZz09</t>
        </is>
      </c>
      <c r="F18" t="n">
        <v>4</v>
      </c>
      <c r="G18" t="inlineStr">
        <is>
          <t>BG002, BG006, BG009, BS001</t>
        </is>
      </c>
      <c r="H18" t="inlineStr">
        <is>
          <t>15 Oktober 2019</t>
        </is>
      </c>
      <c r="I18" s="2" t="n">
        <v>46310</v>
      </c>
      <c r="J18" t="inlineStr">
        <is>
          <t>Disetujui</t>
        </is>
      </c>
      <c r="K18" t="n">
        <v>30</v>
      </c>
      <c r="L18" t="inlineStr">
        <is>
          <t>15 Oktober 2026</t>
        </is>
      </c>
      <c r="M18" t="inlineStr">
        <is>
          <t>Konstruksi Bangunan Sipil Jalan, Konstruksi Gedung Lainnya, Konstruksi Gedung Pendidikan, Konstruksi Gedung Perkantoran</t>
        </is>
      </c>
      <c r="N18" t="inlineStr">
        <is>
          <t>K</t>
        </is>
      </c>
      <c r="O18" t="inlineStr">
        <is>
          <t>20231013</t>
        </is>
      </c>
      <c r="P18" t="inlineStr">
        <is>
          <t>Sumatera Selatan</t>
        </is>
      </c>
      <c r="Q18" t="inlineStr"/>
    </row>
    <row r="19">
      <c r="A19" t="inlineStr">
        <is>
          <t>ASIA KARYA LESTARI</t>
        </is>
      </c>
      <c r="B19" t="inlineStr">
        <is>
          <t>Kota Tangerang</t>
        </is>
      </c>
      <c r="C19" t="inlineStr">
        <is>
          <t>081242498998</t>
        </is>
      </c>
      <c r="D19" t="inlineStr">
        <is>
          <t>asiakaryalestari@gmail.com</t>
        </is>
      </c>
      <c r="E19" t="inlineStr">
        <is>
          <t>https://lpjk.pu.go.id/search-badan-usaha-detail/WVpack9UOVJodFhZSjZDeG5CTWRmZz09</t>
        </is>
      </c>
      <c r="F19" t="n">
        <v>2</v>
      </c>
      <c r="G19" t="inlineStr">
        <is>
          <t>BG001, BG002</t>
        </is>
      </c>
      <c r="H19" t="inlineStr">
        <is>
          <t>25 Agustus 2023</t>
        </is>
      </c>
      <c r="I19" s="2" t="n">
        <v>46310</v>
      </c>
      <c r="J19" t="inlineStr">
        <is>
          <t>Disetujui</t>
        </is>
      </c>
      <c r="K19" t="n">
        <v>30</v>
      </c>
      <c r="L19" t="inlineStr">
        <is>
          <t>15 Oktober 2026</t>
        </is>
      </c>
      <c r="M19" t="inlineStr">
        <is>
          <t>Konstruksi Gedung Hunian, Konstruksi Gedung Perkantoran</t>
        </is>
      </c>
      <c r="N19" t="inlineStr">
        <is>
          <t>K</t>
        </is>
      </c>
      <c r="O19" t="inlineStr">
        <is>
          <t>20231012</t>
        </is>
      </c>
      <c r="P19" t="inlineStr">
        <is>
          <t>Banten</t>
        </is>
      </c>
      <c r="Q19" t="inlineStr"/>
    </row>
    <row r="20">
      <c r="A20" t="inlineStr">
        <is>
          <t>BALQIS</t>
        </is>
      </c>
      <c r="B20" t="inlineStr">
        <is>
          <t>Kab. Jepara</t>
        </is>
      </c>
      <c r="C20" t="inlineStr">
        <is>
          <t>089698995090</t>
        </is>
      </c>
      <c r="D20" t="inlineStr">
        <is>
          <t>cvbalqisjepara@gmail.com</t>
        </is>
      </c>
      <c r="E20" t="inlineStr">
        <is>
          <t>https://lpjk.pu.go.id/search-badan-usaha-detail/NUVyazdGdHN1RXVCRXVmYThQQTA2Zz09</t>
        </is>
      </c>
      <c r="F20" t="n">
        <v>1</v>
      </c>
      <c r="G20" t="inlineStr">
        <is>
          <t>BS006</t>
        </is>
      </c>
      <c r="H20" t="inlineStr">
        <is>
          <t>26 Desember 2015</t>
        </is>
      </c>
      <c r="I20" s="2" t="n">
        <v>46310</v>
      </c>
      <c r="J20" t="inlineStr">
        <is>
          <t>Disetujui</t>
        </is>
      </c>
      <c r="K20" t="n">
        <v>30</v>
      </c>
      <c r="L20" t="inlineStr">
        <is>
          <t>15 Oktober 2026</t>
        </is>
      </c>
      <c r="M20" t="inlineStr">
        <is>
          <t>Konstruksi Bangunan Sipil Prasarana dan Sarana Sistem Pengolahan Limbah Padat, Cair, dan Gas</t>
        </is>
      </c>
      <c r="N20" t="inlineStr">
        <is>
          <t>K</t>
        </is>
      </c>
      <c r="O20" t="inlineStr">
        <is>
          <t>20231016</t>
        </is>
      </c>
      <c r="P20" t="inlineStr">
        <is>
          <t>Jawa Tengah</t>
        </is>
      </c>
      <c r="Q20" t="inlineStr"/>
    </row>
    <row r="21">
      <c r="A21" t="inlineStr">
        <is>
          <t>BANUA JAYA PERDANA</t>
        </is>
      </c>
      <c r="B21" t="inlineStr">
        <is>
          <t>Kota Banjarmasin</t>
        </is>
      </c>
      <c r="C21" t="inlineStr">
        <is>
          <t>085249786789</t>
        </is>
      </c>
      <c r="D21" t="inlineStr">
        <is>
          <t>cv.banuajayaperdana@gmail.com</t>
        </is>
      </c>
      <c r="E21" t="inlineStr">
        <is>
          <t>https://lpjk.pu.go.id/search-badan-usaha-detail/S0tieURlNy8yUm1WMnJDUGw4UlhDQT09</t>
        </is>
      </c>
      <c r="F21" t="n">
        <v>3</v>
      </c>
      <c r="G21" t="inlineStr">
        <is>
          <t>BS001, BS004, BS010</t>
        </is>
      </c>
      <c r="H21" t="inlineStr">
        <is>
          <t>7 September 2023</t>
        </is>
      </c>
      <c r="I21" s="2" t="n">
        <v>46310</v>
      </c>
      <c r="J21" t="inlineStr">
        <is>
          <t>Disetujui</t>
        </is>
      </c>
      <c r="K21" t="n">
        <v>30</v>
      </c>
      <c r="L21" t="inlineStr">
        <is>
          <t>15 Oktober 2026</t>
        </is>
      </c>
      <c r="M21" t="inlineStr">
        <is>
          <t>Konstruksi Bangunan Prasarana Sumber Daya Air, Konstruksi Bangunan Sipil Jalan, Konstruksi Jaringan Irigasi dan Drainase</t>
        </is>
      </c>
      <c r="N21" t="inlineStr">
        <is>
          <t>K</t>
        </is>
      </c>
      <c r="O21" t="inlineStr">
        <is>
          <t>20231014, 20231016</t>
        </is>
      </c>
      <c r="P21" t="inlineStr">
        <is>
          <t>Kalimantan Selatan</t>
        </is>
      </c>
      <c r="Q21" t="inlineStr"/>
    </row>
    <row r="22">
      <c r="A22" t="inlineStr">
        <is>
          <t>BINA RAYA ABADI</t>
        </is>
      </c>
      <c r="B22" t="inlineStr">
        <is>
          <t>Kota Blitar</t>
        </is>
      </c>
      <c r="C22" t="inlineStr">
        <is>
          <t>08122231589</t>
        </is>
      </c>
      <c r="D22" t="inlineStr">
        <is>
          <t>binarayaabadi.cv@gmail.com</t>
        </is>
      </c>
      <c r="E22" t="inlineStr">
        <is>
          <t>https://lpjk.pu.go.id/search-badan-usaha-detail/cEU1UmZtZndPLzJGTGhHY2FnWGljQT09</t>
        </is>
      </c>
      <c r="F22" t="n">
        <v>1</v>
      </c>
      <c r="G22" t="inlineStr">
        <is>
          <t>BG009</t>
        </is>
      </c>
      <c r="H22" t="inlineStr">
        <is>
          <t>3 Januari 2022</t>
        </is>
      </c>
      <c r="I22" s="2" t="n">
        <v>46310</v>
      </c>
      <c r="J22" t="inlineStr">
        <is>
          <t>Disetujui</t>
        </is>
      </c>
      <c r="K22" t="n">
        <v>30</v>
      </c>
      <c r="L22" t="inlineStr">
        <is>
          <t>15 Oktober 2026</t>
        </is>
      </c>
      <c r="M22" t="inlineStr">
        <is>
          <t>Konstruksi Gedung Lainnya</t>
        </is>
      </c>
      <c r="N22" t="inlineStr">
        <is>
          <t>K</t>
        </is>
      </c>
      <c r="O22" t="inlineStr">
        <is>
          <t>20231013</t>
        </is>
      </c>
      <c r="P22" t="inlineStr">
        <is>
          <t>Jawa Timur</t>
        </is>
      </c>
      <c r="Q22" t="inlineStr"/>
    </row>
    <row r="23">
      <c r="A23" t="inlineStr">
        <is>
          <t>BUDI JAYA MITRA BANGKA</t>
        </is>
      </c>
      <c r="B23" t="inlineStr">
        <is>
          <t>Kota Pangkal Pinang</t>
        </is>
      </c>
      <c r="C23" t="inlineStr">
        <is>
          <t>085267276723</t>
        </is>
      </c>
      <c r="D23" t="inlineStr">
        <is>
          <t>cv.bjmb@gmail.com</t>
        </is>
      </c>
      <c r="E23" t="inlineStr">
        <is>
          <t>https://lpjk.pu.go.id/search-badan-usaha-detail/MFVyTFpZZFJGbkszNjhDWTYyOVJEZz09</t>
        </is>
      </c>
      <c r="F23" t="n">
        <v>4</v>
      </c>
      <c r="G23" t="inlineStr">
        <is>
          <t>BG002, BG006, BS004, BS005</t>
        </is>
      </c>
      <c r="H23" t="inlineStr">
        <is>
          <t>7 Agustus 2002</t>
        </is>
      </c>
      <c r="I23" s="2" t="n">
        <v>46310</v>
      </c>
      <c r="J23" t="inlineStr">
        <is>
          <t>Disetujui</t>
        </is>
      </c>
      <c r="K23" t="n">
        <v>30</v>
      </c>
      <c r="L23" t="inlineStr">
        <is>
          <t>15 Oktober 2026</t>
        </is>
      </c>
      <c r="M23" t="inlineStr">
        <is>
          <t>Konstruksi Bangunan Sipil Pengolahan Air Bersih, Konstruksi Gedung Pendidikan, Konstruksi Gedung Perkantoran, Konstruksi Jaringan Irigasi dan Drainase</t>
        </is>
      </c>
      <c r="N23" t="inlineStr">
        <is>
          <t>K</t>
        </is>
      </c>
      <c r="O23" t="inlineStr">
        <is>
          <t>20230906, 20231010</t>
        </is>
      </c>
      <c r="P23" t="inlineStr">
        <is>
          <t>Kepulauan Bangka Belitung</t>
        </is>
      </c>
      <c r="Q23" t="inlineStr"/>
    </row>
    <row r="24">
      <c r="A24" t="inlineStr">
        <is>
          <t>BUKIT SIMPANG PERKASA</t>
        </is>
      </c>
      <c r="B24" t="inlineStr">
        <is>
          <t>Kab. Kampar</t>
        </is>
      </c>
      <c r="C24" t="inlineStr">
        <is>
          <t>087793297857</t>
        </is>
      </c>
      <c r="D24" t="inlineStr">
        <is>
          <t>cv.bukitsimpangperkasa1@gmail.com</t>
        </is>
      </c>
      <c r="E24" t="inlineStr">
        <is>
          <t>https://lpjk.pu.go.id/search-badan-usaha-detail/UGQ4NXo3YTY5dWFNb0d5QU1TcHJPQT09</t>
        </is>
      </c>
      <c r="F24" t="n">
        <v>2</v>
      </c>
      <c r="G24" t="inlineStr">
        <is>
          <t>BG005, BS002</t>
        </is>
      </c>
      <c r="H24" t="inlineStr">
        <is>
          <t>31 Desember 1999</t>
        </is>
      </c>
      <c r="I24" s="2" t="n">
        <v>46310</v>
      </c>
      <c r="J24" t="inlineStr">
        <is>
          <t>Disetujui</t>
        </is>
      </c>
      <c r="K24" t="n">
        <v>30</v>
      </c>
      <c r="L24" t="inlineStr">
        <is>
          <t>15 Oktober 2026</t>
        </is>
      </c>
      <c r="M24" t="inlineStr">
        <is>
          <t>Bangunan Sipil Jembatan, Jalan Layang, Fly Over, dan Underpass, Konstruksi Gedung Kesehatan</t>
        </is>
      </c>
      <c r="N24" t="inlineStr">
        <is>
          <t>K</t>
        </is>
      </c>
      <c r="O24" t="inlineStr">
        <is>
          <t>20231013</t>
        </is>
      </c>
      <c r="P24" t="inlineStr">
        <is>
          <t>Riau</t>
        </is>
      </c>
      <c r="Q24" t="inlineStr"/>
    </row>
    <row r="25">
      <c r="A25" t="inlineStr">
        <is>
          <t>BUMI PERSADA KARINA</t>
        </is>
      </c>
      <c r="B25" t="inlineStr">
        <is>
          <t>Kota Bandung</t>
        </is>
      </c>
      <c r="C25" t="inlineStr">
        <is>
          <t>081394074653</t>
        </is>
      </c>
      <c r="D25" t="inlineStr">
        <is>
          <t>bumipersadakarina22@gmail.com</t>
        </is>
      </c>
      <c r="E25" t="inlineStr">
        <is>
          <t>https://lpjk.pu.go.id/search-badan-usaha-detail/T1JLVDNuRkwzVlZwNEcxTHVHdERmZz09</t>
        </is>
      </c>
      <c r="F25" t="n">
        <v>1</v>
      </c>
      <c r="G25" t="inlineStr">
        <is>
          <t>PL003</t>
        </is>
      </c>
      <c r="H25" t="inlineStr">
        <is>
          <t>10 Maret 2022</t>
        </is>
      </c>
      <c r="I25" s="2" t="n">
        <v>46310</v>
      </c>
      <c r="J25" t="inlineStr">
        <is>
          <t>Disetujui</t>
        </is>
      </c>
      <c r="K25" t="n">
        <v>30</v>
      </c>
      <c r="L25" t="inlineStr">
        <is>
          <t>15 Oktober 2026</t>
        </is>
      </c>
      <c r="M25" t="inlineStr">
        <is>
          <t>Penyiapan Lahan Konstruksi</t>
        </is>
      </c>
      <c r="N25" t="inlineStr">
        <is>
          <t>Spesialis</t>
        </is>
      </c>
      <c r="O25" t="inlineStr">
        <is>
          <t>20231014</t>
        </is>
      </c>
      <c r="P25" t="inlineStr">
        <is>
          <t>Jawa Barat</t>
        </is>
      </c>
      <c r="Q25" t="inlineStr"/>
    </row>
    <row r="26">
      <c r="A26" t="inlineStr">
        <is>
          <t>BUMI RAYA</t>
        </is>
      </c>
      <c r="B26" t="inlineStr">
        <is>
          <t>Kota Pekanbaru</t>
        </is>
      </c>
      <c r="C26" t="inlineStr">
        <is>
          <t>085377888877</t>
        </is>
      </c>
      <c r="D26" t="inlineStr">
        <is>
          <t>bumiraya_raya@yahoo.com</t>
        </is>
      </c>
      <c r="E26" t="inlineStr">
        <is>
          <t>https://lpjk.pu.go.id/search-badan-usaha-detail/ZXdZY3R6UG5lM3o2UzMrd3hTcUNCZz09</t>
        </is>
      </c>
      <c r="F26" t="n">
        <v>3</v>
      </c>
      <c r="G26" t="inlineStr">
        <is>
          <t>BG003, BG009, PA001</t>
        </is>
      </c>
      <c r="H26" t="inlineStr">
        <is>
          <t>22 April 1998</t>
        </is>
      </c>
      <c r="I26" s="2" t="n">
        <v>46310</v>
      </c>
      <c r="J26" t="inlineStr">
        <is>
          <t>Disetujui</t>
        </is>
      </c>
      <c r="K26" t="n">
        <v>30</v>
      </c>
      <c r="L26" t="inlineStr">
        <is>
          <t>15 Oktober 2026</t>
        </is>
      </c>
      <c r="M26" t="inlineStr">
        <is>
          <t>Konstruksi Gedung Industri, Konstruksi Gedung Lainnya, Penyewaan Peralatan Konstruksi</t>
        </is>
      </c>
      <c r="N26" t="inlineStr">
        <is>
          <t>K, Spesialis</t>
        </is>
      </c>
      <c r="O26" t="inlineStr">
        <is>
          <t>20231013</t>
        </is>
      </c>
      <c r="P26" t="inlineStr">
        <is>
          <t>Riau</t>
        </is>
      </c>
      <c r="Q26" t="inlineStr"/>
    </row>
    <row r="27">
      <c r="A27" t="inlineStr">
        <is>
          <t>CAHAYA ANDEROS LESTARI</t>
        </is>
      </c>
      <c r="B27" t="inlineStr">
        <is>
          <t>Kota Surabaya</t>
        </is>
      </c>
      <c r="C27" t="inlineStr">
        <is>
          <t>082139810242</t>
        </is>
      </c>
      <c r="D27" t="inlineStr">
        <is>
          <t>cahayaanderos12@gmail.com</t>
        </is>
      </c>
      <c r="E27" t="inlineStr">
        <is>
          <t>https://lpjk.pu.go.id/search-badan-usaha-detail/aElROEk5ZmwrYmpjaVZwSytRN2xZZz09</t>
        </is>
      </c>
      <c r="F27" t="n">
        <v>2</v>
      </c>
      <c r="G27" t="inlineStr">
        <is>
          <t>BG001, BG008</t>
        </is>
      </c>
      <c r="H27" t="inlineStr">
        <is>
          <t>22 Agustus 2020</t>
        </is>
      </c>
      <c r="I27" s="2" t="n">
        <v>46310</v>
      </c>
      <c r="J27" t="inlineStr">
        <is>
          <t>Disetujui</t>
        </is>
      </c>
      <c r="K27" t="n">
        <v>30</v>
      </c>
      <c r="L27" t="inlineStr">
        <is>
          <t>15 Oktober 2026</t>
        </is>
      </c>
      <c r="M27" t="inlineStr">
        <is>
          <t>Konstruksi Gedung Hunian, Konstruksi Gedung Tempat Hiburan dan Olahraga</t>
        </is>
      </c>
      <c r="N27" t="inlineStr">
        <is>
          <t>K</t>
        </is>
      </c>
      <c r="O27" t="inlineStr">
        <is>
          <t>20230920, 20231016</t>
        </is>
      </c>
      <c r="P27" t="inlineStr">
        <is>
          <t>Jawa Timur</t>
        </is>
      </c>
      <c r="Q27" t="inlineStr"/>
    </row>
    <row r="28">
      <c r="A28" t="inlineStr">
        <is>
          <t>CARAKA PILAR KENCANA</t>
        </is>
      </c>
      <c r="B28" t="inlineStr">
        <is>
          <t>Kota Surabaya</t>
        </is>
      </c>
      <c r="C28" t="inlineStr">
        <is>
          <t>08128128706</t>
        </is>
      </c>
      <c r="D28" t="inlineStr">
        <is>
          <t>iindama@yahoo.co.id</t>
        </is>
      </c>
      <c r="E28" t="inlineStr">
        <is>
          <t>https://lpjk.pu.go.id/search-badan-usaha-detail/WDlPWjdrdDJUaFpqMVJySWdKVHg0dz09</t>
        </is>
      </c>
      <c r="F28" t="n">
        <v>1</v>
      </c>
      <c r="G28" t="inlineStr">
        <is>
          <t>BG009</t>
        </is>
      </c>
      <c r="H28" t="inlineStr">
        <is>
          <t>30 Juni 2016</t>
        </is>
      </c>
      <c r="I28" s="2" t="n">
        <v>46310</v>
      </c>
      <c r="J28" t="inlineStr">
        <is>
          <t>Disetujui</t>
        </is>
      </c>
      <c r="K28" t="n">
        <v>30</v>
      </c>
      <c r="L28" t="inlineStr">
        <is>
          <t>15 Oktober 2026</t>
        </is>
      </c>
      <c r="M28" t="inlineStr">
        <is>
          <t>Konstruksi Gedung Lainnya</t>
        </is>
      </c>
      <c r="N28" t="inlineStr">
        <is>
          <t>K</t>
        </is>
      </c>
      <c r="O28" t="inlineStr">
        <is>
          <t>20231013</t>
        </is>
      </c>
      <c r="P28" t="inlineStr">
        <is>
          <t>Jawa Timur</t>
        </is>
      </c>
      <c r="Q28" t="inlineStr"/>
    </row>
    <row r="29">
      <c r="A29" t="inlineStr">
        <is>
          <t>CHEPAN ABADI</t>
        </is>
      </c>
      <c r="B29" t="inlineStr">
        <is>
          <t>Kab. Sukabumi</t>
        </is>
      </c>
      <c r="C29" t="inlineStr">
        <is>
          <t>08972020242</t>
        </is>
      </c>
      <c r="D29" t="inlineStr">
        <is>
          <t>chepan.abadi@gmail.com</t>
        </is>
      </c>
      <c r="E29" t="inlineStr">
        <is>
          <t>https://lpjk.pu.go.id/search-badan-usaha-detail/bUN2bmtSUU4wU2lhdWlkMDl1TWRtUT09</t>
        </is>
      </c>
      <c r="F29" t="n">
        <v>5</v>
      </c>
      <c r="G29" t="inlineStr">
        <is>
          <t>BG002, BG006, BG009, BS001, BS004</t>
        </is>
      </c>
      <c r="H29" t="inlineStr">
        <is>
          <t>7 September 2015</t>
        </is>
      </c>
      <c r="I29" s="2" t="n">
        <v>46310</v>
      </c>
      <c r="J29" t="inlineStr">
        <is>
          <t>Disetujui</t>
        </is>
      </c>
      <c r="K29" t="n">
        <v>30</v>
      </c>
      <c r="L29" t="inlineStr">
        <is>
          <t>15 Oktober 2026</t>
        </is>
      </c>
      <c r="M29" t="inlineStr">
        <is>
          <t>Konstruksi Bangunan Sipil Jalan, Konstruksi Gedung Lainnya, Konstruksi Gedung Pendidikan, Konstruksi Gedung Perkantoran, Konstruksi Jaringan Irigasi dan Drainase</t>
        </is>
      </c>
      <c r="N29" t="inlineStr">
        <is>
          <t>K</t>
        </is>
      </c>
      <c r="O29" t="inlineStr">
        <is>
          <t>20230918</t>
        </is>
      </c>
      <c r="P29" t="inlineStr">
        <is>
          <t>Jawa Barat</t>
        </is>
      </c>
      <c r="Q29" t="inlineStr"/>
    </row>
    <row r="30">
      <c r="A30" t="inlineStr">
        <is>
          <t>CITRA DELTA MAKMUR</t>
        </is>
      </c>
      <c r="B30" t="inlineStr">
        <is>
          <t>Kab. Sidoarjo</t>
        </is>
      </c>
      <c r="C30" t="inlineStr">
        <is>
          <t>03199005858</t>
        </is>
      </c>
      <c r="D30" t="inlineStr">
        <is>
          <t>smcitradelta@gmail.com</t>
        </is>
      </c>
      <c r="E30" t="inlineStr">
        <is>
          <t>https://lpjk.pu.go.id/search-badan-usaha-detail/anZBRzBwMk8rK2RYZEhqYXdteEprUT09</t>
        </is>
      </c>
      <c r="F30" t="n">
        <v>2</v>
      </c>
      <c r="G30" t="inlineStr">
        <is>
          <t>BG002, BS007</t>
        </is>
      </c>
      <c r="H30" t="inlineStr">
        <is>
          <t>26 Maret 2012</t>
        </is>
      </c>
      <c r="I30" s="2" t="n">
        <v>46310</v>
      </c>
      <c r="J30" t="inlineStr">
        <is>
          <t>Disetujui</t>
        </is>
      </c>
      <c r="K30" t="n">
        <v>30</v>
      </c>
      <c r="L30" t="inlineStr">
        <is>
          <t>15 Oktober 2026</t>
        </is>
      </c>
      <c r="M30" t="inlineStr">
        <is>
          <t>Konstruksi Bangunan Sipil Elektrikal, Konstruksi Gedung Perkantoran</t>
        </is>
      </c>
      <c r="N30" t="inlineStr">
        <is>
          <t>K</t>
        </is>
      </c>
      <c r="O30" t="inlineStr">
        <is>
          <t>20231010, 20231015</t>
        </is>
      </c>
      <c r="P30" t="inlineStr">
        <is>
          <t>Jawa Timur</t>
        </is>
      </c>
      <c r="Q30" t="inlineStr"/>
    </row>
    <row r="31">
      <c r="A31" t="inlineStr">
        <is>
          <t>DAYA CIPTA INFRASTRUKTUR</t>
        </is>
      </c>
      <c r="B31" t="inlineStr">
        <is>
          <t>Kota Tangerang Selatan</t>
        </is>
      </c>
      <c r="C31" t="inlineStr">
        <is>
          <t>087878164660</t>
        </is>
      </c>
      <c r="D31" t="inlineStr">
        <is>
          <t>dayaciptainfra@gmail.com</t>
        </is>
      </c>
      <c r="E31" t="inlineStr">
        <is>
          <t>https://lpjk.pu.go.id/search-badan-usaha-detail/ZzFSUktUUWNmWG03SDlRSGNCMFNGZz09</t>
        </is>
      </c>
      <c r="F31" t="n">
        <v>2</v>
      </c>
      <c r="G31" t="inlineStr">
        <is>
          <t>BS001, BS002</t>
        </is>
      </c>
      <c r="H31" t="inlineStr">
        <is>
          <t>17 April 2002</t>
        </is>
      </c>
      <c r="I31" s="2" t="n">
        <v>46310</v>
      </c>
      <c r="J31" t="inlineStr">
        <is>
          <t>Disetujui</t>
        </is>
      </c>
      <c r="K31" t="n">
        <v>30</v>
      </c>
      <c r="L31" t="inlineStr">
        <is>
          <t>15 Oktober 2026</t>
        </is>
      </c>
      <c r="M31" t="inlineStr">
        <is>
          <t>Bangunan Sipil Jembatan, Jalan Layang, Fly Over, dan Underpass, Konstruksi Bangunan Sipil Jalan</t>
        </is>
      </c>
      <c r="N31" t="inlineStr">
        <is>
          <t>K</t>
        </is>
      </c>
      <c r="O31" t="inlineStr">
        <is>
          <t>20231014, 20231015</t>
        </is>
      </c>
      <c r="P31" t="inlineStr">
        <is>
          <t>Banten</t>
        </is>
      </c>
      <c r="Q31" t="inlineStr"/>
    </row>
    <row r="32">
      <c r="A32" t="inlineStr">
        <is>
          <t>DIEFA LESTARI</t>
        </is>
      </c>
      <c r="B32" t="inlineStr">
        <is>
          <t>Kota Bandung</t>
        </is>
      </c>
      <c r="C32" t="inlineStr">
        <is>
          <t>0227204156</t>
        </is>
      </c>
      <c r="D32" t="inlineStr">
        <is>
          <t>diefa45@yahoo.com</t>
        </is>
      </c>
      <c r="E32" t="inlineStr">
        <is>
          <t>https://lpjk.pu.go.id/search-badan-usaha-detail/UFhJTWlDeXZ6Z283NTdzRk1yektZZz09</t>
        </is>
      </c>
      <c r="F32" t="n">
        <v>2</v>
      </c>
      <c r="G32" t="inlineStr">
        <is>
          <t>BS005, BS006</t>
        </is>
      </c>
      <c r="H32" t="inlineStr">
        <is>
          <t>19 Oktober 1993</t>
        </is>
      </c>
      <c r="I32" s="2" t="n">
        <v>46310</v>
      </c>
      <c r="J32" t="inlineStr">
        <is>
          <t>Disetujui</t>
        </is>
      </c>
      <c r="K32" t="n">
        <v>30</v>
      </c>
      <c r="L32" t="inlineStr">
        <is>
          <t>15 Oktober 2026</t>
        </is>
      </c>
      <c r="M32" t="inlineStr">
        <is>
          <t>Konstruksi Bangunan Sipil Pengolahan Air Bersih, Konstruksi Bangunan Sipil Prasarana dan Sarana Sistem Pengolahan Limbah Padat, Cair, dan Gas</t>
        </is>
      </c>
      <c r="N32" t="inlineStr">
        <is>
          <t>K</t>
        </is>
      </c>
      <c r="O32" t="inlineStr">
        <is>
          <t>20231016</t>
        </is>
      </c>
      <c r="P32" t="inlineStr">
        <is>
          <t>Jawa Barat</t>
        </is>
      </c>
      <c r="Q32" t="inlineStr"/>
    </row>
    <row r="33">
      <c r="A33" t="inlineStr">
        <is>
          <t>DIMENSI RUANG</t>
        </is>
      </c>
      <c r="B33" t="inlineStr">
        <is>
          <t>Kab. Toraja Utara</t>
        </is>
      </c>
      <c r="C33" t="inlineStr">
        <is>
          <t>081343945358</t>
        </is>
      </c>
      <c r="D33" t="inlineStr">
        <is>
          <t>dimensiruang2016@gmail.com</t>
        </is>
      </c>
      <c r="E33" t="inlineStr">
        <is>
          <t>https://lpjk.pu.go.id/search-badan-usaha-detail/ekZNQ0VRT3AwL3hsVkphNkVlSU9Edz09</t>
        </is>
      </c>
      <c r="F33" t="n">
        <v>4</v>
      </c>
      <c r="G33" t="inlineStr">
        <is>
          <t>AR002, RK001, RK002, RK005</t>
        </is>
      </c>
      <c r="H33" t="inlineStr">
        <is>
          <t>22 Juni 2012</t>
        </is>
      </c>
      <c r="I33" s="2" t="n">
        <v>46310</v>
      </c>
      <c r="J33" t="inlineStr">
        <is>
          <t>Disetujui</t>
        </is>
      </c>
      <c r="K33" t="n">
        <v>30</v>
      </c>
      <c r="L33" t="inlineStr">
        <is>
          <t>15 Oktober 2026</t>
        </is>
      </c>
      <c r="M33" t="inlineStr">
        <is>
          <t>Jasa Arsitektural Lainnya, Jasa Rekayasa Konstruksi Bangunan Gedung Hunian dan Non Hunian, Jasa Rekayasa Lainnya, Jasa Rekayasa Pekerjaan Teknik Sipil Sumber Daya Air</t>
        </is>
      </c>
      <c r="N33" t="inlineStr">
        <is>
          <t>K</t>
        </is>
      </c>
      <c r="O33" t="inlineStr">
        <is>
          <t>20231003, 20231004</t>
        </is>
      </c>
      <c r="P33" t="inlineStr">
        <is>
          <t>Sulawesi Selatan</t>
        </is>
      </c>
      <c r="Q33" t="inlineStr"/>
    </row>
    <row r="34">
      <c r="A34" t="inlineStr">
        <is>
          <t>DUTA MAS MANDIRI</t>
        </is>
      </c>
      <c r="B34" t="inlineStr">
        <is>
          <t>Kab. Deli Serdang</t>
        </is>
      </c>
      <c r="C34" t="inlineStr">
        <is>
          <t>082275831201</t>
        </is>
      </c>
      <c r="D34" t="inlineStr">
        <is>
          <t>cvdutamasmandiri15@gmail.com</t>
        </is>
      </c>
      <c r="E34" t="inlineStr">
        <is>
          <t>https://lpjk.pu.go.id/search-badan-usaha-detail/UjlmZjZuSGhPR0pMWTBrNnJ2ZnNsQT09</t>
        </is>
      </c>
      <c r="F34" t="n">
        <v>3</v>
      </c>
      <c r="G34" t="inlineStr">
        <is>
          <t>BG009, BS001, BS004</t>
        </is>
      </c>
      <c r="H34" t="inlineStr">
        <is>
          <t>23 Februari 2016</t>
        </is>
      </c>
      <c r="I34" s="2" t="n">
        <v>46310</v>
      </c>
      <c r="J34" t="inlineStr">
        <is>
          <t>Disetujui</t>
        </is>
      </c>
      <c r="K34" t="n">
        <v>30</v>
      </c>
      <c r="L34" t="inlineStr">
        <is>
          <t>15 Oktober 2026</t>
        </is>
      </c>
      <c r="M34" t="inlineStr">
        <is>
          <t>Konstruksi Bangunan Sipil Jalan, Konstruksi Gedung Lainnya, Konstruksi Jaringan Irigasi dan Drainase</t>
        </is>
      </c>
      <c r="N34" t="inlineStr">
        <is>
          <t>K</t>
        </is>
      </c>
      <c r="O34" t="inlineStr">
        <is>
          <t>20231013</t>
        </is>
      </c>
      <c r="P34" t="inlineStr">
        <is>
          <t>Sumatera Utara</t>
        </is>
      </c>
      <c r="Q34" t="inlineStr"/>
    </row>
    <row r="35">
      <c r="A35" t="inlineStr">
        <is>
          <t>GAGAS</t>
        </is>
      </c>
      <c r="B35" t="inlineStr">
        <is>
          <t>Kab. Bengkayang</t>
        </is>
      </c>
      <c r="C35" t="inlineStr">
        <is>
          <t>081349380299</t>
        </is>
      </c>
      <c r="D35" t="inlineStr">
        <is>
          <t>cvgagas77@gmail.com</t>
        </is>
      </c>
      <c r="E35" t="inlineStr">
        <is>
          <t>https://lpjk.pu.go.id/search-badan-usaha-detail/eVFtRDJydTN2Z0FpZmlBVUZiY0EyUT09</t>
        </is>
      </c>
      <c r="F35" t="n">
        <v>1</v>
      </c>
      <c r="G35" t="inlineStr">
        <is>
          <t>BS010</t>
        </is>
      </c>
      <c r="H35" t="inlineStr">
        <is>
          <t>5 Desember 2003</t>
        </is>
      </c>
      <c r="I35" s="2" t="n">
        <v>46310</v>
      </c>
      <c r="J35" t="inlineStr">
        <is>
          <t>Pencabutan</t>
        </is>
      </c>
      <c r="K35" t="n">
        <v>30</v>
      </c>
      <c r="L35" t="inlineStr">
        <is>
          <t>15 Oktober 2026</t>
        </is>
      </c>
      <c r="M35" t="inlineStr">
        <is>
          <t>Konstruksi Bangunan Prasarana Sumber Daya Air</t>
        </is>
      </c>
      <c r="N35" t="inlineStr">
        <is>
          <t>K</t>
        </is>
      </c>
      <c r="O35" t="inlineStr">
        <is>
          <t>20231012</t>
        </is>
      </c>
      <c r="P35" t="inlineStr">
        <is>
          <t>Kalimantan Barat</t>
        </is>
      </c>
      <c r="Q35" t="inlineStr"/>
    </row>
    <row r="36">
      <c r="A36" t="inlineStr">
        <is>
          <t>GLAGAHWANGI TEKNIK</t>
        </is>
      </c>
      <c r="B36" t="inlineStr">
        <is>
          <t>Kab. Demak</t>
        </is>
      </c>
      <c r="C36" t="inlineStr">
        <is>
          <t>08156534347</t>
        </is>
      </c>
      <c r="D36" t="inlineStr">
        <is>
          <t>cvglagahwangiteknik@gmail.com</t>
        </is>
      </c>
      <c r="E36" t="inlineStr">
        <is>
          <t>https://lpjk.pu.go.id/search-badan-usaha-detail/SUh4VithQlhvOElEWDZoUzV6Z3Vudz09</t>
        </is>
      </c>
      <c r="F36" t="n">
        <v>4</v>
      </c>
      <c r="G36" t="inlineStr">
        <is>
          <t>BG001, BG003, BG004, BG009</t>
        </is>
      </c>
      <c r="H36" t="inlineStr">
        <is>
          <t>22 Juni 2023</t>
        </is>
      </c>
      <c r="I36" s="2" t="n">
        <v>46310</v>
      </c>
      <c r="J36" t="inlineStr">
        <is>
          <t>Disetujui</t>
        </is>
      </c>
      <c r="K36" t="n">
        <v>30</v>
      </c>
      <c r="L36" t="inlineStr">
        <is>
          <t>15 Oktober 2026</t>
        </is>
      </c>
      <c r="M36" t="inlineStr">
        <is>
          <t>Konstruksi Gedung Hunian, Konstruksi Gedung Industri, Konstruksi Gedung Lainnya, Konstruksi Gedung Perbelanjaan</t>
        </is>
      </c>
      <c r="N36" t="inlineStr">
        <is>
          <t>K</t>
        </is>
      </c>
      <c r="O36" t="inlineStr">
        <is>
          <t>20231011</t>
        </is>
      </c>
      <c r="P36" t="inlineStr">
        <is>
          <t>Jawa Tengah</t>
        </is>
      </c>
      <c r="Q36" t="inlineStr"/>
    </row>
    <row r="37">
      <c r="A37" t="inlineStr">
        <is>
          <t>GRAHA KONSTRUKSI INDONESIA</t>
        </is>
      </c>
      <c r="B37" t="inlineStr">
        <is>
          <t>Kab. Bandung</t>
        </is>
      </c>
      <c r="C37" t="inlineStr">
        <is>
          <t>087886258515</t>
        </is>
      </c>
      <c r="D37" t="inlineStr">
        <is>
          <t>ptgraha.konstruksi.indonesia@gmail.com</t>
        </is>
      </c>
      <c r="E37" t="inlineStr">
        <is>
          <t>https://lpjk.pu.go.id/search-badan-usaha-detail/OHlpMnkzM0ZxbUxVNmV5SXd1TVRQUT09</t>
        </is>
      </c>
      <c r="F37" t="n">
        <v>2</v>
      </c>
      <c r="G37" t="inlineStr">
        <is>
          <t>BG004, BG009</t>
        </is>
      </c>
      <c r="H37" t="inlineStr">
        <is>
          <t>5 Januari 2015</t>
        </is>
      </c>
      <c r="I37" s="2" t="n">
        <v>46310</v>
      </c>
      <c r="J37" t="inlineStr">
        <is>
          <t>Disetujui</t>
        </is>
      </c>
      <c r="K37" t="n">
        <v>30</v>
      </c>
      <c r="L37" t="inlineStr">
        <is>
          <t>15 Oktober 2026</t>
        </is>
      </c>
      <c r="M37" t="inlineStr">
        <is>
          <t>Konstruksi Gedung Lainnya, Konstruksi Gedung Perbelanjaan</t>
        </is>
      </c>
      <c r="N37" t="inlineStr">
        <is>
          <t>K</t>
        </is>
      </c>
      <c r="O37" t="inlineStr">
        <is>
          <t>20231012</t>
        </is>
      </c>
      <c r="P37" t="inlineStr">
        <is>
          <t>Jawa Barat</t>
        </is>
      </c>
      <c r="Q37" t="inlineStr"/>
    </row>
    <row r="38">
      <c r="A38" t="inlineStr">
        <is>
          <t>GREEN INDO STEEL</t>
        </is>
      </c>
      <c r="B38" t="inlineStr">
        <is>
          <t>Kota Adm. Jakarta Barat</t>
        </is>
      </c>
      <c r="C38" t="inlineStr">
        <is>
          <t>087775830304</t>
        </is>
      </c>
      <c r="D38" t="inlineStr">
        <is>
          <t>g.indosteel@gmail.com</t>
        </is>
      </c>
      <c r="E38" t="inlineStr">
        <is>
          <t>https://lpjk.pu.go.id/search-badan-usaha-detail/eHhUSHYyUk45d0poRlpBbHpMWHlZZz09</t>
        </is>
      </c>
      <c r="F38" t="n">
        <v>8</v>
      </c>
      <c r="G38" t="inlineStr">
        <is>
          <t>BG001, BG003, BG007, BG009</t>
        </is>
      </c>
      <c r="H38" t="inlineStr">
        <is>
          <t>10 Maret 2017</t>
        </is>
      </c>
      <c r="I38" s="2" t="n">
        <v>46310</v>
      </c>
      <c r="J38" t="inlineStr">
        <is>
          <t>Disetujui</t>
        </is>
      </c>
      <c r="K38" t="n">
        <v>30</v>
      </c>
      <c r="L38" t="inlineStr">
        <is>
          <t>15 Oktober 2026</t>
        </is>
      </c>
      <c r="M38" t="inlineStr">
        <is>
          <t>Konstruksi Gedung Hunian, Konstruksi Gedung Industri, Konstruksi Gedung Lainnya, Konstruksi Gedung Penginapan</t>
        </is>
      </c>
      <c r="N38" t="inlineStr">
        <is>
          <t>K</t>
        </is>
      </c>
      <c r="O38" t="inlineStr">
        <is>
          <t>20231009</t>
        </is>
      </c>
      <c r="P38" t="inlineStr">
        <is>
          <t>DKI Jakarta</t>
        </is>
      </c>
      <c r="Q38" t="inlineStr"/>
    </row>
    <row r="39">
      <c r="A39" t="inlineStr">
        <is>
          <t>GUNUNG JAMANSANI</t>
        </is>
      </c>
      <c r="B39" t="inlineStr">
        <is>
          <t>Kab. Kaimana</t>
        </is>
      </c>
      <c r="C39" t="inlineStr">
        <is>
          <t>082155767683</t>
        </is>
      </c>
      <c r="D39" t="inlineStr">
        <is>
          <t>slametsirfefa1982@gmail.com</t>
        </is>
      </c>
      <c r="E39" t="inlineStr">
        <is>
          <t>https://lpjk.pu.go.id/search-badan-usaha-detail/WkJ3ZThIMEFpSTlMMGxXbVAwbWNrUT09</t>
        </is>
      </c>
      <c r="F39" t="n">
        <v>1</v>
      </c>
      <c r="G39" t="inlineStr">
        <is>
          <t>BS002</t>
        </is>
      </c>
      <c r="H39" t="inlineStr">
        <is>
          <t>5 Desember 2006</t>
        </is>
      </c>
      <c r="I39" s="2" t="n">
        <v>46310</v>
      </c>
      <c r="J39" t="inlineStr">
        <is>
          <t>Disetujui</t>
        </is>
      </c>
      <c r="K39" t="n">
        <v>30</v>
      </c>
      <c r="L39" t="inlineStr">
        <is>
          <t>15 Oktober 2026</t>
        </is>
      </c>
      <c r="M39" t="inlineStr">
        <is>
          <t>Bangunan Sipil Jembatan, Jalan Layang, Fly Over, dan Underpass</t>
        </is>
      </c>
      <c r="N39" t="inlineStr">
        <is>
          <t>K</t>
        </is>
      </c>
      <c r="O39" t="inlineStr">
        <is>
          <t>20231010</t>
        </is>
      </c>
      <c r="P39" t="inlineStr">
        <is>
          <t>Papua Barat</t>
        </is>
      </c>
      <c r="Q39" t="inlineStr"/>
    </row>
    <row r="40">
      <c r="A40" t="inlineStr">
        <is>
          <t>HANAN BERJAYA</t>
        </is>
      </c>
      <c r="B40" t="inlineStr">
        <is>
          <t>Kab. Morowali Utara</t>
        </is>
      </c>
      <c r="C40" t="inlineStr">
        <is>
          <t>082296064335</t>
        </is>
      </c>
      <c r="D40" t="inlineStr">
        <is>
          <t>mkamaruddin211178@gmail.com</t>
        </is>
      </c>
      <c r="E40" t="inlineStr">
        <is>
          <t>https://lpjk.pu.go.id/search-badan-usaha-detail/OUZ0d0pLdmZNRFRvNktYRUZSQktEZz09</t>
        </is>
      </c>
      <c r="F40" t="n">
        <v>2</v>
      </c>
      <c r="G40" t="inlineStr">
        <is>
          <t>BG009, BS001</t>
        </is>
      </c>
      <c r="H40" t="inlineStr">
        <is>
          <t>2 Maret 2022</t>
        </is>
      </c>
      <c r="I40" s="2" t="n">
        <v>46310</v>
      </c>
      <c r="J40" t="inlineStr">
        <is>
          <t>Disetujui</t>
        </is>
      </c>
      <c r="K40" t="n">
        <v>30</v>
      </c>
      <c r="L40" t="inlineStr">
        <is>
          <t>15 Oktober 2026</t>
        </is>
      </c>
      <c r="M40" t="inlineStr">
        <is>
          <t>Konstruksi Bangunan Sipil Jalan, Konstruksi Gedung Lainnya</t>
        </is>
      </c>
      <c r="N40" t="inlineStr">
        <is>
          <t>K</t>
        </is>
      </c>
      <c r="O40" t="inlineStr">
        <is>
          <t>20231010</t>
        </is>
      </c>
      <c r="P40" t="inlineStr">
        <is>
          <t>Sulawesi Tengah</t>
        </is>
      </c>
      <c r="Q40" t="inlineStr"/>
    </row>
    <row r="41">
      <c r="A41" t="inlineStr">
        <is>
          <t>HASTA KONSTRUKSI</t>
        </is>
      </c>
      <c r="B41" t="inlineStr">
        <is>
          <t>Kab. Sintang</t>
        </is>
      </c>
      <c r="C41" t="inlineStr">
        <is>
          <t>085245888434</t>
        </is>
      </c>
      <c r="D41" t="inlineStr">
        <is>
          <t>hastakonstruksi@gmail.com</t>
        </is>
      </c>
      <c r="E41" t="inlineStr">
        <is>
          <t>https://lpjk.pu.go.id/search-badan-usaha-detail/Qi8rQUlqMEJ1ZlRxY2pveWlnQytPUT09</t>
        </is>
      </c>
      <c r="F41" t="n">
        <v>1</v>
      </c>
      <c r="G41" t="inlineStr">
        <is>
          <t>BS001</t>
        </is>
      </c>
      <c r="H41" t="inlineStr">
        <is>
          <t>28 Januari 2019</t>
        </is>
      </c>
      <c r="I41" s="2" t="n">
        <v>46310</v>
      </c>
      <c r="J41" t="inlineStr">
        <is>
          <t>Disetujui</t>
        </is>
      </c>
      <c r="K41" t="n">
        <v>30</v>
      </c>
      <c r="L41" t="inlineStr">
        <is>
          <t>15 Oktober 2026</t>
        </is>
      </c>
      <c r="M41" t="inlineStr">
        <is>
          <t>Konstruksi Bangunan Sipil Jalan</t>
        </is>
      </c>
      <c r="N41" t="inlineStr">
        <is>
          <t>K</t>
        </is>
      </c>
      <c r="O41" t="inlineStr">
        <is>
          <t>20231011</t>
        </is>
      </c>
      <c r="P41" t="inlineStr">
        <is>
          <t>Kalimantan Barat</t>
        </is>
      </c>
      <c r="Q41" t="inlineStr"/>
    </row>
    <row r="42">
      <c r="A42" t="inlineStr">
        <is>
          <t>IDEAL KONSULTAN</t>
        </is>
      </c>
      <c r="B42" t="inlineStr">
        <is>
          <t>Kab. Kutai Timur</t>
        </is>
      </c>
      <c r="C42" t="inlineStr">
        <is>
          <t>082158421236</t>
        </is>
      </c>
      <c r="D42" t="inlineStr">
        <is>
          <t>ideal.kau1964@gmail.com</t>
        </is>
      </c>
      <c r="E42" t="inlineStr">
        <is>
          <t>https://lpjk.pu.go.id/search-badan-usaha-detail/VTdlOWpRVXJzb0tRTHpGTUZEMmRxZz09</t>
        </is>
      </c>
      <c r="F42" t="n">
        <v>4</v>
      </c>
      <c r="G42" t="inlineStr">
        <is>
          <t>RK001, RK003</t>
        </is>
      </c>
      <c r="H42" t="inlineStr">
        <is>
          <t>12 Desember 2002</t>
        </is>
      </c>
      <c r="I42" s="2" t="n">
        <v>46310</v>
      </c>
      <c r="J42" t="inlineStr">
        <is>
          <t>Disetujui</t>
        </is>
      </c>
      <c r="K42" t="n">
        <v>30</v>
      </c>
      <c r="L42" t="inlineStr">
        <is>
          <t>15 Oktober 2026</t>
        </is>
      </c>
      <c r="M42" t="inlineStr">
        <is>
          <t>Jasa Rekayasa Konstruksi Bangunan Gedung Hunian dan Non Hunian, Jasa Rekayasa Pekerjaan Teknik Sipil Transportasi</t>
        </is>
      </c>
      <c r="N42" t="inlineStr">
        <is>
          <t>K</t>
        </is>
      </c>
      <c r="O42" t="inlineStr">
        <is>
          <t>20231009, 20231010</t>
        </is>
      </c>
      <c r="P42" t="inlineStr">
        <is>
          <t>Kalimantan Timur</t>
        </is>
      </c>
      <c r="Q42" t="inlineStr"/>
    </row>
    <row r="43">
      <c r="A43" t="inlineStr">
        <is>
          <t>INDO SUPER TRAKTOR</t>
        </is>
      </c>
      <c r="B43" t="inlineStr">
        <is>
          <t>Kota Samarinda</t>
        </is>
      </c>
      <c r="C43" t="inlineStr">
        <is>
          <t>08115844124</t>
        </is>
      </c>
      <c r="D43" t="inlineStr">
        <is>
          <t>ptindosupertraktor@gmail.com</t>
        </is>
      </c>
      <c r="E43" t="inlineStr">
        <is>
          <t>https://lpjk.pu.go.id/search-badan-usaha-detail/MUp5Q2JXYm0zcHByblU2cmErcEZ0UT09</t>
        </is>
      </c>
      <c r="F43" t="n">
        <v>1</v>
      </c>
      <c r="G43" t="inlineStr">
        <is>
          <t>BS010</t>
        </is>
      </c>
      <c r="H43" t="inlineStr">
        <is>
          <t>11 Maret 2017</t>
        </is>
      </c>
      <c r="I43" s="2" t="n">
        <v>46310</v>
      </c>
      <c r="J43" t="inlineStr">
        <is>
          <t>Pencabutan</t>
        </is>
      </c>
      <c r="K43" t="n">
        <v>30</v>
      </c>
      <c r="L43" t="inlineStr">
        <is>
          <t>15 Oktober 2026</t>
        </is>
      </c>
      <c r="M43" t="inlineStr">
        <is>
          <t>Konstruksi Bangunan Prasarana Sumber Daya Air</t>
        </is>
      </c>
      <c r="N43" t="inlineStr">
        <is>
          <t>M</t>
        </is>
      </c>
      <c r="O43" t="inlineStr">
        <is>
          <t>20231012</t>
        </is>
      </c>
      <c r="P43" t="inlineStr">
        <is>
          <t>Kalimantan Timur</t>
        </is>
      </c>
      <c r="Q43" t="inlineStr"/>
    </row>
    <row r="44">
      <c r="A44" t="inlineStr">
        <is>
          <t>INDOJATI SARI TEKNOLOGI</t>
        </is>
      </c>
      <c r="B44" t="inlineStr">
        <is>
          <t>Kota Adm. Jakarta Selatan</t>
        </is>
      </c>
      <c r="C44" t="inlineStr">
        <is>
          <t>081218999980</t>
        </is>
      </c>
      <c r="D44" t="inlineStr">
        <is>
          <t>indojatisariteknologi@gmail.com</t>
        </is>
      </c>
      <c r="E44" t="inlineStr">
        <is>
          <t>https://lpjk.pu.go.id/search-badan-usaha-detail/RnpnRlYzdnoxQWpWZjAvSW93U1JKUT09</t>
        </is>
      </c>
      <c r="F44" t="n">
        <v>2</v>
      </c>
      <c r="G44" t="inlineStr">
        <is>
          <t>BS005, BS006</t>
        </is>
      </c>
      <c r="H44" t="inlineStr">
        <is>
          <t>9 Juni 2016</t>
        </is>
      </c>
      <c r="I44" s="2" t="n">
        <v>46310</v>
      </c>
      <c r="J44" t="inlineStr">
        <is>
          <t>Pencabutan</t>
        </is>
      </c>
      <c r="K44" t="n">
        <v>30</v>
      </c>
      <c r="L44" t="inlineStr">
        <is>
          <t>15 Oktober 2026</t>
        </is>
      </c>
      <c r="M44" t="inlineStr">
        <is>
          <t>Konstruksi Bangunan Sipil Pengolahan Air Bersih, Konstruksi Bangunan Sipil Prasarana dan Sarana Sistem Pengolahan Limbah Padat, Cair, dan Gas</t>
        </is>
      </c>
      <c r="N44" t="inlineStr">
        <is>
          <t>K</t>
        </is>
      </c>
      <c r="O44" t="inlineStr">
        <is>
          <t>20231013, 20231014</t>
        </is>
      </c>
      <c r="P44" t="inlineStr">
        <is>
          <t>DKI Jakarta</t>
        </is>
      </c>
      <c r="Q44" t="inlineStr"/>
    </row>
    <row r="45">
      <c r="A45" t="inlineStr">
        <is>
          <t>JAYA ABADI MEMBANGUN</t>
        </is>
      </c>
      <c r="B45" t="inlineStr">
        <is>
          <t>Kota Palembang</t>
        </is>
      </c>
      <c r="C45" t="inlineStr">
        <is>
          <t>082177778983</t>
        </is>
      </c>
      <c r="D45" t="inlineStr">
        <is>
          <t>cvjayaabadimembangun@gmail.com</t>
        </is>
      </c>
      <c r="E45" t="inlineStr">
        <is>
          <t>https://lpjk.pu.go.id/search-badan-usaha-detail/MTRnRmwvTU9GMkowL3YwU3FVV2hOUT09</t>
        </is>
      </c>
      <c r="F45" t="n">
        <v>2</v>
      </c>
      <c r="G45" t="inlineStr">
        <is>
          <t>BG005, BG009</t>
        </is>
      </c>
      <c r="H45" t="inlineStr">
        <is>
          <t>11 Januari 2016</t>
        </is>
      </c>
      <c r="I45" s="2" t="n">
        <v>46310</v>
      </c>
      <c r="J45" t="inlineStr">
        <is>
          <t>Disetujui</t>
        </is>
      </c>
      <c r="K45" t="n">
        <v>30</v>
      </c>
      <c r="L45" t="inlineStr">
        <is>
          <t>15 Oktober 2026</t>
        </is>
      </c>
      <c r="M45" t="inlineStr">
        <is>
          <t>Konstruksi Gedung Kesehatan, Konstruksi Gedung Lainnya</t>
        </is>
      </c>
      <c r="N45" t="inlineStr">
        <is>
          <t>K</t>
        </is>
      </c>
      <c r="O45" t="inlineStr">
        <is>
          <t>20231011</t>
        </is>
      </c>
      <c r="P45" t="inlineStr">
        <is>
          <t>Sumatera Selatan</t>
        </is>
      </c>
      <c r="Q45" t="inlineStr"/>
    </row>
    <row r="46">
      <c r="A46" t="inlineStr">
        <is>
          <t>JAYA SAMPURNA ABADI</t>
        </is>
      </c>
      <c r="B46" t="inlineStr">
        <is>
          <t>Kota Palembang</t>
        </is>
      </c>
      <c r="C46" t="inlineStr">
        <is>
          <t>082183966766</t>
        </is>
      </c>
      <c r="D46" t="inlineStr">
        <is>
          <t>jayasampurnabadi@yahoo.com</t>
        </is>
      </c>
      <c r="E46" t="inlineStr">
        <is>
          <t>https://lpjk.pu.go.id/search-badan-usaha-detail/a3pHL2pkNXlpdzhWM1ZWaTdEdXd1dz09</t>
        </is>
      </c>
      <c r="F46" t="n">
        <v>1</v>
      </c>
      <c r="G46" t="inlineStr">
        <is>
          <t>BG004</t>
        </is>
      </c>
      <c r="H46" t="inlineStr">
        <is>
          <t>27 Juli 2016</t>
        </is>
      </c>
      <c r="I46" s="2" t="n">
        <v>46310</v>
      </c>
      <c r="J46" t="inlineStr">
        <is>
          <t>Pencabutan</t>
        </is>
      </c>
      <c r="K46" t="n">
        <v>30</v>
      </c>
      <c r="L46" t="inlineStr">
        <is>
          <t>15 Oktober 2026</t>
        </is>
      </c>
      <c r="M46" t="inlineStr">
        <is>
          <t>Konstruksi Gedung Perbelanjaan</t>
        </is>
      </c>
      <c r="N46" t="inlineStr">
        <is>
          <t>K</t>
        </is>
      </c>
      <c r="O46" t="inlineStr">
        <is>
          <t>20231014</t>
        </is>
      </c>
      <c r="P46" t="inlineStr">
        <is>
          <t>Sumatera Selatan</t>
        </is>
      </c>
      <c r="Q46" t="inlineStr"/>
    </row>
    <row r="47">
      <c r="A47" t="inlineStr">
        <is>
          <t>KARYA ABADI SENTOSA</t>
        </is>
      </c>
      <c r="B47" t="inlineStr">
        <is>
          <t>Kab. Kotawaringin Timur</t>
        </is>
      </c>
      <c r="C47" t="inlineStr">
        <is>
          <t>053123494</t>
        </is>
      </c>
      <c r="D47" t="inlineStr">
        <is>
          <t>kas.sampit@yahoo.com</t>
        </is>
      </c>
      <c r="E47" t="inlineStr">
        <is>
          <t>https://lpjk.pu.go.id/search-badan-usaha-detail/SlhSc3RLVG9UOFZybCszTFhvN1hwQT09</t>
        </is>
      </c>
      <c r="F47" t="n">
        <v>1</v>
      </c>
      <c r="G47" t="inlineStr">
        <is>
          <t>BS001</t>
        </is>
      </c>
      <c r="H47" t="inlineStr">
        <is>
          <t>7 Oktober 2015</t>
        </is>
      </c>
      <c r="I47" s="2" t="n">
        <v>46310</v>
      </c>
      <c r="J47" t="inlineStr">
        <is>
          <t>Disetujui</t>
        </is>
      </c>
      <c r="K47" t="n">
        <v>30</v>
      </c>
      <c r="L47" t="inlineStr">
        <is>
          <t>15 Oktober 2026</t>
        </is>
      </c>
      <c r="M47" t="inlineStr">
        <is>
          <t>Konstruksi Bangunan Sipil Jalan</t>
        </is>
      </c>
      <c r="N47" t="inlineStr">
        <is>
          <t>K</t>
        </is>
      </c>
      <c r="O47" t="inlineStr">
        <is>
          <t>20231011</t>
        </is>
      </c>
      <c r="P47" t="inlineStr">
        <is>
          <t>Kalimantan Tengah</t>
        </is>
      </c>
      <c r="Q47" t="inlineStr"/>
    </row>
    <row r="48">
      <c r="A48" t="inlineStr">
        <is>
          <t>KARYA MANDIRI VERANA</t>
        </is>
      </c>
      <c r="B48" t="inlineStr">
        <is>
          <t>Kab. Kutai Timur</t>
        </is>
      </c>
      <c r="C48" t="inlineStr">
        <is>
          <t>08122444506</t>
        </is>
      </c>
      <c r="D48" t="inlineStr">
        <is>
          <t>pt.karyamandiriverana@gmail.com</t>
        </is>
      </c>
      <c r="E48" t="inlineStr">
        <is>
          <t>https://lpjk.pu.go.id/search-badan-usaha-detail/Z2I3ZTZSUDc4RVdCdVduN0tZTjc5QT09</t>
        </is>
      </c>
      <c r="F48" t="n">
        <v>2</v>
      </c>
      <c r="G48" t="inlineStr">
        <is>
          <t>BG002, BG009</t>
        </is>
      </c>
      <c r="H48" t="inlineStr">
        <is>
          <t>17 Maret 2014</t>
        </is>
      </c>
      <c r="I48" s="2" t="n">
        <v>46310</v>
      </c>
      <c r="J48" t="inlineStr">
        <is>
          <t>Disetujui</t>
        </is>
      </c>
      <c r="K48" t="n">
        <v>30</v>
      </c>
      <c r="L48" t="inlineStr">
        <is>
          <t>15 Oktober 2026</t>
        </is>
      </c>
      <c r="M48" t="inlineStr">
        <is>
          <t>Konstruksi Gedung Lainnya, Konstruksi Gedung Perkantoran</t>
        </is>
      </c>
      <c r="N48" t="inlineStr">
        <is>
          <t>K</t>
        </is>
      </c>
      <c r="O48" t="inlineStr">
        <is>
          <t>20231012</t>
        </is>
      </c>
      <c r="P48" t="inlineStr">
        <is>
          <t>Kalimantan Timur</t>
        </is>
      </c>
      <c r="Q48" t="inlineStr"/>
    </row>
    <row r="49">
      <c r="A49" t="inlineStr">
        <is>
          <t>KARYA TAPAL BATAS</t>
        </is>
      </c>
      <c r="B49" t="inlineStr">
        <is>
          <t>Kab. Keerom</t>
        </is>
      </c>
      <c r="C49" t="inlineStr">
        <is>
          <t>085254566543</t>
        </is>
      </c>
      <c r="D49" t="inlineStr">
        <is>
          <t>tapalbatask@gmail.com</t>
        </is>
      </c>
      <c r="E49" t="inlineStr">
        <is>
          <t>https://lpjk.pu.go.id/search-badan-usaha-detail/TUt6OEhyTGRIVjN5LzFZSlJsTU03dz09</t>
        </is>
      </c>
      <c r="F49" t="n">
        <v>1</v>
      </c>
      <c r="G49" t="inlineStr">
        <is>
          <t>BG001</t>
        </is>
      </c>
      <c r="H49" t="inlineStr">
        <is>
          <t>16 Agustus 2023</t>
        </is>
      </c>
      <c r="I49" s="2" t="n">
        <v>46310</v>
      </c>
      <c r="J49" t="inlineStr">
        <is>
          <t>Disetujui</t>
        </is>
      </c>
      <c r="K49" t="n">
        <v>30</v>
      </c>
      <c r="L49" t="inlineStr">
        <is>
          <t>15 Oktober 2026</t>
        </is>
      </c>
      <c r="M49" t="inlineStr">
        <is>
          <t>Konstruksi Gedung Hunian</t>
        </is>
      </c>
      <c r="N49" t="inlineStr">
        <is>
          <t>K</t>
        </is>
      </c>
      <c r="O49" t="inlineStr">
        <is>
          <t>20231012</t>
        </is>
      </c>
      <c r="P49" t="inlineStr">
        <is>
          <t>Papua</t>
        </is>
      </c>
      <c r="Q49" t="inlineStr"/>
    </row>
    <row r="50">
      <c r="A50" t="inlineStr">
        <is>
          <t>KEMBAR MENANTI</t>
        </is>
      </c>
      <c r="B50" t="inlineStr">
        <is>
          <t>Kota Palu</t>
        </is>
      </c>
      <c r="C50" t="inlineStr">
        <is>
          <t>085242535520</t>
        </is>
      </c>
      <c r="D50" t="inlineStr">
        <is>
          <t>kembarmenanti28@gmail.com</t>
        </is>
      </c>
      <c r="E50" t="inlineStr">
        <is>
          <t>https://lpjk.pu.go.id/search-badan-usaha-detail/a01LM1krd216amtIRFF3RzRGREp4UT09</t>
        </is>
      </c>
      <c r="F50" t="n">
        <v>1</v>
      </c>
      <c r="G50" t="inlineStr">
        <is>
          <t>BS001</t>
        </is>
      </c>
      <c r="H50" t="inlineStr">
        <is>
          <t>2 Oktober 2023</t>
        </is>
      </c>
      <c r="I50" s="2" t="n">
        <v>46310</v>
      </c>
      <c r="J50" t="inlineStr">
        <is>
          <t>Disetujui</t>
        </is>
      </c>
      <c r="K50" t="n">
        <v>30</v>
      </c>
      <c r="L50" t="inlineStr">
        <is>
          <t>15 Oktober 2026</t>
        </is>
      </c>
      <c r="M50" t="inlineStr">
        <is>
          <t>Konstruksi Bangunan Sipil Jalan</t>
        </is>
      </c>
      <c r="N50" t="inlineStr">
        <is>
          <t>K</t>
        </is>
      </c>
      <c r="O50" t="inlineStr">
        <is>
          <t>20231015</t>
        </is>
      </c>
      <c r="P50" t="inlineStr">
        <is>
          <t>Sulawesi Tengah</t>
        </is>
      </c>
      <c r="Q50" t="inlineStr"/>
    </row>
    <row r="51">
      <c r="A51" t="inlineStr">
        <is>
          <t>KEMUNING JAYA</t>
        </is>
      </c>
      <c r="B51" t="inlineStr">
        <is>
          <t>Kota Langsa</t>
        </is>
      </c>
      <c r="C51" t="inlineStr">
        <is>
          <t>085373119404</t>
        </is>
      </c>
      <c r="D51" t="inlineStr">
        <is>
          <t>jayakemuning.86@gmail.com</t>
        </is>
      </c>
      <c r="E51" t="inlineStr">
        <is>
          <t>https://lpjk.pu.go.id/search-badan-usaha-detail/dmZzNjhROFhMQ28rVjE3QVR6WHNGK2t6Yi9md0lTOFppWjVSU1lCZlpHWT0</t>
        </is>
      </c>
      <c r="F51" t="n">
        <v>1</v>
      </c>
      <c r="G51" t="inlineStr">
        <is>
          <t>BS001</t>
        </is>
      </c>
      <c r="H51" t="inlineStr">
        <is>
          <t>1 Maret 2023</t>
        </is>
      </c>
      <c r="I51" s="2" t="n">
        <v>46310</v>
      </c>
      <c r="J51" t="inlineStr">
        <is>
          <t>Disetujui</t>
        </is>
      </c>
      <c r="K51" t="n">
        <v>30</v>
      </c>
      <c r="L51" t="inlineStr">
        <is>
          <t>15 Oktober 2026</t>
        </is>
      </c>
      <c r="M51" t="inlineStr">
        <is>
          <t>Konstruksi Bangunan Sipil Jalan</t>
        </is>
      </c>
      <c r="N51" t="inlineStr">
        <is>
          <t>K</t>
        </is>
      </c>
      <c r="O51" t="inlineStr">
        <is>
          <t>20231016</t>
        </is>
      </c>
      <c r="P51" t="inlineStr">
        <is>
          <t>Aceh</t>
        </is>
      </c>
      <c r="Q51" t="inlineStr"/>
    </row>
    <row r="52">
      <c r="A52" t="inlineStr">
        <is>
          <t>KOPRIMA SANDYSEJAHTERA</t>
        </is>
      </c>
      <c r="B52" t="inlineStr">
        <is>
          <t>Kota Bandung</t>
        </is>
      </c>
      <c r="C52" t="inlineStr">
        <is>
          <t>0227312369</t>
        </is>
      </c>
      <c r="D52" t="inlineStr">
        <is>
          <t>perijinan@kssproperti.co.id</t>
        </is>
      </c>
      <c r="E52" t="inlineStr">
        <is>
          <t>https://lpjk.pu.go.id/search-badan-usaha-detail/TlEyR1I0YmlqTE9PeHV6NnlBVURYZz09</t>
        </is>
      </c>
      <c r="F52" t="n">
        <v>4</v>
      </c>
      <c r="G52" t="inlineStr">
        <is>
          <t>BG003, BG004, BG006, BG009</t>
        </is>
      </c>
      <c r="H52" t="inlineStr">
        <is>
          <t>23 November 1990</t>
        </is>
      </c>
      <c r="I52" s="2" t="n">
        <v>46310</v>
      </c>
      <c r="J52" t="inlineStr">
        <is>
          <t>Disetujui</t>
        </is>
      </c>
      <c r="K52" t="n">
        <v>30</v>
      </c>
      <c r="L52" t="inlineStr">
        <is>
          <t>15 Oktober 2026</t>
        </is>
      </c>
      <c r="M52" t="inlineStr">
        <is>
          <t>Konstruksi Gedung Industri, Konstruksi Gedung Lainnya, Konstruksi Gedung Pendidikan, Konstruksi Gedung Perbelanjaan</t>
        </is>
      </c>
      <c r="N52" t="inlineStr">
        <is>
          <t>K, M</t>
        </is>
      </c>
      <c r="O52" t="inlineStr">
        <is>
          <t>20231009, 20231011, 20231012</t>
        </is>
      </c>
      <c r="P52" t="inlineStr">
        <is>
          <t>Jawa Barat</t>
        </is>
      </c>
      <c r="Q52" t="inlineStr"/>
    </row>
    <row r="53">
      <c r="A53" t="inlineStr">
        <is>
          <t>KOTAK TITIK BERSAMA</t>
        </is>
      </c>
      <c r="B53" t="inlineStr">
        <is>
          <t>Kab. Subang</t>
        </is>
      </c>
      <c r="C53" t="inlineStr">
        <is>
          <t>08563637717</t>
        </is>
      </c>
      <c r="D53" t="inlineStr">
        <is>
          <t>titikkotakbersama@gmail.com</t>
        </is>
      </c>
      <c r="E53" t="inlineStr">
        <is>
          <t>https://lpjk.pu.go.id/search-badan-usaha-detail/ckZiMFdPa0VtU1ppaHRWQjIzMHpSUT09</t>
        </is>
      </c>
      <c r="F53" t="n">
        <v>2</v>
      </c>
      <c r="G53" t="inlineStr">
        <is>
          <t>BG002, BG009</t>
        </is>
      </c>
      <c r="H53" t="inlineStr">
        <is>
          <t>21 September 2023</t>
        </is>
      </c>
      <c r="I53" s="2" t="n">
        <v>46310</v>
      </c>
      <c r="J53" t="inlineStr">
        <is>
          <t>Disetujui</t>
        </is>
      </c>
      <c r="K53" t="n">
        <v>30</v>
      </c>
      <c r="L53" t="inlineStr">
        <is>
          <t>15 Oktober 2026</t>
        </is>
      </c>
      <c r="M53" t="inlineStr">
        <is>
          <t>Konstruksi Gedung Lainnya, Konstruksi Gedung Perkantoran</t>
        </is>
      </c>
      <c r="N53" t="inlineStr">
        <is>
          <t>K</t>
        </is>
      </c>
      <c r="O53" t="inlineStr">
        <is>
          <t>20231016</t>
        </is>
      </c>
      <c r="P53" t="inlineStr">
        <is>
          <t>Jawa Barat</t>
        </is>
      </c>
      <c r="Q53" t="inlineStr"/>
    </row>
    <row r="54">
      <c r="A54" t="inlineStr">
        <is>
          <t>LINGGAJAYA PUTRA MANDIRI</t>
        </is>
      </c>
      <c r="B54" t="inlineStr">
        <is>
          <t>Kab. Serang</t>
        </is>
      </c>
      <c r="C54" t="inlineStr">
        <is>
          <t>081223277377</t>
        </is>
      </c>
      <c r="D54" t="inlineStr">
        <is>
          <t>ptlinggajaya_putramandiri@gmail.com</t>
        </is>
      </c>
      <c r="E54" t="inlineStr">
        <is>
          <t>https://lpjk.pu.go.id/search-badan-usaha-detail/SktxL3E1cUFhNnZ3R2RRZm1zVWM0UT09</t>
        </is>
      </c>
      <c r="F54" t="n">
        <v>1</v>
      </c>
      <c r="G54" t="inlineStr">
        <is>
          <t>IN001</t>
        </is>
      </c>
      <c r="H54" t="inlineStr">
        <is>
          <t>5 Mei 2014</t>
        </is>
      </c>
      <c r="I54" s="2" t="n">
        <v>46310</v>
      </c>
      <c r="J54" t="inlineStr">
        <is>
          <t>Disetujui</t>
        </is>
      </c>
      <c r="K54" t="n">
        <v>30</v>
      </c>
      <c r="L54" t="inlineStr">
        <is>
          <t>15 Oktober 2026</t>
        </is>
      </c>
      <c r="M54" t="inlineStr">
        <is>
          <t>Instalasi Mekanikal</t>
        </is>
      </c>
      <c r="N54" t="inlineStr">
        <is>
          <t>Spesialis</t>
        </is>
      </c>
      <c r="O54" t="inlineStr">
        <is>
          <t>20231002</t>
        </is>
      </c>
      <c r="P54" t="inlineStr">
        <is>
          <t>Banten</t>
        </is>
      </c>
      <c r="Q54" t="inlineStr"/>
    </row>
    <row r="55">
      <c r="A55" t="inlineStr">
        <is>
          <t>MAJU MAPAN</t>
        </is>
      </c>
      <c r="B55" t="inlineStr">
        <is>
          <t>Kab. Banyuwangi</t>
        </is>
      </c>
      <c r="C55" t="inlineStr">
        <is>
          <t>082333255205</t>
        </is>
      </c>
      <c r="D55" t="inlineStr">
        <is>
          <t>majumapan53@yahoo.com</t>
        </is>
      </c>
      <c r="E55" t="inlineStr">
        <is>
          <t>https://lpjk.pu.go.id/search-badan-usaha-detail/dGxkbTBQeGl3c1ZDVzEvTTA5K2U0Zz09</t>
        </is>
      </c>
      <c r="F55" t="n">
        <v>4</v>
      </c>
      <c r="G55" t="inlineStr">
        <is>
          <t>BG005, BG006, BS001, BS002</t>
        </is>
      </c>
      <c r="H55" t="inlineStr">
        <is>
          <t>2 November 2017</t>
        </is>
      </c>
      <c r="I55" s="2" t="n">
        <v>46310</v>
      </c>
      <c r="J55" t="inlineStr">
        <is>
          <t>Disetujui</t>
        </is>
      </c>
      <c r="K55" t="n">
        <v>30</v>
      </c>
      <c r="L55" t="inlineStr">
        <is>
          <t>15 Oktober 2026</t>
        </is>
      </c>
      <c r="M55" t="inlineStr">
        <is>
          <t>Bangunan Sipil Jembatan, Jalan Layang, Fly Over, dan Underpass, Konstruksi Bangunan Sipil Jalan, Konstruksi Gedung Kesehatan, Konstruksi Gedung Pendidikan</t>
        </is>
      </c>
      <c r="N55" t="inlineStr">
        <is>
          <t>K</t>
        </is>
      </c>
      <c r="O55" t="inlineStr">
        <is>
          <t>20231013, 20231016</t>
        </is>
      </c>
      <c r="P55" t="inlineStr">
        <is>
          <t>Jawa Timur</t>
        </is>
      </c>
      <c r="Q55" t="inlineStr"/>
    </row>
    <row r="56">
      <c r="A56" t="inlineStr">
        <is>
          <t>MAKMUR HIDAYAH</t>
        </is>
      </c>
      <c r="B56" t="inlineStr">
        <is>
          <t>Kota Adm. Jakarta Utara</t>
        </is>
      </c>
      <c r="C56" t="inlineStr">
        <is>
          <t>08161877296</t>
        </is>
      </c>
      <c r="D56" t="inlineStr">
        <is>
          <t>makmurhidayahcv@gmail.com</t>
        </is>
      </c>
      <c r="E56" t="inlineStr">
        <is>
          <t>https://lpjk.pu.go.id/search-badan-usaha-detail/N1dFeFN4NGxwaXV3eGlzSnhZWU93Zz09</t>
        </is>
      </c>
      <c r="F56" t="n">
        <v>1</v>
      </c>
      <c r="G56" t="inlineStr">
        <is>
          <t>BS001</t>
        </is>
      </c>
      <c r="H56" t="inlineStr">
        <is>
          <t>13 November 2017</t>
        </is>
      </c>
      <c r="I56" s="2" t="n">
        <v>46310</v>
      </c>
      <c r="J56" t="inlineStr">
        <is>
          <t>Disetujui</t>
        </is>
      </c>
      <c r="K56" t="n">
        <v>30</v>
      </c>
      <c r="L56" t="inlineStr">
        <is>
          <t>15 Oktober 2026</t>
        </is>
      </c>
      <c r="M56" t="inlineStr">
        <is>
          <t>Konstruksi Bangunan Sipil Jalan</t>
        </is>
      </c>
      <c r="N56" t="inlineStr">
        <is>
          <t>K</t>
        </is>
      </c>
      <c r="O56" t="inlineStr">
        <is>
          <t>20231009</t>
        </is>
      </c>
      <c r="P56" t="inlineStr">
        <is>
          <t>DKI Jakarta</t>
        </is>
      </c>
      <c r="Q56" t="inlineStr"/>
    </row>
    <row r="57">
      <c r="A57" t="inlineStr">
        <is>
          <t>MALIK JAYA KARYA CONS</t>
        </is>
      </c>
      <c r="B57" t="inlineStr">
        <is>
          <t>Kab. Kutai Timur</t>
        </is>
      </c>
      <c r="C57" t="inlineStr">
        <is>
          <t>081318479092</t>
        </is>
      </c>
      <c r="D57" t="inlineStr">
        <is>
          <t>malikjayakaryacons@gmail.com</t>
        </is>
      </c>
      <c r="E57" t="inlineStr">
        <is>
          <t>https://lpjk.pu.go.id/search-badan-usaha-detail/RHp6TDVaUUFmZWRZWTc0b3hCV2QyZz09</t>
        </is>
      </c>
      <c r="F57" t="n">
        <v>3</v>
      </c>
      <c r="G57" t="inlineStr">
        <is>
          <t>RK001, RK002, RK003</t>
        </is>
      </c>
      <c r="H57" t="inlineStr">
        <is>
          <t>16 Januari 2020</t>
        </is>
      </c>
      <c r="I57" s="2" t="n">
        <v>46310</v>
      </c>
      <c r="J57" t="inlineStr">
        <is>
          <t>Disetujui</t>
        </is>
      </c>
      <c r="K57" t="n">
        <v>30</v>
      </c>
      <c r="L57" t="inlineStr">
        <is>
          <t>15 Oktober 2026</t>
        </is>
      </c>
      <c r="M57" t="inlineStr">
        <is>
          <t>Jasa Rekayasa Konstruksi Bangunan Gedung Hunian dan Non Hunian, Jasa Rekayasa Pekerjaan Teknik Sipil Sumber Daya Air, Jasa Rekayasa Pekerjaan Teknik Sipil Transportasi</t>
        </is>
      </c>
      <c r="N57" t="inlineStr">
        <is>
          <t>K</t>
        </is>
      </c>
      <c r="O57" t="inlineStr">
        <is>
          <t>20231009</t>
        </is>
      </c>
      <c r="P57" t="inlineStr">
        <is>
          <t>Kalimantan Timur</t>
        </is>
      </c>
      <c r="Q57" t="inlineStr"/>
    </row>
    <row r="58">
      <c r="A58" t="inlineStr">
        <is>
          <t>MANDALA BARU</t>
        </is>
      </c>
      <c r="B58" t="inlineStr">
        <is>
          <t>Kab. Pasuruan</t>
        </is>
      </c>
      <c r="C58" t="inlineStr">
        <is>
          <t>082140029938</t>
        </is>
      </c>
      <c r="D58" t="inlineStr">
        <is>
          <t>mandalabaru2020@gmail.com</t>
        </is>
      </c>
      <c r="E58" t="inlineStr">
        <is>
          <t>https://lpjk.pu.go.id/search-badan-usaha-detail/dngyVG4xcGdQOU9Lc1ZIMndYM3p5Zz09</t>
        </is>
      </c>
      <c r="F58" t="n">
        <v>4</v>
      </c>
      <c r="G58" t="inlineStr">
        <is>
          <t>BG006, BS004</t>
        </is>
      </c>
      <c r="H58" t="inlineStr">
        <is>
          <t>5 Juni 2020</t>
        </is>
      </c>
      <c r="I58" s="2" t="n">
        <v>46310</v>
      </c>
      <c r="J58" t="inlineStr">
        <is>
          <t>Disetujui</t>
        </is>
      </c>
      <c r="K58" t="n">
        <v>30</v>
      </c>
      <c r="L58" t="inlineStr">
        <is>
          <t>15 Oktober 2026</t>
        </is>
      </c>
      <c r="M58" t="inlineStr">
        <is>
          <t>Konstruksi Gedung Pendidikan, Konstruksi Jaringan Irigasi dan Drainase</t>
        </is>
      </c>
      <c r="N58" t="inlineStr">
        <is>
          <t>K</t>
        </is>
      </c>
      <c r="O58" t="inlineStr">
        <is>
          <t>20231014</t>
        </is>
      </c>
      <c r="P58" t="inlineStr">
        <is>
          <t>Jawa Timur</t>
        </is>
      </c>
      <c r="Q58" t="inlineStr"/>
    </row>
    <row r="59">
      <c r="A59" t="inlineStr">
        <is>
          <t>MEKAR JAYA LESTARI UTAMA</t>
        </is>
      </c>
      <c r="B59" t="inlineStr">
        <is>
          <t>Kota Tangerang</t>
        </is>
      </c>
      <c r="C59" t="inlineStr">
        <is>
          <t>0215582552</t>
        </is>
      </c>
      <c r="D59" t="inlineStr">
        <is>
          <t>mjlu1689@gmail.com</t>
        </is>
      </c>
      <c r="E59" t="inlineStr">
        <is>
          <t>https://lpjk.pu.go.id/search-badan-usaha-detail/M0RMNDVnRGhPeW1zK1ZjNHQwbHZvdz09</t>
        </is>
      </c>
      <c r="F59" t="n">
        <v>2</v>
      </c>
      <c r="G59" t="inlineStr">
        <is>
          <t>BS001</t>
        </is>
      </c>
      <c r="H59" t="inlineStr">
        <is>
          <t>26 Juli 2007</t>
        </is>
      </c>
      <c r="I59" s="2" t="n">
        <v>46310</v>
      </c>
      <c r="J59" t="inlineStr">
        <is>
          <t>Disetujui</t>
        </is>
      </c>
      <c r="K59" t="n">
        <v>30</v>
      </c>
      <c r="L59" t="inlineStr">
        <is>
          <t>15 Oktober 2026</t>
        </is>
      </c>
      <c r="M59" t="inlineStr">
        <is>
          <t>Konstruksi Bangunan Sipil Jalan</t>
        </is>
      </c>
      <c r="N59" t="inlineStr">
        <is>
          <t>K</t>
        </is>
      </c>
      <c r="O59" t="inlineStr">
        <is>
          <t>20231015</t>
        </is>
      </c>
      <c r="P59" t="inlineStr">
        <is>
          <t>Banten</t>
        </is>
      </c>
      <c r="Q59" t="inlineStr"/>
    </row>
    <row r="60">
      <c r="A60" t="inlineStr">
        <is>
          <t>MITRA JAYA LUTHFINDO</t>
        </is>
      </c>
      <c r="B60" t="inlineStr">
        <is>
          <t>Kota Mataram</t>
        </is>
      </c>
      <c r="C60" t="inlineStr">
        <is>
          <t>081917490627</t>
        </is>
      </c>
      <c r="D60" t="inlineStr">
        <is>
          <t>mitrajayaluthfindo@gmail.com</t>
        </is>
      </c>
      <c r="E60" t="inlineStr">
        <is>
          <t>https://lpjk.pu.go.id/search-badan-usaha-detail/elZnVFArbTdocEM1QlB0NnhGNW1xZz09</t>
        </is>
      </c>
      <c r="F60" t="n">
        <v>1</v>
      </c>
      <c r="G60" t="inlineStr">
        <is>
          <t>BG004</t>
        </is>
      </c>
      <c r="H60" t="inlineStr">
        <is>
          <t>19 Desember 2008</t>
        </is>
      </c>
      <c r="I60" s="2" t="n">
        <v>46310</v>
      </c>
      <c r="J60" t="inlineStr">
        <is>
          <t>Disetujui</t>
        </is>
      </c>
      <c r="K60" t="n">
        <v>30</v>
      </c>
      <c r="L60" t="inlineStr">
        <is>
          <t>15 Oktober 2026</t>
        </is>
      </c>
      <c r="M60" t="inlineStr">
        <is>
          <t>Konstruksi Gedung Perbelanjaan</t>
        </is>
      </c>
      <c r="N60" t="inlineStr">
        <is>
          <t>K</t>
        </is>
      </c>
      <c r="O60" t="inlineStr">
        <is>
          <t>20231012</t>
        </is>
      </c>
      <c r="P60" t="inlineStr">
        <is>
          <t>Nusa Tenggara Barat</t>
        </is>
      </c>
      <c r="Q60" t="inlineStr"/>
    </row>
    <row r="61">
      <c r="A61" t="inlineStr">
        <is>
          <t>MULTI MATRA</t>
        </is>
      </c>
      <c r="B61" t="inlineStr">
        <is>
          <t>Kota Manado</t>
        </is>
      </c>
      <c r="C61" t="inlineStr">
        <is>
          <t>081340432890</t>
        </is>
      </c>
      <c r="D61" t="inlineStr">
        <is>
          <t>multimatramdo@gmail.com</t>
        </is>
      </c>
      <c r="E61" t="inlineStr">
        <is>
          <t>https://lpjk.pu.go.id/search-badan-usaha-detail/a21CcS9ES3pLcGh1TG9qTWtCVXdHQT09</t>
        </is>
      </c>
      <c r="F61" t="n">
        <v>2</v>
      </c>
      <c r="G61" t="inlineStr">
        <is>
          <t>BG009, BS001</t>
        </is>
      </c>
      <c r="H61" t="inlineStr">
        <is>
          <t>30 Juli 1991</t>
        </is>
      </c>
      <c r="I61" s="2" t="n">
        <v>46310</v>
      </c>
      <c r="J61" t="inlineStr">
        <is>
          <t>Disetujui</t>
        </is>
      </c>
      <c r="K61" t="n">
        <v>30</v>
      </c>
      <c r="L61" t="inlineStr">
        <is>
          <t>15 Oktober 2026</t>
        </is>
      </c>
      <c r="M61" t="inlineStr">
        <is>
          <t>Konstruksi Bangunan Sipil Jalan, Konstruksi Gedung Lainnya</t>
        </is>
      </c>
      <c r="N61" t="inlineStr">
        <is>
          <t>K</t>
        </is>
      </c>
      <c r="O61" t="inlineStr">
        <is>
          <t>20231013, 20231017</t>
        </is>
      </c>
      <c r="P61" t="inlineStr">
        <is>
          <t>Sulawesi Utara</t>
        </is>
      </c>
      <c r="Q61" t="inlineStr"/>
    </row>
    <row r="62">
      <c r="A62" t="inlineStr">
        <is>
          <t>MUTIARA</t>
        </is>
      </c>
      <c r="B62" t="inlineStr">
        <is>
          <t>Kab. Wonosobo</t>
        </is>
      </c>
      <c r="C62" t="inlineStr">
        <is>
          <t>081328506825</t>
        </is>
      </c>
      <c r="D62" t="inlineStr">
        <is>
          <t>mutiaracv12@yahoo.com</t>
        </is>
      </c>
      <c r="E62" t="inlineStr">
        <is>
          <t>https://lpjk.pu.go.id/search-badan-usaha-detail/aStFY1BrMkd6T25lZU42MmVROHMydz09</t>
        </is>
      </c>
      <c r="F62" t="n">
        <v>2</v>
      </c>
      <c r="G62" t="inlineStr">
        <is>
          <t>BG009</t>
        </is>
      </c>
      <c r="H62" t="inlineStr">
        <is>
          <t>12 November 2007</t>
        </is>
      </c>
      <c r="I62" s="2" t="n">
        <v>46310</v>
      </c>
      <c r="J62" t="inlineStr">
        <is>
          <t>Disetujui</t>
        </is>
      </c>
      <c r="K62" t="n">
        <v>30</v>
      </c>
      <c r="L62" t="inlineStr">
        <is>
          <t>15 Oktober 2026</t>
        </is>
      </c>
      <c r="M62" t="inlineStr">
        <is>
          <t>Konstruksi Gedung Lainnya</t>
        </is>
      </c>
      <c r="N62" t="inlineStr">
        <is>
          <t>K</t>
        </is>
      </c>
      <c r="O62" t="inlineStr">
        <is>
          <t>20231014</t>
        </is>
      </c>
      <c r="P62" t="inlineStr">
        <is>
          <t>Jawa Tengah</t>
        </is>
      </c>
      <c r="Q62" t="inlineStr"/>
    </row>
    <row r="63">
      <c r="A63" t="inlineStr">
        <is>
          <t>PERMATA MANDIRI SAKTI</t>
        </is>
      </c>
      <c r="B63" t="inlineStr">
        <is>
          <t>Kota Palembang</t>
        </is>
      </c>
      <c r="C63" t="inlineStr">
        <is>
          <t>0711814055</t>
        </is>
      </c>
      <c r="D63" t="inlineStr">
        <is>
          <t>permatamandirisakti@yahoo.com</t>
        </is>
      </c>
      <c r="E63" t="inlineStr">
        <is>
          <t>https://lpjk.pu.go.id/search-badan-usaha-detail/OC9PRFJSbnlEMVBWTFljVUUrV21xZz09</t>
        </is>
      </c>
      <c r="F63" t="n">
        <v>1</v>
      </c>
      <c r="G63" t="inlineStr">
        <is>
          <t>BS001</t>
        </is>
      </c>
      <c r="H63" t="inlineStr">
        <is>
          <t>5 September 2012</t>
        </is>
      </c>
      <c r="I63" s="2" t="n">
        <v>46310</v>
      </c>
      <c r="J63" t="inlineStr">
        <is>
          <t>Pembekuan</t>
        </is>
      </c>
      <c r="K63" t="n">
        <v>30</v>
      </c>
      <c r="L63" t="inlineStr">
        <is>
          <t>15 Oktober 2026</t>
        </is>
      </c>
      <c r="M63" t="inlineStr">
        <is>
          <t>Konstruksi Bangunan Sipil Jalan</t>
        </is>
      </c>
      <c r="N63" t="inlineStr">
        <is>
          <t>M</t>
        </is>
      </c>
      <c r="O63" t="inlineStr">
        <is>
          <t>20231014</t>
        </is>
      </c>
      <c r="P63" t="inlineStr">
        <is>
          <t>Sumatera Selatan</t>
        </is>
      </c>
      <c r="Q63" t="inlineStr"/>
    </row>
    <row r="64">
      <c r="A64" t="inlineStr">
        <is>
          <t>PETRA KONSTRUKSI INDONESIA</t>
        </is>
      </c>
      <c r="B64" t="inlineStr">
        <is>
          <t>Kota Tangerang</t>
        </is>
      </c>
      <c r="C64" t="inlineStr">
        <is>
          <t>081802532929</t>
        </is>
      </c>
      <c r="D64" t="inlineStr">
        <is>
          <t>petrakonindonesia@gmail.com</t>
        </is>
      </c>
      <c r="E64" t="inlineStr">
        <is>
          <t>https://lpjk.pu.go.id/search-badan-usaha-detail/R1kza2NkR05aOUFMalVIWUhVeFAzUT09</t>
        </is>
      </c>
      <c r="F64" t="n">
        <v>3</v>
      </c>
      <c r="G64" t="inlineStr">
        <is>
          <t>BG001, BG002, BG004</t>
        </is>
      </c>
      <c r="H64" t="inlineStr">
        <is>
          <t>27 Oktober 2021</t>
        </is>
      </c>
      <c r="I64" s="2" t="n">
        <v>46310</v>
      </c>
      <c r="J64" t="inlineStr">
        <is>
          <t>Disetujui</t>
        </is>
      </c>
      <c r="K64" t="n">
        <v>30</v>
      </c>
      <c r="L64" t="inlineStr">
        <is>
          <t>15 Oktober 2026</t>
        </is>
      </c>
      <c r="M64" t="inlineStr">
        <is>
          <t>Konstruksi Gedung Hunian, Konstruksi Gedung Perbelanjaan, Konstruksi Gedung Perkantoran</t>
        </is>
      </c>
      <c r="N64" t="inlineStr">
        <is>
          <t>K</t>
        </is>
      </c>
      <c r="O64" t="inlineStr">
        <is>
          <t>20230808</t>
        </is>
      </c>
      <c r="P64" t="inlineStr">
        <is>
          <t>Banten</t>
        </is>
      </c>
      <c r="Q64" t="inlineStr"/>
    </row>
    <row r="65">
      <c r="A65" t="inlineStr">
        <is>
          <t>PUTRA AKSA MULYA</t>
        </is>
      </c>
      <c r="B65" t="inlineStr">
        <is>
          <t>Kab. Tuban</t>
        </is>
      </c>
      <c r="C65" t="inlineStr">
        <is>
          <t>081332741111</t>
        </is>
      </c>
      <c r="D65" t="inlineStr">
        <is>
          <t>putraaksamulya@gmail.com</t>
        </is>
      </c>
      <c r="E65" t="inlineStr">
        <is>
          <t>https://lpjk.pu.go.id/search-badan-usaha-detail/S3AydVA1NTRjQ3c2Z3RyaUV1Q0t0dz09</t>
        </is>
      </c>
      <c r="F65" t="n">
        <v>3</v>
      </c>
      <c r="G65" t="inlineStr">
        <is>
          <t>BG006, BG008, BG009</t>
        </is>
      </c>
      <c r="H65" t="inlineStr">
        <is>
          <t>16 September 2023</t>
        </is>
      </c>
      <c r="I65" s="2" t="n">
        <v>46310</v>
      </c>
      <c r="J65" t="inlineStr">
        <is>
          <t>Disetujui</t>
        </is>
      </c>
      <c r="K65" t="n">
        <v>30</v>
      </c>
      <c r="L65" t="inlineStr">
        <is>
          <t>15 Oktober 2026</t>
        </is>
      </c>
      <c r="M65" t="inlineStr">
        <is>
          <t>Konstruksi Gedung Lainnya, Konstruksi Gedung Pendidikan, Konstruksi Gedung Tempat Hiburan dan Olahraga</t>
        </is>
      </c>
      <c r="N65" t="inlineStr">
        <is>
          <t>K</t>
        </is>
      </c>
      <c r="O65" t="inlineStr">
        <is>
          <t>20231015, 20231017</t>
        </is>
      </c>
      <c r="P65" t="inlineStr">
        <is>
          <t>Jawa Timur</t>
        </is>
      </c>
      <c r="Q65" t="inlineStr"/>
    </row>
    <row r="66">
      <c r="A66" t="inlineStr">
        <is>
          <t>PUTRA BANGSA</t>
        </is>
      </c>
      <c r="B66" t="inlineStr">
        <is>
          <t>Kab. Bondowoso</t>
        </is>
      </c>
      <c r="C66" t="inlineStr">
        <is>
          <t>6282334061317</t>
        </is>
      </c>
      <c r="D66" t="inlineStr">
        <is>
          <t>p.bangsa@yahoo.co.id</t>
        </is>
      </c>
      <c r="E66" t="inlineStr">
        <is>
          <t>https://lpjk.pu.go.id/search-badan-usaha-detail/dVVBTC8rRjlFOTJLY2Vjck1kS1Rvdz09</t>
        </is>
      </c>
      <c r="F66" t="n">
        <v>1</v>
      </c>
      <c r="G66" t="inlineStr">
        <is>
          <t>BS001</t>
        </is>
      </c>
      <c r="H66" t="inlineStr">
        <is>
          <t>29 November 2000</t>
        </is>
      </c>
      <c r="I66" s="2" t="n">
        <v>46310</v>
      </c>
      <c r="J66" t="inlineStr">
        <is>
          <t>Disetujui</t>
        </is>
      </c>
      <c r="K66" t="n">
        <v>30</v>
      </c>
      <c r="L66" t="inlineStr">
        <is>
          <t>15 Oktober 2026</t>
        </is>
      </c>
      <c r="M66" t="inlineStr">
        <is>
          <t>Konstruksi Bangunan Sipil Jalan</t>
        </is>
      </c>
      <c r="N66" t="inlineStr">
        <is>
          <t>K</t>
        </is>
      </c>
      <c r="O66" t="inlineStr">
        <is>
          <t>20231013</t>
        </is>
      </c>
      <c r="P66" t="inlineStr">
        <is>
          <t>Jawa Timur</t>
        </is>
      </c>
      <c r="Q66" t="inlineStr"/>
    </row>
    <row r="67">
      <c r="A67" t="inlineStr">
        <is>
          <t>PUTRA BUNGFUI</t>
        </is>
      </c>
      <c r="B67" t="inlineStr">
        <is>
          <t>Kab. Aceh Besar</t>
        </is>
      </c>
      <c r="C67" t="inlineStr">
        <is>
          <t>085261701642</t>
        </is>
      </c>
      <c r="D67" t="inlineStr">
        <is>
          <t>putrabungfui@gmail.com</t>
        </is>
      </c>
      <c r="E67" t="inlineStr">
        <is>
          <t>https://lpjk.pu.go.id/search-badan-usaha-detail/aFVkWXlxK2VOTGFYMEhRZk9YcWVWZz09</t>
        </is>
      </c>
      <c r="F67" t="n">
        <v>2</v>
      </c>
      <c r="G67" t="inlineStr">
        <is>
          <t>BS001, BS004</t>
        </is>
      </c>
      <c r="H67" t="inlineStr">
        <is>
          <t>12 Januari 2023</t>
        </is>
      </c>
      <c r="I67" s="2" t="n">
        <v>46310</v>
      </c>
      <c r="J67" t="inlineStr">
        <is>
          <t>Disetujui</t>
        </is>
      </c>
      <c r="K67" t="n">
        <v>30</v>
      </c>
      <c r="L67" t="inlineStr">
        <is>
          <t>15 Oktober 2026</t>
        </is>
      </c>
      <c r="M67" t="inlineStr">
        <is>
          <t>Konstruksi Bangunan Sipil Jalan, Konstruksi Jaringan Irigasi dan Drainase</t>
        </is>
      </c>
      <c r="N67" t="inlineStr">
        <is>
          <t>K</t>
        </is>
      </c>
      <c r="O67" t="inlineStr">
        <is>
          <t>20231016</t>
        </is>
      </c>
      <c r="P67" t="inlineStr">
        <is>
          <t>Aceh</t>
        </is>
      </c>
      <c r="Q67" t="inlineStr"/>
    </row>
    <row r="68">
      <c r="A68" t="inlineStr">
        <is>
          <t>PUTRA TRI DATU</t>
        </is>
      </c>
      <c r="B68" t="inlineStr">
        <is>
          <t>Kab. Gianyar</t>
        </is>
      </c>
      <c r="C68" t="inlineStr">
        <is>
          <t>081337576373</t>
        </is>
      </c>
      <c r="D68" t="inlineStr">
        <is>
          <t>pt.ptd@yahoo.com</t>
        </is>
      </c>
      <c r="E68" t="inlineStr">
        <is>
          <t>https://lpjk.pu.go.id/search-badan-usaha-detail/RjZaeTlHM3VSdGN3WlY4U0dBNnNDdz09</t>
        </is>
      </c>
      <c r="F68" t="n">
        <v>2</v>
      </c>
      <c r="G68" t="inlineStr">
        <is>
          <t>BG007, BG009</t>
        </is>
      </c>
      <c r="H68" t="inlineStr">
        <is>
          <t>2 Januari 2020</t>
        </is>
      </c>
      <c r="I68" s="2" t="n">
        <v>46310</v>
      </c>
      <c r="J68" t="inlineStr">
        <is>
          <t>Disetujui</t>
        </is>
      </c>
      <c r="K68" t="n">
        <v>30</v>
      </c>
      <c r="L68" t="inlineStr">
        <is>
          <t>15 Oktober 2026</t>
        </is>
      </c>
      <c r="M68" t="inlineStr">
        <is>
          <t>Konstruksi Gedung Lainnya, Konstruksi Gedung Penginapan</t>
        </is>
      </c>
      <c r="N68" t="inlineStr">
        <is>
          <t>K</t>
        </is>
      </c>
      <c r="O68" t="inlineStr">
        <is>
          <t>20231010, 20231016</t>
        </is>
      </c>
      <c r="P68" t="inlineStr">
        <is>
          <t>Bali</t>
        </is>
      </c>
      <c r="Q68" t="inlineStr"/>
    </row>
    <row r="69">
      <c r="A69" t="inlineStr">
        <is>
          <t>PUTRI AJI</t>
        </is>
      </c>
      <c r="B69" t="inlineStr">
        <is>
          <t>Kab. Semarang</t>
        </is>
      </c>
      <c r="C69" t="inlineStr">
        <is>
          <t>0246929698</t>
        </is>
      </c>
      <c r="D69" t="inlineStr">
        <is>
          <t>cv.putriaji@gmail.com</t>
        </is>
      </c>
      <c r="E69" t="inlineStr">
        <is>
          <t>https://lpjk.pu.go.id/search-badan-usaha-detail/OVg5UkNnUzFUM1Y1ZzdwcVh1amtmdz09</t>
        </is>
      </c>
      <c r="F69" t="n">
        <v>6</v>
      </c>
      <c r="G69" t="inlineStr">
        <is>
          <t>BG002, BG005, BG006, BG009, BS001, BS004</t>
        </is>
      </c>
      <c r="H69" t="inlineStr">
        <is>
          <t>5 Juli 2000</t>
        </is>
      </c>
      <c r="I69" s="2" t="n">
        <v>46310</v>
      </c>
      <c r="J69" t="inlineStr">
        <is>
          <t>Disetujui</t>
        </is>
      </c>
      <c r="K69" t="n">
        <v>30</v>
      </c>
      <c r="L69" t="inlineStr">
        <is>
          <t>15 Oktober 2026</t>
        </is>
      </c>
      <c r="M69" t="inlineStr">
        <is>
          <t>Konstruksi Bangunan Sipil Jalan, Konstruksi Gedung Kesehatan, Konstruksi Gedung Lainnya, Konstruksi Gedung Pendidikan, Konstruksi Gedung Perkantoran, Konstruksi Jaringan Irigasi dan Drainase</t>
        </is>
      </c>
      <c r="N69" t="inlineStr">
        <is>
          <t>K</t>
        </is>
      </c>
      <c r="O69" t="inlineStr">
        <is>
          <t>20231010, 20231011</t>
        </is>
      </c>
      <c r="P69" t="inlineStr">
        <is>
          <t>Jawa Tengah</t>
        </is>
      </c>
      <c r="Q69" t="inlineStr"/>
    </row>
    <row r="70">
      <c r="A70" t="inlineStr">
        <is>
          <t>PUTRI KENCANA</t>
        </is>
      </c>
      <c r="B70" t="inlineStr">
        <is>
          <t>Kab. Sumenep</t>
        </is>
      </c>
      <c r="C70" t="inlineStr">
        <is>
          <t>082330700075</t>
        </is>
      </c>
      <c r="D70" t="inlineStr">
        <is>
          <t>cvputrikencana11@gmail.com</t>
        </is>
      </c>
      <c r="E70" t="inlineStr">
        <is>
          <t>https://lpjk.pu.go.id/search-badan-usaha-detail/YVQrakh0VXA4MUNvRVNQcUdCMm1ZUT09</t>
        </is>
      </c>
      <c r="F70" t="n">
        <v>1</v>
      </c>
      <c r="G70" t="inlineStr">
        <is>
          <t>BS004</t>
        </is>
      </c>
      <c r="H70" t="inlineStr">
        <is>
          <t>6 Januari 2011</t>
        </is>
      </c>
      <c r="I70" s="2" t="n">
        <v>46310</v>
      </c>
      <c r="J70" t="inlineStr">
        <is>
          <t>Disetujui</t>
        </is>
      </c>
      <c r="K70" t="n">
        <v>30</v>
      </c>
      <c r="L70" t="inlineStr">
        <is>
          <t>15 Oktober 2026</t>
        </is>
      </c>
      <c r="M70" t="inlineStr">
        <is>
          <t>Konstruksi Jaringan Irigasi dan Drainase</t>
        </is>
      </c>
      <c r="N70" t="inlineStr">
        <is>
          <t>K</t>
        </is>
      </c>
      <c r="O70" t="inlineStr">
        <is>
          <t>20231012</t>
        </is>
      </c>
      <c r="P70" t="inlineStr">
        <is>
          <t>Jawa Timur</t>
        </is>
      </c>
      <c r="Q70" t="inlineStr"/>
    </row>
    <row r="71">
      <c r="A71" t="inlineStr">
        <is>
          <t>RAFA BERDIKARI JAYA</t>
        </is>
      </c>
      <c r="B71" t="inlineStr">
        <is>
          <t>Kota Ambon</t>
        </is>
      </c>
      <c r="C71" t="inlineStr">
        <is>
          <t>081527132854</t>
        </is>
      </c>
      <c r="D71" t="inlineStr">
        <is>
          <t>ravaberdikarijaya@gmail.com</t>
        </is>
      </c>
      <c r="E71" t="inlineStr">
        <is>
          <t>https://lpjk.pu.go.id/search-badan-usaha-detail/VXUyWk55NjZjdldHcDF5anpma0hTdz09</t>
        </is>
      </c>
      <c r="F71" t="n">
        <v>2</v>
      </c>
      <c r="G71" t="inlineStr">
        <is>
          <t>BS004, BS005</t>
        </is>
      </c>
      <c r="H71" t="inlineStr">
        <is>
          <t>4 Oktober 2023</t>
        </is>
      </c>
      <c r="I71" s="2" t="n">
        <v>46310</v>
      </c>
      <c r="J71" t="inlineStr">
        <is>
          <t>Disetujui</t>
        </is>
      </c>
      <c r="K71" t="n">
        <v>30</v>
      </c>
      <c r="L71" t="inlineStr">
        <is>
          <t>15 Oktober 2026</t>
        </is>
      </c>
      <c r="M71" t="inlineStr">
        <is>
          <t>Konstruksi Bangunan Sipil Pengolahan Air Bersih, Konstruksi Jaringan Irigasi dan Drainase</t>
        </is>
      </c>
      <c r="N71" t="inlineStr">
        <is>
          <t>K</t>
        </is>
      </c>
      <c r="O71" t="inlineStr">
        <is>
          <t>20231011</t>
        </is>
      </c>
      <c r="P71" t="inlineStr">
        <is>
          <t>Maluku</t>
        </is>
      </c>
      <c r="Q71" t="inlineStr"/>
    </row>
    <row r="72">
      <c r="A72" t="inlineStr">
        <is>
          <t>REKAYASA UTAMA</t>
        </is>
      </c>
      <c r="B72" t="inlineStr">
        <is>
          <t>Kab. Tabanan</t>
        </is>
      </c>
      <c r="C72" t="inlineStr">
        <is>
          <t>0361814164</t>
        </is>
      </c>
      <c r="D72" t="inlineStr">
        <is>
          <t>rekayasautamautama@yahoo.co.id</t>
        </is>
      </c>
      <c r="E72" t="inlineStr">
        <is>
          <t>https://lpjk.pu.go.id/search-badan-usaha-detail/ci9sQWlnTjBHUGo1aGI0bFN5Z0VOZz09</t>
        </is>
      </c>
      <c r="F72" t="n">
        <v>2</v>
      </c>
      <c r="G72" t="inlineStr">
        <is>
          <t>BS001</t>
        </is>
      </c>
      <c r="H72" t="inlineStr">
        <is>
          <t>23 Juni 1994</t>
        </is>
      </c>
      <c r="I72" s="2" t="n">
        <v>46310</v>
      </c>
      <c r="J72" t="inlineStr">
        <is>
          <t>Disetujui</t>
        </is>
      </c>
      <c r="K72" t="n">
        <v>30</v>
      </c>
      <c r="L72" t="inlineStr">
        <is>
          <t>15 Oktober 2026</t>
        </is>
      </c>
      <c r="M72" t="inlineStr">
        <is>
          <t>Konstruksi Bangunan Sipil Jalan</t>
        </is>
      </c>
      <c r="N72" t="inlineStr">
        <is>
          <t>K</t>
        </is>
      </c>
      <c r="O72" t="inlineStr">
        <is>
          <t>20231011</t>
        </is>
      </c>
      <c r="P72" t="inlineStr">
        <is>
          <t>Bali</t>
        </is>
      </c>
      <c r="Q72" t="inlineStr"/>
    </row>
    <row r="73">
      <c r="A73" t="inlineStr">
        <is>
          <t>SAHABAT KARYA MANDIRI</t>
        </is>
      </c>
      <c r="B73" t="inlineStr">
        <is>
          <t>Kota Pontianak</t>
        </is>
      </c>
      <c r="C73" t="inlineStr">
        <is>
          <t>08115771129</t>
        </is>
      </c>
      <c r="D73" t="inlineStr">
        <is>
          <t>cvsahabat81@gmail.com</t>
        </is>
      </c>
      <c r="E73" t="inlineStr">
        <is>
          <t>https://lpjk.pu.go.id/search-badan-usaha-detail/YkFhUzJKSEZNS2tJVER6U05kOFAzQT09</t>
        </is>
      </c>
      <c r="F73" t="n">
        <v>1</v>
      </c>
      <c r="G73" t="inlineStr">
        <is>
          <t>BS005</t>
        </is>
      </c>
      <c r="H73" t="inlineStr">
        <is>
          <t>1 Agustus 2007</t>
        </is>
      </c>
      <c r="I73" s="2" t="n">
        <v>46310</v>
      </c>
      <c r="J73" t="inlineStr">
        <is>
          <t>Disetujui</t>
        </is>
      </c>
      <c r="K73" t="n">
        <v>30</v>
      </c>
      <c r="L73" t="inlineStr">
        <is>
          <t>15 Oktober 2026</t>
        </is>
      </c>
      <c r="M73" t="inlineStr">
        <is>
          <t>Konstruksi Bangunan Sipil Pengolahan Air Bersih</t>
        </is>
      </c>
      <c r="N73" t="inlineStr">
        <is>
          <t>K</t>
        </is>
      </c>
      <c r="O73" t="inlineStr">
        <is>
          <t>20231016</t>
        </is>
      </c>
      <c r="P73" t="inlineStr">
        <is>
          <t>Kalimantan Barat</t>
        </is>
      </c>
      <c r="Q73" t="inlineStr"/>
    </row>
    <row r="74">
      <c r="A74" t="inlineStr">
        <is>
          <t>SAHABAT SEJATI NADA</t>
        </is>
      </c>
      <c r="B74" t="inlineStr">
        <is>
          <t>Kota Banjarmasin</t>
        </is>
      </c>
      <c r="C74" t="inlineStr">
        <is>
          <t>081239480555</t>
        </is>
      </c>
      <c r="D74" t="inlineStr">
        <is>
          <t>sahabatsejatinada@gmail.com</t>
        </is>
      </c>
      <c r="E74" t="inlineStr">
        <is>
          <t>https://lpjk.pu.go.id/search-badan-usaha-detail/cERLeDA1dUk3SWMzTEcyZHhzR2FzUT09</t>
        </is>
      </c>
      <c r="F74" t="n">
        <v>1</v>
      </c>
      <c r="G74" t="inlineStr">
        <is>
          <t>BG002</t>
        </is>
      </c>
      <c r="H74" t="inlineStr">
        <is>
          <t>15 Agustus 2019</t>
        </is>
      </c>
      <c r="I74" s="2" t="n">
        <v>46310</v>
      </c>
      <c r="J74" t="inlineStr">
        <is>
          <t>Disetujui</t>
        </is>
      </c>
      <c r="K74" t="n">
        <v>30</v>
      </c>
      <c r="L74" t="inlineStr">
        <is>
          <t>15 Oktober 2026</t>
        </is>
      </c>
      <c r="M74" t="inlineStr">
        <is>
          <t>Konstruksi Gedung Perkantoran</t>
        </is>
      </c>
      <c r="N74" t="inlineStr">
        <is>
          <t>K</t>
        </is>
      </c>
      <c r="O74" t="inlineStr">
        <is>
          <t>20231013</t>
        </is>
      </c>
      <c r="P74" t="inlineStr">
        <is>
          <t>Kalimantan Selatan</t>
        </is>
      </c>
      <c r="Q74" t="inlineStr"/>
    </row>
    <row r="75">
      <c r="A75" t="inlineStr">
        <is>
          <t>SALAREA INTI PERKASA</t>
        </is>
      </c>
      <c r="B75" t="inlineStr">
        <is>
          <t>Kota Bandung</t>
        </is>
      </c>
      <c r="C75" t="inlineStr">
        <is>
          <t>081802281798</t>
        </is>
      </c>
      <c r="D75" t="inlineStr">
        <is>
          <t>salareaintiperkasa@gmail.com</t>
        </is>
      </c>
      <c r="E75" t="inlineStr">
        <is>
          <t>https://lpjk.pu.go.id/search-badan-usaha-detail/SUQzczA0M3NuUllDK3k1Umg0N3BaUT09</t>
        </is>
      </c>
      <c r="F75" t="n">
        <v>1</v>
      </c>
      <c r="G75" t="inlineStr">
        <is>
          <t>BS001</t>
        </is>
      </c>
      <c r="H75" t="inlineStr">
        <is>
          <t>22 Desember 2022</t>
        </is>
      </c>
      <c r="I75" s="2" t="n">
        <v>46310</v>
      </c>
      <c r="J75" t="inlineStr">
        <is>
          <t>Disetujui</t>
        </is>
      </c>
      <c r="K75" t="n">
        <v>30</v>
      </c>
      <c r="L75" t="inlineStr">
        <is>
          <t>15 Oktober 2026</t>
        </is>
      </c>
      <c r="M75" t="inlineStr">
        <is>
          <t>Konstruksi Bangunan Sipil Jalan</t>
        </is>
      </c>
      <c r="N75" t="inlineStr">
        <is>
          <t>K</t>
        </is>
      </c>
      <c r="O75" t="inlineStr">
        <is>
          <t>20231016</t>
        </is>
      </c>
      <c r="P75" t="inlineStr">
        <is>
          <t>Jawa Barat</t>
        </is>
      </c>
      <c r="Q75" t="inlineStr"/>
    </row>
    <row r="76">
      <c r="A76" t="inlineStr">
        <is>
          <t>SATRIA JAYA MANDIRI</t>
        </is>
      </c>
      <c r="B76" t="inlineStr">
        <is>
          <t>Kab. Kapuas Hulu</t>
        </is>
      </c>
      <c r="C76" t="inlineStr">
        <is>
          <t>082148836635</t>
        </is>
      </c>
      <c r="D76" t="inlineStr">
        <is>
          <t>satriajayamandiri219@gmail.com</t>
        </is>
      </c>
      <c r="E76" t="inlineStr">
        <is>
          <t>https://lpjk.pu.go.id/search-badan-usaha-detail/UllJd0JHdVcxRHJwVXpCVGUwMTVtZz09</t>
        </is>
      </c>
      <c r="F76" t="n">
        <v>2</v>
      </c>
      <c r="G76" t="inlineStr">
        <is>
          <t>BS002, BS004</t>
        </is>
      </c>
      <c r="H76" t="inlineStr">
        <is>
          <t>4 Maret 2020</t>
        </is>
      </c>
      <c r="I76" s="2" t="n">
        <v>46310</v>
      </c>
      <c r="J76" t="inlineStr">
        <is>
          <t>Disetujui</t>
        </is>
      </c>
      <c r="K76" t="n">
        <v>30</v>
      </c>
      <c r="L76" t="inlineStr">
        <is>
          <t>15 Oktober 2026</t>
        </is>
      </c>
      <c r="M76" t="inlineStr">
        <is>
          <t>Bangunan Sipil Jembatan, Jalan Layang, Fly Over, dan Underpass, Konstruksi Jaringan Irigasi dan Drainase</t>
        </is>
      </c>
      <c r="N76" t="inlineStr">
        <is>
          <t>K</t>
        </is>
      </c>
      <c r="O76" t="inlineStr">
        <is>
          <t>20231014, 20231020</t>
        </is>
      </c>
      <c r="P76" t="inlineStr">
        <is>
          <t>Kalimantan Barat</t>
        </is>
      </c>
      <c r="Q76" t="inlineStr"/>
    </row>
    <row r="77">
      <c r="A77" t="inlineStr">
        <is>
          <t>SEKAR WANGI</t>
        </is>
      </c>
      <c r="B77" t="inlineStr">
        <is>
          <t>Kab. Bandung Barat</t>
        </is>
      </c>
      <c r="C77" t="inlineStr">
        <is>
          <t>087714445552</t>
        </is>
      </c>
      <c r="D77" t="inlineStr">
        <is>
          <t>cvsekarw@gmail.com</t>
        </is>
      </c>
      <c r="E77" t="inlineStr">
        <is>
          <t>https://lpjk.pu.go.id/search-badan-usaha-detail/UlE2Sk9kRXhrMHR6Zlg4K0NLN0RSdz09</t>
        </is>
      </c>
      <c r="F77" t="n">
        <v>2</v>
      </c>
      <c r="G77" t="inlineStr">
        <is>
          <t>BG004</t>
        </is>
      </c>
      <c r="H77" t="inlineStr">
        <is>
          <t>6 Maret 2017</t>
        </is>
      </c>
      <c r="I77" s="2" t="n">
        <v>46310</v>
      </c>
      <c r="J77" t="inlineStr">
        <is>
          <t>Disetujui</t>
        </is>
      </c>
      <c r="K77" t="n">
        <v>30</v>
      </c>
      <c r="L77" t="inlineStr">
        <is>
          <t>15 Oktober 2026</t>
        </is>
      </c>
      <c r="M77" t="inlineStr">
        <is>
          <t>Konstruksi Gedung Perbelanjaan</t>
        </is>
      </c>
      <c r="N77" t="inlineStr">
        <is>
          <t>K</t>
        </is>
      </c>
      <c r="O77" t="inlineStr">
        <is>
          <t>20231012</t>
        </is>
      </c>
      <c r="P77" t="inlineStr">
        <is>
          <t>Jawa Barat</t>
        </is>
      </c>
      <c r="Q77" t="inlineStr"/>
    </row>
    <row r="78">
      <c r="A78" t="inlineStr">
        <is>
          <t>SINAR ABADI MANDIRI</t>
        </is>
      </c>
      <c r="B78" t="inlineStr">
        <is>
          <t>Kota Bandung</t>
        </is>
      </c>
      <c r="C78" t="inlineStr">
        <is>
          <t>022</t>
        </is>
      </c>
      <c r="D78" t="inlineStr">
        <is>
          <t>sinarabadimandiri0@gmail.com</t>
        </is>
      </c>
      <c r="E78" t="inlineStr">
        <is>
          <t>https://lpjk.pu.go.id/search-badan-usaha-detail/a3RjeUtDSTRPYTZzZlNPL3J0L2lFQT09</t>
        </is>
      </c>
      <c r="F78" t="n">
        <v>2</v>
      </c>
      <c r="G78" t="inlineStr">
        <is>
          <t>BG001, BG002</t>
        </is>
      </c>
      <c r="H78" t="inlineStr">
        <is>
          <t>28 Januari 2020</t>
        </is>
      </c>
      <c r="I78" s="2" t="n">
        <v>46310</v>
      </c>
      <c r="J78" t="inlineStr">
        <is>
          <t>Disetujui</t>
        </is>
      </c>
      <c r="K78" t="n">
        <v>30</v>
      </c>
      <c r="L78" t="inlineStr">
        <is>
          <t>15 Oktober 2026</t>
        </is>
      </c>
      <c r="M78" t="inlineStr">
        <is>
          <t>Konstruksi Gedung Hunian, Konstruksi Gedung Perkantoran</t>
        </is>
      </c>
      <c r="N78" t="inlineStr">
        <is>
          <t>K</t>
        </is>
      </c>
      <c r="O78" t="inlineStr">
        <is>
          <t>20231012, 20231016</t>
        </is>
      </c>
      <c r="P78" t="inlineStr">
        <is>
          <t>Jawa Barat</t>
        </is>
      </c>
      <c r="Q78" t="inlineStr"/>
    </row>
    <row r="79">
      <c r="A79" t="inlineStr">
        <is>
          <t>SKALA MAKNA RUANG</t>
        </is>
      </c>
      <c r="B79" t="inlineStr">
        <is>
          <t>Kota Adm. Jakarta Selatan</t>
        </is>
      </c>
      <c r="C79" t="inlineStr">
        <is>
          <t>0217362639</t>
        </is>
      </c>
      <c r="D79" t="inlineStr">
        <is>
          <t>ptskalamaknaruang@gmail.com</t>
        </is>
      </c>
      <c r="E79" t="inlineStr">
        <is>
          <t>https://lpjk.pu.go.id/search-badan-usaha-detail/MWJrM1NxcTRzRDVSVmxNdDRxbDdqQT09</t>
        </is>
      </c>
      <c r="F79" t="n">
        <v>1</v>
      </c>
      <c r="G79" t="inlineStr">
        <is>
          <t>AR001</t>
        </is>
      </c>
      <c r="H79" t="inlineStr">
        <is>
          <t>28 Juli 2023</t>
        </is>
      </c>
      <c r="I79" s="2" t="n">
        <v>46310</v>
      </c>
      <c r="J79" t="inlineStr">
        <is>
          <t>Disetujui</t>
        </is>
      </c>
      <c r="K79" t="n">
        <v>30</v>
      </c>
      <c r="L79" t="inlineStr">
        <is>
          <t>15 Oktober 2026</t>
        </is>
      </c>
      <c r="M79" t="inlineStr">
        <is>
          <t>Jasa Arsitektural Bangunan Gedung Hunian dan Non Hunian</t>
        </is>
      </c>
      <c r="N79" t="inlineStr">
        <is>
          <t>K</t>
        </is>
      </c>
      <c r="O79" t="inlineStr">
        <is>
          <t>20231005</t>
        </is>
      </c>
      <c r="P79" t="inlineStr">
        <is>
          <t>DKI Jakarta</t>
        </is>
      </c>
      <c r="Q79" t="inlineStr"/>
    </row>
    <row r="80">
      <c r="A80" t="inlineStr">
        <is>
          <t>SURYA MANDIRI</t>
        </is>
      </c>
      <c r="B80" t="inlineStr">
        <is>
          <t>Kab. Trenggalek</t>
        </is>
      </c>
      <c r="C80" t="inlineStr">
        <is>
          <t>081232880624</t>
        </is>
      </c>
      <c r="D80" t="inlineStr">
        <is>
          <t>cvsuryamandiri2000@gmail.com</t>
        </is>
      </c>
      <c r="E80" t="inlineStr">
        <is>
          <t>https://lpjk.pu.go.id/search-badan-usaha-detail/Qm0yRDBadm9HS2c0WUQ1THVMU0hJUT09</t>
        </is>
      </c>
      <c r="F80" t="n">
        <v>1</v>
      </c>
      <c r="G80" t="inlineStr">
        <is>
          <t>BS001</t>
        </is>
      </c>
      <c r="H80" t="inlineStr">
        <is>
          <t>26 Februari 2001</t>
        </is>
      </c>
      <c r="I80" s="2" t="n">
        <v>46310</v>
      </c>
      <c r="J80" t="inlineStr">
        <is>
          <t>Disetujui</t>
        </is>
      </c>
      <c r="K80" t="n">
        <v>30</v>
      </c>
      <c r="L80" t="inlineStr">
        <is>
          <t>15 Oktober 2026</t>
        </is>
      </c>
      <c r="M80" t="inlineStr">
        <is>
          <t>Konstruksi Bangunan Sipil Jalan</t>
        </is>
      </c>
      <c r="N80" t="inlineStr">
        <is>
          <t>K</t>
        </is>
      </c>
      <c r="O80" t="inlineStr">
        <is>
          <t>20231011</t>
        </is>
      </c>
      <c r="P80" t="inlineStr">
        <is>
          <t>Jawa Timur</t>
        </is>
      </c>
      <c r="Q80" t="inlineStr"/>
    </row>
    <row r="81">
      <c r="A81" t="inlineStr">
        <is>
          <t>TAUFIK AKBAR</t>
        </is>
      </c>
      <c r="B81" t="inlineStr">
        <is>
          <t>Kota Pontianak</t>
        </is>
      </c>
      <c r="C81" t="inlineStr">
        <is>
          <t>05617557909</t>
        </is>
      </c>
      <c r="D81" t="inlineStr">
        <is>
          <t>yufita78@yahoo.co.id</t>
        </is>
      </c>
      <c r="E81" t="inlineStr">
        <is>
          <t>https://lpjk.pu.go.id/search-badan-usaha-detail/Wk5tNEhoMGFWRnNCWVFYN0dCeXg3Zz09</t>
        </is>
      </c>
      <c r="F81" t="n">
        <v>1</v>
      </c>
      <c r="G81" t="inlineStr">
        <is>
          <t>BS001</t>
        </is>
      </c>
      <c r="H81" t="inlineStr">
        <is>
          <t>3 Juni 2008</t>
        </is>
      </c>
      <c r="I81" s="2" t="n">
        <v>46310</v>
      </c>
      <c r="J81" t="inlineStr">
        <is>
          <t>Disetujui</t>
        </is>
      </c>
      <c r="K81" t="n">
        <v>30</v>
      </c>
      <c r="L81" t="inlineStr">
        <is>
          <t>15 Oktober 2026</t>
        </is>
      </c>
      <c r="M81" t="inlineStr">
        <is>
          <t>Konstruksi Bangunan Sipil Jalan</t>
        </is>
      </c>
      <c r="N81" t="inlineStr">
        <is>
          <t>K</t>
        </is>
      </c>
      <c r="O81" t="inlineStr">
        <is>
          <t>20231012</t>
        </is>
      </c>
      <c r="P81" t="inlineStr">
        <is>
          <t>Kalimantan Barat</t>
        </is>
      </c>
      <c r="Q81" t="inlineStr"/>
    </row>
    <row r="82">
      <c r="A82" t="inlineStr">
        <is>
          <t>TEGAR</t>
        </is>
      </c>
      <c r="B82" t="inlineStr">
        <is>
          <t>Kab. Sukabumi</t>
        </is>
      </c>
      <c r="C82" t="inlineStr">
        <is>
          <t>085721880444</t>
        </is>
      </c>
      <c r="D82" t="inlineStr">
        <is>
          <t>cvtegar@gmail.com</t>
        </is>
      </c>
      <c r="E82" t="inlineStr">
        <is>
          <t>https://lpjk.pu.go.id/search-badan-usaha-detail/SGF1SkhSTUk3UCtzalNIdmVoY1Q2QT09</t>
        </is>
      </c>
      <c r="F82" t="n">
        <v>1</v>
      </c>
      <c r="G82" t="inlineStr">
        <is>
          <t>BG009</t>
        </is>
      </c>
      <c r="H82" t="inlineStr">
        <is>
          <t>13 November 2001</t>
        </is>
      </c>
      <c r="I82" s="2" t="n">
        <v>46310</v>
      </c>
      <c r="J82" t="inlineStr">
        <is>
          <t>Disetujui</t>
        </is>
      </c>
      <c r="K82" t="n">
        <v>30</v>
      </c>
      <c r="L82" t="inlineStr">
        <is>
          <t>15 Oktober 2026</t>
        </is>
      </c>
      <c r="M82" t="inlineStr">
        <is>
          <t>Konstruksi Gedung Lainnya</t>
        </is>
      </c>
      <c r="N82" t="inlineStr">
        <is>
          <t>K</t>
        </is>
      </c>
      <c r="O82" t="inlineStr">
        <is>
          <t>20231006</t>
        </is>
      </c>
      <c r="P82" t="inlineStr">
        <is>
          <t>Jawa Barat</t>
        </is>
      </c>
      <c r="Q82" t="inlineStr"/>
    </row>
    <row r="83">
      <c r="A83" t="inlineStr">
        <is>
          <t>TIARA JAYA BERKAH</t>
        </is>
      </c>
      <c r="B83" t="inlineStr">
        <is>
          <t>Kab. Tanah Bumbu</t>
        </is>
      </c>
      <c r="C83" t="inlineStr">
        <is>
          <t>0</t>
        </is>
      </c>
      <c r="D83" t="inlineStr">
        <is>
          <t>tiarajayaberkah@gmail.com</t>
        </is>
      </c>
      <c r="E83" t="inlineStr">
        <is>
          <t>https://lpjk.pu.go.id/search-badan-usaha-detail/dklVbmdZMW9EUGNwM1hiVnREY2xDZz09</t>
        </is>
      </c>
      <c r="F83" t="n">
        <v>4</v>
      </c>
      <c r="G83" t="inlineStr">
        <is>
          <t>BG006, BS001, BS002, BS004</t>
        </is>
      </c>
      <c r="H83" t="inlineStr">
        <is>
          <t>9 September 2019</t>
        </is>
      </c>
      <c r="I83" s="2" t="n">
        <v>46310</v>
      </c>
      <c r="J83" t="inlineStr">
        <is>
          <t>Disetujui</t>
        </is>
      </c>
      <c r="K83" t="n">
        <v>30</v>
      </c>
      <c r="L83" t="inlineStr">
        <is>
          <t>15 Oktober 2026</t>
        </is>
      </c>
      <c r="M83" t="inlineStr">
        <is>
          <t>Bangunan Sipil Jembatan, Jalan Layang, Fly Over, dan Underpass, Konstruksi Bangunan Sipil Jalan, Konstruksi Gedung Pendidikan, Konstruksi Jaringan Irigasi dan Drainase</t>
        </is>
      </c>
      <c r="N83" t="inlineStr">
        <is>
          <t>K</t>
        </is>
      </c>
      <c r="O83" t="inlineStr">
        <is>
          <t>20231014, 20231015</t>
        </is>
      </c>
      <c r="P83" t="inlineStr">
        <is>
          <t>Kalimantan Selatan</t>
        </is>
      </c>
      <c r="Q83" t="inlineStr"/>
    </row>
    <row r="84">
      <c r="A84" t="inlineStr">
        <is>
          <t>TIARA MULTI TEKNIK</t>
        </is>
      </c>
      <c r="B84" t="inlineStr">
        <is>
          <t>Kota Surabaya</t>
        </is>
      </c>
      <c r="C84" t="inlineStr">
        <is>
          <t>0318288763</t>
        </is>
      </c>
      <c r="D84" t="inlineStr">
        <is>
          <t>tiaramultek@ymail.com</t>
        </is>
      </c>
      <c r="E84" t="inlineStr">
        <is>
          <t>https://lpjk.pu.go.id/search-badan-usaha-detail/SXhLdVNYb0ZaM1YycTh6NllsaUt1dz09</t>
        </is>
      </c>
      <c r="F84" t="n">
        <v>1</v>
      </c>
      <c r="G84" t="inlineStr">
        <is>
          <t>GT002</t>
        </is>
      </c>
      <c r="H84" t="inlineStr">
        <is>
          <t>29 Maret 2006</t>
        </is>
      </c>
      <c r="I84" s="2" t="n">
        <v>46310</v>
      </c>
      <c r="J84" t="inlineStr">
        <is>
          <t>Disetujui</t>
        </is>
      </c>
      <c r="K84" t="n">
        <v>30</v>
      </c>
      <c r="L84" t="inlineStr">
        <is>
          <t>15 Oktober 2026</t>
        </is>
      </c>
      <c r="M84" t="inlineStr">
        <is>
          <t>Konstruksi Gedung Perkantoran</t>
        </is>
      </c>
      <c r="N84" t="inlineStr">
        <is>
          <t>B</t>
        </is>
      </c>
      <c r="O84" t="inlineStr">
        <is>
          <t>20231007</t>
        </is>
      </c>
      <c r="P84" t="inlineStr">
        <is>
          <t>Jawa Timur</t>
        </is>
      </c>
      <c r="Q84" t="inlineStr"/>
    </row>
    <row r="85">
      <c r="A85" t="inlineStr">
        <is>
          <t>TRI SAKTI MULIA</t>
        </is>
      </c>
      <c r="B85" t="inlineStr">
        <is>
          <t>Kab. Bandung</t>
        </is>
      </c>
      <c r="C85" t="inlineStr">
        <is>
          <t>081321061388</t>
        </is>
      </c>
      <c r="D85" t="inlineStr">
        <is>
          <t>trisaktimulia@gmail.com</t>
        </is>
      </c>
      <c r="E85" t="inlineStr">
        <is>
          <t>https://lpjk.pu.go.id/search-badan-usaha-detail/OUVmeVJpakd3NnFBT1l4eW1Bam9Wdz09</t>
        </is>
      </c>
      <c r="F85" t="n">
        <v>1</v>
      </c>
      <c r="G85" t="inlineStr">
        <is>
          <t>BG003</t>
        </is>
      </c>
      <c r="H85" t="inlineStr">
        <is>
          <t>6 Juni 2023</t>
        </is>
      </c>
      <c r="I85" s="2" t="n">
        <v>46310</v>
      </c>
      <c r="J85" t="inlineStr">
        <is>
          <t>Disetujui</t>
        </is>
      </c>
      <c r="K85" t="n">
        <v>30</v>
      </c>
      <c r="L85" t="inlineStr">
        <is>
          <t>15 Oktober 2026</t>
        </is>
      </c>
      <c r="M85" t="inlineStr">
        <is>
          <t>Konstruksi Gedung Industri</t>
        </is>
      </c>
      <c r="N85" t="inlineStr">
        <is>
          <t>K</t>
        </is>
      </c>
      <c r="O85" t="inlineStr">
        <is>
          <t>20231016</t>
        </is>
      </c>
      <c r="P85" t="inlineStr">
        <is>
          <t>Jawa Barat</t>
        </is>
      </c>
      <c r="Q85" t="inlineStr"/>
    </row>
    <row r="86">
      <c r="A86" t="inlineStr">
        <is>
          <t>WAHYUNATA ARSITA</t>
        </is>
      </c>
      <c r="B86" t="inlineStr">
        <is>
          <t>Kota Jambi</t>
        </is>
      </c>
      <c r="C86" t="inlineStr">
        <is>
          <t>074124714</t>
        </is>
      </c>
      <c r="D86" t="inlineStr">
        <is>
          <t>wahyunata_arsita@yahoo.co.id</t>
        </is>
      </c>
      <c r="E86" t="inlineStr">
        <is>
          <t>https://lpjk.pu.go.id/search-badan-usaha-detail/eFRPNnZSa3VDaTFKS3orMUxPb01wUT09</t>
        </is>
      </c>
      <c r="F86" t="n">
        <v>1</v>
      </c>
      <c r="G86" t="inlineStr">
        <is>
          <t>BS001</t>
        </is>
      </c>
      <c r="H86" t="inlineStr">
        <is>
          <t>1 September 1993</t>
        </is>
      </c>
      <c r="I86" s="2" t="n">
        <v>46310</v>
      </c>
      <c r="J86" t="inlineStr">
        <is>
          <t>Disetujui</t>
        </is>
      </c>
      <c r="K86" t="n">
        <v>30</v>
      </c>
      <c r="L86" t="inlineStr">
        <is>
          <t>15 Oktober 2026</t>
        </is>
      </c>
      <c r="M86" t="inlineStr">
        <is>
          <t>Konstruksi Bangunan Sipil Jalan</t>
        </is>
      </c>
      <c r="N86" t="inlineStr">
        <is>
          <t>M</t>
        </is>
      </c>
      <c r="O86" t="inlineStr">
        <is>
          <t>20231005</t>
        </is>
      </c>
      <c r="P86" t="inlineStr">
        <is>
          <t>Jambi</t>
        </is>
      </c>
      <c r="Q86" t="inlineStr"/>
    </row>
    <row r="87">
      <c r="A87" t="inlineStr">
        <is>
          <t>WASKITA UTAMA</t>
        </is>
      </c>
      <c r="B87" t="inlineStr">
        <is>
          <t>Kota Samarinda</t>
        </is>
      </c>
      <c r="C87" t="inlineStr">
        <is>
          <t>081347280766</t>
        </is>
      </c>
      <c r="D87" t="inlineStr">
        <is>
          <t>waskitautm@gmail.com</t>
        </is>
      </c>
      <c r="E87" t="inlineStr">
        <is>
          <t>https://lpjk.pu.go.id/search-badan-usaha-detail/TDR6cFpPK0cvWmdKUC9oSVRocFFxQT09</t>
        </is>
      </c>
      <c r="F87" t="n">
        <v>1</v>
      </c>
      <c r="G87" t="inlineStr">
        <is>
          <t>RK003</t>
        </is>
      </c>
      <c r="H87" t="inlineStr">
        <is>
          <t>21 April 2008</t>
        </is>
      </c>
      <c r="I87" s="2" t="n">
        <v>46310</v>
      </c>
      <c r="J87" t="inlineStr">
        <is>
          <t>Disetujui</t>
        </is>
      </c>
      <c r="K87" t="n">
        <v>30</v>
      </c>
      <c r="L87" t="inlineStr">
        <is>
          <t>15 Oktober 2026</t>
        </is>
      </c>
      <c r="M87" t="inlineStr">
        <is>
          <t>Jasa Rekayasa Pekerjaan Teknik Sipil Transportasi</t>
        </is>
      </c>
      <c r="N87" t="inlineStr">
        <is>
          <t>M</t>
        </is>
      </c>
      <c r="O87" t="inlineStr">
        <is>
          <t>20231004</t>
        </is>
      </c>
      <c r="P87" t="inlineStr">
        <is>
          <t>Kalimantan Timur</t>
        </is>
      </c>
      <c r="Q8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2026-09-15T02:26:37Z</dcterms:created>
  <dcterms:modified xsi:type="dcterms:W3CDTF">2026-09-15T02:26:37Z</dcterms:modified>
</cp:coreProperties>
</file>