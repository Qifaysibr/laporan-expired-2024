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cols>
    <col width="34" customWidth="1" min="1" max="1"/>
    <col width="27" customWidth="1" min="2" max="2"/>
    <col width="16" customWidth="1" min="3" max="3"/>
    <col width="39" customWidth="1" min="4" max="4"/>
    <col width="50" customWidth="1" min="5" max="5"/>
    <col width="18" customWidth="1" min="6" max="6"/>
    <col width="49" customWidth="1" min="7" max="7"/>
    <col width="20" customWidth="1" min="8" max="8"/>
    <col width="28" customWidth="1" min="9" max="9"/>
    <col width="34" customWidth="1" min="10" max="10"/>
    <col width="11" customWidth="1" min="11" max="11"/>
    <col width="17" customWidth="1" min="12" max="12"/>
    <col width="50" customWidth="1" min="13" max="13"/>
    <col width="14"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BHAYU CIPTA DANA</t>
        </is>
      </c>
      <c r="B2" t="inlineStr">
        <is>
          <t>Kota Bekasi</t>
        </is>
      </c>
      <c r="C2" t="inlineStr">
        <is>
          <t>0218644961</t>
        </is>
      </c>
      <c r="D2" t="inlineStr">
        <is>
          <t>ptbcd@yahoo.co.id</t>
        </is>
      </c>
      <c r="E2" t="inlineStr">
        <is>
          <t>https://lpjk.pu.go.id/search-badan-usaha-detail/TlBBV0ZvcUFuaWJBSGs0K05GVEhHUT09</t>
        </is>
      </c>
      <c r="F2" t="n">
        <v>1</v>
      </c>
      <c r="G2" t="inlineStr">
        <is>
          <t>BG003</t>
        </is>
      </c>
      <c r="H2" t="inlineStr">
        <is>
          <t>11 Mei 2005</t>
        </is>
      </c>
      <c r="I2" s="2" t="n">
        <v>46359</v>
      </c>
      <c r="J2" t="inlineStr">
        <is>
          <t>Disetujui</t>
        </is>
      </c>
      <c r="K2" t="n">
        <v>87</v>
      </c>
      <c r="L2" t="inlineStr">
        <is>
          <t>3 Desember 2026</t>
        </is>
      </c>
      <c r="M2" t="inlineStr">
        <is>
          <t>Konstruksi Gedung Industri</t>
        </is>
      </c>
      <c r="N2" t="inlineStr">
        <is>
          <t>K</t>
        </is>
      </c>
      <c r="O2" t="inlineStr">
        <is>
          <t>20231124</t>
        </is>
      </c>
      <c r="P2" t="inlineStr">
        <is>
          <t>Jawa Barat</t>
        </is>
      </c>
      <c r="Q2" t="inlineStr"/>
    </row>
    <row r="3">
      <c r="A3" t="inlineStr">
        <is>
          <t>ERA CAKRAWALA INDONESIA</t>
        </is>
      </c>
      <c r="B3" t="inlineStr">
        <is>
          <t>Kab. Bogor</t>
        </is>
      </c>
      <c r="C3" t="inlineStr">
        <is>
          <t>02122757300</t>
        </is>
      </c>
      <c r="D3" t="inlineStr">
        <is>
          <t>sales@eracakrawalaindonesia.co.id</t>
        </is>
      </c>
      <c r="E3" t="inlineStr">
        <is>
          <t>https://lpjk.pu.go.id/search-badan-usaha-detail/dkVzbDJvSGU2VWVXcmdXRFJHT3hUdz09</t>
        </is>
      </c>
      <c r="F3" t="n">
        <v>1</v>
      </c>
      <c r="G3" t="inlineStr">
        <is>
          <t>BG002</t>
        </is>
      </c>
      <c r="H3" t="inlineStr">
        <is>
          <t>14 Oktober 2014</t>
        </is>
      </c>
      <c r="I3" s="2" t="n">
        <v>46359</v>
      </c>
      <c r="J3" t="inlineStr">
        <is>
          <t>Pembekuan</t>
        </is>
      </c>
      <c r="K3" t="n">
        <v>87</v>
      </c>
      <c r="L3" t="inlineStr">
        <is>
          <t>3 Desember 2026</t>
        </is>
      </c>
      <c r="M3" t="inlineStr">
        <is>
          <t>Konstruksi Gedung Perkantoran</t>
        </is>
      </c>
      <c r="N3" t="inlineStr">
        <is>
          <t>M</t>
        </is>
      </c>
      <c r="O3" t="inlineStr">
        <is>
          <t>20231201</t>
        </is>
      </c>
      <c r="P3" t="inlineStr">
        <is>
          <t>Jawa Barat</t>
        </is>
      </c>
      <c r="Q3" t="inlineStr"/>
    </row>
    <row r="4">
      <c r="A4" t="inlineStr">
        <is>
          <t>INDO BUANA</t>
        </is>
      </c>
      <c r="B4" t="inlineStr">
        <is>
          <t>Kab. Bogor</t>
        </is>
      </c>
      <c r="C4" t="inlineStr">
        <is>
          <t>37030301</t>
        </is>
      </c>
      <c r="D4" t="inlineStr">
        <is>
          <t>indo.buana@yahoo.com</t>
        </is>
      </c>
      <c r="E4" t="inlineStr">
        <is>
          <t>https://lpjk.pu.go.id/search-badan-usaha-detail/US9BbGMwT2tpc2JDYnFuVnJ2eG5Zdz09</t>
        </is>
      </c>
      <c r="F4" t="n">
        <v>5</v>
      </c>
      <c r="G4" t="inlineStr">
        <is>
          <t>BG001, BG002, BG005, BG006, BG007</t>
        </is>
      </c>
      <c r="H4" t="inlineStr">
        <is>
          <t>12 Mei 2009</t>
        </is>
      </c>
      <c r="I4" s="2" t="n">
        <v>46359</v>
      </c>
      <c r="J4" t="inlineStr">
        <is>
          <t>Disetujui</t>
        </is>
      </c>
      <c r="K4" t="n">
        <v>87</v>
      </c>
      <c r="L4" t="inlineStr">
        <is>
          <t>3 Desember 2026</t>
        </is>
      </c>
      <c r="M4" t="inlineStr">
        <is>
          <t>Konstruksi Gedung Hunian, Konstruksi Gedung Kesehatan, Konstruksi Gedung Pendidikan, Konstruksi Gedung Penginapan, Konstruksi Gedung Perkantoran</t>
        </is>
      </c>
      <c r="N4" t="inlineStr">
        <is>
          <t>K</t>
        </is>
      </c>
      <c r="O4" t="inlineStr">
        <is>
          <t>20231204</t>
        </is>
      </c>
      <c r="P4" t="inlineStr">
        <is>
          <t>Jawa Barat</t>
        </is>
      </c>
      <c r="Q4" t="inlineStr"/>
    </row>
    <row r="5">
      <c r="A5" t="inlineStr">
        <is>
          <t>MUSTIKA MULYAGUNA</t>
        </is>
      </c>
      <c r="B5" t="inlineStr">
        <is>
          <t>Kab. Bekasi</t>
        </is>
      </c>
      <c r="C5" t="inlineStr">
        <is>
          <t>081220645713</t>
        </is>
      </c>
      <c r="D5" t="inlineStr">
        <is>
          <t>mustikamulyaguna@yahoo.com</t>
        </is>
      </c>
      <c r="E5" t="inlineStr">
        <is>
          <t>https://lpjk.pu.go.id/search-badan-usaha-detail/Um5BUFdrZ2JSdkNIRmFhZmpiVzNNQT09</t>
        </is>
      </c>
      <c r="F5" t="n">
        <v>3</v>
      </c>
      <c r="G5" t="inlineStr">
        <is>
          <t>BG001, BG002, BG003</t>
        </is>
      </c>
      <c r="H5" t="inlineStr">
        <is>
          <t>30 Juli 2011</t>
        </is>
      </c>
      <c r="I5" s="2" t="n">
        <v>46359</v>
      </c>
      <c r="J5" t="inlineStr">
        <is>
          <t>Disetujui</t>
        </is>
      </c>
      <c r="K5" t="n">
        <v>87</v>
      </c>
      <c r="L5" t="inlineStr">
        <is>
          <t>3 Desember 2026</t>
        </is>
      </c>
      <c r="M5" t="inlineStr">
        <is>
          <t>Konstruksi Gedung Hunian, Konstruksi Gedung Industri, Konstruksi Gedung Perkantoran</t>
        </is>
      </c>
      <c r="N5" t="inlineStr">
        <is>
          <t>K</t>
        </is>
      </c>
      <c r="O5" t="inlineStr">
        <is>
          <t>20231130, 20231205</t>
        </is>
      </c>
      <c r="P5" t="inlineStr">
        <is>
          <t>Jawa Barat</t>
        </is>
      </c>
      <c r="Q5" s="3">
        <f>HYPERLINK("https://wa.me/6281220645713?text=Selamat siang Bapak/Ibu pimpinan MUSTIKA MULYAGUNA,%0A%0ASemoga Bapak/Ibu dalam keadaan baik.%0ABerdasarkan data LPJK, masa berlaku SBU perusahaan Bapak/Ibu akan berakhir sekitar 3 bulan lagi (pada 3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TELADAN</t>
        </is>
      </c>
      <c r="B6" t="inlineStr">
        <is>
          <t>Kota Bogor</t>
        </is>
      </c>
      <c r="C6" t="inlineStr">
        <is>
          <t>081973032959</t>
        </is>
      </c>
      <c r="D6" t="inlineStr">
        <is>
          <t>cvteladan@gmail.com</t>
        </is>
      </c>
      <c r="E6" t="inlineStr">
        <is>
          <t>https://lpjk.pu.go.id/search-badan-usaha-detail/cWFSNjI3NHArSlNjaVNsSlpBYXkyQT09</t>
        </is>
      </c>
      <c r="F6" t="n">
        <v>2</v>
      </c>
      <c r="G6" t="inlineStr">
        <is>
          <t>BG005, BG006</t>
        </is>
      </c>
      <c r="H6" t="inlineStr">
        <is>
          <t>18 September 1987</t>
        </is>
      </c>
      <c r="I6" s="2" t="n">
        <v>46359</v>
      </c>
      <c r="J6" t="inlineStr">
        <is>
          <t>Disetujui</t>
        </is>
      </c>
      <c r="K6" t="n">
        <v>87</v>
      </c>
      <c r="L6" t="inlineStr">
        <is>
          <t>3 Desember 2026</t>
        </is>
      </c>
      <c r="M6" t="inlineStr">
        <is>
          <t>Konstruksi Gedung Kesehatan, Konstruksi Gedung Pendidikan</t>
        </is>
      </c>
      <c r="N6" t="inlineStr">
        <is>
          <t>K</t>
        </is>
      </c>
      <c r="O6" t="inlineStr">
        <is>
          <t>20231204</t>
        </is>
      </c>
      <c r="P6" t="inlineStr">
        <is>
          <t>Jawa Barat</t>
        </is>
      </c>
      <c r="Q6" s="3">
        <f>HYPERLINK("https://wa.me/6281973032959?text=Selamat siang Bapak/Ibu pimpinan TELADAN,%0A%0ASemoga Bapak/Ibu dalam keadaan baik.%0ABerdasarkan data LPJK, masa berlaku SBU perusahaan Bapak/Ibu akan berakhir sekitar 3 bulan lagi (pada 3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ALBANNA BUTUNI ENGINEERING</t>
        </is>
      </c>
      <c r="B7" t="inlineStr">
        <is>
          <t>Kota Bau Bau</t>
        </is>
      </c>
      <c r="C7" t="inlineStr">
        <is>
          <t>082395388881</t>
        </is>
      </c>
      <c r="D7" t="inlineStr">
        <is>
          <t>albannabutuniengineering@gmail.com</t>
        </is>
      </c>
      <c r="E7" t="inlineStr">
        <is>
          <t>https://lpjk.pu.go.id/search-badan-usaha-detail/WEhlMTJZV1JrbHJoK0wvMFdzSWFmZz09</t>
        </is>
      </c>
      <c r="F7" t="n">
        <v>3</v>
      </c>
      <c r="G7" t="inlineStr">
        <is>
          <t>RK001, RK002, RK003</t>
        </is>
      </c>
      <c r="H7" t="inlineStr">
        <is>
          <t>8 November 2023</t>
        </is>
      </c>
      <c r="I7" s="2" t="n">
        <v>46359</v>
      </c>
      <c r="J7" t="inlineStr">
        <is>
          <t>Disetujui</t>
        </is>
      </c>
      <c r="K7" t="n">
        <v>87</v>
      </c>
      <c r="L7" t="inlineStr">
        <is>
          <t>3 Desember 2026</t>
        </is>
      </c>
      <c r="M7" t="inlineStr">
        <is>
          <t>Jasa Rekayasa Konstruksi Bangunan Gedung Hunian dan Non Hunian, Jasa Rekayasa Pekerjaan Teknik Sipil Sumber Daya Air, Jasa Rekayasa Pekerjaan Teknik Sipil Transportasi</t>
        </is>
      </c>
      <c r="N7" t="inlineStr">
        <is>
          <t>K</t>
        </is>
      </c>
      <c r="O7" t="inlineStr">
        <is>
          <t>20231109</t>
        </is>
      </c>
      <c r="P7" t="inlineStr">
        <is>
          <t>Sulawesi Tenggara</t>
        </is>
      </c>
      <c r="Q7" t="inlineStr"/>
    </row>
    <row r="8">
      <c r="A8" t="inlineStr">
        <is>
          <t>ALFATHAR MANDIRI SUKSES</t>
        </is>
      </c>
      <c r="B8" t="inlineStr">
        <is>
          <t>Kota Kendari</t>
        </is>
      </c>
      <c r="C8" t="inlineStr">
        <is>
          <t>-</t>
        </is>
      </c>
      <c r="D8" t="inlineStr">
        <is>
          <t>cv.alfatharmandirisukses@gmail.com</t>
        </is>
      </c>
      <c r="E8" t="inlineStr">
        <is>
          <t>https://lpjk.pu.go.id/search-badan-usaha-detail/bHFBcHh1US9sQXlVQTdrWTQrT1dkZz09</t>
        </is>
      </c>
      <c r="F8" t="n">
        <v>15</v>
      </c>
      <c r="G8" t="inlineStr">
        <is>
          <t>BG002, BG005, BG006, BG009, BS001</t>
        </is>
      </c>
      <c r="H8" t="inlineStr">
        <is>
          <t>12 Oktober 2020</t>
        </is>
      </c>
      <c r="I8" s="2" t="n">
        <v>46359</v>
      </c>
      <c r="J8" t="inlineStr">
        <is>
          <t>Disetujui, Pencabutan</t>
        </is>
      </c>
      <c r="K8" t="n">
        <v>87</v>
      </c>
      <c r="L8" t="inlineStr">
        <is>
          <t>3 Desember 2026</t>
        </is>
      </c>
      <c r="M8" t="inlineStr">
        <is>
          <t>Konstruksi Bangunan Sipil Jalan, Konstruksi Gedung Kesehatan, Konstruksi Gedung Lainnya, Konstruksi Gedung Pendidikan, Konstruksi Gedung Perkantoran</t>
        </is>
      </c>
      <c r="N8" t="inlineStr">
        <is>
          <t>K</t>
        </is>
      </c>
      <c r="O8" t="inlineStr">
        <is>
          <t>20231204</t>
        </is>
      </c>
      <c r="P8" t="inlineStr">
        <is>
          <t>Sulawesi Tenggara</t>
        </is>
      </c>
      <c r="Q8" t="inlineStr"/>
    </row>
    <row r="9">
      <c r="A9" t="inlineStr">
        <is>
          <t>ANDIRA KONSTRUKSI</t>
        </is>
      </c>
      <c r="B9" t="inlineStr">
        <is>
          <t>Kota Palembang</t>
        </is>
      </c>
      <c r="C9" t="inlineStr">
        <is>
          <t>081373798642</t>
        </is>
      </c>
      <c r="D9" t="inlineStr">
        <is>
          <t>cv.andirakonstruksi@gmail.com</t>
        </is>
      </c>
      <c r="E9" t="inlineStr">
        <is>
          <t>https://lpjk.pu.go.id/search-badan-usaha-detail/SmxvUTQ0TUxBbTJZbnA3bDd3NGhzQT09</t>
        </is>
      </c>
      <c r="F9" t="n">
        <v>2</v>
      </c>
      <c r="G9" t="inlineStr">
        <is>
          <t>RK001</t>
        </is>
      </c>
      <c r="H9" t="inlineStr">
        <is>
          <t>28 Januari 2010</t>
        </is>
      </c>
      <c r="I9" s="2" t="n">
        <v>46359</v>
      </c>
      <c r="J9" t="inlineStr">
        <is>
          <t>Disetujui</t>
        </is>
      </c>
      <c r="K9" t="n">
        <v>87</v>
      </c>
      <c r="L9" t="inlineStr">
        <is>
          <t>3 Desember 2026</t>
        </is>
      </c>
      <c r="M9" t="inlineStr">
        <is>
          <t>Jasa Rekayasa Konstruksi Bangunan Gedung Hunian dan Non Hunian</t>
        </is>
      </c>
      <c r="N9" t="inlineStr">
        <is>
          <t>K</t>
        </is>
      </c>
      <c r="O9" t="inlineStr">
        <is>
          <t>20231121</t>
        </is>
      </c>
      <c r="P9" t="inlineStr">
        <is>
          <t>Sumatera Selatan</t>
        </is>
      </c>
      <c r="Q9" t="inlineStr"/>
    </row>
    <row r="10">
      <c r="A10" t="inlineStr">
        <is>
          <t>ANUGERAH AMAR SEJAHTERA</t>
        </is>
      </c>
      <c r="B10" t="inlineStr">
        <is>
          <t>Kota Dumai</t>
        </is>
      </c>
      <c r="C10" t="inlineStr">
        <is>
          <t>081371934333</t>
        </is>
      </c>
      <c r="D10" t="inlineStr">
        <is>
          <t>anugerahs906@gmail.com</t>
        </is>
      </c>
      <c r="E10" t="inlineStr">
        <is>
          <t>https://lpjk.pu.go.id/search-badan-usaha-detail/MW9WdGo1d1gxbHk4bDdIYkljQW9JQT09</t>
        </is>
      </c>
      <c r="F10" t="n">
        <v>2</v>
      </c>
      <c r="G10" t="inlineStr">
        <is>
          <t>BG001, BG006</t>
        </is>
      </c>
      <c r="H10" t="inlineStr">
        <is>
          <t>13 April 2020</t>
        </is>
      </c>
      <c r="I10" s="2" t="n">
        <v>46359</v>
      </c>
      <c r="J10" t="inlineStr">
        <is>
          <t>Disetujui</t>
        </is>
      </c>
      <c r="K10" t="n">
        <v>87</v>
      </c>
      <c r="L10" t="inlineStr">
        <is>
          <t>3 Desember 2026</t>
        </is>
      </c>
      <c r="M10" t="inlineStr">
        <is>
          <t>Konstruksi Gedung Hunian, Konstruksi Gedung Pendidikan</t>
        </is>
      </c>
      <c r="N10" t="inlineStr">
        <is>
          <t>K</t>
        </is>
      </c>
      <c r="O10" t="inlineStr">
        <is>
          <t>20231110</t>
        </is>
      </c>
      <c r="P10" t="inlineStr">
        <is>
          <t>Riau</t>
        </is>
      </c>
      <c r="Q10" t="inlineStr"/>
    </row>
    <row r="11">
      <c r="A11" t="inlineStr">
        <is>
          <t>ANUGERAH CARAKA MANGGALA</t>
        </is>
      </c>
      <c r="B11" t="inlineStr">
        <is>
          <t>Kota Tangerang</t>
        </is>
      </c>
      <c r="C11" t="inlineStr">
        <is>
          <t>082299311010</t>
        </is>
      </c>
      <c r="D11" t="inlineStr">
        <is>
          <t>pt.anugerahcarakamanggala@gmail.com</t>
        </is>
      </c>
      <c r="E11" t="inlineStr">
        <is>
          <t>https://lpjk.pu.go.id/search-badan-usaha-detail/ZUNmd1FzTEZFVHMyVUp3NUdBZ3hTdz09</t>
        </is>
      </c>
      <c r="F11" t="n">
        <v>3</v>
      </c>
      <c r="G11" t="inlineStr">
        <is>
          <t>BG005, BS005, BS006</t>
        </is>
      </c>
      <c r="H11" t="inlineStr">
        <is>
          <t>26 November 2020</t>
        </is>
      </c>
      <c r="I11" s="2" t="n">
        <v>46359</v>
      </c>
      <c r="J11" t="inlineStr">
        <is>
          <t>Disetujui</t>
        </is>
      </c>
      <c r="K11" t="n">
        <v>87</v>
      </c>
      <c r="L11" t="inlineStr">
        <is>
          <t>3 Desember 2026</t>
        </is>
      </c>
      <c r="M11" t="inlineStr">
        <is>
          <t>Konstruksi Bangunan Sipil Pengolahan Air Bersih, Konstruksi Bangunan Sipil Prasarana dan Sarana Sistem Pengolahan Limbah Padat, Cair, dan Gas, Konstruksi Gedung Kesehatan</t>
        </is>
      </c>
      <c r="N11" t="inlineStr">
        <is>
          <t>K</t>
        </is>
      </c>
      <c r="O11" t="inlineStr">
        <is>
          <t>20231127, 20231203</t>
        </is>
      </c>
      <c r="P11" t="inlineStr">
        <is>
          <t>Banten</t>
        </is>
      </c>
      <c r="Q11" t="inlineStr"/>
    </row>
    <row r="12">
      <c r="A12" t="inlineStr">
        <is>
          <t>ANUGERAH RIZKY BERSAMA</t>
        </is>
      </c>
      <c r="B12" t="inlineStr">
        <is>
          <t>Kota Medan</t>
        </is>
      </c>
      <c r="C12" t="inlineStr">
        <is>
          <t>081210313346</t>
        </is>
      </c>
      <c r="D12" t="inlineStr">
        <is>
          <t>anugeahrizky.bersama21@gmail.com</t>
        </is>
      </c>
      <c r="E12" t="inlineStr">
        <is>
          <t>https://lpjk.pu.go.id/search-badan-usaha-detail/UG81bkpDcVlvM28wdFNkMmQ4c2RTUT09</t>
        </is>
      </c>
      <c r="F12" t="n">
        <v>1</v>
      </c>
      <c r="G12" t="inlineStr">
        <is>
          <t>BS004</t>
        </is>
      </c>
      <c r="H12" t="inlineStr">
        <is>
          <t>4 September 2023</t>
        </is>
      </c>
      <c r="I12" s="2" t="n">
        <v>46359</v>
      </c>
      <c r="J12" t="inlineStr">
        <is>
          <t>Pencabutan</t>
        </is>
      </c>
      <c r="K12" t="n">
        <v>87</v>
      </c>
      <c r="L12" t="inlineStr">
        <is>
          <t>3 Desember 2026</t>
        </is>
      </c>
      <c r="M12" t="inlineStr">
        <is>
          <t>Konstruksi Jaringan Irigasi dan Drainase</t>
        </is>
      </c>
      <c r="N12" t="inlineStr">
        <is>
          <t>K</t>
        </is>
      </c>
      <c r="O12" t="inlineStr">
        <is>
          <t>20231202</t>
        </is>
      </c>
      <c r="P12" t="inlineStr">
        <is>
          <t>Sumatera Utara</t>
        </is>
      </c>
      <c r="Q12" t="inlineStr"/>
    </row>
    <row r="13">
      <c r="A13" t="inlineStr">
        <is>
          <t>ARGO TUHU</t>
        </is>
      </c>
      <c r="B13" t="inlineStr">
        <is>
          <t>Kab. Banyuwangi</t>
        </is>
      </c>
      <c r="C13" t="inlineStr">
        <is>
          <t>03333910072</t>
        </is>
      </c>
      <c r="D13" t="inlineStr">
        <is>
          <t>pt.argotuhu@gmail.com</t>
        </is>
      </c>
      <c r="E13" t="inlineStr">
        <is>
          <t>https://lpjk.pu.go.id/search-badan-usaha-detail/MXpFMXlLOVo4cjVpdzNSc1ZnUFg0dz09</t>
        </is>
      </c>
      <c r="F13" t="n">
        <v>1</v>
      </c>
      <c r="G13" t="inlineStr">
        <is>
          <t>BS001</t>
        </is>
      </c>
      <c r="H13" t="inlineStr">
        <is>
          <t>5 Februari 2004</t>
        </is>
      </c>
      <c r="I13" s="2" t="n">
        <v>46359</v>
      </c>
      <c r="J13" t="inlineStr">
        <is>
          <t>Pembekuan</t>
        </is>
      </c>
      <c r="K13" t="n">
        <v>87</v>
      </c>
      <c r="L13" t="inlineStr">
        <is>
          <t>3 Desember 2026</t>
        </is>
      </c>
      <c r="M13" t="inlineStr">
        <is>
          <t>Konstruksi Bangunan Sipil Jalan</t>
        </is>
      </c>
      <c r="N13" t="inlineStr">
        <is>
          <t>M</t>
        </is>
      </c>
      <c r="O13" t="inlineStr">
        <is>
          <t>20231201</t>
        </is>
      </c>
      <c r="P13" t="inlineStr">
        <is>
          <t>Jawa Timur</t>
        </is>
      </c>
      <c r="Q13" t="inlineStr"/>
    </row>
    <row r="14">
      <c r="A14" t="inlineStr">
        <is>
          <t>ARIQ CONTRAKTOR</t>
        </is>
      </c>
      <c r="B14" t="inlineStr">
        <is>
          <t>Kota Jambi</t>
        </is>
      </c>
      <c r="C14" t="inlineStr">
        <is>
          <t>08117497212</t>
        </is>
      </c>
      <c r="D14" t="inlineStr">
        <is>
          <t>cv.ariqcontraktor69@gmail.com</t>
        </is>
      </c>
      <c r="E14" t="inlineStr">
        <is>
          <t>https://lpjk.pu.go.id/search-badan-usaha-detail/V3J2bk16NXo5NlZHZmg4dG5uS1hQUT09</t>
        </is>
      </c>
      <c r="F14" t="n">
        <v>1</v>
      </c>
      <c r="G14" t="inlineStr">
        <is>
          <t>BS001</t>
        </is>
      </c>
      <c r="H14" t="inlineStr">
        <is>
          <t>16 Maret 2001</t>
        </is>
      </c>
      <c r="I14" s="2" t="n">
        <v>46359</v>
      </c>
      <c r="J14" t="inlineStr">
        <is>
          <t>Disetujui</t>
        </is>
      </c>
      <c r="K14" t="n">
        <v>87</v>
      </c>
      <c r="L14" t="inlineStr">
        <is>
          <t>3 Desember 2026</t>
        </is>
      </c>
      <c r="M14" t="inlineStr">
        <is>
          <t>Konstruksi Bangunan Sipil Jalan</t>
        </is>
      </c>
      <c r="N14" t="inlineStr">
        <is>
          <t>K</t>
        </is>
      </c>
      <c r="O14" t="inlineStr">
        <is>
          <t>20231201</t>
        </is>
      </c>
      <c r="P14" t="inlineStr">
        <is>
          <t>Jambi</t>
        </is>
      </c>
      <c r="Q14" t="inlineStr"/>
    </row>
    <row r="15">
      <c r="A15" t="inlineStr">
        <is>
          <t>ASANO MANDIRI</t>
        </is>
      </c>
      <c r="B15" t="inlineStr">
        <is>
          <t>Kota Jayapura</t>
        </is>
      </c>
      <c r="C15" t="inlineStr">
        <is>
          <t>022</t>
        </is>
      </c>
      <c r="D15" t="inlineStr">
        <is>
          <t>asanomandiri@gmail.com</t>
        </is>
      </c>
      <c r="E15" t="inlineStr">
        <is>
          <t>https://lpjk.pu.go.id/search-badan-usaha-detail/ZW1KcytEdXAvWmZvVVJuWGpJc1psUT09</t>
        </is>
      </c>
      <c r="F15" t="n">
        <v>4</v>
      </c>
      <c r="G15" t="inlineStr">
        <is>
          <t>BG001, BG007, BS001, BS002</t>
        </is>
      </c>
      <c r="H15" t="inlineStr">
        <is>
          <t>15 November 2019</t>
        </is>
      </c>
      <c r="I15" s="2" t="n">
        <v>46359</v>
      </c>
      <c r="J15" t="inlineStr">
        <is>
          <t>Disetujui</t>
        </is>
      </c>
      <c r="K15" t="n">
        <v>87</v>
      </c>
      <c r="L15" t="inlineStr">
        <is>
          <t>3 Desember 2026</t>
        </is>
      </c>
      <c r="M15" t="inlineStr">
        <is>
          <t>Bangunan Sipil Jembatan, Jalan Layang, Fly Over, dan Underpass, Konstruksi Bangunan Sipil Jalan, Konstruksi Gedung Hunian, Konstruksi Gedung Penginapan</t>
        </is>
      </c>
      <c r="N15" t="inlineStr">
        <is>
          <t>K</t>
        </is>
      </c>
      <c r="O15" t="inlineStr">
        <is>
          <t>20231122, 20231123, 20231125</t>
        </is>
      </c>
      <c r="P15" t="inlineStr">
        <is>
          <t>Papua</t>
        </is>
      </c>
      <c r="Q15" t="inlineStr"/>
    </row>
    <row r="16">
      <c r="A16" t="inlineStr">
        <is>
          <t>AULIYAH SASMITA</t>
        </is>
      </c>
      <c r="B16" t="inlineStr">
        <is>
          <t>Kota Pasuruan</t>
        </is>
      </c>
      <c r="C16" t="inlineStr">
        <is>
          <t>+6282311109687</t>
        </is>
      </c>
      <c r="D16" t="inlineStr">
        <is>
          <t>auliyahsasmita@gmail.com</t>
        </is>
      </c>
      <c r="E16" t="inlineStr">
        <is>
          <t>https://lpjk.pu.go.id/search-badan-usaha-detail/b3B2NUNPbW96ZExKbFBHS29rbWVVUT09</t>
        </is>
      </c>
      <c r="F16" t="n">
        <v>2</v>
      </c>
      <c r="G16" t="inlineStr">
        <is>
          <t>BG002, BG004</t>
        </is>
      </c>
      <c r="H16" t="inlineStr">
        <is>
          <t>12 April 2022</t>
        </is>
      </c>
      <c r="I16" s="2" t="n">
        <v>46359</v>
      </c>
      <c r="J16" t="inlineStr">
        <is>
          <t>Pencabutan</t>
        </is>
      </c>
      <c r="K16" t="n">
        <v>87</v>
      </c>
      <c r="L16" t="inlineStr">
        <is>
          <t>3 Desember 2026</t>
        </is>
      </c>
      <c r="M16" t="inlineStr">
        <is>
          <t>Konstruksi Gedung Perbelanjaan, Konstruksi Gedung Perkantoran</t>
        </is>
      </c>
      <c r="N16" t="inlineStr">
        <is>
          <t>K</t>
        </is>
      </c>
      <c r="O16" t="inlineStr">
        <is>
          <t>20231203</t>
        </is>
      </c>
      <c r="P16" t="inlineStr">
        <is>
          <t>Jawa Timur</t>
        </is>
      </c>
      <c r="Q16" t="inlineStr"/>
    </row>
    <row r="17">
      <c r="A17" t="inlineStr">
        <is>
          <t>BANGUN CIPTA MANDIRI</t>
        </is>
      </c>
      <c r="B17" t="inlineStr">
        <is>
          <t>Kab. Malang</t>
        </is>
      </c>
      <c r="C17" t="inlineStr">
        <is>
          <t>081249809639</t>
        </is>
      </c>
      <c r="D17" t="inlineStr">
        <is>
          <t>bangun_cipta_mandiri@yahoo.com</t>
        </is>
      </c>
      <c r="E17" t="inlineStr">
        <is>
          <t>https://lpjk.pu.go.id/search-badan-usaha-detail/enNScy9yOTJOckJnc2lYbGpiSHBrQT09</t>
        </is>
      </c>
      <c r="F17" t="n">
        <v>1</v>
      </c>
      <c r="G17" t="inlineStr">
        <is>
          <t>BG009</t>
        </is>
      </c>
      <c r="H17" t="inlineStr">
        <is>
          <t>30 Januari 2007</t>
        </is>
      </c>
      <c r="I17" s="2" t="n">
        <v>46359</v>
      </c>
      <c r="J17" t="inlineStr">
        <is>
          <t>Disetujui</t>
        </is>
      </c>
      <c r="K17" t="n">
        <v>87</v>
      </c>
      <c r="L17" t="inlineStr">
        <is>
          <t>3 Desember 2026</t>
        </is>
      </c>
      <c r="M17" t="inlineStr">
        <is>
          <t>Konstruksi Gedung Lainnya</t>
        </is>
      </c>
      <c r="N17" t="inlineStr">
        <is>
          <t>K</t>
        </is>
      </c>
      <c r="O17" t="inlineStr">
        <is>
          <t>20230117</t>
        </is>
      </c>
      <c r="P17" t="inlineStr">
        <is>
          <t>Jawa Timur</t>
        </is>
      </c>
      <c r="Q17" t="inlineStr"/>
    </row>
    <row r="18">
      <c r="A18" t="inlineStr">
        <is>
          <t>BANGUNINDO UTAMA</t>
        </is>
      </c>
      <c r="B18" t="inlineStr">
        <is>
          <t>Kota Makassar</t>
        </is>
      </c>
      <c r="C18" t="inlineStr">
        <is>
          <t>081257997850</t>
        </is>
      </c>
      <c r="D18" t="inlineStr">
        <is>
          <t>bangunindo.utama@gmail.com</t>
        </is>
      </c>
      <c r="E18" t="inlineStr">
        <is>
          <t>https://lpjk.pu.go.id/search-badan-usaha-detail/UUpDZkcyQjFLeXFZcTBycVBsZThzQT09</t>
        </is>
      </c>
      <c r="F18" t="n">
        <v>1</v>
      </c>
      <c r="G18" t="inlineStr">
        <is>
          <t>BS001</t>
        </is>
      </c>
      <c r="H18" t="inlineStr">
        <is>
          <t>9 Mei 2019</t>
        </is>
      </c>
      <c r="I18" s="2" t="n">
        <v>46359</v>
      </c>
      <c r="J18" t="inlineStr">
        <is>
          <t>Disetujui</t>
        </is>
      </c>
      <c r="K18" t="n">
        <v>87</v>
      </c>
      <c r="L18" t="inlineStr">
        <is>
          <t>3 Desember 2026</t>
        </is>
      </c>
      <c r="M18" t="inlineStr">
        <is>
          <t>Konstruksi Bangunan Sipil Jalan</t>
        </is>
      </c>
      <c r="N18" t="inlineStr">
        <is>
          <t>K</t>
        </is>
      </c>
      <c r="O18" t="inlineStr">
        <is>
          <t>20231129</t>
        </is>
      </c>
      <c r="P18" t="inlineStr">
        <is>
          <t>Sulawesi Selatan</t>
        </is>
      </c>
      <c r="Q18" t="inlineStr"/>
    </row>
    <row r="19">
      <c r="A19" t="inlineStr">
        <is>
          <t>BENTANG DIMENSI</t>
        </is>
      </c>
      <c r="B19" t="inlineStr">
        <is>
          <t>Kab. Bojonegoro</t>
        </is>
      </c>
      <c r="C19" t="inlineStr">
        <is>
          <t>082131113557</t>
        </is>
      </c>
      <c r="D19" t="inlineStr">
        <is>
          <t>cvbentangdimensi@gmail.com</t>
        </is>
      </c>
      <c r="E19" t="inlineStr">
        <is>
          <t>https://lpjk.pu.go.id/search-badan-usaha-detail/anNERVFjMmo0YlBnV2J1aFVBNTdDQT09</t>
        </is>
      </c>
      <c r="F19" t="n">
        <v>3</v>
      </c>
      <c r="G19" t="inlineStr">
        <is>
          <t>RK001, RK002, RK003</t>
        </is>
      </c>
      <c r="H19" t="inlineStr">
        <is>
          <t>8 Mei 2020</t>
        </is>
      </c>
      <c r="I19" s="2" t="n">
        <v>46359</v>
      </c>
      <c r="J19" t="inlineStr">
        <is>
          <t>Disetujui</t>
        </is>
      </c>
      <c r="K19" t="n">
        <v>87</v>
      </c>
      <c r="L19" t="inlineStr">
        <is>
          <t>3 Desember 2026</t>
        </is>
      </c>
      <c r="M19" t="inlineStr">
        <is>
          <t>Jasa Rekayasa Konstruksi Bangunan Gedung Hunian dan Non Hunian, Jasa Rekayasa Pekerjaan Teknik Sipil Sumber Daya Air, Jasa Rekayasa Pekerjaan Teknik Sipil Transportasi</t>
        </is>
      </c>
      <c r="N19" t="inlineStr">
        <is>
          <t>K</t>
        </is>
      </c>
      <c r="O19" t="inlineStr">
        <is>
          <t>20220325, 20220801</t>
        </is>
      </c>
      <c r="P19" t="inlineStr">
        <is>
          <t>Jawa Timur</t>
        </is>
      </c>
      <c r="Q19" t="inlineStr"/>
    </row>
    <row r="20">
      <c r="A20" t="inlineStr">
        <is>
          <t>BIMA SAKTI</t>
        </is>
      </c>
      <c r="B20" t="inlineStr">
        <is>
          <t>Kab. Bandung</t>
        </is>
      </c>
      <c r="C20" t="inlineStr">
        <is>
          <t>087822415390</t>
        </is>
      </c>
      <c r="D20" t="inlineStr">
        <is>
          <t>cvbimasakti@ymail.com</t>
        </is>
      </c>
      <c r="E20" t="inlineStr">
        <is>
          <t>https://lpjk.pu.go.id/search-badan-usaha-detail/d3EwQWxxQzJOMDlnQzBOcUM5VVNiZz09</t>
        </is>
      </c>
      <c r="F20" t="n">
        <v>1</v>
      </c>
      <c r="G20" t="inlineStr">
        <is>
          <t>BS006</t>
        </is>
      </c>
      <c r="H20" t="inlineStr">
        <is>
          <t>2 Oktober 1985</t>
        </is>
      </c>
      <c r="I20" s="2" t="n">
        <v>46359</v>
      </c>
      <c r="J20" t="inlineStr">
        <is>
          <t>Disetujui</t>
        </is>
      </c>
      <c r="K20" t="n">
        <v>87</v>
      </c>
      <c r="L20" t="inlineStr">
        <is>
          <t>3 Desember 2026</t>
        </is>
      </c>
      <c r="M20" t="inlineStr">
        <is>
          <t>Konstruksi Bangunan Sipil Prasarana dan Sarana Sistem Pengolahan Limbah Padat, Cair, dan Gas</t>
        </is>
      </c>
      <c r="N20" t="inlineStr">
        <is>
          <t>K</t>
        </is>
      </c>
      <c r="O20" t="inlineStr">
        <is>
          <t>20231201</t>
        </is>
      </c>
      <c r="P20" t="inlineStr">
        <is>
          <t>Jawa Barat</t>
        </is>
      </c>
      <c r="Q20" t="inlineStr"/>
    </row>
    <row r="21">
      <c r="A21" t="inlineStr">
        <is>
          <t>BINA ARSIR</t>
        </is>
      </c>
      <c r="B21" t="inlineStr">
        <is>
          <t>Kota Sorong</t>
        </is>
      </c>
      <c r="C21" t="inlineStr">
        <is>
          <t>081344065138</t>
        </is>
      </c>
      <c r="D21" t="inlineStr">
        <is>
          <t>pt.binaarsir@yahoo.co.id</t>
        </is>
      </c>
      <c r="E21" t="inlineStr">
        <is>
          <t>https://lpjk.pu.go.id/search-badan-usaha-detail/TUpKaEVnOXp5NnFXSk5Lc3pWajJBZz09</t>
        </is>
      </c>
      <c r="F21" t="n">
        <v>1</v>
      </c>
      <c r="G21" t="inlineStr">
        <is>
          <t>RK001</t>
        </is>
      </c>
      <c r="H21" t="inlineStr">
        <is>
          <t>20 November 1985</t>
        </is>
      </c>
      <c r="I21" s="2" t="n">
        <v>46359</v>
      </c>
      <c r="J21" t="inlineStr">
        <is>
          <t>Disetujui</t>
        </is>
      </c>
      <c r="K21" t="n">
        <v>87</v>
      </c>
      <c r="L21" t="inlineStr">
        <is>
          <t>3 Desember 2026</t>
        </is>
      </c>
      <c r="M21" t="inlineStr">
        <is>
          <t>Jasa Rekayasa Konstruksi Bangunan Gedung Hunian dan Non Hunian</t>
        </is>
      </c>
      <c r="N21" t="inlineStr">
        <is>
          <t>K</t>
        </is>
      </c>
      <c r="O21" t="inlineStr">
        <is>
          <t>20231017</t>
        </is>
      </c>
      <c r="P21" t="inlineStr">
        <is>
          <t>Papua Barat</t>
        </is>
      </c>
      <c r="Q21" t="inlineStr"/>
    </row>
    <row r="22">
      <c r="A22" t="inlineStr">
        <is>
          <t>BINA WARGA SEJAHTERA</t>
        </is>
      </c>
      <c r="B22" t="inlineStr">
        <is>
          <t>Kota Magelang</t>
        </is>
      </c>
      <c r="C22" t="inlineStr">
        <is>
          <t>081326718727</t>
        </is>
      </c>
      <c r="D22" t="inlineStr">
        <is>
          <t>binawargasejahtera.pt@gmail.com</t>
        </is>
      </c>
      <c r="E22" t="inlineStr">
        <is>
          <t>https://lpjk.pu.go.id/search-badan-usaha-detail/UFlMT0dXM1QydHFoNCs0eXpHU3pJZz09</t>
        </is>
      </c>
      <c r="F22" t="n">
        <v>2</v>
      </c>
      <c r="G22" t="inlineStr">
        <is>
          <t>BG005, BG006</t>
        </is>
      </c>
      <c r="H22" t="inlineStr">
        <is>
          <t>16 Juni 2008</t>
        </is>
      </c>
      <c r="I22" s="2" t="n">
        <v>46359</v>
      </c>
      <c r="J22" t="inlineStr">
        <is>
          <t>Disetujui</t>
        </is>
      </c>
      <c r="K22" t="n">
        <v>87</v>
      </c>
      <c r="L22" t="inlineStr">
        <is>
          <t>3 Desember 2026</t>
        </is>
      </c>
      <c r="M22" t="inlineStr">
        <is>
          <t>Konstruksi Gedung Kesehatan, Konstruksi Gedung Pendidikan</t>
        </is>
      </c>
      <c r="N22" t="inlineStr">
        <is>
          <t>K</t>
        </is>
      </c>
      <c r="O22" t="inlineStr">
        <is>
          <t>20231204</t>
        </is>
      </c>
      <c r="P22" t="inlineStr">
        <is>
          <t>Jawa Tengah</t>
        </is>
      </c>
      <c r="Q22" t="inlineStr"/>
    </row>
    <row r="23">
      <c r="A23" t="inlineStr">
        <is>
          <t>BRAVO LESTARI</t>
        </is>
      </c>
      <c r="B23" t="inlineStr">
        <is>
          <t>Kota Pontianak</t>
        </is>
      </c>
      <c r="C23" t="inlineStr">
        <is>
          <t>081257111156</t>
        </is>
      </c>
      <c r="D23" t="inlineStr">
        <is>
          <t>bravolestari99@gmail.com</t>
        </is>
      </c>
      <c r="E23" t="inlineStr">
        <is>
          <t>https://lpjk.pu.go.id/search-badan-usaha-detail/ajhyQWJLZHJjaU1jOEZiOFJaZHBPZz09</t>
        </is>
      </c>
      <c r="F23" t="n">
        <v>4</v>
      </c>
      <c r="G23" t="inlineStr">
        <is>
          <t>BG001, BG009, BS001, BS004</t>
        </is>
      </c>
      <c r="H23" t="inlineStr">
        <is>
          <t>22 Juni 2012</t>
        </is>
      </c>
      <c r="I23" s="2" t="n">
        <v>46359</v>
      </c>
      <c r="J23" t="inlineStr">
        <is>
          <t>Disetujui</t>
        </is>
      </c>
      <c r="K23" t="n">
        <v>87</v>
      </c>
      <c r="L23" t="inlineStr">
        <is>
          <t>3 Desember 2026</t>
        </is>
      </c>
      <c r="M23" t="inlineStr">
        <is>
          <t>Konstruksi Bangunan Sipil Jalan, Konstruksi Gedung Hunian, Konstruksi Gedung Lainnya, Konstruksi Jaringan Irigasi dan Drainase</t>
        </is>
      </c>
      <c r="N23" t="inlineStr">
        <is>
          <t>K</t>
        </is>
      </c>
      <c r="O23" t="inlineStr">
        <is>
          <t>20231120</t>
        </is>
      </c>
      <c r="P23" t="inlineStr">
        <is>
          <t>Kalimantan Barat</t>
        </is>
      </c>
      <c r="Q23" t="inlineStr"/>
    </row>
    <row r="24">
      <c r="A24" t="inlineStr">
        <is>
          <t>BUKIT SION</t>
        </is>
      </c>
      <c r="B24" t="inlineStr">
        <is>
          <t>Kota Pematangsiantar</t>
        </is>
      </c>
      <c r="C24" t="inlineStr">
        <is>
          <t>82272271005</t>
        </is>
      </c>
      <c r="D24" t="inlineStr">
        <is>
          <t>ud_filbertjaya@yahoo.com</t>
        </is>
      </c>
      <c r="E24" t="inlineStr">
        <is>
          <t>https://lpjk.pu.go.id/search-badan-usaha-detail/Vk9JYyt3cHhldEF6VFA3QUdVWjgzUT09</t>
        </is>
      </c>
      <c r="F24" t="n">
        <v>1</v>
      </c>
      <c r="G24" t="inlineStr">
        <is>
          <t>BS001</t>
        </is>
      </c>
      <c r="H24" t="inlineStr">
        <is>
          <t>30 Juli 2020</t>
        </is>
      </c>
      <c r="I24" s="2" t="n">
        <v>46359</v>
      </c>
      <c r="J24" t="inlineStr">
        <is>
          <t>Disetujui</t>
        </is>
      </c>
      <c r="K24" t="n">
        <v>87</v>
      </c>
      <c r="L24" t="inlineStr">
        <is>
          <t>3 Desember 2026</t>
        </is>
      </c>
      <c r="M24" t="inlineStr">
        <is>
          <t>Konstruksi Bangunan Sipil Jalan</t>
        </is>
      </c>
      <c r="N24" t="inlineStr">
        <is>
          <t>K</t>
        </is>
      </c>
      <c r="O24" t="inlineStr">
        <is>
          <t>20231128</t>
        </is>
      </c>
      <c r="P24" t="inlineStr">
        <is>
          <t>Sumatera Utara</t>
        </is>
      </c>
      <c r="Q24" t="inlineStr"/>
    </row>
    <row r="25">
      <c r="A25" t="inlineStr">
        <is>
          <t>CAHAYA PERMATA ABADIJAYA</t>
        </is>
      </c>
      <c r="B25" t="inlineStr">
        <is>
          <t>Kota Medan</t>
        </is>
      </c>
      <c r="C25" t="inlineStr">
        <is>
          <t>082363385599</t>
        </is>
      </c>
      <c r="D25" t="inlineStr">
        <is>
          <t>cahayapermataabadijaya@yahoo.com</t>
        </is>
      </c>
      <c r="E25" t="inlineStr">
        <is>
          <t>https://lpjk.pu.go.id/search-badan-usaha-detail/T09zajJ3Szd5MXMzV094dzgvc0xiQT09</t>
        </is>
      </c>
      <c r="F25" t="n">
        <v>1</v>
      </c>
      <c r="G25" t="inlineStr">
        <is>
          <t>BG003</t>
        </is>
      </c>
      <c r="H25" t="inlineStr">
        <is>
          <t>21 Mei 2021</t>
        </is>
      </c>
      <c r="I25" s="2" t="n">
        <v>46359</v>
      </c>
      <c r="J25" t="inlineStr">
        <is>
          <t>Disetujui</t>
        </is>
      </c>
      <c r="K25" t="n">
        <v>87</v>
      </c>
      <c r="L25" t="inlineStr">
        <is>
          <t>3 Desember 2026</t>
        </is>
      </c>
      <c r="M25" t="inlineStr">
        <is>
          <t>Konstruksi Gedung Industri</t>
        </is>
      </c>
      <c r="N25" t="inlineStr">
        <is>
          <t>K</t>
        </is>
      </c>
      <c r="O25" t="inlineStr">
        <is>
          <t>20230614</t>
        </is>
      </c>
      <c r="P25" t="inlineStr">
        <is>
          <t>Sumatera Utara</t>
        </is>
      </c>
      <c r="Q25" t="inlineStr"/>
    </row>
    <row r="26">
      <c r="A26" t="inlineStr">
        <is>
          <t>CAHAYA RANTE TONDON</t>
        </is>
      </c>
      <c r="B26" t="inlineStr">
        <is>
          <t>Kota Jayapura</t>
        </is>
      </c>
      <c r="C26" t="inlineStr">
        <is>
          <t>082197795159</t>
        </is>
      </c>
      <c r="D26" t="inlineStr">
        <is>
          <t>ptrantetondon@gmail.com</t>
        </is>
      </c>
      <c r="E26" t="inlineStr">
        <is>
          <t>https://lpjk.pu.go.id/search-badan-usaha-detail/OGh2aHhNcmh2cU1vZXVEZWljNXJqdz09</t>
        </is>
      </c>
      <c r="F26" t="n">
        <v>1</v>
      </c>
      <c r="G26" t="inlineStr">
        <is>
          <t>BS001</t>
        </is>
      </c>
      <c r="H26" t="inlineStr">
        <is>
          <t>13 Januari 2017</t>
        </is>
      </c>
      <c r="I26" s="2" t="n">
        <v>46359</v>
      </c>
      <c r="J26" t="inlineStr">
        <is>
          <t>Pembekuan</t>
        </is>
      </c>
      <c r="K26" t="n">
        <v>87</v>
      </c>
      <c r="L26" t="inlineStr">
        <is>
          <t>3 Desember 2026</t>
        </is>
      </c>
      <c r="M26" t="inlineStr">
        <is>
          <t>Konstruksi Bangunan Sipil Jalan</t>
        </is>
      </c>
      <c r="N26" t="inlineStr">
        <is>
          <t>M</t>
        </is>
      </c>
      <c r="O26" t="inlineStr">
        <is>
          <t>20231204</t>
        </is>
      </c>
      <c r="P26" t="inlineStr">
        <is>
          <t>Papua</t>
        </is>
      </c>
      <c r="Q26" t="inlineStr"/>
    </row>
    <row r="27">
      <c r="A27" t="inlineStr">
        <is>
          <t>CV. MAWAR</t>
        </is>
      </c>
      <c r="B27" t="inlineStr">
        <is>
          <t>Kab. Hulu Sungai Selatan</t>
        </is>
      </c>
      <c r="C27" t="inlineStr">
        <is>
          <t>051724616</t>
        </is>
      </c>
      <c r="D27" t="inlineStr">
        <is>
          <t>mawardian81@yahoo.com</t>
        </is>
      </c>
      <c r="E27" t="inlineStr">
        <is>
          <t>https://lpjk.pu.go.id/search-badan-usaha-detail/V3V4Q1lSd2NvSUlOa1lmeGJVMllVZz09</t>
        </is>
      </c>
      <c r="F27" t="n">
        <v>2</v>
      </c>
      <c r="G27" t="inlineStr">
        <is>
          <t>BS001, BS002</t>
        </is>
      </c>
      <c r="H27" t="inlineStr">
        <is>
          <t>2 Februari 2009</t>
        </is>
      </c>
      <c r="I27" s="2" t="n">
        <v>46359</v>
      </c>
      <c r="J27" t="inlineStr">
        <is>
          <t>Disetujui</t>
        </is>
      </c>
      <c r="K27" t="n">
        <v>87</v>
      </c>
      <c r="L27" t="inlineStr">
        <is>
          <t>3 Desember 2026</t>
        </is>
      </c>
      <c r="M27" t="inlineStr">
        <is>
          <t>Bangunan Sipil Jembatan, Jalan Layang, Fly Over, dan Underpass, Konstruksi Bangunan Sipil Jalan</t>
        </is>
      </c>
      <c r="N27" t="inlineStr">
        <is>
          <t>K</t>
        </is>
      </c>
      <c r="O27" t="inlineStr">
        <is>
          <t>20231113, 20231128</t>
        </is>
      </c>
      <c r="P27" t="inlineStr">
        <is>
          <t>Kalimantan Selatan</t>
        </is>
      </c>
      <c r="Q27" t="inlineStr"/>
    </row>
    <row r="28">
      <c r="A28" t="inlineStr">
        <is>
          <t>DAYAMITRA KONSULTAN</t>
        </is>
      </c>
      <c r="B28" t="inlineStr">
        <is>
          <t>Kab. Banyuwangi</t>
        </is>
      </c>
      <c r="C28" t="inlineStr">
        <is>
          <t>085331999700</t>
        </is>
      </c>
      <c r="D28" t="inlineStr">
        <is>
          <t>dayamitra.konsultan@gmail.com</t>
        </is>
      </c>
      <c r="E28" t="inlineStr">
        <is>
          <t>https://lpjk.pu.go.id/search-badan-usaha-detail/ZEZVNjVwdDJOWFBJOXM4MHpLVENHUT09</t>
        </is>
      </c>
      <c r="F28" t="n">
        <v>2</v>
      </c>
      <c r="G28" t="inlineStr">
        <is>
          <t>RK001, RK003</t>
        </is>
      </c>
      <c r="H28" t="inlineStr">
        <is>
          <t>17 Mei 2023</t>
        </is>
      </c>
      <c r="I28" s="2" t="n">
        <v>46359</v>
      </c>
      <c r="J28" t="inlineStr">
        <is>
          <t>Disetujui</t>
        </is>
      </c>
      <c r="K28" t="n">
        <v>87</v>
      </c>
      <c r="L28" t="inlineStr">
        <is>
          <t>3 Desember 2026</t>
        </is>
      </c>
      <c r="M28" t="inlineStr">
        <is>
          <t>Jasa Rekayasa Konstruksi Bangunan Gedung Hunian dan Non Hunian, Jasa Rekayasa Pekerjaan Teknik Sipil Transportasi</t>
        </is>
      </c>
      <c r="N28" t="inlineStr">
        <is>
          <t>K</t>
        </is>
      </c>
      <c r="O28" t="inlineStr">
        <is>
          <t>20231124</t>
        </is>
      </c>
      <c r="P28" t="inlineStr">
        <is>
          <t>Jawa Timur</t>
        </is>
      </c>
      <c r="Q28" t="inlineStr"/>
    </row>
    <row r="29">
      <c r="A29" t="inlineStr">
        <is>
          <t>DINDA KARYA UTAMA</t>
        </is>
      </c>
      <c r="B29" t="inlineStr">
        <is>
          <t>Kota Ternate</t>
        </is>
      </c>
      <c r="C29" t="inlineStr">
        <is>
          <t>081392200177</t>
        </is>
      </c>
      <c r="D29" t="inlineStr">
        <is>
          <t>dindakaryautamapt@gmail.com</t>
        </is>
      </c>
      <c r="E29" t="inlineStr">
        <is>
          <t>https://lpjk.pu.go.id/search-badan-usaha-detail/VzdiZGJzcmhSc0RiRGs3b1pmNG1hQT09</t>
        </is>
      </c>
      <c r="F29" t="n">
        <v>1</v>
      </c>
      <c r="G29" t="inlineStr">
        <is>
          <t>BS001</t>
        </is>
      </c>
      <c r="H29" t="inlineStr">
        <is>
          <t>11 Mei 2023</t>
        </is>
      </c>
      <c r="I29" s="2" t="n">
        <v>46359</v>
      </c>
      <c r="J29" t="inlineStr">
        <is>
          <t>Disetujui</t>
        </is>
      </c>
      <c r="K29" t="n">
        <v>87</v>
      </c>
      <c r="L29" t="inlineStr">
        <is>
          <t>3 Desember 2026</t>
        </is>
      </c>
      <c r="M29" t="inlineStr">
        <is>
          <t>Konstruksi Bangunan Sipil Jalan</t>
        </is>
      </c>
      <c r="N29" t="inlineStr">
        <is>
          <t>K</t>
        </is>
      </c>
      <c r="O29" t="inlineStr">
        <is>
          <t>20231201</t>
        </is>
      </c>
      <c r="P29" t="inlineStr">
        <is>
          <t>Maluku Utara</t>
        </is>
      </c>
      <c r="Q29" t="inlineStr"/>
    </row>
    <row r="30">
      <c r="A30" t="inlineStr">
        <is>
          <t>DUTA RAYA PERKASA</t>
        </is>
      </c>
      <c r="B30" t="inlineStr">
        <is>
          <t>Kab. Bandung</t>
        </is>
      </c>
      <c r="C30" t="inlineStr">
        <is>
          <t>082121644441</t>
        </is>
      </c>
      <c r="D30" t="inlineStr">
        <is>
          <t>drayaperkasa@gmail.com</t>
        </is>
      </c>
      <c r="E30" t="inlineStr">
        <is>
          <t>https://lpjk.pu.go.id/search-badan-usaha-detail/Z0ZPZW1qMFQ0aGVaV3dpNmlQc1E5UT09</t>
        </is>
      </c>
      <c r="F30" t="n">
        <v>3</v>
      </c>
      <c r="G30" t="inlineStr">
        <is>
          <t>BG001, BG002, BS001</t>
        </is>
      </c>
      <c r="H30" t="inlineStr">
        <is>
          <t>7 Februari 2019</t>
        </is>
      </c>
      <c r="I30" s="2" t="n">
        <v>46359</v>
      </c>
      <c r="J30" t="inlineStr">
        <is>
          <t>Disetujui</t>
        </is>
      </c>
      <c r="K30" t="n">
        <v>87</v>
      </c>
      <c r="L30" t="inlineStr">
        <is>
          <t>3 Desember 2026</t>
        </is>
      </c>
      <c r="M30" t="inlineStr">
        <is>
          <t>Konstruksi Bangunan Sipil Jalan, Konstruksi Gedung Hunian, Konstruksi Gedung Perkantoran</t>
        </is>
      </c>
      <c r="N30" t="inlineStr">
        <is>
          <t>K</t>
        </is>
      </c>
      <c r="O30" t="inlineStr">
        <is>
          <t>20231126, 20231203, 20231207</t>
        </is>
      </c>
      <c r="P30" t="inlineStr">
        <is>
          <t>Jawa Barat</t>
        </is>
      </c>
      <c r="Q30" t="inlineStr"/>
    </row>
    <row r="31">
      <c r="A31" t="inlineStr">
        <is>
          <t>DZAKI BARAKATI</t>
        </is>
      </c>
      <c r="B31" t="inlineStr">
        <is>
          <t>Kota Kendari</t>
        </is>
      </c>
      <c r="C31" t="inlineStr">
        <is>
          <t>082298534803</t>
        </is>
      </c>
      <c r="D31" t="inlineStr">
        <is>
          <t>dzaki.barakati1314@gmail.com</t>
        </is>
      </c>
      <c r="E31" t="inlineStr">
        <is>
          <t>https://lpjk.pu.go.id/search-badan-usaha-detail/Z3BCVVlEQ2pLNHhwYkUwR0pRQUxzUT09</t>
        </is>
      </c>
      <c r="F31" t="n">
        <v>5</v>
      </c>
      <c r="G31" t="inlineStr">
        <is>
          <t>AR001, AR002, AR003, RK001, RK003</t>
        </is>
      </c>
      <c r="H31" t="inlineStr">
        <is>
          <t>27 Januari 2022</t>
        </is>
      </c>
      <c r="I31" s="2" t="n">
        <v>46359</v>
      </c>
      <c r="J31" t="inlineStr">
        <is>
          <t>Disetujui</t>
        </is>
      </c>
      <c r="K31" t="n">
        <v>87</v>
      </c>
      <c r="L31" t="inlineStr">
        <is>
          <t>3 Desember 2026</t>
        </is>
      </c>
      <c r="M31" t="inlineStr">
        <is>
          <t>Jasa Arsitektural Bangunan Gedung Hunian dan Non Hunian, Jasa Arsitektural Lainnya, Jasa Desain Interior pada Bangunan Gedung dan Bangunan Sipil, Jasa Rekayasa Konstruksi Bangunan Gedung Hunian dan Non Hunian, Jasa Rekayasa Pekerjaan Teknik Sipil Transportasi</t>
        </is>
      </c>
      <c r="N31" t="inlineStr">
        <is>
          <t>K</t>
        </is>
      </c>
      <c r="O31" t="inlineStr">
        <is>
          <t>20231127</t>
        </is>
      </c>
      <c r="P31" t="inlineStr">
        <is>
          <t>Sulawesi Tenggara</t>
        </is>
      </c>
      <c r="Q31" t="inlineStr"/>
    </row>
    <row r="32">
      <c r="A32" t="inlineStr">
        <is>
          <t>EDCON JAYA PURNAMA</t>
        </is>
      </c>
      <c r="B32" t="inlineStr">
        <is>
          <t>Kab. Karawang</t>
        </is>
      </c>
      <c r="C32" t="inlineStr">
        <is>
          <t>0267401034</t>
        </is>
      </c>
      <c r="D32" t="inlineStr">
        <is>
          <t>edcon.jayapurnama@gmail.com</t>
        </is>
      </c>
      <c r="E32" t="inlineStr">
        <is>
          <t>https://lpjk.pu.go.id/search-badan-usaha-detail/NTVLRlgwamhOZEg5RVJyaldoWS9tQT09</t>
        </is>
      </c>
      <c r="F32" t="n">
        <v>2</v>
      </c>
      <c r="G32" t="inlineStr">
        <is>
          <t>BS009</t>
        </is>
      </c>
      <c r="H32" t="inlineStr">
        <is>
          <t>3 Juni 2017</t>
        </is>
      </c>
      <c r="I32" s="2" t="n">
        <v>46359</v>
      </c>
      <c r="J32" t="inlineStr">
        <is>
          <t>Pencabutan</t>
        </is>
      </c>
      <c r="K32" t="n">
        <v>87</v>
      </c>
      <c r="L32" t="inlineStr">
        <is>
          <t>3 Desember 2026</t>
        </is>
      </c>
      <c r="M32" t="inlineStr">
        <is>
          <t>Konstruksi Sentral Telekomunikasi</t>
        </is>
      </c>
      <c r="N32" t="inlineStr">
        <is>
          <t>K</t>
        </is>
      </c>
      <c r="O32" t="inlineStr">
        <is>
          <t>20231123</t>
        </is>
      </c>
      <c r="P32" t="inlineStr">
        <is>
          <t>Jawa Barat</t>
        </is>
      </c>
      <c r="Q32" t="inlineStr"/>
    </row>
    <row r="33">
      <c r="A33" t="inlineStr">
        <is>
          <t>GADING PUTRI AULIA</t>
        </is>
      </c>
      <c r="B33" t="inlineStr">
        <is>
          <t>Kota Cilegon</t>
        </is>
      </c>
      <c r="C33" t="inlineStr">
        <is>
          <t>083138803213</t>
        </is>
      </c>
      <c r="D33" t="inlineStr">
        <is>
          <t>lsbuid8@gmail.com</t>
        </is>
      </c>
      <c r="E33" t="inlineStr">
        <is>
          <t>https://lpjk.pu.go.id/search-badan-usaha-detail/WWsyM3EwY1lZS2IzM21uZGVSZVQyQT09</t>
        </is>
      </c>
      <c r="F33" t="n">
        <v>3</v>
      </c>
      <c r="G33" t="inlineStr">
        <is>
          <t>BG005, BG006, BG009</t>
        </is>
      </c>
      <c r="H33" t="inlineStr">
        <is>
          <t>24 Juni 2021</t>
        </is>
      </c>
      <c r="I33" s="2" t="n">
        <v>46359</v>
      </c>
      <c r="J33" t="inlineStr">
        <is>
          <t>Permohonan Perubahan Non Asesmen</t>
        </is>
      </c>
      <c r="K33" t="n">
        <v>87</v>
      </c>
      <c r="L33" t="inlineStr">
        <is>
          <t>3 Desember 2026</t>
        </is>
      </c>
      <c r="M33" t="inlineStr">
        <is>
          <t>Konstruksi Gedung Kesehatan, Konstruksi Gedung Lainnya, Konstruksi Gedung Pendidikan</t>
        </is>
      </c>
      <c r="N33" t="inlineStr">
        <is>
          <t>K</t>
        </is>
      </c>
      <c r="O33" t="inlineStr">
        <is>
          <t>20231116</t>
        </is>
      </c>
      <c r="P33" t="inlineStr">
        <is>
          <t>Banten</t>
        </is>
      </c>
      <c r="Q33" t="inlineStr"/>
    </row>
    <row r="34">
      <c r="A34" t="inlineStr">
        <is>
          <t>GANDA KARYA</t>
        </is>
      </c>
      <c r="B34" t="inlineStr">
        <is>
          <t>Kota Probolinggo</t>
        </is>
      </c>
      <c r="C34" t="inlineStr">
        <is>
          <t>085335948888</t>
        </is>
      </c>
      <c r="D34" t="inlineStr">
        <is>
          <t>cvgandakarya.pbl@gmail.com</t>
        </is>
      </c>
      <c r="E34" t="inlineStr">
        <is>
          <t>https://lpjk.pu.go.id/search-badan-usaha-detail/ZG9LQkd0V0dVc21hbHc4bzk5VlVCdz09</t>
        </is>
      </c>
      <c r="F34" t="n">
        <v>3</v>
      </c>
      <c r="G34" t="inlineStr">
        <is>
          <t>BG001, BG002, BG005</t>
        </is>
      </c>
      <c r="H34" t="inlineStr">
        <is>
          <t>4 Oktober 1990</t>
        </is>
      </c>
      <c r="I34" s="2" t="n">
        <v>46359</v>
      </c>
      <c r="J34" t="inlineStr">
        <is>
          <t>Disetujui</t>
        </is>
      </c>
      <c r="K34" t="n">
        <v>87</v>
      </c>
      <c r="L34" t="inlineStr">
        <is>
          <t>3 Desember 2026</t>
        </is>
      </c>
      <c r="M34" t="inlineStr">
        <is>
          <t>Konstruksi Gedung Hunian, Konstruksi Gedung Kesehatan, Konstruksi Gedung Perkantoran</t>
        </is>
      </c>
      <c r="N34" t="inlineStr">
        <is>
          <t>K</t>
        </is>
      </c>
      <c r="O34" t="inlineStr">
        <is>
          <t>20231201</t>
        </is>
      </c>
      <c r="P34" t="inlineStr">
        <is>
          <t>Jawa Timur</t>
        </is>
      </c>
      <c r="Q34" t="inlineStr"/>
    </row>
    <row r="35">
      <c r="A35" t="inlineStr">
        <is>
          <t>GAYACIPTA PRIMA MULIA</t>
        </is>
      </c>
      <c r="B35" t="inlineStr">
        <is>
          <t>Kota Adm. Jakarta Pusat</t>
        </is>
      </c>
      <c r="C35" t="inlineStr">
        <is>
          <t>0214253732</t>
        </is>
      </c>
      <c r="D35" t="inlineStr">
        <is>
          <t>gprimamulia@gmail.com</t>
        </is>
      </c>
      <c r="E35" t="inlineStr">
        <is>
          <t>https://lpjk.pu.go.id/search-badan-usaha-detail/NUVpbkVhR2VCWFdMWnAyOTZWV0Q3UT09</t>
        </is>
      </c>
      <c r="F35" t="n">
        <v>1</v>
      </c>
      <c r="G35" t="inlineStr">
        <is>
          <t>BG003</t>
        </is>
      </c>
      <c r="H35" t="inlineStr">
        <is>
          <t>20 November 2023</t>
        </is>
      </c>
      <c r="I35" s="2" t="n">
        <v>46359</v>
      </c>
      <c r="J35" t="inlineStr">
        <is>
          <t>Disetujui</t>
        </is>
      </c>
      <c r="K35" t="n">
        <v>87</v>
      </c>
      <c r="L35" t="inlineStr">
        <is>
          <t>3 Desember 2026</t>
        </is>
      </c>
      <c r="M35" t="inlineStr">
        <is>
          <t>Konstruksi Gedung Industri</t>
        </is>
      </c>
      <c r="N35" t="inlineStr">
        <is>
          <t>K</t>
        </is>
      </c>
      <c r="O35" t="inlineStr">
        <is>
          <t>20231201</t>
        </is>
      </c>
      <c r="P35" t="inlineStr">
        <is>
          <t>DKI Jakarta</t>
        </is>
      </c>
      <c r="Q35" t="inlineStr"/>
    </row>
    <row r="36">
      <c r="A36" t="inlineStr">
        <is>
          <t>GELORA INOVASI OPTIMA</t>
        </is>
      </c>
      <c r="B36" t="inlineStr">
        <is>
          <t>Kota Adm. Jakarta Selatan</t>
        </is>
      </c>
      <c r="C36" t="inlineStr">
        <is>
          <t>087888818008</t>
        </is>
      </c>
      <c r="D36" t="inlineStr">
        <is>
          <t>ptgelorainovasioptima@gmail.com</t>
        </is>
      </c>
      <c r="E36" t="inlineStr">
        <is>
          <t>https://lpjk.pu.go.id/search-badan-usaha-detail/L0s5b3lmSmRJa1VQZ1FlVUtiZ29Jdz09</t>
        </is>
      </c>
      <c r="F36" t="n">
        <v>1</v>
      </c>
      <c r="G36" t="inlineStr">
        <is>
          <t>BG004</t>
        </is>
      </c>
      <c r="H36" t="inlineStr">
        <is>
          <t>22 September 2023</t>
        </is>
      </c>
      <c r="I36" s="2" t="n">
        <v>46359</v>
      </c>
      <c r="J36" t="inlineStr">
        <is>
          <t>Disetujui</t>
        </is>
      </c>
      <c r="K36" t="n">
        <v>87</v>
      </c>
      <c r="L36" t="inlineStr">
        <is>
          <t>3 Desember 2026</t>
        </is>
      </c>
      <c r="M36" t="inlineStr">
        <is>
          <t>Konstruksi Gedung Perbelanjaan</t>
        </is>
      </c>
      <c r="N36" t="inlineStr">
        <is>
          <t>K</t>
        </is>
      </c>
      <c r="O36" t="inlineStr">
        <is>
          <t>20231203</t>
        </is>
      </c>
      <c r="P36" t="inlineStr">
        <is>
          <t>DKI Jakarta</t>
        </is>
      </c>
      <c r="Q36" t="inlineStr"/>
    </row>
    <row r="37">
      <c r="A37" t="inlineStr">
        <is>
          <t>GIRI BANGKIT SEJAHTERA</t>
        </is>
      </c>
      <c r="B37" t="inlineStr">
        <is>
          <t>Kab. Banjarnegara</t>
        </is>
      </c>
      <c r="C37" t="inlineStr">
        <is>
          <t>085328625555</t>
        </is>
      </c>
      <c r="D37" t="inlineStr">
        <is>
          <t>gibassejahtera@gmail.com</t>
        </is>
      </c>
      <c r="E37" t="inlineStr">
        <is>
          <t>https://lpjk.pu.go.id/search-badan-usaha-detail/VzEwMm9xSXREMEMyemZFd1RrR21rdz09</t>
        </is>
      </c>
      <c r="F37" t="n">
        <v>1</v>
      </c>
      <c r="G37" t="inlineStr">
        <is>
          <t>BG006</t>
        </is>
      </c>
      <c r="H37" t="inlineStr">
        <is>
          <t>5 Mei 2023</t>
        </is>
      </c>
      <c r="I37" s="2" t="n">
        <v>46359</v>
      </c>
      <c r="J37" t="inlineStr">
        <is>
          <t>Disetujui</t>
        </is>
      </c>
      <c r="K37" t="n">
        <v>87</v>
      </c>
      <c r="L37" t="inlineStr">
        <is>
          <t>3 Desember 2026</t>
        </is>
      </c>
      <c r="M37" t="inlineStr">
        <is>
          <t>Konstruksi Gedung Pendidikan</t>
        </is>
      </c>
      <c r="N37" t="inlineStr">
        <is>
          <t>K</t>
        </is>
      </c>
      <c r="O37" t="inlineStr">
        <is>
          <t>20231004</t>
        </is>
      </c>
      <c r="P37" t="inlineStr">
        <is>
          <t>Jawa Tengah</t>
        </is>
      </c>
      <c r="Q37" t="inlineStr"/>
    </row>
    <row r="38">
      <c r="A38" t="inlineStr">
        <is>
          <t>GLORY NAGA PUTRA</t>
        </is>
      </c>
      <c r="B38" t="inlineStr">
        <is>
          <t>Kab. Bandung</t>
        </is>
      </c>
      <c r="C38" t="inlineStr">
        <is>
          <t>081220607673</t>
        </is>
      </c>
      <c r="D38" t="inlineStr">
        <is>
          <t>cvglorynagaputra@gmail.com</t>
        </is>
      </c>
      <c r="E38" t="inlineStr">
        <is>
          <t>https://lpjk.pu.go.id/search-badan-usaha-detail/MndzZmovaVdyaWdnaW10YlJhMXMrQT09</t>
        </is>
      </c>
      <c r="F38" t="n">
        <v>3</v>
      </c>
      <c r="G38" t="inlineStr">
        <is>
          <t>BG002, BG006, BG009</t>
        </is>
      </c>
      <c r="H38" t="inlineStr">
        <is>
          <t>30 Mei 2023</t>
        </is>
      </c>
      <c r="I38" s="2" t="n">
        <v>46359</v>
      </c>
      <c r="J38" t="inlineStr">
        <is>
          <t>Pencabutan</t>
        </is>
      </c>
      <c r="K38" t="n">
        <v>87</v>
      </c>
      <c r="L38" t="inlineStr">
        <is>
          <t>3 Desember 2026</t>
        </is>
      </c>
      <c r="M38" t="inlineStr">
        <is>
          <t>Konstruksi Gedung Lainnya, Konstruksi Gedung Pendidikan, Konstruksi Gedung Perkantoran</t>
        </is>
      </c>
      <c r="N38" t="inlineStr">
        <is>
          <t>K</t>
        </is>
      </c>
      <c r="O38" t="inlineStr">
        <is>
          <t>20231114, 20231204</t>
        </is>
      </c>
      <c r="P38" t="inlineStr">
        <is>
          <t>Jawa Barat</t>
        </is>
      </c>
      <c r="Q38" t="inlineStr"/>
    </row>
    <row r="39">
      <c r="A39" t="inlineStr">
        <is>
          <t>GUNA KARYA MESARI</t>
        </is>
      </c>
      <c r="B39" t="inlineStr">
        <is>
          <t>Kab. Karangasem</t>
        </is>
      </c>
      <c r="C39" t="inlineStr">
        <is>
          <t>081338948869</t>
        </is>
      </c>
      <c r="D39" t="inlineStr">
        <is>
          <t>gunakaryamesari@gmail.com</t>
        </is>
      </c>
      <c r="E39" t="inlineStr">
        <is>
          <t>https://lpjk.pu.go.id/search-badan-usaha-detail/YjZKc0puZEtaZERGZitEaThUNEhEdz09</t>
        </is>
      </c>
      <c r="F39" t="n">
        <v>6</v>
      </c>
      <c r="G39" t="inlineStr">
        <is>
          <t>BG002, BG005, BG006, BG009, BS001, BS004</t>
        </is>
      </c>
      <c r="H39" t="inlineStr">
        <is>
          <t>4 November 2023</t>
        </is>
      </c>
      <c r="I39" s="2" t="n">
        <v>46359</v>
      </c>
      <c r="J39" t="inlineStr">
        <is>
          <t>Disetujui</t>
        </is>
      </c>
      <c r="K39" t="n">
        <v>87</v>
      </c>
      <c r="L39" t="inlineStr">
        <is>
          <t>3 Desember 2026</t>
        </is>
      </c>
      <c r="M39" t="inlineStr">
        <is>
          <t>Konstruksi Bangunan Sipil Jalan, Konstruksi Gedung Kesehatan, Konstruksi Gedung Lainnya, Konstruksi Gedung Pendidikan, Konstruksi Gedung Perkantoran, Konstruksi Jaringan Irigasi dan Drainase</t>
        </is>
      </c>
      <c r="N39" t="inlineStr">
        <is>
          <t>K</t>
        </is>
      </c>
      <c r="O39" t="inlineStr">
        <is>
          <t>20231201</t>
        </is>
      </c>
      <c r="P39" t="inlineStr">
        <is>
          <t>Bali</t>
        </is>
      </c>
      <c r="Q39" t="inlineStr"/>
    </row>
    <row r="40">
      <c r="A40" t="inlineStr">
        <is>
          <t>GUNUNG JAAS</t>
        </is>
      </c>
      <c r="B40" t="inlineStr">
        <is>
          <t>Kab. Trenggalek</t>
        </is>
      </c>
      <c r="C40" t="inlineStr">
        <is>
          <t>085233802692</t>
        </is>
      </c>
      <c r="D40" t="inlineStr">
        <is>
          <t>gunungjaas.9@gmail.com</t>
        </is>
      </c>
      <c r="E40" t="inlineStr">
        <is>
          <t>https://lpjk.pu.go.id/search-badan-usaha-detail/RkMrRStFUkgxejA4eWlXWTVscWR1Zz09</t>
        </is>
      </c>
      <c r="F40" t="n">
        <v>2</v>
      </c>
      <c r="G40" t="inlineStr">
        <is>
          <t>BG005, BS005</t>
        </is>
      </c>
      <c r="H40" t="inlineStr">
        <is>
          <t>6 April 1999</t>
        </is>
      </c>
      <c r="I40" s="2" t="n">
        <v>46359</v>
      </c>
      <c r="J40" t="inlineStr">
        <is>
          <t>Disetujui</t>
        </is>
      </c>
      <c r="K40" t="n">
        <v>87</v>
      </c>
      <c r="L40" t="inlineStr">
        <is>
          <t>3 Desember 2026</t>
        </is>
      </c>
      <c r="M40" t="inlineStr">
        <is>
          <t>Konstruksi Bangunan Sipil Pengolahan Air Bersih, Konstruksi Gedung Kesehatan</t>
        </is>
      </c>
      <c r="N40" t="inlineStr">
        <is>
          <t>K</t>
        </is>
      </c>
      <c r="O40" t="inlineStr">
        <is>
          <t>20231117, 20231124</t>
        </is>
      </c>
      <c r="P40" t="inlineStr">
        <is>
          <t>Jawa Timur</t>
        </is>
      </c>
      <c r="Q40" t="inlineStr"/>
    </row>
    <row r="41">
      <c r="A41" t="inlineStr">
        <is>
          <t>HEKSA KARYA</t>
        </is>
      </c>
      <c r="B41" t="inlineStr">
        <is>
          <t>Kota Bandar Lampung</t>
        </is>
      </c>
      <c r="C41" t="inlineStr">
        <is>
          <t>081272737696</t>
        </is>
      </c>
      <c r="D41" t="inlineStr">
        <is>
          <t>cv.heksakarya99@gmail.com</t>
        </is>
      </c>
      <c r="E41" t="inlineStr">
        <is>
          <t>https://lpjk.pu.go.id/search-badan-usaha-detail/YVJxS1Izc0xTekZ2ZDNQakFNWndRQT09</t>
        </is>
      </c>
      <c r="F41" t="n">
        <v>6</v>
      </c>
      <c r="G41" t="inlineStr">
        <is>
          <t>BG002, BG006, BG009, BS001, BS002, BS004</t>
        </is>
      </c>
      <c r="H41" t="inlineStr">
        <is>
          <t>17 Juni 2015</t>
        </is>
      </c>
      <c r="I41" s="2" t="n">
        <v>46359</v>
      </c>
      <c r="J41" t="inlineStr">
        <is>
          <t>Disetujui</t>
        </is>
      </c>
      <c r="K41" t="n">
        <v>87</v>
      </c>
      <c r="L41" t="inlineStr">
        <is>
          <t>3 Desember 2026</t>
        </is>
      </c>
      <c r="M41" t="inlineStr">
        <is>
          <t>Bangunan Sipil Jembatan, Jalan Layang, Fly Over, dan Underpass, Konstruksi Bangunan Sipil Jalan, Konstruksi Gedung Lainnya, Konstruksi Gedung Pendidikan, Konstruksi Gedung Perkantoran, Konstruksi Jaringan Irigasi dan Drainase</t>
        </is>
      </c>
      <c r="N41" t="inlineStr">
        <is>
          <t>K</t>
        </is>
      </c>
      <c r="O41" t="inlineStr">
        <is>
          <t>20231130</t>
        </is>
      </c>
      <c r="P41" t="inlineStr">
        <is>
          <t>Lampung</t>
        </is>
      </c>
      <c r="Q41" t="inlineStr"/>
    </row>
    <row r="42">
      <c r="A42" t="inlineStr">
        <is>
          <t>INTAN NOSA CONSULTANT</t>
        </is>
      </c>
      <c r="B42" t="inlineStr">
        <is>
          <t>Kota Bukittinggi</t>
        </is>
      </c>
      <c r="C42" t="inlineStr">
        <is>
          <t>082283098894</t>
        </is>
      </c>
      <c r="D42" t="inlineStr">
        <is>
          <t>cvintannosaconsultant@gmail.com</t>
        </is>
      </c>
      <c r="E42" t="inlineStr">
        <is>
          <t>https://lpjk.pu.go.id/search-badan-usaha-detail/M2R4SUVQKzlMVUdhczBQTHZ1WHdDdz09</t>
        </is>
      </c>
      <c r="F42" t="n">
        <v>1</v>
      </c>
      <c r="G42" t="inlineStr">
        <is>
          <t>RK001</t>
        </is>
      </c>
      <c r="H42" t="inlineStr">
        <is>
          <t>31 Maret 2023</t>
        </is>
      </c>
      <c r="I42" s="2" t="n">
        <v>46359</v>
      </c>
      <c r="J42" t="inlineStr">
        <is>
          <t>Disetujui</t>
        </is>
      </c>
      <c r="K42" t="n">
        <v>87</v>
      </c>
      <c r="L42" t="inlineStr">
        <is>
          <t>3 Desember 2026</t>
        </is>
      </c>
      <c r="M42" t="inlineStr">
        <is>
          <t>Jasa Rekayasa Konstruksi Bangunan Gedung Hunian dan Non Hunian</t>
        </is>
      </c>
      <c r="N42" t="inlineStr">
        <is>
          <t>K</t>
        </is>
      </c>
      <c r="O42" t="inlineStr">
        <is>
          <t>20231121</t>
        </is>
      </c>
      <c r="P42" t="inlineStr">
        <is>
          <t>Sumatera Barat</t>
        </is>
      </c>
      <c r="Q42" t="inlineStr"/>
    </row>
    <row r="43">
      <c r="A43" t="inlineStr">
        <is>
          <t>JASA LAKSA UTAMA</t>
        </is>
      </c>
      <c r="B43" t="inlineStr">
        <is>
          <t>Kota Tangerang</t>
        </is>
      </c>
      <c r="C43" t="inlineStr">
        <is>
          <t>02154370637</t>
        </is>
      </c>
      <c r="D43" t="inlineStr">
        <is>
          <t>prizkalanit@yahoo.com</t>
        </is>
      </c>
      <c r="E43" t="inlineStr">
        <is>
          <t>https://lpjk.pu.go.id/search-badan-usaha-detail/R3g1SVgxbHowcTdNbmFoVXo1cmRaQT09</t>
        </is>
      </c>
      <c r="F43" t="n">
        <v>2</v>
      </c>
      <c r="G43" t="inlineStr">
        <is>
          <t>IN001, IN003</t>
        </is>
      </c>
      <c r="H43" t="inlineStr">
        <is>
          <t>4 Desember 2006</t>
        </is>
      </c>
      <c r="I43" s="2" t="n">
        <v>46359</v>
      </c>
      <c r="J43" t="inlineStr">
        <is>
          <t>Disetujui, Pembekuan</t>
        </is>
      </c>
      <c r="K43" t="n">
        <v>87</v>
      </c>
      <c r="L43" t="inlineStr">
        <is>
          <t>3 Desember 2026</t>
        </is>
      </c>
      <c r="M43" t="inlineStr">
        <is>
          <t>Instalasi Mekanikal, Instalasi Peralatan Infrastruktur Pertambangan dan Manufaktur</t>
        </is>
      </c>
      <c r="N43" t="inlineStr">
        <is>
          <t>Spesialis</t>
        </is>
      </c>
      <c r="O43" t="inlineStr">
        <is>
          <t>20231130, N/A</t>
        </is>
      </c>
      <c r="P43" t="inlineStr">
        <is>
          <t>Banten</t>
        </is>
      </c>
      <c r="Q43" t="inlineStr"/>
    </row>
    <row r="44">
      <c r="A44" t="inlineStr">
        <is>
          <t>JAVAKARY</t>
        </is>
      </c>
      <c r="B44" t="inlineStr">
        <is>
          <t>Kab. Pangandaran</t>
        </is>
      </c>
      <c r="C44" t="inlineStr">
        <is>
          <t>081238233566</t>
        </is>
      </c>
      <c r="D44" t="inlineStr">
        <is>
          <t>javakary.cv@gmail.com</t>
        </is>
      </c>
      <c r="E44" t="inlineStr">
        <is>
          <t>https://lpjk.pu.go.id/search-badan-usaha-detail/dnVmOEp2b2RpdkpoU3B0anM1dkZaUT09</t>
        </is>
      </c>
      <c r="F44" t="n">
        <v>10</v>
      </c>
      <c r="G44" t="inlineStr">
        <is>
          <t>AR001, RK001, RK002, RK003, RK005</t>
        </is>
      </c>
      <c r="H44" t="inlineStr">
        <is>
          <t>15 Oktober 2009</t>
        </is>
      </c>
      <c r="I44" s="2" t="n">
        <v>46359</v>
      </c>
      <c r="J44" t="inlineStr">
        <is>
          <t>Disetujui</t>
        </is>
      </c>
      <c r="K44" t="n">
        <v>87</v>
      </c>
      <c r="L44" t="inlineStr">
        <is>
          <t>3 Desember 2026</t>
        </is>
      </c>
      <c r="M44" t="inlineStr">
        <is>
          <t>Jasa Arsitektural Bangunan Gedung Hunian dan Non Hunian, Jasa Rekayasa Konstruksi Bangunan Gedung Hunian dan Non Hunian, Jasa Rekayasa Lainnya, Jasa Rekayasa Pekerjaan Teknik Sipil Sumber Daya Air, Jasa Rekayasa Pekerjaan Teknik Sipil Transportasi</t>
        </is>
      </c>
      <c r="N44" t="inlineStr">
        <is>
          <t>K</t>
        </is>
      </c>
      <c r="O44" t="inlineStr">
        <is>
          <t>20231116</t>
        </is>
      </c>
      <c r="P44" t="inlineStr">
        <is>
          <t>Jawa Barat</t>
        </is>
      </c>
      <c r="Q44" t="inlineStr"/>
    </row>
    <row r="45">
      <c r="A45" t="inlineStr">
        <is>
          <t>JAYA MAKMUR</t>
        </is>
      </c>
      <c r="B45" t="inlineStr">
        <is>
          <t>Kab. Indramayu</t>
        </is>
      </c>
      <c r="C45" t="inlineStr">
        <is>
          <t>0895331877871</t>
        </is>
      </c>
      <c r="D45" t="inlineStr">
        <is>
          <t>jayamakmuecv44@gmail.com</t>
        </is>
      </c>
      <c r="E45" t="inlineStr">
        <is>
          <t>https://lpjk.pu.go.id/search-badan-usaha-detail/ay9tdFVDOFhZRUxLS0VoZ2NYMGxPZz09</t>
        </is>
      </c>
      <c r="F45" t="n">
        <v>3</v>
      </c>
      <c r="G45" t="inlineStr">
        <is>
          <t>BG002, BG005, BG006</t>
        </is>
      </c>
      <c r="H45" t="inlineStr">
        <is>
          <t>14 September 2010</t>
        </is>
      </c>
      <c r="I45" s="2" t="n">
        <v>46359</v>
      </c>
      <c r="J45" t="inlineStr">
        <is>
          <t>Disetujui</t>
        </is>
      </c>
      <c r="K45" t="n">
        <v>87</v>
      </c>
      <c r="L45" t="inlineStr">
        <is>
          <t>3 Desember 2026</t>
        </is>
      </c>
      <c r="M45" t="inlineStr">
        <is>
          <t>Konstruksi Gedung Kesehatan, Konstruksi Gedung Pendidikan, Konstruksi Gedung Perkantoran</t>
        </is>
      </c>
      <c r="N45" t="inlineStr">
        <is>
          <t>K</t>
        </is>
      </c>
      <c r="O45" t="inlineStr">
        <is>
          <t>20231128, 20231201</t>
        </is>
      </c>
      <c r="P45" t="inlineStr">
        <is>
          <t>Jawa Barat</t>
        </is>
      </c>
      <c r="Q45" t="inlineStr"/>
    </row>
    <row r="46">
      <c r="A46" t="inlineStr">
        <is>
          <t>JOHARMAJU PRATAMA DESAIN</t>
        </is>
      </c>
      <c r="B46" t="inlineStr">
        <is>
          <t>Kota Medan</t>
        </is>
      </c>
      <c r="C46" t="inlineStr">
        <is>
          <t>081361238822</t>
        </is>
      </c>
      <c r="D46" t="inlineStr">
        <is>
          <t>joharmaju.pd@gmail.com</t>
        </is>
      </c>
      <c r="E46" t="inlineStr">
        <is>
          <t>https://lpjk.pu.go.id/search-badan-usaha-detail/anhsSlo0OXBqVUY3VDdwVmpxUm1JUT09</t>
        </is>
      </c>
      <c r="F46" t="n">
        <v>1</v>
      </c>
      <c r="G46" t="inlineStr">
        <is>
          <t>AR001</t>
        </is>
      </c>
      <c r="H46" t="inlineStr">
        <is>
          <t>8 Januari 2019</t>
        </is>
      </c>
      <c r="I46" s="2" t="n">
        <v>46359</v>
      </c>
      <c r="J46" t="inlineStr">
        <is>
          <t>Disetujui</t>
        </is>
      </c>
      <c r="K46" t="n">
        <v>87</v>
      </c>
      <c r="L46" t="inlineStr">
        <is>
          <t>3 Desember 2026</t>
        </is>
      </c>
      <c r="M46" t="inlineStr">
        <is>
          <t>Jasa Arsitektural Bangunan Gedung Hunian dan Non Hunian</t>
        </is>
      </c>
      <c r="N46" t="inlineStr">
        <is>
          <t>K</t>
        </is>
      </c>
      <c r="O46" t="inlineStr">
        <is>
          <t>20231102</t>
        </is>
      </c>
      <c r="P46" t="inlineStr">
        <is>
          <t>Sumatera Utara</t>
        </is>
      </c>
      <c r="Q46" t="inlineStr"/>
    </row>
    <row r="47">
      <c r="A47" t="inlineStr">
        <is>
          <t>JOSHUA'S CONSULTANT</t>
        </is>
      </c>
      <c r="B47" t="inlineStr">
        <is>
          <t>Kota Jayapura</t>
        </is>
      </c>
      <c r="C47" t="inlineStr">
        <is>
          <t>0816271400</t>
        </is>
      </c>
      <c r="D47" t="inlineStr">
        <is>
          <t>joshua.cons@gmail.com</t>
        </is>
      </c>
      <c r="E47" t="inlineStr">
        <is>
          <t>https://lpjk.pu.go.id/search-badan-usaha-detail/Z3EvSFRTMU9jaEhwWDYvU25xalRUQT09</t>
        </is>
      </c>
      <c r="F47" t="n">
        <v>2</v>
      </c>
      <c r="G47" t="inlineStr">
        <is>
          <t>AR002, AR003</t>
        </is>
      </c>
      <c r="H47" t="inlineStr">
        <is>
          <t>16 Juni 2001</t>
        </is>
      </c>
      <c r="I47" s="2" t="n">
        <v>46359</v>
      </c>
      <c r="J47" t="inlineStr">
        <is>
          <t>Disetujui</t>
        </is>
      </c>
      <c r="K47" t="n">
        <v>87</v>
      </c>
      <c r="L47" t="inlineStr">
        <is>
          <t>3 Desember 2026</t>
        </is>
      </c>
      <c r="M47" t="inlineStr">
        <is>
          <t>Jasa Arsitektural Lainnya, Jasa Desain Interior pada Bangunan Gedung dan Bangunan Sipil</t>
        </is>
      </c>
      <c r="N47" t="inlineStr">
        <is>
          <t>K</t>
        </is>
      </c>
      <c r="O47" t="inlineStr">
        <is>
          <t>20231122, 20231123</t>
        </is>
      </c>
      <c r="P47" t="inlineStr">
        <is>
          <t>Papua</t>
        </is>
      </c>
      <c r="Q47" t="inlineStr"/>
    </row>
    <row r="48">
      <c r="A48" t="inlineStr">
        <is>
          <t>KAIROS MULTI PERKASA</t>
        </is>
      </c>
      <c r="B48" t="inlineStr">
        <is>
          <t>Kota Adm. Jakarta Utara</t>
        </is>
      </c>
      <c r="C48" t="inlineStr">
        <is>
          <t>02122567302</t>
        </is>
      </c>
      <c r="D48" t="inlineStr">
        <is>
          <t>kairosmultiperkasa@gmail.com</t>
        </is>
      </c>
      <c r="E48" t="inlineStr">
        <is>
          <t>https://lpjk.pu.go.id/search-badan-usaha-detail/bmhKM09mK2Z3WHYrWHE3WXBSeW02QT09</t>
        </is>
      </c>
      <c r="F48" t="n">
        <v>1</v>
      </c>
      <c r="G48" t="inlineStr">
        <is>
          <t>KK014</t>
        </is>
      </c>
      <c r="H48" t="inlineStr">
        <is>
          <t>25 September 2020</t>
        </is>
      </c>
      <c r="I48" s="2" t="n">
        <v>46359</v>
      </c>
      <c r="J48" t="inlineStr">
        <is>
          <t>Pencabutan</t>
        </is>
      </c>
      <c r="K48" t="n">
        <v>87</v>
      </c>
      <c r="L48" t="inlineStr">
        <is>
          <t>3 Desember 2026</t>
        </is>
      </c>
      <c r="M48" t="inlineStr">
        <is>
          <t>Konstruksi Terowongan</t>
        </is>
      </c>
      <c r="N48" t="inlineStr">
        <is>
          <t>Spesialis</t>
        </is>
      </c>
      <c r="O48" t="inlineStr">
        <is>
          <t>20231128</t>
        </is>
      </c>
      <c r="P48" t="inlineStr">
        <is>
          <t>DKI Jakarta</t>
        </is>
      </c>
      <c r="Q48" t="inlineStr"/>
    </row>
    <row r="49">
      <c r="A49" t="inlineStr">
        <is>
          <t>KALI BALANGAN LESTARI</t>
        </is>
      </c>
      <c r="B49" t="inlineStr">
        <is>
          <t>Kota Palangkaraya</t>
        </is>
      </c>
      <c r="C49" t="inlineStr">
        <is>
          <t>085252760304</t>
        </is>
      </c>
      <c r="D49" t="inlineStr">
        <is>
          <t>kalibalanganlestaricv@yahoo.co.id</t>
        </is>
      </c>
      <c r="E49" t="inlineStr">
        <is>
          <t>https://lpjk.pu.go.id/search-badan-usaha-detail/dGZaTlZPS29WTmM4dko2OTVzd3NQUT09</t>
        </is>
      </c>
      <c r="F49" t="n">
        <v>7</v>
      </c>
      <c r="G49" t="inlineStr">
        <is>
          <t>BG001, BG002, BG005, BG006, BG009, BS001, BS004</t>
        </is>
      </c>
      <c r="H49" t="inlineStr">
        <is>
          <t>18 Januari 2006</t>
        </is>
      </c>
      <c r="I49" s="2" t="n">
        <v>46359</v>
      </c>
      <c r="J49" t="inlineStr">
        <is>
          <t>Disetujui</t>
        </is>
      </c>
      <c r="K49" t="n">
        <v>87</v>
      </c>
      <c r="L49" t="inlineStr">
        <is>
          <t>3 Desember 2026</t>
        </is>
      </c>
      <c r="M49" t="inlineStr">
        <is>
          <t>Konstruksi Bangunan Sipil Jalan, Konstruksi Gedung Hunian, Konstruksi Gedung Kesehatan, Konstruksi Gedung Lainnya, Konstruksi Gedung Pendidikan, Konstruksi Gedung Perkantoran, Konstruksi Jaringan Irigasi dan Drainase</t>
        </is>
      </c>
      <c r="N49" t="inlineStr">
        <is>
          <t>K</t>
        </is>
      </c>
      <c r="O49" t="inlineStr">
        <is>
          <t>20231107, 20231127</t>
        </is>
      </c>
      <c r="P49" t="inlineStr">
        <is>
          <t>Kalimantan Tengah</t>
        </is>
      </c>
      <c r="Q49" t="inlineStr"/>
    </row>
    <row r="50">
      <c r="A50" t="inlineStr">
        <is>
          <t>KAMIRA CIPTA KONSULTAN</t>
        </is>
      </c>
      <c r="B50" t="inlineStr">
        <is>
          <t>Kota Bandung</t>
        </is>
      </c>
      <c r="C50" t="inlineStr">
        <is>
          <t>082127251566</t>
        </is>
      </c>
      <c r="D50" t="inlineStr">
        <is>
          <t>kamiracipta.kons@gmail.com</t>
        </is>
      </c>
      <c r="E50" t="inlineStr">
        <is>
          <t>https://lpjk.pu.go.id/search-badan-usaha-detail/b2V4cVZmTEE0OVVjZ1pSTytiT2Fodz09</t>
        </is>
      </c>
      <c r="F50" t="n">
        <v>1</v>
      </c>
      <c r="G50" t="inlineStr">
        <is>
          <t>AR003</t>
        </is>
      </c>
      <c r="H50" t="inlineStr">
        <is>
          <t>9 Mei 2023</t>
        </is>
      </c>
      <c r="I50" s="2" t="n">
        <v>46359</v>
      </c>
      <c r="J50" t="inlineStr">
        <is>
          <t>Pencabutan</t>
        </is>
      </c>
      <c r="K50" t="n">
        <v>87</v>
      </c>
      <c r="L50" t="inlineStr">
        <is>
          <t>3 Desember 2026</t>
        </is>
      </c>
      <c r="M50" t="inlineStr">
        <is>
          <t>Jasa Desain Interior pada Bangunan Gedung dan Bangunan Sipil</t>
        </is>
      </c>
      <c r="N50" t="inlineStr">
        <is>
          <t>K</t>
        </is>
      </c>
      <c r="O50" t="inlineStr">
        <is>
          <t>20231124</t>
        </is>
      </c>
      <c r="P50" t="inlineStr">
        <is>
          <t>Jawa Barat</t>
        </is>
      </c>
      <c r="Q50" t="inlineStr"/>
    </row>
    <row r="51">
      <c r="A51" t="inlineStr">
        <is>
          <t>KARYA PANDAWA SAKTI INDONESIA</t>
        </is>
      </c>
      <c r="B51" t="inlineStr">
        <is>
          <t>Kab. Tangerang</t>
        </is>
      </c>
      <c r="C51" t="inlineStr">
        <is>
          <t>081288604969</t>
        </is>
      </c>
      <c r="D51" t="inlineStr">
        <is>
          <t>karyapandawasaktiindonesia@gmail.com</t>
        </is>
      </c>
      <c r="E51" t="inlineStr">
        <is>
          <t>https://lpjk.pu.go.id/search-badan-usaha-detail/OFBTTktoeWZQM0VEWk5FclpRYWZmdz09</t>
        </is>
      </c>
      <c r="F51" t="n">
        <v>2</v>
      </c>
      <c r="G51" t="inlineStr">
        <is>
          <t>BS001, BS002</t>
        </is>
      </c>
      <c r="H51" t="inlineStr">
        <is>
          <t>24 Juli 2019</t>
        </is>
      </c>
      <c r="I51" s="2" t="n">
        <v>46359</v>
      </c>
      <c r="J51" t="inlineStr">
        <is>
          <t>Disetujui</t>
        </is>
      </c>
      <c r="K51" t="n">
        <v>87</v>
      </c>
      <c r="L51" t="inlineStr">
        <is>
          <t>3 Desember 2026</t>
        </is>
      </c>
      <c r="M51" t="inlineStr">
        <is>
          <t>Bangunan Sipil Jembatan, Jalan Layang, Fly Over, dan Underpass, Konstruksi Bangunan Sipil Jalan</t>
        </is>
      </c>
      <c r="N51" t="inlineStr">
        <is>
          <t>K</t>
        </is>
      </c>
      <c r="O51" t="inlineStr">
        <is>
          <t>20231130</t>
        </is>
      </c>
      <c r="P51" t="inlineStr">
        <is>
          <t>Banten</t>
        </is>
      </c>
      <c r="Q51" t="inlineStr"/>
    </row>
    <row r="52">
      <c r="A52" t="inlineStr">
        <is>
          <t>KARYA PRADANA MANDIRI</t>
        </is>
      </c>
      <c r="B52" t="inlineStr">
        <is>
          <t>Kab. Bandung</t>
        </is>
      </c>
      <c r="C52" t="inlineStr">
        <is>
          <t>081278653630</t>
        </is>
      </c>
      <c r="D52" t="inlineStr">
        <is>
          <t>karyapradanamandiri@gmail.com</t>
        </is>
      </c>
      <c r="E52" t="inlineStr">
        <is>
          <t>https://lpjk.pu.go.id/search-badan-usaha-detail/UHN6cHJUQy9JcFJHRGNFMlhkQi9HUT09</t>
        </is>
      </c>
      <c r="F52" t="n">
        <v>2</v>
      </c>
      <c r="G52" t="inlineStr">
        <is>
          <t>BG006, BS001</t>
        </is>
      </c>
      <c r="H52" t="inlineStr">
        <is>
          <t>18 November 2016</t>
        </is>
      </c>
      <c r="I52" s="2" t="n">
        <v>46359</v>
      </c>
      <c r="J52" t="inlineStr">
        <is>
          <t>Disetujui</t>
        </is>
      </c>
      <c r="K52" t="n">
        <v>87</v>
      </c>
      <c r="L52" t="inlineStr">
        <is>
          <t>3 Desember 2026</t>
        </is>
      </c>
      <c r="M52" t="inlineStr">
        <is>
          <t>Konstruksi Bangunan Sipil Jalan, Konstruksi Gedung Pendidikan</t>
        </is>
      </c>
      <c r="N52" t="inlineStr">
        <is>
          <t>K</t>
        </is>
      </c>
      <c r="O52" t="inlineStr">
        <is>
          <t>20231203, 20231205</t>
        </is>
      </c>
      <c r="P52" t="inlineStr">
        <is>
          <t>Jawa Barat</t>
        </is>
      </c>
      <c r="Q52" t="inlineStr"/>
    </row>
    <row r="53">
      <c r="A53" t="inlineStr">
        <is>
          <t>KARYATAMA ABADI KONSULTAN</t>
        </is>
      </c>
      <c r="B53" t="inlineStr">
        <is>
          <t>Kab. Kubu Raya</t>
        </is>
      </c>
      <c r="C53" t="inlineStr">
        <is>
          <t>08152246421</t>
        </is>
      </c>
      <c r="D53" t="inlineStr">
        <is>
          <t>pt.karyatamaabadi@gmail.com</t>
        </is>
      </c>
      <c r="E53" t="inlineStr">
        <is>
          <t>https://lpjk.pu.go.id/search-badan-usaha-detail/VFoyK1JSbStXWkxyTEpaeERJcm5FZz09</t>
        </is>
      </c>
      <c r="F53" t="n">
        <v>10</v>
      </c>
      <c r="G53" t="inlineStr">
        <is>
          <t>AR001, RK001, RK002, RK003, RK005</t>
        </is>
      </c>
      <c r="H53" t="inlineStr">
        <is>
          <t>10 Juli 2023</t>
        </is>
      </c>
      <c r="I53" s="2" t="n">
        <v>46359</v>
      </c>
      <c r="J53" t="inlineStr">
        <is>
          <t>Disetujui</t>
        </is>
      </c>
      <c r="K53" t="n">
        <v>87</v>
      </c>
      <c r="L53" t="inlineStr">
        <is>
          <t>3 Desember 2026</t>
        </is>
      </c>
      <c r="M53" t="inlineStr">
        <is>
          <t>Jasa Arsitektural Bangunan Gedung Hunian dan Non Hunian, Jasa Rekayasa Konstruksi Bangunan Gedung Hunian dan Non Hunian, Jasa Rekayasa Lainnya, Jasa Rekayasa Pekerjaan Teknik Sipil Sumber Daya Air, Jasa Rekayasa Pekerjaan Teknik Sipil Transportasi</t>
        </is>
      </c>
      <c r="N53" t="inlineStr">
        <is>
          <t>K</t>
        </is>
      </c>
      <c r="O53" t="inlineStr">
        <is>
          <t>20231120, 20231121</t>
        </is>
      </c>
      <c r="P53" t="inlineStr">
        <is>
          <t>Kalimantan Barat</t>
        </is>
      </c>
      <c r="Q53" t="inlineStr"/>
    </row>
    <row r="54">
      <c r="A54" t="inlineStr">
        <is>
          <t>KELUARGA</t>
        </is>
      </c>
      <c r="B54" t="inlineStr">
        <is>
          <t>Kab. Bima</t>
        </is>
      </c>
      <c r="C54" t="inlineStr">
        <is>
          <t>085338905527</t>
        </is>
      </c>
      <c r="D54" t="inlineStr">
        <is>
          <t>rusdinbontokape@gmail.com</t>
        </is>
      </c>
      <c r="E54" t="inlineStr">
        <is>
          <t>https://lpjk.pu.go.id/search-badan-usaha-detail/OGNMcmUxWncyVGJtS3dZSFJMR0kzZz09</t>
        </is>
      </c>
      <c r="F54" t="n">
        <v>1</v>
      </c>
      <c r="G54" t="inlineStr">
        <is>
          <t>BG005</t>
        </is>
      </c>
      <c r="H54" t="inlineStr">
        <is>
          <t>1 September 2005</t>
        </is>
      </c>
      <c r="I54" s="2" t="n">
        <v>46359</v>
      </c>
      <c r="J54" t="inlineStr">
        <is>
          <t>Disetujui</t>
        </is>
      </c>
      <c r="K54" t="n">
        <v>87</v>
      </c>
      <c r="L54" t="inlineStr">
        <is>
          <t>3 Desember 2026</t>
        </is>
      </c>
      <c r="M54" t="inlineStr">
        <is>
          <t>Konstruksi Gedung Kesehatan</t>
        </is>
      </c>
      <c r="N54" t="inlineStr">
        <is>
          <t>K</t>
        </is>
      </c>
      <c r="O54" t="inlineStr">
        <is>
          <t>20231126</t>
        </is>
      </c>
      <c r="P54" t="inlineStr">
        <is>
          <t>Nusa Tenggara Barat</t>
        </is>
      </c>
      <c r="Q54" t="inlineStr"/>
    </row>
    <row r="55">
      <c r="A55" t="inlineStr">
        <is>
          <t>KENCANA</t>
        </is>
      </c>
      <c r="B55" t="inlineStr">
        <is>
          <t>Kab. Brebes</t>
        </is>
      </c>
      <c r="C55" t="inlineStr">
        <is>
          <t>081802855262</t>
        </is>
      </c>
      <c r="D55" t="inlineStr">
        <is>
          <t>kencanabbs@yahoo.com</t>
        </is>
      </c>
      <c r="E55" t="inlineStr">
        <is>
          <t>https://lpjk.pu.go.id/search-badan-usaha-detail/dnIyak03SnVTOWhlbzIyamJ2TmYzUT09</t>
        </is>
      </c>
      <c r="F55" t="n">
        <v>1</v>
      </c>
      <c r="G55" t="inlineStr">
        <is>
          <t>BS001</t>
        </is>
      </c>
      <c r="H55" t="inlineStr">
        <is>
          <t>13 November 1986</t>
        </is>
      </c>
      <c r="I55" s="2" t="n">
        <v>46359</v>
      </c>
      <c r="J55" t="inlineStr">
        <is>
          <t>Disetujui</t>
        </is>
      </c>
      <c r="K55" t="n">
        <v>87</v>
      </c>
      <c r="L55" t="inlineStr">
        <is>
          <t>3 Desember 2026</t>
        </is>
      </c>
      <c r="M55" t="inlineStr">
        <is>
          <t>Konstruksi Bangunan Sipil Jalan</t>
        </is>
      </c>
      <c r="N55" t="inlineStr">
        <is>
          <t>K</t>
        </is>
      </c>
      <c r="O55" t="inlineStr">
        <is>
          <t>20231129</t>
        </is>
      </c>
      <c r="P55" t="inlineStr">
        <is>
          <t>Jawa Tengah</t>
        </is>
      </c>
      <c r="Q55" t="inlineStr"/>
    </row>
    <row r="56">
      <c r="A56" t="inlineStr">
        <is>
          <t>LIMAS BERKAT ABADI</t>
        </is>
      </c>
      <c r="B56" t="inlineStr">
        <is>
          <t>Kota Tangerang</t>
        </is>
      </c>
      <c r="C56" t="inlineStr">
        <is>
          <t>02150208830</t>
        </is>
      </c>
      <c r="D56" t="inlineStr">
        <is>
          <t>limasberkatabadi@yahoo.com</t>
        </is>
      </c>
      <c r="E56" t="inlineStr">
        <is>
          <t>https://lpjk.pu.go.id/search-badan-usaha-detail/b212V09vUndWbU1YVThicXhWbXhWUT09</t>
        </is>
      </c>
      <c r="F56" t="n">
        <v>6</v>
      </c>
      <c r="G56" t="inlineStr">
        <is>
          <t>BG004, BG005, BG007</t>
        </is>
      </c>
      <c r="H56" t="inlineStr">
        <is>
          <t>13 Desember 2019</t>
        </is>
      </c>
      <c r="I56" s="2" t="n">
        <v>46359</v>
      </c>
      <c r="J56" t="inlineStr">
        <is>
          <t>Disetujui</t>
        </is>
      </c>
      <c r="K56" t="n">
        <v>87</v>
      </c>
      <c r="L56" t="inlineStr">
        <is>
          <t>3 Desember 2026</t>
        </is>
      </c>
      <c r="M56" t="inlineStr">
        <is>
          <t>Konstruksi Gedung Kesehatan, Konstruksi Gedung Penginapan, Konstruksi Gedung Perbelanjaan</t>
        </is>
      </c>
      <c r="N56" t="inlineStr">
        <is>
          <t>K</t>
        </is>
      </c>
      <c r="O56" t="inlineStr">
        <is>
          <t>20231201, 20231204</t>
        </is>
      </c>
      <c r="P56" t="inlineStr">
        <is>
          <t>Banten</t>
        </is>
      </c>
      <c r="Q56" t="inlineStr"/>
    </row>
    <row r="57">
      <c r="A57" t="inlineStr">
        <is>
          <t>MAHESA UTAMA</t>
        </is>
      </c>
      <c r="B57" t="inlineStr">
        <is>
          <t>Kab. Ciamis</t>
        </is>
      </c>
      <c r="C57" t="inlineStr">
        <is>
          <t>082138555625</t>
        </is>
      </c>
      <c r="D57" t="inlineStr">
        <is>
          <t>cvmahesautama22@gmail.com</t>
        </is>
      </c>
      <c r="E57" t="inlineStr">
        <is>
          <t>https://lpjk.pu.go.id/search-badan-usaha-detail/bWJkMjY4dEYzYUpoTnNHV1ZMTVdxUT09</t>
        </is>
      </c>
      <c r="F57" t="n">
        <v>2</v>
      </c>
      <c r="G57" t="inlineStr">
        <is>
          <t>BS001, BS004</t>
        </is>
      </c>
      <c r="H57" t="inlineStr">
        <is>
          <t>16 Oktober 2019</t>
        </is>
      </c>
      <c r="I57" s="2" t="n">
        <v>46359</v>
      </c>
      <c r="J57" t="inlineStr">
        <is>
          <t>Pencabutan</t>
        </is>
      </c>
      <c r="K57" t="n">
        <v>87</v>
      </c>
      <c r="L57" t="inlineStr">
        <is>
          <t>3 Desember 2026</t>
        </is>
      </c>
      <c r="M57" t="inlineStr">
        <is>
          <t>Konstruksi Bangunan Sipil Jalan, Konstruksi Jaringan Irigasi dan Drainase</t>
        </is>
      </c>
      <c r="N57" t="inlineStr">
        <is>
          <t>K</t>
        </is>
      </c>
      <c r="O57" t="inlineStr">
        <is>
          <t>20231128</t>
        </is>
      </c>
      <c r="P57" t="inlineStr">
        <is>
          <t>Jawa Barat</t>
        </is>
      </c>
      <c r="Q57" t="inlineStr"/>
    </row>
    <row r="58">
      <c r="A58" t="inlineStr">
        <is>
          <t>MAHONI</t>
        </is>
      </c>
      <c r="B58" t="inlineStr">
        <is>
          <t>Kota Bandung</t>
        </is>
      </c>
      <c r="C58" t="inlineStr">
        <is>
          <t>0227213760</t>
        </is>
      </c>
      <c r="D58" t="inlineStr">
        <is>
          <t>mahonirohman@yahoo.co.id</t>
        </is>
      </c>
      <c r="E58" t="inlineStr">
        <is>
          <t>https://lpjk.pu.go.id/search-badan-usaha-detail/aGtGY2xIVmRpbmZpSEg2c21SYTBHZz09</t>
        </is>
      </c>
      <c r="F58" t="n">
        <v>3</v>
      </c>
      <c r="G58" t="inlineStr">
        <is>
          <t>RK002, RK003, RK005</t>
        </is>
      </c>
      <c r="H58" t="inlineStr">
        <is>
          <t>26 Februari 1991</t>
        </is>
      </c>
      <c r="I58" s="2" t="n">
        <v>46359</v>
      </c>
      <c r="J58" t="inlineStr">
        <is>
          <t>Disetujui</t>
        </is>
      </c>
      <c r="K58" t="n">
        <v>87</v>
      </c>
      <c r="L58" t="inlineStr">
        <is>
          <t>3 Desember 2026</t>
        </is>
      </c>
      <c r="M58" t="inlineStr">
        <is>
          <t>Jasa Rekayasa Lainnya, Jasa Rekayasa Pekerjaan Teknik Sipil Sumber Daya Air, Jasa Rekayasa Pekerjaan Teknik Sipil Transportasi</t>
        </is>
      </c>
      <c r="N58" t="inlineStr">
        <is>
          <t>K</t>
        </is>
      </c>
      <c r="O58" t="inlineStr">
        <is>
          <t>20231121, 20231122</t>
        </is>
      </c>
      <c r="P58" t="inlineStr">
        <is>
          <t>Jawa Barat</t>
        </is>
      </c>
      <c r="Q58" t="inlineStr"/>
    </row>
    <row r="59">
      <c r="A59" t="inlineStr">
        <is>
          <t>MANDIRI JAYA MAKMUR SENTOSA</t>
        </is>
      </c>
      <c r="B59" t="inlineStr">
        <is>
          <t>Kota Adm. Jakarta Barat</t>
        </is>
      </c>
      <c r="C59" t="inlineStr">
        <is>
          <t>0215322229</t>
        </is>
      </c>
      <c r="D59" t="inlineStr">
        <is>
          <t>mandiri_jaya_makmur_sentosa@yahoo.com</t>
        </is>
      </c>
      <c r="E59" t="inlineStr">
        <is>
          <t>https://lpjk.pu.go.id/search-badan-usaha-detail/ZUQ3ak5va3A2MGk1Z0dYSkU1b3ZuZz09</t>
        </is>
      </c>
      <c r="F59" t="n">
        <v>1</v>
      </c>
      <c r="G59" t="inlineStr">
        <is>
          <t>BG004</t>
        </is>
      </c>
      <c r="H59" t="inlineStr">
        <is>
          <t>30 Mei 2007</t>
        </is>
      </c>
      <c r="I59" s="2" t="n">
        <v>46359</v>
      </c>
      <c r="J59" t="inlineStr">
        <is>
          <t>Pembekuan</t>
        </is>
      </c>
      <c r="K59" t="n">
        <v>87</v>
      </c>
      <c r="L59" t="inlineStr">
        <is>
          <t>3 Desember 2026</t>
        </is>
      </c>
      <c r="M59" t="inlineStr">
        <is>
          <t>Konstruksi Gedung Perbelanjaan</t>
        </is>
      </c>
      <c r="N59" t="inlineStr">
        <is>
          <t>M</t>
        </is>
      </c>
      <c r="O59" t="inlineStr">
        <is>
          <t>20231130</t>
        </is>
      </c>
      <c r="P59" t="inlineStr">
        <is>
          <t>DKI Jakarta</t>
        </is>
      </c>
      <c r="Q59" t="inlineStr"/>
    </row>
    <row r="60">
      <c r="A60" t="inlineStr">
        <is>
          <t>MAVENDRA</t>
        </is>
      </c>
      <c r="B60" t="inlineStr">
        <is>
          <t>Kota Pontianak</t>
        </is>
      </c>
      <c r="C60" t="inlineStr">
        <is>
          <t>081649300300</t>
        </is>
      </c>
      <c r="D60" t="inlineStr">
        <is>
          <t>mavendra.pnk@gmail.com</t>
        </is>
      </c>
      <c r="E60" t="inlineStr">
        <is>
          <t>https://lpjk.pu.go.id/search-badan-usaha-detail/YmxJV2ZOTG4xc1ZVWmtUd2FOYndjQT09</t>
        </is>
      </c>
      <c r="F60" t="n">
        <v>3</v>
      </c>
      <c r="G60" t="inlineStr">
        <is>
          <t>BG002, BG009, BS004</t>
        </is>
      </c>
      <c r="H60" t="inlineStr">
        <is>
          <t>11 April 2017</t>
        </is>
      </c>
      <c r="I60" s="2" t="n">
        <v>46359</v>
      </c>
      <c r="J60" t="inlineStr">
        <is>
          <t>Disetujui</t>
        </is>
      </c>
      <c r="K60" t="n">
        <v>87</v>
      </c>
      <c r="L60" t="inlineStr">
        <is>
          <t>3 Desember 2026</t>
        </is>
      </c>
      <c r="M60" t="inlineStr">
        <is>
          <t>Konstruksi Gedung Lainnya, Konstruksi Gedung Perkantoran, Konstruksi Jaringan Irigasi dan Drainase</t>
        </is>
      </c>
      <c r="N60" t="inlineStr">
        <is>
          <t>K</t>
        </is>
      </c>
      <c r="O60" t="inlineStr">
        <is>
          <t>20231106, 20231204</t>
        </is>
      </c>
      <c r="P60" t="inlineStr">
        <is>
          <t>Kalimantan Barat</t>
        </is>
      </c>
      <c r="Q60" t="inlineStr"/>
    </row>
    <row r="61">
      <c r="A61" t="inlineStr">
        <is>
          <t>MEGAH BERKAH PRATAMA</t>
        </is>
      </c>
      <c r="B61" t="inlineStr">
        <is>
          <t>Kota Adm. Jakarta Barat</t>
        </is>
      </c>
      <c r="C61" t="inlineStr">
        <is>
          <t>0215561580</t>
        </is>
      </c>
      <c r="D61" t="inlineStr">
        <is>
          <t>megahberkahpratama@gmail.com</t>
        </is>
      </c>
      <c r="E61" t="inlineStr">
        <is>
          <t>https://lpjk.pu.go.id/search-badan-usaha-detail/NkRENEhVOWMzY2tqdWtQTlhwWFZlZz09</t>
        </is>
      </c>
      <c r="F61" t="n">
        <v>10</v>
      </c>
      <c r="G61" t="inlineStr">
        <is>
          <t>BG002, BG009, PB003, PB004, PB005</t>
        </is>
      </c>
      <c r="H61" t="inlineStr">
        <is>
          <t>21 April 2022</t>
        </is>
      </c>
      <c r="I61" s="2" t="n">
        <v>46359</v>
      </c>
      <c r="J61" t="inlineStr">
        <is>
          <t>Disetujui, Pembekuan</t>
        </is>
      </c>
      <c r="K61" t="n">
        <v>87</v>
      </c>
      <c r="L61" t="inlineStr">
        <is>
          <t>3 Desember 2026</t>
        </is>
      </c>
      <c r="M61" t="inlineStr">
        <is>
          <t>Dekorasi Interior, Konstruksi Gedung Lainnya, Konstruksi Gedung Perkantoran, Pemasangan Ornamen dan Pekerjaan Seni, Pengerjaan Lantai, Dinding, Peralatan Saniter dan Plafon</t>
        </is>
      </c>
      <c r="N61" t="inlineStr">
        <is>
          <t>K, Spesialis</t>
        </is>
      </c>
      <c r="O61" t="inlineStr">
        <is>
          <t>20220519, 20231129, 20231204, 20231206</t>
        </is>
      </c>
      <c r="P61" t="inlineStr">
        <is>
          <t>DKI Jakarta</t>
        </is>
      </c>
      <c r="Q61" t="inlineStr"/>
    </row>
    <row r="62">
      <c r="A62" t="inlineStr">
        <is>
          <t>METRO INDO WAHANATAKA</t>
        </is>
      </c>
      <c r="B62" t="inlineStr">
        <is>
          <t>Kota Mataram</t>
        </is>
      </c>
      <c r="C62" t="inlineStr">
        <is>
          <t>0370633436</t>
        </is>
      </c>
      <c r="D62" t="inlineStr">
        <is>
          <t>ptmetroindo@gmail.com</t>
        </is>
      </c>
      <c r="E62" t="inlineStr">
        <is>
          <t>https://lpjk.pu.go.id/search-badan-usaha-detail/aWJKY0l1ZEQ3aER4U3FOSGdLVFlrQT09</t>
        </is>
      </c>
      <c r="F62" t="n">
        <v>1</v>
      </c>
      <c r="G62" t="inlineStr">
        <is>
          <t>BS004</t>
        </is>
      </c>
      <c r="H62" t="inlineStr">
        <is>
          <t>30 November 2005</t>
        </is>
      </c>
      <c r="I62" s="2" t="n">
        <v>46359</v>
      </c>
      <c r="J62" t="inlineStr">
        <is>
          <t>Disetujui</t>
        </is>
      </c>
      <c r="K62" t="n">
        <v>87</v>
      </c>
      <c r="L62" t="inlineStr">
        <is>
          <t>3 Desember 2026</t>
        </is>
      </c>
      <c r="M62" t="inlineStr">
        <is>
          <t>Konstruksi Jaringan Irigasi dan Drainase</t>
        </is>
      </c>
      <c r="N62" t="inlineStr">
        <is>
          <t>K</t>
        </is>
      </c>
      <c r="O62" t="inlineStr">
        <is>
          <t>20231128</t>
        </is>
      </c>
      <c r="P62" t="inlineStr">
        <is>
          <t>Nusa Tenggara Barat</t>
        </is>
      </c>
      <c r="Q62" t="inlineStr"/>
    </row>
    <row r="63">
      <c r="A63" t="inlineStr">
        <is>
          <t>MITRA ABADI DWI PERKASA</t>
        </is>
      </c>
      <c r="B63" t="inlineStr">
        <is>
          <t>Kota Balikpapan</t>
        </is>
      </c>
      <c r="C63" t="inlineStr">
        <is>
          <t>05428522888</t>
        </is>
      </c>
      <c r="D63" t="inlineStr">
        <is>
          <t>madpbpp@gmail.com</t>
        </is>
      </c>
      <c r="E63" t="inlineStr">
        <is>
          <t>https://lpjk.pu.go.id/search-badan-usaha-detail/djRScFYxZVlNOTB0dGtZdExFMU9BUT09</t>
        </is>
      </c>
      <c r="F63" t="n">
        <v>1</v>
      </c>
      <c r="G63" t="inlineStr">
        <is>
          <t>BG009</t>
        </is>
      </c>
      <c r="H63" t="inlineStr">
        <is>
          <t>21 April 2008</t>
        </is>
      </c>
      <c r="I63" s="2" t="n">
        <v>46359</v>
      </c>
      <c r="J63" t="inlineStr">
        <is>
          <t>Disetujui</t>
        </is>
      </c>
      <c r="K63" t="n">
        <v>87</v>
      </c>
      <c r="L63" t="inlineStr">
        <is>
          <t>3 Desember 2026</t>
        </is>
      </c>
      <c r="M63" t="inlineStr">
        <is>
          <t>Konstruksi Gedung Lainnya</t>
        </is>
      </c>
      <c r="N63" t="inlineStr">
        <is>
          <t>M</t>
        </is>
      </c>
      <c r="O63" t="inlineStr">
        <is>
          <t>20231127</t>
        </is>
      </c>
      <c r="P63" t="inlineStr">
        <is>
          <t>Kalimantan Timur</t>
        </is>
      </c>
      <c r="Q63" t="inlineStr"/>
    </row>
    <row r="64">
      <c r="A64" t="inlineStr">
        <is>
          <t>MITRA FOKUS</t>
        </is>
      </c>
      <c r="B64" t="inlineStr">
        <is>
          <t>Kab. Aceh Barat</t>
        </is>
      </c>
      <c r="C64" t="inlineStr">
        <is>
          <t>082274603090</t>
        </is>
      </c>
      <c r="D64" t="inlineStr">
        <is>
          <t>mitra.fokus04@gmail.com</t>
        </is>
      </c>
      <c r="E64" t="inlineStr">
        <is>
          <t>https://lpjk.pu.go.id/search-badan-usaha-detail/OTNHRVVLMFJCMGJDc29LcEJxYWVjQT09</t>
        </is>
      </c>
      <c r="F64" t="n">
        <v>2</v>
      </c>
      <c r="G64" t="inlineStr">
        <is>
          <t>BS001, BS004</t>
        </is>
      </c>
      <c r="H64" t="inlineStr">
        <is>
          <t>19 Mei 2014</t>
        </is>
      </c>
      <c r="I64" s="2" t="n">
        <v>46359</v>
      </c>
      <c r="J64" t="inlineStr">
        <is>
          <t>Disetujui</t>
        </is>
      </c>
      <c r="K64" t="n">
        <v>87</v>
      </c>
      <c r="L64" t="inlineStr">
        <is>
          <t>3 Desember 2026</t>
        </is>
      </c>
      <c r="M64" t="inlineStr">
        <is>
          <t>Konstruksi Bangunan Sipil Jalan, Konstruksi Jaringan Irigasi dan Drainase</t>
        </is>
      </c>
      <c r="N64" t="inlineStr">
        <is>
          <t>K</t>
        </is>
      </c>
      <c r="O64" t="inlineStr">
        <is>
          <t>20231204</t>
        </is>
      </c>
      <c r="P64" t="inlineStr">
        <is>
          <t>Aceh</t>
        </is>
      </c>
      <c r="Q64" t="inlineStr"/>
    </row>
    <row r="65">
      <c r="A65" t="inlineStr">
        <is>
          <t>MITRA KARYA SEJATI</t>
        </is>
      </c>
      <c r="B65" t="inlineStr">
        <is>
          <t>Kab. Blitar</t>
        </is>
      </c>
      <c r="C65" t="inlineStr">
        <is>
          <t>082230516646</t>
        </is>
      </c>
      <c r="D65" t="inlineStr">
        <is>
          <t>cv.mitrakaryasejati1@gmail.com</t>
        </is>
      </c>
      <c r="E65" t="inlineStr">
        <is>
          <t>https://lpjk.pu.go.id/search-badan-usaha-detail/WndNVWNKL2UvZXRNOG0zRDVwRmFHUT09</t>
        </is>
      </c>
      <c r="F65" t="n">
        <v>1</v>
      </c>
      <c r="G65" t="inlineStr">
        <is>
          <t>BG005</t>
        </is>
      </c>
      <c r="H65" t="inlineStr">
        <is>
          <t>11 November 2014</t>
        </is>
      </c>
      <c r="I65" s="2" t="n">
        <v>46359</v>
      </c>
      <c r="J65" t="inlineStr">
        <is>
          <t>Disetujui</t>
        </is>
      </c>
      <c r="K65" t="n">
        <v>87</v>
      </c>
      <c r="L65" t="inlineStr">
        <is>
          <t>3 Desember 2026</t>
        </is>
      </c>
      <c r="M65" t="inlineStr">
        <is>
          <t>Konstruksi Gedung Kesehatan</t>
        </is>
      </c>
      <c r="N65" t="inlineStr">
        <is>
          <t>K</t>
        </is>
      </c>
      <c r="O65" t="inlineStr">
        <is>
          <t>20231129</t>
        </is>
      </c>
      <c r="P65" t="inlineStr">
        <is>
          <t>Jawa Timur</t>
        </is>
      </c>
      <c r="Q65" t="inlineStr"/>
    </row>
    <row r="66">
      <c r="A66" t="inlineStr">
        <is>
          <t>MULTI CIPTA ANUGRAH</t>
        </is>
      </c>
      <c r="B66" t="inlineStr">
        <is>
          <t>Kota Malang</t>
        </is>
      </c>
      <c r="C66" t="inlineStr">
        <is>
          <t>0341717305</t>
        </is>
      </c>
      <c r="D66" t="inlineStr">
        <is>
          <t>denimulyono@rocketmail.com</t>
        </is>
      </c>
      <c r="E66" t="inlineStr">
        <is>
          <t>https://lpjk.pu.go.id/search-badan-usaha-detail/L3hTa2FTS05OS2IwSktkSlhOVSt3QT09</t>
        </is>
      </c>
      <c r="F66" t="n">
        <v>3</v>
      </c>
      <c r="G66" t="inlineStr">
        <is>
          <t>BG006, BS001, BS005</t>
        </is>
      </c>
      <c r="H66" t="inlineStr">
        <is>
          <t>4 September 2000</t>
        </is>
      </c>
      <c r="I66" s="2" t="n">
        <v>46359</v>
      </c>
      <c r="J66" t="inlineStr">
        <is>
          <t>Disetujui</t>
        </is>
      </c>
      <c r="K66" t="n">
        <v>87</v>
      </c>
      <c r="L66" t="inlineStr">
        <is>
          <t>3 Desember 2026</t>
        </is>
      </c>
      <c r="M66" t="inlineStr">
        <is>
          <t>Konstruksi Bangunan Sipil Jalan, Konstruksi Bangunan Sipil Pengolahan Air Bersih, Konstruksi Gedung Pendidikan</t>
        </is>
      </c>
      <c r="N66" t="inlineStr">
        <is>
          <t>K</t>
        </is>
      </c>
      <c r="O66" t="inlineStr">
        <is>
          <t>20230315, 20231203</t>
        </is>
      </c>
      <c r="P66" t="inlineStr">
        <is>
          <t>Jawa Timur</t>
        </is>
      </c>
      <c r="Q66" t="inlineStr"/>
    </row>
    <row r="67">
      <c r="A67" t="inlineStr">
        <is>
          <t>MULUS RAHAYU BERKAH SALAMET</t>
        </is>
      </c>
      <c r="B67" t="inlineStr">
        <is>
          <t>Kab. Bandung</t>
        </is>
      </c>
      <c r="C67" t="inlineStr">
        <is>
          <t>081322024005</t>
        </is>
      </c>
      <c r="D67" t="inlineStr">
        <is>
          <t>ptmurubasa@gmail.com</t>
        </is>
      </c>
      <c r="E67" t="inlineStr">
        <is>
          <t>https://lpjk.pu.go.id/search-badan-usaha-detail/VXV4WGhQZWc0bThRckNTTHF5b3hPUT09</t>
        </is>
      </c>
      <c r="F67" t="n">
        <v>1</v>
      </c>
      <c r="G67" t="inlineStr">
        <is>
          <t>RK003</t>
        </is>
      </c>
      <c r="H67" t="inlineStr">
        <is>
          <t>6 Oktober 2023</t>
        </is>
      </c>
      <c r="I67" s="2" t="n">
        <v>46359</v>
      </c>
      <c r="J67" t="inlineStr">
        <is>
          <t>Disetujui</t>
        </is>
      </c>
      <c r="K67" t="n">
        <v>87</v>
      </c>
      <c r="L67" t="inlineStr">
        <is>
          <t>3 Desember 2026</t>
        </is>
      </c>
      <c r="M67" t="inlineStr">
        <is>
          <t>Jasa Rekayasa Pekerjaan Teknik Sipil Transportasi</t>
        </is>
      </c>
      <c r="N67" t="inlineStr">
        <is>
          <t>K</t>
        </is>
      </c>
      <c r="O67" t="inlineStr">
        <is>
          <t>20231102</t>
        </is>
      </c>
      <c r="P67" t="inlineStr">
        <is>
          <t>Jawa Barat</t>
        </is>
      </c>
      <c r="Q67" t="inlineStr"/>
    </row>
    <row r="68">
      <c r="A68" t="inlineStr">
        <is>
          <t>NUANSA TEKNIK KONSULTAN</t>
        </is>
      </c>
      <c r="B68" t="inlineStr">
        <is>
          <t>Kota Bandar Lampung</t>
        </is>
      </c>
      <c r="C68" t="inlineStr">
        <is>
          <t>081369332156</t>
        </is>
      </c>
      <c r="D68" t="inlineStr">
        <is>
          <t>nuansateknikkonsultan01@gmail.com</t>
        </is>
      </c>
      <c r="E68" t="inlineStr">
        <is>
          <t>https://lpjk.pu.go.id/search-badan-usaha-detail/Z0IyZjNHeTVSU2ZpVVE4Sk0xVjA1Zz09</t>
        </is>
      </c>
      <c r="F68" t="n">
        <v>1</v>
      </c>
      <c r="G68" t="inlineStr">
        <is>
          <t>RK001</t>
        </is>
      </c>
      <c r="H68" t="inlineStr">
        <is>
          <t>26 Oktober 2020</t>
        </is>
      </c>
      <c r="I68" s="2" t="n">
        <v>46359</v>
      </c>
      <c r="J68" t="inlineStr">
        <is>
          <t>Disetujui</t>
        </is>
      </c>
      <c r="K68" t="n">
        <v>87</v>
      </c>
      <c r="L68" t="inlineStr">
        <is>
          <t>3 Desember 2026</t>
        </is>
      </c>
      <c r="M68" t="inlineStr">
        <is>
          <t>Jasa Rekayasa Konstruksi Bangunan Gedung Hunian dan Non Hunian</t>
        </is>
      </c>
      <c r="N68" t="inlineStr">
        <is>
          <t>K</t>
        </is>
      </c>
      <c r="O68" t="inlineStr">
        <is>
          <t>20231124</t>
        </is>
      </c>
      <c r="P68" t="inlineStr">
        <is>
          <t>Lampung</t>
        </is>
      </c>
      <c r="Q68" t="inlineStr"/>
    </row>
    <row r="69">
      <c r="A69" t="inlineStr">
        <is>
          <t>PALAPA ABADI</t>
        </is>
      </c>
      <c r="B69" t="inlineStr">
        <is>
          <t>Kab. Lombok Barat</t>
        </is>
      </c>
      <c r="C69" t="inlineStr">
        <is>
          <t>081322229514</t>
        </is>
      </c>
      <c r="D69" t="inlineStr">
        <is>
          <t>dulwildan@gmail.com</t>
        </is>
      </c>
      <c r="E69" t="inlineStr">
        <is>
          <t>https://lpjk.pu.go.id/search-badan-usaha-detail/aWJRRHJZU1M2Z21hQ1BEelIwdndnQT09</t>
        </is>
      </c>
      <c r="F69" t="n">
        <v>5</v>
      </c>
      <c r="G69" t="inlineStr">
        <is>
          <t>BG002, BG005, BG008, BG009, BS005</t>
        </is>
      </c>
      <c r="H69" t="inlineStr">
        <is>
          <t>22 Juni 2012</t>
        </is>
      </c>
      <c r="I69" s="2" t="n">
        <v>46359</v>
      </c>
      <c r="J69" t="inlineStr">
        <is>
          <t>Disetujui</t>
        </is>
      </c>
      <c r="K69" t="n">
        <v>87</v>
      </c>
      <c r="L69" t="inlineStr">
        <is>
          <t>3 Desember 2026</t>
        </is>
      </c>
      <c r="M69" t="inlineStr">
        <is>
          <t>Konstruksi Bangunan Sipil Pengolahan Air Bersih, Konstruksi Gedung Kesehatan, Konstruksi Gedung Lainnya, Konstruksi Gedung Perkantoran, Konstruksi Gedung Tempat Hiburan dan Olahraga</t>
        </is>
      </c>
      <c r="N69" t="inlineStr">
        <is>
          <t>K</t>
        </is>
      </c>
      <c r="O69" t="inlineStr">
        <is>
          <t>20231128, 20231201, 20231204</t>
        </is>
      </c>
      <c r="P69" t="inlineStr">
        <is>
          <t>Nusa Tenggara Barat</t>
        </is>
      </c>
      <c r="Q69" t="inlineStr"/>
    </row>
    <row r="70">
      <c r="A70" t="inlineStr">
        <is>
          <t>PASOPATI ENERGI INDONESIA</t>
        </is>
      </c>
      <c r="B70" t="inlineStr">
        <is>
          <t>Kota Adm. Jakarta Selatan</t>
        </is>
      </c>
      <c r="C70" t="inlineStr">
        <is>
          <t>081283780827</t>
        </is>
      </c>
      <c r="D70" t="inlineStr">
        <is>
          <t>pasopatienergi@gmail.com</t>
        </is>
      </c>
      <c r="E70" t="inlineStr">
        <is>
          <t>https://lpjk.pu.go.id/search-badan-usaha-detail/SVhVZ0N1THBwOWd3ME5yaHlaNmV0Zz09</t>
        </is>
      </c>
      <c r="F70" t="n">
        <v>1</v>
      </c>
      <c r="G70" t="inlineStr">
        <is>
          <t>BG009</t>
        </is>
      </c>
      <c r="H70" t="inlineStr">
        <is>
          <t>9 September 2020</t>
        </is>
      </c>
      <c r="I70" s="2" t="n">
        <v>46359</v>
      </c>
      <c r="J70" t="inlineStr">
        <is>
          <t>Pencabutan</t>
        </is>
      </c>
      <c r="K70" t="n">
        <v>87</v>
      </c>
      <c r="L70" t="inlineStr">
        <is>
          <t>3 Desember 2026</t>
        </is>
      </c>
      <c r="M70" t="inlineStr">
        <is>
          <t>Konstruksi Gedung Lainnya</t>
        </is>
      </c>
      <c r="N70" t="inlineStr">
        <is>
          <t>K</t>
        </is>
      </c>
      <c r="O70" t="inlineStr">
        <is>
          <t>20231130</t>
        </is>
      </c>
      <c r="P70" t="inlineStr">
        <is>
          <t>DKI Jakarta</t>
        </is>
      </c>
      <c r="Q70" t="inlineStr"/>
    </row>
    <row r="71">
      <c r="A71" t="inlineStr">
        <is>
          <t>PRATAMA JAYA</t>
        </is>
      </c>
      <c r="B71" t="inlineStr">
        <is>
          <t>Kota Singkawang</t>
        </is>
      </c>
      <c r="C71" t="inlineStr">
        <is>
          <t>089694075535</t>
        </is>
      </c>
      <c r="D71" t="inlineStr">
        <is>
          <t>ivan.junindra@gmail.com</t>
        </is>
      </c>
      <c r="E71" t="inlineStr">
        <is>
          <t>https://lpjk.pu.go.id/search-badan-usaha-detail/R1BNVjltTmVSdms5alJJTmt0ajJvdz09</t>
        </is>
      </c>
      <c r="F71" t="n">
        <v>1</v>
      </c>
      <c r="G71" t="inlineStr">
        <is>
          <t>BS010</t>
        </is>
      </c>
      <c r="H71" t="inlineStr">
        <is>
          <t>16 Februari 2010</t>
        </is>
      </c>
      <c r="I71" s="2" t="n">
        <v>46359</v>
      </c>
      <c r="J71" t="inlineStr">
        <is>
          <t>Disetujui</t>
        </is>
      </c>
      <c r="K71" t="n">
        <v>87</v>
      </c>
      <c r="L71" t="inlineStr">
        <is>
          <t>3 Desember 2026</t>
        </is>
      </c>
      <c r="M71" t="inlineStr">
        <is>
          <t>Konstruksi Bangunan Prasarana Sumber Daya Air</t>
        </is>
      </c>
      <c r="N71" t="inlineStr">
        <is>
          <t>K</t>
        </is>
      </c>
      <c r="O71" t="inlineStr">
        <is>
          <t>20231203</t>
        </is>
      </c>
      <c r="P71" t="inlineStr">
        <is>
          <t>Kalimantan Barat</t>
        </is>
      </c>
      <c r="Q71" t="inlineStr"/>
    </row>
    <row r="72">
      <c r="A72" t="inlineStr">
        <is>
          <t>PUTRA JAYA</t>
        </is>
      </c>
      <c r="B72" t="inlineStr">
        <is>
          <t>Kota Balikpapan</t>
        </is>
      </c>
      <c r="C72" t="inlineStr">
        <is>
          <t>0811542910</t>
        </is>
      </c>
      <c r="D72" t="inlineStr">
        <is>
          <t>putrajayabpbn@gmail.com</t>
        </is>
      </c>
      <c r="E72" t="inlineStr">
        <is>
          <t>https://lpjk.pu.go.id/search-badan-usaha-detail/SXNuUWluOVZ5NWFtYmlwdkFQeGtSUT09</t>
        </is>
      </c>
      <c r="F72" t="n">
        <v>1</v>
      </c>
      <c r="G72" t="inlineStr">
        <is>
          <t>BS001</t>
        </is>
      </c>
      <c r="H72" t="inlineStr">
        <is>
          <t>11 Maret 1996</t>
        </is>
      </c>
      <c r="I72" s="2" t="n">
        <v>46359</v>
      </c>
      <c r="J72" t="inlineStr">
        <is>
          <t>Disetujui</t>
        </is>
      </c>
      <c r="K72" t="n">
        <v>87</v>
      </c>
      <c r="L72" t="inlineStr">
        <is>
          <t>3 Desember 2026</t>
        </is>
      </c>
      <c r="M72" t="inlineStr">
        <is>
          <t>Konstruksi Bangunan Sipil Jalan</t>
        </is>
      </c>
      <c r="N72" t="inlineStr">
        <is>
          <t>K</t>
        </is>
      </c>
      <c r="O72" t="inlineStr">
        <is>
          <t>20231113</t>
        </is>
      </c>
      <c r="P72" t="inlineStr">
        <is>
          <t>Kalimantan Timur</t>
        </is>
      </c>
      <c r="Q72" t="inlineStr"/>
    </row>
    <row r="73">
      <c r="A73" t="inlineStr">
        <is>
          <t>PUTRA MANDIRI</t>
        </is>
      </c>
      <c r="B73" t="inlineStr">
        <is>
          <t>Kab. Banggai</t>
        </is>
      </c>
      <c r="C73" t="inlineStr">
        <is>
          <t>085299373333</t>
        </is>
      </c>
      <c r="D73" t="inlineStr">
        <is>
          <t>cvputramandiri2710@gmail.com</t>
        </is>
      </c>
      <c r="E73" t="inlineStr">
        <is>
          <t>https://lpjk.pu.go.id/search-badan-usaha-detail/QWwwRVh2dzdORTdOUGMvOHQxNkVyQT09</t>
        </is>
      </c>
      <c r="F73" t="n">
        <v>5</v>
      </c>
      <c r="G73" t="inlineStr">
        <is>
          <t>BG002, BG005, BG006, BG009, BS004</t>
        </is>
      </c>
      <c r="H73" t="inlineStr">
        <is>
          <t>8 November 1990</t>
        </is>
      </c>
      <c r="I73" s="2" t="n">
        <v>46359</v>
      </c>
      <c r="J73" t="inlineStr">
        <is>
          <t>Disetujui, Pencabutan</t>
        </is>
      </c>
      <c r="K73" t="n">
        <v>87</v>
      </c>
      <c r="L73" t="inlineStr">
        <is>
          <t>3 Desember 2026</t>
        </is>
      </c>
      <c r="M73" t="inlineStr">
        <is>
          <t>Konstruksi Gedung Kesehatan, Konstruksi Gedung Lainnya, Konstruksi Gedung Pendidikan, Konstruksi Gedung Perkantoran, Konstruksi Jaringan Irigasi dan Drainase</t>
        </is>
      </c>
      <c r="N73" t="inlineStr">
        <is>
          <t>K</t>
        </is>
      </c>
      <c r="O73" t="inlineStr">
        <is>
          <t>20231130</t>
        </is>
      </c>
      <c r="P73" t="inlineStr">
        <is>
          <t>Sulawesi Tengah</t>
        </is>
      </c>
      <c r="Q73" t="inlineStr"/>
    </row>
    <row r="74">
      <c r="A74" t="inlineStr">
        <is>
          <t>PUTRA MANDIRI BUWANA</t>
        </is>
      </c>
      <c r="B74" t="inlineStr">
        <is>
          <t>Kab. Tuban</t>
        </is>
      </c>
      <c r="C74" t="inlineStr">
        <is>
          <t>085330088493</t>
        </is>
      </c>
      <c r="D74" t="inlineStr">
        <is>
          <t>ptputramandiribuwana@yahoo.com</t>
        </is>
      </c>
      <c r="E74" t="inlineStr">
        <is>
          <t>https://lpjk.pu.go.id/search-badan-usaha-detail/RHhEOTlTay9ibGRGUXFINXJSWlVuQT09</t>
        </is>
      </c>
      <c r="F74" t="n">
        <v>1</v>
      </c>
      <c r="G74" t="inlineStr">
        <is>
          <t>BG003</t>
        </is>
      </c>
      <c r="H74" t="inlineStr">
        <is>
          <t>18 Desember 2017</t>
        </is>
      </c>
      <c r="I74" s="2" t="n">
        <v>46359</v>
      </c>
      <c r="J74" t="inlineStr">
        <is>
          <t>Disetujui</t>
        </is>
      </c>
      <c r="K74" t="n">
        <v>87</v>
      </c>
      <c r="L74" t="inlineStr">
        <is>
          <t>3 Desember 2026</t>
        </is>
      </c>
      <c r="M74" t="inlineStr">
        <is>
          <t>Konstruksi Gedung Industri</t>
        </is>
      </c>
      <c r="N74" t="inlineStr">
        <is>
          <t>K</t>
        </is>
      </c>
      <c r="O74" t="inlineStr">
        <is>
          <t>20231017</t>
        </is>
      </c>
      <c r="P74" t="inlineStr">
        <is>
          <t>Jawa Timur</t>
        </is>
      </c>
      <c r="Q74" t="inlineStr"/>
    </row>
    <row r="75">
      <c r="A75" t="inlineStr">
        <is>
          <t>PUTRI IKUTUBO</t>
        </is>
      </c>
      <c r="B75" t="inlineStr">
        <is>
          <t>Kab. Flores Timur</t>
        </is>
      </c>
      <c r="C75" t="inlineStr">
        <is>
          <t>081261257828</t>
        </is>
      </c>
      <c r="D75" t="inlineStr">
        <is>
          <t>cvputriikutubo@gmail.com</t>
        </is>
      </c>
      <c r="E75" t="inlineStr">
        <is>
          <t>https://lpjk.pu.go.id/search-badan-usaha-detail/V1RzTVBsMFBHNVE4U0VQSmFSbkxZdz09</t>
        </is>
      </c>
      <c r="F75" t="n">
        <v>2</v>
      </c>
      <c r="G75" t="inlineStr">
        <is>
          <t>BG005, BG006</t>
        </is>
      </c>
      <c r="H75" t="inlineStr">
        <is>
          <t>22 Agustus 2023</t>
        </is>
      </c>
      <c r="I75" s="2" t="n">
        <v>46359</v>
      </c>
      <c r="J75" t="inlineStr">
        <is>
          <t>Disetujui</t>
        </is>
      </c>
      <c r="K75" t="n">
        <v>87</v>
      </c>
      <c r="L75" t="inlineStr">
        <is>
          <t>3 Desember 2026</t>
        </is>
      </c>
      <c r="M75" t="inlineStr">
        <is>
          <t>Konstruksi Gedung Kesehatan, Konstruksi Gedung Pendidikan</t>
        </is>
      </c>
      <c r="N75" t="inlineStr">
        <is>
          <t>K</t>
        </is>
      </c>
      <c r="O75" t="inlineStr">
        <is>
          <t>20231121, 20231204</t>
        </is>
      </c>
      <c r="P75" t="inlineStr">
        <is>
          <t>Nusa Tenggara Timur</t>
        </is>
      </c>
      <c r="Q75" t="inlineStr"/>
    </row>
    <row r="76">
      <c r="A76" t="inlineStr">
        <is>
          <t>RAKA ARGANTARA</t>
        </is>
      </c>
      <c r="B76" t="inlineStr">
        <is>
          <t>Kota Pematangsiantar</t>
        </is>
      </c>
      <c r="C76" t="inlineStr">
        <is>
          <t>082160230592</t>
        </is>
      </c>
      <c r="D76" t="inlineStr">
        <is>
          <t>auditrg4@gmail.com</t>
        </is>
      </c>
      <c r="E76" t="inlineStr">
        <is>
          <t>https://lpjk.pu.go.id/search-badan-usaha-detail/ODBXMzYzdTFlaHhORHNia2N0R2tudz09</t>
        </is>
      </c>
      <c r="F76" t="n">
        <v>2</v>
      </c>
      <c r="G76" t="inlineStr">
        <is>
          <t>BS001, BS004</t>
        </is>
      </c>
      <c r="H76" t="inlineStr">
        <is>
          <t>30 Januari 2023</t>
        </is>
      </c>
      <c r="I76" s="2" t="n">
        <v>46359</v>
      </c>
      <c r="J76" t="inlineStr">
        <is>
          <t>Disetujui</t>
        </is>
      </c>
      <c r="K76" t="n">
        <v>87</v>
      </c>
      <c r="L76" t="inlineStr">
        <is>
          <t>3 Desember 2026</t>
        </is>
      </c>
      <c r="M76" t="inlineStr">
        <is>
          <t>Konstruksi Bangunan Sipil Jalan, Konstruksi Jaringan Irigasi dan Drainase</t>
        </is>
      </c>
      <c r="N76" t="inlineStr">
        <is>
          <t>K</t>
        </is>
      </c>
      <c r="O76" t="inlineStr">
        <is>
          <t>20231126</t>
        </is>
      </c>
      <c r="P76" t="inlineStr">
        <is>
          <t>Sumatera Utara</t>
        </is>
      </c>
      <c r="Q76" t="inlineStr"/>
    </row>
    <row r="77">
      <c r="A77" t="inlineStr">
        <is>
          <t>REKA BANGUN SELARAS</t>
        </is>
      </c>
      <c r="B77" t="inlineStr">
        <is>
          <t>Kota Mataram</t>
        </is>
      </c>
      <c r="C77" t="inlineStr">
        <is>
          <t>081999722966</t>
        </is>
      </c>
      <c r="D77" t="inlineStr">
        <is>
          <t>selarasrekabangun@gmail.com</t>
        </is>
      </c>
      <c r="E77" t="inlineStr">
        <is>
          <t>https://lpjk.pu.go.id/search-badan-usaha-detail/aEFPQnFUY255eFRaVFdCalZRU3M1Zz09</t>
        </is>
      </c>
      <c r="F77" t="n">
        <v>3</v>
      </c>
      <c r="G77" t="inlineStr">
        <is>
          <t>BG003, BG009, BS001</t>
        </is>
      </c>
      <c r="H77" t="inlineStr">
        <is>
          <t>21 Juli 2023</t>
        </is>
      </c>
      <c r="I77" s="2" t="n">
        <v>46359</v>
      </c>
      <c r="J77" t="inlineStr">
        <is>
          <t>Disetujui</t>
        </is>
      </c>
      <c r="K77" t="n">
        <v>87</v>
      </c>
      <c r="L77" t="inlineStr">
        <is>
          <t>3 Desember 2026</t>
        </is>
      </c>
      <c r="M77" t="inlineStr">
        <is>
          <t>Konstruksi Bangunan Sipil Jalan, Konstruksi Gedung Industri, Konstruksi Gedung Lainnya</t>
        </is>
      </c>
      <c r="N77" t="inlineStr">
        <is>
          <t>K</t>
        </is>
      </c>
      <c r="O77" t="inlineStr">
        <is>
          <t>20231202</t>
        </is>
      </c>
      <c r="P77" t="inlineStr">
        <is>
          <t>Nusa Tenggara Barat</t>
        </is>
      </c>
      <c r="Q77" t="inlineStr"/>
    </row>
    <row r="78">
      <c r="A78" t="inlineStr">
        <is>
          <t>REMAJA BANGUN KENCANA KONTRAKTOR</t>
        </is>
      </c>
      <c r="B78" t="inlineStr">
        <is>
          <t>Kota Adm. Jakarta Barat</t>
        </is>
      </c>
      <c r="C78" t="inlineStr">
        <is>
          <t>0215669808</t>
        </is>
      </c>
      <c r="D78" t="inlineStr">
        <is>
          <t>headoff@rabana.famili.com</t>
        </is>
      </c>
      <c r="E78" t="inlineStr">
        <is>
          <t>https://lpjk.pu.go.id/search-badan-usaha-detail/ZzVlaWZPU0MzUTI4ZXNGdHpHNGROZz09</t>
        </is>
      </c>
      <c r="F78" t="n">
        <v>1</v>
      </c>
      <c r="G78" t="inlineStr">
        <is>
          <t>IN002</t>
        </is>
      </c>
      <c r="H78" t="inlineStr">
        <is>
          <t>16 Mei 1991</t>
        </is>
      </c>
      <c r="I78" s="2" t="n">
        <v>46359</v>
      </c>
      <c r="J78" t="inlineStr">
        <is>
          <t>Disetujui</t>
        </is>
      </c>
      <c r="K78" t="n">
        <v>87</v>
      </c>
      <c r="L78" t="inlineStr">
        <is>
          <t>3 Desember 2026</t>
        </is>
      </c>
      <c r="M78" t="inlineStr">
        <is>
          <t>Instalasi Telekomunikasi</t>
        </is>
      </c>
      <c r="N78" t="inlineStr">
        <is>
          <t>Spesialis</t>
        </is>
      </c>
      <c r="O78" t="inlineStr">
        <is>
          <t>20231128</t>
        </is>
      </c>
      <c r="P78" t="inlineStr">
        <is>
          <t>DKI Jakarta</t>
        </is>
      </c>
      <c r="Q78" t="inlineStr"/>
    </row>
    <row r="79">
      <c r="A79" t="inlineStr">
        <is>
          <t>RIDER LEVETT BUCKNALL</t>
        </is>
      </c>
      <c r="B79" t="inlineStr">
        <is>
          <t>Kota Adm. Jakarta Selatan</t>
        </is>
      </c>
      <c r="C79" t="inlineStr">
        <is>
          <t>02157952308</t>
        </is>
      </c>
      <c r="D79" t="inlineStr">
        <is>
          <t>fadli.aulia@id.rlb.com</t>
        </is>
      </c>
      <c r="E79" t="inlineStr">
        <is>
          <t>https://lpjk.pu.go.id/search-badan-usaha-detail/VGxoV2VscUZUMXVDcWhORUxneEFNdz09</t>
        </is>
      </c>
      <c r="F79" t="n">
        <v>1</v>
      </c>
      <c r="G79" t="inlineStr">
        <is>
          <t>RK001</t>
        </is>
      </c>
      <c r="H79" t="inlineStr">
        <is>
          <t>17 Maret 2014</t>
        </is>
      </c>
      <c r="I79" s="2" t="n">
        <v>46359</v>
      </c>
      <c r="J79" t="inlineStr">
        <is>
          <t>Pencabutan</t>
        </is>
      </c>
      <c r="K79" t="n">
        <v>87</v>
      </c>
      <c r="L79" t="inlineStr">
        <is>
          <t>3 Desember 2026</t>
        </is>
      </c>
      <c r="M79" t="inlineStr">
        <is>
          <t>Jasa Rekayasa Konstruksi Bangunan Gedung Hunian dan Non Hunian</t>
        </is>
      </c>
      <c r="N79" t="inlineStr">
        <is>
          <t>B</t>
        </is>
      </c>
      <c r="O79" t="inlineStr">
        <is>
          <t>20231115</t>
        </is>
      </c>
      <c r="P79" t="inlineStr">
        <is>
          <t>DKI Jakarta</t>
        </is>
      </c>
      <c r="Q79" t="inlineStr"/>
    </row>
    <row r="80">
      <c r="A80" t="inlineStr">
        <is>
          <t>RIDHO GRAHA</t>
        </is>
      </c>
      <c r="B80" t="inlineStr">
        <is>
          <t>Kab. Lombok Timur</t>
        </is>
      </c>
      <c r="C80" t="inlineStr">
        <is>
          <t>085934797156</t>
        </is>
      </c>
      <c r="D80" t="inlineStr">
        <is>
          <t>cv.ridhograha@gmail.com</t>
        </is>
      </c>
      <c r="E80" t="inlineStr">
        <is>
          <t>https://lpjk.pu.go.id/search-badan-usaha-detail/QWRlUFhQbHI1MGdubXZSVzI2YkxmZz09</t>
        </is>
      </c>
      <c r="F80" t="n">
        <v>3</v>
      </c>
      <c r="G80" t="inlineStr">
        <is>
          <t>BG005, BG006, BG009</t>
        </is>
      </c>
      <c r="H80" t="inlineStr">
        <is>
          <t>2 Oktober 2017</t>
        </is>
      </c>
      <c r="I80" s="2" t="n">
        <v>46359</v>
      </c>
      <c r="J80" t="inlineStr">
        <is>
          <t>Disetujui</t>
        </is>
      </c>
      <c r="K80" t="n">
        <v>87</v>
      </c>
      <c r="L80" t="inlineStr">
        <is>
          <t>3 Desember 2026</t>
        </is>
      </c>
      <c r="M80" t="inlineStr">
        <is>
          <t>Konstruksi Gedung Kesehatan, Konstruksi Gedung Lainnya, Konstruksi Gedung Pendidikan</t>
        </is>
      </c>
      <c r="N80" t="inlineStr">
        <is>
          <t>K</t>
        </is>
      </c>
      <c r="O80" t="inlineStr">
        <is>
          <t>20231129</t>
        </is>
      </c>
      <c r="P80" t="inlineStr">
        <is>
          <t>Nusa Tenggara Barat</t>
        </is>
      </c>
      <c r="Q80" t="inlineStr"/>
    </row>
    <row r="81">
      <c r="A81" t="inlineStr">
        <is>
          <t>RIFKI ANUNG</t>
        </is>
      </c>
      <c r="B81" t="inlineStr">
        <is>
          <t>Kab. Indramayu</t>
        </is>
      </c>
      <c r="C81" t="inlineStr">
        <is>
          <t>081224600173</t>
        </is>
      </c>
      <c r="D81" t="inlineStr">
        <is>
          <t>rifki_anung@yahoo.com</t>
        </is>
      </c>
      <c r="E81" t="inlineStr">
        <is>
          <t>https://lpjk.pu.go.id/search-badan-usaha-detail/U2pqRnU2cmRuZXYxRjRqWS8yWERMUT09</t>
        </is>
      </c>
      <c r="F81" t="n">
        <v>1</v>
      </c>
      <c r="G81" t="inlineStr">
        <is>
          <t>BS010</t>
        </is>
      </c>
      <c r="H81" t="inlineStr">
        <is>
          <t>4 Desember 2019</t>
        </is>
      </c>
      <c r="I81" s="2" t="n">
        <v>46359</v>
      </c>
      <c r="J81" t="inlineStr">
        <is>
          <t>Disetujui</t>
        </is>
      </c>
      <c r="K81" t="n">
        <v>87</v>
      </c>
      <c r="L81" t="inlineStr">
        <is>
          <t>3 Desember 2026</t>
        </is>
      </c>
      <c r="M81" t="inlineStr">
        <is>
          <t>Konstruksi Bangunan Prasarana Sumber Daya Air</t>
        </is>
      </c>
      <c r="N81" t="inlineStr">
        <is>
          <t>K</t>
        </is>
      </c>
      <c r="O81" t="inlineStr">
        <is>
          <t>20231128</t>
        </is>
      </c>
      <c r="P81" t="inlineStr">
        <is>
          <t>Jawa Barat</t>
        </is>
      </c>
      <c r="Q81" t="inlineStr"/>
    </row>
    <row r="82">
      <c r="A82" t="inlineStr">
        <is>
          <t>RIZKY AMANDA</t>
        </is>
      </c>
      <c r="B82" t="inlineStr">
        <is>
          <t>Kab. Deli Serdang</t>
        </is>
      </c>
      <c r="C82" t="inlineStr">
        <is>
          <t>081994802832</t>
        </is>
      </c>
      <c r="D82" t="inlineStr">
        <is>
          <t>cvrizkyamanda4@gmail.com</t>
        </is>
      </c>
      <c r="E82" t="inlineStr">
        <is>
          <t>https://lpjk.pu.go.id/search-badan-usaha-detail/Q0lnSGFOaFN2b09jYUZoUXVkL2JHQT09</t>
        </is>
      </c>
      <c r="F82" t="n">
        <v>3</v>
      </c>
      <c r="G82" t="inlineStr">
        <is>
          <t>BG006, BG009, BS004</t>
        </is>
      </c>
      <c r="H82" t="inlineStr">
        <is>
          <t>22 Juni 2012</t>
        </is>
      </c>
      <c r="I82" s="2" t="n">
        <v>46359</v>
      </c>
      <c r="J82" t="inlineStr">
        <is>
          <t>Disetujui</t>
        </is>
      </c>
      <c r="K82" t="n">
        <v>87</v>
      </c>
      <c r="L82" t="inlineStr">
        <is>
          <t>3 Desember 2026</t>
        </is>
      </c>
      <c r="M82" t="inlineStr">
        <is>
          <t>Konstruksi Gedung Lainnya, Konstruksi Gedung Pendidikan, Konstruksi Jaringan Irigasi dan Drainase</t>
        </is>
      </c>
      <c r="N82" t="inlineStr">
        <is>
          <t>K</t>
        </is>
      </c>
      <c r="O82" t="inlineStr">
        <is>
          <t>20231127, 20231201</t>
        </is>
      </c>
      <c r="P82" t="inlineStr">
        <is>
          <t>Sumatera Utara</t>
        </is>
      </c>
      <c r="Q82" t="inlineStr"/>
    </row>
    <row r="83">
      <c r="A83" t="inlineStr">
        <is>
          <t>SAMPURNA ABADI KONSULTAN</t>
        </is>
      </c>
      <c r="B83" t="inlineStr">
        <is>
          <t>Kab. Bandung</t>
        </is>
      </c>
      <c r="C83" t="inlineStr">
        <is>
          <t>082126730888</t>
        </is>
      </c>
      <c r="D83" t="inlineStr">
        <is>
          <t>sampurnaabadi.konsultan@yahoo.com</t>
        </is>
      </c>
      <c r="E83" t="inlineStr">
        <is>
          <t>https://lpjk.pu.go.id/search-badan-usaha-detail/YzEvcVlVS1FKaTFjbHRWdGV5bG9GZz09</t>
        </is>
      </c>
      <c r="F83" t="n">
        <v>3</v>
      </c>
      <c r="G83" t="inlineStr">
        <is>
          <t>AR001, AR002, AR003</t>
        </is>
      </c>
      <c r="H83" t="inlineStr">
        <is>
          <t>24 Oktober 2018</t>
        </is>
      </c>
      <c r="I83" s="2" t="n">
        <v>46359</v>
      </c>
      <c r="J83" t="inlineStr">
        <is>
          <t>Disetujui</t>
        </is>
      </c>
      <c r="K83" t="n">
        <v>87</v>
      </c>
      <c r="L83" t="inlineStr">
        <is>
          <t>3 Desember 2026</t>
        </is>
      </c>
      <c r="M83" t="inlineStr">
        <is>
          <t>Jasa Arsitektural Bangunan Gedung Hunian dan Non Hunian, Jasa Arsitektural Lainnya, Jasa Desain Interior pada Bangunan Gedung dan Bangunan Sipil</t>
        </is>
      </c>
      <c r="N83" t="inlineStr">
        <is>
          <t>K</t>
        </is>
      </c>
      <c r="O83" t="inlineStr">
        <is>
          <t>20231127</t>
        </is>
      </c>
      <c r="P83" t="inlineStr">
        <is>
          <t>Jawa Barat</t>
        </is>
      </c>
      <c r="Q83" t="inlineStr"/>
    </row>
    <row r="84">
      <c r="A84" t="inlineStr">
        <is>
          <t>SINAR KARUNIA</t>
        </is>
      </c>
      <c r="B84" t="inlineStr">
        <is>
          <t>Kab. Banyumas</t>
        </is>
      </c>
      <c r="C84" t="inlineStr">
        <is>
          <t>08156991293</t>
        </is>
      </c>
      <c r="D84" t="inlineStr">
        <is>
          <t>sinarkarunia88@gmail.com</t>
        </is>
      </c>
      <c r="E84" t="inlineStr">
        <is>
          <t>https://lpjk.pu.go.id/search-badan-usaha-detail/RWszaUlKL0pSWFRIYng0TjgyVHlYdz09</t>
        </is>
      </c>
      <c r="F84" t="n">
        <v>1</v>
      </c>
      <c r="G84" t="inlineStr">
        <is>
          <t>BS001</t>
        </is>
      </c>
      <c r="H84" t="inlineStr">
        <is>
          <t>10 Januari 2025</t>
        </is>
      </c>
      <c r="I84" s="2" t="n">
        <v>46359</v>
      </c>
      <c r="J84" t="inlineStr">
        <is>
          <t>Disetujui</t>
        </is>
      </c>
      <c r="K84" t="n">
        <v>87</v>
      </c>
      <c r="L84" t="inlineStr">
        <is>
          <t>3 Desember 2026</t>
        </is>
      </c>
      <c r="M84" t="inlineStr">
        <is>
          <t>Konstruksi Bangunan Sipil Jalan</t>
        </is>
      </c>
      <c r="N84" t="inlineStr">
        <is>
          <t>K</t>
        </is>
      </c>
      <c r="O84" t="inlineStr">
        <is>
          <t>20231201</t>
        </is>
      </c>
      <c r="P84" t="inlineStr">
        <is>
          <t>Jawa Tengah</t>
        </is>
      </c>
      <c r="Q84" t="inlineStr"/>
    </row>
    <row r="85">
      <c r="A85" t="inlineStr">
        <is>
          <t>SINAR PERMATA GLOBAL</t>
        </is>
      </c>
      <c r="B85" t="inlineStr">
        <is>
          <t>Kota Semarang</t>
        </is>
      </c>
      <c r="C85" t="inlineStr">
        <is>
          <t>0246594148</t>
        </is>
      </c>
      <c r="D85" t="inlineStr">
        <is>
          <t>sinar_permata_global@yahoo.co.id</t>
        </is>
      </c>
      <c r="E85" t="inlineStr">
        <is>
          <t>https://lpjk.pu.go.id/search-badan-usaha-detail/TDhpVjVjajRDOUFyVUQ2RXlGb1U1dz09</t>
        </is>
      </c>
      <c r="F85" t="n">
        <v>3</v>
      </c>
      <c r="G85" t="inlineStr">
        <is>
          <t>BG003, BG004, BG009</t>
        </is>
      </c>
      <c r="H85" t="inlineStr">
        <is>
          <t>3 Maret 1997</t>
        </is>
      </c>
      <c r="I85" s="2" t="n">
        <v>46359</v>
      </c>
      <c r="J85" t="inlineStr">
        <is>
          <t>Disetujui</t>
        </is>
      </c>
      <c r="K85" t="n">
        <v>87</v>
      </c>
      <c r="L85" t="inlineStr">
        <is>
          <t>3 Desember 2026</t>
        </is>
      </c>
      <c r="M85" t="inlineStr">
        <is>
          <t>Konstruksi Gedung Industri, Konstruksi Gedung Lainnya, Konstruksi Gedung Perbelanjaan</t>
        </is>
      </c>
      <c r="N85" t="inlineStr">
        <is>
          <t>K</t>
        </is>
      </c>
      <c r="O85" t="inlineStr">
        <is>
          <t>20231204</t>
        </is>
      </c>
      <c r="P85" t="inlineStr">
        <is>
          <t>Jawa Tengah</t>
        </is>
      </c>
      <c r="Q85" t="inlineStr"/>
    </row>
    <row r="86">
      <c r="A86" t="inlineStr">
        <is>
          <t>SOLUSI MITRA KREASINDO</t>
        </is>
      </c>
      <c r="B86" t="inlineStr">
        <is>
          <t>Kota Adm. Jakarta Pusat</t>
        </is>
      </c>
      <c r="C86" t="inlineStr">
        <is>
          <t>0215711731</t>
        </is>
      </c>
      <c r="D86" t="inlineStr">
        <is>
          <t>solusimitrakreasindo@gmail.com</t>
        </is>
      </c>
      <c r="E86" t="inlineStr">
        <is>
          <t>https://lpjk.pu.go.id/search-badan-usaha-detail/SXdnMk44MmRnOVNJWFJvRHRvMmJ1QT09</t>
        </is>
      </c>
      <c r="F86" t="n">
        <v>2</v>
      </c>
      <c r="G86" t="inlineStr">
        <is>
          <t>BG001</t>
        </is>
      </c>
      <c r="H86" t="inlineStr">
        <is>
          <t>31 Agustus 2022</t>
        </is>
      </c>
      <c r="I86" s="2" t="n">
        <v>46359</v>
      </c>
      <c r="J86" t="inlineStr">
        <is>
          <t>Disetujui</t>
        </is>
      </c>
      <c r="K86" t="n">
        <v>87</v>
      </c>
      <c r="L86" t="inlineStr">
        <is>
          <t>3 Desember 2026</t>
        </is>
      </c>
      <c r="M86" t="inlineStr">
        <is>
          <t>Konstruksi Gedung Hunian</t>
        </is>
      </c>
      <c r="N86" t="inlineStr">
        <is>
          <t>K</t>
        </is>
      </c>
      <c r="O86" t="inlineStr">
        <is>
          <t>20231127</t>
        </is>
      </c>
      <c r="P86" t="inlineStr">
        <is>
          <t>DKI Jakarta</t>
        </is>
      </c>
      <c r="Q86" t="inlineStr"/>
    </row>
    <row r="87">
      <c r="A87" t="inlineStr">
        <is>
          <t>SWADAYA CIPTA</t>
        </is>
      </c>
      <c r="B87" t="inlineStr">
        <is>
          <t>Kab. Gresik</t>
        </is>
      </c>
      <c r="C87" t="inlineStr">
        <is>
          <t>03139923700</t>
        </is>
      </c>
      <c r="D87" t="inlineStr">
        <is>
          <t>admin@swadayacipta.com</t>
        </is>
      </c>
      <c r="E87" t="inlineStr">
        <is>
          <t>https://lpjk.pu.go.id/search-badan-usaha-detail/OWUxYkJ0MnZPVHJ2bFdKSjR5N24vQT09</t>
        </is>
      </c>
      <c r="F87" t="n">
        <v>3</v>
      </c>
      <c r="G87" t="inlineStr">
        <is>
          <t>BG002, BG009, BS011</t>
        </is>
      </c>
      <c r="H87" t="inlineStr">
        <is>
          <t>23 Agustus 2005</t>
        </is>
      </c>
      <c r="I87" s="2" t="n">
        <v>46359</v>
      </c>
      <c r="J87" t="inlineStr">
        <is>
          <t>Disetujui</t>
        </is>
      </c>
      <c r="K87" t="n">
        <v>87</v>
      </c>
      <c r="L87" t="inlineStr">
        <is>
          <t>3 Desember 2026</t>
        </is>
      </c>
      <c r="M87" t="inlineStr">
        <is>
          <t>Konstruksi Bangunan Pelabuhan Bukan Perikanan, Konstruksi Gedung Lainnya, Konstruksi Gedung Perkantoran</t>
        </is>
      </c>
      <c r="N87" t="inlineStr">
        <is>
          <t>M</t>
        </is>
      </c>
      <c r="O87" t="inlineStr">
        <is>
          <t>20230929, 20231120</t>
        </is>
      </c>
      <c r="P87" t="inlineStr">
        <is>
          <t>Jawa Timur</t>
        </is>
      </c>
      <c r="Q87" t="inlineStr"/>
    </row>
    <row r="88">
      <c r="A88" t="inlineStr">
        <is>
          <t>TATA BUMI KONSTRUKSI</t>
        </is>
      </c>
      <c r="B88" t="inlineStr">
        <is>
          <t>Kota Tasikmalaya</t>
        </is>
      </c>
      <c r="C88" t="inlineStr">
        <is>
          <t>0895378939337</t>
        </is>
      </c>
      <c r="D88" t="inlineStr">
        <is>
          <t>tatabumikonstru@gmail.com</t>
        </is>
      </c>
      <c r="E88" t="inlineStr">
        <is>
          <t>https://lpjk.pu.go.id/search-badan-usaha-detail/djM3UmNmS1dGWXlCaVVPNVBFUXhrUT09</t>
        </is>
      </c>
      <c r="F88" t="n">
        <v>4</v>
      </c>
      <c r="G88" t="inlineStr">
        <is>
          <t>BG005, BG006, BS001, BS004</t>
        </is>
      </c>
      <c r="H88" t="inlineStr">
        <is>
          <t>2 Februari 2022</t>
        </is>
      </c>
      <c r="I88" s="2" t="n">
        <v>46359</v>
      </c>
      <c r="J88" t="inlineStr">
        <is>
          <t>Disetujui</t>
        </is>
      </c>
      <c r="K88" t="n">
        <v>87</v>
      </c>
      <c r="L88" t="inlineStr">
        <is>
          <t>3 Desember 2026</t>
        </is>
      </c>
      <c r="M88" t="inlineStr">
        <is>
          <t>Konstruksi Bangunan Sipil Jalan, Konstruksi Gedung Kesehatan, Konstruksi Gedung Pendidikan, Konstruksi Jaringan Irigasi dan Drainase</t>
        </is>
      </c>
      <c r="N88" t="inlineStr">
        <is>
          <t>K</t>
        </is>
      </c>
      <c r="O88" t="inlineStr">
        <is>
          <t>20231201, 20231205</t>
        </is>
      </c>
      <c r="P88" t="inlineStr">
        <is>
          <t>Jawa Barat</t>
        </is>
      </c>
      <c r="Q88" t="inlineStr"/>
    </row>
    <row r="89">
      <c r="A89" t="inlineStr">
        <is>
          <t>TIRTA KENCANA</t>
        </is>
      </c>
      <c r="B89" t="inlineStr">
        <is>
          <t>Kota Tangerang</t>
        </is>
      </c>
      <c r="C89" t="inlineStr">
        <is>
          <t>081289011778</t>
        </is>
      </c>
      <c r="D89" t="inlineStr">
        <is>
          <t>cv.tirtakencana@ymail.com</t>
        </is>
      </c>
      <c r="E89" t="inlineStr">
        <is>
          <t>https://lpjk.pu.go.id/search-badan-usaha-detail/UTZFclFNVTBZTzJBZ2NvUVZlS3BlQT09</t>
        </is>
      </c>
      <c r="F89" t="n">
        <v>1</v>
      </c>
      <c r="G89" t="inlineStr">
        <is>
          <t>BG006</t>
        </is>
      </c>
      <c r="H89" t="inlineStr">
        <is>
          <t>25 November 1970</t>
        </is>
      </c>
      <c r="I89" s="2" t="n">
        <v>46359</v>
      </c>
      <c r="J89" t="inlineStr">
        <is>
          <t>Disetujui</t>
        </is>
      </c>
      <c r="K89" t="n">
        <v>87</v>
      </c>
      <c r="L89" t="inlineStr">
        <is>
          <t>3 Desember 2026</t>
        </is>
      </c>
      <c r="M89" t="inlineStr">
        <is>
          <t>Konstruksi Gedung Pendidikan</t>
        </is>
      </c>
      <c r="N89" t="inlineStr">
        <is>
          <t>K</t>
        </is>
      </c>
      <c r="O89" t="inlineStr">
        <is>
          <t>20231121</t>
        </is>
      </c>
      <c r="P89" t="inlineStr">
        <is>
          <t>Banten</t>
        </is>
      </c>
      <c r="Q89" t="inlineStr"/>
    </row>
    <row r="90">
      <c r="A90" t="inlineStr">
        <is>
          <t>TIRTHA BHUWANA ASRI</t>
        </is>
      </c>
      <c r="B90" t="inlineStr">
        <is>
          <t>Kota Semarang</t>
        </is>
      </c>
      <c r="C90" t="inlineStr">
        <is>
          <t>0247625569</t>
        </is>
      </c>
      <c r="D90" t="inlineStr">
        <is>
          <t>-</t>
        </is>
      </c>
      <c r="E90" t="inlineStr">
        <is>
          <t>https://lpjk.pu.go.id/search-badan-usaha-detail/V1FsaG1mTXBQRWEyL01NQTM2KzNYQT09</t>
        </is>
      </c>
      <c r="F90" t="n">
        <v>1</v>
      </c>
      <c r="G90" t="inlineStr">
        <is>
          <t>BG003</t>
        </is>
      </c>
      <c r="H90" t="inlineStr">
        <is>
          <t>30 Agustus 2004</t>
        </is>
      </c>
      <c r="I90" s="2" t="n">
        <v>46359</v>
      </c>
      <c r="J90" t="inlineStr">
        <is>
          <t>Disetujui</t>
        </is>
      </c>
      <c r="K90" t="n">
        <v>87</v>
      </c>
      <c r="L90" t="inlineStr">
        <is>
          <t>3 Desember 2026</t>
        </is>
      </c>
      <c r="M90" t="inlineStr">
        <is>
          <t>Konstruksi Gedung Industri</t>
        </is>
      </c>
      <c r="N90" t="inlineStr">
        <is>
          <t>K</t>
        </is>
      </c>
      <c r="O90" t="inlineStr">
        <is>
          <t>20231129</t>
        </is>
      </c>
      <c r="P90" t="inlineStr">
        <is>
          <t>Jawa Tengah</t>
        </is>
      </c>
      <c r="Q90" t="inlineStr"/>
    </row>
    <row r="91">
      <c r="A91" t="inlineStr">
        <is>
          <t>TRI PRADHANA</t>
        </is>
      </c>
      <c r="B91" t="inlineStr">
        <is>
          <t>Kota Dumai</t>
        </is>
      </c>
      <c r="C91" t="inlineStr">
        <is>
          <t>081371748585</t>
        </is>
      </c>
      <c r="D91" t="inlineStr">
        <is>
          <t>cv.tripradhana@gmail.com</t>
        </is>
      </c>
      <c r="E91" t="inlineStr">
        <is>
          <t>https://lpjk.pu.go.id/search-badan-usaha-detail/d1Npckg2YkRQaVVWUVZUVDhvZFhldz09</t>
        </is>
      </c>
      <c r="F91" t="n">
        <v>1</v>
      </c>
      <c r="G91" t="inlineStr">
        <is>
          <t>BG009</t>
        </is>
      </c>
      <c r="H91" t="inlineStr">
        <is>
          <t>11 Januari 2017</t>
        </is>
      </c>
      <c r="I91" s="2" t="n">
        <v>46359</v>
      </c>
      <c r="J91" t="inlineStr">
        <is>
          <t>Disetujui</t>
        </is>
      </c>
      <c r="K91" t="n">
        <v>87</v>
      </c>
      <c r="L91" t="inlineStr">
        <is>
          <t>3 Desember 2026</t>
        </is>
      </c>
      <c r="M91" t="inlineStr">
        <is>
          <t>Konstruksi Gedung Lainnya</t>
        </is>
      </c>
      <c r="N91" t="inlineStr">
        <is>
          <t>K</t>
        </is>
      </c>
      <c r="O91" t="inlineStr">
        <is>
          <t>20231006</t>
        </is>
      </c>
      <c r="P91" t="inlineStr">
        <is>
          <t>Riau</t>
        </is>
      </c>
      <c r="Q91" t="inlineStr"/>
    </row>
    <row r="92">
      <c r="A92" t="inlineStr">
        <is>
          <t>TUAH SAIYO</t>
        </is>
      </c>
      <c r="B92" t="inlineStr">
        <is>
          <t>Kota Padang</t>
        </is>
      </c>
      <c r="C92" t="inlineStr">
        <is>
          <t>082388034555</t>
        </is>
      </c>
      <c r="D92" t="inlineStr">
        <is>
          <t>tuahsaiyocv@gmail.com</t>
        </is>
      </c>
      <c r="E92" t="inlineStr">
        <is>
          <t>https://lpjk.pu.go.id/search-badan-usaha-detail/QWg4cXB2QXpHS21tZkNCaGs3TGg1dz09</t>
        </is>
      </c>
      <c r="F92" t="n">
        <v>5</v>
      </c>
      <c r="G92" t="inlineStr">
        <is>
          <t>BG002, BG005, BG006, BG009, BS001</t>
        </is>
      </c>
      <c r="H92" t="inlineStr">
        <is>
          <t>16 Desember 1991</t>
        </is>
      </c>
      <c r="I92" s="2" t="n">
        <v>46359</v>
      </c>
      <c r="J92" t="inlineStr">
        <is>
          <t>Disetujui</t>
        </is>
      </c>
      <c r="K92" t="n">
        <v>87</v>
      </c>
      <c r="L92" t="inlineStr">
        <is>
          <t>3 Desember 2026</t>
        </is>
      </c>
      <c r="M92" t="inlineStr">
        <is>
          <t>Konstruksi Bangunan Sipil Jalan, Konstruksi Gedung Kesehatan, Konstruksi Gedung Lainnya, Konstruksi Gedung Pendidikan, Konstruksi Gedung Perkantoran</t>
        </is>
      </c>
      <c r="N92" t="inlineStr">
        <is>
          <t>K</t>
        </is>
      </c>
      <c r="O92" t="inlineStr">
        <is>
          <t>20231123, 20231129, 20231201</t>
        </is>
      </c>
      <c r="P92" t="inlineStr">
        <is>
          <t>Sumatera Barat</t>
        </is>
      </c>
      <c r="Q92" t="inlineStr"/>
    </row>
    <row r="93">
      <c r="A93" t="inlineStr">
        <is>
          <t>TUAN MUDA NUSANTARA</t>
        </is>
      </c>
      <c r="B93" t="inlineStr">
        <is>
          <t>Kota Bandung</t>
        </is>
      </c>
      <c r="C93" t="inlineStr">
        <is>
          <t>085268197751</t>
        </is>
      </c>
      <c r="D93" t="inlineStr">
        <is>
          <t>pttuanmudanusantara15@gmail.com</t>
        </is>
      </c>
      <c r="E93" t="inlineStr">
        <is>
          <t>https://lpjk.pu.go.id/search-badan-usaha-detail/YWoza2cxMTM1TjV2NmExT3BiekJDUT09</t>
        </is>
      </c>
      <c r="F93" t="n">
        <v>3</v>
      </c>
      <c r="G93" t="inlineStr">
        <is>
          <t>AR001, AR002, AR003</t>
        </is>
      </c>
      <c r="H93" t="inlineStr">
        <is>
          <t>10 Februari 2023</t>
        </is>
      </c>
      <c r="I93" s="2" t="n">
        <v>46359</v>
      </c>
      <c r="J93" t="inlineStr">
        <is>
          <t>Pencabutan</t>
        </is>
      </c>
      <c r="K93" t="n">
        <v>87</v>
      </c>
      <c r="L93" t="inlineStr">
        <is>
          <t>3 Desember 2026</t>
        </is>
      </c>
      <c r="M93" t="inlineStr">
        <is>
          <t>Jasa Arsitektural Bangunan Gedung Hunian dan Non Hunian, Jasa Arsitektural Lainnya, Jasa Desain Interior pada Bangunan Gedung dan Bangunan Sipil</t>
        </is>
      </c>
      <c r="N93" t="inlineStr">
        <is>
          <t>K</t>
        </is>
      </c>
      <c r="O93" t="inlineStr">
        <is>
          <t>20231127</t>
        </is>
      </c>
      <c r="P93" t="inlineStr">
        <is>
          <t>Jawa Barat</t>
        </is>
      </c>
      <c r="Q93" t="inlineStr"/>
    </row>
    <row r="94">
      <c r="A94" t="inlineStr">
        <is>
          <t>TUANKU MELAYU BERJAYA</t>
        </is>
      </c>
      <c r="B94" t="inlineStr">
        <is>
          <t>Kab. Kepulauan Meranti</t>
        </is>
      </c>
      <c r="C94" t="inlineStr">
        <is>
          <t>085264013335</t>
        </is>
      </c>
      <c r="D94" t="inlineStr">
        <is>
          <t>tuankumelayuberjaya@gmail.com</t>
        </is>
      </c>
      <c r="E94" t="inlineStr">
        <is>
          <t>https://lpjk.pu.go.id/search-badan-usaha-detail/Z25ySmpqek9MbExhUDhueks5cUNyQT09</t>
        </is>
      </c>
      <c r="F94" t="n">
        <v>1</v>
      </c>
      <c r="G94" t="inlineStr">
        <is>
          <t>BG009</t>
        </is>
      </c>
      <c r="H94" t="inlineStr">
        <is>
          <t>19 Maret 2010</t>
        </is>
      </c>
      <c r="I94" s="2" t="n">
        <v>46359</v>
      </c>
      <c r="J94" t="inlineStr">
        <is>
          <t>Disetujui</t>
        </is>
      </c>
      <c r="K94" t="n">
        <v>87</v>
      </c>
      <c r="L94" t="inlineStr">
        <is>
          <t>3 Desember 2026</t>
        </is>
      </c>
      <c r="M94" t="inlineStr">
        <is>
          <t>Konstruksi Gedung Lainnya</t>
        </is>
      </c>
      <c r="N94" t="inlineStr">
        <is>
          <t>K</t>
        </is>
      </c>
      <c r="O94" t="inlineStr">
        <is>
          <t>20231129</t>
        </is>
      </c>
      <c r="P94" t="inlineStr">
        <is>
          <t>Riau</t>
        </is>
      </c>
      <c r="Q94" t="inlineStr"/>
    </row>
    <row r="95">
      <c r="A95" t="inlineStr">
        <is>
          <t>TUJUH PILAR HIJAU</t>
        </is>
      </c>
      <c r="B95" t="inlineStr">
        <is>
          <t>Kota Bandung</t>
        </is>
      </c>
      <c r="C95" t="inlineStr">
        <is>
          <t>0227274976</t>
        </is>
      </c>
      <c r="D95" t="inlineStr">
        <is>
          <t>7pilarhijau@gmail.com</t>
        </is>
      </c>
      <c r="E95" t="inlineStr">
        <is>
          <t>https://lpjk.pu.go.id/search-badan-usaha-detail/dWc4ck1oMi9jY09EQVNDd2hlcXFqZz09</t>
        </is>
      </c>
      <c r="F95" t="n">
        <v>2</v>
      </c>
      <c r="G95" t="inlineStr">
        <is>
          <t>RK001, RK003</t>
        </is>
      </c>
      <c r="H95" t="inlineStr">
        <is>
          <t>11 Juni 2015</t>
        </is>
      </c>
      <c r="I95" s="2" t="n">
        <v>46359</v>
      </c>
      <c r="J95" t="inlineStr">
        <is>
          <t>Disetujui</t>
        </is>
      </c>
      <c r="K95" t="n">
        <v>87</v>
      </c>
      <c r="L95" t="inlineStr">
        <is>
          <t>3 Desember 2026</t>
        </is>
      </c>
      <c r="M95" t="inlineStr">
        <is>
          <t>Jasa Rekayasa Konstruksi Bangunan Gedung Hunian dan Non Hunian, Jasa Rekayasa Pekerjaan Teknik Sipil Transportasi</t>
        </is>
      </c>
      <c r="N95" t="inlineStr">
        <is>
          <t>M</t>
        </is>
      </c>
      <c r="O95" t="inlineStr">
        <is>
          <t>20231106, 20231120</t>
        </is>
      </c>
      <c r="P95" t="inlineStr">
        <is>
          <t>Jawa Barat</t>
        </is>
      </c>
      <c r="Q95" t="inlineStr"/>
    </row>
    <row r="96">
      <c r="A96" t="inlineStr">
        <is>
          <t>TUNAS HARAPAN BARU</t>
        </is>
      </c>
      <c r="B96" t="inlineStr">
        <is>
          <t>Kota Medan</t>
        </is>
      </c>
      <c r="C96" t="inlineStr">
        <is>
          <t>0</t>
        </is>
      </c>
      <c r="D96" t="inlineStr">
        <is>
          <t>tunasharapanbaru4567@gmail.com</t>
        </is>
      </c>
      <c r="E96" t="inlineStr">
        <is>
          <t>https://lpjk.pu.go.id/search-badan-usaha-detail/Mk5OTVQwKzFVa1hVYVNGSStNOU9RZz09</t>
        </is>
      </c>
      <c r="F96" t="n">
        <v>1</v>
      </c>
      <c r="G96" t="inlineStr">
        <is>
          <t>BS011</t>
        </is>
      </c>
      <c r="H96" t="inlineStr">
        <is>
          <t>19 November 2001</t>
        </is>
      </c>
      <c r="I96" s="2" t="n">
        <v>46359</v>
      </c>
      <c r="J96" t="inlineStr">
        <is>
          <t>Pencabutan</t>
        </is>
      </c>
      <c r="K96" t="n">
        <v>87</v>
      </c>
      <c r="L96" t="inlineStr">
        <is>
          <t>3 Desember 2026</t>
        </is>
      </c>
      <c r="M96" t="inlineStr">
        <is>
          <t>Konstruksi Bangunan Pelabuhan Bukan Perikanan</t>
        </is>
      </c>
      <c r="N96" t="inlineStr">
        <is>
          <t>M</t>
        </is>
      </c>
      <c r="O96" t="inlineStr">
        <is>
          <t>20231128</t>
        </is>
      </c>
      <c r="P96" t="inlineStr">
        <is>
          <t>Sumatera Utara</t>
        </is>
      </c>
      <c r="Q96" t="inlineStr"/>
    </row>
    <row r="97">
      <c r="A97" t="inlineStr">
        <is>
          <t>VALUE CITRA MANDIRI</t>
        </is>
      </c>
      <c r="B97" t="inlineStr">
        <is>
          <t>Kota Surabaya</t>
        </is>
      </c>
      <c r="C97" t="inlineStr">
        <is>
          <t>081332207668</t>
        </is>
      </c>
      <c r="D97" t="inlineStr">
        <is>
          <t>pt.vcm.direksi@gmail.com</t>
        </is>
      </c>
      <c r="E97" t="inlineStr">
        <is>
          <t>https://lpjk.pu.go.id/search-badan-usaha-detail/NUlIV3d0WEpxRkRONjRabE5zMWJNZz09</t>
        </is>
      </c>
      <c r="F97" t="n">
        <v>1</v>
      </c>
      <c r="G97" t="inlineStr">
        <is>
          <t>BG004</t>
        </is>
      </c>
      <c r="H97" t="inlineStr">
        <is>
          <t>7 Mei 2015</t>
        </is>
      </c>
      <c r="I97" s="2" t="n">
        <v>46359</v>
      </c>
      <c r="J97" t="inlineStr">
        <is>
          <t>Disetujui</t>
        </is>
      </c>
      <c r="K97" t="n">
        <v>87</v>
      </c>
      <c r="L97" t="inlineStr">
        <is>
          <t>3 Desember 2026</t>
        </is>
      </c>
      <c r="M97" t="inlineStr">
        <is>
          <t>Konstruksi Gedung Perbelanjaan</t>
        </is>
      </c>
      <c r="N97" t="inlineStr">
        <is>
          <t>K</t>
        </is>
      </c>
      <c r="O97" t="inlineStr">
        <is>
          <t>20231204</t>
        </is>
      </c>
      <c r="P97" t="inlineStr">
        <is>
          <t>Jawa Timur</t>
        </is>
      </c>
      <c r="Q97" t="inlineStr"/>
    </row>
    <row r="98">
      <c r="A98" t="inlineStr">
        <is>
          <t>WAHYU PUTRA</t>
        </is>
      </c>
      <c r="B98" t="inlineStr">
        <is>
          <t>Kab. Grobogan</t>
        </is>
      </c>
      <c r="C98" t="inlineStr">
        <is>
          <t>082226843083</t>
        </is>
      </c>
      <c r="D98" t="inlineStr">
        <is>
          <t>wahyuputracvku@yahoo.com</t>
        </is>
      </c>
      <c r="E98" t="inlineStr">
        <is>
          <t>https://lpjk.pu.go.id/search-badan-usaha-detail/OVB1L3BMQlhNV2RZYm0zOG5UdEkyQT09</t>
        </is>
      </c>
      <c r="F98" t="n">
        <v>2</v>
      </c>
      <c r="G98" t="inlineStr">
        <is>
          <t>BS001, BS004</t>
        </is>
      </c>
      <c r="H98" t="inlineStr">
        <is>
          <t>24 Oktober 2017</t>
        </is>
      </c>
      <c r="I98" s="2" t="n">
        <v>46359</v>
      </c>
      <c r="J98" t="inlineStr">
        <is>
          <t>Disetujui</t>
        </is>
      </c>
      <c r="K98" t="n">
        <v>87</v>
      </c>
      <c r="L98" t="inlineStr">
        <is>
          <t>3 Desember 2026</t>
        </is>
      </c>
      <c r="M98" t="inlineStr">
        <is>
          <t>Konstruksi Bangunan Sipil Jalan, Konstruksi Jaringan Irigasi dan Drainase</t>
        </is>
      </c>
      <c r="N98" t="inlineStr">
        <is>
          <t>K</t>
        </is>
      </c>
      <c r="O98" t="inlineStr">
        <is>
          <t>20231204</t>
        </is>
      </c>
      <c r="P98" t="inlineStr">
        <is>
          <t>Jawa Tengah</t>
        </is>
      </c>
      <c r="Q98" t="inlineStr"/>
    </row>
    <row r="99">
      <c r="A99" t="inlineStr">
        <is>
          <t>YAKIN KARYA KENCANA</t>
        </is>
      </c>
      <c r="B99" t="inlineStr">
        <is>
          <t>Kota Adm. Jakarta Utara</t>
        </is>
      </c>
      <c r="C99" t="inlineStr">
        <is>
          <t>02126608140</t>
        </is>
      </c>
      <c r="D99" t="inlineStr">
        <is>
          <t>ykk.sunter@gmail.com</t>
        </is>
      </c>
      <c r="E99" t="inlineStr">
        <is>
          <t>https://lpjk.pu.go.id/search-badan-usaha-detail/UEFhTE1lZnhvWWJKOUN1eXpSd3dBUT09</t>
        </is>
      </c>
      <c r="F99" t="n">
        <v>1</v>
      </c>
      <c r="G99" t="inlineStr">
        <is>
          <t>BG001</t>
        </is>
      </c>
      <c r="H99" t="inlineStr">
        <is>
          <t>11 Desember 2007</t>
        </is>
      </c>
      <c r="I99" s="2" t="n">
        <v>46359</v>
      </c>
      <c r="J99" t="inlineStr">
        <is>
          <t>Disetujui</t>
        </is>
      </c>
      <c r="K99" t="n">
        <v>87</v>
      </c>
      <c r="L99" t="inlineStr">
        <is>
          <t>3 Desember 2026</t>
        </is>
      </c>
      <c r="M99" t="inlineStr">
        <is>
          <t>Konstruksi Gedung Hunian</t>
        </is>
      </c>
      <c r="N99" t="inlineStr">
        <is>
          <t>K</t>
        </is>
      </c>
      <c r="O99" t="inlineStr">
        <is>
          <t>20231120</t>
        </is>
      </c>
      <c r="P99" t="inlineStr">
        <is>
          <t>DKI Jakarta</t>
        </is>
      </c>
      <c r="Q99" t="inlineStr"/>
    </row>
    <row r="100">
      <c r="A100" t="inlineStr">
        <is>
          <t>YASIKA UTAMA</t>
        </is>
      </c>
      <c r="B100" t="inlineStr">
        <is>
          <t>Kab. Cianjur</t>
        </is>
      </c>
      <c r="C100" t="inlineStr">
        <is>
          <t>081563812366</t>
        </is>
      </c>
      <c r="D100" t="inlineStr">
        <is>
          <t>yasikautamacv@gmail.com</t>
        </is>
      </c>
      <c r="E100" t="inlineStr">
        <is>
          <t>https://lpjk.pu.go.id/search-badan-usaha-detail/YndXSTZ4eVdZYUdadEFPNFRmVFdlUT09</t>
        </is>
      </c>
      <c r="F100" t="n">
        <v>1</v>
      </c>
      <c r="G100" t="inlineStr">
        <is>
          <t>BS004</t>
        </is>
      </c>
      <c r="H100" t="inlineStr">
        <is>
          <t>6 Oktober 1993</t>
        </is>
      </c>
      <c r="I100" s="2" t="n">
        <v>46359</v>
      </c>
      <c r="J100" t="inlineStr">
        <is>
          <t>Disetujui</t>
        </is>
      </c>
      <c r="K100" t="n">
        <v>87</v>
      </c>
      <c r="L100" t="inlineStr">
        <is>
          <t>3 Desember 2026</t>
        </is>
      </c>
      <c r="M100" t="inlineStr">
        <is>
          <t>Konstruksi Jaringan Irigasi dan Drainase</t>
        </is>
      </c>
      <c r="N100" t="inlineStr">
        <is>
          <t>K</t>
        </is>
      </c>
      <c r="O100" t="inlineStr">
        <is>
          <t>20231018</t>
        </is>
      </c>
      <c r="P100" t="inlineStr">
        <is>
          <t>Jawa Barat</t>
        </is>
      </c>
      <c r="Q1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6"/>
  <sheetViews>
    <sheetView workbookViewId="0">
      <selection activeCell="A1" sqref="A1"/>
    </sheetView>
  </sheetViews>
  <sheetFormatPr baseColWidth="8" defaultRowHeight="15"/>
  <cols>
    <col width="34" customWidth="1" min="1" max="1"/>
    <col width="27" customWidth="1" min="2" max="2"/>
    <col width="16" customWidth="1" min="3" max="3"/>
    <col width="36"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BANGUN ADIGRAHA UTAMA</t>
        </is>
      </c>
      <c r="B2" t="inlineStr">
        <is>
          <t>Kota Depok</t>
        </is>
      </c>
      <c r="C2" t="inlineStr">
        <is>
          <t>02177880467</t>
        </is>
      </c>
      <c r="D2" t="inlineStr">
        <is>
          <t>setiadi_da@yahoo.com</t>
        </is>
      </c>
      <c r="E2" t="inlineStr">
        <is>
          <t>https://lpjk.pu.go.id/search-badan-usaha-detail/WnpRUXJSOUhrbnNycXNVcjREbXFBUT09</t>
        </is>
      </c>
      <c r="F2" t="n">
        <v>1</v>
      </c>
      <c r="G2" t="inlineStr">
        <is>
          <t>BG009</t>
        </is>
      </c>
      <c r="H2" t="inlineStr">
        <is>
          <t>19 Juli 2007</t>
        </is>
      </c>
      <c r="I2" s="2" t="n">
        <v>46332</v>
      </c>
      <c r="J2" t="inlineStr">
        <is>
          <t>Disetujui</t>
        </is>
      </c>
      <c r="K2" t="n">
        <v>60</v>
      </c>
      <c r="L2" t="inlineStr">
        <is>
          <t>6 November 2026</t>
        </is>
      </c>
      <c r="M2" t="inlineStr">
        <is>
          <t>Konstruksi Gedung Lainnya</t>
        </is>
      </c>
      <c r="N2" t="inlineStr">
        <is>
          <t>K</t>
        </is>
      </c>
      <c r="O2" t="inlineStr">
        <is>
          <t>20231106</t>
        </is>
      </c>
      <c r="P2" t="inlineStr">
        <is>
          <t>Jawa Barat</t>
        </is>
      </c>
      <c r="Q2" t="inlineStr"/>
    </row>
    <row r="3">
      <c r="A3" t="inlineStr">
        <is>
          <t>BASUTO INSAN MANDIRI</t>
        </is>
      </c>
      <c r="B3" t="inlineStr">
        <is>
          <t>Kota Bekasi</t>
        </is>
      </c>
      <c r="C3" t="inlineStr">
        <is>
          <t>081807580366</t>
        </is>
      </c>
      <c r="D3" t="inlineStr">
        <is>
          <t>basutoinsanmandiri63@gmail.com</t>
        </is>
      </c>
      <c r="E3" t="inlineStr">
        <is>
          <t>https://lpjk.pu.go.id/search-badan-usaha-detail/MWFpTzRyV1NuWktITVlVQ0VYNWFQZz09</t>
        </is>
      </c>
      <c r="F3" t="n">
        <v>2</v>
      </c>
      <c r="G3" t="inlineStr">
        <is>
          <t>BG002, BG009</t>
        </is>
      </c>
      <c r="H3" t="inlineStr">
        <is>
          <t>18 Agustus 2023</t>
        </is>
      </c>
      <c r="I3" s="2" t="n">
        <v>46332</v>
      </c>
      <c r="J3" t="inlineStr">
        <is>
          <t>Disetujui</t>
        </is>
      </c>
      <c r="K3" t="n">
        <v>60</v>
      </c>
      <c r="L3" t="inlineStr">
        <is>
          <t>6 November 2026</t>
        </is>
      </c>
      <c r="M3" t="inlineStr">
        <is>
          <t>Konstruksi Gedung Lainnya, Konstruksi Gedung Perkantoran</t>
        </is>
      </c>
      <c r="N3" t="inlineStr">
        <is>
          <t>K</t>
        </is>
      </c>
      <c r="O3" t="inlineStr">
        <is>
          <t>20231002, 20231021</t>
        </is>
      </c>
      <c r="P3" t="inlineStr">
        <is>
          <t>Jawa Barat</t>
        </is>
      </c>
      <c r="Q3" s="3">
        <f>HYPERLINK("https://wa.me/6281807580366?text=*[PENGINGAT MASA BERLAKU SBU BASUTO INSAN MANDIRI]*%0A%0AYth. Pimpinan BASUTO INSAN MANDIRI,%0AMohon izin menginformasikan status SBU Anda di sistem LPJK:%0A%0A📄 SBU: BG002, BG009%0A📅 Expired: 6 November 2026 (60 Hari Lagi)%0A%0AKami tim PT. ESDEA Assistance Management siap men-support proses perpanjangan segera agar administrasi proyek tidak terhambat%0A%0AApakah boleh saya bantu siapkan estimasi biaya dan waktu pengerjaannya?.", "Hubungi")</f>
        <v/>
      </c>
    </row>
    <row r="4">
      <c r="A4" t="inlineStr">
        <is>
          <t>DWIKEI MULIA PRATAMA</t>
        </is>
      </c>
      <c r="B4" t="inlineStr">
        <is>
          <t>Kab. Bekasi</t>
        </is>
      </c>
      <c r="C4" t="inlineStr">
        <is>
          <t>02189523539</t>
        </is>
      </c>
      <c r="D4" t="inlineStr">
        <is>
          <t>dwikeimulia@gmail.com</t>
        </is>
      </c>
      <c r="E4" t="inlineStr">
        <is>
          <t>https://lpjk.pu.go.id/search-badan-usaha-detail/VStWZWZuZFVYRnVtSUxpRExPY0hEQT09</t>
        </is>
      </c>
      <c r="F4" t="n">
        <v>1</v>
      </c>
      <c r="G4" t="inlineStr">
        <is>
          <t>BS007</t>
        </is>
      </c>
      <c r="H4" t="inlineStr">
        <is>
          <t>2 Juni 2012</t>
        </is>
      </c>
      <c r="I4" s="2" t="n">
        <v>46332</v>
      </c>
      <c r="J4" t="inlineStr">
        <is>
          <t>Pencabutan</t>
        </is>
      </c>
      <c r="K4" t="n">
        <v>60</v>
      </c>
      <c r="L4" t="inlineStr">
        <is>
          <t>6 November 2026</t>
        </is>
      </c>
      <c r="M4" t="inlineStr">
        <is>
          <t>Konstruksi Bangunan Sipil Elektrikal</t>
        </is>
      </c>
      <c r="N4" t="inlineStr">
        <is>
          <t>K</t>
        </is>
      </c>
      <c r="O4" t="inlineStr">
        <is>
          <t>20231102</t>
        </is>
      </c>
      <c r="P4" t="inlineStr">
        <is>
          <t>Jawa Barat</t>
        </is>
      </c>
      <c r="Q4" t="inlineStr"/>
    </row>
    <row r="5">
      <c r="A5" t="inlineStr">
        <is>
          <t>FAHMI PUTRA MANDIRI</t>
        </is>
      </c>
      <c r="B5" t="inlineStr">
        <is>
          <t>Kota Depok</t>
        </is>
      </c>
      <c r="C5" t="inlineStr">
        <is>
          <t>082210851119</t>
        </is>
      </c>
      <c r="D5" t="inlineStr">
        <is>
          <t>fahmiputra.mandiri@gmail.com</t>
        </is>
      </c>
      <c r="E5" t="inlineStr">
        <is>
          <t>https://lpjk.pu.go.id/search-badan-usaha-detail/TiszRkNibzh6Q3VkaVhnSDFuM0JEZz09</t>
        </is>
      </c>
      <c r="F5" t="n">
        <v>4</v>
      </c>
      <c r="G5" t="inlineStr">
        <is>
          <t>BG002, BG009, BS001, BS004</t>
        </is>
      </c>
      <c r="H5" t="inlineStr">
        <is>
          <t>26 November 2010</t>
        </is>
      </c>
      <c r="I5" s="2" t="n">
        <v>46332</v>
      </c>
      <c r="J5" t="inlineStr">
        <is>
          <t>Disetujui</t>
        </is>
      </c>
      <c r="K5" t="n">
        <v>60</v>
      </c>
      <c r="L5" t="inlineStr">
        <is>
          <t>6 November 2026</t>
        </is>
      </c>
      <c r="M5" t="inlineStr">
        <is>
          <t>Konstruksi Bangunan Sipil Jalan, Konstruksi Gedung Lainnya, Konstruksi Gedung Perkantoran, Konstruksi Jaringan Irigasi dan Drainase</t>
        </is>
      </c>
      <c r="N5" t="inlineStr">
        <is>
          <t>K</t>
        </is>
      </c>
      <c r="O5" t="inlineStr">
        <is>
          <t>20231031</t>
        </is>
      </c>
      <c r="P5" t="inlineStr">
        <is>
          <t>Jawa Barat</t>
        </is>
      </c>
      <c r="Q5" s="3">
        <f>HYPERLINK("https://wa.me/6282210851119?text=*[PENGINGAT MASA BERLAKU SBU FAHMI PUTRA MANDIRI]*%0A%0AYth. Pimpinan FAHMI PUTRA MANDIRI,%0AMohon izin menginformasikan status SBU Anda di sistem LPJK:%0A%0A📄 SBU: BG002, BG009, BS001, BS004%0A📅 Expired: 6 November 2026 (60 Hari Lagi)%0A%0AKami tim PT. ESDEA Assistance Management siap men-support proses perpanjangan segera agar administrasi proyek tidak terhambat%0A%0AApakah boleh saya bantu siapkan estimasi biaya dan waktu pengerjaannya?.", "Hubungi")</f>
        <v/>
      </c>
    </row>
    <row r="6">
      <c r="A6" t="inlineStr">
        <is>
          <t>NASHOMOSHE ENGINEERING</t>
        </is>
      </c>
      <c r="B6" t="inlineStr">
        <is>
          <t>Kota Depok</t>
        </is>
      </c>
      <c r="C6" t="inlineStr">
        <is>
          <t>081382257956</t>
        </is>
      </c>
      <c r="D6" t="inlineStr">
        <is>
          <t>nashomose@gmail.com</t>
        </is>
      </c>
      <c r="E6" t="inlineStr">
        <is>
          <t>https://lpjk.pu.go.id/search-badan-usaha-detail/N2dMVTZzaVRxUThrdzBwK1JsZm80YUhGRW4zQ1JWeStWZW1hckhaZGt3dz0</t>
        </is>
      </c>
      <c r="F6" t="n">
        <v>1</v>
      </c>
      <c r="G6" t="inlineStr">
        <is>
          <t>BS006</t>
        </is>
      </c>
      <c r="H6" t="inlineStr">
        <is>
          <t>14 Maret 2015</t>
        </is>
      </c>
      <c r="I6" s="2" t="n">
        <v>46332</v>
      </c>
      <c r="J6" t="inlineStr">
        <is>
          <t>Disetujui</t>
        </is>
      </c>
      <c r="K6" t="n">
        <v>60</v>
      </c>
      <c r="L6" t="inlineStr">
        <is>
          <t>6 November 2026</t>
        </is>
      </c>
      <c r="M6" t="inlineStr">
        <is>
          <t>Konstruksi Bangunan Sipil Prasarana dan Sarana Sistem Pengolahan Limbah Padat, Cair, dan Gas</t>
        </is>
      </c>
      <c r="N6" t="inlineStr">
        <is>
          <t>K</t>
        </is>
      </c>
      <c r="O6" t="inlineStr">
        <is>
          <t>20220617</t>
        </is>
      </c>
      <c r="P6" t="inlineStr">
        <is>
          <t>Jawa Barat</t>
        </is>
      </c>
      <c r="Q6" s="3">
        <f>HYPERLINK("https://wa.me/6281382257956?text=*[PENGINGAT MASA BERLAKU SBU NASHOMOSHE ENGINEERING]*%0A%0AYth. Pimpinan NASHOMOSHE ENGINEERING,%0AMohon izin menginformasikan status SBU Anda di sistem LPJK:%0A%0A📄 SBU: BS006%0A📅 Expired: 6 November 2026 (60 Hari Lagi)%0A%0AKami tim PT. ESDEA Assistance Management siap men-support proses perpanjangan segera agar administrasi proyek tidak terhambat%0A%0AApakah boleh saya bantu siapkan estimasi biaya dan waktu pengerjaannya?.", "Hubungi")</f>
        <v/>
      </c>
    </row>
    <row r="7">
      <c r="A7" t="inlineStr">
        <is>
          <t>SIGA HELIN FORTUN</t>
        </is>
      </c>
      <c r="B7" t="inlineStr">
        <is>
          <t>Kab. Bekasi</t>
        </is>
      </c>
      <c r="C7" t="inlineStr">
        <is>
          <t>08111192417</t>
        </is>
      </c>
      <c r="D7" t="inlineStr">
        <is>
          <t>sigahelin@gmail.com</t>
        </is>
      </c>
      <c r="E7" t="inlineStr">
        <is>
          <t>https://lpjk.pu.go.id/search-badan-usaha-detail/UEMva2JHeEx6N2ZGcGdzeGVpSng3QT09</t>
        </is>
      </c>
      <c r="F7" t="n">
        <v>1</v>
      </c>
      <c r="G7" t="inlineStr">
        <is>
          <t>BS001</t>
        </is>
      </c>
      <c r="H7" t="inlineStr">
        <is>
          <t>23 Agustus 2019</t>
        </is>
      </c>
      <c r="I7" s="2" t="n">
        <v>46332</v>
      </c>
      <c r="J7" t="inlineStr">
        <is>
          <t>Disetujui</t>
        </is>
      </c>
      <c r="K7" t="n">
        <v>60</v>
      </c>
      <c r="L7" t="inlineStr">
        <is>
          <t>6 November 2026</t>
        </is>
      </c>
      <c r="M7" t="inlineStr">
        <is>
          <t>Konstruksi Bangunan Sipil Jalan</t>
        </is>
      </c>
      <c r="N7" t="inlineStr">
        <is>
          <t>K</t>
        </is>
      </c>
      <c r="O7" t="inlineStr">
        <is>
          <t>20231101</t>
        </is>
      </c>
      <c r="P7" t="inlineStr">
        <is>
          <t>Jawa Barat</t>
        </is>
      </c>
      <c r="Q7" s="3">
        <f>HYPERLINK("https://wa.me/628111192417?text=*[PENGINGAT MASA BERLAKU SBU SIGA HELIN FORTUN]*%0A%0AYth. Pimpinan SIGA HELIN FORTUN,%0AMohon izin menginformasikan status SBU Anda di sistem LPJK:%0A%0A📄 SBU: BS001%0A📅 Expired: 6 November 2026 (60 Hari Lagi)%0A%0AKami tim PT. ESDEA Assistance Management siap men-support proses perpanjangan segera agar administrasi proyek tidak terhambat%0A%0AApakah boleh saya bantu siapkan estimasi biaya dan waktu pengerjaannya?.", "Hubungi")</f>
        <v/>
      </c>
    </row>
    <row r="8">
      <c r="A8" t="inlineStr">
        <is>
          <t>THAN TIAN MANDIRI</t>
        </is>
      </c>
      <c r="B8" t="inlineStr">
        <is>
          <t>Kota Depok</t>
        </is>
      </c>
      <c r="C8" t="inlineStr">
        <is>
          <t>081295219474</t>
        </is>
      </c>
      <c r="D8" t="inlineStr">
        <is>
          <t>thantianmandiri@gmail.com</t>
        </is>
      </c>
      <c r="E8" t="inlineStr">
        <is>
          <t>https://lpjk.pu.go.id/search-badan-usaha-detail/clZ1STJKSXI3KzJNb3NXYnBPNE03UT09</t>
        </is>
      </c>
      <c r="F8" t="n">
        <v>1</v>
      </c>
      <c r="G8" t="inlineStr">
        <is>
          <t>BS004</t>
        </is>
      </c>
      <c r="H8" t="inlineStr">
        <is>
          <t>12 September 2014</t>
        </is>
      </c>
      <c r="I8" s="2" t="n">
        <v>46332</v>
      </c>
      <c r="J8" t="inlineStr">
        <is>
          <t>Disetujui</t>
        </is>
      </c>
      <c r="K8" t="n">
        <v>60</v>
      </c>
      <c r="L8" t="inlineStr">
        <is>
          <t>6 November 2026</t>
        </is>
      </c>
      <c r="M8" t="inlineStr">
        <is>
          <t>Konstruksi Jaringan Irigasi dan Drainase</t>
        </is>
      </c>
      <c r="N8" t="inlineStr">
        <is>
          <t>K</t>
        </is>
      </c>
      <c r="O8" t="inlineStr">
        <is>
          <t>20231102</t>
        </is>
      </c>
      <c r="P8" t="inlineStr">
        <is>
          <t>Jawa Barat</t>
        </is>
      </c>
      <c r="Q8" s="3">
        <f>HYPERLINK("https://wa.me/6281295219474?text=*[PENGINGAT MASA BERLAKU SBU THAN TIAN MANDIRI]*%0A%0AYth. Pimpinan THAN TIAN MANDIRI,%0AMohon izin menginformasikan status SBU Anda di sistem LPJK:%0A%0A📄 SBU: BS004%0A📅 Expired: 6 November 2026 (60 Hari Lagi)%0A%0AKami tim PT. ESDEA Assistance Management siap men-support proses perpanjangan segera agar administrasi proyek tidak terhambat%0A%0AApakah boleh saya bantu siapkan estimasi biaya dan waktu pengerjaannya?.", "Hubungi")</f>
        <v/>
      </c>
    </row>
    <row r="9">
      <c r="A9" t="inlineStr">
        <is>
          <t>TRI KARYA DEWA</t>
        </is>
      </c>
      <c r="B9" t="inlineStr">
        <is>
          <t>Kota Adm. Jakarta Timur</t>
        </is>
      </c>
      <c r="C9" t="inlineStr">
        <is>
          <t>02121385129</t>
        </is>
      </c>
      <c r="D9" t="inlineStr">
        <is>
          <t>trikaryadewa@gmail.com</t>
        </is>
      </c>
      <c r="E9" t="inlineStr">
        <is>
          <t>https://lpjk.pu.go.id/search-badan-usaha-detail/a3oxNXFCOXBaank0dUx3WURkZHZUUT09</t>
        </is>
      </c>
      <c r="F9" t="n">
        <v>2</v>
      </c>
      <c r="G9" t="inlineStr">
        <is>
          <t>BG008, BG009</t>
        </is>
      </c>
      <c r="H9" t="inlineStr">
        <is>
          <t>2 Maret 2017</t>
        </is>
      </c>
      <c r="I9" s="2" t="n">
        <v>46332</v>
      </c>
      <c r="J9" t="inlineStr">
        <is>
          <t>Disetujui</t>
        </is>
      </c>
      <c r="K9" t="n">
        <v>60</v>
      </c>
      <c r="L9" t="inlineStr">
        <is>
          <t>6 November 2026</t>
        </is>
      </c>
      <c r="M9" t="inlineStr">
        <is>
          <t>Konstruksi Gedung Lainnya, Konstruksi Gedung Tempat Hiburan dan Olahraga</t>
        </is>
      </c>
      <c r="N9" t="inlineStr">
        <is>
          <t>K</t>
        </is>
      </c>
      <c r="O9" t="inlineStr">
        <is>
          <t>20231103</t>
        </is>
      </c>
      <c r="P9" t="inlineStr">
        <is>
          <t>DKI Jakarta</t>
        </is>
      </c>
      <c r="Q9" t="inlineStr"/>
    </row>
    <row r="10">
      <c r="A10" t="inlineStr">
        <is>
          <t>ABADI SENTOSA</t>
        </is>
      </c>
      <c r="B10" t="inlineStr">
        <is>
          <t>Kab. Cianjur</t>
        </is>
      </c>
      <c r="C10" t="inlineStr">
        <is>
          <t>081912112837</t>
        </is>
      </c>
      <c r="D10" t="inlineStr">
        <is>
          <t>cv.absen@gmail.com</t>
        </is>
      </c>
      <c r="E10" t="inlineStr">
        <is>
          <t>https://lpjk.pu.go.id/search-badan-usaha-detail/NTZnT1YwOTVXSmlKZ0h4VExsRHY0dz09</t>
        </is>
      </c>
      <c r="F10" t="n">
        <v>2</v>
      </c>
      <c r="G10" t="inlineStr">
        <is>
          <t>BS001</t>
        </is>
      </c>
      <c r="H10" t="inlineStr">
        <is>
          <t>8 Juni 2012</t>
        </is>
      </c>
      <c r="I10" s="2" t="n">
        <v>46332</v>
      </c>
      <c r="J10" t="inlineStr">
        <is>
          <t>Disetujui</t>
        </is>
      </c>
      <c r="K10" t="n">
        <v>60</v>
      </c>
      <c r="L10" t="inlineStr">
        <is>
          <t>6 November 2026</t>
        </is>
      </c>
      <c r="M10" t="inlineStr">
        <is>
          <t>Konstruksi Bangunan Sipil Jalan</t>
        </is>
      </c>
      <c r="N10" t="inlineStr">
        <is>
          <t>K</t>
        </is>
      </c>
      <c r="O10" t="inlineStr">
        <is>
          <t>20220304</t>
        </is>
      </c>
      <c r="P10" t="inlineStr">
        <is>
          <t>Jawa Barat</t>
        </is>
      </c>
      <c r="Q10" t="inlineStr"/>
    </row>
    <row r="11">
      <c r="A11" t="inlineStr">
        <is>
          <t>ADHI KINANG MANDIRI</t>
        </is>
      </c>
      <c r="B11" t="inlineStr">
        <is>
          <t>Kab. Gowa</t>
        </is>
      </c>
      <c r="C11" t="inlineStr">
        <is>
          <t>081342603234</t>
        </is>
      </c>
      <c r="D11" t="inlineStr">
        <is>
          <t>cv.adhikinangmandiri88@gmail.com</t>
        </is>
      </c>
      <c r="E11" t="inlineStr">
        <is>
          <t>https://lpjk.pu.go.id/search-badan-usaha-detail/aGVKS0RnRmMzSjRNTlh3ODArSytCdz09</t>
        </is>
      </c>
      <c r="F11" t="n">
        <v>1</v>
      </c>
      <c r="G11" t="inlineStr">
        <is>
          <t>BG006</t>
        </is>
      </c>
      <c r="H11" t="inlineStr">
        <is>
          <t>26 Maret 2013</t>
        </is>
      </c>
      <c r="I11" s="2" t="n">
        <v>46332</v>
      </c>
      <c r="J11" t="inlineStr">
        <is>
          <t>Disetujui</t>
        </is>
      </c>
      <c r="K11" t="n">
        <v>60</v>
      </c>
      <c r="L11" t="inlineStr">
        <is>
          <t>6 November 2026</t>
        </is>
      </c>
      <c r="M11" t="inlineStr">
        <is>
          <t>Konstruksi Gedung Pendidikan</t>
        </is>
      </c>
      <c r="N11" t="inlineStr">
        <is>
          <t>K</t>
        </is>
      </c>
      <c r="O11" t="inlineStr">
        <is>
          <t>20231106</t>
        </is>
      </c>
      <c r="P11" t="inlineStr">
        <is>
          <t>Sulawesi Selatan</t>
        </is>
      </c>
      <c r="Q11" t="inlineStr"/>
    </row>
    <row r="12">
      <c r="A12" t="inlineStr">
        <is>
          <t>AGUNG BHIRAWA PERKASA</t>
        </is>
      </c>
      <c r="B12" t="inlineStr">
        <is>
          <t>Kota Adm. Jakarta Selatan</t>
        </is>
      </c>
      <c r="C12" t="inlineStr">
        <is>
          <t>02122426881</t>
        </is>
      </c>
      <c r="D12" t="inlineStr">
        <is>
          <t>agungbhirawaperkasa@gmail.com</t>
        </is>
      </c>
      <c r="E12" t="inlineStr">
        <is>
          <t>https://lpjk.pu.go.id/search-badan-usaha-detail/eGpDVnRleE55SlRvcmNRSmxLNWxWUT09</t>
        </is>
      </c>
      <c r="F12" t="n">
        <v>2</v>
      </c>
      <c r="G12" t="inlineStr">
        <is>
          <t>BS009</t>
        </is>
      </c>
      <c r="H12" t="inlineStr">
        <is>
          <t>6 Januari 2021</t>
        </is>
      </c>
      <c r="I12" s="2" t="n">
        <v>46332</v>
      </c>
      <c r="J12" t="inlineStr">
        <is>
          <t>Disetujui</t>
        </is>
      </c>
      <c r="K12" t="n">
        <v>60</v>
      </c>
      <c r="L12" t="inlineStr">
        <is>
          <t>6 November 2026</t>
        </is>
      </c>
      <c r="M12" t="inlineStr">
        <is>
          <t>Konstruksi Sentral Telekomunikasi</t>
        </is>
      </c>
      <c r="N12" t="inlineStr">
        <is>
          <t>K</t>
        </is>
      </c>
      <c r="O12" t="inlineStr">
        <is>
          <t>20231106</t>
        </is>
      </c>
      <c r="P12" t="inlineStr">
        <is>
          <t>DKI Jakarta</t>
        </is>
      </c>
      <c r="Q12" t="inlineStr"/>
    </row>
    <row r="13">
      <c r="A13" t="inlineStr">
        <is>
          <t>AIR MAS PERKASA</t>
        </is>
      </c>
      <c r="B13" t="inlineStr">
        <is>
          <t>Kota Adm. Jakarta Barat</t>
        </is>
      </c>
      <c r="C13" t="inlineStr">
        <is>
          <t>0216304444</t>
        </is>
      </c>
      <c r="D13" t="inlineStr">
        <is>
          <t>ptspairmasperkasa@gmail.com</t>
        </is>
      </c>
      <c r="E13" t="inlineStr">
        <is>
          <t>https://lpjk.pu.go.id/search-badan-usaha-detail/UlpEcVdLRVhnNkd5Y2JPM3RNL1g0dz09</t>
        </is>
      </c>
      <c r="F13" t="n">
        <v>2</v>
      </c>
      <c r="G13" t="inlineStr">
        <is>
          <t>BS009, IN011</t>
        </is>
      </c>
      <c r="H13" t="inlineStr">
        <is>
          <t>30 Mei 2022</t>
        </is>
      </c>
      <c r="I13" s="2" t="n">
        <v>46332</v>
      </c>
      <c r="J13" t="inlineStr">
        <is>
          <t>Disetujui, Pencabutan</t>
        </is>
      </c>
      <c r="K13" t="n">
        <v>60</v>
      </c>
      <c r="L13" t="inlineStr">
        <is>
          <t>6 November 2026</t>
        </is>
      </c>
      <c r="M13" t="inlineStr">
        <is>
          <t>Instalasi Sinyal dan Rambu-rambu Jalan Raya, Konstruksi Sentral Telekomunikasi</t>
        </is>
      </c>
      <c r="N13" t="inlineStr">
        <is>
          <t>K, Spesialis</t>
        </is>
      </c>
      <c r="O13" t="inlineStr">
        <is>
          <t>20230922, 20231103</t>
        </is>
      </c>
      <c r="P13" t="inlineStr">
        <is>
          <t>DKI Jakarta</t>
        </is>
      </c>
      <c r="Q13" t="inlineStr"/>
    </row>
    <row r="14">
      <c r="A14" t="inlineStr">
        <is>
          <t>AKHTAR KONTRUKSI</t>
        </is>
      </c>
      <c r="B14" t="inlineStr">
        <is>
          <t>Kab. Sijunjung</t>
        </is>
      </c>
      <c r="C14" t="inlineStr">
        <is>
          <t>085274544504</t>
        </is>
      </c>
      <c r="D14" t="inlineStr">
        <is>
          <t>riodarwinsjj19@gmail.com</t>
        </is>
      </c>
      <c r="E14" t="inlineStr">
        <is>
          <t>https://lpjk.pu.go.id/search-badan-usaha-detail/TWIyL0JyeW1RZ2RXTWpJeXFsWU5Ddz09</t>
        </is>
      </c>
      <c r="F14" t="n">
        <v>1</v>
      </c>
      <c r="G14" t="inlineStr">
        <is>
          <t>BG009</t>
        </is>
      </c>
      <c r="H14" t="inlineStr">
        <is>
          <t>25 Agustus 2023</t>
        </is>
      </c>
      <c r="I14" s="2" t="n">
        <v>46332</v>
      </c>
      <c r="J14" t="inlineStr">
        <is>
          <t>Pencabutan</t>
        </is>
      </c>
      <c r="K14" t="n">
        <v>60</v>
      </c>
      <c r="L14" t="inlineStr">
        <is>
          <t>6 November 2026</t>
        </is>
      </c>
      <c r="M14" t="inlineStr">
        <is>
          <t>Konstruksi Gedung Lainnya</t>
        </is>
      </c>
      <c r="N14" t="inlineStr">
        <is>
          <t>K</t>
        </is>
      </c>
      <c r="O14" t="inlineStr">
        <is>
          <t>20231106</t>
        </is>
      </c>
      <c r="P14" t="inlineStr">
        <is>
          <t>Sumatera Barat</t>
        </is>
      </c>
      <c r="Q14" t="inlineStr"/>
    </row>
    <row r="15">
      <c r="A15" t="inlineStr">
        <is>
          <t>ALPHA LINE INTERNATIONAL</t>
        </is>
      </c>
      <c r="B15" t="inlineStr">
        <is>
          <t>Kota Adm. Jakarta Barat</t>
        </is>
      </c>
      <c r="C15" t="inlineStr">
        <is>
          <t>0216596524</t>
        </is>
      </c>
      <c r="D15" t="inlineStr">
        <is>
          <t>legal.alphaline@gmail.com</t>
        </is>
      </c>
      <c r="E15" t="inlineStr">
        <is>
          <t>https://lpjk.pu.go.id/search-badan-usaha-detail/QkhOZXNaaERXNkRDdnM4UGhDd3ZkZz09</t>
        </is>
      </c>
      <c r="F15" t="n">
        <v>1</v>
      </c>
      <c r="G15" t="inlineStr">
        <is>
          <t>IN002</t>
        </is>
      </c>
      <c r="H15" t="inlineStr">
        <is>
          <t>22 Juni 2012</t>
        </is>
      </c>
      <c r="I15" s="2" t="n">
        <v>46332</v>
      </c>
      <c r="J15" t="inlineStr">
        <is>
          <t>Disetujui</t>
        </is>
      </c>
      <c r="K15" t="n">
        <v>60</v>
      </c>
      <c r="L15" t="inlineStr">
        <is>
          <t>6 November 2026</t>
        </is>
      </c>
      <c r="M15" t="inlineStr">
        <is>
          <t>Instalasi Telekomunikasi</t>
        </is>
      </c>
      <c r="N15" t="inlineStr">
        <is>
          <t>Spesialis</t>
        </is>
      </c>
      <c r="O15" t="inlineStr">
        <is>
          <t>20231102</t>
        </is>
      </c>
      <c r="P15" t="inlineStr">
        <is>
          <t>DKI Jakarta</t>
        </is>
      </c>
      <c r="Q15" t="inlineStr"/>
    </row>
    <row r="16">
      <c r="A16" t="inlineStr">
        <is>
          <t>AMANDA</t>
        </is>
      </c>
      <c r="B16" t="inlineStr">
        <is>
          <t>Kab. Merangin</t>
        </is>
      </c>
      <c r="C16" t="inlineStr">
        <is>
          <t>082269768263</t>
        </is>
      </c>
      <c r="D16" t="inlineStr">
        <is>
          <t>darm8569@gmail.com</t>
        </is>
      </c>
      <c r="E16" t="inlineStr">
        <is>
          <t>https://lpjk.pu.go.id/search-badan-usaha-detail/cGZxWElsRkU4ZFVDK2ZWUWw3YXFIZz09</t>
        </is>
      </c>
      <c r="F16" t="n">
        <v>2</v>
      </c>
      <c r="G16" t="inlineStr">
        <is>
          <t>BS001</t>
        </is>
      </c>
      <c r="H16" t="inlineStr">
        <is>
          <t>16 April 2009</t>
        </is>
      </c>
      <c r="I16" s="2" t="n">
        <v>46332</v>
      </c>
      <c r="J16" t="inlineStr">
        <is>
          <t>Disetujui</t>
        </is>
      </c>
      <c r="K16" t="n">
        <v>60</v>
      </c>
      <c r="L16" t="inlineStr">
        <is>
          <t>6 November 2026</t>
        </is>
      </c>
      <c r="M16" t="inlineStr">
        <is>
          <t>Konstruksi Bangunan Sipil Jalan</t>
        </is>
      </c>
      <c r="N16" t="inlineStr">
        <is>
          <t>K</t>
        </is>
      </c>
      <c r="O16" t="inlineStr">
        <is>
          <t>20231102</t>
        </is>
      </c>
      <c r="P16" t="inlineStr">
        <is>
          <t>Jambi</t>
        </is>
      </c>
      <c r="Q16" t="inlineStr"/>
    </row>
    <row r="17">
      <c r="A17" t="inlineStr">
        <is>
          <t>ANDRACON</t>
        </is>
      </c>
      <c r="B17" t="inlineStr">
        <is>
          <t>Kota Yogyakarta</t>
        </is>
      </c>
      <c r="C17" t="inlineStr">
        <is>
          <t>085228727970</t>
        </is>
      </c>
      <c r="D17" t="inlineStr">
        <is>
          <t>andracontractor@gmail.com</t>
        </is>
      </c>
      <c r="E17" t="inlineStr">
        <is>
          <t>https://lpjk.pu.go.id/search-badan-usaha-detail/TTQwRzN2TjlNS3RmWTN5bUdTNUVmQT09</t>
        </is>
      </c>
      <c r="F17" t="n">
        <v>4</v>
      </c>
      <c r="G17" t="inlineStr">
        <is>
          <t>BG006, BG009, BS001, BS004</t>
        </is>
      </c>
      <c r="H17" t="inlineStr">
        <is>
          <t>14 Januari 2017</t>
        </is>
      </c>
      <c r="I17" s="2" t="n">
        <v>46332</v>
      </c>
      <c r="J17" t="inlineStr">
        <is>
          <t>Disetujui</t>
        </is>
      </c>
      <c r="K17" t="n">
        <v>60</v>
      </c>
      <c r="L17" t="inlineStr">
        <is>
          <t>6 November 2026</t>
        </is>
      </c>
      <c r="M17" t="inlineStr">
        <is>
          <t>Konstruksi Bangunan Sipil Jalan, Konstruksi Gedung Lainnya, Konstruksi Gedung Pendidikan, Konstruksi Jaringan Irigasi dan Drainase</t>
        </is>
      </c>
      <c r="N17" t="inlineStr">
        <is>
          <t>K</t>
        </is>
      </c>
      <c r="O17" t="inlineStr">
        <is>
          <t>20231031, 20231101</t>
        </is>
      </c>
      <c r="P17" t="inlineStr">
        <is>
          <t>DI Yogyakarta</t>
        </is>
      </c>
      <c r="Q17" t="inlineStr"/>
    </row>
    <row r="18">
      <c r="A18" t="inlineStr">
        <is>
          <t>ARDIAN RINDRA JAYA</t>
        </is>
      </c>
      <c r="B18" t="inlineStr">
        <is>
          <t>Kab. Gresik</t>
        </is>
      </c>
      <c r="C18" t="inlineStr">
        <is>
          <t>0313982509</t>
        </is>
      </c>
      <c r="D18" t="inlineStr">
        <is>
          <t>pt.ardianrindrajaya@gmail.com</t>
        </is>
      </c>
      <c r="E18" t="inlineStr">
        <is>
          <t>https://lpjk.pu.go.id/search-badan-usaha-detail/eVU2UkFDNHNHYWFFM1JaYXlxR3ZVZz09</t>
        </is>
      </c>
      <c r="F18" t="n">
        <v>6</v>
      </c>
      <c r="G18" t="inlineStr">
        <is>
          <t>BG001, BG002, BG004</t>
        </is>
      </c>
      <c r="H18" t="inlineStr">
        <is>
          <t>30 November 2011</t>
        </is>
      </c>
      <c r="I18" s="2" t="n">
        <v>46332</v>
      </c>
      <c r="J18" t="inlineStr">
        <is>
          <t>Disetujui</t>
        </is>
      </c>
      <c r="K18" t="n">
        <v>60</v>
      </c>
      <c r="L18" t="inlineStr">
        <is>
          <t>6 November 2026</t>
        </is>
      </c>
      <c r="M18" t="inlineStr">
        <is>
          <t>Konstruksi Gedung Hunian, Konstruksi Gedung Perbelanjaan, Konstruksi Gedung Perkantoran</t>
        </is>
      </c>
      <c r="N18" t="inlineStr">
        <is>
          <t>K</t>
        </is>
      </c>
      <c r="O18" t="inlineStr">
        <is>
          <t>20231102</t>
        </is>
      </c>
      <c r="P18" t="inlineStr">
        <is>
          <t>Jawa Timur</t>
        </is>
      </c>
      <c r="Q18" t="inlineStr"/>
    </row>
    <row r="19">
      <c r="A19" t="inlineStr">
        <is>
          <t>ARSITAMA GRAHA PRATAMA</t>
        </is>
      </c>
      <c r="B19" t="inlineStr">
        <is>
          <t>Kota Bandung</t>
        </is>
      </c>
      <c r="C19" t="inlineStr">
        <is>
          <t>081332712147</t>
        </is>
      </c>
      <c r="D19" t="inlineStr">
        <is>
          <t>arsitama.id@gmail.com</t>
        </is>
      </c>
      <c r="E19" t="inlineStr">
        <is>
          <t>https://lpjk.pu.go.id/search-badan-usaha-detail/azBtc2R4MmdCNWkxdjFyc1I4ZTA2QT09</t>
        </is>
      </c>
      <c r="F19" t="n">
        <v>8</v>
      </c>
      <c r="G19" t="inlineStr">
        <is>
          <t>BG001, BG002, BG003, BG006</t>
        </is>
      </c>
      <c r="H19" t="inlineStr">
        <is>
          <t>18 April 2022</t>
        </is>
      </c>
      <c r="I19" s="2" t="n">
        <v>46332</v>
      </c>
      <c r="J19" t="inlineStr">
        <is>
          <t>Disetujui</t>
        </is>
      </c>
      <c r="K19" t="n">
        <v>60</v>
      </c>
      <c r="L19" t="inlineStr">
        <is>
          <t>6 November 2026</t>
        </is>
      </c>
      <c r="M19" t="inlineStr">
        <is>
          <t>Konstruksi Gedung Hunian, Konstruksi Gedung Industri, Konstruksi Gedung Pendidikan, Konstruksi Gedung Perkantoran</t>
        </is>
      </c>
      <c r="N19" t="inlineStr">
        <is>
          <t>K</t>
        </is>
      </c>
      <c r="O19" t="inlineStr">
        <is>
          <t>20231103, 20231106, 20231109</t>
        </is>
      </c>
      <c r="P19" t="inlineStr">
        <is>
          <t>Jawa Barat</t>
        </is>
      </c>
      <c r="Q19" t="inlineStr"/>
    </row>
    <row r="20">
      <c r="A20" t="inlineStr">
        <is>
          <t>ARTHA ENGINEERING</t>
        </is>
      </c>
      <c r="B20" t="inlineStr">
        <is>
          <t>Kota Padang</t>
        </is>
      </c>
      <c r="C20" t="inlineStr">
        <is>
          <t>085264654444</t>
        </is>
      </c>
      <c r="D20" t="inlineStr">
        <is>
          <t>engineeringartha@gmail.com</t>
        </is>
      </c>
      <c r="E20" t="inlineStr">
        <is>
          <t>https://lpjk.pu.go.id/search-badan-usaha-detail/ODdocmdKVVFiQXFwMjhwVFBMRmZFQT09</t>
        </is>
      </c>
      <c r="F20" t="n">
        <v>4</v>
      </c>
      <c r="G20" t="inlineStr">
        <is>
          <t>BG005, BG006, BG009, BS002</t>
        </is>
      </c>
      <c r="H20" t="inlineStr">
        <is>
          <t>1 November 2023</t>
        </is>
      </c>
      <c r="I20" s="2" t="n">
        <v>46332</v>
      </c>
      <c r="J20" t="inlineStr">
        <is>
          <t>Disetujui, Pencabutan</t>
        </is>
      </c>
      <c r="K20" t="n">
        <v>60</v>
      </c>
      <c r="L20" t="inlineStr">
        <is>
          <t>6 November 2026</t>
        </is>
      </c>
      <c r="M20" t="inlineStr">
        <is>
          <t>Bangunan Sipil Jembatan, Jalan Layang, Fly Over, dan Underpass, Konstruksi Gedung Kesehatan, Konstruksi Gedung Lainnya, Konstruksi Gedung Pendidikan</t>
        </is>
      </c>
      <c r="N20" t="inlineStr">
        <is>
          <t>K</t>
        </is>
      </c>
      <c r="O20" t="inlineStr">
        <is>
          <t>20231106, 20231107</t>
        </is>
      </c>
      <c r="P20" t="inlineStr">
        <is>
          <t>Sumatera Barat</t>
        </is>
      </c>
      <c r="Q20" t="inlineStr"/>
    </row>
    <row r="21">
      <c r="A21" t="inlineStr">
        <is>
          <t>ARTHA JAYA CEMERLANG</t>
        </is>
      </c>
      <c r="B21" t="inlineStr">
        <is>
          <t>Kota Adm. Jakarta Selatan</t>
        </is>
      </c>
      <c r="C21" t="inlineStr">
        <is>
          <t>081289110006</t>
        </is>
      </c>
      <c r="D21" t="inlineStr">
        <is>
          <t>arthajaya.cemerlang@yahoo.com</t>
        </is>
      </c>
      <c r="E21" t="inlineStr">
        <is>
          <t>https://lpjk.pu.go.id/search-badan-usaha-detail/aVE4bk9jYlRKM0kwSG9GTGZuaUl2UT09</t>
        </is>
      </c>
      <c r="F21" t="n">
        <v>1</v>
      </c>
      <c r="G21" t="inlineStr">
        <is>
          <t>BG002</t>
        </is>
      </c>
      <c r="H21" t="inlineStr">
        <is>
          <t>2 Mei 2014</t>
        </is>
      </c>
      <c r="I21" s="2" t="n">
        <v>46332</v>
      </c>
      <c r="J21" t="inlineStr">
        <is>
          <t>Disetujui</t>
        </is>
      </c>
      <c r="K21" t="n">
        <v>60</v>
      </c>
      <c r="L21" t="inlineStr">
        <is>
          <t>6 November 2026</t>
        </is>
      </c>
      <c r="M21" t="inlineStr">
        <is>
          <t>Konstruksi Gedung Perkantoran</t>
        </is>
      </c>
      <c r="N21" t="inlineStr">
        <is>
          <t>K</t>
        </is>
      </c>
      <c r="O21" t="inlineStr">
        <is>
          <t>20231101</t>
        </is>
      </c>
      <c r="P21" t="inlineStr">
        <is>
          <t>DKI Jakarta</t>
        </is>
      </c>
      <c r="Q21" t="inlineStr"/>
    </row>
    <row r="22">
      <c r="A22" t="inlineStr">
        <is>
          <t>ARTHA MAHESWARA</t>
        </is>
      </c>
      <c r="B22" t="inlineStr">
        <is>
          <t>Kab. Bojonegoro</t>
        </is>
      </c>
      <c r="C22" t="inlineStr">
        <is>
          <t>085232586899</t>
        </is>
      </c>
      <c r="D22" t="inlineStr">
        <is>
          <t>arthamaheswara1@gmail.com</t>
        </is>
      </c>
      <c r="E22" t="inlineStr">
        <is>
          <t>https://lpjk.pu.go.id/search-badan-usaha-detail/Y1ROQVdxblFDY2F2c1BDRFgraFExZz09</t>
        </is>
      </c>
      <c r="F22" t="n">
        <v>1</v>
      </c>
      <c r="G22" t="inlineStr">
        <is>
          <t>BS001</t>
        </is>
      </c>
      <c r="H22" t="inlineStr">
        <is>
          <t>14 April 2020</t>
        </is>
      </c>
      <c r="I22" s="2" t="n">
        <v>46332</v>
      </c>
      <c r="J22" t="inlineStr">
        <is>
          <t>Pencabutan</t>
        </is>
      </c>
      <c r="K22" t="n">
        <v>60</v>
      </c>
      <c r="L22" t="inlineStr">
        <is>
          <t>6 November 2026</t>
        </is>
      </c>
      <c r="M22" t="inlineStr">
        <is>
          <t>Konstruksi Bangunan Sipil Jalan</t>
        </is>
      </c>
      <c r="N22" t="inlineStr">
        <is>
          <t>K</t>
        </is>
      </c>
      <c r="O22" t="inlineStr">
        <is>
          <t>20231106</t>
        </is>
      </c>
      <c r="P22" t="inlineStr">
        <is>
          <t>Jawa Timur</t>
        </is>
      </c>
      <c r="Q22" t="inlineStr"/>
    </row>
    <row r="23">
      <c r="A23" t="inlineStr">
        <is>
          <t>ARUILA</t>
        </is>
      </c>
      <c r="B23" t="inlineStr">
        <is>
          <t>Kab. Indramayu</t>
        </is>
      </c>
      <c r="C23" t="inlineStr">
        <is>
          <t>085322309833</t>
        </is>
      </c>
      <c r="D23" t="inlineStr">
        <is>
          <t>cvaruilatelukagung@gmail.com</t>
        </is>
      </c>
      <c r="E23" t="inlineStr">
        <is>
          <t>https://lpjk.pu.go.id/search-badan-usaha-detail/UW1Rc3pqZmtOcFlYU1JJdXdNc2JOdz09</t>
        </is>
      </c>
      <c r="F23" t="n">
        <v>3</v>
      </c>
      <c r="G23" t="inlineStr">
        <is>
          <t>BS001, BS002, BS004</t>
        </is>
      </c>
      <c r="H23" t="inlineStr">
        <is>
          <t>8 Januari 2016</t>
        </is>
      </c>
      <c r="I23" s="2" t="n">
        <v>46332</v>
      </c>
      <c r="J23" t="inlineStr">
        <is>
          <t>Disetujui</t>
        </is>
      </c>
      <c r="K23" t="n">
        <v>60</v>
      </c>
      <c r="L23" t="inlineStr">
        <is>
          <t>6 November 2026</t>
        </is>
      </c>
      <c r="M23" t="inlineStr">
        <is>
          <t>Bangunan Sipil Jembatan, Jalan Layang, Fly Over, dan Underpass, Konstruksi Bangunan Sipil Jalan, Konstruksi Jaringan Irigasi dan Drainase</t>
        </is>
      </c>
      <c r="N23" t="inlineStr">
        <is>
          <t>K</t>
        </is>
      </c>
      <c r="O23" t="inlineStr">
        <is>
          <t>20231020</t>
        </is>
      </c>
      <c r="P23" t="inlineStr">
        <is>
          <t>Jawa Barat</t>
        </is>
      </c>
      <c r="Q23" t="inlineStr"/>
    </row>
    <row r="24">
      <c r="A24" t="inlineStr">
        <is>
          <t>BANGUN GRAHA INDONESIA</t>
        </is>
      </c>
      <c r="B24" t="inlineStr">
        <is>
          <t>Kota Banda Aceh</t>
        </is>
      </c>
      <c r="C24" t="inlineStr">
        <is>
          <t>085221237545</t>
        </is>
      </c>
      <c r="D24" t="inlineStr">
        <is>
          <t>ptbgi.contractor@gmail.com</t>
        </is>
      </c>
      <c r="E24" t="inlineStr">
        <is>
          <t>https://lpjk.pu.go.id/search-badan-usaha-detail/K1h0cGIzemM3N2wzU0xHZXZOcUp2dz09</t>
        </is>
      </c>
      <c r="F24" t="n">
        <v>1</v>
      </c>
      <c r="G24" t="inlineStr">
        <is>
          <t>BS001</t>
        </is>
      </c>
      <c r="H24" t="inlineStr">
        <is>
          <t>13 Februari 2017</t>
        </is>
      </c>
      <c r="I24" s="2" t="n">
        <v>46332</v>
      </c>
      <c r="J24" t="inlineStr">
        <is>
          <t>Pencabutan</t>
        </is>
      </c>
      <c r="K24" t="n">
        <v>60</v>
      </c>
      <c r="L24" t="inlineStr">
        <is>
          <t>6 November 2026</t>
        </is>
      </c>
      <c r="M24" t="inlineStr">
        <is>
          <t>Konstruksi Bangunan Sipil Jalan</t>
        </is>
      </c>
      <c r="N24" t="inlineStr">
        <is>
          <t>M</t>
        </is>
      </c>
      <c r="O24" t="inlineStr">
        <is>
          <t>20231102</t>
        </is>
      </c>
      <c r="P24" t="inlineStr">
        <is>
          <t>Aceh</t>
        </is>
      </c>
      <c r="Q24" t="inlineStr"/>
    </row>
    <row r="25">
      <c r="A25" t="inlineStr">
        <is>
          <t>BANGUN PAPUA RAYA</t>
        </is>
      </c>
      <c r="B25" t="inlineStr">
        <is>
          <t>Kota Sorong</t>
        </is>
      </c>
      <c r="C25" t="inlineStr">
        <is>
          <t>085315555388</t>
        </is>
      </c>
      <c r="D25" t="inlineStr">
        <is>
          <t>cv.bangunpapuaraya@gmail.com</t>
        </is>
      </c>
      <c r="E25" t="inlineStr">
        <is>
          <t>https://lpjk.pu.go.id/search-badan-usaha-detail/dDdzbFVqU09TRE5oWmZMVE5rcWRsdTFUZDRjcHd1VG9zbzNnaVVGdzB5bz0</t>
        </is>
      </c>
      <c r="F25" t="n">
        <v>2</v>
      </c>
      <c r="G25" t="inlineStr">
        <is>
          <t>BS004, BS010</t>
        </is>
      </c>
      <c r="H25" t="inlineStr">
        <is>
          <t>8 Juli 2025</t>
        </is>
      </c>
      <c r="I25" s="2" t="n">
        <v>46332</v>
      </c>
      <c r="J25" t="inlineStr">
        <is>
          <t>Disetujui</t>
        </is>
      </c>
      <c r="K25" t="n">
        <v>60</v>
      </c>
      <c r="L25" t="inlineStr">
        <is>
          <t>6 November 2026</t>
        </is>
      </c>
      <c r="M25" t="inlineStr">
        <is>
          <t>Konstruksi Bangunan Prasarana Sumber Daya Air, Konstruksi Jaringan Irigasi dan Drainase</t>
        </is>
      </c>
      <c r="N25" t="inlineStr">
        <is>
          <t>K</t>
        </is>
      </c>
      <c r="O25" t="inlineStr">
        <is>
          <t>20231106, 20231113</t>
        </is>
      </c>
      <c r="P25" t="inlineStr">
        <is>
          <t>Papua Barat Daya</t>
        </is>
      </c>
      <c r="Q25" t="inlineStr"/>
    </row>
    <row r="26">
      <c r="A26" t="inlineStr">
        <is>
          <t>BATURUMA CARAKA NAWASENA</t>
        </is>
      </c>
      <c r="B26" t="inlineStr">
        <is>
          <t>Kota Tangerang Selatan</t>
        </is>
      </c>
      <c r="C26" t="inlineStr">
        <is>
          <t>081313282317</t>
        </is>
      </c>
      <c r="D26" t="inlineStr">
        <is>
          <t>ptbaturumacarakanawasena@gmail.com</t>
        </is>
      </c>
      <c r="E26" t="inlineStr">
        <is>
          <t>https://lpjk.pu.go.id/search-badan-usaha-detail/dE9SeEtvcCtQYTlDMVZ1QytJd2dPdz09</t>
        </is>
      </c>
      <c r="F26" t="n">
        <v>4</v>
      </c>
      <c r="G26" t="inlineStr">
        <is>
          <t>PB004, PB009</t>
        </is>
      </c>
      <c r="H26" t="inlineStr">
        <is>
          <t>9 Juni 2023</t>
        </is>
      </c>
      <c r="I26" s="2" t="n">
        <v>46332</v>
      </c>
      <c r="J26" t="inlineStr">
        <is>
          <t>Pembekuan</t>
        </is>
      </c>
      <c r="K26" t="n">
        <v>60</v>
      </c>
      <c r="L26" t="inlineStr">
        <is>
          <t>6 November 2026</t>
        </is>
      </c>
      <c r="M26" t="inlineStr">
        <is>
          <t>Dekorasi Interior, Pembersihan dan Perapihan Bangunan Gedung dan/atau Bangunan Sipil</t>
        </is>
      </c>
      <c r="N26" t="inlineStr">
        <is>
          <t>Spesialis</t>
        </is>
      </c>
      <c r="O26" t="inlineStr">
        <is>
          <t>20231106</t>
        </is>
      </c>
      <c r="P26" t="inlineStr">
        <is>
          <t>Banten</t>
        </is>
      </c>
      <c r="Q26" t="inlineStr"/>
    </row>
    <row r="27">
      <c r="A27" t="inlineStr">
        <is>
          <t>BERKAH CAHAYA NIRWANA</t>
        </is>
      </c>
      <c r="B27" t="inlineStr">
        <is>
          <t>Kab. Tebo</t>
        </is>
      </c>
      <c r="C27" t="inlineStr">
        <is>
          <t>085188860909</t>
        </is>
      </c>
      <c r="D27" t="inlineStr">
        <is>
          <t>cvberkahcahayanirwana@gmail.com</t>
        </is>
      </c>
      <c r="E27" t="inlineStr">
        <is>
          <t>https://lpjk.pu.go.id/search-badan-usaha-detail/Nmo4SXJseFdock5FU2pvWmRJcXhxdz09</t>
        </is>
      </c>
      <c r="F27" t="n">
        <v>4</v>
      </c>
      <c r="G27" t="inlineStr">
        <is>
          <t>BG006, BS001</t>
        </is>
      </c>
      <c r="H27" t="inlineStr">
        <is>
          <t>15 Februari 2022</t>
        </is>
      </c>
      <c r="I27" s="2" t="n">
        <v>46332</v>
      </c>
      <c r="J27" t="inlineStr">
        <is>
          <t>Disetujui</t>
        </is>
      </c>
      <c r="K27" t="n">
        <v>60</v>
      </c>
      <c r="L27" t="inlineStr">
        <is>
          <t>6 November 2026</t>
        </is>
      </c>
      <c r="M27" t="inlineStr">
        <is>
          <t>Konstruksi Bangunan Sipil Jalan, Konstruksi Gedung Pendidikan</t>
        </is>
      </c>
      <c r="N27" t="inlineStr">
        <is>
          <t>K</t>
        </is>
      </c>
      <c r="O27" t="inlineStr">
        <is>
          <t>20231106, 20231113</t>
        </is>
      </c>
      <c r="P27" t="inlineStr">
        <is>
          <t>Jambi</t>
        </is>
      </c>
      <c r="Q27" t="inlineStr"/>
    </row>
    <row r="28">
      <c r="A28" t="inlineStr">
        <is>
          <t>BERLIAN ABADI</t>
        </is>
      </c>
      <c r="B28" t="inlineStr">
        <is>
          <t>Kab. Minahasa</t>
        </is>
      </c>
      <c r="C28" t="inlineStr">
        <is>
          <t>085256006464</t>
        </is>
      </c>
      <c r="D28" t="inlineStr">
        <is>
          <t>cv.berlianabadi2023@gmail.com</t>
        </is>
      </c>
      <c r="E28" t="inlineStr">
        <is>
          <t>https://lpjk.pu.go.id/search-badan-usaha-detail/OGx0RzBOZ3Y5QUxQdjd5dUNLcE9YUT09</t>
        </is>
      </c>
      <c r="F28" t="n">
        <v>1</v>
      </c>
      <c r="G28" t="inlineStr">
        <is>
          <t>BG008</t>
        </is>
      </c>
      <c r="H28" t="inlineStr">
        <is>
          <t>21 April 2003</t>
        </is>
      </c>
      <c r="I28" s="2" t="n">
        <v>46332</v>
      </c>
      <c r="J28" t="inlineStr">
        <is>
          <t>Disetujui</t>
        </is>
      </c>
      <c r="K28" t="n">
        <v>60</v>
      </c>
      <c r="L28" t="inlineStr">
        <is>
          <t>6 November 2026</t>
        </is>
      </c>
      <c r="M28" t="inlineStr">
        <is>
          <t>Konstruksi Gedung Tempat Hiburan dan Olahraga</t>
        </is>
      </c>
      <c r="N28" t="inlineStr">
        <is>
          <t>K</t>
        </is>
      </c>
      <c r="O28" t="inlineStr">
        <is>
          <t>20231106</t>
        </is>
      </c>
      <c r="P28" t="inlineStr">
        <is>
          <t>Sulawesi Utara</t>
        </is>
      </c>
      <c r="Q28" t="inlineStr"/>
    </row>
    <row r="29">
      <c r="A29" t="inlineStr">
        <is>
          <t>BINTANG KARISMA</t>
        </is>
      </c>
      <c r="B29" t="inlineStr">
        <is>
          <t>Kab. Banyuwangi</t>
        </is>
      </c>
      <c r="C29" t="inlineStr">
        <is>
          <t>082233393942</t>
        </is>
      </c>
      <c r="D29" t="inlineStr">
        <is>
          <t>bintangkarismabwi@gmail.com</t>
        </is>
      </c>
      <c r="E29" t="inlineStr">
        <is>
          <t>https://lpjk.pu.go.id/search-badan-usaha-detail/M1BhQmNPa0c4NGVybUJYL05qQUIrUT09</t>
        </is>
      </c>
      <c r="F29" t="n">
        <v>8</v>
      </c>
      <c r="G29" t="inlineStr">
        <is>
          <t>BG005, BG006, BS001, BS004</t>
        </is>
      </c>
      <c r="H29" t="inlineStr">
        <is>
          <t>28 April 2018</t>
        </is>
      </c>
      <c r="I29" s="2" t="n">
        <v>46332</v>
      </c>
      <c r="J29" t="inlineStr">
        <is>
          <t>Disetujui, Pencabutan</t>
        </is>
      </c>
      <c r="K29" t="n">
        <v>60</v>
      </c>
      <c r="L29" t="inlineStr">
        <is>
          <t>6 November 2026</t>
        </is>
      </c>
      <c r="M29" t="inlineStr">
        <is>
          <t>Konstruksi Bangunan Sipil Jalan, Konstruksi Gedung Kesehatan, Konstruksi Gedung Pendidikan, Konstruksi Jaringan Irigasi dan Drainase</t>
        </is>
      </c>
      <c r="N29" t="inlineStr">
        <is>
          <t>K</t>
        </is>
      </c>
      <c r="O29" t="inlineStr">
        <is>
          <t>20231031</t>
        </is>
      </c>
      <c r="P29" t="inlineStr">
        <is>
          <t>Jawa Timur</t>
        </is>
      </c>
      <c r="Q29" t="inlineStr"/>
    </row>
    <row r="30">
      <c r="A30" t="inlineStr">
        <is>
          <t>BINTANG PALAPA</t>
        </is>
      </c>
      <c r="B30" t="inlineStr">
        <is>
          <t>Kab. Nganjuk</t>
        </is>
      </c>
      <c r="C30" t="inlineStr">
        <is>
          <t>082139060994</t>
        </is>
      </c>
      <c r="D30" t="inlineStr">
        <is>
          <t>bintangpalapacv@gmail.com</t>
        </is>
      </c>
      <c r="E30" t="inlineStr">
        <is>
          <t>https://lpjk.pu.go.id/search-badan-usaha-detail/aXF1UktkMEM1NkNJS3FsemJpVkhhQT09</t>
        </is>
      </c>
      <c r="F30" t="n">
        <v>4</v>
      </c>
      <c r="G30" t="inlineStr">
        <is>
          <t>BG005, BG009</t>
        </is>
      </c>
      <c r="H30" t="inlineStr">
        <is>
          <t>1 Februari 1984</t>
        </is>
      </c>
      <c r="I30" s="2" t="n">
        <v>46332</v>
      </c>
      <c r="J30" t="inlineStr">
        <is>
          <t>Disetujui</t>
        </is>
      </c>
      <c r="K30" t="n">
        <v>60</v>
      </c>
      <c r="L30" t="inlineStr">
        <is>
          <t>6 November 2026</t>
        </is>
      </c>
      <c r="M30" t="inlineStr">
        <is>
          <t>Konstruksi Gedung Kesehatan, Konstruksi Gedung Lainnya</t>
        </is>
      </c>
      <c r="N30" t="inlineStr">
        <is>
          <t>K</t>
        </is>
      </c>
      <c r="O30" t="inlineStr">
        <is>
          <t>20231012, 20231016</t>
        </is>
      </c>
      <c r="P30" t="inlineStr">
        <is>
          <t>Jawa Timur</t>
        </is>
      </c>
      <c r="Q30" t="inlineStr"/>
    </row>
    <row r="31">
      <c r="A31" t="inlineStr">
        <is>
          <t>BUMI NUSANTARA INDAH</t>
        </is>
      </c>
      <c r="B31" t="inlineStr">
        <is>
          <t>Kota Mataram</t>
        </is>
      </c>
      <c r="C31" t="inlineStr">
        <is>
          <t>08175763429</t>
        </is>
      </c>
      <c r="D31" t="inlineStr">
        <is>
          <t>buminusantaraindah18@gmail.com</t>
        </is>
      </c>
      <c r="E31" t="inlineStr">
        <is>
          <t>https://lpjk.pu.go.id/search-badan-usaha-detail/cFFMNXRNT1NONXlNSkFkLzNUS285QT09</t>
        </is>
      </c>
      <c r="F31" t="n">
        <v>3</v>
      </c>
      <c r="G31" t="inlineStr">
        <is>
          <t>BG002, BG009, BS005</t>
        </is>
      </c>
      <c r="H31" t="inlineStr">
        <is>
          <t>23 September 2002</t>
        </is>
      </c>
      <c r="I31" s="2" t="n">
        <v>46332</v>
      </c>
      <c r="J31" t="inlineStr">
        <is>
          <t>Disetujui</t>
        </is>
      </c>
      <c r="K31" t="n">
        <v>60</v>
      </c>
      <c r="L31" t="inlineStr">
        <is>
          <t>6 November 2026</t>
        </is>
      </c>
      <c r="M31" t="inlineStr">
        <is>
          <t>Konstruksi Bangunan Sipil Pengolahan Air Bersih, Konstruksi Gedung Lainnya, Konstruksi Gedung Perkantoran</t>
        </is>
      </c>
      <c r="N31" t="inlineStr">
        <is>
          <t>K</t>
        </is>
      </c>
      <c r="O31" t="inlineStr">
        <is>
          <t>20231101, 20231106</t>
        </is>
      </c>
      <c r="P31" t="inlineStr">
        <is>
          <t>Nusa Tenggara Barat</t>
        </is>
      </c>
      <c r="Q31" t="inlineStr"/>
    </row>
    <row r="32">
      <c r="A32" t="inlineStr">
        <is>
          <t>BUPALA ALAM PERKASA</t>
        </is>
      </c>
      <c r="B32" t="inlineStr">
        <is>
          <t>Kota Palembang</t>
        </is>
      </c>
      <c r="C32" t="inlineStr">
        <is>
          <t>081278988533</t>
        </is>
      </c>
      <c r="D32" t="inlineStr">
        <is>
          <t>bupalaalamperkasabap@gmail.com</t>
        </is>
      </c>
      <c r="E32" t="inlineStr">
        <is>
          <t>https://lpjk.pu.go.id/search-badan-usaha-detail/MlVQc0V5ekl5L1J0YlVreDhaalc4dz09</t>
        </is>
      </c>
      <c r="F32" t="n">
        <v>1</v>
      </c>
      <c r="G32" t="inlineStr">
        <is>
          <t>BS010</t>
        </is>
      </c>
      <c r="H32" t="inlineStr">
        <is>
          <t>29 September 2021</t>
        </is>
      </c>
      <c r="I32" s="2" t="n">
        <v>46332</v>
      </c>
      <c r="J32" t="inlineStr">
        <is>
          <t>Disetujui</t>
        </is>
      </c>
      <c r="K32" t="n">
        <v>60</v>
      </c>
      <c r="L32" t="inlineStr">
        <is>
          <t>6 November 2026</t>
        </is>
      </c>
      <c r="M32" t="inlineStr">
        <is>
          <t>Konstruksi Bangunan Prasarana Sumber Daya Air</t>
        </is>
      </c>
      <c r="N32" t="inlineStr">
        <is>
          <t>K</t>
        </is>
      </c>
      <c r="O32" t="inlineStr">
        <is>
          <t>20231025</t>
        </is>
      </c>
      <c r="P32" t="inlineStr">
        <is>
          <t>Sumatera Selatan</t>
        </is>
      </c>
      <c r="Q32" t="inlineStr"/>
    </row>
    <row r="33">
      <c r="A33" t="inlineStr">
        <is>
          <t>CEMPAKA MAS SEJATI</t>
        </is>
      </c>
      <c r="B33" t="inlineStr">
        <is>
          <t>Kota Bandar Lampung</t>
        </is>
      </c>
      <c r="C33" t="inlineStr">
        <is>
          <t>82281153879</t>
        </is>
      </c>
      <c r="D33" t="inlineStr">
        <is>
          <t>ptcempakamassejati@yahoo.com</t>
        </is>
      </c>
      <c r="E33" t="inlineStr">
        <is>
          <t>https://lpjk.pu.go.id/search-badan-usaha-detail/UVgvcVhLS3pQcHF4bFBXWTJrbCttUT09</t>
        </is>
      </c>
      <c r="F33" t="n">
        <v>2</v>
      </c>
      <c r="G33" t="inlineStr">
        <is>
          <t>BS001, BS004</t>
        </is>
      </c>
      <c r="H33" t="inlineStr">
        <is>
          <t>21 November 2005</t>
        </is>
      </c>
      <c r="I33" s="2" t="n">
        <v>46332</v>
      </c>
      <c r="J33" t="inlineStr">
        <is>
          <t>Disetujui, Pencabutan</t>
        </is>
      </c>
      <c r="K33" t="n">
        <v>60</v>
      </c>
      <c r="L33" t="inlineStr">
        <is>
          <t>6 November 2026</t>
        </is>
      </c>
      <c r="M33" t="inlineStr">
        <is>
          <t>Konstruksi Bangunan Sipil Jalan, Konstruksi Jaringan Irigasi dan Drainase</t>
        </is>
      </c>
      <c r="N33" t="inlineStr">
        <is>
          <t>B, K</t>
        </is>
      </c>
      <c r="O33" t="inlineStr">
        <is>
          <t>20231027</t>
        </is>
      </c>
      <c r="P33" t="inlineStr">
        <is>
          <t>Lampung</t>
        </is>
      </c>
      <c r="Q33" t="inlineStr"/>
    </row>
    <row r="34">
      <c r="A34" t="inlineStr">
        <is>
          <t>CIPARIGI SARANA CIPTA</t>
        </is>
      </c>
      <c r="B34" t="inlineStr">
        <is>
          <t>Kota Bandung</t>
        </is>
      </c>
      <c r="C34" t="inlineStr">
        <is>
          <t>02220529812</t>
        </is>
      </c>
      <c r="D34" t="inlineStr">
        <is>
          <t>ciparigi_sc@yahoo.com</t>
        </is>
      </c>
      <c r="E34" t="inlineStr">
        <is>
          <t>https://lpjk.pu.go.id/search-badan-usaha-detail/aUNrVktTQWJUY2pLa2htY2dnT3JtZz09</t>
        </is>
      </c>
      <c r="F34" t="n">
        <v>2</v>
      </c>
      <c r="G34" t="inlineStr">
        <is>
          <t>RK002, RK005</t>
        </is>
      </c>
      <c r="H34" t="inlineStr">
        <is>
          <t>12 Juni 2014</t>
        </is>
      </c>
      <c r="I34" s="2" t="n">
        <v>46332</v>
      </c>
      <c r="J34" t="inlineStr">
        <is>
          <t>Disetujui</t>
        </is>
      </c>
      <c r="K34" t="n">
        <v>60</v>
      </c>
      <c r="L34" t="inlineStr">
        <is>
          <t>6 November 2026</t>
        </is>
      </c>
      <c r="M34" t="inlineStr">
        <is>
          <t>Jasa Rekayasa Lainnya, Jasa Rekayasa Pekerjaan Teknik Sipil Sumber Daya Air</t>
        </is>
      </c>
      <c r="N34" t="inlineStr">
        <is>
          <t>K</t>
        </is>
      </c>
      <c r="O34" t="inlineStr">
        <is>
          <t>20231026</t>
        </is>
      </c>
      <c r="P34" t="inlineStr">
        <is>
          <t>Jawa Barat</t>
        </is>
      </c>
      <c r="Q34" t="inlineStr"/>
    </row>
    <row r="35">
      <c r="A35" t="inlineStr">
        <is>
          <t>CITRA BHUMI INDONESIA</t>
        </is>
      </c>
      <c r="B35" t="inlineStr">
        <is>
          <t>Kota Adm. Jakarta Selatan</t>
        </is>
      </c>
      <c r="C35" t="inlineStr">
        <is>
          <t>02122783206</t>
        </is>
      </c>
      <c r="D35" t="inlineStr">
        <is>
          <t>adm.ptcbi@gmail.com</t>
        </is>
      </c>
      <c r="E35" t="inlineStr">
        <is>
          <t>https://lpjk.pu.go.id/search-badan-usaha-detail/ZUw5YnYrL3hIWkhlSm85THpBbVBWdz09</t>
        </is>
      </c>
      <c r="F35" t="n">
        <v>1</v>
      </c>
      <c r="G35" t="inlineStr">
        <is>
          <t>IT003</t>
        </is>
      </c>
      <c r="H35" t="inlineStr">
        <is>
          <t>15 Oktober 2015</t>
        </is>
      </c>
      <c r="I35" s="2" t="n">
        <v>46332</v>
      </c>
      <c r="J35" t="inlineStr">
        <is>
          <t>Disetujui</t>
        </is>
      </c>
      <c r="K35" t="n">
        <v>60</v>
      </c>
      <c r="L35" t="inlineStr">
        <is>
          <t>6 November 2026</t>
        </is>
      </c>
      <c r="M35" t="inlineStr">
        <is>
          <t>Jasa Konsultansi Ilmiah dan Teknis Permukaan Tanah dan Pembuatan Peta</t>
        </is>
      </c>
      <c r="N35" t="inlineStr">
        <is>
          <t>Spesialis</t>
        </is>
      </c>
      <c r="O35" t="inlineStr">
        <is>
          <t>20231026</t>
        </is>
      </c>
      <c r="P35" t="inlineStr">
        <is>
          <t>DKI Jakarta</t>
        </is>
      </c>
      <c r="Q35" t="inlineStr"/>
    </row>
    <row r="36">
      <c r="A36" t="inlineStr">
        <is>
          <t>CITRA KARYA</t>
        </is>
      </c>
      <c r="B36" t="inlineStr">
        <is>
          <t>Kota Tanjung Pinang</t>
        </is>
      </c>
      <c r="C36" t="inlineStr">
        <is>
          <t>082363833698</t>
        </is>
      </c>
      <c r="D36" t="inlineStr">
        <is>
          <t>teguhgunawan33@yahoo.com</t>
        </is>
      </c>
      <c r="E36" t="inlineStr">
        <is>
          <t>https://lpjk.pu.go.id/search-badan-usaha-detail/ZGlWMFJYdytxeVpyelNLQ2FCcjBydz09</t>
        </is>
      </c>
      <c r="F36" t="n">
        <v>1</v>
      </c>
      <c r="G36" t="inlineStr">
        <is>
          <t>RK002</t>
        </is>
      </c>
      <c r="H36" t="inlineStr">
        <is>
          <t>22 Juni 2012</t>
        </is>
      </c>
      <c r="I36" s="2" t="n">
        <v>46332</v>
      </c>
      <c r="J36" t="inlineStr">
        <is>
          <t>Disetujui</t>
        </is>
      </c>
      <c r="K36" t="n">
        <v>60</v>
      </c>
      <c r="L36" t="inlineStr">
        <is>
          <t>6 November 2026</t>
        </is>
      </c>
      <c r="M36" t="inlineStr">
        <is>
          <t>Jasa Rekayasa Pekerjaan Teknik Sipil Sumber Daya Air</t>
        </is>
      </c>
      <c r="N36" t="inlineStr">
        <is>
          <t>K</t>
        </is>
      </c>
      <c r="O36" t="inlineStr">
        <is>
          <t>20231010</t>
        </is>
      </c>
      <c r="P36" t="inlineStr">
        <is>
          <t>Kepulauan Riau</t>
        </is>
      </c>
      <c r="Q36" t="inlineStr"/>
    </row>
    <row r="37">
      <c r="A37" t="inlineStr">
        <is>
          <t>CITRA MAKMUR</t>
        </is>
      </c>
      <c r="B37" t="inlineStr">
        <is>
          <t>Kab. Sumba Timur</t>
        </is>
      </c>
      <c r="C37" t="inlineStr">
        <is>
          <t>-</t>
        </is>
      </c>
      <c r="D37" t="inlineStr">
        <is>
          <t>citra.mkmr29@gmail.com</t>
        </is>
      </c>
      <c r="E37" t="inlineStr">
        <is>
          <t>https://lpjk.pu.go.id/search-badan-usaha-detail/eHFYU2tWS1c5Um1yaE40ZUJVY1dSQT09</t>
        </is>
      </c>
      <c r="F37" t="n">
        <v>2</v>
      </c>
      <c r="G37" t="inlineStr">
        <is>
          <t>BS001, BS004</t>
        </is>
      </c>
      <c r="H37" t="inlineStr">
        <is>
          <t>13 September 2013</t>
        </is>
      </c>
      <c r="I37" s="2" t="n">
        <v>46332</v>
      </c>
      <c r="J37" t="inlineStr">
        <is>
          <t>Disetujui</t>
        </is>
      </c>
      <c r="K37" t="n">
        <v>60</v>
      </c>
      <c r="L37" t="inlineStr">
        <is>
          <t>6 November 2026</t>
        </is>
      </c>
      <c r="M37" t="inlineStr">
        <is>
          <t>Konstruksi Bangunan Sipil Jalan, Konstruksi Jaringan Irigasi dan Drainase</t>
        </is>
      </c>
      <c r="N37" t="inlineStr">
        <is>
          <t>K</t>
        </is>
      </c>
      <c r="O37" t="inlineStr">
        <is>
          <t>20231027, 20231106</t>
        </is>
      </c>
      <c r="P37" t="inlineStr">
        <is>
          <t>Nusa Tenggara Timur</t>
        </is>
      </c>
      <c r="Q37" t="inlineStr"/>
    </row>
    <row r="38">
      <c r="A38" t="inlineStr">
        <is>
          <t>DASACIPTA KONSULTAN</t>
        </is>
      </c>
      <c r="B38" t="inlineStr">
        <is>
          <t>Kota Banjarmasin</t>
        </is>
      </c>
      <c r="C38" t="inlineStr">
        <is>
          <t>08125196425</t>
        </is>
      </c>
      <c r="D38" t="inlineStr">
        <is>
          <t>cvdasaciptakonsultan2@gmail.com</t>
        </is>
      </c>
      <c r="E38" t="inlineStr">
        <is>
          <t>https://lpjk.pu.go.id/search-badan-usaha-detail/RnFybVpYZVNhUHFCeElhM2VKYWJCdz09</t>
        </is>
      </c>
      <c r="F38" t="n">
        <v>1</v>
      </c>
      <c r="G38" t="inlineStr">
        <is>
          <t>RK002</t>
        </is>
      </c>
      <c r="H38" t="inlineStr">
        <is>
          <t>29 Oktober 2007</t>
        </is>
      </c>
      <c r="I38" s="2" t="n">
        <v>46332</v>
      </c>
      <c r="J38" t="inlineStr">
        <is>
          <t>Disetujui</t>
        </is>
      </c>
      <c r="K38" t="n">
        <v>60</v>
      </c>
      <c r="L38" t="inlineStr">
        <is>
          <t>6 November 2026</t>
        </is>
      </c>
      <c r="M38" t="inlineStr">
        <is>
          <t>Jasa Rekayasa Pekerjaan Teknik Sipil Sumber Daya Air</t>
        </is>
      </c>
      <c r="N38" t="inlineStr">
        <is>
          <t>K</t>
        </is>
      </c>
      <c r="O38" t="inlineStr">
        <is>
          <t>20231020</t>
        </is>
      </c>
      <c r="P38" t="inlineStr">
        <is>
          <t>Kalimantan Selatan</t>
        </is>
      </c>
      <c r="Q38" t="inlineStr"/>
    </row>
    <row r="39">
      <c r="A39" t="inlineStr">
        <is>
          <t>DOA IBU CONSTRUKSI</t>
        </is>
      </c>
      <c r="B39" t="inlineStr">
        <is>
          <t>Kab. Aceh Timur</t>
        </is>
      </c>
      <c r="C39" t="inlineStr">
        <is>
          <t>081258400242</t>
        </is>
      </c>
      <c r="D39" t="inlineStr">
        <is>
          <t>doaibuconstruksi@gmail.com</t>
        </is>
      </c>
      <c r="E39" t="inlineStr">
        <is>
          <t>https://lpjk.pu.go.id/search-badan-usaha-detail/ZTN6dDM0ZGNHTWRvVExWMUpsRldoUT09</t>
        </is>
      </c>
      <c r="F39" t="n">
        <v>3</v>
      </c>
      <c r="G39" t="inlineStr">
        <is>
          <t>BG005, BG009, BS001</t>
        </is>
      </c>
      <c r="H39" t="inlineStr">
        <is>
          <t>8 Januari 2021</t>
        </is>
      </c>
      <c r="I39" s="2" t="n">
        <v>46332</v>
      </c>
      <c r="J39" t="inlineStr">
        <is>
          <t>Disetujui</t>
        </is>
      </c>
      <c r="K39" t="n">
        <v>60</v>
      </c>
      <c r="L39" t="inlineStr">
        <is>
          <t>6 November 2026</t>
        </is>
      </c>
      <c r="M39" t="inlineStr">
        <is>
          <t>Konstruksi Bangunan Sipil Jalan, Konstruksi Gedung Kesehatan, Konstruksi Gedung Lainnya</t>
        </is>
      </c>
      <c r="N39" t="inlineStr">
        <is>
          <t>K</t>
        </is>
      </c>
      <c r="O39" t="inlineStr">
        <is>
          <t>20231017, 20231102</t>
        </is>
      </c>
      <c r="P39" t="inlineStr">
        <is>
          <t>Aceh</t>
        </is>
      </c>
      <c r="Q39" t="inlineStr"/>
    </row>
    <row r="40">
      <c r="A40" t="inlineStr">
        <is>
          <t>DUA BERLIAN SUKSES ABADI</t>
        </is>
      </c>
      <c r="B40" t="inlineStr">
        <is>
          <t>Kota Surabaya</t>
        </is>
      </c>
      <c r="C40" t="inlineStr">
        <is>
          <t>081219186131</t>
        </is>
      </c>
      <c r="D40" t="inlineStr">
        <is>
          <t>duaberlian_suksesabadi@yahoo.com</t>
        </is>
      </c>
      <c r="E40" t="inlineStr">
        <is>
          <t>https://lpjk.pu.go.id/search-badan-usaha-detail/SnltYTFSSEl5ZnJORUs5b0RidmRVZz09</t>
        </is>
      </c>
      <c r="F40" t="n">
        <v>3</v>
      </c>
      <c r="G40" t="inlineStr">
        <is>
          <t>IN001</t>
        </is>
      </c>
      <c r="H40" t="inlineStr">
        <is>
          <t>2 Februari 2016</t>
        </is>
      </c>
      <c r="I40" s="2" t="n">
        <v>46332</v>
      </c>
      <c r="J40" t="inlineStr">
        <is>
          <t>Pembekuan</t>
        </is>
      </c>
      <c r="K40" t="n">
        <v>60</v>
      </c>
      <c r="L40" t="inlineStr">
        <is>
          <t>6 November 2026</t>
        </is>
      </c>
      <c r="M40" t="inlineStr">
        <is>
          <t>Instalasi Mekanikal</t>
        </is>
      </c>
      <c r="N40" t="inlineStr">
        <is>
          <t>Spesialis</t>
        </is>
      </c>
      <c r="O40" t="inlineStr">
        <is>
          <t>20231003</t>
        </is>
      </c>
      <c r="P40" t="inlineStr">
        <is>
          <t>Jawa Timur</t>
        </is>
      </c>
      <c r="Q40" t="inlineStr"/>
    </row>
    <row r="41">
      <c r="A41" t="inlineStr">
        <is>
          <t>DUA PUTRI SALSABILA</t>
        </is>
      </c>
      <c r="B41" t="inlineStr">
        <is>
          <t>Kab. Bandung</t>
        </is>
      </c>
      <c r="C41" t="inlineStr">
        <is>
          <t>082214004260</t>
        </is>
      </c>
      <c r="D41" t="inlineStr">
        <is>
          <t>cvduaputrisalsabila@gmail.com</t>
        </is>
      </c>
      <c r="E41" t="inlineStr">
        <is>
          <t>https://lpjk.pu.go.id/search-badan-usaha-detail/QnBrZ3o2TzVoZGFTTkxiMTZla2tndz09</t>
        </is>
      </c>
      <c r="F41" t="n">
        <v>7</v>
      </c>
      <c r="G41" t="inlineStr">
        <is>
          <t>BG002, BG004, BG005, BG006, BG009, BS004, BS010</t>
        </is>
      </c>
      <c r="H41" t="inlineStr">
        <is>
          <t>3 Oktober 2023</t>
        </is>
      </c>
      <c r="I41" s="2" t="n">
        <v>46332</v>
      </c>
      <c r="J41" t="inlineStr">
        <is>
          <t>Disetujui</t>
        </is>
      </c>
      <c r="K41" t="n">
        <v>60</v>
      </c>
      <c r="L41" t="inlineStr">
        <is>
          <t>6 November 2026</t>
        </is>
      </c>
      <c r="M41" t="inlineStr">
        <is>
          <t>Konstruksi Bangunan Prasarana Sumber Daya Air, Konstruksi Gedung Kesehatan, Konstruksi Gedung Lainnya, Konstruksi Gedung Pendidikan, Konstruksi Gedung Perbelanjaan, Konstruksi Gedung Perkantoran, Konstruksi Jaringan Irigasi dan Drainase</t>
        </is>
      </c>
      <c r="N41" t="inlineStr">
        <is>
          <t>K</t>
        </is>
      </c>
      <c r="O41" t="inlineStr">
        <is>
          <t>20231107, 20231109, 20231111</t>
        </is>
      </c>
      <c r="P41" t="inlineStr">
        <is>
          <t>Jawa Barat</t>
        </is>
      </c>
      <c r="Q41" t="inlineStr"/>
    </row>
    <row r="42">
      <c r="A42" t="inlineStr">
        <is>
          <t>FARABI</t>
        </is>
      </c>
      <c r="B42" t="inlineStr">
        <is>
          <t>Kota Sibolga</t>
        </is>
      </c>
      <c r="C42" t="inlineStr">
        <is>
          <t>081269985868</t>
        </is>
      </c>
      <c r="D42" t="inlineStr">
        <is>
          <t>cvfarabi6@gmail.com</t>
        </is>
      </c>
      <c r="E42" t="inlineStr">
        <is>
          <t>https://lpjk.pu.go.id/search-badan-usaha-detail/MTdmVzFWRjBOVTZDUUVvdHNydGpEZz09</t>
        </is>
      </c>
      <c r="F42" t="n">
        <v>2</v>
      </c>
      <c r="G42" t="inlineStr">
        <is>
          <t>BS001, BS004</t>
        </is>
      </c>
      <c r="H42" t="inlineStr">
        <is>
          <t>10 Oktober 2023</t>
        </is>
      </c>
      <c r="I42" s="2" t="n">
        <v>46332</v>
      </c>
      <c r="J42" t="inlineStr">
        <is>
          <t>Disetujui</t>
        </is>
      </c>
      <c r="K42" t="n">
        <v>60</v>
      </c>
      <c r="L42" t="inlineStr">
        <is>
          <t>6 November 2026</t>
        </is>
      </c>
      <c r="M42" t="inlineStr">
        <is>
          <t>Konstruksi Bangunan Sipil Jalan, Konstruksi Jaringan Irigasi dan Drainase</t>
        </is>
      </c>
      <c r="N42" t="inlineStr">
        <is>
          <t>K</t>
        </is>
      </c>
      <c r="O42" t="inlineStr">
        <is>
          <t>20231104, 20231106</t>
        </is>
      </c>
      <c r="P42" t="inlineStr">
        <is>
          <t>Sumatera Utara</t>
        </is>
      </c>
      <c r="Q42" t="inlineStr"/>
    </row>
    <row r="43">
      <c r="A43" t="inlineStr">
        <is>
          <t>FASADE NUSANTARA</t>
        </is>
      </c>
      <c r="B43" t="inlineStr">
        <is>
          <t>Kota Palu</t>
        </is>
      </c>
      <c r="C43" t="inlineStr">
        <is>
          <t>085340641178</t>
        </is>
      </c>
      <c r="D43" t="inlineStr">
        <is>
          <t>fasade_nusantara@yahoo.com</t>
        </is>
      </c>
      <c r="E43" t="inlineStr">
        <is>
          <t>https://lpjk.pu.go.id/search-badan-usaha-detail/NEVOL0RJNE9kSm5Td1VtK2tUaU1KUT09</t>
        </is>
      </c>
      <c r="F43" t="n">
        <v>1</v>
      </c>
      <c r="G43" t="inlineStr">
        <is>
          <t>AR001</t>
        </is>
      </c>
      <c r="H43" t="inlineStr">
        <is>
          <t>13 November 2020</t>
        </is>
      </c>
      <c r="I43" s="2" t="n">
        <v>46332</v>
      </c>
      <c r="J43" t="inlineStr">
        <is>
          <t>Disetujui</t>
        </is>
      </c>
      <c r="K43" t="n">
        <v>60</v>
      </c>
      <c r="L43" t="inlineStr">
        <is>
          <t>6 November 2026</t>
        </is>
      </c>
      <c r="M43" t="inlineStr">
        <is>
          <t>Jasa Arsitektural Bangunan Gedung Hunian dan Non Hunian</t>
        </is>
      </c>
      <c r="N43" t="inlineStr">
        <is>
          <t>K</t>
        </is>
      </c>
      <c r="O43" t="inlineStr">
        <is>
          <t>20231027</t>
        </is>
      </c>
      <c r="P43" t="inlineStr">
        <is>
          <t>Sulawesi Tengah</t>
        </is>
      </c>
      <c r="Q43" t="inlineStr"/>
    </row>
    <row r="44">
      <c r="A44" t="inlineStr">
        <is>
          <t>GAJAH SENA</t>
        </is>
      </c>
      <c r="B44" t="inlineStr">
        <is>
          <t>Kab. Subang</t>
        </is>
      </c>
      <c r="C44" t="inlineStr">
        <is>
          <t>089604338260</t>
        </is>
      </c>
      <c r="D44" t="inlineStr">
        <is>
          <t>cvgajahsena@yahoo.com</t>
        </is>
      </c>
      <c r="E44" t="inlineStr">
        <is>
          <t>https://lpjk.pu.go.id/search-badan-usaha-detail/SXFZREVtU1NBWkZBLzRXRTN5NWtVZz09</t>
        </is>
      </c>
      <c r="F44" t="n">
        <v>4</v>
      </c>
      <c r="G44" t="inlineStr">
        <is>
          <t>BG002, BG006, BG009, BS001</t>
        </is>
      </c>
      <c r="H44" t="inlineStr">
        <is>
          <t>1 Oktober 2003</t>
        </is>
      </c>
      <c r="I44" s="2" t="n">
        <v>46332</v>
      </c>
      <c r="J44" t="inlineStr">
        <is>
          <t>Disetujui</t>
        </is>
      </c>
      <c r="K44" t="n">
        <v>60</v>
      </c>
      <c r="L44" t="inlineStr">
        <is>
          <t>6 November 2026</t>
        </is>
      </c>
      <c r="M44" t="inlineStr">
        <is>
          <t>Konstruksi Bangunan Sipil Jalan, Konstruksi Gedung Lainnya, Konstruksi Gedung Pendidikan, Konstruksi Gedung Perkantoran</t>
        </is>
      </c>
      <c r="N44" t="inlineStr">
        <is>
          <t>K</t>
        </is>
      </c>
      <c r="O44" t="inlineStr">
        <is>
          <t>20231031</t>
        </is>
      </c>
      <c r="P44" t="inlineStr">
        <is>
          <t>Jawa Barat</t>
        </is>
      </c>
      <c r="Q44" t="inlineStr"/>
    </row>
    <row r="45">
      <c r="A45" t="inlineStr">
        <is>
          <t>GAJAH TUNGGAL PERKASA</t>
        </is>
      </c>
      <c r="B45" t="inlineStr">
        <is>
          <t>Kab. Bondowoso</t>
        </is>
      </c>
      <c r="C45" t="inlineStr">
        <is>
          <t>085230760441</t>
        </is>
      </c>
      <c r="D45" t="inlineStr">
        <is>
          <t>gajahtunggalperkasa_cv@yahoo.com</t>
        </is>
      </c>
      <c r="E45" t="inlineStr">
        <is>
          <t>https://lpjk.pu.go.id/search-badan-usaha-detail/NkppWEZpSTVWSzRCSW8veHllS01QUT09</t>
        </is>
      </c>
      <c r="F45" t="n">
        <v>4</v>
      </c>
      <c r="G45" t="inlineStr">
        <is>
          <t>BG005, BG009, BS001, BS004</t>
        </is>
      </c>
      <c r="H45" t="inlineStr">
        <is>
          <t>23 Desember 2003</t>
        </is>
      </c>
      <c r="I45" s="2" t="n">
        <v>46332</v>
      </c>
      <c r="J45" t="inlineStr">
        <is>
          <t>Disetujui</t>
        </is>
      </c>
      <c r="K45" t="n">
        <v>60</v>
      </c>
      <c r="L45" t="inlineStr">
        <is>
          <t>6 November 2026</t>
        </is>
      </c>
      <c r="M45" t="inlineStr">
        <is>
          <t>Konstruksi Bangunan Sipil Jalan, Konstruksi Gedung Kesehatan, Konstruksi Gedung Lainnya, Konstruksi Jaringan Irigasi dan Drainase</t>
        </is>
      </c>
      <c r="N45" t="inlineStr">
        <is>
          <t>K</t>
        </is>
      </c>
      <c r="O45" t="inlineStr">
        <is>
          <t>20231031, 20231102</t>
        </is>
      </c>
      <c r="P45" t="inlineStr">
        <is>
          <t>Jawa Timur</t>
        </is>
      </c>
      <c r="Q45" t="inlineStr"/>
    </row>
    <row r="46">
      <c r="A46" t="inlineStr">
        <is>
          <t>GATRA SUKSES ABADI</t>
        </is>
      </c>
      <c r="B46" t="inlineStr">
        <is>
          <t>Kota Balikpapan</t>
        </is>
      </c>
      <c r="C46" t="inlineStr">
        <is>
          <t>082158574468</t>
        </is>
      </c>
      <c r="D46" t="inlineStr">
        <is>
          <t>cv.gatrasuksesabadi@gmail.com</t>
        </is>
      </c>
      <c r="E46" t="inlineStr">
        <is>
          <t>https://lpjk.pu.go.id/search-badan-usaha-detail/OFFncWxIQy9lb3FKWnNiYVc4Ly82UT09</t>
        </is>
      </c>
      <c r="F46" t="n">
        <v>1</v>
      </c>
      <c r="G46" t="inlineStr">
        <is>
          <t>BS002</t>
        </is>
      </c>
      <c r="H46" t="inlineStr">
        <is>
          <t>1 September 2022</t>
        </is>
      </c>
      <c r="I46" s="2" t="n">
        <v>46332</v>
      </c>
      <c r="J46" t="inlineStr">
        <is>
          <t>Disetujui</t>
        </is>
      </c>
      <c r="K46" t="n">
        <v>60</v>
      </c>
      <c r="L46" t="inlineStr">
        <is>
          <t>6 November 2026</t>
        </is>
      </c>
      <c r="M46" t="inlineStr">
        <is>
          <t>Bangunan Sipil Jembatan, Jalan Layang, Fly Over, dan Underpass</t>
        </is>
      </c>
      <c r="N46" t="inlineStr">
        <is>
          <t>K</t>
        </is>
      </c>
      <c r="O46" t="inlineStr">
        <is>
          <t>20231102</t>
        </is>
      </c>
      <c r="P46" t="inlineStr">
        <is>
          <t>Kalimantan Timur</t>
        </is>
      </c>
      <c r="Q46" t="inlineStr"/>
    </row>
    <row r="47">
      <c r="A47" t="inlineStr">
        <is>
          <t>GEOCIPTA HASTA KARYA</t>
        </is>
      </c>
      <c r="B47" t="inlineStr">
        <is>
          <t>Kota Pontianak</t>
        </is>
      </c>
      <c r="C47" t="inlineStr">
        <is>
          <t>082350250971</t>
        </is>
      </c>
      <c r="D47" t="inlineStr">
        <is>
          <t>geocipta.hk@gmail.com</t>
        </is>
      </c>
      <c r="E47" t="inlineStr">
        <is>
          <t>https://lpjk.pu.go.id/search-badan-usaha-detail/TkFwcHBQU3UzYVVxa0ZQSXUxVHhqdz09</t>
        </is>
      </c>
      <c r="F47" t="n">
        <v>2</v>
      </c>
      <c r="G47" t="inlineStr">
        <is>
          <t>AT003, RK001</t>
        </is>
      </c>
      <c r="H47" t="inlineStr">
        <is>
          <t>10 Maret 2021</t>
        </is>
      </c>
      <c r="I47" s="2" t="n">
        <v>46332</v>
      </c>
      <c r="J47" t="inlineStr">
        <is>
          <t>Disetujui</t>
        </is>
      </c>
      <c r="K47" t="n">
        <v>60</v>
      </c>
      <c r="L47" t="inlineStr">
        <is>
          <t>6 November 2026</t>
        </is>
      </c>
      <c r="M47" t="inlineStr">
        <is>
          <t>Jasa Pengujian Hasil Pekerjaan Konstruksi dan Fasilitas Laboratorium, Jasa Rekayasa Konstruksi Bangunan Gedung Hunian dan Non Hunian</t>
        </is>
      </c>
      <c r="N47" t="inlineStr">
        <is>
          <t>K, Spesialis</t>
        </is>
      </c>
      <c r="O47" t="inlineStr">
        <is>
          <t>20231020, 20231023</t>
        </is>
      </c>
      <c r="P47" t="inlineStr">
        <is>
          <t>Kalimantan Barat</t>
        </is>
      </c>
      <c r="Q47" t="inlineStr"/>
    </row>
    <row r="48">
      <c r="A48" t="inlineStr">
        <is>
          <t>GRAFINDO TRIUTAMA</t>
        </is>
      </c>
      <c r="B48" t="inlineStr">
        <is>
          <t>Kota Adm. Jakarta Selatan</t>
        </is>
      </c>
      <c r="C48" t="inlineStr">
        <is>
          <t>0217818135</t>
        </is>
      </c>
      <c r="D48" t="inlineStr">
        <is>
          <t>grafindo2003@yahoo.com</t>
        </is>
      </c>
      <c r="E48" t="inlineStr">
        <is>
          <t>https://lpjk.pu.go.id/search-badan-usaha-detail/ZmFkT2d5MmREMjJwUHdmdGozejNmdz09</t>
        </is>
      </c>
      <c r="F48" t="n">
        <v>1</v>
      </c>
      <c r="G48" t="inlineStr">
        <is>
          <t>BG001</t>
        </is>
      </c>
      <c r="H48" t="inlineStr">
        <is>
          <t>29 Juli 1996</t>
        </is>
      </c>
      <c r="I48" s="2" t="n">
        <v>46332</v>
      </c>
      <c r="J48" t="inlineStr">
        <is>
          <t>Disetujui</t>
        </is>
      </c>
      <c r="K48" t="n">
        <v>60</v>
      </c>
      <c r="L48" t="inlineStr">
        <is>
          <t>6 November 2026</t>
        </is>
      </c>
      <c r="M48" t="inlineStr">
        <is>
          <t>Konstruksi Gedung Hunian</t>
        </is>
      </c>
      <c r="N48" t="inlineStr">
        <is>
          <t>K</t>
        </is>
      </c>
      <c r="O48" t="inlineStr">
        <is>
          <t>20231106</t>
        </is>
      </c>
      <c r="P48" t="inlineStr">
        <is>
          <t>DKI Jakarta</t>
        </is>
      </c>
      <c r="Q48" t="inlineStr"/>
    </row>
    <row r="49">
      <c r="A49" t="inlineStr">
        <is>
          <t>GRAHA BHAKTI KENCANA</t>
        </is>
      </c>
      <c r="B49" t="inlineStr">
        <is>
          <t>Kota Bandung</t>
        </is>
      </c>
      <c r="C49" t="inlineStr">
        <is>
          <t>022-</t>
        </is>
      </c>
      <c r="D49" t="inlineStr">
        <is>
          <t>grahabhaktikencana@gmail.com</t>
        </is>
      </c>
      <c r="E49" t="inlineStr">
        <is>
          <t>https://lpjk.pu.go.id/search-badan-usaha-detail/Z1BGT3EzT1lsa2FhZXhSbkJGaEk3Zz09</t>
        </is>
      </c>
      <c r="F49" t="n">
        <v>6</v>
      </c>
      <c r="G49" t="inlineStr">
        <is>
          <t>BG001, BG002, BG005, BG006, BG009, BS001</t>
        </is>
      </c>
      <c r="H49" t="inlineStr">
        <is>
          <t>7 Agustus 2015</t>
        </is>
      </c>
      <c r="I49" s="2" t="n">
        <v>46332</v>
      </c>
      <c r="J49" t="inlineStr">
        <is>
          <t>Disetujui</t>
        </is>
      </c>
      <c r="K49" t="n">
        <v>60</v>
      </c>
      <c r="L49" t="inlineStr">
        <is>
          <t>6 November 2026</t>
        </is>
      </c>
      <c r="M49" t="inlineStr">
        <is>
          <t>Konstruksi Bangunan Sipil Jalan, Konstruksi Gedung Hunian, Konstruksi Gedung Kesehatan, Konstruksi Gedung Lainnya, Konstruksi Gedung Pendidikan, Konstruksi Gedung Perkantoran</t>
        </is>
      </c>
      <c r="N49" t="inlineStr">
        <is>
          <t>K</t>
        </is>
      </c>
      <c r="O49" t="inlineStr">
        <is>
          <t>20231102, 20231106</t>
        </is>
      </c>
      <c r="P49" t="inlineStr">
        <is>
          <t>Jawa Barat</t>
        </is>
      </c>
      <c r="Q49" t="inlineStr"/>
    </row>
    <row r="50">
      <c r="A50" t="inlineStr">
        <is>
          <t>GRAHA TERUSAN JASA</t>
        </is>
      </c>
      <c r="B50" t="inlineStr">
        <is>
          <t>Kab. Indramayu</t>
        </is>
      </c>
      <c r="C50" t="inlineStr">
        <is>
          <t>082221290819</t>
        </is>
      </c>
      <c r="D50" t="inlineStr">
        <is>
          <t>terusanjasa99@gmail.com</t>
        </is>
      </c>
      <c r="E50" t="inlineStr">
        <is>
          <t>https://lpjk.pu.go.id/search-badan-usaha-detail/RlRmOVB2Q00ySjJVS0NPZFBRdmtiQT09</t>
        </is>
      </c>
      <c r="F50" t="n">
        <v>1</v>
      </c>
      <c r="G50" t="inlineStr">
        <is>
          <t>BG002</t>
        </is>
      </c>
      <c r="H50" t="inlineStr">
        <is>
          <t>18 Juli 2023</t>
        </is>
      </c>
      <c r="I50" s="2" t="n">
        <v>46332</v>
      </c>
      <c r="J50" t="inlineStr">
        <is>
          <t>Disetujui</t>
        </is>
      </c>
      <c r="K50" t="n">
        <v>60</v>
      </c>
      <c r="L50" t="inlineStr">
        <is>
          <t>6 November 2026</t>
        </is>
      </c>
      <c r="M50" t="inlineStr">
        <is>
          <t>Konstruksi Gedung Perkantoran</t>
        </is>
      </c>
      <c r="N50" t="inlineStr">
        <is>
          <t>K</t>
        </is>
      </c>
      <c r="O50" t="inlineStr">
        <is>
          <t>20231102</t>
        </is>
      </c>
      <c r="P50" t="inlineStr">
        <is>
          <t>Jawa Barat</t>
        </is>
      </c>
      <c r="Q50" t="inlineStr"/>
    </row>
    <row r="51">
      <c r="A51" t="inlineStr">
        <is>
          <t>GUNA KONSTRUKSI</t>
        </is>
      </c>
      <c r="B51" t="inlineStr">
        <is>
          <t>Kab. Badung</t>
        </is>
      </c>
      <c r="C51" t="inlineStr">
        <is>
          <t>0811387272</t>
        </is>
      </c>
      <c r="D51" t="inlineStr">
        <is>
          <t>gunakonstruksi.wiku76@gmail.com</t>
        </is>
      </c>
      <c r="E51" t="inlineStr">
        <is>
          <t>https://lpjk.pu.go.id/search-badan-usaha-detail/WEY2OGVUdm91RGhpdFBuWklTM2hsQT09</t>
        </is>
      </c>
      <c r="F51" t="n">
        <v>6</v>
      </c>
      <c r="G51" t="inlineStr">
        <is>
          <t>BG001, BG002, BG005, BG006, BG008, BS001</t>
        </is>
      </c>
      <c r="H51" t="inlineStr">
        <is>
          <t>1 Oktober 1993</t>
        </is>
      </c>
      <c r="I51" s="2" t="n">
        <v>46332</v>
      </c>
      <c r="J51" t="inlineStr">
        <is>
          <t>Disetujui</t>
        </is>
      </c>
      <c r="K51" t="n">
        <v>60</v>
      </c>
      <c r="L51" t="inlineStr">
        <is>
          <t>6 November 2026</t>
        </is>
      </c>
      <c r="M51" t="inlineStr">
        <is>
          <t>Konstruksi Bangunan Sipil Jalan, Konstruksi Gedung Hunian, Konstruksi Gedung Kesehatan, Konstruksi Gedung Pendidikan, Konstruksi Gedung Perkantoran, Konstruksi Gedung Tempat Hiburan dan Olahraga</t>
        </is>
      </c>
      <c r="N51" t="inlineStr">
        <is>
          <t>K</t>
        </is>
      </c>
      <c r="O51" t="inlineStr">
        <is>
          <t>20231102, 20231103</t>
        </is>
      </c>
      <c r="P51" t="inlineStr">
        <is>
          <t>Bali</t>
        </is>
      </c>
      <c r="Q51" t="inlineStr"/>
    </row>
    <row r="52">
      <c r="A52" t="inlineStr">
        <is>
          <t>GUNTUR ABADI</t>
        </is>
      </c>
      <c r="B52" t="inlineStr">
        <is>
          <t>Kab. Sidoarjo</t>
        </is>
      </c>
      <c r="C52" t="inlineStr">
        <is>
          <t>081252968769</t>
        </is>
      </c>
      <c r="D52" t="inlineStr">
        <is>
          <t>gunturabadi.cv@gmail.com</t>
        </is>
      </c>
      <c r="E52" t="inlineStr">
        <is>
          <t>https://lpjk.pu.go.id/search-badan-usaha-detail/eXM3b3JaUCtoTUJFWSszQ2ZGcENrdz09</t>
        </is>
      </c>
      <c r="F52" t="n">
        <v>1</v>
      </c>
      <c r="G52" t="inlineStr">
        <is>
          <t>BG009</t>
        </is>
      </c>
      <c r="H52" t="inlineStr">
        <is>
          <t>18 Juni 2020</t>
        </is>
      </c>
      <c r="I52" s="2" t="n">
        <v>46332</v>
      </c>
      <c r="J52" t="inlineStr">
        <is>
          <t>Disetujui</t>
        </is>
      </c>
      <c r="K52" t="n">
        <v>60</v>
      </c>
      <c r="L52" t="inlineStr">
        <is>
          <t>6 November 2026</t>
        </is>
      </c>
      <c r="M52" t="inlineStr">
        <is>
          <t>Konstruksi Gedung Lainnya</t>
        </is>
      </c>
      <c r="N52" t="inlineStr">
        <is>
          <t>K</t>
        </is>
      </c>
      <c r="O52" t="inlineStr">
        <is>
          <t>20231106</t>
        </is>
      </c>
      <c r="P52" t="inlineStr">
        <is>
          <t>Jawa Timur</t>
        </is>
      </c>
      <c r="Q52" t="inlineStr"/>
    </row>
    <row r="53">
      <c r="A53" t="inlineStr">
        <is>
          <t>Gunung Slamet Jaya</t>
        </is>
      </c>
      <c r="B53" t="inlineStr">
        <is>
          <t>Kab. Jember</t>
        </is>
      </c>
      <c r="C53" t="inlineStr">
        <is>
          <t>081249377761</t>
        </is>
      </c>
      <c r="D53" t="inlineStr">
        <is>
          <t>gunungslamet241219@gmail.com</t>
        </is>
      </c>
      <c r="E53" t="inlineStr">
        <is>
          <t>https://lpjk.pu.go.id/search-badan-usaha-detail/YlAvWklFQ0FKL2U3R3RlakFFUnVYdz09</t>
        </is>
      </c>
      <c r="F53" t="n">
        <v>2</v>
      </c>
      <c r="G53" t="inlineStr">
        <is>
          <t>BG006, BS001</t>
        </is>
      </c>
      <c r="H53" t="inlineStr">
        <is>
          <t>24 Desember 2019</t>
        </is>
      </c>
      <c r="I53" s="2" t="n">
        <v>46332</v>
      </c>
      <c r="J53" t="inlineStr">
        <is>
          <t>Disetujui</t>
        </is>
      </c>
      <c r="K53" t="n">
        <v>60</v>
      </c>
      <c r="L53" t="inlineStr">
        <is>
          <t>6 November 2026</t>
        </is>
      </c>
      <c r="M53" t="inlineStr">
        <is>
          <t>Konstruksi Bangunan Sipil Jalan, Konstruksi Gedung Pendidikan</t>
        </is>
      </c>
      <c r="N53" t="inlineStr">
        <is>
          <t>K</t>
        </is>
      </c>
      <c r="O53" t="inlineStr">
        <is>
          <t>20231102</t>
        </is>
      </c>
      <c r="P53" t="inlineStr">
        <is>
          <t>Jawa Timur</t>
        </is>
      </c>
      <c r="Q53" t="inlineStr"/>
    </row>
    <row r="54">
      <c r="A54" t="inlineStr">
        <is>
          <t>HARAPAN JAYA DUA</t>
        </is>
      </c>
      <c r="B54" t="inlineStr">
        <is>
          <t>Kab. Kepulauan Meranti</t>
        </is>
      </c>
      <c r="C54" t="inlineStr">
        <is>
          <t>082172269921</t>
        </is>
      </c>
      <c r="D54" t="inlineStr">
        <is>
          <t>harapanjaya0823@gmail.com</t>
        </is>
      </c>
      <c r="E54" t="inlineStr">
        <is>
          <t>https://lpjk.pu.go.id/search-badan-usaha-detail/TjcyZ2dVdkYrbm5hS0JOU1REc0lKdz09</t>
        </is>
      </c>
      <c r="F54" t="n">
        <v>4</v>
      </c>
      <c r="G54" t="inlineStr">
        <is>
          <t>BG005, BG006, BS001, BS004</t>
        </is>
      </c>
      <c r="H54" t="inlineStr">
        <is>
          <t>16 Agustus 2023</t>
        </is>
      </c>
      <c r="I54" s="2" t="n">
        <v>46332</v>
      </c>
      <c r="J54" t="inlineStr">
        <is>
          <t>Disetujui</t>
        </is>
      </c>
      <c r="K54" t="n">
        <v>60</v>
      </c>
      <c r="L54" t="inlineStr">
        <is>
          <t>6 November 2026</t>
        </is>
      </c>
      <c r="M54" t="inlineStr">
        <is>
          <t>Konstruksi Bangunan Sipil Jalan, Konstruksi Gedung Kesehatan, Konstruksi Gedung Pendidikan, Konstruksi Jaringan Irigasi dan Drainase</t>
        </is>
      </c>
      <c r="N54" t="inlineStr">
        <is>
          <t>K</t>
        </is>
      </c>
      <c r="O54" t="inlineStr">
        <is>
          <t>20231106</t>
        </is>
      </c>
      <c r="P54" t="inlineStr">
        <is>
          <t>Riau</t>
        </is>
      </c>
      <c r="Q54" t="inlineStr"/>
    </row>
    <row r="55">
      <c r="A55" t="inlineStr">
        <is>
          <t>HILMAN PRIMA PERKASA</t>
        </is>
      </c>
      <c r="B55" t="inlineStr">
        <is>
          <t>Kota Adm. Jakarta Selatan</t>
        </is>
      </c>
      <c r="C55" t="inlineStr">
        <is>
          <t>0217356432</t>
        </is>
      </c>
      <c r="D55" t="inlineStr">
        <is>
          <t>hilmanprimaperkasa@gmail.com</t>
        </is>
      </c>
      <c r="E55" t="inlineStr">
        <is>
          <t>https://lpjk.pu.go.id/search-badan-usaha-detail/ams5SHB5VFArd1h0Sk53UG9ZVFBGdz09</t>
        </is>
      </c>
      <c r="F55" t="n">
        <v>1</v>
      </c>
      <c r="G55" t="inlineStr">
        <is>
          <t>BS017</t>
        </is>
      </c>
      <c r="H55" t="inlineStr">
        <is>
          <t>19 Mei 2010</t>
        </is>
      </c>
      <c r="I55" s="2" t="n">
        <v>46332</v>
      </c>
      <c r="J55" t="inlineStr">
        <is>
          <t>Disetujui</t>
        </is>
      </c>
      <c r="K55" t="n">
        <v>60</v>
      </c>
      <c r="L55" t="inlineStr">
        <is>
          <t>6 November 2026</t>
        </is>
      </c>
      <c r="M55" t="inlineStr">
        <is>
          <t>Konstruksi Bangunan Sipil Lainnya Ytdl</t>
        </is>
      </c>
      <c r="N55" t="inlineStr">
        <is>
          <t>K</t>
        </is>
      </c>
      <c r="O55" t="inlineStr">
        <is>
          <t>20231026</t>
        </is>
      </c>
      <c r="P55" t="inlineStr">
        <is>
          <t>DKI Jakarta</t>
        </is>
      </c>
      <c r="Q55" t="inlineStr"/>
    </row>
    <row r="56">
      <c r="A56" t="inlineStr">
        <is>
          <t>KALINA SUMBER BERKAT</t>
        </is>
      </c>
      <c r="B56" t="inlineStr">
        <is>
          <t>Kota Surabaya</t>
        </is>
      </c>
      <c r="C56" t="inlineStr">
        <is>
          <t>08111509107</t>
        </is>
      </c>
      <c r="D56" t="inlineStr">
        <is>
          <t>kalinasumberberkat@gmail.com</t>
        </is>
      </c>
      <c r="E56" t="inlineStr">
        <is>
          <t>https://lpjk.pu.go.id/search-badan-usaha-detail/Y01jOWVveG1pVEZWQWszaFlSS01jUT09</t>
        </is>
      </c>
      <c r="F56" t="n">
        <v>4</v>
      </c>
      <c r="G56" t="inlineStr">
        <is>
          <t>BG001, BG005</t>
        </is>
      </c>
      <c r="H56" t="inlineStr">
        <is>
          <t>2 Mei 2023</t>
        </is>
      </c>
      <c r="I56" s="2" t="n">
        <v>46332</v>
      </c>
      <c r="J56" t="inlineStr">
        <is>
          <t>Disetujui</t>
        </is>
      </c>
      <c r="K56" t="n">
        <v>60</v>
      </c>
      <c r="L56" t="inlineStr">
        <is>
          <t>6 November 2026</t>
        </is>
      </c>
      <c r="M56" t="inlineStr">
        <is>
          <t>Konstruksi Gedung Hunian, Konstruksi Gedung Kesehatan</t>
        </is>
      </c>
      <c r="N56" t="inlineStr">
        <is>
          <t>K</t>
        </is>
      </c>
      <c r="O56" t="inlineStr">
        <is>
          <t>20231103, 20231111</t>
        </is>
      </c>
      <c r="P56" t="inlineStr">
        <is>
          <t>Jawa Timur</t>
        </is>
      </c>
      <c r="Q56" t="inlineStr"/>
    </row>
    <row r="57">
      <c r="A57" t="inlineStr">
        <is>
          <t>KARYA DWIPUTRA INDONESIA</t>
        </is>
      </c>
      <c r="B57" t="inlineStr">
        <is>
          <t>Kota Makassar</t>
        </is>
      </c>
      <c r="C57" t="inlineStr">
        <is>
          <t>085255778638</t>
        </is>
      </c>
      <c r="D57" t="inlineStr">
        <is>
          <t>karyadwiputra19@gmail.com</t>
        </is>
      </c>
      <c r="E57" t="inlineStr">
        <is>
          <t>https://lpjk.pu.go.id/search-badan-usaha-detail/V1ozS1hWclRKdUVsUmMyWWdRbEN4Zz09</t>
        </is>
      </c>
      <c r="F57" t="n">
        <v>1</v>
      </c>
      <c r="G57" t="inlineStr">
        <is>
          <t>BS011</t>
        </is>
      </c>
      <c r="H57" t="inlineStr">
        <is>
          <t>27 Oktober 2020</t>
        </is>
      </c>
      <c r="I57" s="2" t="n">
        <v>46332</v>
      </c>
      <c r="J57" t="inlineStr">
        <is>
          <t>Pencabutan</t>
        </is>
      </c>
      <c r="K57" t="n">
        <v>60</v>
      </c>
      <c r="L57" t="inlineStr">
        <is>
          <t>6 November 2026</t>
        </is>
      </c>
      <c r="M57" t="inlineStr">
        <is>
          <t>Konstruksi Bangunan Pelabuhan Bukan Perikanan</t>
        </is>
      </c>
      <c r="N57" t="inlineStr">
        <is>
          <t>M</t>
        </is>
      </c>
      <c r="O57" t="inlineStr">
        <is>
          <t>20231103</t>
        </is>
      </c>
      <c r="P57" t="inlineStr">
        <is>
          <t>Sulawesi Selatan</t>
        </is>
      </c>
      <c r="Q57" t="inlineStr"/>
    </row>
    <row r="58">
      <c r="A58" t="inlineStr">
        <is>
          <t>KARYA INDAH ENGINEERING</t>
        </is>
      </c>
      <c r="B58" t="inlineStr">
        <is>
          <t>Kota Surabaya</t>
        </is>
      </c>
      <c r="C58" t="inlineStr">
        <is>
          <t>081230661242</t>
        </is>
      </c>
      <c r="D58" t="inlineStr">
        <is>
          <t>karyaindahengineering.cv@gmail.com</t>
        </is>
      </c>
      <c r="E58" t="inlineStr">
        <is>
          <t>https://lpjk.pu.go.id/search-badan-usaha-detail/WjRncXFyd0R2aDhwVmZyY1BjM2Zmdz09</t>
        </is>
      </c>
      <c r="F58" t="n">
        <v>1</v>
      </c>
      <c r="G58" t="inlineStr">
        <is>
          <t>RK002</t>
        </is>
      </c>
      <c r="H58" t="inlineStr">
        <is>
          <t>18 November 2022</t>
        </is>
      </c>
      <c r="I58" s="2" t="n">
        <v>46332</v>
      </c>
      <c r="J58" t="inlineStr">
        <is>
          <t>Disetujui</t>
        </is>
      </c>
      <c r="K58" t="n">
        <v>60</v>
      </c>
      <c r="L58" t="inlineStr">
        <is>
          <t>6 November 2026</t>
        </is>
      </c>
      <c r="M58" t="inlineStr">
        <is>
          <t>Jasa Rekayasa Pekerjaan Teknik Sipil Sumber Daya Air</t>
        </is>
      </c>
      <c r="N58" t="inlineStr">
        <is>
          <t>K</t>
        </is>
      </c>
      <c r="O58" t="inlineStr">
        <is>
          <t>20230506</t>
        </is>
      </c>
      <c r="P58" t="inlineStr">
        <is>
          <t>Jawa Timur</t>
        </is>
      </c>
      <c r="Q58" t="inlineStr"/>
    </row>
    <row r="59">
      <c r="A59" t="inlineStr">
        <is>
          <t>KARYA RGB</t>
        </is>
      </c>
      <c r="B59" t="inlineStr">
        <is>
          <t>Kota Bitung</t>
        </is>
      </c>
      <c r="C59" t="inlineStr">
        <is>
          <t>0</t>
        </is>
      </c>
      <c r="D59" t="inlineStr">
        <is>
          <t>cvkaryargb@gmail.com</t>
        </is>
      </c>
      <c r="E59" t="inlineStr">
        <is>
          <t>https://lpjk.pu.go.id/search-badan-usaha-detail/by9QSy9EVzV3L3NKRnJxb3FQcEdUZz09</t>
        </is>
      </c>
      <c r="F59" t="n">
        <v>1</v>
      </c>
      <c r="G59" t="inlineStr">
        <is>
          <t>BS007</t>
        </is>
      </c>
      <c r="H59" t="inlineStr">
        <is>
          <t>25 Oktober 2023</t>
        </is>
      </c>
      <c r="I59" s="2" t="n">
        <v>46332</v>
      </c>
      <c r="J59" t="inlineStr">
        <is>
          <t>Disetujui</t>
        </is>
      </c>
      <c r="K59" t="n">
        <v>60</v>
      </c>
      <c r="L59" t="inlineStr">
        <is>
          <t>6 November 2026</t>
        </is>
      </c>
      <c r="M59" t="inlineStr">
        <is>
          <t>Konstruksi Bangunan Sipil Elektrikal</t>
        </is>
      </c>
      <c r="N59" t="inlineStr">
        <is>
          <t>K</t>
        </is>
      </c>
      <c r="O59" t="inlineStr">
        <is>
          <t>20231102</t>
        </is>
      </c>
      <c r="P59" t="inlineStr">
        <is>
          <t>Sulawesi Utara</t>
        </is>
      </c>
      <c r="Q59" t="inlineStr"/>
    </row>
    <row r="60">
      <c r="A60" t="inlineStr">
        <is>
          <t>KARYA SUBUR</t>
        </is>
      </c>
      <c r="B60" t="inlineStr">
        <is>
          <t>Kab. Blitar</t>
        </is>
      </c>
      <c r="C60" t="inlineStr">
        <is>
          <t>085646432247</t>
        </is>
      </c>
      <c r="D60" t="inlineStr">
        <is>
          <t>karyasubur354@gmail.com</t>
        </is>
      </c>
      <c r="E60" t="inlineStr">
        <is>
          <t>https://lpjk.pu.go.id/search-badan-usaha-detail/U0R6Y0R1bmVlWlM5bTRpckRCWEVmZz09</t>
        </is>
      </c>
      <c r="F60" t="n">
        <v>1</v>
      </c>
      <c r="G60" t="inlineStr">
        <is>
          <t>BS004</t>
        </is>
      </c>
      <c r="H60" t="inlineStr">
        <is>
          <t>14 September 2015</t>
        </is>
      </c>
      <c r="I60" s="2" t="n">
        <v>46332</v>
      </c>
      <c r="J60" t="inlineStr">
        <is>
          <t>Disetujui</t>
        </is>
      </c>
      <c r="K60" t="n">
        <v>60</v>
      </c>
      <c r="L60" t="inlineStr">
        <is>
          <t>6 November 2026</t>
        </is>
      </c>
      <c r="M60" t="inlineStr">
        <is>
          <t>Konstruksi Jaringan Irigasi dan Drainase</t>
        </is>
      </c>
      <c r="N60" t="inlineStr">
        <is>
          <t>K</t>
        </is>
      </c>
      <c r="O60" t="inlineStr">
        <is>
          <t>20231102</t>
        </is>
      </c>
      <c r="P60" t="inlineStr">
        <is>
          <t>Jawa Timur</t>
        </is>
      </c>
      <c r="Q60" t="inlineStr"/>
    </row>
    <row r="61">
      <c r="A61" t="inlineStr">
        <is>
          <t>KARYA SURYA PRADIPTA</t>
        </is>
      </c>
      <c r="B61" t="inlineStr">
        <is>
          <t>Kab. Banyuwangi</t>
        </is>
      </c>
      <c r="C61" t="inlineStr">
        <is>
          <t>081233106985</t>
        </is>
      </c>
      <c r="D61" t="inlineStr">
        <is>
          <t>kspbwi16@gmail.com</t>
        </is>
      </c>
      <c r="E61" t="inlineStr">
        <is>
          <t>https://lpjk.pu.go.id/search-badan-usaha-detail/YzZUN2JFcVhsU0ZLZ3YzeTVrS0lKdz09</t>
        </is>
      </c>
      <c r="F61" t="n">
        <v>1</v>
      </c>
      <c r="G61" t="inlineStr">
        <is>
          <t>BS001</t>
        </is>
      </c>
      <c r="H61" t="inlineStr">
        <is>
          <t>8 Agustus 2016</t>
        </is>
      </c>
      <c r="I61" s="2" t="n">
        <v>46332</v>
      </c>
      <c r="J61" t="inlineStr">
        <is>
          <t>Disetujui</t>
        </is>
      </c>
      <c r="K61" t="n">
        <v>60</v>
      </c>
      <c r="L61" t="inlineStr">
        <is>
          <t>6 November 2026</t>
        </is>
      </c>
      <c r="M61" t="inlineStr">
        <is>
          <t>Konstruksi Bangunan Sipil Jalan</t>
        </is>
      </c>
      <c r="N61" t="inlineStr">
        <is>
          <t>K</t>
        </is>
      </c>
      <c r="O61" t="inlineStr">
        <is>
          <t>20231101</t>
        </is>
      </c>
      <c r="P61" t="inlineStr">
        <is>
          <t>Jawa Timur</t>
        </is>
      </c>
      <c r="Q61" t="inlineStr"/>
    </row>
    <row r="62">
      <c r="A62" t="inlineStr">
        <is>
          <t>KONSTRUKSI OMAH INDONESIA</t>
        </is>
      </c>
      <c r="B62" t="inlineStr">
        <is>
          <t>Kota Yogyakarta</t>
        </is>
      </c>
      <c r="C62" t="inlineStr">
        <is>
          <t>082225152645</t>
        </is>
      </c>
      <c r="D62" t="inlineStr">
        <is>
          <t>Kontruksiomahindonesia@yahoo.com</t>
        </is>
      </c>
      <c r="E62" t="inlineStr">
        <is>
          <t>https://lpjk.pu.go.id/search-badan-usaha-detail/ckRMRndQdEhDVU96TFpqQ2h3L1ZBQT09</t>
        </is>
      </c>
      <c r="F62" t="n">
        <v>5</v>
      </c>
      <c r="G62" t="inlineStr">
        <is>
          <t>BG009, BS001, BS004, BS005, BS006</t>
        </is>
      </c>
      <c r="H62" t="inlineStr">
        <is>
          <t>28 Desember 2004</t>
        </is>
      </c>
      <c r="I62" s="2" t="n">
        <v>46332</v>
      </c>
      <c r="J62" t="inlineStr">
        <is>
          <t>Disetujui</t>
        </is>
      </c>
      <c r="K62" t="n">
        <v>60</v>
      </c>
      <c r="L62" t="inlineStr">
        <is>
          <t>6 November 2026</t>
        </is>
      </c>
      <c r="M62" t="inlineStr">
        <is>
          <t>Konstruksi Bangunan Sipil Jalan, Konstruksi Bangunan Sipil Pengolahan Air Bersih, Konstruksi Bangunan Sipil Prasarana dan Sarana Sistem Pengolahan Limbah Padat, Cair, dan Gas, Konstruksi Gedung Lainnya, Konstruksi Jaringan Irigasi dan Drainase</t>
        </is>
      </c>
      <c r="N62" t="inlineStr">
        <is>
          <t>K</t>
        </is>
      </c>
      <c r="O62" t="inlineStr">
        <is>
          <t>20231102, 20231103</t>
        </is>
      </c>
      <c r="P62" t="inlineStr">
        <is>
          <t>DI Yogyakarta</t>
        </is>
      </c>
      <c r="Q62" t="inlineStr"/>
    </row>
    <row r="63">
      <c r="A63" t="inlineStr">
        <is>
          <t>KONSTRUKSI REKAYASA DESIGN</t>
        </is>
      </c>
      <c r="B63" t="inlineStr">
        <is>
          <t>Kab. Berau</t>
        </is>
      </c>
      <c r="C63" t="inlineStr">
        <is>
          <t>081254918284</t>
        </is>
      </c>
      <c r="D63" t="inlineStr">
        <is>
          <t>rekayasa.design10@gmail.com</t>
        </is>
      </c>
      <c r="E63" t="inlineStr">
        <is>
          <t>https://lpjk.pu.go.id/search-badan-usaha-detail/WjFQS3hFT2VXMHV2anUrcDFYa0tSQT09</t>
        </is>
      </c>
      <c r="F63" t="n">
        <v>1</v>
      </c>
      <c r="G63" t="inlineStr">
        <is>
          <t>RK003</t>
        </is>
      </c>
      <c r="H63" t="inlineStr">
        <is>
          <t>30 November 2019</t>
        </is>
      </c>
      <c r="I63" s="2" t="n">
        <v>46332</v>
      </c>
      <c r="J63" t="inlineStr">
        <is>
          <t>Disetujui</t>
        </is>
      </c>
      <c r="K63" t="n">
        <v>60</v>
      </c>
      <c r="L63" t="inlineStr">
        <is>
          <t>6 November 2026</t>
        </is>
      </c>
      <c r="M63" t="inlineStr">
        <is>
          <t>Jasa Rekayasa Pekerjaan Teknik Sipil Transportasi</t>
        </is>
      </c>
      <c r="N63" t="inlineStr">
        <is>
          <t>K</t>
        </is>
      </c>
      <c r="O63" t="inlineStr">
        <is>
          <t>20231026</t>
        </is>
      </c>
      <c r="P63" t="inlineStr">
        <is>
          <t>Kalimantan Timur</t>
        </is>
      </c>
      <c r="Q63" t="inlineStr"/>
    </row>
    <row r="64">
      <c r="A64" t="inlineStr">
        <is>
          <t>KRAKATAU</t>
        </is>
      </c>
      <c r="B64" t="inlineStr">
        <is>
          <t>Kab. Kapuas Hulu</t>
        </is>
      </c>
      <c r="C64" t="inlineStr">
        <is>
          <t>082198654885</t>
        </is>
      </c>
      <c r="D64" t="inlineStr">
        <is>
          <t>sjm070288@gmail.com</t>
        </is>
      </c>
      <c r="E64" t="inlineStr">
        <is>
          <t>https://lpjk.pu.go.id/search-badan-usaha-detail/UmxSNE82MnZJQ0RBV1I3UmJFSGp6dz09</t>
        </is>
      </c>
      <c r="F64" t="n">
        <v>1</v>
      </c>
      <c r="G64" t="inlineStr">
        <is>
          <t>BS001</t>
        </is>
      </c>
      <c r="H64" t="inlineStr">
        <is>
          <t>22 Juli 2003</t>
        </is>
      </c>
      <c r="I64" s="2" t="n">
        <v>46332</v>
      </c>
      <c r="J64" t="inlineStr">
        <is>
          <t>Disetujui</t>
        </is>
      </c>
      <c r="K64" t="n">
        <v>60</v>
      </c>
      <c r="L64" t="inlineStr">
        <is>
          <t>6 November 2026</t>
        </is>
      </c>
      <c r="M64" t="inlineStr">
        <is>
          <t>Konstruksi Bangunan Sipil Jalan</t>
        </is>
      </c>
      <c r="N64" t="inlineStr">
        <is>
          <t>K</t>
        </is>
      </c>
      <c r="O64" t="inlineStr">
        <is>
          <t>20231106</t>
        </is>
      </c>
      <c r="P64" t="inlineStr">
        <is>
          <t>Kalimantan Barat</t>
        </is>
      </c>
      <c r="Q64" t="inlineStr"/>
    </row>
    <row r="65">
      <c r="A65" t="inlineStr">
        <is>
          <t>LIMAS PERKASA</t>
        </is>
      </c>
      <c r="B65" t="inlineStr">
        <is>
          <t>Kota Jambi</t>
        </is>
      </c>
      <c r="C65" t="inlineStr">
        <is>
          <t>0741669215</t>
        </is>
      </c>
      <c r="D65" t="inlineStr">
        <is>
          <t>perkasalimas520@gmail.com</t>
        </is>
      </c>
      <c r="E65" t="inlineStr">
        <is>
          <t>https://lpjk.pu.go.id/search-badan-usaha-detail/WEpMWUk3VVZ1ZW1pUndpdVp1Vm40Zz09</t>
        </is>
      </c>
      <c r="F65" t="n">
        <v>8</v>
      </c>
      <c r="G65" t="inlineStr">
        <is>
          <t>BG001, BG002, BG006, BS001</t>
        </is>
      </c>
      <c r="H65" t="inlineStr">
        <is>
          <t>30 Agustus 2007</t>
        </is>
      </c>
      <c r="I65" s="2" t="n">
        <v>46332</v>
      </c>
      <c r="J65" t="inlineStr">
        <is>
          <t>Disetujui</t>
        </is>
      </c>
      <c r="K65" t="n">
        <v>60</v>
      </c>
      <c r="L65" t="inlineStr">
        <is>
          <t>6 November 2026</t>
        </is>
      </c>
      <c r="M65" t="inlineStr">
        <is>
          <t>Konstruksi Bangunan Sipil Jalan, Konstruksi Gedung Hunian, Konstruksi Gedung Pendidikan, Konstruksi Gedung Perkantoran</t>
        </is>
      </c>
      <c r="N65" t="inlineStr">
        <is>
          <t>K</t>
        </is>
      </c>
      <c r="O65" t="inlineStr">
        <is>
          <t>20231103</t>
        </is>
      </c>
      <c r="P65" t="inlineStr">
        <is>
          <t>Jambi</t>
        </is>
      </c>
      <c r="Q65" t="inlineStr"/>
    </row>
    <row r="66">
      <c r="A66" t="inlineStr">
        <is>
          <t>MAHAKARYA BUILD</t>
        </is>
      </c>
      <c r="B66" t="inlineStr">
        <is>
          <t>Kota Bengkulu</t>
        </is>
      </c>
      <c r="C66" t="inlineStr">
        <is>
          <t>082299433800</t>
        </is>
      </c>
      <c r="D66" t="inlineStr">
        <is>
          <t>cvmahakaryabuild@gmail.com</t>
        </is>
      </c>
      <c r="E66" t="inlineStr">
        <is>
          <t>https://lpjk.pu.go.id/search-badan-usaha-detail/amE1WU5hRVB0QkNRb2I5aFFnSlJFUT09</t>
        </is>
      </c>
      <c r="F66" t="n">
        <v>3</v>
      </c>
      <c r="G66" t="inlineStr">
        <is>
          <t>AR001</t>
        </is>
      </c>
      <c r="H66" t="inlineStr">
        <is>
          <t>19 Juni 2023</t>
        </is>
      </c>
      <c r="I66" s="2" t="n">
        <v>46332</v>
      </c>
      <c r="J66" t="inlineStr">
        <is>
          <t>Disetujui</t>
        </is>
      </c>
      <c r="K66" t="n">
        <v>60</v>
      </c>
      <c r="L66" t="inlineStr">
        <is>
          <t>6 November 2026</t>
        </is>
      </c>
      <c r="M66" t="inlineStr">
        <is>
          <t>Jasa Arsitektural Bangunan Gedung Hunian dan Non Hunian</t>
        </is>
      </c>
      <c r="N66" t="inlineStr">
        <is>
          <t>K</t>
        </is>
      </c>
      <c r="O66" t="inlineStr">
        <is>
          <t>20231017</t>
        </is>
      </c>
      <c r="P66" t="inlineStr">
        <is>
          <t>Bengkulu</t>
        </is>
      </c>
      <c r="Q66" t="inlineStr"/>
    </row>
    <row r="67">
      <c r="A67" t="inlineStr">
        <is>
          <t>MAJAPAHIT</t>
        </is>
      </c>
      <c r="B67" t="inlineStr">
        <is>
          <t>Kota Banjarbaru</t>
        </is>
      </c>
      <c r="C67" t="inlineStr">
        <is>
          <t>085654871338</t>
        </is>
      </c>
      <c r="D67" t="inlineStr">
        <is>
          <t>majapahit051@yahoo.co.id</t>
        </is>
      </c>
      <c r="E67" t="inlineStr">
        <is>
          <t>https://lpjk.pu.go.id/search-badan-usaha-detail/M2JNT2Z4alRtRmNwRGh1bjJHYVdoUT09</t>
        </is>
      </c>
      <c r="F67" t="n">
        <v>2</v>
      </c>
      <c r="G67" t="inlineStr">
        <is>
          <t>BS006</t>
        </is>
      </c>
      <c r="H67" t="inlineStr">
        <is>
          <t>8 November 2010</t>
        </is>
      </c>
      <c r="I67" s="2" t="n">
        <v>46332</v>
      </c>
      <c r="J67" t="inlineStr">
        <is>
          <t>Pencabutan</t>
        </is>
      </c>
      <c r="K67" t="n">
        <v>60</v>
      </c>
      <c r="L67" t="inlineStr">
        <is>
          <t>6 November 2026</t>
        </is>
      </c>
      <c r="M67" t="inlineStr">
        <is>
          <t>Konstruksi Bangunan Sipil Prasarana dan Sarana Sistem Pengolahan Limbah Padat, Cair, dan Gas</t>
        </is>
      </c>
      <c r="N67" t="inlineStr">
        <is>
          <t>K</t>
        </is>
      </c>
      <c r="O67" t="inlineStr">
        <is>
          <t>20231107</t>
        </is>
      </c>
      <c r="P67" t="inlineStr">
        <is>
          <t>Kalimantan Selatan</t>
        </is>
      </c>
      <c r="Q67" t="inlineStr"/>
    </row>
    <row r="68">
      <c r="A68" t="inlineStr">
        <is>
          <t>MAKMUR JAYA</t>
        </is>
      </c>
      <c r="B68" t="inlineStr">
        <is>
          <t>Kota Surabaya</t>
        </is>
      </c>
      <c r="C68" t="inlineStr">
        <is>
          <t>0315687289</t>
        </is>
      </c>
      <c r="D68" t="inlineStr">
        <is>
          <t>officept.makmurjaya@gmail.com</t>
        </is>
      </c>
      <c r="E68" t="inlineStr">
        <is>
          <t>https://lpjk.pu.go.id/search-badan-usaha-detail/U0Z0dXhNZWpaU2JXSlVtWm1oNVJqUT09</t>
        </is>
      </c>
      <c r="F68" t="n">
        <v>3</v>
      </c>
      <c r="G68" t="inlineStr">
        <is>
          <t>BG009, BS004, BS009</t>
        </is>
      </c>
      <c r="H68" t="inlineStr">
        <is>
          <t>14 November 2022</t>
        </is>
      </c>
      <c r="I68" s="2" t="n">
        <v>46332</v>
      </c>
      <c r="J68" t="inlineStr">
        <is>
          <t>Pembekuan, Pencabutan</t>
        </is>
      </c>
      <c r="K68" t="n">
        <v>60</v>
      </c>
      <c r="L68" t="inlineStr">
        <is>
          <t>6 November 2026</t>
        </is>
      </c>
      <c r="M68" t="inlineStr">
        <is>
          <t>Konstruksi Gedung Lainnya, Konstruksi Jaringan Irigasi dan Drainase, Konstruksi Sentral Telekomunikasi</t>
        </is>
      </c>
      <c r="N68" t="inlineStr">
        <is>
          <t>M</t>
        </is>
      </c>
      <c r="O68" t="inlineStr">
        <is>
          <t>20231106</t>
        </is>
      </c>
      <c r="P68" t="inlineStr">
        <is>
          <t>Jawa Timur</t>
        </is>
      </c>
      <c r="Q68" t="inlineStr"/>
    </row>
    <row r="69">
      <c r="A69" t="inlineStr">
        <is>
          <t>MANDIRI USAHA</t>
        </is>
      </c>
      <c r="B69" t="inlineStr">
        <is>
          <t>Kab. Indramayu</t>
        </is>
      </c>
      <c r="C69" t="inlineStr">
        <is>
          <t>087708774074</t>
        </is>
      </c>
      <c r="D69" t="inlineStr">
        <is>
          <t>mandiriusaha_cv@ymail.com</t>
        </is>
      </c>
      <c r="E69" t="inlineStr">
        <is>
          <t>https://lpjk.pu.go.id/search-badan-usaha-detail/Mmgxamd3WWxjU25MTGhnTUxKRWh5UT09</t>
        </is>
      </c>
      <c r="F69" t="n">
        <v>1</v>
      </c>
      <c r="G69" t="inlineStr">
        <is>
          <t>BG009</t>
        </is>
      </c>
      <c r="H69" t="inlineStr">
        <is>
          <t>9 September 2002</t>
        </is>
      </c>
      <c r="I69" s="2" t="n">
        <v>46332</v>
      </c>
      <c r="J69" t="inlineStr">
        <is>
          <t>Disetujui</t>
        </is>
      </c>
      <c r="K69" t="n">
        <v>60</v>
      </c>
      <c r="L69" t="inlineStr">
        <is>
          <t>6 November 2026</t>
        </is>
      </c>
      <c r="M69" t="inlineStr">
        <is>
          <t>Konstruksi Gedung Lainnya</t>
        </is>
      </c>
      <c r="N69" t="inlineStr">
        <is>
          <t>K</t>
        </is>
      </c>
      <c r="O69" t="inlineStr">
        <is>
          <t>20231106</t>
        </is>
      </c>
      <c r="P69" t="inlineStr">
        <is>
          <t>Jawa Barat</t>
        </is>
      </c>
      <c r="Q69" t="inlineStr"/>
    </row>
    <row r="70">
      <c r="A70" t="inlineStr">
        <is>
          <t>MANGGALA</t>
        </is>
      </c>
      <c r="B70" t="inlineStr">
        <is>
          <t>Kota Denpasar</t>
        </is>
      </c>
      <c r="C70" t="inlineStr">
        <is>
          <t>081337324272</t>
        </is>
      </c>
      <c r="D70" t="inlineStr">
        <is>
          <t>cv.manggala20@ymail.com</t>
        </is>
      </c>
      <c r="E70" t="inlineStr">
        <is>
          <t>https://lpjk.pu.go.id/search-badan-usaha-detail/b3BtdTFYRG1kR1JDeHdNMzQrK2p4QT09</t>
        </is>
      </c>
      <c r="F70" t="n">
        <v>1</v>
      </c>
      <c r="G70" t="inlineStr">
        <is>
          <t>BS001</t>
        </is>
      </c>
      <c r="H70" t="inlineStr">
        <is>
          <t>31 Agustus 1984</t>
        </is>
      </c>
      <c r="I70" s="2" t="n">
        <v>46332</v>
      </c>
      <c r="J70" t="inlineStr">
        <is>
          <t>Disetujui</t>
        </is>
      </c>
      <c r="K70" t="n">
        <v>60</v>
      </c>
      <c r="L70" t="inlineStr">
        <is>
          <t>6 November 2026</t>
        </is>
      </c>
      <c r="M70" t="inlineStr">
        <is>
          <t>Konstruksi Bangunan Sipil Jalan</t>
        </is>
      </c>
      <c r="N70" t="inlineStr">
        <is>
          <t>K</t>
        </is>
      </c>
      <c r="O70" t="inlineStr">
        <is>
          <t>20231026</t>
        </is>
      </c>
      <c r="P70" t="inlineStr">
        <is>
          <t>Bali</t>
        </is>
      </c>
      <c r="Q70" t="inlineStr"/>
    </row>
    <row r="71">
      <c r="A71" t="inlineStr">
        <is>
          <t>MEGA CIPTA</t>
        </is>
      </c>
      <c r="B71" t="inlineStr">
        <is>
          <t>Kab. Minahasa</t>
        </is>
      </c>
      <c r="C71" t="inlineStr">
        <is>
          <t>081242877834</t>
        </is>
      </c>
      <c r="D71" t="inlineStr">
        <is>
          <t>cvmegacipta2021@gmail.com</t>
        </is>
      </c>
      <c r="E71" t="inlineStr">
        <is>
          <t>https://lpjk.pu.go.id/search-badan-usaha-detail/cHAreVZTYjZYNURjTjJmeXNiUk9Gdz09</t>
        </is>
      </c>
      <c r="F71" t="n">
        <v>1</v>
      </c>
      <c r="G71" t="inlineStr">
        <is>
          <t>BS001</t>
        </is>
      </c>
      <c r="H71" t="inlineStr">
        <is>
          <t>23 Juni 2011</t>
        </is>
      </c>
      <c r="I71" s="2" t="n">
        <v>46332</v>
      </c>
      <c r="J71" t="inlineStr">
        <is>
          <t>Disetujui</t>
        </is>
      </c>
      <c r="K71" t="n">
        <v>60</v>
      </c>
      <c r="L71" t="inlineStr">
        <is>
          <t>6 November 2026</t>
        </is>
      </c>
      <c r="M71" t="inlineStr">
        <is>
          <t>Konstruksi Bangunan Sipil Jalan</t>
        </is>
      </c>
      <c r="N71" t="inlineStr">
        <is>
          <t>K</t>
        </is>
      </c>
      <c r="O71" t="inlineStr">
        <is>
          <t>20230909</t>
        </is>
      </c>
      <c r="P71" t="inlineStr">
        <is>
          <t>Sulawesi Utara</t>
        </is>
      </c>
      <c r="Q71" t="inlineStr"/>
    </row>
    <row r="72">
      <c r="A72" t="inlineStr">
        <is>
          <t>MEGAH PAPUA JAYA</t>
        </is>
      </c>
      <c r="B72" t="inlineStr">
        <is>
          <t>Kab. Merauke</t>
        </is>
      </c>
      <c r="C72" t="inlineStr">
        <is>
          <t>081344070908</t>
        </is>
      </c>
      <c r="D72" t="inlineStr">
        <is>
          <t>pt.mpjmkq@gmail.com</t>
        </is>
      </c>
      <c r="E72" t="inlineStr">
        <is>
          <t>https://lpjk.pu.go.id/search-badan-usaha-detail/Wjh3MjZmQjE2dzlwWlBhMUJ4MmpzZz09</t>
        </is>
      </c>
      <c r="F72" t="n">
        <v>2</v>
      </c>
      <c r="G72" t="inlineStr">
        <is>
          <t>BS002</t>
        </is>
      </c>
      <c r="H72" t="inlineStr">
        <is>
          <t>29 Juli 2020</t>
        </is>
      </c>
      <c r="I72" s="2" t="n">
        <v>46332</v>
      </c>
      <c r="J72" t="inlineStr">
        <is>
          <t>Pembekuan</t>
        </is>
      </c>
      <c r="K72" t="n">
        <v>60</v>
      </c>
      <c r="L72" t="inlineStr">
        <is>
          <t>6 November 2026</t>
        </is>
      </c>
      <c r="M72" t="inlineStr">
        <is>
          <t>Bangunan Sipil Jembatan, Jalan Layang, Fly Over, dan Underpass</t>
        </is>
      </c>
      <c r="N72" t="inlineStr">
        <is>
          <t>M</t>
        </is>
      </c>
      <c r="O72" t="inlineStr">
        <is>
          <t>20231106</t>
        </is>
      </c>
      <c r="P72" t="inlineStr">
        <is>
          <t>Papua</t>
        </is>
      </c>
      <c r="Q72" t="inlineStr"/>
    </row>
    <row r="73">
      <c r="A73" t="inlineStr">
        <is>
          <t>MITRA SENTOSA INDONESIA</t>
        </is>
      </c>
      <c r="B73" t="inlineStr">
        <is>
          <t>Kab. Jombang</t>
        </is>
      </c>
      <c r="C73" t="inlineStr">
        <is>
          <t>085730661015</t>
        </is>
      </c>
      <c r="D73" t="inlineStr">
        <is>
          <t>mitrasentosaindonesia79@gmail.com</t>
        </is>
      </c>
      <c r="E73" t="inlineStr">
        <is>
          <t>https://lpjk.pu.go.id/search-badan-usaha-detail/cW4zMHM1OWNzdXdLNjFPT0dQMGhEZz09</t>
        </is>
      </c>
      <c r="F73" t="n">
        <v>1</v>
      </c>
      <c r="G73" t="inlineStr">
        <is>
          <t>BG006</t>
        </is>
      </c>
      <c r="H73" t="inlineStr">
        <is>
          <t>2 Agustus 2023</t>
        </is>
      </c>
      <c r="I73" s="2" t="n">
        <v>46332</v>
      </c>
      <c r="J73" t="inlineStr">
        <is>
          <t>Disetujui</t>
        </is>
      </c>
      <c r="K73" t="n">
        <v>60</v>
      </c>
      <c r="L73" t="inlineStr">
        <is>
          <t>6 November 2026</t>
        </is>
      </c>
      <c r="M73" t="inlineStr">
        <is>
          <t>Konstruksi Gedung Pendidikan</t>
        </is>
      </c>
      <c r="N73" t="inlineStr">
        <is>
          <t>K</t>
        </is>
      </c>
      <c r="O73" t="inlineStr">
        <is>
          <t>20231107</t>
        </is>
      </c>
      <c r="P73" t="inlineStr">
        <is>
          <t>Jawa Timur</t>
        </is>
      </c>
      <c r="Q73" t="inlineStr"/>
    </row>
    <row r="74">
      <c r="A74" t="inlineStr">
        <is>
          <t>MUTIARA ZAHRA ABADI</t>
        </is>
      </c>
      <c r="B74" t="inlineStr">
        <is>
          <t>Kota Adm. Jakarta Barat</t>
        </is>
      </c>
      <c r="C74" t="inlineStr">
        <is>
          <t>02154333224</t>
        </is>
      </c>
      <c r="D74" t="inlineStr">
        <is>
          <t>pt.mutiara.zahra23@gmail.com</t>
        </is>
      </c>
      <c r="E74" t="inlineStr">
        <is>
          <t>https://lpjk.pu.go.id/search-badan-usaha-detail/eHg2OS96KzVoZjVsdXhJRUlsa1oyQT09</t>
        </is>
      </c>
      <c r="F74" t="n">
        <v>2</v>
      </c>
      <c r="G74" t="inlineStr">
        <is>
          <t>BS001</t>
        </is>
      </c>
      <c r="H74" t="inlineStr">
        <is>
          <t>29 Agustus 2023</t>
        </is>
      </c>
      <c r="I74" s="2" t="n">
        <v>46332</v>
      </c>
      <c r="J74" t="inlineStr">
        <is>
          <t>Pencabutan</t>
        </is>
      </c>
      <c r="K74" t="n">
        <v>60</v>
      </c>
      <c r="L74" t="inlineStr">
        <is>
          <t>6 November 2026</t>
        </is>
      </c>
      <c r="M74" t="inlineStr">
        <is>
          <t>Konstruksi Bangunan Sipil Jalan</t>
        </is>
      </c>
      <c r="N74" t="inlineStr">
        <is>
          <t>K</t>
        </is>
      </c>
      <c r="O74" t="inlineStr">
        <is>
          <t>20231101</t>
        </is>
      </c>
      <c r="P74" t="inlineStr">
        <is>
          <t>DKI Jakarta</t>
        </is>
      </c>
      <c r="Q74" t="inlineStr"/>
    </row>
    <row r="75">
      <c r="A75" t="inlineStr">
        <is>
          <t>NASUMA PUTRA</t>
        </is>
      </c>
      <c r="B75" t="inlineStr">
        <is>
          <t>Kota Bandung</t>
        </is>
      </c>
      <c r="C75" t="inlineStr">
        <is>
          <t>0227204634</t>
        </is>
      </c>
      <c r="D75" t="inlineStr">
        <is>
          <t>nasumaputra@gmail.com</t>
        </is>
      </c>
      <c r="E75" t="inlineStr">
        <is>
          <t>https://lpjk.pu.go.id/search-badan-usaha-detail/YkFVM3JYMENrUjJUWk9kRnZLK3lvZz09</t>
        </is>
      </c>
      <c r="F75" t="n">
        <v>1</v>
      </c>
      <c r="G75" t="inlineStr">
        <is>
          <t>RK003</t>
        </is>
      </c>
      <c r="H75" t="inlineStr">
        <is>
          <t>28 April 1975</t>
        </is>
      </c>
      <c r="I75" s="2" t="n">
        <v>46332</v>
      </c>
      <c r="J75" t="inlineStr">
        <is>
          <t>Disetujui</t>
        </is>
      </c>
      <c r="K75" t="n">
        <v>60</v>
      </c>
      <c r="L75" t="inlineStr">
        <is>
          <t>6 November 2026</t>
        </is>
      </c>
      <c r="M75" t="inlineStr">
        <is>
          <t>Jasa Rekayasa Pekerjaan Teknik Sipil Transportasi</t>
        </is>
      </c>
      <c r="N75" t="inlineStr">
        <is>
          <t>M</t>
        </is>
      </c>
      <c r="O75" t="inlineStr">
        <is>
          <t>20231024</t>
        </is>
      </c>
      <c r="P75" t="inlineStr">
        <is>
          <t>Jawa Barat</t>
        </is>
      </c>
      <c r="Q75" t="inlineStr"/>
    </row>
    <row r="76">
      <c r="A76" t="inlineStr">
        <is>
          <t>NATURAL</t>
        </is>
      </c>
      <c r="B76" t="inlineStr">
        <is>
          <t>Kota Banda Aceh</t>
        </is>
      </c>
      <c r="C76" t="inlineStr">
        <is>
          <t>082288216008</t>
        </is>
      </c>
      <c r="D76" t="inlineStr">
        <is>
          <t>cvnatural.cvn@gmail.com</t>
        </is>
      </c>
      <c r="E76" t="inlineStr">
        <is>
          <t>https://lpjk.pu.go.id/search-badan-usaha-detail/bWZhdVV2QkQzVTQxTU0vM1BUNTRlZz09</t>
        </is>
      </c>
      <c r="F76" t="n">
        <v>1</v>
      </c>
      <c r="G76" t="inlineStr">
        <is>
          <t>BS001</t>
        </is>
      </c>
      <c r="H76" t="inlineStr">
        <is>
          <t>10 Januari 2017</t>
        </is>
      </c>
      <c r="I76" s="2" t="n">
        <v>46332</v>
      </c>
      <c r="J76" t="inlineStr">
        <is>
          <t>Disetujui</t>
        </is>
      </c>
      <c r="K76" t="n">
        <v>60</v>
      </c>
      <c r="L76" t="inlineStr">
        <is>
          <t>6 November 2026</t>
        </is>
      </c>
      <c r="M76" t="inlineStr">
        <is>
          <t>Konstruksi Bangunan Sipil Jalan</t>
        </is>
      </c>
      <c r="N76" t="inlineStr">
        <is>
          <t>K</t>
        </is>
      </c>
      <c r="O76" t="inlineStr">
        <is>
          <t>20231102</t>
        </is>
      </c>
      <c r="P76" t="inlineStr">
        <is>
          <t>Aceh</t>
        </is>
      </c>
      <c r="Q76" t="inlineStr"/>
    </row>
    <row r="77">
      <c r="A77" t="inlineStr">
        <is>
          <t>NUSANTARA ABADI GROUP</t>
        </is>
      </c>
      <c r="B77" t="inlineStr">
        <is>
          <t>Kab. Asahan</t>
        </is>
      </c>
      <c r="C77" t="inlineStr">
        <is>
          <t>085368645747</t>
        </is>
      </c>
      <c r="D77" t="inlineStr">
        <is>
          <t>cvnusantaraabadigroup@gmail.com</t>
        </is>
      </c>
      <c r="E77" t="inlineStr">
        <is>
          <t>https://lpjk.pu.go.id/search-badan-usaha-detail/Sm02b043b0xvdlhjRG1sTjU0S3lxdz09</t>
        </is>
      </c>
      <c r="F77" t="n">
        <v>8</v>
      </c>
      <c r="G77" t="inlineStr">
        <is>
          <t>BG002, BG005, BG006, BS001</t>
        </is>
      </c>
      <c r="H77" t="inlineStr">
        <is>
          <t>22 Februari 2023</t>
        </is>
      </c>
      <c r="I77" s="2" t="n">
        <v>46332</v>
      </c>
      <c r="J77" t="inlineStr">
        <is>
          <t>Disetujui</t>
        </is>
      </c>
      <c r="K77" t="n">
        <v>60</v>
      </c>
      <c r="L77" t="inlineStr">
        <is>
          <t>6 November 2026</t>
        </is>
      </c>
      <c r="M77" t="inlineStr">
        <is>
          <t>Konstruksi Bangunan Sipil Jalan, Konstruksi Gedung Kesehatan, Konstruksi Gedung Pendidikan, Konstruksi Gedung Perkantoran</t>
        </is>
      </c>
      <c r="N77" t="inlineStr">
        <is>
          <t>K</t>
        </is>
      </c>
      <c r="O77" t="inlineStr">
        <is>
          <t>20231028, 20231108</t>
        </is>
      </c>
      <c r="P77" t="inlineStr">
        <is>
          <t>Sumatera Utara</t>
        </is>
      </c>
      <c r="Q77" t="inlineStr"/>
    </row>
    <row r="78">
      <c r="A78" t="inlineStr">
        <is>
          <t>PANDORA</t>
        </is>
      </c>
      <c r="B78" t="inlineStr">
        <is>
          <t>Kota Sorong</t>
        </is>
      </c>
      <c r="C78" t="inlineStr">
        <is>
          <t>081385976073</t>
        </is>
      </c>
      <c r="D78" t="inlineStr">
        <is>
          <t>dolfisworot@gmail.com</t>
        </is>
      </c>
      <c r="E78" t="inlineStr">
        <is>
          <t>https://lpjk.pu.go.id/search-badan-usaha-detail/TlVyN3pYMVdhNnErekxrZEt2d005Zz09</t>
        </is>
      </c>
      <c r="F78" t="n">
        <v>1</v>
      </c>
      <c r="G78" t="inlineStr">
        <is>
          <t>BS001</t>
        </is>
      </c>
      <c r="H78" t="inlineStr">
        <is>
          <t>5 April 2016</t>
        </is>
      </c>
      <c r="I78" s="2" t="n">
        <v>46332</v>
      </c>
      <c r="J78" t="inlineStr">
        <is>
          <t>Disetujui</t>
        </is>
      </c>
      <c r="K78" t="n">
        <v>60</v>
      </c>
      <c r="L78" t="inlineStr">
        <is>
          <t>6 November 2026</t>
        </is>
      </c>
      <c r="M78" t="inlineStr">
        <is>
          <t>Konstruksi Bangunan Sipil Jalan</t>
        </is>
      </c>
      <c r="N78" t="inlineStr">
        <is>
          <t>K</t>
        </is>
      </c>
      <c r="O78" t="inlineStr">
        <is>
          <t>20231021</t>
        </is>
      </c>
      <c r="P78" t="inlineStr">
        <is>
          <t>Papua Barat</t>
        </is>
      </c>
      <c r="Q78" t="inlineStr"/>
    </row>
    <row r="79">
      <c r="A79" t="inlineStr">
        <is>
          <t>PANDULANG</t>
        </is>
      </c>
      <c r="B79" t="inlineStr">
        <is>
          <t>Kab. Ogan Komering Ulu</t>
        </is>
      </c>
      <c r="C79" t="inlineStr">
        <is>
          <t>-</t>
        </is>
      </c>
      <c r="D79" t="inlineStr">
        <is>
          <t>andata.zahrius.02@gmail.com</t>
        </is>
      </c>
      <c r="E79" t="inlineStr">
        <is>
          <t>https://lpjk.pu.go.id/search-badan-usaha-detail/cy8yV0RhOFJwZVdOQ01tSTVrZFppZz09</t>
        </is>
      </c>
      <c r="F79" t="n">
        <v>2</v>
      </c>
      <c r="G79" t="inlineStr">
        <is>
          <t>BG001, BG009</t>
        </is>
      </c>
      <c r="H79" t="inlineStr">
        <is>
          <t>6 Januari 2020</t>
        </is>
      </c>
      <c r="I79" s="2" t="n">
        <v>46332</v>
      </c>
      <c r="J79" t="inlineStr">
        <is>
          <t>Disetujui</t>
        </is>
      </c>
      <c r="K79" t="n">
        <v>60</v>
      </c>
      <c r="L79" t="inlineStr">
        <is>
          <t>6 November 2026</t>
        </is>
      </c>
      <c r="M79" t="inlineStr">
        <is>
          <t>Konstruksi Gedung Hunian, Konstruksi Gedung Lainnya</t>
        </is>
      </c>
      <c r="N79" t="inlineStr">
        <is>
          <t>K</t>
        </is>
      </c>
      <c r="O79" t="inlineStr">
        <is>
          <t>20231106</t>
        </is>
      </c>
      <c r="P79" t="inlineStr">
        <is>
          <t>Sumatera Selatan</t>
        </is>
      </c>
      <c r="Q79" t="inlineStr"/>
    </row>
    <row r="80">
      <c r="A80" t="inlineStr">
        <is>
          <t>PIJAR MULYA WISESA</t>
        </is>
      </c>
      <c r="B80" t="inlineStr">
        <is>
          <t>Kota Semarang</t>
        </is>
      </c>
      <c r="C80" t="inlineStr">
        <is>
          <t>085226006363</t>
        </is>
      </c>
      <c r="D80" t="inlineStr">
        <is>
          <t>pijarmulyawisesa@gmail.com</t>
        </is>
      </c>
      <c r="E80" t="inlineStr">
        <is>
          <t>https://lpjk.pu.go.id/search-badan-usaha-detail/TlhOTmxScW9tYnZ0anhDK0NYakVndz09</t>
        </is>
      </c>
      <c r="F80" t="n">
        <v>1</v>
      </c>
      <c r="G80" t="inlineStr">
        <is>
          <t>RK005</t>
        </is>
      </c>
      <c r="H80" t="inlineStr">
        <is>
          <t>11 Februari 2016</t>
        </is>
      </c>
      <c r="I80" s="2" t="n">
        <v>46332</v>
      </c>
      <c r="J80" t="inlineStr">
        <is>
          <t>Disetujui</t>
        </is>
      </c>
      <c r="K80" t="n">
        <v>60</v>
      </c>
      <c r="L80" t="inlineStr">
        <is>
          <t>6 November 2026</t>
        </is>
      </c>
      <c r="M80" t="inlineStr">
        <is>
          <t>Jasa Rekayasa Lainnya</t>
        </is>
      </c>
      <c r="N80" t="inlineStr">
        <is>
          <t>K</t>
        </is>
      </c>
      <c r="O80" t="inlineStr">
        <is>
          <t>20231016</t>
        </is>
      </c>
      <c r="P80" t="inlineStr">
        <is>
          <t>Jawa Tengah</t>
        </is>
      </c>
      <c r="Q80" t="inlineStr"/>
    </row>
    <row r="81">
      <c r="A81" t="inlineStr">
        <is>
          <t>PILAR LINTANG PRATAMA</t>
        </is>
      </c>
      <c r="B81" t="inlineStr">
        <is>
          <t>Kab. Gresik</t>
        </is>
      </c>
      <c r="C81" t="inlineStr">
        <is>
          <t>082169034352</t>
        </is>
      </c>
      <c r="D81" t="inlineStr">
        <is>
          <t>pilar_plp@yahoo.com</t>
        </is>
      </c>
      <c r="E81" t="inlineStr">
        <is>
          <t>https://lpjk.pu.go.id/search-badan-usaha-detail/WS9mZWQ1Y3Qwek94aWcwQVlxOVoxdz09</t>
        </is>
      </c>
      <c r="F81" t="n">
        <v>1</v>
      </c>
      <c r="G81" t="inlineStr">
        <is>
          <t>BS001</t>
        </is>
      </c>
      <c r="H81" t="inlineStr">
        <is>
          <t>14 November 2011</t>
        </is>
      </c>
      <c r="I81" s="2" t="n">
        <v>46332</v>
      </c>
      <c r="J81" t="inlineStr">
        <is>
          <t>Disetujui</t>
        </is>
      </c>
      <c r="K81" t="n">
        <v>60</v>
      </c>
      <c r="L81" t="inlineStr">
        <is>
          <t>6 November 2026</t>
        </is>
      </c>
      <c r="M81" t="inlineStr">
        <is>
          <t>Konstruksi Bangunan Sipil Jalan</t>
        </is>
      </c>
      <c r="N81" t="inlineStr">
        <is>
          <t>M</t>
        </is>
      </c>
      <c r="O81" t="inlineStr">
        <is>
          <t>20231102</t>
        </is>
      </c>
      <c r="P81" t="inlineStr">
        <is>
          <t>Jawa Timur</t>
        </is>
      </c>
      <c r="Q81" t="inlineStr"/>
    </row>
    <row r="82">
      <c r="A82" t="inlineStr">
        <is>
          <t>PRADANA EKA PERKASA</t>
        </is>
      </c>
      <c r="B82" t="inlineStr">
        <is>
          <t>Kab. Bojonegoro</t>
        </is>
      </c>
      <c r="C82" t="inlineStr">
        <is>
          <t>081239000458</t>
        </is>
      </c>
      <c r="D82" t="inlineStr">
        <is>
          <t>pradanaekaperkasa@gmail.com</t>
        </is>
      </c>
      <c r="E82" t="inlineStr">
        <is>
          <t>https://lpjk.pu.go.id/search-badan-usaha-detail/cGpSUW1YZmlSR2hmUjFpWi9ESUxkUT09</t>
        </is>
      </c>
      <c r="F82" t="n">
        <v>1</v>
      </c>
      <c r="G82" t="inlineStr">
        <is>
          <t>BS002</t>
        </is>
      </c>
      <c r="H82" t="inlineStr">
        <is>
          <t>9 September 2023</t>
        </is>
      </c>
      <c r="I82" s="2" t="n">
        <v>46332</v>
      </c>
      <c r="J82" t="inlineStr">
        <is>
          <t>Disetujui</t>
        </is>
      </c>
      <c r="K82" t="n">
        <v>60</v>
      </c>
      <c r="L82" t="inlineStr">
        <is>
          <t>6 November 2026</t>
        </is>
      </c>
      <c r="M82" t="inlineStr">
        <is>
          <t>Bangunan Sipil Jembatan, Jalan Layang, Fly Over, dan Underpass</t>
        </is>
      </c>
      <c r="N82" t="inlineStr">
        <is>
          <t>K</t>
        </is>
      </c>
      <c r="O82" t="inlineStr">
        <is>
          <t>20231106</t>
        </is>
      </c>
      <c r="P82" t="inlineStr">
        <is>
          <t>Jawa Timur</t>
        </is>
      </c>
      <c r="Q82" t="inlineStr"/>
    </row>
    <row r="83">
      <c r="A83" t="inlineStr">
        <is>
          <t>PUTERA TRI KARYA</t>
        </is>
      </c>
      <c r="B83" t="inlineStr">
        <is>
          <t>Kota Banjarbaru</t>
        </is>
      </c>
      <c r="C83" t="inlineStr">
        <is>
          <t>081254191234</t>
        </is>
      </c>
      <c r="D83" t="inlineStr">
        <is>
          <t>cv.p3karya@gmail.com</t>
        </is>
      </c>
      <c r="E83" t="inlineStr">
        <is>
          <t>https://lpjk.pu.go.id/search-badan-usaha-detail/b2twY09FdkQwZ2Rkbko5TU1KMTFxQT09</t>
        </is>
      </c>
      <c r="F83" t="n">
        <v>6</v>
      </c>
      <c r="G83" t="inlineStr">
        <is>
          <t>BG001, BG002, BG004, BG009, BS010, BS011</t>
        </is>
      </c>
      <c r="H83" t="inlineStr">
        <is>
          <t>16 Januari 2006</t>
        </is>
      </c>
      <c r="I83" s="2" t="n">
        <v>46332</v>
      </c>
      <c r="J83" t="inlineStr">
        <is>
          <t>Disetujui</t>
        </is>
      </c>
      <c r="K83" t="n">
        <v>60</v>
      </c>
      <c r="L83" t="inlineStr">
        <is>
          <t>6 November 2026</t>
        </is>
      </c>
      <c r="M83" t="inlineStr">
        <is>
          <t>Konstruksi Bangunan Pelabuhan Bukan Perikanan, Konstruksi Bangunan Prasarana Sumber Daya Air, Konstruksi Gedung Hunian, Konstruksi Gedung Lainnya, Konstruksi Gedung Perbelanjaan, Konstruksi Gedung Perkantoran</t>
        </is>
      </c>
      <c r="N83" t="inlineStr">
        <is>
          <t>K</t>
        </is>
      </c>
      <c r="O83" t="inlineStr">
        <is>
          <t>20231103, 20231106, 20231107</t>
        </is>
      </c>
      <c r="P83" t="inlineStr">
        <is>
          <t>Kalimantan Selatan</t>
        </is>
      </c>
      <c r="Q83" t="inlineStr"/>
    </row>
    <row r="84">
      <c r="A84" t="inlineStr">
        <is>
          <t>PUTRA AGUNG</t>
        </is>
      </c>
      <c r="B84" t="inlineStr">
        <is>
          <t>Kab. Subang</t>
        </is>
      </c>
      <c r="C84" t="inlineStr">
        <is>
          <t>081394815809</t>
        </is>
      </c>
      <c r="D84" t="inlineStr">
        <is>
          <t>putraagungcv51@gmail.com</t>
        </is>
      </c>
      <c r="E84" t="inlineStr">
        <is>
          <t>https://lpjk.pu.go.id/search-badan-usaha-detail/TGR5ekdBd0VoTEp2Q2RoOVdWTlVVQT09</t>
        </is>
      </c>
      <c r="F84" t="n">
        <v>1</v>
      </c>
      <c r="G84" t="inlineStr">
        <is>
          <t>BS010</t>
        </is>
      </c>
      <c r="H84" t="inlineStr">
        <is>
          <t>1 Juni 1979</t>
        </is>
      </c>
      <c r="I84" s="2" t="n">
        <v>46332</v>
      </c>
      <c r="J84" t="inlineStr">
        <is>
          <t>Disetujui</t>
        </is>
      </c>
      <c r="K84" t="n">
        <v>60</v>
      </c>
      <c r="L84" t="inlineStr">
        <is>
          <t>6 November 2026</t>
        </is>
      </c>
      <c r="M84" t="inlineStr">
        <is>
          <t>Konstruksi Bangunan Prasarana Sumber Daya Air</t>
        </is>
      </c>
      <c r="N84" t="inlineStr">
        <is>
          <t>K</t>
        </is>
      </c>
      <c r="O84" t="inlineStr">
        <is>
          <t>20231102</t>
        </is>
      </c>
      <c r="P84" t="inlineStr">
        <is>
          <t>Jawa Barat</t>
        </is>
      </c>
      <c r="Q84" t="inlineStr"/>
    </row>
    <row r="85">
      <c r="A85" t="inlineStr">
        <is>
          <t>PUTRA PALLANGGA TIMUR</t>
        </is>
      </c>
      <c r="B85" t="inlineStr">
        <is>
          <t>Kab. Gowa</t>
        </is>
      </c>
      <c r="C85" t="inlineStr">
        <is>
          <t>082208203353</t>
        </is>
      </c>
      <c r="D85" t="inlineStr">
        <is>
          <t>pt.putrapallanggatimur99@gmail.com</t>
        </is>
      </c>
      <c r="E85" t="inlineStr">
        <is>
          <t>https://lpjk.pu.go.id/search-badan-usaha-detail/M1BMdkdHaEVCYkdFM2FhZVBDcHRKZz09</t>
        </is>
      </c>
      <c r="F85" t="n">
        <v>1</v>
      </c>
      <c r="G85" t="inlineStr">
        <is>
          <t>BS001</t>
        </is>
      </c>
      <c r="H85" t="inlineStr">
        <is>
          <t>1 November 2017</t>
        </is>
      </c>
      <c r="I85" s="2" t="n">
        <v>46332</v>
      </c>
      <c r="J85" t="inlineStr">
        <is>
          <t>Disetujui</t>
        </is>
      </c>
      <c r="K85" t="n">
        <v>60</v>
      </c>
      <c r="L85" t="inlineStr">
        <is>
          <t>6 November 2026</t>
        </is>
      </c>
      <c r="M85" t="inlineStr">
        <is>
          <t>Konstruksi Bangunan Sipil Jalan</t>
        </is>
      </c>
      <c r="N85" t="inlineStr">
        <is>
          <t>K</t>
        </is>
      </c>
      <c r="O85" t="inlineStr">
        <is>
          <t>20231106</t>
        </is>
      </c>
      <c r="P85" t="inlineStr">
        <is>
          <t>Sulawesi Selatan</t>
        </is>
      </c>
      <c r="Q85" t="inlineStr"/>
    </row>
    <row r="86">
      <c r="A86" t="inlineStr">
        <is>
          <t>PUTRI PRINGGA BAYA</t>
        </is>
      </c>
      <c r="B86" t="inlineStr">
        <is>
          <t>Kab. Indramayu</t>
        </is>
      </c>
      <c r="C86" t="inlineStr">
        <is>
          <t>08122077031</t>
        </is>
      </c>
      <c r="D86" t="inlineStr">
        <is>
          <t>putri_pringgabaya.pt@yahoo.com</t>
        </is>
      </c>
      <c r="E86" t="inlineStr">
        <is>
          <t>https://lpjk.pu.go.id/search-badan-usaha-detail/eFNSSWhBSjJhNVFJNUQvOU9GdVdKdz09</t>
        </is>
      </c>
      <c r="F86" t="n">
        <v>1</v>
      </c>
      <c r="G86" t="inlineStr">
        <is>
          <t>BS010</t>
        </is>
      </c>
      <c r="H86" t="inlineStr">
        <is>
          <t>17 Desember 2014</t>
        </is>
      </c>
      <c r="I86" s="2" t="n">
        <v>46332</v>
      </c>
      <c r="J86" t="inlineStr">
        <is>
          <t>Disetujui</t>
        </is>
      </c>
      <c r="K86" t="n">
        <v>60</v>
      </c>
      <c r="L86" t="inlineStr">
        <is>
          <t>6 November 2026</t>
        </is>
      </c>
      <c r="M86" t="inlineStr">
        <is>
          <t>Konstruksi Bangunan Prasarana Sumber Daya Air</t>
        </is>
      </c>
      <c r="N86" t="inlineStr">
        <is>
          <t>K</t>
        </is>
      </c>
      <c r="O86" t="inlineStr">
        <is>
          <t>20231103</t>
        </is>
      </c>
      <c r="P86" t="inlineStr">
        <is>
          <t>Jawa Barat</t>
        </is>
      </c>
      <c r="Q86" t="inlineStr"/>
    </row>
    <row r="87">
      <c r="A87" t="inlineStr">
        <is>
          <t>RADHIKA KARSA</t>
        </is>
      </c>
      <c r="B87" t="inlineStr">
        <is>
          <t>Kab. Sleman</t>
        </is>
      </c>
      <c r="C87" t="inlineStr">
        <is>
          <t>081250066066</t>
        </is>
      </c>
      <c r="D87" t="inlineStr">
        <is>
          <t>radhikakarsa@gmail.com</t>
        </is>
      </c>
      <c r="E87" t="inlineStr">
        <is>
          <t>https://lpjk.pu.go.id/search-badan-usaha-detail/YTFxUXVDSzFYRVpIcUdReThCODJEQT09</t>
        </is>
      </c>
      <c r="F87" t="n">
        <v>3</v>
      </c>
      <c r="G87" t="inlineStr">
        <is>
          <t>BG002, BG006, BS001</t>
        </is>
      </c>
      <c r="H87" t="inlineStr">
        <is>
          <t>21 Juni 2023</t>
        </is>
      </c>
      <c r="I87" s="2" t="n">
        <v>46332</v>
      </c>
      <c r="J87" t="inlineStr">
        <is>
          <t>Disetujui</t>
        </is>
      </c>
      <c r="K87" t="n">
        <v>60</v>
      </c>
      <c r="L87" t="inlineStr">
        <is>
          <t>6 November 2026</t>
        </is>
      </c>
      <c r="M87" t="inlineStr">
        <is>
          <t>Konstruksi Bangunan Sipil Jalan, Konstruksi Gedung Pendidikan, Konstruksi Gedung Perkantoran</t>
        </is>
      </c>
      <c r="N87" t="inlineStr">
        <is>
          <t>K</t>
        </is>
      </c>
      <c r="O87" t="inlineStr">
        <is>
          <t>20231102</t>
        </is>
      </c>
      <c r="P87" t="inlineStr">
        <is>
          <t>DI Yogyakarta</t>
        </is>
      </c>
      <c r="Q87" t="inlineStr"/>
    </row>
    <row r="88">
      <c r="A88" t="inlineStr">
        <is>
          <t>RADITYA PUTRA</t>
        </is>
      </c>
      <c r="B88" t="inlineStr">
        <is>
          <t>Kab. Subang</t>
        </is>
      </c>
      <c r="C88" t="inlineStr">
        <is>
          <t>085222755880</t>
        </is>
      </c>
      <c r="D88" t="inlineStr">
        <is>
          <t>radityaputracv@gmail.com</t>
        </is>
      </c>
      <c r="E88" t="inlineStr">
        <is>
          <t>https://lpjk.pu.go.id/search-badan-usaha-detail/RHM0cnY2WFFDa1R4NWhRQkEzWXR4Zz09</t>
        </is>
      </c>
      <c r="F88" t="n">
        <v>2</v>
      </c>
      <c r="G88" t="inlineStr">
        <is>
          <t>BS001, BS004</t>
        </is>
      </c>
      <c r="H88" t="inlineStr">
        <is>
          <t>1 Februari 2013</t>
        </is>
      </c>
      <c r="I88" s="2" t="n">
        <v>46332</v>
      </c>
      <c r="J88" t="inlineStr">
        <is>
          <t>Disetujui</t>
        </is>
      </c>
      <c r="K88" t="n">
        <v>60</v>
      </c>
      <c r="L88" t="inlineStr">
        <is>
          <t>6 November 2026</t>
        </is>
      </c>
      <c r="M88" t="inlineStr">
        <is>
          <t>Konstruksi Bangunan Sipil Jalan, Konstruksi Jaringan Irigasi dan Drainase</t>
        </is>
      </c>
      <c r="N88" t="inlineStr">
        <is>
          <t>K</t>
        </is>
      </c>
      <c r="O88" t="inlineStr">
        <is>
          <t>20231031</t>
        </is>
      </c>
      <c r="P88" t="inlineStr">
        <is>
          <t>Jawa Barat</t>
        </is>
      </c>
      <c r="Q88" t="inlineStr"/>
    </row>
    <row r="89">
      <c r="A89" t="inlineStr">
        <is>
          <t>RAHMAD HANJAYA PROPERTINDO</t>
        </is>
      </c>
      <c r="B89" t="inlineStr">
        <is>
          <t>Kab. Langkat</t>
        </is>
      </c>
      <c r="C89" t="inlineStr">
        <is>
          <t>082267920588</t>
        </is>
      </c>
      <c r="D89" t="inlineStr">
        <is>
          <t>hanjayapropertindo@gmail.com</t>
        </is>
      </c>
      <c r="E89" t="inlineStr">
        <is>
          <t>https://lpjk.pu.go.id/search-badan-usaha-detail/QjhmbHFTRnAwUXFQS095TDd3dmZpUT09</t>
        </is>
      </c>
      <c r="F89" t="n">
        <v>2</v>
      </c>
      <c r="G89" t="inlineStr">
        <is>
          <t>BG001</t>
        </is>
      </c>
      <c r="H89" t="inlineStr">
        <is>
          <t>20 Juni 2023</t>
        </is>
      </c>
      <c r="I89" s="2" t="n">
        <v>46332</v>
      </c>
      <c r="J89" t="inlineStr">
        <is>
          <t>Disetujui</t>
        </is>
      </c>
      <c r="K89" t="n">
        <v>60</v>
      </c>
      <c r="L89" t="inlineStr">
        <is>
          <t>6 November 2026</t>
        </is>
      </c>
      <c r="M89" t="inlineStr">
        <is>
          <t>Konstruksi Gedung Hunian</t>
        </is>
      </c>
      <c r="N89" t="inlineStr">
        <is>
          <t>K</t>
        </is>
      </c>
      <c r="O89" t="inlineStr">
        <is>
          <t>20231106</t>
        </is>
      </c>
      <c r="P89" t="inlineStr">
        <is>
          <t>Sumatera Utara</t>
        </is>
      </c>
      <c r="Q89" t="inlineStr"/>
    </row>
    <row r="90">
      <c r="A90" t="inlineStr">
        <is>
          <t>RAMA SHINTA</t>
        </is>
      </c>
      <c r="B90" t="inlineStr">
        <is>
          <t>Kab. Bandung Barat</t>
        </is>
      </c>
      <c r="C90" t="inlineStr">
        <is>
          <t>082216222800</t>
        </is>
      </c>
      <c r="D90" t="inlineStr">
        <is>
          <t>ramashinta.cv@yahoo.com</t>
        </is>
      </c>
      <c r="E90" t="inlineStr">
        <is>
          <t>https://lpjk.pu.go.id/search-badan-usaha-detail/bHFlQjZ5a3I2UUpaMjQyN3oyaTJGZz09</t>
        </is>
      </c>
      <c r="F90" t="n">
        <v>2</v>
      </c>
      <c r="G90" t="inlineStr">
        <is>
          <t>BG006, BS001</t>
        </is>
      </c>
      <c r="H90" t="inlineStr">
        <is>
          <t>7 Februari 2020</t>
        </is>
      </c>
      <c r="I90" s="2" t="n">
        <v>46332</v>
      </c>
      <c r="J90" t="inlineStr">
        <is>
          <t>Disetujui</t>
        </is>
      </c>
      <c r="K90" t="n">
        <v>60</v>
      </c>
      <c r="L90" t="inlineStr">
        <is>
          <t>6 November 2026</t>
        </is>
      </c>
      <c r="M90" t="inlineStr">
        <is>
          <t>Konstruksi Bangunan Sipil Jalan, Konstruksi Gedung Pendidikan</t>
        </is>
      </c>
      <c r="N90" t="inlineStr">
        <is>
          <t>K</t>
        </is>
      </c>
      <c r="O90" t="inlineStr">
        <is>
          <t>20231021, 20231101</t>
        </is>
      </c>
      <c r="P90" t="inlineStr">
        <is>
          <t>Jawa Barat</t>
        </is>
      </c>
      <c r="Q90" t="inlineStr"/>
    </row>
    <row r="91">
      <c r="A91" t="inlineStr">
        <is>
          <t>RAMLY ABADI PUTRA</t>
        </is>
      </c>
      <c r="B91" t="inlineStr">
        <is>
          <t>Kab. Sukabumi</t>
        </is>
      </c>
      <c r="C91" t="inlineStr">
        <is>
          <t>081382229993</t>
        </is>
      </c>
      <c r="D91" t="inlineStr">
        <is>
          <t>ramliabadiputra@gmail.com</t>
        </is>
      </c>
      <c r="E91" t="inlineStr">
        <is>
          <t>https://lpjk.pu.go.id/search-badan-usaha-detail/M3k5UkdacE1CMmFRU3VOYmdUUEtWUT09</t>
        </is>
      </c>
      <c r="F91" t="n">
        <v>5</v>
      </c>
      <c r="G91" t="inlineStr">
        <is>
          <t>BG004, BG006, BS001, BS004, BS016</t>
        </is>
      </c>
      <c r="H91" t="inlineStr">
        <is>
          <t>30 April 2009</t>
        </is>
      </c>
      <c r="I91" s="2" t="n">
        <v>46332</v>
      </c>
      <c r="J91" t="inlineStr">
        <is>
          <t>Disetujui</t>
        </is>
      </c>
      <c r="K91" t="n">
        <v>60</v>
      </c>
      <c r="L91" t="inlineStr">
        <is>
          <t>6 November 2026</t>
        </is>
      </c>
      <c r="M91" t="inlineStr">
        <is>
          <t>Konstruksi Bangunan Sipil Fasilitas Olah Raga, Konstruksi Bangunan Sipil Jalan, Konstruksi Gedung Pendidikan, Konstruksi Gedung Perbelanjaan, Konstruksi Jaringan Irigasi dan Drainase</t>
        </is>
      </c>
      <c r="N91" t="inlineStr">
        <is>
          <t>K</t>
        </is>
      </c>
      <c r="O91" t="inlineStr">
        <is>
          <t>20231106, 20231107</t>
        </is>
      </c>
      <c r="P91" t="inlineStr">
        <is>
          <t>Jawa Barat</t>
        </is>
      </c>
      <c r="Q91" t="inlineStr"/>
    </row>
    <row r="92">
      <c r="A92" t="inlineStr">
        <is>
          <t>RAYYAN</t>
        </is>
      </c>
      <c r="B92" t="inlineStr">
        <is>
          <t>Kota Palembang</t>
        </is>
      </c>
      <c r="C92" t="inlineStr">
        <is>
          <t>081377960009</t>
        </is>
      </c>
      <c r="D92" t="inlineStr">
        <is>
          <t>cv.rayyan34@yahoo.com</t>
        </is>
      </c>
      <c r="E92" t="inlineStr">
        <is>
          <t>https://lpjk.pu.go.id/search-badan-usaha-detail/TFprSG9xcldHZUdnWnhpUnlYYlY3Zz09</t>
        </is>
      </c>
      <c r="F92" t="n">
        <v>8</v>
      </c>
      <c r="G92" t="inlineStr">
        <is>
          <t>BG001, BG002, BG006, BG009</t>
        </is>
      </c>
      <c r="H92" t="inlineStr">
        <is>
          <t>29 September 2000</t>
        </is>
      </c>
      <c r="I92" s="2" t="n">
        <v>46332</v>
      </c>
      <c r="J92" t="inlineStr">
        <is>
          <t>Disetujui</t>
        </is>
      </c>
      <c r="K92" t="n">
        <v>60</v>
      </c>
      <c r="L92" t="inlineStr">
        <is>
          <t>6 November 2026</t>
        </is>
      </c>
      <c r="M92" t="inlineStr">
        <is>
          <t>Konstruksi Gedung Hunian, Konstruksi Gedung Lainnya, Konstruksi Gedung Pendidikan, Konstruksi Gedung Perkantoran</t>
        </is>
      </c>
      <c r="N92" t="inlineStr">
        <is>
          <t>K</t>
        </is>
      </c>
      <c r="O92" t="inlineStr">
        <is>
          <t>20230707, 20231106, 20231107</t>
        </is>
      </c>
      <c r="P92" t="inlineStr">
        <is>
          <t>Sumatera Selatan</t>
        </is>
      </c>
      <c r="Q92" t="inlineStr"/>
    </row>
    <row r="93">
      <c r="A93" t="inlineStr">
        <is>
          <t>REKAYASA TAKABEYA</t>
        </is>
      </c>
      <c r="B93" t="inlineStr">
        <is>
          <t>Kota Padang</t>
        </is>
      </c>
      <c r="C93" t="inlineStr">
        <is>
          <t>082388498181</t>
        </is>
      </c>
      <c r="D93" t="inlineStr">
        <is>
          <t>rekayasatakabeya@gmail.com</t>
        </is>
      </c>
      <c r="E93" t="inlineStr">
        <is>
          <t>https://lpjk.pu.go.id/search-badan-usaha-detail/dlZ4d1I3cFpES295OWU3Yit4MUV0Zz09</t>
        </is>
      </c>
      <c r="F93" t="n">
        <v>2</v>
      </c>
      <c r="G93" t="inlineStr">
        <is>
          <t>BS001</t>
        </is>
      </c>
      <c r="H93" t="inlineStr">
        <is>
          <t>3 Januari 2020</t>
        </is>
      </c>
      <c r="I93" s="2" t="n">
        <v>46332</v>
      </c>
      <c r="J93" t="inlineStr">
        <is>
          <t>Disetujui</t>
        </is>
      </c>
      <c r="K93" t="n">
        <v>60</v>
      </c>
      <c r="L93" t="inlineStr">
        <is>
          <t>6 November 2026</t>
        </is>
      </c>
      <c r="M93" t="inlineStr">
        <is>
          <t>Konstruksi Bangunan Sipil Jalan</t>
        </is>
      </c>
      <c r="N93" t="inlineStr">
        <is>
          <t>K</t>
        </is>
      </c>
      <c r="O93" t="inlineStr">
        <is>
          <t>20231103</t>
        </is>
      </c>
      <c r="P93" t="inlineStr">
        <is>
          <t>Sumatera Barat</t>
        </is>
      </c>
      <c r="Q93" t="inlineStr"/>
    </row>
    <row r="94">
      <c r="A94" t="inlineStr">
        <is>
          <t>REKSA ABADI BERSAMA</t>
        </is>
      </c>
      <c r="B94" t="inlineStr">
        <is>
          <t>Kab. Sidoarjo</t>
        </is>
      </c>
      <c r="C94" t="inlineStr">
        <is>
          <t>081938400978</t>
        </is>
      </c>
      <c r="D94" t="inlineStr">
        <is>
          <t>reksaabadigroup@yahoo.co.id</t>
        </is>
      </c>
      <c r="E94" t="inlineStr">
        <is>
          <t>https://lpjk.pu.go.id/search-badan-usaha-detail/eDk2RkFBbVpvZ3VVc1IzRmFQRnh4Zz09</t>
        </is>
      </c>
      <c r="F94" t="n">
        <v>3</v>
      </c>
      <c r="G94" t="inlineStr">
        <is>
          <t>BG002, BG005, BS006</t>
        </is>
      </c>
      <c r="H94" t="inlineStr">
        <is>
          <t>6 Agustus 2014</t>
        </is>
      </c>
      <c r="I94" s="2" t="n">
        <v>46332</v>
      </c>
      <c r="J94" t="inlineStr">
        <is>
          <t>Disetujui</t>
        </is>
      </c>
      <c r="K94" t="n">
        <v>60</v>
      </c>
      <c r="L94" t="inlineStr">
        <is>
          <t>6 November 2026</t>
        </is>
      </c>
      <c r="M94" t="inlineStr">
        <is>
          <t>Konstruksi Bangunan Sipil Prasarana dan Sarana Sistem Pengolahan Limbah Padat, Cair, dan Gas, Konstruksi Gedung Kesehatan, Konstruksi Gedung Perkantoran</t>
        </is>
      </c>
      <c r="N94" t="inlineStr">
        <is>
          <t>K</t>
        </is>
      </c>
      <c r="O94" t="inlineStr">
        <is>
          <t>20231015, 20231017, 20231109</t>
        </is>
      </c>
      <c r="P94" t="inlineStr">
        <is>
          <t>Jawa Timur</t>
        </is>
      </c>
      <c r="Q94" t="inlineStr"/>
    </row>
    <row r="95">
      <c r="A95" t="inlineStr">
        <is>
          <t>REMAJA BANGUN KENCANA KONTRAKTOR</t>
        </is>
      </c>
      <c r="B95" t="inlineStr">
        <is>
          <t>Kota Adm. Jakarta Barat</t>
        </is>
      </c>
      <c r="C95" t="inlineStr">
        <is>
          <t>0215669808</t>
        </is>
      </c>
      <c r="D95" t="inlineStr">
        <is>
          <t>headoff@rabana.famili.com</t>
        </is>
      </c>
      <c r="E95" t="inlineStr">
        <is>
          <t>https://lpjk.pu.go.id/search-badan-usaha-detail/ZzVlaWZPU0MzUTI4ZXNGdHpHNGROZz09</t>
        </is>
      </c>
      <c r="F95" t="n">
        <v>2</v>
      </c>
      <c r="G95" t="inlineStr">
        <is>
          <t>IN001, IN004</t>
        </is>
      </c>
      <c r="H95" t="inlineStr">
        <is>
          <t>16 Mei 1991</t>
        </is>
      </c>
      <c r="I95" s="2" t="n">
        <v>46332</v>
      </c>
      <c r="J95" t="inlineStr">
        <is>
          <t>Disetujui</t>
        </is>
      </c>
      <c r="K95" t="n">
        <v>60</v>
      </c>
      <c r="L95" t="inlineStr">
        <is>
          <t>6 November 2026</t>
        </is>
      </c>
      <c r="M95" t="inlineStr">
        <is>
          <t>Instalasi Mekanikal, Instalasi Minyak dan Gas</t>
        </is>
      </c>
      <c r="N95" t="inlineStr">
        <is>
          <t>Spesialis</t>
        </is>
      </c>
      <c r="O95" t="inlineStr">
        <is>
          <t>20230810, 20230815</t>
        </is>
      </c>
      <c r="P95" t="inlineStr">
        <is>
          <t>DKI Jakarta</t>
        </is>
      </c>
      <c r="Q95" t="inlineStr"/>
    </row>
    <row r="96">
      <c r="A96" t="inlineStr">
        <is>
          <t>ROYAL MADANIA</t>
        </is>
      </c>
      <c r="B96" t="inlineStr">
        <is>
          <t>Kota Bandar Lampung</t>
        </is>
      </c>
      <c r="C96" t="inlineStr">
        <is>
          <t>082160071258</t>
        </is>
      </c>
      <c r="D96" t="inlineStr">
        <is>
          <t>Cv.royalmadania@gmail.com</t>
        </is>
      </c>
      <c r="E96" t="inlineStr">
        <is>
          <t>https://lpjk.pu.go.id/search-badan-usaha-detail/NzJVN3FXZG1UVnQ2TlZuM0x1TE8wQT09</t>
        </is>
      </c>
      <c r="F96" t="n">
        <v>1</v>
      </c>
      <c r="G96" t="inlineStr">
        <is>
          <t>BS001</t>
        </is>
      </c>
      <c r="H96" t="inlineStr">
        <is>
          <t>20 Maret 2023</t>
        </is>
      </c>
      <c r="I96" s="2" t="n">
        <v>46332</v>
      </c>
      <c r="J96" t="inlineStr">
        <is>
          <t>Disetujui</t>
        </is>
      </c>
      <c r="K96" t="n">
        <v>60</v>
      </c>
      <c r="L96" t="inlineStr">
        <is>
          <t>6 November 2026</t>
        </is>
      </c>
      <c r="M96" t="inlineStr">
        <is>
          <t>Konstruksi Bangunan Sipil Jalan</t>
        </is>
      </c>
      <c r="N96" t="inlineStr">
        <is>
          <t>K</t>
        </is>
      </c>
      <c r="O96" t="inlineStr">
        <is>
          <t>20231103</t>
        </is>
      </c>
      <c r="P96" t="inlineStr">
        <is>
          <t>Lampung</t>
        </is>
      </c>
      <c r="Q96" t="inlineStr"/>
    </row>
    <row r="97">
      <c r="A97" t="inlineStr">
        <is>
          <t>SAHABAT SARANA KONSTRUKSI</t>
        </is>
      </c>
      <c r="B97" t="inlineStr">
        <is>
          <t>Kab. Muara Enim</t>
        </is>
      </c>
      <c r="C97" t="inlineStr">
        <is>
          <t>082181718227</t>
        </is>
      </c>
      <c r="D97" t="inlineStr">
        <is>
          <t>sahabatsaranakonstruksi@gmail.com</t>
        </is>
      </c>
      <c r="E97" t="inlineStr">
        <is>
          <t>https://lpjk.pu.go.id/search-badan-usaha-detail/akVOdFcwaUQzVXF5c2NZUFdadnZQQT09</t>
        </is>
      </c>
      <c r="F97" t="n">
        <v>1</v>
      </c>
      <c r="G97" t="inlineStr">
        <is>
          <t>BS001</t>
        </is>
      </c>
      <c r="H97" t="inlineStr">
        <is>
          <t>24 Maret 2020</t>
        </is>
      </c>
      <c r="I97" s="2" t="n">
        <v>46332</v>
      </c>
      <c r="J97" t="inlineStr">
        <is>
          <t>Disetujui</t>
        </is>
      </c>
      <c r="K97" t="n">
        <v>60</v>
      </c>
      <c r="L97" t="inlineStr">
        <is>
          <t>6 November 2026</t>
        </is>
      </c>
      <c r="M97" t="inlineStr">
        <is>
          <t>Konstruksi Bangunan Sipil Jalan</t>
        </is>
      </c>
      <c r="N97" t="inlineStr">
        <is>
          <t>K</t>
        </is>
      </c>
      <c r="O97" t="inlineStr">
        <is>
          <t>20231106</t>
        </is>
      </c>
      <c r="P97" t="inlineStr">
        <is>
          <t>Sumatera Selatan</t>
        </is>
      </c>
      <c r="Q97" t="inlineStr"/>
    </row>
    <row r="98">
      <c r="A98" t="inlineStr">
        <is>
          <t>SAKA PERANTAS ANDRIANTO</t>
        </is>
      </c>
      <c r="B98" t="inlineStr">
        <is>
          <t>Kab. Banyumas</t>
        </is>
      </c>
      <c r="C98" t="inlineStr">
        <is>
          <t>087798022220</t>
        </is>
      </c>
      <c r="D98" t="inlineStr">
        <is>
          <t>sakaperantas@gmail.com</t>
        </is>
      </c>
      <c r="E98" t="inlineStr">
        <is>
          <t>https://lpjk.pu.go.id/search-badan-usaha-detail/bmZ2YTBhaXJjWnBsVUQyeWxzdE1PUT09</t>
        </is>
      </c>
      <c r="F98" t="n">
        <v>1</v>
      </c>
      <c r="G98" t="inlineStr">
        <is>
          <t>BG009</t>
        </is>
      </c>
      <c r="H98" t="inlineStr">
        <is>
          <t>20 September 2023</t>
        </is>
      </c>
      <c r="I98" s="2" t="n">
        <v>46332</v>
      </c>
      <c r="J98" t="inlineStr">
        <is>
          <t>Disetujui</t>
        </is>
      </c>
      <c r="K98" t="n">
        <v>60</v>
      </c>
      <c r="L98" t="inlineStr">
        <is>
          <t>6 November 2026</t>
        </is>
      </c>
      <c r="M98" t="inlineStr">
        <is>
          <t>Konstruksi Gedung Lainnya</t>
        </is>
      </c>
      <c r="N98" t="inlineStr">
        <is>
          <t>K</t>
        </is>
      </c>
      <c r="O98" t="inlineStr">
        <is>
          <t>20231107</t>
        </is>
      </c>
      <c r="P98" t="inlineStr">
        <is>
          <t>Jawa Tengah</t>
        </is>
      </c>
      <c r="Q98" t="inlineStr"/>
    </row>
    <row r="99">
      <c r="A99" t="inlineStr">
        <is>
          <t>SANDI KALA KALA</t>
        </is>
      </c>
      <c r="B99" t="inlineStr">
        <is>
          <t>Kota Tangerang</t>
        </is>
      </c>
      <c r="C99" t="inlineStr">
        <is>
          <t>02127848165</t>
        </is>
      </c>
      <c r="D99" t="inlineStr">
        <is>
          <t>ptsandikalakala@gmail.com</t>
        </is>
      </c>
      <c r="E99" t="inlineStr">
        <is>
          <t>https://lpjk.pu.go.id/search-badan-usaha-detail/Yjl1azNYL2F1SXJKeEc1Y3BjNlZnZz09</t>
        </is>
      </c>
      <c r="F99" t="n">
        <v>1</v>
      </c>
      <c r="G99" t="inlineStr">
        <is>
          <t>BG002</t>
        </is>
      </c>
      <c r="H99" t="inlineStr">
        <is>
          <t>14 Oktober 2022</t>
        </is>
      </c>
      <c r="I99" s="2" t="n">
        <v>46332</v>
      </c>
      <c r="J99" t="inlineStr">
        <is>
          <t>Disetujui</t>
        </is>
      </c>
      <c r="K99" t="n">
        <v>60</v>
      </c>
      <c r="L99" t="inlineStr">
        <is>
          <t>6 November 2026</t>
        </is>
      </c>
      <c r="M99" t="inlineStr">
        <is>
          <t>Konstruksi Gedung Perkantoran</t>
        </is>
      </c>
      <c r="N99" t="inlineStr">
        <is>
          <t>K</t>
        </is>
      </c>
      <c r="O99" t="inlineStr">
        <is>
          <t>20230724</t>
        </is>
      </c>
      <c r="P99" t="inlineStr">
        <is>
          <t>Banten</t>
        </is>
      </c>
      <c r="Q99" t="inlineStr"/>
    </row>
    <row r="100">
      <c r="A100" t="inlineStr">
        <is>
          <t>SIGMA</t>
        </is>
      </c>
      <c r="B100" t="inlineStr">
        <is>
          <t>Kab. Bangkalan</t>
        </is>
      </c>
      <c r="C100" t="inlineStr">
        <is>
          <t>82333644451</t>
        </is>
      </c>
      <c r="D100" t="inlineStr">
        <is>
          <t>sigmacv_endang@yahoo.com</t>
        </is>
      </c>
      <c r="E100" t="inlineStr">
        <is>
          <t>https://lpjk.pu.go.id/search-badan-usaha-detail/MGxyV1k4V1hHV2NJZFN4NlE3NTcyUT09</t>
        </is>
      </c>
      <c r="F100" t="n">
        <v>4</v>
      </c>
      <c r="G100" t="inlineStr">
        <is>
          <t>BG006, BG009</t>
        </is>
      </c>
      <c r="H100" t="inlineStr">
        <is>
          <t>26 Januari 1982</t>
        </is>
      </c>
      <c r="I100" s="2" t="n">
        <v>46332</v>
      </c>
      <c r="J100" t="inlineStr">
        <is>
          <t>Pencabutan</t>
        </is>
      </c>
      <c r="K100" t="n">
        <v>60</v>
      </c>
      <c r="L100" t="inlineStr">
        <is>
          <t>6 November 2026</t>
        </is>
      </c>
      <c r="M100" t="inlineStr">
        <is>
          <t>Konstruksi Gedung Lainnya, Konstruksi Gedung Pendidikan</t>
        </is>
      </c>
      <c r="N100" t="inlineStr">
        <is>
          <t>K</t>
        </is>
      </c>
      <c r="O100" t="inlineStr">
        <is>
          <t>20231106, 20231107</t>
        </is>
      </c>
      <c r="P100" t="inlineStr">
        <is>
          <t>Jawa Timur</t>
        </is>
      </c>
      <c r="Q100" t="inlineStr"/>
    </row>
    <row r="101">
      <c r="A101" t="inlineStr">
        <is>
          <t>SILVIA</t>
        </is>
      </c>
      <c r="B101" t="inlineStr">
        <is>
          <t>Kab. Murung Raya</t>
        </is>
      </c>
      <c r="C101" t="inlineStr">
        <is>
          <t>0813 4967 1333</t>
        </is>
      </c>
      <c r="D101" t="inlineStr">
        <is>
          <t>cvsilviamura@gmail.com</t>
        </is>
      </c>
      <c r="E101" t="inlineStr">
        <is>
          <t>https://lpjk.pu.go.id/search-badan-usaha-detail/L0czbmEveENYQU9PQTVyTG13T0JGdz09</t>
        </is>
      </c>
      <c r="F101" t="n">
        <v>2</v>
      </c>
      <c r="G101" t="inlineStr">
        <is>
          <t>BG005, BG009</t>
        </is>
      </c>
      <c r="H101" t="inlineStr">
        <is>
          <t>26 Mei 2003</t>
        </is>
      </c>
      <c r="I101" s="2" t="n">
        <v>46332</v>
      </c>
      <c r="J101" t="inlineStr">
        <is>
          <t>Disetujui</t>
        </is>
      </c>
      <c r="K101" t="n">
        <v>60</v>
      </c>
      <c r="L101" t="inlineStr">
        <is>
          <t>6 November 2026</t>
        </is>
      </c>
      <c r="M101" t="inlineStr">
        <is>
          <t>Konstruksi Gedung Kesehatan, Konstruksi Gedung Lainnya</t>
        </is>
      </c>
      <c r="N101" t="inlineStr">
        <is>
          <t>K</t>
        </is>
      </c>
      <c r="O101" t="inlineStr">
        <is>
          <t>20231106, 20231110</t>
        </is>
      </c>
      <c r="P101" t="inlineStr">
        <is>
          <t>Kalimantan Tengah</t>
        </is>
      </c>
      <c r="Q101" t="inlineStr"/>
    </row>
    <row r="102">
      <c r="A102" t="inlineStr">
        <is>
          <t>SINAR HARAPAN</t>
        </is>
      </c>
      <c r="B102" t="inlineStr">
        <is>
          <t>Kab. Barito Kuala</t>
        </is>
      </c>
      <c r="C102" t="inlineStr">
        <is>
          <t>08115119559</t>
        </is>
      </c>
      <c r="D102" t="inlineStr">
        <is>
          <t>sinarharapan.mrb@gmail.com</t>
        </is>
      </c>
      <c r="E102" t="inlineStr">
        <is>
          <t>https://lpjk.pu.go.id/search-badan-usaha-detail/QjRueWRmZnZpbnViTW5lcWFMUUdiUT09</t>
        </is>
      </c>
      <c r="F102" t="n">
        <v>1</v>
      </c>
      <c r="G102" t="inlineStr">
        <is>
          <t>BS001</t>
        </is>
      </c>
      <c r="H102" t="inlineStr">
        <is>
          <t>20 Desember 2000</t>
        </is>
      </c>
      <c r="I102" s="2" t="n">
        <v>46332</v>
      </c>
      <c r="J102" t="inlineStr">
        <is>
          <t>Disetujui</t>
        </is>
      </c>
      <c r="K102" t="n">
        <v>60</v>
      </c>
      <c r="L102" t="inlineStr">
        <is>
          <t>6 November 2026</t>
        </is>
      </c>
      <c r="M102" t="inlineStr">
        <is>
          <t>Konstruksi Bangunan Sipil Jalan</t>
        </is>
      </c>
      <c r="N102" t="inlineStr">
        <is>
          <t>K</t>
        </is>
      </c>
      <c r="O102" t="inlineStr">
        <is>
          <t>20231021</t>
        </is>
      </c>
      <c r="P102" t="inlineStr">
        <is>
          <t>Kalimantan Selatan</t>
        </is>
      </c>
      <c r="Q102" t="inlineStr"/>
    </row>
    <row r="103">
      <c r="A103" t="inlineStr">
        <is>
          <t>SINAR KARYA PUTRA</t>
        </is>
      </c>
      <c r="B103" t="inlineStr">
        <is>
          <t>Kab. Bulungan</t>
        </is>
      </c>
      <c r="C103" t="inlineStr">
        <is>
          <t>082255515720</t>
        </is>
      </c>
      <c r="D103" t="inlineStr">
        <is>
          <t>cv.sinarkaryaputra@gmail.com</t>
        </is>
      </c>
      <c r="E103" t="inlineStr">
        <is>
          <t>https://lpjk.pu.go.id/search-badan-usaha-detail/SnpxdCtKbHJpMFJwN3pTOHluSnRMdz09</t>
        </is>
      </c>
      <c r="F103" t="n">
        <v>1</v>
      </c>
      <c r="G103" t="inlineStr">
        <is>
          <t>BS004</t>
        </is>
      </c>
      <c r="H103" t="inlineStr">
        <is>
          <t>18 Oktober 2023</t>
        </is>
      </c>
      <c r="I103" s="2" t="n">
        <v>46332</v>
      </c>
      <c r="J103" t="inlineStr">
        <is>
          <t>Disetujui</t>
        </is>
      </c>
      <c r="K103" t="n">
        <v>60</v>
      </c>
      <c r="L103" t="inlineStr">
        <is>
          <t>6 November 2026</t>
        </is>
      </c>
      <c r="M103" t="inlineStr">
        <is>
          <t>Konstruksi Jaringan Irigasi dan Drainase</t>
        </is>
      </c>
      <c r="N103" t="inlineStr">
        <is>
          <t>K</t>
        </is>
      </c>
      <c r="O103" t="inlineStr">
        <is>
          <t>20231023</t>
        </is>
      </c>
      <c r="P103" t="inlineStr">
        <is>
          <t>Kalimantan Utara</t>
        </is>
      </c>
      <c r="Q103" t="inlineStr"/>
    </row>
    <row r="104">
      <c r="A104" t="inlineStr">
        <is>
          <t>SINERGI LESTARI KARYA</t>
        </is>
      </c>
      <c r="B104" t="inlineStr">
        <is>
          <t>Kab. Siak</t>
        </is>
      </c>
      <c r="C104" t="inlineStr">
        <is>
          <t>082384386285</t>
        </is>
      </c>
      <c r="D104" t="inlineStr">
        <is>
          <t>sinergilestarikarya@gmail.com</t>
        </is>
      </c>
      <c r="E104" t="inlineStr">
        <is>
          <t>https://lpjk.pu.go.id/search-badan-usaha-detail/L0IwMlF6VzlkLyttWStNZlRiR1pIZz09</t>
        </is>
      </c>
      <c r="F104" t="n">
        <v>1</v>
      </c>
      <c r="G104" t="inlineStr">
        <is>
          <t>RK001</t>
        </is>
      </c>
      <c r="H104" t="inlineStr">
        <is>
          <t>6 Juli 2023</t>
        </is>
      </c>
      <c r="I104" s="2" t="n">
        <v>46332</v>
      </c>
      <c r="J104" t="inlineStr">
        <is>
          <t>Pencabutan</t>
        </is>
      </c>
      <c r="K104" t="n">
        <v>60</v>
      </c>
      <c r="L104" t="inlineStr">
        <is>
          <t>6 November 2026</t>
        </is>
      </c>
      <c r="M104" t="inlineStr">
        <is>
          <t>Jasa Rekayasa Konstruksi Bangunan Gedung Hunian dan Non Hunian</t>
        </is>
      </c>
      <c r="N104" t="inlineStr">
        <is>
          <t>K</t>
        </is>
      </c>
      <c r="O104" t="inlineStr">
        <is>
          <t>20231030</t>
        </is>
      </c>
      <c r="P104" t="inlineStr">
        <is>
          <t>Riau</t>
        </is>
      </c>
      <c r="Q104" t="inlineStr"/>
    </row>
    <row r="105">
      <c r="A105" t="inlineStr">
        <is>
          <t>TATA AGATHIS</t>
        </is>
      </c>
      <c r="B105" t="inlineStr">
        <is>
          <t>Kota Adm. Jakarta Selatan</t>
        </is>
      </c>
      <c r="C105" t="inlineStr">
        <is>
          <t>0217503723</t>
        </is>
      </c>
      <c r="D105" t="inlineStr">
        <is>
          <t>tataagathis@cbn.net.id</t>
        </is>
      </c>
      <c r="E105" t="inlineStr">
        <is>
          <t>https://lpjk.pu.go.id/search-badan-usaha-detail/dXJENFBOQmZXWEFMUW1kd1E4c25wUT09</t>
        </is>
      </c>
      <c r="F105" t="n">
        <v>4</v>
      </c>
      <c r="G105" t="inlineStr">
        <is>
          <t>BG001, BG005, BG007, BG009</t>
        </is>
      </c>
      <c r="H105" t="inlineStr">
        <is>
          <t>1 Agustus 2003</t>
        </is>
      </c>
      <c r="I105" s="2" t="n">
        <v>46332</v>
      </c>
      <c r="J105" t="inlineStr">
        <is>
          <t>Pencabutan</t>
        </is>
      </c>
      <c r="K105" t="n">
        <v>60</v>
      </c>
      <c r="L105" t="inlineStr">
        <is>
          <t>6 November 2026</t>
        </is>
      </c>
      <c r="M105" t="inlineStr">
        <is>
          <t>Konstruksi Gedung Hunian, Konstruksi Gedung Kesehatan, Konstruksi Gedung Lainnya, Konstruksi Gedung Penginapan</t>
        </is>
      </c>
      <c r="N105" t="inlineStr">
        <is>
          <t>K</t>
        </is>
      </c>
      <c r="O105" t="inlineStr">
        <is>
          <t>20231019, 20231102, 20231103</t>
        </is>
      </c>
      <c r="P105" t="inlineStr">
        <is>
          <t>DKI Jakarta</t>
        </is>
      </c>
      <c r="Q105" t="inlineStr"/>
    </row>
    <row r="106">
      <c r="A106" t="inlineStr">
        <is>
          <t>TIRTA WANGI ABADI</t>
        </is>
      </c>
      <c r="B106" t="inlineStr">
        <is>
          <t>Kab. Pasuruan</t>
        </is>
      </c>
      <c r="C106" t="inlineStr">
        <is>
          <t>081233722993</t>
        </is>
      </c>
      <c r="D106" t="inlineStr">
        <is>
          <t>tirtawangiabadi23@gmail.com</t>
        </is>
      </c>
      <c r="E106" t="inlineStr">
        <is>
          <t>https://lpjk.pu.go.id/search-badan-usaha-detail/dStMb1VuS2tiVTNVQXRacnRYZmlmUT09</t>
        </is>
      </c>
      <c r="F106" t="n">
        <v>1</v>
      </c>
      <c r="G106" t="inlineStr">
        <is>
          <t>BS005</t>
        </is>
      </c>
      <c r="H106" t="inlineStr">
        <is>
          <t>25 Oktober 2023</t>
        </is>
      </c>
      <c r="I106" s="2" t="n">
        <v>46332</v>
      </c>
      <c r="J106" t="inlineStr">
        <is>
          <t>Disetujui</t>
        </is>
      </c>
      <c r="K106" t="n">
        <v>60</v>
      </c>
      <c r="L106" t="inlineStr">
        <is>
          <t>6 November 2026</t>
        </is>
      </c>
      <c r="M106" t="inlineStr">
        <is>
          <t>Konstruksi Bangunan Sipil Pengolahan Air Bersih</t>
        </is>
      </c>
      <c r="N106" t="inlineStr">
        <is>
          <t>K</t>
        </is>
      </c>
      <c r="O106" t="inlineStr">
        <is>
          <t>20231107</t>
        </is>
      </c>
      <c r="P106" t="inlineStr">
        <is>
          <t>Jawa Timur</t>
        </is>
      </c>
      <c r="Q106" t="inlineStr"/>
    </row>
    <row r="107">
      <c r="A107" t="inlineStr">
        <is>
          <t>TRANSTEL SARANA PRIMA</t>
        </is>
      </c>
      <c r="B107" t="inlineStr">
        <is>
          <t>Kota Surabaya</t>
        </is>
      </c>
      <c r="C107" t="inlineStr">
        <is>
          <t>081332103121</t>
        </is>
      </c>
      <c r="D107" t="inlineStr">
        <is>
          <t>pt.transtel.sarana.prima@gmail.com</t>
        </is>
      </c>
      <c r="E107" t="inlineStr">
        <is>
          <t>https://lpjk.pu.go.id/search-badan-usaha-detail/V0ZIOFJiZjNLdXdXbXlFSzFGZytNZz09</t>
        </is>
      </c>
      <c r="F107" t="n">
        <v>3</v>
      </c>
      <c r="G107" t="inlineStr">
        <is>
          <t>BG003</t>
        </is>
      </c>
      <c r="H107" t="inlineStr">
        <is>
          <t>18 Juli 2005</t>
        </is>
      </c>
      <c r="I107" s="2" t="n">
        <v>46332</v>
      </c>
      <c r="J107" t="inlineStr">
        <is>
          <t>Disetujui</t>
        </is>
      </c>
      <c r="K107" t="n">
        <v>60</v>
      </c>
      <c r="L107" t="inlineStr">
        <is>
          <t>6 November 2026</t>
        </is>
      </c>
      <c r="M107" t="inlineStr">
        <is>
          <t>Konstruksi Gedung Industri</t>
        </is>
      </c>
      <c r="N107" t="inlineStr">
        <is>
          <t>K</t>
        </is>
      </c>
      <c r="O107" t="inlineStr">
        <is>
          <t>20231107</t>
        </is>
      </c>
      <c r="P107" t="inlineStr">
        <is>
          <t>Jawa Timur</t>
        </is>
      </c>
      <c r="Q107" t="inlineStr"/>
    </row>
    <row r="108">
      <c r="A108" t="inlineStr">
        <is>
          <t>TRIBUANA ASKARA ARSINDO</t>
        </is>
      </c>
      <c r="B108" t="inlineStr">
        <is>
          <t>Kota Surabaya</t>
        </is>
      </c>
      <c r="C108" t="inlineStr">
        <is>
          <t>081335540384</t>
        </is>
      </c>
      <c r="D108" t="inlineStr">
        <is>
          <t>tribuanaaskaraarsindo@gmail.com</t>
        </is>
      </c>
      <c r="E108" t="inlineStr">
        <is>
          <t>https://lpjk.pu.go.id/search-badan-usaha-detail/ZVhFRU5lbk5xeXpRTDVGOVBxaG4zVmlidEYrRmhVNkFySU8yQmp2amQxUT0</t>
        </is>
      </c>
      <c r="F108" t="n">
        <v>1</v>
      </c>
      <c r="G108" t="inlineStr">
        <is>
          <t>RK002</t>
        </is>
      </c>
      <c r="H108" t="inlineStr">
        <is>
          <t>21 Januari 2023</t>
        </is>
      </c>
      <c r="I108" s="2" t="n">
        <v>46332</v>
      </c>
      <c r="J108" t="inlineStr">
        <is>
          <t>Disetujui</t>
        </is>
      </c>
      <c r="K108" t="n">
        <v>60</v>
      </c>
      <c r="L108" t="inlineStr">
        <is>
          <t>6 November 2026</t>
        </is>
      </c>
      <c r="M108" t="inlineStr">
        <is>
          <t>Jasa Rekayasa Pekerjaan Teknik Sipil Sumber Daya Air</t>
        </is>
      </c>
      <c r="N108" t="inlineStr">
        <is>
          <t>K</t>
        </is>
      </c>
      <c r="O108" t="inlineStr">
        <is>
          <t>20231031</t>
        </is>
      </c>
      <c r="P108" t="inlineStr">
        <is>
          <t>Jawa Timur</t>
        </is>
      </c>
      <c r="Q108" t="inlineStr"/>
    </row>
    <row r="109">
      <c r="A109" t="inlineStr">
        <is>
          <t>TRIDUTA MITRAPARAMA</t>
        </is>
      </c>
      <c r="B109" t="inlineStr">
        <is>
          <t>Kota Adm. Jakarta Selatan</t>
        </is>
      </c>
      <c r="C109" t="inlineStr">
        <is>
          <t>02127871763</t>
        </is>
      </c>
      <c r="D109" t="inlineStr">
        <is>
          <t>triduta_pt@yahoo.com</t>
        </is>
      </c>
      <c r="E109" t="inlineStr">
        <is>
          <t>https://lpjk.pu.go.id/search-badan-usaha-detail/VHdKb1ZPOTQ5SUR2SWhoLzRuRWdZQT09</t>
        </is>
      </c>
      <c r="F109" t="n">
        <v>2</v>
      </c>
      <c r="G109" t="inlineStr">
        <is>
          <t>IT003, RK001</t>
        </is>
      </c>
      <c r="H109" t="inlineStr">
        <is>
          <t>29 Juni 1992</t>
        </is>
      </c>
      <c r="I109" s="2" t="n">
        <v>46332</v>
      </c>
      <c r="J109" t="inlineStr">
        <is>
          <t>Disetujui</t>
        </is>
      </c>
      <c r="K109" t="n">
        <v>60</v>
      </c>
      <c r="L109" t="inlineStr">
        <is>
          <t>6 November 2026</t>
        </is>
      </c>
      <c r="M109" t="inlineStr">
        <is>
          <t>Jasa Konsultansi Ilmiah dan Teknis Permukaan Tanah dan Pembuatan Peta, Jasa Rekayasa Konstruksi Bangunan Gedung Hunian dan Non Hunian</t>
        </is>
      </c>
      <c r="N109" t="inlineStr">
        <is>
          <t>K, Spesialis</t>
        </is>
      </c>
      <c r="O109" t="inlineStr">
        <is>
          <t>20231030, 20231107</t>
        </is>
      </c>
      <c r="P109" t="inlineStr">
        <is>
          <t>DKI Jakarta</t>
        </is>
      </c>
      <c r="Q109" t="inlineStr"/>
    </row>
    <row r="110">
      <c r="A110" t="inlineStr">
        <is>
          <t>TRISNA JAYA</t>
        </is>
      </c>
      <c r="B110" t="inlineStr">
        <is>
          <t>Kab. Banyuwangi</t>
        </is>
      </c>
      <c r="C110" t="inlineStr">
        <is>
          <t>08113429524</t>
        </is>
      </c>
      <c r="D110" t="inlineStr">
        <is>
          <t>trisna.jaya789@gmail.com</t>
        </is>
      </c>
      <c r="E110" t="inlineStr">
        <is>
          <t>https://lpjk.pu.go.id/search-badan-usaha-detail/ZkVEY01TQlVKa250bHBrYWZSY0Yvdz09</t>
        </is>
      </c>
      <c r="F110" t="n">
        <v>1</v>
      </c>
      <c r="G110" t="inlineStr">
        <is>
          <t>BS004</t>
        </is>
      </c>
      <c r="H110" t="inlineStr">
        <is>
          <t>24 Mei 2016</t>
        </is>
      </c>
      <c r="I110" s="2" t="n">
        <v>46332</v>
      </c>
      <c r="J110" t="inlineStr">
        <is>
          <t>Disetujui</t>
        </is>
      </c>
      <c r="K110" t="n">
        <v>60</v>
      </c>
      <c r="L110" t="inlineStr">
        <is>
          <t>6 November 2026</t>
        </is>
      </c>
      <c r="M110" t="inlineStr">
        <is>
          <t>Konstruksi Jaringan Irigasi dan Drainase</t>
        </is>
      </c>
      <c r="N110" t="inlineStr">
        <is>
          <t>K</t>
        </is>
      </c>
      <c r="O110" t="inlineStr">
        <is>
          <t>20231106</t>
        </is>
      </c>
      <c r="P110" t="inlineStr">
        <is>
          <t>Jawa Timur</t>
        </is>
      </c>
      <c r="Q110" t="inlineStr"/>
    </row>
    <row r="111">
      <c r="A111" t="inlineStr">
        <is>
          <t>UNTUNG BERKAH</t>
        </is>
      </c>
      <c r="B111" t="inlineStr">
        <is>
          <t>Kab. Trenggalek</t>
        </is>
      </c>
      <c r="C111" t="inlineStr">
        <is>
          <t>085330872251</t>
        </is>
      </c>
      <c r="D111" t="inlineStr">
        <is>
          <t>untung.berkahcv@gmail.com</t>
        </is>
      </c>
      <c r="E111" t="inlineStr">
        <is>
          <t>https://lpjk.pu.go.id/search-badan-usaha-detail/bjh4VHJ6cVNjV2NWSXpqazNCcGgwZz09</t>
        </is>
      </c>
      <c r="F111" t="n">
        <v>1</v>
      </c>
      <c r="G111" t="inlineStr">
        <is>
          <t>BG009</t>
        </is>
      </c>
      <c r="H111" t="inlineStr">
        <is>
          <t>13 Mei 2023</t>
        </is>
      </c>
      <c r="I111" s="2" t="n">
        <v>46332</v>
      </c>
      <c r="J111" t="inlineStr">
        <is>
          <t>Disetujui</t>
        </is>
      </c>
      <c r="K111" t="n">
        <v>60</v>
      </c>
      <c r="L111" t="inlineStr">
        <is>
          <t>6 November 2026</t>
        </is>
      </c>
      <c r="M111" t="inlineStr">
        <is>
          <t>Konstruksi Gedung Lainnya</t>
        </is>
      </c>
      <c r="N111" t="inlineStr">
        <is>
          <t>K</t>
        </is>
      </c>
      <c r="O111" t="inlineStr">
        <is>
          <t>20231107</t>
        </is>
      </c>
      <c r="P111" t="inlineStr">
        <is>
          <t>Jawa Timur</t>
        </is>
      </c>
      <c r="Q111" t="inlineStr"/>
    </row>
    <row r="112">
      <c r="A112" t="inlineStr">
        <is>
          <t>VIDICI</t>
        </is>
      </c>
      <c r="B112" t="inlineStr">
        <is>
          <t>Kota Cirebon</t>
        </is>
      </c>
      <c r="C112" t="inlineStr">
        <is>
          <t>082240632800</t>
        </is>
      </c>
      <c r="D112" t="inlineStr">
        <is>
          <t>vidicicv@gmail.com</t>
        </is>
      </c>
      <c r="E112" t="inlineStr">
        <is>
          <t>https://lpjk.pu.go.id/search-badan-usaha-detail/N2ZxcjdQNmdvdUFuVDUxZVRBcHpMdz09</t>
        </is>
      </c>
      <c r="F112" t="n">
        <v>2</v>
      </c>
      <c r="G112" t="inlineStr">
        <is>
          <t>BS005</t>
        </is>
      </c>
      <c r="H112" t="inlineStr">
        <is>
          <t>13 September 1982</t>
        </is>
      </c>
      <c r="I112" s="2" t="n">
        <v>46332</v>
      </c>
      <c r="J112" t="inlineStr">
        <is>
          <t>Pencabutan</t>
        </is>
      </c>
      <c r="K112" t="n">
        <v>60</v>
      </c>
      <c r="L112" t="inlineStr">
        <is>
          <t>6 November 2026</t>
        </is>
      </c>
      <c r="M112" t="inlineStr">
        <is>
          <t>Konstruksi Bangunan Sipil Pengolahan Air Bersih</t>
        </is>
      </c>
      <c r="N112" t="inlineStr">
        <is>
          <t>K</t>
        </is>
      </c>
      <c r="O112" t="inlineStr">
        <is>
          <t>20231106</t>
        </is>
      </c>
      <c r="P112" t="inlineStr">
        <is>
          <t>Jawa Barat</t>
        </is>
      </c>
      <c r="Q112" t="inlineStr"/>
    </row>
    <row r="113">
      <c r="A113" t="inlineStr">
        <is>
          <t>VISI GLOBAL TEKNOLOGI</t>
        </is>
      </c>
      <c r="B113" t="inlineStr">
        <is>
          <t>Kota Adm. Jakarta Selatan</t>
        </is>
      </c>
      <c r="C113" t="inlineStr">
        <is>
          <t>085155034588</t>
        </is>
      </c>
      <c r="D113" t="inlineStr">
        <is>
          <t>pt.visiglobalteknologi@gmail.com</t>
        </is>
      </c>
      <c r="E113" t="inlineStr">
        <is>
          <t>https://lpjk.pu.go.id/search-badan-usaha-detail/MFRuaEVmOUhCanFoK1k3RndHcHhhZz09</t>
        </is>
      </c>
      <c r="F113" t="n">
        <v>1</v>
      </c>
      <c r="G113" t="inlineStr">
        <is>
          <t>BS001</t>
        </is>
      </c>
      <c r="H113" t="inlineStr">
        <is>
          <t>11 Oktober 2023</t>
        </is>
      </c>
      <c r="I113" s="2" t="n">
        <v>46332</v>
      </c>
      <c r="J113" t="inlineStr">
        <is>
          <t>Pencabutan</t>
        </is>
      </c>
      <c r="K113" t="n">
        <v>60</v>
      </c>
      <c r="L113" t="inlineStr">
        <is>
          <t>6 November 2026</t>
        </is>
      </c>
      <c r="M113" t="inlineStr">
        <is>
          <t>Konstruksi Bangunan Sipil Jalan</t>
        </is>
      </c>
      <c r="N113" t="inlineStr">
        <is>
          <t>K</t>
        </is>
      </c>
      <c r="O113" t="inlineStr">
        <is>
          <t>20231102</t>
        </is>
      </c>
      <c r="P113" t="inlineStr">
        <is>
          <t>DKI Jakarta</t>
        </is>
      </c>
      <c r="Q113" t="inlineStr"/>
    </row>
    <row r="114">
      <c r="A114" t="inlineStr">
        <is>
          <t>WAHANA BANGUN NUSANTARA</t>
        </is>
      </c>
      <c r="B114" t="inlineStr">
        <is>
          <t>Kab. Sigi</t>
        </is>
      </c>
      <c r="C114" t="inlineStr">
        <is>
          <t>0852-5591-7199</t>
        </is>
      </c>
      <c r="D114" t="inlineStr">
        <is>
          <t>wahanabangunnusantara@gmail.com</t>
        </is>
      </c>
      <c r="E114" t="inlineStr">
        <is>
          <t>https://lpjk.pu.go.id/search-badan-usaha-detail/aTlpWlhmYUFya3NHK3ZGb0dZY0p3QT09</t>
        </is>
      </c>
      <c r="F114" t="n">
        <v>1</v>
      </c>
      <c r="G114" t="inlineStr">
        <is>
          <t>BS001</t>
        </is>
      </c>
      <c r="H114" t="inlineStr">
        <is>
          <t>21 Juli 2022</t>
        </is>
      </c>
      <c r="I114" s="2" t="n">
        <v>46332</v>
      </c>
      <c r="J114" t="inlineStr">
        <is>
          <t>Disetujui</t>
        </is>
      </c>
      <c r="K114" t="n">
        <v>60</v>
      </c>
      <c r="L114" t="inlineStr">
        <is>
          <t>6 November 2026</t>
        </is>
      </c>
      <c r="M114" t="inlineStr">
        <is>
          <t>Konstruksi Bangunan Sipil Jalan</t>
        </is>
      </c>
      <c r="N114" t="inlineStr">
        <is>
          <t>K</t>
        </is>
      </c>
      <c r="O114" t="inlineStr">
        <is>
          <t>20230920</t>
        </is>
      </c>
      <c r="P114" t="inlineStr">
        <is>
          <t>Sulawesi Tengah</t>
        </is>
      </c>
      <c r="Q114" t="inlineStr"/>
    </row>
    <row r="115">
      <c r="A115" t="inlineStr">
        <is>
          <t>WANDA KARYA LESTARI</t>
        </is>
      </c>
      <c r="B115" t="inlineStr">
        <is>
          <t>Kota Pematangsiantar</t>
        </is>
      </c>
      <c r="C115" t="inlineStr">
        <is>
          <t>81263999708</t>
        </is>
      </c>
      <c r="D115" t="inlineStr">
        <is>
          <t>wantersaragih@yahoo.com</t>
        </is>
      </c>
      <c r="E115" t="inlineStr">
        <is>
          <t>https://lpjk.pu.go.id/search-badan-usaha-detail/R2luTHJ6akZqVjZQaEROUDF1bXVUUT09</t>
        </is>
      </c>
      <c r="F115" t="n">
        <v>2</v>
      </c>
      <c r="G115" t="inlineStr">
        <is>
          <t>BS004</t>
        </is>
      </c>
      <c r="H115" t="inlineStr">
        <is>
          <t>25 November 1994</t>
        </is>
      </c>
      <c r="I115" s="2" t="n">
        <v>46332</v>
      </c>
      <c r="J115" t="inlineStr">
        <is>
          <t>Disetujui</t>
        </is>
      </c>
      <c r="K115" t="n">
        <v>60</v>
      </c>
      <c r="L115" t="inlineStr">
        <is>
          <t>6 November 2026</t>
        </is>
      </c>
      <c r="M115" t="inlineStr">
        <is>
          <t>Konstruksi Jaringan Irigasi dan Drainase</t>
        </is>
      </c>
      <c r="N115" t="inlineStr">
        <is>
          <t>K</t>
        </is>
      </c>
      <c r="O115" t="inlineStr">
        <is>
          <t>20231102</t>
        </is>
      </c>
      <c r="P115" t="inlineStr">
        <is>
          <t>Sumatera Utara</t>
        </is>
      </c>
      <c r="Q115" t="inlineStr"/>
    </row>
    <row r="116">
      <c r="A116" t="inlineStr">
        <is>
          <t>YASIKA UTAMA</t>
        </is>
      </c>
      <c r="B116" t="inlineStr">
        <is>
          <t>Kab. Cianjur</t>
        </is>
      </c>
      <c r="C116" t="inlineStr">
        <is>
          <t>081563812366</t>
        </is>
      </c>
      <c r="D116" t="inlineStr">
        <is>
          <t>yasikautamacv@gmail.com</t>
        </is>
      </c>
      <c r="E116" t="inlineStr">
        <is>
          <t>https://lpjk.pu.go.id/search-badan-usaha-detail/YndXSTZ4eVdZYUdadEFPNFRmVFdlUT09</t>
        </is>
      </c>
      <c r="F116" t="n">
        <v>5</v>
      </c>
      <c r="G116" t="inlineStr">
        <is>
          <t>BG002, BG005, BG006, BG009, BS001</t>
        </is>
      </c>
      <c r="H116" t="inlineStr">
        <is>
          <t>6 Oktober 1993</t>
        </is>
      </c>
      <c r="I116" s="2" t="n">
        <v>46332</v>
      </c>
      <c r="J116" t="inlineStr">
        <is>
          <t>Disetujui</t>
        </is>
      </c>
      <c r="K116" t="n">
        <v>60</v>
      </c>
      <c r="L116" t="inlineStr">
        <is>
          <t>6 November 2026</t>
        </is>
      </c>
      <c r="M116" t="inlineStr">
        <is>
          <t>Konstruksi Bangunan Sipil Jalan, Konstruksi Gedung Kesehatan, Konstruksi Gedung Lainnya, Konstruksi Gedung Pendidikan, Konstruksi Gedung Perkantoran</t>
        </is>
      </c>
      <c r="N116" t="inlineStr">
        <is>
          <t>K</t>
        </is>
      </c>
      <c r="O116" t="inlineStr">
        <is>
          <t>20231018</t>
        </is>
      </c>
      <c r="P116" t="inlineStr">
        <is>
          <t>Jawa Barat</t>
        </is>
      </c>
      <c r="Q1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cols>
    <col width="27" customWidth="1" min="1" max="1"/>
    <col width="25" customWidth="1" min="2" max="2"/>
    <col width="14" customWidth="1" min="3" max="3"/>
    <col width="34" customWidth="1" min="4" max="4"/>
    <col width="50" customWidth="1" min="5" max="5"/>
    <col width="18" customWidth="1" min="6" max="6"/>
    <col width="35" customWidth="1" min="7" max="7"/>
    <col width="20" customWidth="1" min="8" max="8"/>
    <col width="28" customWidth="1" min="9" max="9"/>
    <col width="34"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RADAR PUTRA PUTRI</t>
        </is>
      </c>
      <c r="B2" t="inlineStr">
        <is>
          <t>Kota Adm. Jakarta Timur</t>
        </is>
      </c>
      <c r="C2" t="inlineStr">
        <is>
          <t>08129093729</t>
        </is>
      </c>
      <c r="D2" t="inlineStr">
        <is>
          <t>cvradarputraputri@yahoo.co.id</t>
        </is>
      </c>
      <c r="E2" t="inlineStr">
        <is>
          <t>https://lpjk.pu.go.id/search-badan-usaha-detail/L3ZkMnM2bGVCUWxsaHFJaThJeVVTZz09</t>
        </is>
      </c>
      <c r="F2" t="n">
        <v>1</v>
      </c>
      <c r="G2" t="inlineStr">
        <is>
          <t>BS004</t>
        </is>
      </c>
      <c r="H2" t="inlineStr">
        <is>
          <t>2 Desember 2003</t>
        </is>
      </c>
      <c r="I2" s="2" t="n">
        <v>46302</v>
      </c>
      <c r="J2" t="inlineStr">
        <is>
          <t>Disetujui</t>
        </is>
      </c>
      <c r="K2" t="n">
        <v>30</v>
      </c>
      <c r="L2" t="inlineStr">
        <is>
          <t>7 Oktober 2026</t>
        </is>
      </c>
      <c r="M2" t="inlineStr">
        <is>
          <t>Konstruksi Jaringan Irigasi dan Drainase</t>
        </is>
      </c>
      <c r="N2" t="inlineStr">
        <is>
          <t>K</t>
        </is>
      </c>
      <c r="O2" t="inlineStr">
        <is>
          <t>20231007</t>
        </is>
      </c>
      <c r="P2" t="inlineStr">
        <is>
          <t>DKI Jakarta</t>
        </is>
      </c>
      <c r="Q2" s="3">
        <f>HYPERLINK("https://wa.me/628129093729?text=*[Pengingat Masa Berlaku SBU RADAR PUTRA PUTRI]*%0A%0AYth. Pimpinan RADAR PUTRA PUTRI,%0AMohon izin menginformasikan status SBU Anda:%0A%0A📄 SBU: BS004%0A📅 Expired: 7 Oktober 2026 (30 Hari Lagi)%0A%0AKami tim PT. ESDEA Assistance Management siap men-support proses perpanjangan segera agar administrasi proyek tidak terhambat%0A%0AApakah boleh saya bantu siapkan estimasi biaya dan waktu pengerjaannya?.", "Hubungi")</f>
        <v/>
      </c>
    </row>
    <row r="3">
      <c r="A3" t="inlineStr">
        <is>
          <t>SPYROS EUROTECH SOLUTIONS</t>
        </is>
      </c>
      <c r="B3" t="inlineStr">
        <is>
          <t>Kota Depok</t>
        </is>
      </c>
      <c r="C3" t="inlineStr">
        <is>
          <t>08119592849</t>
        </is>
      </c>
      <c r="D3" t="inlineStr">
        <is>
          <t>admin@spyros.co.id</t>
        </is>
      </c>
      <c r="E3" t="inlineStr">
        <is>
          <t>https://lpjk.pu.go.id/search-badan-usaha-detail/V3AyUWFjNy82dTJ2MHVIcks4OU5QZz09</t>
        </is>
      </c>
      <c r="F3" t="n">
        <v>1</v>
      </c>
      <c r="G3" t="inlineStr">
        <is>
          <t>BS016</t>
        </is>
      </c>
      <c r="H3" t="inlineStr">
        <is>
          <t>18 April 2020</t>
        </is>
      </c>
      <c r="I3" s="2" t="n">
        <v>46302</v>
      </c>
      <c r="J3" t="inlineStr">
        <is>
          <t>Disetujui</t>
        </is>
      </c>
      <c r="K3" t="n">
        <v>30</v>
      </c>
      <c r="L3" t="inlineStr">
        <is>
          <t>7 Oktober 2026</t>
        </is>
      </c>
      <c r="M3" t="inlineStr">
        <is>
          <t>Konstruksi Bangunan Sipil Fasilitas Olah Raga</t>
        </is>
      </c>
      <c r="N3" t="inlineStr">
        <is>
          <t>K</t>
        </is>
      </c>
      <c r="O3" t="inlineStr">
        <is>
          <t>20231006</t>
        </is>
      </c>
      <c r="P3" t="inlineStr">
        <is>
          <t>Jawa Barat</t>
        </is>
      </c>
      <c r="Q3" s="3">
        <f>HYPERLINK("https://wa.me/628119592849?text=*[Pengingat Masa Berlaku SBU SPYROS EUROTECH SOLUTIONS]*%0A%0AYth. Pimpinan SPYROS EUROTECH SOLUTIONS,%0AMohon izin menginformasikan status SBU Anda:%0A%0A📄 SBU: BS016%0A📅 Expired: 7 Oktober 2026 (30 Hari Lagi)%0A%0AKami tim PT. ESDEA Assistance Management siap men-support proses perpanjangan segera agar administrasi proyek tidak terhambat%0A%0AApakah boleh saya bantu siapkan estimasi biaya dan waktu pengerjaannya?.", "Hubungi")</f>
        <v/>
      </c>
    </row>
    <row r="4">
      <c r="A4" t="inlineStr">
        <is>
          <t>ARCADIA KARYA</t>
        </is>
      </c>
      <c r="B4" t="inlineStr">
        <is>
          <t>Kab. Tuban</t>
        </is>
      </c>
      <c r="C4" t="inlineStr">
        <is>
          <t>082119561551</t>
        </is>
      </c>
      <c r="D4" t="inlineStr">
        <is>
          <t>arcadiakaryacv@gmail.com</t>
        </is>
      </c>
      <c r="E4" t="inlineStr">
        <is>
          <t>https://lpjk.pu.go.id/search-badan-usaha-detail/L0ZOQ21nMmg1d1ZwOTZwcDYvWWxmUT09</t>
        </is>
      </c>
      <c r="F4" t="n">
        <v>2</v>
      </c>
      <c r="G4" t="inlineStr">
        <is>
          <t>BG006, BS004</t>
        </is>
      </c>
      <c r="H4" t="inlineStr">
        <is>
          <t>10 Februari 2023</t>
        </is>
      </c>
      <c r="I4" s="2" t="n">
        <v>46302</v>
      </c>
      <c r="J4" t="inlineStr">
        <is>
          <t>Disetujui</t>
        </is>
      </c>
      <c r="K4" t="n">
        <v>30</v>
      </c>
      <c r="L4" t="inlineStr">
        <is>
          <t>7 Oktober 2026</t>
        </is>
      </c>
      <c r="M4" t="inlineStr">
        <is>
          <t>Konstruksi Gedung Pendidikan, Konstruksi Jaringan Irigasi dan Drainase</t>
        </is>
      </c>
      <c r="N4" t="inlineStr">
        <is>
          <t>K</t>
        </is>
      </c>
      <c r="O4" t="inlineStr">
        <is>
          <t>20231005</t>
        </is>
      </c>
      <c r="P4" t="inlineStr">
        <is>
          <t>Jawa Timur</t>
        </is>
      </c>
      <c r="Q4" t="inlineStr"/>
    </row>
    <row r="5">
      <c r="A5" t="inlineStr">
        <is>
          <t>ARTHACLYSA MAJU PRATAMA</t>
        </is>
      </c>
      <c r="B5" t="inlineStr">
        <is>
          <t>Kota Adm. Jakarta Utara</t>
        </is>
      </c>
      <c r="C5" t="inlineStr">
        <is>
          <t>081289978969</t>
        </is>
      </c>
      <c r="D5" t="inlineStr">
        <is>
          <t>arthaclysamajupratama@gmail.com</t>
        </is>
      </c>
      <c r="E5" t="inlineStr">
        <is>
          <t>https://lpjk.pu.go.id/search-badan-usaha-detail/VjJ1dGtsTGFmOWJLTXpJVTRaTGVEdz09</t>
        </is>
      </c>
      <c r="F5" t="n">
        <v>2</v>
      </c>
      <c r="G5" t="inlineStr">
        <is>
          <t>BG002, BG009</t>
        </is>
      </c>
      <c r="H5" t="inlineStr">
        <is>
          <t>28 Agustus 2023</t>
        </is>
      </c>
      <c r="I5" s="2" t="n">
        <v>46302</v>
      </c>
      <c r="J5" t="inlineStr">
        <is>
          <t>Disetujui</t>
        </is>
      </c>
      <c r="K5" t="n">
        <v>30</v>
      </c>
      <c r="L5" t="inlineStr">
        <is>
          <t>7 Oktober 2026</t>
        </is>
      </c>
      <c r="M5" t="inlineStr">
        <is>
          <t>Konstruksi Gedung Lainnya, Konstruksi Gedung Perkantoran</t>
        </is>
      </c>
      <c r="N5" t="inlineStr">
        <is>
          <t>K</t>
        </is>
      </c>
      <c r="O5" t="inlineStr">
        <is>
          <t>20230927, 20231008</t>
        </is>
      </c>
      <c r="P5" t="inlineStr">
        <is>
          <t>DKI Jakarta</t>
        </is>
      </c>
      <c r="Q5" t="inlineStr"/>
    </row>
    <row r="6">
      <c r="A6" t="inlineStr">
        <is>
          <t>ARUNG SAMUDERA</t>
        </is>
      </c>
      <c r="B6" t="inlineStr">
        <is>
          <t>Kab. Sumbawa Barat</t>
        </is>
      </c>
      <c r="C6" t="inlineStr">
        <is>
          <t>081339660521</t>
        </is>
      </c>
      <c r="D6" t="inlineStr">
        <is>
          <t>cv.arungsamudera@yahoo.com</t>
        </is>
      </c>
      <c r="E6" t="inlineStr">
        <is>
          <t>https://lpjk.pu.go.id/search-badan-usaha-detail/OUpVbEE1Nk9Ta0RpdFBjZGlzWDF2QT09</t>
        </is>
      </c>
      <c r="F6" t="n">
        <v>2</v>
      </c>
      <c r="G6" t="inlineStr">
        <is>
          <t>BG009, BS001</t>
        </is>
      </c>
      <c r="H6" t="inlineStr">
        <is>
          <t>20 Mei 2009</t>
        </is>
      </c>
      <c r="I6" s="2" t="n">
        <v>46302</v>
      </c>
      <c r="J6" t="inlineStr">
        <is>
          <t>Pencabutan</t>
        </is>
      </c>
      <c r="K6" t="n">
        <v>30</v>
      </c>
      <c r="L6" t="inlineStr">
        <is>
          <t>7 Oktober 2026</t>
        </is>
      </c>
      <c r="M6" t="inlineStr">
        <is>
          <t>Konstruksi Bangunan Sipil Jalan, Konstruksi Gedung Lainnya</t>
        </is>
      </c>
      <c r="N6" t="inlineStr">
        <is>
          <t>K</t>
        </is>
      </c>
      <c r="O6" t="inlineStr">
        <is>
          <t>20231007, 20231010</t>
        </is>
      </c>
      <c r="P6" t="inlineStr">
        <is>
          <t>Nusa Tenggara Barat</t>
        </is>
      </c>
      <c r="Q6" t="inlineStr"/>
    </row>
    <row r="7">
      <c r="A7" t="inlineStr">
        <is>
          <t>BANGUN MANDIRI</t>
        </is>
      </c>
      <c r="B7" t="inlineStr">
        <is>
          <t>Kab. Bangka Tengah</t>
        </is>
      </c>
      <c r="C7" t="inlineStr">
        <is>
          <t>081273256165</t>
        </is>
      </c>
      <c r="D7" t="inlineStr">
        <is>
          <t>bangunmandiri2011@gmail.com</t>
        </is>
      </c>
      <c r="E7" t="inlineStr">
        <is>
          <t>https://lpjk.pu.go.id/search-badan-usaha-detail/amNMZGVGckVpdXNDaW1PZ2FtVEN4dz09</t>
        </is>
      </c>
      <c r="F7" t="n">
        <v>1</v>
      </c>
      <c r="G7" t="inlineStr">
        <is>
          <t>BG009</t>
        </is>
      </c>
      <c r="H7" t="inlineStr">
        <is>
          <t>17 Agustus 2011</t>
        </is>
      </c>
      <c r="I7" s="2" t="n">
        <v>46302</v>
      </c>
      <c r="J7" t="inlineStr">
        <is>
          <t>Disetujui</t>
        </is>
      </c>
      <c r="K7" t="n">
        <v>30</v>
      </c>
      <c r="L7" t="inlineStr">
        <is>
          <t>7 Oktober 2026</t>
        </is>
      </c>
      <c r="M7" t="inlineStr">
        <is>
          <t>Konstruksi Gedung Lainnya</t>
        </is>
      </c>
      <c r="N7" t="inlineStr">
        <is>
          <t>K</t>
        </is>
      </c>
      <c r="O7" t="inlineStr">
        <is>
          <t>20231007</t>
        </is>
      </c>
      <c r="P7" t="inlineStr">
        <is>
          <t>Kepulauan Bangka Belitung</t>
        </is>
      </c>
      <c r="Q7" t="inlineStr"/>
    </row>
    <row r="8">
      <c r="A8" t="inlineStr">
        <is>
          <t>BERKAT CEMERLANG</t>
        </is>
      </c>
      <c r="B8" t="inlineStr">
        <is>
          <t>Kota Bitung</t>
        </is>
      </c>
      <c r="C8" t="inlineStr">
        <is>
          <t>081340590981</t>
        </is>
      </c>
      <c r="D8" t="inlineStr">
        <is>
          <t>andristuange16@gmail.com</t>
        </is>
      </c>
      <c r="E8" t="inlineStr">
        <is>
          <t>https://lpjk.pu.go.id/search-badan-usaha-detail/RlpCanJjSVVWL1VJRFJKQmt6N001Zz09</t>
        </is>
      </c>
      <c r="F8" t="n">
        <v>2</v>
      </c>
      <c r="G8" t="inlineStr">
        <is>
          <t>BS001</t>
        </is>
      </c>
      <c r="H8" t="inlineStr">
        <is>
          <t>6 Maret 2018</t>
        </is>
      </c>
      <c r="I8" s="2" t="n">
        <v>46302</v>
      </c>
      <c r="J8" t="inlineStr">
        <is>
          <t>Disetujui</t>
        </is>
      </c>
      <c r="K8" t="n">
        <v>30</v>
      </c>
      <c r="L8" t="inlineStr">
        <is>
          <t>7 Oktober 2026</t>
        </is>
      </c>
      <c r="M8" t="inlineStr">
        <is>
          <t>Konstruksi Bangunan Sipil Jalan</t>
        </is>
      </c>
      <c r="N8" t="inlineStr">
        <is>
          <t>K</t>
        </is>
      </c>
      <c r="O8" t="inlineStr">
        <is>
          <t>20231004</t>
        </is>
      </c>
      <c r="P8" t="inlineStr">
        <is>
          <t>Sulawesi Utara</t>
        </is>
      </c>
      <c r="Q8" t="inlineStr"/>
    </row>
    <row r="9">
      <c r="A9" t="inlineStr">
        <is>
          <t>BHAKTI JAYA 366</t>
        </is>
      </c>
      <c r="B9" t="inlineStr">
        <is>
          <t>Kota Medan</t>
        </is>
      </c>
      <c r="C9" t="inlineStr">
        <is>
          <t>082273168457</t>
        </is>
      </c>
      <c r="D9" t="inlineStr">
        <is>
          <t>bhaktijaya366@gmail.com</t>
        </is>
      </c>
      <c r="E9" t="inlineStr">
        <is>
          <t>https://lpjk.pu.go.id/search-badan-usaha-detail/cEQrTkJsN0E0dDFIbzNiUVhsSlI4dz09</t>
        </is>
      </c>
      <c r="F9" t="n">
        <v>2</v>
      </c>
      <c r="G9" t="inlineStr">
        <is>
          <t>BG006</t>
        </is>
      </c>
      <c r="H9" t="inlineStr">
        <is>
          <t>19 Februari 2021</t>
        </is>
      </c>
      <c r="I9" s="2" t="n">
        <v>46302</v>
      </c>
      <c r="J9" t="inlineStr">
        <is>
          <t>Disetujui</t>
        </is>
      </c>
      <c r="K9" t="n">
        <v>30</v>
      </c>
      <c r="L9" t="inlineStr">
        <is>
          <t>7 Oktober 2026</t>
        </is>
      </c>
      <c r="M9" t="inlineStr">
        <is>
          <t>Konstruksi Gedung Pendidikan</t>
        </is>
      </c>
      <c r="N9" t="inlineStr">
        <is>
          <t>K</t>
        </is>
      </c>
      <c r="O9" t="inlineStr">
        <is>
          <t>20231003</t>
        </is>
      </c>
      <c r="P9" t="inlineStr">
        <is>
          <t>Sumatera Utara</t>
        </is>
      </c>
      <c r="Q9" t="inlineStr"/>
    </row>
    <row r="10">
      <c r="A10" t="inlineStr">
        <is>
          <t>BUDI KARYA</t>
        </is>
      </c>
      <c r="B10" t="inlineStr">
        <is>
          <t>Kota Makassar</t>
        </is>
      </c>
      <c r="C10" t="inlineStr">
        <is>
          <t>082193188007</t>
        </is>
      </c>
      <c r="D10" t="inlineStr">
        <is>
          <t>cvbudikarya0@gmail.com</t>
        </is>
      </c>
      <c r="E10" t="inlineStr">
        <is>
          <t>https://lpjk.pu.go.id/search-badan-usaha-detail/TGtieDkxbjJvY2g4TE1KSUZpWDNEQT09</t>
        </is>
      </c>
      <c r="F10" t="n">
        <v>6</v>
      </c>
      <c r="G10" t="inlineStr">
        <is>
          <t>BG001, BG002, BG005, BG006, BG009</t>
        </is>
      </c>
      <c r="H10" t="inlineStr">
        <is>
          <t>29 Juli 2013</t>
        </is>
      </c>
      <c r="I10" s="2" t="n">
        <v>46302</v>
      </c>
      <c r="J10" t="inlineStr">
        <is>
          <t>Permohonan Perubahan Non Asesmen</t>
        </is>
      </c>
      <c r="K10" t="n">
        <v>30</v>
      </c>
      <c r="L10" t="inlineStr">
        <is>
          <t>7 Oktober 2026</t>
        </is>
      </c>
      <c r="M10" t="inlineStr">
        <is>
          <t>Konstruksi Gedung Hunian, Konstruksi Gedung Kesehatan, Konstruksi Gedung Lainnya, Konstruksi Gedung Pendidikan, Konstruksi Gedung Perkantoran</t>
        </is>
      </c>
      <c r="N10" t="inlineStr">
        <is>
          <t>K</t>
        </is>
      </c>
      <c r="O10" t="inlineStr">
        <is>
          <t>20231006, 20231007</t>
        </is>
      </c>
      <c r="P10" t="inlineStr">
        <is>
          <t>Sulawesi Selatan</t>
        </is>
      </c>
      <c r="Q10" t="inlineStr"/>
    </row>
    <row r="11">
      <c r="A11" t="inlineStr">
        <is>
          <t>CV. KENAYOLA</t>
        </is>
      </c>
      <c r="B11" t="inlineStr">
        <is>
          <t>Kota Semarang</t>
        </is>
      </c>
      <c r="C11" t="inlineStr">
        <is>
          <t>081327500557</t>
        </is>
      </c>
      <c r="D11" t="inlineStr">
        <is>
          <t>aprin.donat@yahoo.com</t>
        </is>
      </c>
      <c r="E11" t="inlineStr">
        <is>
          <t>https://lpjk.pu.go.id/search-badan-usaha-detail/TWFhU1Z0SmoxZFJGaVl1VlI2MGZGdz09</t>
        </is>
      </c>
      <c r="F11" t="n">
        <v>4</v>
      </c>
      <c r="G11" t="inlineStr">
        <is>
          <t>BG001, BG006, BS001, BS004</t>
        </is>
      </c>
      <c r="H11" t="inlineStr">
        <is>
          <t>24 Februari 2010</t>
        </is>
      </c>
      <c r="I11" s="2" t="n">
        <v>46302</v>
      </c>
      <c r="J11" t="inlineStr">
        <is>
          <t>Disetujui</t>
        </is>
      </c>
      <c r="K11" t="n">
        <v>30</v>
      </c>
      <c r="L11" t="inlineStr">
        <is>
          <t>7 Oktober 2026</t>
        </is>
      </c>
      <c r="M11" t="inlineStr">
        <is>
          <t>Konstruksi Bangunan Sipil Jalan, Konstruksi Gedung Hunian, Konstruksi Gedung Pendidikan, Konstruksi Jaringan Irigasi dan Drainase</t>
        </is>
      </c>
      <c r="N11" t="inlineStr">
        <is>
          <t>K</t>
        </is>
      </c>
      <c r="O11" t="inlineStr">
        <is>
          <t>20221212, 20231007, 20231009</t>
        </is>
      </c>
      <c r="P11" t="inlineStr">
        <is>
          <t>Jawa Tengah</t>
        </is>
      </c>
      <c r="Q11" t="inlineStr"/>
    </row>
    <row r="12">
      <c r="A12" t="inlineStr">
        <is>
          <t>ISTIANA INDAH SEJAHTERA</t>
        </is>
      </c>
      <c r="B12" t="inlineStr">
        <is>
          <t>Kab. Indramayu</t>
        </is>
      </c>
      <c r="C12" t="inlineStr">
        <is>
          <t>081222123122</t>
        </is>
      </c>
      <c r="D12" t="inlineStr">
        <is>
          <t>istianaindah.s.cv.2020@gmail.com</t>
        </is>
      </c>
      <c r="E12" t="inlineStr">
        <is>
          <t>https://lpjk.pu.go.id/search-badan-usaha-detail/a1Z0MWRpTXB2NU5OaFkvQ2pjVFlrZz09</t>
        </is>
      </c>
      <c r="F12" t="n">
        <v>4</v>
      </c>
      <c r="G12" t="inlineStr">
        <is>
          <t>BG002, BG006</t>
        </is>
      </c>
      <c r="H12" t="inlineStr">
        <is>
          <t>19 Oktober 2020</t>
        </is>
      </c>
      <c r="I12" s="2" t="n">
        <v>46302</v>
      </c>
      <c r="J12" t="inlineStr">
        <is>
          <t>Disetujui</t>
        </is>
      </c>
      <c r="K12" t="n">
        <v>30</v>
      </c>
      <c r="L12" t="inlineStr">
        <is>
          <t>7 Oktober 2026</t>
        </is>
      </c>
      <c r="M12" t="inlineStr">
        <is>
          <t>Konstruksi Gedung Pendidikan, Konstruksi Gedung Perkantoran</t>
        </is>
      </c>
      <c r="N12" t="inlineStr">
        <is>
          <t>K</t>
        </is>
      </c>
      <c r="O12" t="inlineStr">
        <is>
          <t>20231006</t>
        </is>
      </c>
      <c r="P12" t="inlineStr">
        <is>
          <t>Jawa Barat</t>
        </is>
      </c>
      <c r="Q12" t="inlineStr"/>
    </row>
    <row r="13">
      <c r="A13" t="inlineStr">
        <is>
          <t>JAYA GAS INDONESIA</t>
        </is>
      </c>
      <c r="B13" t="inlineStr">
        <is>
          <t>Kota Adm. Jakarta Pusat</t>
        </is>
      </c>
      <c r="C13" t="inlineStr">
        <is>
          <t>02146822121</t>
        </is>
      </c>
      <c r="D13" t="inlineStr">
        <is>
          <t>jgi.umum@gmail.com</t>
        </is>
      </c>
      <c r="E13" t="inlineStr">
        <is>
          <t>https://lpjk.pu.go.id/search-badan-usaha-detail/M09kbXJ5OFQrN0syOW5oWFpuVnYwQT09</t>
        </is>
      </c>
      <c r="F13" t="n">
        <v>1</v>
      </c>
      <c r="G13" t="inlineStr">
        <is>
          <t>IN004</t>
        </is>
      </c>
      <c r="H13" t="inlineStr">
        <is>
          <t>17 November 1970</t>
        </is>
      </c>
      <c r="I13" s="2" t="n">
        <v>46302</v>
      </c>
      <c r="J13" t="inlineStr">
        <is>
          <t>Pembekuan</t>
        </is>
      </c>
      <c r="K13" t="n">
        <v>30</v>
      </c>
      <c r="L13" t="inlineStr">
        <is>
          <t>7 Oktober 2026</t>
        </is>
      </c>
      <c r="M13" t="inlineStr">
        <is>
          <t>Instalasi Minyak dan Gas</t>
        </is>
      </c>
      <c r="N13" t="inlineStr">
        <is>
          <t>Spesialis</t>
        </is>
      </c>
      <c r="O13" t="inlineStr">
        <is>
          <t>20231006</t>
        </is>
      </c>
      <c r="P13" t="inlineStr">
        <is>
          <t>DKI Jakarta</t>
        </is>
      </c>
      <c r="Q13" t="inlineStr"/>
    </row>
    <row r="14">
      <c r="A14" t="inlineStr">
        <is>
          <t>KARYA SETIA JAYA</t>
        </is>
      </c>
      <c r="B14" t="inlineStr">
        <is>
          <t>Kota Pematangsiantar</t>
        </is>
      </c>
      <c r="C14" t="inlineStr">
        <is>
          <t>085207955411</t>
        </is>
      </c>
      <c r="D14" t="inlineStr">
        <is>
          <t>cvkaryasetiajaya@gmail.com</t>
        </is>
      </c>
      <c r="E14" t="inlineStr">
        <is>
          <t>https://lpjk.pu.go.id/search-badan-usaha-detail/V1hiN3JiMmtnVTlXa1dqZm5PVXIrZz09</t>
        </is>
      </c>
      <c r="F14" t="n">
        <v>1</v>
      </c>
      <c r="G14" t="inlineStr">
        <is>
          <t>BG009</t>
        </is>
      </c>
      <c r="H14" t="inlineStr">
        <is>
          <t>23 November 2022</t>
        </is>
      </c>
      <c r="I14" s="2" t="n">
        <v>46302</v>
      </c>
      <c r="J14" t="inlineStr">
        <is>
          <t>Pencabutan</t>
        </is>
      </c>
      <c r="K14" t="n">
        <v>30</v>
      </c>
      <c r="L14" t="inlineStr">
        <is>
          <t>7 Oktober 2026</t>
        </is>
      </c>
      <c r="M14" t="inlineStr">
        <is>
          <t>Konstruksi Gedung Lainnya</t>
        </is>
      </c>
      <c r="N14" t="inlineStr">
        <is>
          <t>K</t>
        </is>
      </c>
      <c r="O14" t="inlineStr">
        <is>
          <t>20231006</t>
        </is>
      </c>
      <c r="P14" t="inlineStr">
        <is>
          <t>Sumatera Utara</t>
        </is>
      </c>
      <c r="Q14" t="inlineStr"/>
    </row>
    <row r="15">
      <c r="A15" t="inlineStr">
        <is>
          <t>KINARYA PUTRA PERSADA</t>
        </is>
      </c>
      <c r="B15" t="inlineStr">
        <is>
          <t>Kab. Cilacap</t>
        </is>
      </c>
      <c r="C15" t="inlineStr">
        <is>
          <t>081327053167</t>
        </is>
      </c>
      <c r="D15" t="inlineStr">
        <is>
          <t>kinaryaputrapersada@gmail.com</t>
        </is>
      </c>
      <c r="E15" t="inlineStr">
        <is>
          <t>https://lpjk.pu.go.id/search-badan-usaha-detail/ZE5sVUFTVVJQeHdUZjlhS043L1c3Zz09</t>
        </is>
      </c>
      <c r="F15" t="n">
        <v>2</v>
      </c>
      <c r="G15" t="inlineStr">
        <is>
          <t>BS004</t>
        </is>
      </c>
      <c r="H15" t="inlineStr">
        <is>
          <t>10 Januari 2019</t>
        </is>
      </c>
      <c r="I15" s="2" t="n">
        <v>46302</v>
      </c>
      <c r="J15" t="inlineStr">
        <is>
          <t>Disetujui</t>
        </is>
      </c>
      <c r="K15" t="n">
        <v>30</v>
      </c>
      <c r="L15" t="inlineStr">
        <is>
          <t>7 Oktober 2026</t>
        </is>
      </c>
      <c r="M15" t="inlineStr">
        <is>
          <t>Konstruksi Jaringan Irigasi dan Drainase</t>
        </is>
      </c>
      <c r="N15" t="inlineStr">
        <is>
          <t>K</t>
        </is>
      </c>
      <c r="O15" t="inlineStr">
        <is>
          <t>20231007</t>
        </is>
      </c>
      <c r="P15" t="inlineStr">
        <is>
          <t>Jawa Tengah</t>
        </is>
      </c>
      <c r="Q15" t="inlineStr"/>
    </row>
    <row r="16">
      <c r="A16" t="inlineStr">
        <is>
          <t>PULAU BANDA</t>
        </is>
      </c>
      <c r="B16" t="inlineStr">
        <is>
          <t>Kota Palembang</t>
        </is>
      </c>
      <c r="C16" t="inlineStr">
        <is>
          <t>085381905678</t>
        </is>
      </c>
      <c r="D16" t="inlineStr">
        <is>
          <t>pulaubanda2020@gmail.com</t>
        </is>
      </c>
      <c r="E16" t="inlineStr">
        <is>
          <t>https://lpjk.pu.go.id/search-badan-usaha-detail/TGRzTFB4VktxRnFQbzYvWWJQSjVFZz09</t>
        </is>
      </c>
      <c r="F16" t="n">
        <v>1</v>
      </c>
      <c r="G16" t="inlineStr">
        <is>
          <t>BG009</t>
        </is>
      </c>
      <c r="H16" t="inlineStr">
        <is>
          <t>25 Oktober 2017</t>
        </is>
      </c>
      <c r="I16" s="2" t="n">
        <v>46302</v>
      </c>
      <c r="J16" t="inlineStr">
        <is>
          <t>Disetujui</t>
        </is>
      </c>
      <c r="K16" t="n">
        <v>30</v>
      </c>
      <c r="L16" t="inlineStr">
        <is>
          <t>7 Oktober 2026</t>
        </is>
      </c>
      <c r="M16" t="inlineStr">
        <is>
          <t>Konstruksi Gedung Lainnya</t>
        </is>
      </c>
      <c r="N16" t="inlineStr">
        <is>
          <t>K</t>
        </is>
      </c>
      <c r="O16" t="inlineStr">
        <is>
          <t>20231007</t>
        </is>
      </c>
      <c r="P16" t="inlineStr">
        <is>
          <t>Sumatera Selatan</t>
        </is>
      </c>
      <c r="Q16" t="inlineStr"/>
    </row>
    <row r="17">
      <c r="A17" t="inlineStr">
        <is>
          <t>PUTRA ANDALAS PERKASA</t>
        </is>
      </c>
      <c r="B17" t="inlineStr">
        <is>
          <t>Kab. Deli Serdang</t>
        </is>
      </c>
      <c r="C17" t="inlineStr">
        <is>
          <t>082274245577</t>
        </is>
      </c>
      <c r="D17" t="inlineStr">
        <is>
          <t>cv.putraandalasperkasa@gmail.com</t>
        </is>
      </c>
      <c r="E17" t="inlineStr">
        <is>
          <t>https://lpjk.pu.go.id/search-badan-usaha-detail/S2Y4UkZNRFphWGNMMFRRNXpxSjZyZz09</t>
        </is>
      </c>
      <c r="F17" t="n">
        <v>5</v>
      </c>
      <c r="G17" t="inlineStr">
        <is>
          <t>BG002, BG005, BG006, BG008, BG009</t>
        </is>
      </c>
      <c r="H17" t="inlineStr">
        <is>
          <t>28 Mei 2021</t>
        </is>
      </c>
      <c r="I17" s="2" t="n">
        <v>46302</v>
      </c>
      <c r="J17" t="inlineStr">
        <is>
          <t>Pencabutan</t>
        </is>
      </c>
      <c r="K17" t="n">
        <v>30</v>
      </c>
      <c r="L17" t="inlineStr">
        <is>
          <t>7 Oktober 2026</t>
        </is>
      </c>
      <c r="M17" t="inlineStr">
        <is>
          <t>Konstruksi Gedung Kesehatan, Konstruksi Gedung Lainnya, Konstruksi Gedung Pendidikan, Konstruksi Gedung Perkantoran, Konstruksi Gedung Tempat Hiburan dan Olahraga</t>
        </is>
      </c>
      <c r="N17" t="inlineStr">
        <is>
          <t>K</t>
        </is>
      </c>
      <c r="O17" t="inlineStr">
        <is>
          <t>20230904, 20230906, 20231008</t>
        </is>
      </c>
      <c r="P17" t="inlineStr">
        <is>
          <t>Sumatera Utara</t>
        </is>
      </c>
      <c r="Q17" t="inlineStr"/>
    </row>
    <row r="18">
      <c r="A18" t="inlineStr">
        <is>
          <t>SEMBILAN JAYA PERSADA</t>
        </is>
      </c>
      <c r="B18" t="inlineStr">
        <is>
          <t>Kota Palembang</t>
        </is>
      </c>
      <c r="C18" t="inlineStr">
        <is>
          <t>081377826161</t>
        </is>
      </c>
      <c r="D18" t="inlineStr">
        <is>
          <t>psakti32@yahoo.com</t>
        </is>
      </c>
      <c r="E18" t="inlineStr">
        <is>
          <t>https://lpjk.pu.go.id/search-badan-usaha-detail/eTAxaU9taFRGSHl4dXNYNk51SWpjUT09</t>
        </is>
      </c>
      <c r="F18" t="n">
        <v>1</v>
      </c>
      <c r="G18" t="inlineStr">
        <is>
          <t>BS001</t>
        </is>
      </c>
      <c r="H18" t="inlineStr">
        <is>
          <t>22 Juni 2012</t>
        </is>
      </c>
      <c r="I18" s="2" t="n">
        <v>46302</v>
      </c>
      <c r="J18" t="inlineStr">
        <is>
          <t>Disetujui</t>
        </is>
      </c>
      <c r="K18" t="n">
        <v>30</v>
      </c>
      <c r="L18" t="inlineStr">
        <is>
          <t>7 Oktober 2026</t>
        </is>
      </c>
      <c r="M18" t="inlineStr">
        <is>
          <t>Konstruksi Bangunan Sipil Jalan</t>
        </is>
      </c>
      <c r="N18" t="inlineStr">
        <is>
          <t>K</t>
        </is>
      </c>
      <c r="O18" t="inlineStr">
        <is>
          <t>20231006</t>
        </is>
      </c>
      <c r="P18" t="inlineStr">
        <is>
          <t>Sumatera Selatan</t>
        </is>
      </c>
      <c r="Q18" t="inlineStr"/>
    </row>
    <row r="19">
      <c r="A19" t="inlineStr">
        <is>
          <t>TRIPLE ANTANG PERKASA</t>
        </is>
      </c>
      <c r="B19" t="inlineStr">
        <is>
          <t>Kota Palangkaraya</t>
        </is>
      </c>
      <c r="C19" t="inlineStr">
        <is>
          <t>082251222586</t>
        </is>
      </c>
      <c r="D19" t="inlineStr">
        <is>
          <t>cvtripleantangperkasa@gmail.com</t>
        </is>
      </c>
      <c r="E19" t="inlineStr">
        <is>
          <t>https://lpjk.pu.go.id/search-badan-usaha-detail/TDdzZlJJRk1ySVJ2VUI0ZmE4c2hWUT09</t>
        </is>
      </c>
      <c r="F19" t="n">
        <v>1</v>
      </c>
      <c r="G19" t="inlineStr">
        <is>
          <t>BG005</t>
        </is>
      </c>
      <c r="H19" t="inlineStr">
        <is>
          <t>12 Juni 2023</t>
        </is>
      </c>
      <c r="I19" s="2" t="n">
        <v>46302</v>
      </c>
      <c r="J19" t="inlineStr">
        <is>
          <t>Disetujui</t>
        </is>
      </c>
      <c r="K19" t="n">
        <v>30</v>
      </c>
      <c r="L19" t="inlineStr">
        <is>
          <t>7 Oktober 2026</t>
        </is>
      </c>
      <c r="M19" t="inlineStr">
        <is>
          <t>Konstruksi Gedung Kesehatan</t>
        </is>
      </c>
      <c r="N19" t="inlineStr">
        <is>
          <t>K</t>
        </is>
      </c>
      <c r="O19" t="inlineStr">
        <is>
          <t>20231006</t>
        </is>
      </c>
      <c r="P19" t="inlineStr">
        <is>
          <t>Kalimantan Tengah</t>
        </is>
      </c>
      <c r="Q19" t="inlineStr"/>
    </row>
    <row r="20">
      <c r="A20" t="inlineStr">
        <is>
          <t>TSABIT JAYA TAMA</t>
        </is>
      </c>
      <c r="B20" t="inlineStr">
        <is>
          <t>Kota Samarinda</t>
        </is>
      </c>
      <c r="C20" t="inlineStr">
        <is>
          <t>081250383828</t>
        </is>
      </c>
      <c r="D20" t="inlineStr">
        <is>
          <t>tsabitjayatama@gmail.com</t>
        </is>
      </c>
      <c r="E20" t="inlineStr">
        <is>
          <t>https://lpjk.pu.go.id/search-badan-usaha-detail/bmZYelpkNUFsNVUvaVB6WUFsV1g0QT09</t>
        </is>
      </c>
      <c r="F20" t="n">
        <v>1</v>
      </c>
      <c r="G20" t="inlineStr">
        <is>
          <t>BS004</t>
        </is>
      </c>
      <c r="H20" t="inlineStr">
        <is>
          <t>20 September 2013</t>
        </is>
      </c>
      <c r="I20" s="2" t="n">
        <v>46302</v>
      </c>
      <c r="J20" t="inlineStr">
        <is>
          <t>Permohonan Perubahan Non Asesmen</t>
        </is>
      </c>
      <c r="K20" t="n">
        <v>30</v>
      </c>
      <c r="L20" t="inlineStr">
        <is>
          <t>7 Oktober 2026</t>
        </is>
      </c>
      <c r="M20" t="inlineStr">
        <is>
          <t>Konstruksi Jaringan Irigasi dan Drainase</t>
        </is>
      </c>
      <c r="N20" t="inlineStr">
        <is>
          <t>M</t>
        </is>
      </c>
      <c r="O20" t="inlineStr">
        <is>
          <t>20231006</t>
        </is>
      </c>
      <c r="P20" t="inlineStr">
        <is>
          <t>Kalimantan Timur</t>
        </is>
      </c>
      <c r="Q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2026-09-07T02:59:47Z</dcterms:created>
  <dcterms:modified xsi:type="dcterms:W3CDTF">2026-09-07T02:59:47Z</dcterms:modified>
</cp:coreProperties>
</file>