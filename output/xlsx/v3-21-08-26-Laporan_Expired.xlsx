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
  <sheetViews>
    <sheetView workbookViewId="0">
      <selection activeCell="A1" sqref="A1"/>
    </sheetView>
  </sheetViews>
  <sheetFormatPr baseColWidth="8" defaultRowHeight="15"/>
  <cols>
    <col width="35" customWidth="1" min="1" max="1"/>
    <col width="27" customWidth="1" min="2" max="2"/>
    <col width="15" customWidth="1" min="3" max="3"/>
    <col width="39"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ARSYA PRATAMA RAYA</t>
        </is>
      </c>
      <c r="B2" t="inlineStr">
        <is>
          <t>Kota Bekasi</t>
        </is>
      </c>
      <c r="C2" t="inlineStr">
        <is>
          <t>082112353648</t>
        </is>
      </c>
      <c r="D2" t="inlineStr">
        <is>
          <t>ptarsyapratamaraya@gmail.com</t>
        </is>
      </c>
      <c r="E2" t="inlineStr">
        <is>
          <t>https://lpjk.pu.go.id/search-badan-usaha-detail/WW83Q0xjNmswZ1JjZXJZSlJ2UmhjUT09</t>
        </is>
      </c>
      <c r="F2" t="n">
        <v>1</v>
      </c>
      <c r="G2" t="inlineStr">
        <is>
          <t>BS004</t>
        </is>
      </c>
      <c r="H2" t="inlineStr">
        <is>
          <t>31 Mei 2018</t>
        </is>
      </c>
      <c r="I2" s="2" t="n">
        <v>46342</v>
      </c>
      <c r="J2" t="inlineStr">
        <is>
          <t>Pencabutan</t>
        </is>
      </c>
      <c r="K2" t="n">
        <v>87</v>
      </c>
      <c r="L2" t="inlineStr">
        <is>
          <t>16 November 2026</t>
        </is>
      </c>
      <c r="M2" t="inlineStr">
        <is>
          <t>Konstruksi Jaringan Irigasi dan Drainase</t>
        </is>
      </c>
      <c r="N2" t="inlineStr">
        <is>
          <t>M</t>
        </is>
      </c>
      <c r="O2" t="inlineStr">
        <is>
          <t>20231114</t>
        </is>
      </c>
      <c r="P2" t="inlineStr">
        <is>
          <t>Jawa Barat</t>
        </is>
      </c>
      <c r="Q2" s="3">
        <f>HYPERLINK("https://wa.me/6282112353648?text=Selamat siang Bapak/Ibu pimpinan ARSYA PRATAMA RAYA,%0A%0ASemoga Bapak/Ibu dalam keadaan baik.%0ABerdasarkan data LPJK, masa berlaku SBU perusahaan Bapak/Ibu akan berakhir sekitar 3 bulan lagi (pada 16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ATHAYA MANDIRI UTAMA</t>
        </is>
      </c>
      <c r="B3" t="inlineStr">
        <is>
          <t>Kota Bekasi</t>
        </is>
      </c>
      <c r="C3" t="inlineStr">
        <is>
          <t>085718575863</t>
        </is>
      </c>
      <c r="D3" t="inlineStr">
        <is>
          <t>athayamandiriutama2022@gmail.com</t>
        </is>
      </c>
      <c r="E3" t="inlineStr">
        <is>
          <t>https://lpjk.pu.go.id/search-badan-usaha-detail/YnFBalB5Wmx3K1A4dENjQnhQZ3V0QT09</t>
        </is>
      </c>
      <c r="F3" t="n">
        <v>1</v>
      </c>
      <c r="G3" t="inlineStr">
        <is>
          <t>BG002</t>
        </is>
      </c>
      <c r="H3" t="inlineStr">
        <is>
          <t>27 September 2022</t>
        </is>
      </c>
      <c r="I3" s="2" t="n">
        <v>46342</v>
      </c>
      <c r="J3" t="inlineStr">
        <is>
          <t>Disetujui</t>
        </is>
      </c>
      <c r="K3" t="n">
        <v>87</v>
      </c>
      <c r="L3" t="inlineStr">
        <is>
          <t>16 November 2026</t>
        </is>
      </c>
      <c r="M3" t="inlineStr">
        <is>
          <t>Konstruksi Gedung Perkantoran</t>
        </is>
      </c>
      <c r="N3" t="inlineStr">
        <is>
          <t>K</t>
        </is>
      </c>
      <c r="O3" t="inlineStr">
        <is>
          <t>20231115</t>
        </is>
      </c>
      <c r="P3" t="inlineStr">
        <is>
          <t>Jawa Barat</t>
        </is>
      </c>
      <c r="Q3" s="3">
        <f>HYPERLINK("https://wa.me/6285718575863?text=Selamat siang Bapak/Ibu pimpinan ATHAYA MANDIRI UTAMA,%0A%0ASemoga Bapak/Ibu dalam keadaan baik.%0ABerdasarkan data LPJK, masa berlaku SBU perusahaan Bapak/Ibu akan berakhir sekitar 3 bulan lagi (pada 16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DINAMIKA JAYA SEMESTA</t>
        </is>
      </c>
      <c r="B4" t="inlineStr">
        <is>
          <t>Kab. Bekasi</t>
        </is>
      </c>
      <c r="C4" t="inlineStr">
        <is>
          <t>081380591694</t>
        </is>
      </c>
      <c r="D4" t="inlineStr">
        <is>
          <t>dinamikajayasemesta.pt@yahoo.com</t>
        </is>
      </c>
      <c r="E4" t="inlineStr">
        <is>
          <t>https://lpjk.pu.go.id/search-badan-usaha-detail/dmVWSysvTzAwZEh0SjNTbGJUcitwQT09</t>
        </is>
      </c>
      <c r="F4" t="n">
        <v>6</v>
      </c>
      <c r="G4" t="inlineStr">
        <is>
          <t>BS002, BS004</t>
        </is>
      </c>
      <c r="H4" t="inlineStr">
        <is>
          <t>1 September 2023</t>
        </is>
      </c>
      <c r="I4" s="2" t="n">
        <v>46342</v>
      </c>
      <c r="J4" t="inlineStr">
        <is>
          <t>Disetujui</t>
        </is>
      </c>
      <c r="K4" t="n">
        <v>87</v>
      </c>
      <c r="L4" t="inlineStr">
        <is>
          <t>16 November 2026</t>
        </is>
      </c>
      <c r="M4" t="inlineStr">
        <is>
          <t>Bangunan Sipil Jembatan, Jalan Layang, Fly Over, dan Underpass, Konstruksi Jaringan Irigasi dan Drainase</t>
        </is>
      </c>
      <c r="N4" t="inlineStr">
        <is>
          <t>K</t>
        </is>
      </c>
      <c r="O4" t="inlineStr">
        <is>
          <t>20231116</t>
        </is>
      </c>
      <c r="P4" t="inlineStr">
        <is>
          <t>Jawa Barat</t>
        </is>
      </c>
      <c r="Q4" s="3">
        <f>HYPERLINK("https://wa.me/6281380591694?text=Selamat siang Bapak/Ibu pimpinan DINAMIKA JAYA SEMESTA,%0A%0ASemoga Bapak/Ibu dalam keadaan baik.%0ABerdasarkan data LPJK, masa berlaku SBU perusahaan Bapak/Ibu akan berakhir sekitar 3 bulan lagi (pada 16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INTER KREASI ADHITAMA</t>
        </is>
      </c>
      <c r="B5" t="inlineStr">
        <is>
          <t>Kab. Bogor</t>
        </is>
      </c>
      <c r="C5" t="inlineStr">
        <is>
          <t>02187953555</t>
        </is>
      </c>
      <c r="D5" t="inlineStr">
        <is>
          <t>ika.veroty@gmail.com</t>
        </is>
      </c>
      <c r="E5" t="inlineStr">
        <is>
          <t>https://lpjk.pu.go.id/search-badan-usaha-detail/S3gvWjNmd1hJdWVGT0lhUjh0YjVZQT09</t>
        </is>
      </c>
      <c r="F5" t="n">
        <v>1</v>
      </c>
      <c r="G5" t="inlineStr">
        <is>
          <t>PB004</t>
        </is>
      </c>
      <c r="H5" t="inlineStr">
        <is>
          <t>18 April 2012</t>
        </is>
      </c>
      <c r="I5" s="2" t="n">
        <v>46342</v>
      </c>
      <c r="J5" t="inlineStr">
        <is>
          <t>Disetujui</t>
        </is>
      </c>
      <c r="K5" t="n">
        <v>87</v>
      </c>
      <c r="L5" t="inlineStr">
        <is>
          <t>16 November 2026</t>
        </is>
      </c>
      <c r="M5" t="inlineStr">
        <is>
          <t>Dekorasi Interior</t>
        </is>
      </c>
      <c r="N5" t="inlineStr">
        <is>
          <t>Spesialis</t>
        </is>
      </c>
      <c r="O5" t="inlineStr">
        <is>
          <t>20231031</t>
        </is>
      </c>
      <c r="P5" t="inlineStr">
        <is>
          <t>Jawa Barat</t>
        </is>
      </c>
      <c r="Q5" t="inlineStr"/>
    </row>
    <row r="6">
      <c r="A6" t="inlineStr">
        <is>
          <t>POWERTECH NANO INDUSTRI</t>
        </is>
      </c>
      <c r="B6" t="inlineStr">
        <is>
          <t>Kab. Bogor</t>
        </is>
      </c>
      <c r="C6" t="inlineStr">
        <is>
          <t>08111772999</t>
        </is>
      </c>
      <c r="D6" t="inlineStr">
        <is>
          <t>powertechnanoindustri@gmail.com</t>
        </is>
      </c>
      <c r="E6" t="inlineStr">
        <is>
          <t>https://lpjk.pu.go.id/search-badan-usaha-detail/Y1JLd0pEUG9WM3dCZUN0TnFmaEgzZz09</t>
        </is>
      </c>
      <c r="F6" t="n">
        <v>8</v>
      </c>
      <c r="G6" t="inlineStr">
        <is>
          <t>BG002, BG003, BG004, BG005</t>
        </is>
      </c>
      <c r="H6" t="inlineStr">
        <is>
          <t>26 Februari 2023</t>
        </is>
      </c>
      <c r="I6" s="2" t="n">
        <v>46342</v>
      </c>
      <c r="J6" t="inlineStr">
        <is>
          <t>Disetujui</t>
        </is>
      </c>
      <c r="K6" t="n">
        <v>87</v>
      </c>
      <c r="L6" t="inlineStr">
        <is>
          <t>16 November 2026</t>
        </is>
      </c>
      <c r="M6" t="inlineStr">
        <is>
          <t>Konstruksi Gedung Industri, Konstruksi Gedung Kesehatan, Konstruksi Gedung Perbelanjaan, Konstruksi Gedung Perkantoran</t>
        </is>
      </c>
      <c r="N6" t="inlineStr">
        <is>
          <t>K</t>
        </is>
      </c>
      <c r="O6" t="inlineStr">
        <is>
          <t>20231115</t>
        </is>
      </c>
      <c r="P6" t="inlineStr">
        <is>
          <t>Jawa Barat</t>
        </is>
      </c>
      <c r="Q6" s="3">
        <f>HYPERLINK("https://wa.me/628111772999?text=Selamat siang Bapak/Ibu pimpinan POWERTECH NANO INDUSTRI,%0A%0ASemoga Bapak/Ibu dalam keadaan baik.%0ABerdasarkan data LPJK, masa berlaku SBU perusahaan Bapak/Ibu akan berakhir sekitar 3 bulan lagi (pada 16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YASATAMA PARAMITRA</t>
        </is>
      </c>
      <c r="B7" t="inlineStr">
        <is>
          <t>Kota Depok</t>
        </is>
      </c>
      <c r="C7" t="inlineStr">
        <is>
          <t>02177972008</t>
        </is>
      </c>
      <c r="D7" t="inlineStr">
        <is>
          <t>yasatamapt@yahoo.com</t>
        </is>
      </c>
      <c r="E7" t="inlineStr">
        <is>
          <t>https://lpjk.pu.go.id/search-badan-usaha-detail/cVhka1c1WkZpVWRNSm8rRFI1UERHdz09</t>
        </is>
      </c>
      <c r="F7" t="n">
        <v>10</v>
      </c>
      <c r="G7" t="inlineStr">
        <is>
          <t>BG001, BG002, BG005, BG006, BG009</t>
        </is>
      </c>
      <c r="H7" t="inlineStr">
        <is>
          <t>2 Oktober 1995</t>
        </is>
      </c>
      <c r="I7" s="2" t="n">
        <v>46342</v>
      </c>
      <c r="J7" t="inlineStr">
        <is>
          <t>Disetujui</t>
        </is>
      </c>
      <c r="K7" t="n">
        <v>87</v>
      </c>
      <c r="L7" t="inlineStr">
        <is>
          <t>16 November 2026</t>
        </is>
      </c>
      <c r="M7" t="inlineStr">
        <is>
          <t>Konstruksi Gedung Hunian, Konstruksi Gedung Kesehatan, Konstruksi Gedung Lainnya, Konstruksi Gedung Pendidikan, Konstruksi Gedung Perkantoran</t>
        </is>
      </c>
      <c r="N7" t="inlineStr">
        <is>
          <t>K</t>
        </is>
      </c>
      <c r="O7" t="inlineStr">
        <is>
          <t>20231117</t>
        </is>
      </c>
      <c r="P7" t="inlineStr">
        <is>
          <t>Jawa Barat</t>
        </is>
      </c>
      <c r="Q7" t="inlineStr"/>
    </row>
    <row r="8">
      <c r="A8" t="inlineStr">
        <is>
          <t>ABINDO RAYA DARMA PERKASA</t>
        </is>
      </c>
      <c r="B8" t="inlineStr">
        <is>
          <t>Kab. Tangerang</t>
        </is>
      </c>
      <c r="C8" t="inlineStr">
        <is>
          <t>02122018388</t>
        </is>
      </c>
      <c r="D8" t="inlineStr">
        <is>
          <t>ktono3503@gmail.com</t>
        </is>
      </c>
      <c r="E8" t="inlineStr">
        <is>
          <t>https://lpjk.pu.go.id/search-badan-usaha-detail/UW42UkE0bmdDTUJycSswL1JieEthUT09</t>
        </is>
      </c>
      <c r="F8" t="n">
        <v>1</v>
      </c>
      <c r="G8" t="inlineStr">
        <is>
          <t>BG005</t>
        </is>
      </c>
      <c r="H8" t="inlineStr">
        <is>
          <t>23 November 2016</t>
        </is>
      </c>
      <c r="I8" s="2" t="n">
        <v>46342</v>
      </c>
      <c r="J8" t="inlineStr">
        <is>
          <t>Disetujui</t>
        </is>
      </c>
      <c r="K8" t="n">
        <v>87</v>
      </c>
      <c r="L8" t="inlineStr">
        <is>
          <t>16 November 2026</t>
        </is>
      </c>
      <c r="M8" t="inlineStr">
        <is>
          <t>Konstruksi Gedung Kesehatan</t>
        </is>
      </c>
      <c r="N8" t="inlineStr">
        <is>
          <t>K</t>
        </is>
      </c>
      <c r="O8" t="inlineStr">
        <is>
          <t>20231117</t>
        </is>
      </c>
      <c r="P8" t="inlineStr">
        <is>
          <t>Banten</t>
        </is>
      </c>
      <c r="Q8" t="inlineStr"/>
    </row>
    <row r="9">
      <c r="A9" t="inlineStr">
        <is>
          <t>AGUNG MORO</t>
        </is>
      </c>
      <c r="B9" t="inlineStr">
        <is>
          <t>Kab. Banyumas</t>
        </is>
      </c>
      <c r="C9" t="inlineStr">
        <is>
          <t>081219619329</t>
        </is>
      </c>
      <c r="D9" t="inlineStr">
        <is>
          <t>cvagungmoro@gmail.com</t>
        </is>
      </c>
      <c r="E9" t="inlineStr">
        <is>
          <t>https://lpjk.pu.go.id/search-badan-usaha-detail/RkZ3bFFvZHQ5WDZxbFRmaVZVbWN6Zz09</t>
        </is>
      </c>
      <c r="F9" t="n">
        <v>4</v>
      </c>
      <c r="G9" t="inlineStr">
        <is>
          <t>BG006, BS001</t>
        </is>
      </c>
      <c r="H9" t="inlineStr">
        <is>
          <t>22 Juni 2012</t>
        </is>
      </c>
      <c r="I9" s="2" t="n">
        <v>46342</v>
      </c>
      <c r="J9" t="inlineStr">
        <is>
          <t>Disetujui</t>
        </is>
      </c>
      <c r="K9" t="n">
        <v>87</v>
      </c>
      <c r="L9" t="inlineStr">
        <is>
          <t>16 November 2026</t>
        </is>
      </c>
      <c r="M9" t="inlineStr">
        <is>
          <t>Konstruksi Bangunan Sipil Jalan, Konstruksi Gedung Pendidikan</t>
        </is>
      </c>
      <c r="N9" t="inlineStr">
        <is>
          <t>K</t>
        </is>
      </c>
      <c r="O9" t="inlineStr">
        <is>
          <t>20231116, 20231120</t>
        </is>
      </c>
      <c r="P9" t="inlineStr">
        <is>
          <t>Jawa Tengah</t>
        </is>
      </c>
      <c r="Q9" t="inlineStr"/>
    </row>
    <row r="10">
      <c r="A10" t="inlineStr">
        <is>
          <t>AMAN LANCAR BERKAH</t>
        </is>
      </c>
      <c r="B10" t="inlineStr">
        <is>
          <t>Kota Salatiga</t>
        </is>
      </c>
      <c r="C10" t="inlineStr">
        <is>
          <t>085640776669</t>
        </is>
      </c>
      <c r="D10" t="inlineStr">
        <is>
          <t>cvamanlancarberkah@gmail.com</t>
        </is>
      </c>
      <c r="E10" t="inlineStr">
        <is>
          <t>https://lpjk.pu.go.id/search-badan-usaha-detail/WlFWY3MzdjkvWVhvZFZlWjVXd1UvZz09</t>
        </is>
      </c>
      <c r="F10" t="n">
        <v>1</v>
      </c>
      <c r="G10" t="inlineStr">
        <is>
          <t>BS006</t>
        </is>
      </c>
      <c r="H10" t="inlineStr">
        <is>
          <t>27 Januari 2023</t>
        </is>
      </c>
      <c r="I10" s="2" t="n">
        <v>46342</v>
      </c>
      <c r="J10" t="inlineStr">
        <is>
          <t>Dokumen Tidak Lengkap</t>
        </is>
      </c>
      <c r="K10" t="n">
        <v>87</v>
      </c>
      <c r="L10" t="inlineStr">
        <is>
          <t>16 November 2026</t>
        </is>
      </c>
      <c r="M10" t="inlineStr">
        <is>
          <t>Konstruksi Bangunan Sipil Prasarana dan Sarana Sistem Pengolahan Limbah Padat, Cair, dan Gas</t>
        </is>
      </c>
      <c r="N10" t="inlineStr">
        <is>
          <t>K</t>
        </is>
      </c>
      <c r="O10" t="inlineStr">
        <is>
          <t>20231113</t>
        </is>
      </c>
      <c r="P10" t="inlineStr">
        <is>
          <t>Jawa Tengah</t>
        </is>
      </c>
      <c r="Q10" t="inlineStr"/>
    </row>
    <row r="11">
      <c r="A11" t="inlineStr">
        <is>
          <t>AMANAHING MAHA KINASIH</t>
        </is>
      </c>
      <c r="B11" t="inlineStr">
        <is>
          <t>Kota Adm. Jakarta Barat</t>
        </is>
      </c>
      <c r="C11" t="inlineStr">
        <is>
          <t>0215492247</t>
        </is>
      </c>
      <c r="D11" t="inlineStr">
        <is>
          <t>diding@amanahing.co.id</t>
        </is>
      </c>
      <c r="E11" t="inlineStr">
        <is>
          <t>https://lpjk.pu.go.id/search-badan-usaha-detail/M1BRaUt2SzdZbk5QU0ZyNHlKMFdwdz09</t>
        </is>
      </c>
      <c r="F11" t="n">
        <v>3</v>
      </c>
      <c r="G11" t="inlineStr">
        <is>
          <t>BS009</t>
        </is>
      </c>
      <c r="H11" t="inlineStr">
        <is>
          <t>17 Januari 2012</t>
        </is>
      </c>
      <c r="I11" s="2" t="n">
        <v>46342</v>
      </c>
      <c r="J11" t="inlineStr">
        <is>
          <t>Disetujui</t>
        </is>
      </c>
      <c r="K11" t="n">
        <v>87</v>
      </c>
      <c r="L11" t="inlineStr">
        <is>
          <t>16 November 2026</t>
        </is>
      </c>
      <c r="M11" t="inlineStr">
        <is>
          <t>Konstruksi Sentral Telekomunikasi</t>
        </is>
      </c>
      <c r="N11" t="inlineStr">
        <is>
          <t>K</t>
        </is>
      </c>
      <c r="O11" t="inlineStr">
        <is>
          <t>20231115</t>
        </is>
      </c>
      <c r="P11" t="inlineStr">
        <is>
          <t>DKI Jakarta</t>
        </is>
      </c>
      <c r="Q11" t="inlineStr"/>
    </row>
    <row r="12">
      <c r="A12" t="inlineStr">
        <is>
          <t>ANNISA CIPTA KONSULTAN</t>
        </is>
      </c>
      <c r="B12" t="inlineStr">
        <is>
          <t>Kab. Siak</t>
        </is>
      </c>
      <c r="C12" t="inlineStr">
        <is>
          <t>082284424854</t>
        </is>
      </c>
      <c r="D12" t="inlineStr">
        <is>
          <t>annisaciptakonsultancv@gmail.com</t>
        </is>
      </c>
      <c r="E12" t="inlineStr">
        <is>
          <t>https://lpjk.pu.go.id/search-badan-usaha-detail/UGUydXZGMnZNdTRzMTYrZVhMRXlRQT09</t>
        </is>
      </c>
      <c r="F12" t="n">
        <v>1</v>
      </c>
      <c r="G12" t="inlineStr">
        <is>
          <t>RK001</t>
        </is>
      </c>
      <c r="H12" t="inlineStr">
        <is>
          <t>14 Juli 2018</t>
        </is>
      </c>
      <c r="I12" s="2" t="n">
        <v>46342</v>
      </c>
      <c r="J12" t="inlineStr">
        <is>
          <t>Disetujui</t>
        </is>
      </c>
      <c r="K12" t="n">
        <v>87</v>
      </c>
      <c r="L12" t="inlineStr">
        <is>
          <t>16 November 2026</t>
        </is>
      </c>
      <c r="M12" t="inlineStr">
        <is>
          <t>Jasa Rekayasa Konstruksi Bangunan Gedung Hunian dan Non Hunian</t>
        </is>
      </c>
      <c r="N12" t="inlineStr">
        <is>
          <t>K</t>
        </is>
      </c>
      <c r="O12" t="inlineStr">
        <is>
          <t>20231113</t>
        </is>
      </c>
      <c r="P12" t="inlineStr">
        <is>
          <t>Riau</t>
        </is>
      </c>
      <c r="Q12" t="inlineStr"/>
    </row>
    <row r="13">
      <c r="A13" t="inlineStr">
        <is>
          <t>ANUGERAH CAHAYA TEKNIK</t>
        </is>
      </c>
      <c r="B13" t="inlineStr">
        <is>
          <t>Kota Pasuruan</t>
        </is>
      </c>
      <c r="C13" t="inlineStr">
        <is>
          <t>085333338557</t>
        </is>
      </c>
      <c r="D13" t="inlineStr">
        <is>
          <t>adi.wijoyo67@gmail.com</t>
        </is>
      </c>
      <c r="E13" t="inlineStr">
        <is>
          <t>https://lpjk.pu.go.id/search-badan-usaha-detail/c1VndFRSQnh3UUlaTWhZam54cXBVZz09</t>
        </is>
      </c>
      <c r="F13" t="n">
        <v>1</v>
      </c>
      <c r="G13" t="inlineStr">
        <is>
          <t>BS001</t>
        </is>
      </c>
      <c r="H13" t="inlineStr">
        <is>
          <t>21 November 2019</t>
        </is>
      </c>
      <c r="I13" s="2" t="n">
        <v>46342</v>
      </c>
      <c r="J13" t="inlineStr">
        <is>
          <t>Disetujui</t>
        </is>
      </c>
      <c r="K13" t="n">
        <v>87</v>
      </c>
      <c r="L13" t="inlineStr">
        <is>
          <t>16 November 2026</t>
        </is>
      </c>
      <c r="M13" t="inlineStr">
        <is>
          <t>Konstruksi Bangunan Sipil Jalan</t>
        </is>
      </c>
      <c r="N13" t="inlineStr">
        <is>
          <t>K</t>
        </is>
      </c>
      <c r="O13" t="inlineStr">
        <is>
          <t>20231107</t>
        </is>
      </c>
      <c r="P13" t="inlineStr">
        <is>
          <t>Jawa Timur</t>
        </is>
      </c>
      <c r="Q13" t="inlineStr"/>
    </row>
    <row r="14">
      <c r="A14" t="inlineStr">
        <is>
          <t>ANUGERAHKARYA AGRASENTOSA</t>
        </is>
      </c>
      <c r="B14" t="inlineStr">
        <is>
          <t>Kota Malang</t>
        </is>
      </c>
      <c r="C14" t="inlineStr">
        <is>
          <t>0341366888</t>
        </is>
      </c>
      <c r="D14" t="inlineStr">
        <is>
          <t>akas_mlg@yahoo.co.id</t>
        </is>
      </c>
      <c r="E14" t="inlineStr">
        <is>
          <t>https://lpjk.pu.go.id/search-badan-usaha-detail/dWQ2MnUySVB3VmhmV2JIUmdqSWF3Zz09</t>
        </is>
      </c>
      <c r="F14" t="n">
        <v>1</v>
      </c>
      <c r="G14" t="inlineStr">
        <is>
          <t>BS001</t>
        </is>
      </c>
      <c r="H14" t="inlineStr">
        <is>
          <t>28 Oktober 1991</t>
        </is>
      </c>
      <c r="I14" s="2" t="n">
        <v>46342</v>
      </c>
      <c r="J14" t="inlineStr">
        <is>
          <t>Disetujui</t>
        </is>
      </c>
      <c r="K14" t="n">
        <v>87</v>
      </c>
      <c r="L14" t="inlineStr">
        <is>
          <t>16 November 2026</t>
        </is>
      </c>
      <c r="M14" t="inlineStr">
        <is>
          <t>Konstruksi Bangunan Sipil Jalan</t>
        </is>
      </c>
      <c r="N14" t="inlineStr">
        <is>
          <t>B</t>
        </is>
      </c>
      <c r="O14" t="inlineStr">
        <is>
          <t>20230525</t>
        </is>
      </c>
      <c r="P14" t="inlineStr">
        <is>
          <t>Jawa Timur</t>
        </is>
      </c>
      <c r="Q14" t="inlineStr"/>
    </row>
    <row r="15">
      <c r="A15" t="inlineStr">
        <is>
          <t>ANUGRAH LUHUR</t>
        </is>
      </c>
      <c r="B15" t="inlineStr">
        <is>
          <t>Kota Makassar</t>
        </is>
      </c>
      <c r="C15" t="inlineStr">
        <is>
          <t>081372653299</t>
        </is>
      </c>
      <c r="D15" t="inlineStr">
        <is>
          <t>anugrah_luhur@yahoo.co.id</t>
        </is>
      </c>
      <c r="E15" t="inlineStr">
        <is>
          <t>https://lpjk.pu.go.id/search-badan-usaha-detail/WGdTT0cvOE42amF1UkRYbnFla00vZz09</t>
        </is>
      </c>
      <c r="F15" t="n">
        <v>4</v>
      </c>
      <c r="G15" t="inlineStr">
        <is>
          <t>BG009, BS005</t>
        </is>
      </c>
      <c r="H15" t="inlineStr">
        <is>
          <t>26 Mei 2005</t>
        </is>
      </c>
      <c r="I15" s="2" t="n">
        <v>46342</v>
      </c>
      <c r="J15" t="inlineStr">
        <is>
          <t>Disetujui</t>
        </is>
      </c>
      <c r="K15" t="n">
        <v>87</v>
      </c>
      <c r="L15" t="inlineStr">
        <is>
          <t>16 November 2026</t>
        </is>
      </c>
      <c r="M15" t="inlineStr">
        <is>
          <t>Konstruksi Bangunan Sipil Pengolahan Air Bersih, Konstruksi Gedung Lainnya</t>
        </is>
      </c>
      <c r="N15" t="inlineStr">
        <is>
          <t>K</t>
        </is>
      </c>
      <c r="O15" t="inlineStr">
        <is>
          <t>20231111, 20231117</t>
        </is>
      </c>
      <c r="P15" t="inlineStr">
        <is>
          <t>Sulawesi Selatan</t>
        </is>
      </c>
      <c r="Q15" t="inlineStr"/>
    </row>
    <row r="16">
      <c r="A16" t="inlineStr">
        <is>
          <t>ARKANANTA KARYA KONSTRUKSI</t>
        </is>
      </c>
      <c r="B16" t="inlineStr">
        <is>
          <t>Kota Samarinda</t>
        </is>
      </c>
      <c r="C16" t="inlineStr">
        <is>
          <t>08125476643</t>
        </is>
      </c>
      <c r="D16" t="inlineStr">
        <is>
          <t>cv.arkanantakaryakonstruksi@gmail.com</t>
        </is>
      </c>
      <c r="E16" t="inlineStr">
        <is>
          <t>https://lpjk.pu.go.id/search-badan-usaha-detail/bElRMzdNcFFFbU9icVd4Wmt2ZXFpUT09</t>
        </is>
      </c>
      <c r="F16" t="n">
        <v>4</v>
      </c>
      <c r="G16" t="inlineStr">
        <is>
          <t>BG009</t>
        </is>
      </c>
      <c r="H16" t="inlineStr">
        <is>
          <t>6 Januari 2023</t>
        </is>
      </c>
      <c r="I16" s="2" t="n">
        <v>46342</v>
      </c>
      <c r="J16" t="inlineStr">
        <is>
          <t>Disetujui</t>
        </is>
      </c>
      <c r="K16" t="n">
        <v>87</v>
      </c>
      <c r="L16" t="inlineStr">
        <is>
          <t>16 November 2026</t>
        </is>
      </c>
      <c r="M16" t="inlineStr">
        <is>
          <t>Konstruksi Gedung Lainnya</t>
        </is>
      </c>
      <c r="N16" t="inlineStr">
        <is>
          <t>K</t>
        </is>
      </c>
      <c r="O16" t="inlineStr">
        <is>
          <t>20231117</t>
        </is>
      </c>
      <c r="P16" t="inlineStr">
        <is>
          <t>Kalimantan Timur</t>
        </is>
      </c>
      <c r="Q16" t="inlineStr"/>
    </row>
    <row r="17">
      <c r="A17" t="inlineStr">
        <is>
          <t>ARSY KARYA</t>
        </is>
      </c>
      <c r="B17" t="inlineStr">
        <is>
          <t>Kab. Jombang</t>
        </is>
      </c>
      <c r="C17" t="inlineStr">
        <is>
          <t>085859941446</t>
        </is>
      </c>
      <c r="D17" t="inlineStr">
        <is>
          <t>arsykarya@mail.com</t>
        </is>
      </c>
      <c r="E17" t="inlineStr">
        <is>
          <t>https://lpjk.pu.go.id/search-badan-usaha-detail/L2dSWTNEMmI4bzMyd3VyN1lONGlIUT09</t>
        </is>
      </c>
      <c r="F17" t="n">
        <v>2</v>
      </c>
      <c r="G17" t="inlineStr">
        <is>
          <t>BG005, BG006</t>
        </is>
      </c>
      <c r="H17" t="inlineStr">
        <is>
          <t>27 Oktober 2018</t>
        </is>
      </c>
      <c r="I17" s="2" t="n">
        <v>46342</v>
      </c>
      <c r="J17" t="inlineStr">
        <is>
          <t>Disetujui</t>
        </is>
      </c>
      <c r="K17" t="n">
        <v>87</v>
      </c>
      <c r="L17" t="inlineStr">
        <is>
          <t>16 November 2026</t>
        </is>
      </c>
      <c r="M17" t="inlineStr">
        <is>
          <t>Konstruksi Gedung Kesehatan, Konstruksi Gedung Pendidikan</t>
        </is>
      </c>
      <c r="N17" t="inlineStr">
        <is>
          <t>K</t>
        </is>
      </c>
      <c r="O17" t="inlineStr">
        <is>
          <t>20231114</t>
        </is>
      </c>
      <c r="P17" t="inlineStr">
        <is>
          <t>Jawa Timur</t>
        </is>
      </c>
      <c r="Q17" t="inlineStr"/>
    </row>
    <row r="18">
      <c r="A18" t="inlineStr">
        <is>
          <t>ARTEFAK ARKINDO MITRAKITA</t>
        </is>
      </c>
      <c r="B18" t="inlineStr">
        <is>
          <t>Kota Adm. Jakarta Barat</t>
        </is>
      </c>
      <c r="C18" t="inlineStr">
        <is>
          <t>082395553547</t>
        </is>
      </c>
      <c r="D18" t="inlineStr">
        <is>
          <t>artefakmitrakita@yahoo.com</t>
        </is>
      </c>
      <c r="E18" t="inlineStr">
        <is>
          <t>https://lpjk.pu.go.id/search-badan-usaha-detail/N2F5RGhUbW5HSHNnTG94RkVvYWFjUT09</t>
        </is>
      </c>
      <c r="F18" t="n">
        <v>3</v>
      </c>
      <c r="G18" t="inlineStr">
        <is>
          <t>AR001, AR002, RK001</t>
        </is>
      </c>
      <c r="H18" t="inlineStr">
        <is>
          <t>16 Juni 2016</t>
        </is>
      </c>
      <c r="I18" s="2" t="n">
        <v>46342</v>
      </c>
      <c r="J18" t="inlineStr">
        <is>
          <t>Disetujui</t>
        </is>
      </c>
      <c r="K18" t="n">
        <v>87</v>
      </c>
      <c r="L18" t="inlineStr">
        <is>
          <t>16 November 2026</t>
        </is>
      </c>
      <c r="M18" t="inlineStr">
        <is>
          <t>Jasa Arsitektural Bangunan Gedung Hunian dan Non Hunian, Jasa Arsitektural Lainnya, Jasa Rekayasa Konstruksi Bangunan Gedung Hunian dan Non Hunian</t>
        </is>
      </c>
      <c r="N18" t="inlineStr">
        <is>
          <t>K</t>
        </is>
      </c>
      <c r="O18" t="inlineStr">
        <is>
          <t>20231019, 20231023</t>
        </is>
      </c>
      <c r="P18" t="inlineStr">
        <is>
          <t>DKI Jakarta</t>
        </is>
      </c>
      <c r="Q18" t="inlineStr"/>
    </row>
    <row r="19">
      <c r="A19" t="inlineStr">
        <is>
          <t>AZZAM KANZA BERSAUDARA SEJAHTERA</t>
        </is>
      </c>
      <c r="B19" t="inlineStr">
        <is>
          <t>Kota Padang Sidempuan</t>
        </is>
      </c>
      <c r="C19" t="inlineStr">
        <is>
          <t>085275165060</t>
        </is>
      </c>
      <c r="D19" t="inlineStr">
        <is>
          <t>azzamkanza.cv@gmail.com</t>
        </is>
      </c>
      <c r="E19" t="inlineStr">
        <is>
          <t>https://lpjk.pu.go.id/search-badan-usaha-detail/R0I2T1hoRFJiMGdjWXVJYi9nN0hndz09</t>
        </is>
      </c>
      <c r="F19" t="n">
        <v>4</v>
      </c>
      <c r="G19" t="inlineStr">
        <is>
          <t>BG006, BG009, BS001, BS004</t>
        </is>
      </c>
      <c r="H19" t="inlineStr">
        <is>
          <t>9 Juni 2023</t>
        </is>
      </c>
      <c r="I19" s="2" t="n">
        <v>46342</v>
      </c>
      <c r="J19" t="inlineStr">
        <is>
          <t>Pencabutan</t>
        </is>
      </c>
      <c r="K19" t="n">
        <v>87</v>
      </c>
      <c r="L19" t="inlineStr">
        <is>
          <t>16 November 2026</t>
        </is>
      </c>
      <c r="M19" t="inlineStr">
        <is>
          <t>Konstruksi Bangunan Sipil Jalan, Konstruksi Gedung Lainnya, Konstruksi Gedung Pendidikan, Konstruksi Jaringan Irigasi dan Drainase</t>
        </is>
      </c>
      <c r="N19" t="inlineStr">
        <is>
          <t>K</t>
        </is>
      </c>
      <c r="O19" t="inlineStr">
        <is>
          <t>20231116, 20231118</t>
        </is>
      </c>
      <c r="P19" t="inlineStr">
        <is>
          <t>Sumatera Utara</t>
        </is>
      </c>
      <c r="Q19" t="inlineStr"/>
    </row>
    <row r="20">
      <c r="A20" t="inlineStr">
        <is>
          <t>BAKTI KARYA UTAMA</t>
        </is>
      </c>
      <c r="B20" t="inlineStr">
        <is>
          <t>Kab. Madiun</t>
        </is>
      </c>
      <c r="C20" t="inlineStr">
        <is>
          <t>08123441777</t>
        </is>
      </c>
      <c r="D20" t="inlineStr">
        <is>
          <t>bakti.karyautama@gmail.com</t>
        </is>
      </c>
      <c r="E20" t="inlineStr">
        <is>
          <t>https://lpjk.pu.go.id/search-badan-usaha-detail/NGVqYjdKVjBIeUdnaWVETEhGV3ZpUT09</t>
        </is>
      </c>
      <c r="F20" t="n">
        <v>1</v>
      </c>
      <c r="G20" t="inlineStr">
        <is>
          <t>BS005</t>
        </is>
      </c>
      <c r="H20" t="inlineStr">
        <is>
          <t>13 November 2013</t>
        </is>
      </c>
      <c r="I20" s="2" t="n">
        <v>46342</v>
      </c>
      <c r="J20" t="inlineStr">
        <is>
          <t>Pencabutan</t>
        </is>
      </c>
      <c r="K20" t="n">
        <v>87</v>
      </c>
      <c r="L20" t="inlineStr">
        <is>
          <t>16 November 2026</t>
        </is>
      </c>
      <c r="M20" t="inlineStr">
        <is>
          <t>Konstruksi Bangunan Sipil Pengolahan Air Bersih</t>
        </is>
      </c>
      <c r="N20" t="inlineStr">
        <is>
          <t>K</t>
        </is>
      </c>
      <c r="O20" t="inlineStr">
        <is>
          <t>20231116</t>
        </is>
      </c>
      <c r="P20" t="inlineStr">
        <is>
          <t>Jawa Timur</t>
        </is>
      </c>
      <c r="Q20" t="inlineStr"/>
    </row>
    <row r="21">
      <c r="A21" t="inlineStr">
        <is>
          <t>BAKTI PARAMUDA</t>
        </is>
      </c>
      <c r="B21" t="inlineStr">
        <is>
          <t>Kota Jambi</t>
        </is>
      </c>
      <c r="C21" t="inlineStr">
        <is>
          <t>085348237606</t>
        </is>
      </c>
      <c r="D21" t="inlineStr">
        <is>
          <t>baktiparamudaconsultan@gmail.com</t>
        </is>
      </c>
      <c r="E21" t="inlineStr">
        <is>
          <t>https://lpjk.pu.go.id/search-badan-usaha-detail/dktVbHNLcFN6RktKMk10a2VzR3pUQT09</t>
        </is>
      </c>
      <c r="F21" t="n">
        <v>4</v>
      </c>
      <c r="G21" t="inlineStr">
        <is>
          <t>AR001, RK001, RK002, RK003</t>
        </is>
      </c>
      <c r="H21" t="inlineStr">
        <is>
          <t>7 September 2000</t>
        </is>
      </c>
      <c r="I21" s="2" t="n">
        <v>46342</v>
      </c>
      <c r="J21" t="inlineStr">
        <is>
          <t>Disetujui</t>
        </is>
      </c>
      <c r="K21" t="n">
        <v>87</v>
      </c>
      <c r="L21" t="inlineStr">
        <is>
          <t>16 November 2026</t>
        </is>
      </c>
      <c r="M21" t="inlineStr">
        <is>
          <t>Jasa Arsitektural Bangunan Gedung Hunian dan Non Hunian, Jasa Rekayasa Konstruksi Bangunan Gedung Hunian dan Non Hunian, Jasa Rekayasa Pekerjaan Teknik Sipil Sumber Daya Air, Jasa Rekayasa Pekerjaan Teknik Sipil Transportasi</t>
        </is>
      </c>
      <c r="N21" t="inlineStr">
        <is>
          <t>K</t>
        </is>
      </c>
      <c r="O21" t="inlineStr">
        <is>
          <t>20231114</t>
        </is>
      </c>
      <c r="P21" t="inlineStr">
        <is>
          <t>Jambi</t>
        </is>
      </c>
      <c r="Q21" t="inlineStr"/>
    </row>
    <row r="22">
      <c r="A22" t="inlineStr">
        <is>
          <t>BANDAR BARU</t>
        </is>
      </c>
      <c r="B22" t="inlineStr">
        <is>
          <t>Kota Serang</t>
        </is>
      </c>
      <c r="C22" t="inlineStr">
        <is>
          <t>-</t>
        </is>
      </c>
      <c r="D22" t="inlineStr">
        <is>
          <t>cv.bandarbaru@yahoo.com</t>
        </is>
      </c>
      <c r="E22" t="inlineStr">
        <is>
          <t>https://lpjk.pu.go.id/search-badan-usaha-detail/OGNRL2pnVmRwL2tkd2ZiSnhoc0h3QT09</t>
        </is>
      </c>
      <c r="F22" t="n">
        <v>2</v>
      </c>
      <c r="G22" t="inlineStr">
        <is>
          <t>BG009</t>
        </is>
      </c>
      <c r="H22" t="inlineStr">
        <is>
          <t>31 Januari 2015</t>
        </is>
      </c>
      <c r="I22" s="2" t="n">
        <v>46342</v>
      </c>
      <c r="J22" t="inlineStr">
        <is>
          <t>Pencabutan</t>
        </is>
      </c>
      <c r="K22" t="n">
        <v>87</v>
      </c>
      <c r="L22" t="inlineStr">
        <is>
          <t>16 November 2026</t>
        </is>
      </c>
      <c r="M22" t="inlineStr">
        <is>
          <t>Konstruksi Gedung Lainnya</t>
        </is>
      </c>
      <c r="N22" t="inlineStr">
        <is>
          <t>K</t>
        </is>
      </c>
      <c r="O22" t="inlineStr">
        <is>
          <t>20230707</t>
        </is>
      </c>
      <c r="P22" t="inlineStr">
        <is>
          <t>Banten</t>
        </is>
      </c>
      <c r="Q22" t="inlineStr"/>
    </row>
    <row r="23">
      <c r="A23" t="inlineStr">
        <is>
          <t>BANGUN SENTOSA JAYA</t>
        </is>
      </c>
      <c r="B23" t="inlineStr">
        <is>
          <t>Kab. Aceh Besar</t>
        </is>
      </c>
      <c r="C23" t="inlineStr">
        <is>
          <t>081263901792</t>
        </is>
      </c>
      <c r="D23" t="inlineStr">
        <is>
          <t>cvbangunsentosajaya@gmail.com</t>
        </is>
      </c>
      <c r="E23" t="inlineStr">
        <is>
          <t>https://lpjk.pu.go.id/search-badan-usaha-detail/Z0FCbmtBb1JZL2xQeEt1U21XbGJiUT09</t>
        </is>
      </c>
      <c r="F23" t="n">
        <v>6</v>
      </c>
      <c r="G23" t="inlineStr">
        <is>
          <t>BG001, BG002, BG006, BG009, BS001, BS004</t>
        </is>
      </c>
      <c r="H23" t="inlineStr">
        <is>
          <t>5 Oktober 2023</t>
        </is>
      </c>
      <c r="I23" s="2" t="n">
        <v>46342</v>
      </c>
      <c r="J23" t="inlineStr">
        <is>
          <t>Disetujui</t>
        </is>
      </c>
      <c r="K23" t="n">
        <v>87</v>
      </c>
      <c r="L23" t="inlineStr">
        <is>
          <t>16 November 2026</t>
        </is>
      </c>
      <c r="M23" t="inlineStr">
        <is>
          <t>Konstruksi Bangunan Sipil Jalan, Konstruksi Gedung Hunian, Konstruksi Gedung Lainnya, Konstruksi Gedung Pendidikan, Konstruksi Gedung Perkantoran, Konstruksi Jaringan Irigasi dan Drainase</t>
        </is>
      </c>
      <c r="N23" t="inlineStr">
        <is>
          <t>K</t>
        </is>
      </c>
      <c r="O23" t="inlineStr">
        <is>
          <t>20231113, 20231114</t>
        </is>
      </c>
      <c r="P23" t="inlineStr">
        <is>
          <t>Aceh</t>
        </is>
      </c>
      <c r="Q23" t="inlineStr"/>
    </row>
    <row r="24">
      <c r="A24" t="inlineStr">
        <is>
          <t>BAYU PRAKARSA PRIMA</t>
        </is>
      </c>
      <c r="B24" t="inlineStr">
        <is>
          <t>Kota Semarang</t>
        </is>
      </c>
      <c r="C24" t="inlineStr">
        <is>
          <t>02476451987</t>
        </is>
      </c>
      <c r="D24" t="inlineStr">
        <is>
          <t>bayuprakarsaprima@gmail.com</t>
        </is>
      </c>
      <c r="E24" t="inlineStr">
        <is>
          <t>https://lpjk.pu.go.id/search-badan-usaha-detail/b3ZJZ2xPV0kyNWRYT1FmbnRBaW80dz09</t>
        </is>
      </c>
      <c r="F24" t="n">
        <v>1</v>
      </c>
      <c r="G24" t="inlineStr">
        <is>
          <t>RK001</t>
        </is>
      </c>
      <c r="H24" t="inlineStr">
        <is>
          <t>2 Juni 2021</t>
        </is>
      </c>
      <c r="I24" s="2" t="n">
        <v>46342</v>
      </c>
      <c r="J24" t="inlineStr">
        <is>
          <t>Disetujui</t>
        </is>
      </c>
      <c r="K24" t="n">
        <v>87</v>
      </c>
      <c r="L24" t="inlineStr">
        <is>
          <t>16 November 2026</t>
        </is>
      </c>
      <c r="M24" t="inlineStr">
        <is>
          <t>Jasa Rekayasa Konstruksi Bangunan Gedung Hunian dan Non Hunian</t>
        </is>
      </c>
      <c r="N24" t="inlineStr">
        <is>
          <t>K</t>
        </is>
      </c>
      <c r="O24" t="inlineStr">
        <is>
          <t>20231110</t>
        </is>
      </c>
      <c r="P24" t="inlineStr">
        <is>
          <t>Jawa Tengah</t>
        </is>
      </c>
      <c r="Q24" t="inlineStr"/>
    </row>
    <row r="25">
      <c r="A25" t="inlineStr">
        <is>
          <t>BERKAH ABABIL</t>
        </is>
      </c>
      <c r="B25" t="inlineStr">
        <is>
          <t>Kab. Banyuwangi</t>
        </is>
      </c>
      <c r="C25" t="inlineStr">
        <is>
          <t>087802183785</t>
        </is>
      </c>
      <c r="D25" t="inlineStr">
        <is>
          <t>berkahababil.cv@gmail.com</t>
        </is>
      </c>
      <c r="E25" t="inlineStr">
        <is>
          <t>https://lpjk.pu.go.id/search-badan-usaha-detail/ZEkrRHRxQ1REUFZhU3l4SXRHTm9mUT09</t>
        </is>
      </c>
      <c r="F25" t="n">
        <v>4</v>
      </c>
      <c r="G25" t="inlineStr">
        <is>
          <t>BG006, BG009</t>
        </is>
      </c>
      <c r="H25" t="inlineStr">
        <is>
          <t>14 November 2019</t>
        </is>
      </c>
      <c r="I25" s="2" t="n">
        <v>46342</v>
      </c>
      <c r="J25" t="inlineStr">
        <is>
          <t>Disetujui</t>
        </is>
      </c>
      <c r="K25" t="n">
        <v>87</v>
      </c>
      <c r="L25" t="inlineStr">
        <is>
          <t>16 November 2026</t>
        </is>
      </c>
      <c r="M25" t="inlineStr">
        <is>
          <t>Konstruksi Gedung Lainnya, Konstruksi Gedung Pendidikan</t>
        </is>
      </c>
      <c r="N25" t="inlineStr">
        <is>
          <t>K</t>
        </is>
      </c>
      <c r="O25" t="inlineStr">
        <is>
          <t>20231117</t>
        </is>
      </c>
      <c r="P25" t="inlineStr">
        <is>
          <t>Jawa Timur</t>
        </is>
      </c>
      <c r="Q25" t="inlineStr"/>
    </row>
    <row r="26">
      <c r="A26" t="inlineStr">
        <is>
          <t>BERKAH ALAM BERKARYA</t>
        </is>
      </c>
      <c r="B26" t="inlineStr">
        <is>
          <t>Kab. Sragen</t>
        </is>
      </c>
      <c r="C26" t="inlineStr">
        <is>
          <t>08812651910</t>
        </is>
      </c>
      <c r="D26" t="inlineStr">
        <is>
          <t>berkahalamberkarya@gmail.com</t>
        </is>
      </c>
      <c r="E26" t="inlineStr">
        <is>
          <t>https://lpjk.pu.go.id/search-badan-usaha-detail/TGhwRFNMUHQvWU1wdkU1T3JteEdFdz09</t>
        </is>
      </c>
      <c r="F26" t="n">
        <v>6</v>
      </c>
      <c r="G26" t="inlineStr">
        <is>
          <t>BG002, BG005, BG006</t>
        </is>
      </c>
      <c r="H26" t="inlineStr">
        <is>
          <t>5 Oktober 2023</t>
        </is>
      </c>
      <c r="I26" s="2" t="n">
        <v>46342</v>
      </c>
      <c r="J26" t="inlineStr">
        <is>
          <t>Disetujui</t>
        </is>
      </c>
      <c r="K26" t="n">
        <v>87</v>
      </c>
      <c r="L26" t="inlineStr">
        <is>
          <t>16 November 2026</t>
        </is>
      </c>
      <c r="M26" t="inlineStr">
        <is>
          <t>Konstruksi Gedung Kesehatan, Konstruksi Gedung Pendidikan, Konstruksi Gedung Perkantoran</t>
        </is>
      </c>
      <c r="N26" t="inlineStr">
        <is>
          <t>K</t>
        </is>
      </c>
      <c r="O26" t="inlineStr">
        <is>
          <t>20231116</t>
        </is>
      </c>
      <c r="P26" t="inlineStr">
        <is>
          <t>Jawa Tengah</t>
        </is>
      </c>
      <c r="Q26" t="inlineStr"/>
    </row>
    <row r="27">
      <c r="A27" t="inlineStr">
        <is>
          <t>BERKO</t>
        </is>
      </c>
      <c r="B27" t="inlineStr">
        <is>
          <t>Kota Ambon</t>
        </is>
      </c>
      <c r="C27" t="inlineStr">
        <is>
          <t>081356102153</t>
        </is>
      </c>
      <c r="D27" t="inlineStr">
        <is>
          <t>berko_cv@yahoo.co.id</t>
        </is>
      </c>
      <c r="E27" t="inlineStr">
        <is>
          <t>https://lpjk.pu.go.id/search-badan-usaha-detail/VEFSdEFIWGhSM3A3ZDhsY2FFVmJDQT09</t>
        </is>
      </c>
      <c r="F27" t="n">
        <v>1</v>
      </c>
      <c r="G27" t="inlineStr">
        <is>
          <t>AR001</t>
        </is>
      </c>
      <c r="H27" t="inlineStr">
        <is>
          <t>14 September 2007</t>
        </is>
      </c>
      <c r="I27" s="2" t="n">
        <v>46342</v>
      </c>
      <c r="J27" t="inlineStr">
        <is>
          <t>Disetujui</t>
        </is>
      </c>
      <c r="K27" t="n">
        <v>87</v>
      </c>
      <c r="L27" t="inlineStr">
        <is>
          <t>16 November 2026</t>
        </is>
      </c>
      <c r="M27" t="inlineStr">
        <is>
          <t>Jasa Arsitektural Bangunan Gedung Hunian dan Non Hunian</t>
        </is>
      </c>
      <c r="N27" t="inlineStr">
        <is>
          <t>K</t>
        </is>
      </c>
      <c r="O27" t="inlineStr">
        <is>
          <t>20231030</t>
        </is>
      </c>
      <c r="P27" t="inlineStr">
        <is>
          <t>Maluku</t>
        </is>
      </c>
      <c r="Q27" t="inlineStr"/>
    </row>
    <row r="28">
      <c r="A28" t="inlineStr">
        <is>
          <t>BINA KARYA UTAMA MANDIRI</t>
        </is>
      </c>
      <c r="B28" t="inlineStr">
        <is>
          <t>Kab. Batu Bara</t>
        </is>
      </c>
      <c r="C28" t="inlineStr">
        <is>
          <t>082165300705</t>
        </is>
      </c>
      <c r="D28" t="inlineStr">
        <is>
          <t>pt.bkum@yahoo.com</t>
        </is>
      </c>
      <c r="E28" t="inlineStr">
        <is>
          <t>https://lpjk.pu.go.id/search-badan-usaha-detail/c3c5Zms1dk5qVEhtdVNpUVNpTGtOZz09</t>
        </is>
      </c>
      <c r="F28" t="n">
        <v>1</v>
      </c>
      <c r="G28" t="inlineStr">
        <is>
          <t>BS007</t>
        </is>
      </c>
      <c r="H28" t="inlineStr">
        <is>
          <t>2 Juni 2023</t>
        </is>
      </c>
      <c r="I28" s="2" t="n">
        <v>46342</v>
      </c>
      <c r="J28" t="inlineStr">
        <is>
          <t>Pencabutan</t>
        </is>
      </c>
      <c r="K28" t="n">
        <v>87</v>
      </c>
      <c r="L28" t="inlineStr">
        <is>
          <t>16 November 2026</t>
        </is>
      </c>
      <c r="M28" t="inlineStr">
        <is>
          <t>Konstruksi Bangunan Sipil Elektrikal</t>
        </is>
      </c>
      <c r="N28" t="inlineStr">
        <is>
          <t>K</t>
        </is>
      </c>
      <c r="O28" t="inlineStr">
        <is>
          <t>20231116</t>
        </is>
      </c>
      <c r="P28" t="inlineStr">
        <is>
          <t>Sumatera Utara</t>
        </is>
      </c>
      <c r="Q28" t="inlineStr"/>
    </row>
    <row r="29">
      <c r="A29" t="inlineStr">
        <is>
          <t>BUMI PUTRI SILAMPARI</t>
        </is>
      </c>
      <c r="B29" t="inlineStr">
        <is>
          <t>Kota Bandung</t>
        </is>
      </c>
      <c r="C29" t="inlineStr">
        <is>
          <t>081932688378</t>
        </is>
      </c>
      <c r="D29" t="inlineStr">
        <is>
          <t>silamparibumiputri@gmail.com</t>
        </is>
      </c>
      <c r="E29" t="inlineStr">
        <is>
          <t>https://lpjk.pu.go.id/search-badan-usaha-detail/L3p2aURjMkNWNEdubThpRm8vR09XZz09</t>
        </is>
      </c>
      <c r="F29" t="n">
        <v>1</v>
      </c>
      <c r="G29" t="inlineStr">
        <is>
          <t>BG004</t>
        </is>
      </c>
      <c r="H29" t="inlineStr">
        <is>
          <t>22 Agustus 1992</t>
        </is>
      </c>
      <c r="I29" s="2" t="n">
        <v>46342</v>
      </c>
      <c r="J29" t="inlineStr">
        <is>
          <t>Pencabutan</t>
        </is>
      </c>
      <c r="K29" t="n">
        <v>87</v>
      </c>
      <c r="L29" t="inlineStr">
        <is>
          <t>16 November 2026</t>
        </is>
      </c>
      <c r="M29" t="inlineStr">
        <is>
          <t>Konstruksi Gedung Perbelanjaan</t>
        </is>
      </c>
      <c r="N29" t="inlineStr">
        <is>
          <t>M</t>
        </is>
      </c>
      <c r="O29" t="inlineStr">
        <is>
          <t>20231116</t>
        </is>
      </c>
      <c r="P29" t="inlineStr">
        <is>
          <t>Jawa Barat</t>
        </is>
      </c>
      <c r="Q29" t="inlineStr"/>
    </row>
    <row r="30">
      <c r="A30" t="inlineStr">
        <is>
          <t>BUNGSU BERKARYA</t>
        </is>
      </c>
      <c r="B30" t="inlineStr">
        <is>
          <t>Kota Cimahi</t>
        </is>
      </c>
      <c r="C30" t="inlineStr">
        <is>
          <t>0882001387396</t>
        </is>
      </c>
      <c r="D30" t="inlineStr">
        <is>
          <t>berkaryabungsu@gmail.com</t>
        </is>
      </c>
      <c r="E30" t="inlineStr">
        <is>
          <t>https://lpjk.pu.go.id/search-badan-usaha-detail/Vm93ZFF4Z3o5SG5ob2pjVEhGYStSZz09</t>
        </is>
      </c>
      <c r="F30" t="n">
        <v>5</v>
      </c>
      <c r="G30" t="inlineStr">
        <is>
          <t>BG005, BG006, BG009, BS001, BS006</t>
        </is>
      </c>
      <c r="H30" t="inlineStr">
        <is>
          <t>27 Februari 2023</t>
        </is>
      </c>
      <c r="I30" s="2" t="n">
        <v>46342</v>
      </c>
      <c r="J30" t="inlineStr">
        <is>
          <t>Pencabutan</t>
        </is>
      </c>
      <c r="K30" t="n">
        <v>87</v>
      </c>
      <c r="L30" t="inlineStr">
        <is>
          <t>16 November 2026</t>
        </is>
      </c>
      <c r="M30" t="inlineStr">
        <is>
          <t>Konstruksi Bangunan Sipil Jalan, Konstruksi Bangunan Sipil Prasarana dan Sarana Sistem Pengolahan Limbah Padat, Cair, dan Gas, Konstruksi Gedung Kesehatan, Konstruksi Gedung Lainnya, Konstruksi Gedung Pendidikan</t>
        </is>
      </c>
      <c r="N30" t="inlineStr">
        <is>
          <t>K</t>
        </is>
      </c>
      <c r="O30" t="inlineStr">
        <is>
          <t>20231114</t>
        </is>
      </c>
      <c r="P30" t="inlineStr">
        <is>
          <t>Jawa Barat</t>
        </is>
      </c>
      <c r="Q30" t="inlineStr"/>
    </row>
    <row r="31">
      <c r="A31" t="inlineStr">
        <is>
          <t>CAHAYA UTAMA</t>
        </is>
      </c>
      <c r="B31" t="inlineStr">
        <is>
          <t>Kab. Sumbawa Barat</t>
        </is>
      </c>
      <c r="C31" t="inlineStr">
        <is>
          <t>085238525815</t>
        </is>
      </c>
      <c r="D31" t="inlineStr">
        <is>
          <t>cvcahayautama0208@gmail.com</t>
        </is>
      </c>
      <c r="E31" t="inlineStr">
        <is>
          <t>https://lpjk.pu.go.id/search-badan-usaha-detail/czZSZW0wS0p1azJRWDdxdHZFdDFrQT09</t>
        </is>
      </c>
      <c r="F31" t="n">
        <v>4</v>
      </c>
      <c r="G31" t="inlineStr">
        <is>
          <t>BG005, BG006, BG009, BS001</t>
        </is>
      </c>
      <c r="H31" t="inlineStr">
        <is>
          <t>28 Juni 2016</t>
        </is>
      </c>
      <c r="I31" s="2" t="n">
        <v>46342</v>
      </c>
      <c r="J31" t="inlineStr">
        <is>
          <t>Disetujui</t>
        </is>
      </c>
      <c r="K31" t="n">
        <v>87</v>
      </c>
      <c r="L31" t="inlineStr">
        <is>
          <t>16 November 2026</t>
        </is>
      </c>
      <c r="M31" t="inlineStr">
        <is>
          <t>Konstruksi Bangunan Sipil Jalan, Konstruksi Gedung Kesehatan, Konstruksi Gedung Lainnya, Konstruksi Gedung Pendidikan</t>
        </is>
      </c>
      <c r="N31" t="inlineStr">
        <is>
          <t>K</t>
        </is>
      </c>
      <c r="O31" t="inlineStr">
        <is>
          <t>20231116</t>
        </is>
      </c>
      <c r="P31" t="inlineStr">
        <is>
          <t>Nusa Tenggara Barat</t>
        </is>
      </c>
      <c r="Q31" t="inlineStr"/>
    </row>
    <row r="32">
      <c r="A32" t="inlineStr">
        <is>
          <t>CAKRAWALA</t>
        </is>
      </c>
      <c r="B32" t="inlineStr">
        <is>
          <t>Kab. Seram Bagian Timur</t>
        </is>
      </c>
      <c r="C32" t="inlineStr">
        <is>
          <t>082123600366</t>
        </is>
      </c>
      <c r="D32" t="inlineStr">
        <is>
          <t>yeremiaspatty@gmail.com</t>
        </is>
      </c>
      <c r="E32" t="inlineStr">
        <is>
          <t>https://lpjk.pu.go.id/search-badan-usaha-detail/NXIxajcyMnAvbkZ0bkxFUUJJb3QxQT09</t>
        </is>
      </c>
      <c r="F32" t="n">
        <v>1</v>
      </c>
      <c r="G32" t="inlineStr">
        <is>
          <t>BS010</t>
        </is>
      </c>
      <c r="H32" t="inlineStr">
        <is>
          <t>9 Januari 2006</t>
        </is>
      </c>
      <c r="I32" s="2" t="n">
        <v>46342</v>
      </c>
      <c r="J32" t="inlineStr">
        <is>
          <t>Disetujui</t>
        </is>
      </c>
      <c r="K32" t="n">
        <v>87</v>
      </c>
      <c r="L32" t="inlineStr">
        <is>
          <t>16 November 2026</t>
        </is>
      </c>
      <c r="M32" t="inlineStr">
        <is>
          <t>Konstruksi Bangunan Prasarana Sumber Daya Air</t>
        </is>
      </c>
      <c r="N32" t="inlineStr">
        <is>
          <t>K</t>
        </is>
      </c>
      <c r="O32" t="inlineStr">
        <is>
          <t>20231117</t>
        </is>
      </c>
      <c r="P32" t="inlineStr">
        <is>
          <t>Maluku</t>
        </is>
      </c>
      <c r="Q32" t="inlineStr"/>
    </row>
    <row r="33">
      <c r="A33" t="inlineStr">
        <is>
          <t>CAKRAWALA ENERGI NUSANTARA</t>
        </is>
      </c>
      <c r="B33" t="inlineStr">
        <is>
          <t>Kota Adm. Jakarta Selatan</t>
        </is>
      </c>
      <c r="C33" t="inlineStr">
        <is>
          <t>02129406371</t>
        </is>
      </c>
      <c r="D33" t="inlineStr">
        <is>
          <t>INFO@CENTRA.CO.ID</t>
        </is>
      </c>
      <c r="E33" t="inlineStr">
        <is>
          <t>https://lpjk.pu.go.id/search-badan-usaha-detail/bTNTMDA5ajNHTUF1ZlBMcVBhcytnQT09</t>
        </is>
      </c>
      <c r="F33" t="n">
        <v>1</v>
      </c>
      <c r="G33" t="inlineStr">
        <is>
          <t>BS001</t>
        </is>
      </c>
      <c r="H33" t="inlineStr">
        <is>
          <t>11 Maret 2011</t>
        </is>
      </c>
      <c r="I33" s="2" t="n">
        <v>46342</v>
      </c>
      <c r="J33" t="inlineStr">
        <is>
          <t>Pencabutan</t>
        </is>
      </c>
      <c r="K33" t="n">
        <v>87</v>
      </c>
      <c r="L33" t="inlineStr">
        <is>
          <t>16 November 2026</t>
        </is>
      </c>
      <c r="M33" t="inlineStr">
        <is>
          <t>Konstruksi Bangunan Sipil Jalan</t>
        </is>
      </c>
      <c r="N33" t="inlineStr">
        <is>
          <t>M</t>
        </is>
      </c>
      <c r="O33" t="inlineStr">
        <is>
          <t>20231103</t>
        </is>
      </c>
      <c r="P33" t="inlineStr">
        <is>
          <t>DKI Jakarta</t>
        </is>
      </c>
      <c r="Q33" t="inlineStr"/>
    </row>
    <row r="34">
      <c r="A34" t="inlineStr">
        <is>
          <t>CAMPAKA JAYA</t>
        </is>
      </c>
      <c r="B34" t="inlineStr">
        <is>
          <t>Kab. Purwakarta</t>
        </is>
      </c>
      <c r="C34" t="inlineStr">
        <is>
          <t>0264201110</t>
        </is>
      </c>
      <c r="D34" t="inlineStr">
        <is>
          <t>cempakajaya_cv@yahoo.co.id</t>
        </is>
      </c>
      <c r="E34" t="inlineStr">
        <is>
          <t>https://lpjk.pu.go.id/search-badan-usaha-detail/ZTYrWlozOUFsUDJ0bGkycFhRVEMrUT09</t>
        </is>
      </c>
      <c r="F34" t="n">
        <v>8</v>
      </c>
      <c r="G34" t="inlineStr">
        <is>
          <t>BG002, BG004, BG005, BG006, BG009, BS001, BS002, BS004</t>
        </is>
      </c>
      <c r="H34" t="inlineStr">
        <is>
          <t>5 November 1993</t>
        </is>
      </c>
      <c r="I34" s="2" t="n">
        <v>46342</v>
      </c>
      <c r="J34" t="inlineStr">
        <is>
          <t>Disetujui</t>
        </is>
      </c>
      <c r="K34" t="n">
        <v>87</v>
      </c>
      <c r="L34" t="inlineStr">
        <is>
          <t>16 November 2026</t>
        </is>
      </c>
      <c r="M34"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34" t="inlineStr">
        <is>
          <t>K</t>
        </is>
      </c>
      <c r="O34" t="inlineStr">
        <is>
          <t>20231109, 20231110</t>
        </is>
      </c>
      <c r="P34" t="inlineStr">
        <is>
          <t>Jawa Barat</t>
        </is>
      </c>
      <c r="Q34" t="inlineStr"/>
    </row>
    <row r="35">
      <c r="A35" t="inlineStr">
        <is>
          <t>CIPTA SARANA JAYA ABADI</t>
        </is>
      </c>
      <c r="B35" t="inlineStr">
        <is>
          <t>Kab. Jepara</t>
        </is>
      </c>
      <c r="C35" t="inlineStr">
        <is>
          <t>081283780827</t>
        </is>
      </c>
      <c r="D35" t="inlineStr">
        <is>
          <t>ciptasaranajayaabadi7@gmail.com</t>
        </is>
      </c>
      <c r="E35" t="inlineStr">
        <is>
          <t>https://lpjk.pu.go.id/search-badan-usaha-detail/dzJoOXJzL01NQllDV2ovKzVYRkNCZz09</t>
        </is>
      </c>
      <c r="F35" t="n">
        <v>2</v>
      </c>
      <c r="G35" t="inlineStr">
        <is>
          <t>BS001</t>
        </is>
      </c>
      <c r="H35" t="inlineStr">
        <is>
          <t>8 Agustus 2023</t>
        </is>
      </c>
      <c r="I35" s="2" t="n">
        <v>46342</v>
      </c>
      <c r="J35" t="inlineStr">
        <is>
          <t>Disetujui</t>
        </is>
      </c>
      <c r="K35" t="n">
        <v>87</v>
      </c>
      <c r="L35" t="inlineStr">
        <is>
          <t>16 November 2026</t>
        </is>
      </c>
      <c r="M35" t="inlineStr">
        <is>
          <t>Konstruksi Bangunan Sipil Jalan</t>
        </is>
      </c>
      <c r="N35" t="inlineStr">
        <is>
          <t>K</t>
        </is>
      </c>
      <c r="O35" t="inlineStr">
        <is>
          <t>20231109</t>
        </is>
      </c>
      <c r="P35" t="inlineStr">
        <is>
          <t>Jawa Tengah</t>
        </is>
      </c>
      <c r="Q35" t="inlineStr"/>
    </row>
    <row r="36">
      <c r="A36" t="inlineStr">
        <is>
          <t>CITA SELARAS MANDIRI</t>
        </is>
      </c>
      <c r="B36" t="inlineStr">
        <is>
          <t>Kota Yogyakarta</t>
        </is>
      </c>
      <c r="C36" t="inlineStr">
        <is>
          <t>085100336016</t>
        </is>
      </c>
      <c r="D36" t="inlineStr">
        <is>
          <t>selaras.cita@yahoo.co.id</t>
        </is>
      </c>
      <c r="E36" t="inlineStr">
        <is>
          <t>https://lpjk.pu.go.id/search-badan-usaha-detail/cXRyUDN4d2dKWmdJNTI0cUc1S2xXQT09</t>
        </is>
      </c>
      <c r="F36" t="n">
        <v>1</v>
      </c>
      <c r="G36" t="inlineStr">
        <is>
          <t>BG009</t>
        </is>
      </c>
      <c r="H36" t="inlineStr">
        <is>
          <t>8 Maret 2002</t>
        </is>
      </c>
      <c r="I36" s="2" t="n">
        <v>46342</v>
      </c>
      <c r="J36" t="inlineStr">
        <is>
          <t>Disetujui</t>
        </is>
      </c>
      <c r="K36" t="n">
        <v>87</v>
      </c>
      <c r="L36" t="inlineStr">
        <is>
          <t>16 November 2026</t>
        </is>
      </c>
      <c r="M36" t="inlineStr">
        <is>
          <t>Konstruksi Gedung Lainnya</t>
        </is>
      </c>
      <c r="N36" t="inlineStr">
        <is>
          <t>K</t>
        </is>
      </c>
      <c r="O36" t="inlineStr">
        <is>
          <t>20231116</t>
        </is>
      </c>
      <c r="P36" t="inlineStr">
        <is>
          <t>DI Yogyakarta</t>
        </is>
      </c>
      <c r="Q36" t="inlineStr"/>
    </row>
    <row r="37">
      <c r="A37" t="inlineStr">
        <is>
          <t>CITRA JAYA PERSADA</t>
        </is>
      </c>
      <c r="B37" t="inlineStr">
        <is>
          <t>Kab. Bandung Barat</t>
        </is>
      </c>
      <c r="C37" t="inlineStr">
        <is>
          <t>082117933916</t>
        </is>
      </c>
      <c r="D37" t="inlineStr">
        <is>
          <t>citrajp62@gmail.com</t>
        </is>
      </c>
      <c r="E37" t="inlineStr">
        <is>
          <t>https://lpjk.pu.go.id/search-badan-usaha-detail/blVwWDZYMzFPQ2dzNkZXS2MwZENiZz09</t>
        </is>
      </c>
      <c r="F37" t="n">
        <v>1</v>
      </c>
      <c r="G37" t="inlineStr">
        <is>
          <t>BG006</t>
        </is>
      </c>
      <c r="H37" t="inlineStr">
        <is>
          <t>25 Januari 2002</t>
        </is>
      </c>
      <c r="I37" s="2" t="n">
        <v>46342</v>
      </c>
      <c r="J37" t="inlineStr">
        <is>
          <t>Disetujui</t>
        </is>
      </c>
      <c r="K37" t="n">
        <v>87</v>
      </c>
      <c r="L37" t="inlineStr">
        <is>
          <t>16 November 2026</t>
        </is>
      </c>
      <c r="M37" t="inlineStr">
        <is>
          <t>Konstruksi Gedung Pendidikan</t>
        </is>
      </c>
      <c r="N37" t="inlineStr">
        <is>
          <t>K</t>
        </is>
      </c>
      <c r="O37" t="inlineStr">
        <is>
          <t>20231116</t>
        </is>
      </c>
      <c r="P37" t="inlineStr">
        <is>
          <t>Jawa Barat</t>
        </is>
      </c>
      <c r="Q37" t="inlineStr"/>
    </row>
    <row r="38">
      <c r="A38" t="inlineStr">
        <is>
          <t>DUA GARIS BIRU</t>
        </is>
      </c>
      <c r="B38" t="inlineStr">
        <is>
          <t>Kab. Indramayu</t>
        </is>
      </c>
      <c r="C38" t="inlineStr">
        <is>
          <t>0818238007</t>
        </is>
      </c>
      <c r="D38" t="inlineStr">
        <is>
          <t>duagarisbiru14@gmail.com</t>
        </is>
      </c>
      <c r="E38" t="inlineStr">
        <is>
          <t>https://lpjk.pu.go.id/search-badan-usaha-detail/RnpRV2tDYVhBUThqblFIdHJaTnV3dz09</t>
        </is>
      </c>
      <c r="F38" t="n">
        <v>1</v>
      </c>
      <c r="G38" t="inlineStr">
        <is>
          <t>BS010</t>
        </is>
      </c>
      <c r="H38" t="inlineStr">
        <is>
          <t>6 Maret 2023</t>
        </is>
      </c>
      <c r="I38" s="2" t="n">
        <v>46342</v>
      </c>
      <c r="J38" t="inlineStr">
        <is>
          <t>Disetujui</t>
        </is>
      </c>
      <c r="K38" t="n">
        <v>87</v>
      </c>
      <c r="L38" t="inlineStr">
        <is>
          <t>16 November 2026</t>
        </is>
      </c>
      <c r="M38" t="inlineStr">
        <is>
          <t>Konstruksi Bangunan Prasarana Sumber Daya Air</t>
        </is>
      </c>
      <c r="N38" t="inlineStr">
        <is>
          <t>K</t>
        </is>
      </c>
      <c r="O38" t="inlineStr">
        <is>
          <t>20231113</t>
        </is>
      </c>
      <c r="P38" t="inlineStr">
        <is>
          <t>Jawa Barat</t>
        </is>
      </c>
      <c r="Q38" t="inlineStr"/>
    </row>
    <row r="39">
      <c r="A39" t="inlineStr">
        <is>
          <t>DUA NUSA JAYA</t>
        </is>
      </c>
      <c r="B39" t="inlineStr">
        <is>
          <t>Kab. Batu Bara</t>
        </is>
      </c>
      <c r="C39" t="inlineStr">
        <is>
          <t>082170290812</t>
        </is>
      </c>
      <c r="D39" t="inlineStr">
        <is>
          <t>duanusajayalbs@gmail.com</t>
        </is>
      </c>
      <c r="E39" t="inlineStr">
        <is>
          <t>https://lpjk.pu.go.id/search-badan-usaha-detail/M1JxaGY4VW5yMldVT3hmdE42a0dVQT09</t>
        </is>
      </c>
      <c r="F39" t="n">
        <v>1</v>
      </c>
      <c r="G39" t="inlineStr">
        <is>
          <t>BG003</t>
        </is>
      </c>
      <c r="H39" t="inlineStr">
        <is>
          <t>14 Maret 2012</t>
        </is>
      </c>
      <c r="I39" s="2" t="n">
        <v>46342</v>
      </c>
      <c r="J39" t="inlineStr">
        <is>
          <t>Disetujui</t>
        </is>
      </c>
      <c r="K39" t="n">
        <v>87</v>
      </c>
      <c r="L39" t="inlineStr">
        <is>
          <t>16 November 2026</t>
        </is>
      </c>
      <c r="M39" t="inlineStr">
        <is>
          <t>Konstruksi Gedung Industri</t>
        </is>
      </c>
      <c r="N39" t="inlineStr">
        <is>
          <t>K</t>
        </is>
      </c>
      <c r="O39" t="inlineStr">
        <is>
          <t>20231109</t>
        </is>
      </c>
      <c r="P39" t="inlineStr">
        <is>
          <t>Sumatera Utara</t>
        </is>
      </c>
      <c r="Q39" t="inlineStr"/>
    </row>
    <row r="40">
      <c r="A40" t="inlineStr">
        <is>
          <t>DUA PUTRI</t>
        </is>
      </c>
      <c r="B40" t="inlineStr">
        <is>
          <t>Kab. Tuban</t>
        </is>
      </c>
      <c r="C40" t="inlineStr">
        <is>
          <t>085330748512</t>
        </is>
      </c>
      <c r="D40" t="inlineStr">
        <is>
          <t>cvdua.p@yahoo.com</t>
        </is>
      </c>
      <c r="E40" t="inlineStr">
        <is>
          <t>https://lpjk.pu.go.id/search-badan-usaha-detail/enNnUG52SitQNDFaU29heDBuMldXZz09</t>
        </is>
      </c>
      <c r="F40" t="n">
        <v>2</v>
      </c>
      <c r="G40" t="inlineStr">
        <is>
          <t>BS001, BS004</t>
        </is>
      </c>
      <c r="H40" t="inlineStr">
        <is>
          <t>13 Juli 2017</t>
        </is>
      </c>
      <c r="I40" s="2" t="n">
        <v>46342</v>
      </c>
      <c r="J40" t="inlineStr">
        <is>
          <t>Disetujui</t>
        </is>
      </c>
      <c r="K40" t="n">
        <v>87</v>
      </c>
      <c r="L40" t="inlineStr">
        <is>
          <t>16 November 2026</t>
        </is>
      </c>
      <c r="M40" t="inlineStr">
        <is>
          <t>Konstruksi Bangunan Sipil Jalan, Konstruksi Jaringan Irigasi dan Drainase</t>
        </is>
      </c>
      <c r="N40" t="inlineStr">
        <is>
          <t>K</t>
        </is>
      </c>
      <c r="O40" t="inlineStr">
        <is>
          <t>20231116</t>
        </is>
      </c>
      <c r="P40" t="inlineStr">
        <is>
          <t>Jawa Timur</t>
        </is>
      </c>
      <c r="Q40" t="inlineStr"/>
    </row>
    <row r="41">
      <c r="A41" t="inlineStr">
        <is>
          <t>DUA SEKAWAN</t>
        </is>
      </c>
      <c r="B41" t="inlineStr">
        <is>
          <t>Kota Kupang</t>
        </is>
      </c>
      <c r="C41" t="inlineStr">
        <is>
          <t>081261257828</t>
        </is>
      </c>
      <c r="D41" t="inlineStr">
        <is>
          <t>twosekawan@yahoo.com</t>
        </is>
      </c>
      <c r="E41" t="inlineStr">
        <is>
          <t>https://lpjk.pu.go.id/search-badan-usaha-detail/U1JLSE1BTlBCTS85R2I3NEZXemJ5dz09</t>
        </is>
      </c>
      <c r="F41" t="n">
        <v>1</v>
      </c>
      <c r="G41" t="inlineStr">
        <is>
          <t>IN001</t>
        </is>
      </c>
      <c r="H41" t="inlineStr">
        <is>
          <t>23 Maret 2004</t>
        </is>
      </c>
      <c r="I41" s="2" t="n">
        <v>46342</v>
      </c>
      <c r="J41" t="inlineStr">
        <is>
          <t>Pembekuan</t>
        </is>
      </c>
      <c r="K41" t="n">
        <v>87</v>
      </c>
      <c r="L41" t="inlineStr">
        <is>
          <t>16 November 2026</t>
        </is>
      </c>
      <c r="M41" t="inlineStr">
        <is>
          <t>Instalasi Mekanikal</t>
        </is>
      </c>
      <c r="N41" t="inlineStr">
        <is>
          <t>Spesialis</t>
        </is>
      </c>
      <c r="O41" t="inlineStr">
        <is>
          <t>20231026</t>
        </is>
      </c>
      <c r="P41" t="inlineStr">
        <is>
          <t>Nusa Tenggara Timur</t>
        </is>
      </c>
      <c r="Q41" t="inlineStr"/>
    </row>
    <row r="42">
      <c r="A42" t="inlineStr">
        <is>
          <t>DUTA AYU NUGRAHA</t>
        </is>
      </c>
      <c r="B42" t="inlineStr">
        <is>
          <t>Kota Medan</t>
        </is>
      </c>
      <c r="C42" t="inlineStr">
        <is>
          <t>081269713399</t>
        </is>
      </c>
      <c r="D42" t="inlineStr">
        <is>
          <t>dutaayunugraha.pt@gmail.com</t>
        </is>
      </c>
      <c r="E42" t="inlineStr">
        <is>
          <t>https://lpjk.pu.go.id/search-badan-usaha-detail/dWpQOEtMa3I2U3pTV3VJd3VhVUlvdz09</t>
        </is>
      </c>
      <c r="F42" t="n">
        <v>1</v>
      </c>
      <c r="G42" t="inlineStr">
        <is>
          <t>IN004</t>
        </is>
      </c>
      <c r="H42" t="inlineStr">
        <is>
          <t>30 Januari 2019</t>
        </is>
      </c>
      <c r="I42" s="2" t="n">
        <v>46342</v>
      </c>
      <c r="J42" t="inlineStr">
        <is>
          <t>Pembekuan</t>
        </is>
      </c>
      <c r="K42" t="n">
        <v>87</v>
      </c>
      <c r="L42" t="inlineStr">
        <is>
          <t>16 November 2026</t>
        </is>
      </c>
      <c r="M42" t="inlineStr">
        <is>
          <t>Instalasi Minyak dan Gas</t>
        </is>
      </c>
      <c r="N42" t="inlineStr">
        <is>
          <t>Spesialis</t>
        </is>
      </c>
      <c r="O42" t="inlineStr">
        <is>
          <t>20231109</t>
        </is>
      </c>
      <c r="P42" t="inlineStr">
        <is>
          <t>Sumatera Utara</t>
        </is>
      </c>
      <c r="Q42" t="inlineStr"/>
    </row>
    <row r="43">
      <c r="A43" t="inlineStr">
        <is>
          <t>DUTA RAMA</t>
        </is>
      </c>
      <c r="B43" t="inlineStr">
        <is>
          <t>Kota Surabaya</t>
        </is>
      </c>
      <c r="C43" t="inlineStr">
        <is>
          <t>0313980004</t>
        </is>
      </c>
      <c r="D43" t="inlineStr">
        <is>
          <t>dutaramapt@gmail.com</t>
        </is>
      </c>
      <c r="E43" t="inlineStr">
        <is>
          <t>https://lpjk.pu.go.id/search-badan-usaha-detail/MUJFRkVKeEpBTjB0UTlvdXBkaUpLUT09</t>
        </is>
      </c>
      <c r="F43" t="n">
        <v>1</v>
      </c>
      <c r="G43" t="inlineStr">
        <is>
          <t>BS005
(Proses Sanksi)</t>
        </is>
      </c>
      <c r="H43" t="inlineStr">
        <is>
          <t>16 Januari 2004</t>
        </is>
      </c>
      <c r="I43" s="2" t="n">
        <v>46342</v>
      </c>
      <c r="J43" t="inlineStr">
        <is>
          <t>Disetujui</t>
        </is>
      </c>
      <c r="K43" t="n">
        <v>87</v>
      </c>
      <c r="L43" t="inlineStr">
        <is>
          <t>16 November 2026</t>
        </is>
      </c>
      <c r="M43" t="inlineStr">
        <is>
          <t>Konstruksi Bangunan Sipil Pengolahan Air Bersih</t>
        </is>
      </c>
      <c r="N43" t="inlineStr">
        <is>
          <t>B</t>
        </is>
      </c>
      <c r="O43" t="inlineStr">
        <is>
          <t>20231106</t>
        </is>
      </c>
      <c r="P43" t="inlineStr">
        <is>
          <t>Jawa Timur</t>
        </is>
      </c>
      <c r="Q43" t="inlineStr"/>
    </row>
    <row r="44">
      <c r="A44" t="inlineStr">
        <is>
          <t>DUTASATRYA ADHIPERSADA</t>
        </is>
      </c>
      <c r="B44" t="inlineStr">
        <is>
          <t>Kota Banjarmasin</t>
        </is>
      </c>
      <c r="C44" t="inlineStr">
        <is>
          <t>081266831582</t>
        </is>
      </c>
      <c r="D44" t="inlineStr">
        <is>
          <t>dutasatrya_adhipersada@yahoo.com</t>
        </is>
      </c>
      <c r="E44" t="inlineStr">
        <is>
          <t>https://lpjk.pu.go.id/search-badan-usaha-detail/MVZJTFE4d2lmTDRnNGJ5aHVCLzNwUT09</t>
        </is>
      </c>
      <c r="F44" t="n">
        <v>1</v>
      </c>
      <c r="G44" t="inlineStr">
        <is>
          <t>BS001</t>
        </is>
      </c>
      <c r="H44" t="inlineStr">
        <is>
          <t>25 Oktober 1991</t>
        </is>
      </c>
      <c r="I44" s="2" t="n">
        <v>46342</v>
      </c>
      <c r="J44" t="inlineStr">
        <is>
          <t>Pencabutan</t>
        </is>
      </c>
      <c r="K44" t="n">
        <v>87</v>
      </c>
      <c r="L44" t="inlineStr">
        <is>
          <t>16 November 2026</t>
        </is>
      </c>
      <c r="M44" t="inlineStr">
        <is>
          <t>Konstruksi Bangunan Sipil Jalan</t>
        </is>
      </c>
      <c r="N44" t="inlineStr">
        <is>
          <t>B</t>
        </is>
      </c>
      <c r="O44" t="inlineStr">
        <is>
          <t>20231018</t>
        </is>
      </c>
      <c r="P44" t="inlineStr">
        <is>
          <t>Kalimantan Selatan</t>
        </is>
      </c>
      <c r="Q44" t="inlineStr"/>
    </row>
    <row r="45">
      <c r="A45" t="inlineStr">
        <is>
          <t>EDI RANTI JAYA</t>
        </is>
      </c>
      <c r="B45" t="inlineStr">
        <is>
          <t>Kota Semarang</t>
        </is>
      </c>
      <c r="C45" t="inlineStr">
        <is>
          <t>085740797734</t>
        </is>
      </c>
      <c r="D45" t="inlineStr">
        <is>
          <t>ediranti18@gmail.com</t>
        </is>
      </c>
      <c r="E45" t="inlineStr">
        <is>
          <t>https://lpjk.pu.go.id/search-badan-usaha-detail/UEh3RWhqanVsZjl1c3ZhKzBzSnMxQT09</t>
        </is>
      </c>
      <c r="F45" t="n">
        <v>1</v>
      </c>
      <c r="G45" t="inlineStr">
        <is>
          <t>BS004</t>
        </is>
      </c>
      <c r="H45" t="inlineStr">
        <is>
          <t>4 Januari 2017</t>
        </is>
      </c>
      <c r="I45" s="2" t="n">
        <v>46342</v>
      </c>
      <c r="J45" t="inlineStr">
        <is>
          <t>Disetujui</t>
        </is>
      </c>
      <c r="K45" t="n">
        <v>87</v>
      </c>
      <c r="L45" t="inlineStr">
        <is>
          <t>16 November 2026</t>
        </is>
      </c>
      <c r="M45" t="inlineStr">
        <is>
          <t>Konstruksi Jaringan Irigasi dan Drainase</t>
        </is>
      </c>
      <c r="N45" t="inlineStr">
        <is>
          <t>K</t>
        </is>
      </c>
      <c r="O45" t="inlineStr">
        <is>
          <t>20231114</t>
        </is>
      </c>
      <c r="P45" t="inlineStr">
        <is>
          <t>Jawa Tengah</t>
        </is>
      </c>
      <c r="Q45" t="inlineStr"/>
    </row>
    <row r="46">
      <c r="A46" t="inlineStr">
        <is>
          <t>FAMILY JOINT</t>
        </is>
      </c>
      <c r="B46" t="inlineStr">
        <is>
          <t>Kab. Deli Serdang</t>
        </is>
      </c>
      <c r="C46" t="inlineStr">
        <is>
          <t>0</t>
        </is>
      </c>
      <c r="D46" t="inlineStr">
        <is>
          <t>cvfamily2020@gmail.com</t>
        </is>
      </c>
      <c r="E46" t="inlineStr">
        <is>
          <t>https://lpjk.pu.go.id/search-badan-usaha-detail/Kzc3a3hteHhIMUFtekZxZ2dBODJ0QT09</t>
        </is>
      </c>
      <c r="F46" t="n">
        <v>2</v>
      </c>
      <c r="G46" t="inlineStr">
        <is>
          <t>BS001, BS004</t>
        </is>
      </c>
      <c r="H46" t="inlineStr">
        <is>
          <t>27 Januari 2021</t>
        </is>
      </c>
      <c r="I46" s="2" t="n">
        <v>46342</v>
      </c>
      <c r="J46" t="inlineStr">
        <is>
          <t>Disetujui</t>
        </is>
      </c>
      <c r="K46" t="n">
        <v>87</v>
      </c>
      <c r="L46" t="inlineStr">
        <is>
          <t>16 November 2026</t>
        </is>
      </c>
      <c r="M46" t="inlineStr">
        <is>
          <t>Konstruksi Bangunan Sipil Jalan, Konstruksi Jaringan Irigasi dan Drainase</t>
        </is>
      </c>
      <c r="N46" t="inlineStr">
        <is>
          <t>K</t>
        </is>
      </c>
      <c r="O46" t="inlineStr">
        <is>
          <t>20231103</t>
        </is>
      </c>
      <c r="P46" t="inlineStr">
        <is>
          <t>Sumatera Utara</t>
        </is>
      </c>
      <c r="Q46" t="inlineStr"/>
    </row>
    <row r="47">
      <c r="A47" t="inlineStr">
        <is>
          <t>FAUZAN PUTRA PERDANA</t>
        </is>
      </c>
      <c r="B47" t="inlineStr">
        <is>
          <t>Kab. Madiun</t>
        </is>
      </c>
      <c r="C47" t="inlineStr">
        <is>
          <t>081252025729</t>
        </is>
      </c>
      <c r="D47" t="inlineStr">
        <is>
          <t>cvfauzanpp@gmail.com</t>
        </is>
      </c>
      <c r="E47" t="inlineStr">
        <is>
          <t>https://lpjk.pu.go.id/search-badan-usaha-detail/TFV3VzJuZGhGSjI2QkZ3ajdjRG5HZz09</t>
        </is>
      </c>
      <c r="F47" t="n">
        <v>2</v>
      </c>
      <c r="G47" t="inlineStr">
        <is>
          <t>BS001</t>
        </is>
      </c>
      <c r="H47" t="inlineStr">
        <is>
          <t>23 Januari 2020</t>
        </is>
      </c>
      <c r="I47" s="2" t="n">
        <v>46342</v>
      </c>
      <c r="J47" t="inlineStr">
        <is>
          <t>Disetujui</t>
        </is>
      </c>
      <c r="K47" t="n">
        <v>87</v>
      </c>
      <c r="L47" t="inlineStr">
        <is>
          <t>16 November 2026</t>
        </is>
      </c>
      <c r="M47" t="inlineStr">
        <is>
          <t>Konstruksi Bangunan Sipil Jalan</t>
        </is>
      </c>
      <c r="N47" t="inlineStr">
        <is>
          <t>K</t>
        </is>
      </c>
      <c r="O47" t="inlineStr">
        <is>
          <t>20230911</t>
        </is>
      </c>
      <c r="P47" t="inlineStr">
        <is>
          <t>Jawa Timur</t>
        </is>
      </c>
      <c r="Q47" t="inlineStr"/>
    </row>
    <row r="48">
      <c r="A48" t="inlineStr">
        <is>
          <t>FORTUNA SEJAHTERA</t>
        </is>
      </c>
      <c r="B48" t="inlineStr">
        <is>
          <t>Kota Pontianak</t>
        </is>
      </c>
      <c r="C48" t="inlineStr">
        <is>
          <t>-</t>
        </is>
      </c>
      <c r="D48" t="inlineStr">
        <is>
          <t>fortunasejahtera2019@gmail.com</t>
        </is>
      </c>
      <c r="E48" t="inlineStr">
        <is>
          <t>https://lpjk.pu.go.id/search-badan-usaha-detail/MFQ3emZ6NTJNRlpMYWF3aGk0dUZJQT09</t>
        </is>
      </c>
      <c r="F48" t="n">
        <v>1</v>
      </c>
      <c r="G48" t="inlineStr">
        <is>
          <t>BS001</t>
        </is>
      </c>
      <c r="H48" t="inlineStr">
        <is>
          <t>20 Mei 2015</t>
        </is>
      </c>
      <c r="I48" s="2" t="n">
        <v>46342</v>
      </c>
      <c r="J48" t="inlineStr">
        <is>
          <t>Disetujui</t>
        </is>
      </c>
      <c r="K48" t="n">
        <v>87</v>
      </c>
      <c r="L48" t="inlineStr">
        <is>
          <t>16 November 2026</t>
        </is>
      </c>
      <c r="M48" t="inlineStr">
        <is>
          <t>Konstruksi Bangunan Sipil Jalan</t>
        </is>
      </c>
      <c r="N48" t="inlineStr">
        <is>
          <t>K</t>
        </is>
      </c>
      <c r="O48" t="inlineStr">
        <is>
          <t>20231116</t>
        </is>
      </c>
      <c r="P48" t="inlineStr">
        <is>
          <t>Kalimantan Barat</t>
        </is>
      </c>
      <c r="Q48" t="inlineStr"/>
    </row>
    <row r="49">
      <c r="A49" t="inlineStr">
        <is>
          <t>GANESHA BINA UTAMA</t>
        </is>
      </c>
      <c r="B49" t="inlineStr">
        <is>
          <t>Kota Surabaya</t>
        </is>
      </c>
      <c r="C49" t="inlineStr">
        <is>
          <t>081803123169</t>
        </is>
      </c>
      <c r="D49" t="inlineStr">
        <is>
          <t>cv.ganeshabinautama@yahoo.com</t>
        </is>
      </c>
      <c r="E49" t="inlineStr">
        <is>
          <t>https://lpjk.pu.go.id/search-badan-usaha-detail/bDZEUXovUlR3N0gyaXNkU2FaTXFhQT09</t>
        </is>
      </c>
      <c r="F49" t="n">
        <v>6</v>
      </c>
      <c r="G49" t="inlineStr">
        <is>
          <t>BG005, BG006, BG009</t>
        </is>
      </c>
      <c r="H49" t="inlineStr">
        <is>
          <t>9 Januari 2015</t>
        </is>
      </c>
      <c r="I49" s="2" t="n">
        <v>46342</v>
      </c>
      <c r="J49" t="inlineStr">
        <is>
          <t>Disetujui</t>
        </is>
      </c>
      <c r="K49" t="n">
        <v>87</v>
      </c>
      <c r="L49" t="inlineStr">
        <is>
          <t>16 November 2026</t>
        </is>
      </c>
      <c r="M49" t="inlineStr">
        <is>
          <t>Konstruksi Gedung Kesehatan, Konstruksi Gedung Lainnya, Konstruksi Gedung Pendidikan</t>
        </is>
      </c>
      <c r="N49" t="inlineStr">
        <is>
          <t>K</t>
        </is>
      </c>
      <c r="O49" t="inlineStr">
        <is>
          <t>20231116</t>
        </is>
      </c>
      <c r="P49" t="inlineStr">
        <is>
          <t>Jawa Timur</t>
        </is>
      </c>
      <c r="Q49" t="inlineStr"/>
    </row>
    <row r="50">
      <c r="A50" t="inlineStr">
        <is>
          <t>GUNADHARMA MULTI INVESTAMA</t>
        </is>
      </c>
      <c r="B50" t="inlineStr">
        <is>
          <t>Kota Adm. Jakarta Selatan</t>
        </is>
      </c>
      <c r="C50" t="inlineStr">
        <is>
          <t>0217982227</t>
        </is>
      </c>
      <c r="D50" t="inlineStr">
        <is>
          <t>contact@gminetwork.co.id</t>
        </is>
      </c>
      <c r="E50" t="inlineStr">
        <is>
          <t>https://lpjk.pu.go.id/search-badan-usaha-detail/RFkyV0J2REFzQkJHNnJQVVo2ZUJWUT09</t>
        </is>
      </c>
      <c r="F50" t="n">
        <v>1</v>
      </c>
      <c r="G50" t="inlineStr">
        <is>
          <t>BS009</t>
        </is>
      </c>
      <c r="H50" t="inlineStr">
        <is>
          <t>20 April 2004</t>
        </is>
      </c>
      <c r="I50" s="2" t="n">
        <v>46342</v>
      </c>
      <c r="J50" t="inlineStr">
        <is>
          <t>Disetujui</t>
        </is>
      </c>
      <c r="K50" t="n">
        <v>87</v>
      </c>
      <c r="L50" t="inlineStr">
        <is>
          <t>16 November 2026</t>
        </is>
      </c>
      <c r="M50" t="inlineStr">
        <is>
          <t>Konstruksi Sentral Telekomunikasi</t>
        </is>
      </c>
      <c r="N50" t="inlineStr">
        <is>
          <t>M</t>
        </is>
      </c>
      <c r="O50" t="inlineStr">
        <is>
          <t>20231109</t>
        </is>
      </c>
      <c r="P50" t="inlineStr">
        <is>
          <t>DKI Jakarta</t>
        </is>
      </c>
      <c r="Q50" t="inlineStr"/>
    </row>
    <row r="51">
      <c r="A51" t="inlineStr">
        <is>
          <t>HAPSARI</t>
        </is>
      </c>
      <c r="B51" t="inlineStr">
        <is>
          <t>Kab. Grobogan</t>
        </is>
      </c>
      <c r="C51" t="inlineStr">
        <is>
          <t>081390949820</t>
        </is>
      </c>
      <c r="D51" t="inlineStr">
        <is>
          <t>hapsari_pwd@yahoo.co.id</t>
        </is>
      </c>
      <c r="E51" t="inlineStr">
        <is>
          <t>https://lpjk.pu.go.id/search-badan-usaha-detail/Vnl3QjF1YnUyWTNjMWhQSXp2VzNYUT09</t>
        </is>
      </c>
      <c r="F51" t="n">
        <v>2</v>
      </c>
      <c r="G51" t="inlineStr">
        <is>
          <t>BG002, BG005</t>
        </is>
      </c>
      <c r="H51" t="inlineStr">
        <is>
          <t>15 Maret 1995</t>
        </is>
      </c>
      <c r="I51" s="2" t="n">
        <v>46342</v>
      </c>
      <c r="J51" t="inlineStr">
        <is>
          <t>Disetujui</t>
        </is>
      </c>
      <c r="K51" t="n">
        <v>87</v>
      </c>
      <c r="L51" t="inlineStr">
        <is>
          <t>16 November 2026</t>
        </is>
      </c>
      <c r="M51" t="inlineStr">
        <is>
          <t>Konstruksi Gedung Kesehatan, Konstruksi Gedung Perkantoran</t>
        </is>
      </c>
      <c r="N51" t="inlineStr">
        <is>
          <t>K</t>
        </is>
      </c>
      <c r="O51" t="inlineStr">
        <is>
          <t>20231102</t>
        </is>
      </c>
      <c r="P51" t="inlineStr">
        <is>
          <t>Jawa Tengah</t>
        </is>
      </c>
      <c r="Q51" t="inlineStr"/>
    </row>
    <row r="52">
      <c r="A52" t="inlineStr">
        <is>
          <t>INDAH DEWI</t>
        </is>
      </c>
      <c r="B52" t="inlineStr">
        <is>
          <t>Kota Tarakan</t>
        </is>
      </c>
      <c r="C52" t="inlineStr">
        <is>
          <t>082134412109</t>
        </is>
      </c>
      <c r="D52" t="inlineStr">
        <is>
          <t>pt.indahdewi2019@gmail.com</t>
        </is>
      </c>
      <c r="E52" t="inlineStr">
        <is>
          <t>https://lpjk.pu.go.id/search-badan-usaha-detail/bXdDelYxSitKbjZYVU9Bd3JMWFJtdz09</t>
        </is>
      </c>
      <c r="F52" t="n">
        <v>3</v>
      </c>
      <c r="G52" t="inlineStr">
        <is>
          <t>KK001, PL003, PL004</t>
        </is>
      </c>
      <c r="H52" t="inlineStr">
        <is>
          <t>23 September 2020</t>
        </is>
      </c>
      <c r="I52" s="2" t="n">
        <v>46342</v>
      </c>
      <c r="J52" t="inlineStr">
        <is>
          <t>Pembekuan</t>
        </is>
      </c>
      <c r="K52" t="n">
        <v>87</v>
      </c>
      <c r="L52" t="inlineStr">
        <is>
          <t>16 November 2026</t>
        </is>
      </c>
      <c r="M52" t="inlineStr">
        <is>
          <t>Pekerjaan Tanah, Penyiapan Lahan Konstruksi, Pondasi Konstruksi</t>
        </is>
      </c>
      <c r="N52" t="inlineStr">
        <is>
          <t>Spesialis</t>
        </is>
      </c>
      <c r="O52" t="inlineStr">
        <is>
          <t>20230928, 20231005</t>
        </is>
      </c>
      <c r="P52" t="inlineStr">
        <is>
          <t>Kalimantan Utara</t>
        </is>
      </c>
      <c r="Q52" t="inlineStr"/>
    </row>
    <row r="53">
      <c r="A53" t="inlineStr">
        <is>
          <t>INDEC INTERNUSA</t>
        </is>
      </c>
      <c r="B53" t="inlineStr">
        <is>
          <t>Kota Bandung</t>
        </is>
      </c>
      <c r="C53" t="inlineStr">
        <is>
          <t>082216627674</t>
        </is>
      </c>
      <c r="D53" t="inlineStr">
        <is>
          <t>indecinternusabdg@gmail.com</t>
        </is>
      </c>
      <c r="E53" t="inlineStr">
        <is>
          <t>https://lpjk.pu.go.id/search-badan-usaha-detail/eGxLV21MRkw4NzkybnVpZTJpVTJ0QT09</t>
        </is>
      </c>
      <c r="F53" t="n">
        <v>2</v>
      </c>
      <c r="G53" t="inlineStr">
        <is>
          <t>RK002, RK003</t>
        </is>
      </c>
      <c r="H53" t="inlineStr">
        <is>
          <t>16 September 1971</t>
        </is>
      </c>
      <c r="I53" s="2" t="n">
        <v>46342</v>
      </c>
      <c r="J53" t="inlineStr">
        <is>
          <t>Disetujui</t>
        </is>
      </c>
      <c r="K53" t="n">
        <v>87</v>
      </c>
      <c r="L53" t="inlineStr">
        <is>
          <t>16 November 2026</t>
        </is>
      </c>
      <c r="M53" t="inlineStr">
        <is>
          <t>Jasa Rekayasa Pekerjaan Teknik Sipil Sumber Daya Air, Jasa Rekayasa Pekerjaan Teknik Sipil Transportasi</t>
        </is>
      </c>
      <c r="N53" t="inlineStr">
        <is>
          <t>B</t>
        </is>
      </c>
      <c r="O53" t="inlineStr">
        <is>
          <t>20231102, 20231103</t>
        </is>
      </c>
      <c r="P53" t="inlineStr">
        <is>
          <t>Jawa Barat</t>
        </is>
      </c>
      <c r="Q53" t="inlineStr"/>
    </row>
    <row r="54">
      <c r="A54" t="inlineStr">
        <is>
          <t>INDOKARYA PRATAMA</t>
        </is>
      </c>
      <c r="B54" t="inlineStr">
        <is>
          <t>Kab. Jombang</t>
        </is>
      </c>
      <c r="C54" t="inlineStr">
        <is>
          <t>081330058011</t>
        </is>
      </c>
      <c r="D54" t="inlineStr">
        <is>
          <t>cvindokaryapratama2018@gmail.com</t>
        </is>
      </c>
      <c r="E54" t="inlineStr">
        <is>
          <t>https://lpjk.pu.go.id/search-badan-usaha-detail/aldSMzhMQkwzSEJCSzdFMjRIWTJtZz09</t>
        </is>
      </c>
      <c r="F54" t="n">
        <v>2</v>
      </c>
      <c r="G54" t="inlineStr">
        <is>
          <t>BG004</t>
        </is>
      </c>
      <c r="H54" t="inlineStr">
        <is>
          <t>1 Oktober 2018</t>
        </is>
      </c>
      <c r="I54" s="2" t="n">
        <v>46342</v>
      </c>
      <c r="J54" t="inlineStr">
        <is>
          <t>Disetujui</t>
        </is>
      </c>
      <c r="K54" t="n">
        <v>87</v>
      </c>
      <c r="L54" t="inlineStr">
        <is>
          <t>16 November 2026</t>
        </is>
      </c>
      <c r="M54" t="inlineStr">
        <is>
          <t>Konstruksi Gedung Perbelanjaan</t>
        </is>
      </c>
      <c r="N54" t="inlineStr">
        <is>
          <t>K</t>
        </is>
      </c>
      <c r="O54" t="inlineStr">
        <is>
          <t>20231113</t>
        </is>
      </c>
      <c r="P54" t="inlineStr">
        <is>
          <t>Jawa Timur</t>
        </is>
      </c>
      <c r="Q54" t="inlineStr"/>
    </row>
    <row r="55">
      <c r="A55" t="inlineStr">
        <is>
          <t>INDOPLAN INTI PATRIA</t>
        </is>
      </c>
      <c r="B55" t="inlineStr">
        <is>
          <t>Kab. Nunukan</t>
        </is>
      </c>
      <c r="C55" t="inlineStr">
        <is>
          <t>08125326102</t>
        </is>
      </c>
      <c r="D55" t="inlineStr">
        <is>
          <t>indoplanintipatria@gmail.com</t>
        </is>
      </c>
      <c r="E55" t="inlineStr">
        <is>
          <t>https://lpjk.pu.go.id/search-badan-usaha-detail/TjVXSXplVjIvVGNORFpEY01CdVBLQT09</t>
        </is>
      </c>
      <c r="F55" t="n">
        <v>1</v>
      </c>
      <c r="G55" t="inlineStr">
        <is>
          <t>RK001</t>
        </is>
      </c>
      <c r="H55" t="inlineStr">
        <is>
          <t>29 Juli 2010</t>
        </is>
      </c>
      <c r="I55" s="2" t="n">
        <v>46342</v>
      </c>
      <c r="J55" t="inlineStr">
        <is>
          <t>Disetujui</t>
        </is>
      </c>
      <c r="K55" t="n">
        <v>87</v>
      </c>
      <c r="L55" t="inlineStr">
        <is>
          <t>16 November 2026</t>
        </is>
      </c>
      <c r="M55" t="inlineStr">
        <is>
          <t>Jasa Rekayasa Konstruksi Bangunan Gedung Hunian dan Non Hunian</t>
        </is>
      </c>
      <c r="N55" t="inlineStr">
        <is>
          <t>K</t>
        </is>
      </c>
      <c r="O55" t="inlineStr">
        <is>
          <t>20231109</t>
        </is>
      </c>
      <c r="P55" t="inlineStr">
        <is>
          <t>Kalimantan Utara</t>
        </is>
      </c>
      <c r="Q55" t="inlineStr"/>
    </row>
    <row r="56">
      <c r="A56" t="inlineStr">
        <is>
          <t>JAYA MANDIRI INTERIOR</t>
        </is>
      </c>
      <c r="B56" t="inlineStr">
        <is>
          <t>Kab. Pringsewu</t>
        </is>
      </c>
      <c r="C56" t="inlineStr">
        <is>
          <t>07297081652</t>
        </is>
      </c>
      <c r="D56" t="inlineStr">
        <is>
          <t>jariinterior@gmail.com</t>
        </is>
      </c>
      <c r="E56" t="inlineStr">
        <is>
          <t>https://lpjk.pu.go.id/search-badan-usaha-detail/ckhyNE1mREZ4MldZL1hEdjNQaUxIdz09</t>
        </is>
      </c>
      <c r="F56" t="n">
        <v>1</v>
      </c>
      <c r="G56" t="inlineStr">
        <is>
          <t>PB004</t>
        </is>
      </c>
      <c r="H56" t="inlineStr">
        <is>
          <t>27 Juni 2023</t>
        </is>
      </c>
      <c r="I56" s="2" t="n">
        <v>46342</v>
      </c>
      <c r="J56" t="inlineStr">
        <is>
          <t>Disetujui</t>
        </is>
      </c>
      <c r="K56" t="n">
        <v>87</v>
      </c>
      <c r="L56" t="inlineStr">
        <is>
          <t>16 November 2026</t>
        </is>
      </c>
      <c r="M56" t="inlineStr">
        <is>
          <t>Dekorasi Interior</t>
        </is>
      </c>
      <c r="N56" t="inlineStr">
        <is>
          <t>Spesialis</t>
        </is>
      </c>
      <c r="O56" t="inlineStr">
        <is>
          <t>20231108</t>
        </is>
      </c>
      <c r="P56" t="inlineStr">
        <is>
          <t>Lampung</t>
        </is>
      </c>
      <c r="Q56" t="inlineStr"/>
    </row>
    <row r="57">
      <c r="A57" t="inlineStr">
        <is>
          <t>KAMIRA CIPTA KONSULTAN</t>
        </is>
      </c>
      <c r="B57" t="inlineStr">
        <is>
          <t>Kota Bandung</t>
        </is>
      </c>
      <c r="C57" t="inlineStr">
        <is>
          <t>082127251566</t>
        </is>
      </c>
      <c r="D57" t="inlineStr">
        <is>
          <t>kamiracipta.kons@gmail.com</t>
        </is>
      </c>
      <c r="E57" t="inlineStr">
        <is>
          <t>https://lpjk.pu.go.id/search-badan-usaha-detail/b2V4cVZmTEE0OVVjZ1pSTytiT2Fodz09</t>
        </is>
      </c>
      <c r="F57" t="n">
        <v>2</v>
      </c>
      <c r="G57" t="inlineStr">
        <is>
          <t>RK001, RK003</t>
        </is>
      </c>
      <c r="H57" t="inlineStr">
        <is>
          <t>9 Mei 2023</t>
        </is>
      </c>
      <c r="I57" s="2" t="n">
        <v>46342</v>
      </c>
      <c r="J57" t="inlineStr">
        <is>
          <t>Pencabutan</t>
        </is>
      </c>
      <c r="K57" t="n">
        <v>87</v>
      </c>
      <c r="L57" t="inlineStr">
        <is>
          <t>16 November 2026</t>
        </is>
      </c>
      <c r="M57" t="inlineStr">
        <is>
          <t>Jasa Rekayasa Konstruksi Bangunan Gedung Hunian dan Non Hunian, Jasa Rekayasa Pekerjaan Teknik Sipil Transportasi</t>
        </is>
      </c>
      <c r="N57" t="inlineStr">
        <is>
          <t>K</t>
        </is>
      </c>
      <c r="O57" t="inlineStr">
        <is>
          <t>20231006, 20231102</t>
        </is>
      </c>
      <c r="P57" t="inlineStr">
        <is>
          <t>Jawa Barat</t>
        </is>
      </c>
      <c r="Q57" t="inlineStr"/>
    </row>
    <row r="58">
      <c r="A58" t="inlineStr">
        <is>
          <t>KARUNIA PUTRA</t>
        </is>
      </c>
      <c r="B58" t="inlineStr">
        <is>
          <t>Kab. Probolinggo</t>
        </is>
      </c>
      <c r="C58" t="inlineStr">
        <is>
          <t>082143375609</t>
        </is>
      </c>
      <c r="D58" t="inlineStr">
        <is>
          <t>karuniaputrarizki@gmail.com</t>
        </is>
      </c>
      <c r="E58" t="inlineStr">
        <is>
          <t>https://lpjk.pu.go.id/search-badan-usaha-detail/V0ZYR0RTYVozSzBnSjVWUzFlV1JvUT09</t>
        </is>
      </c>
      <c r="F58" t="n">
        <v>3</v>
      </c>
      <c r="G58" t="inlineStr">
        <is>
          <t>BG005, BG006, BG009</t>
        </is>
      </c>
      <c r="H58" t="inlineStr">
        <is>
          <t>15 Januari 2021</t>
        </is>
      </c>
      <c r="I58" s="2" t="n">
        <v>46342</v>
      </c>
      <c r="J58" t="inlineStr">
        <is>
          <t>Disetujui</t>
        </is>
      </c>
      <c r="K58" t="n">
        <v>87</v>
      </c>
      <c r="L58" t="inlineStr">
        <is>
          <t>16 November 2026</t>
        </is>
      </c>
      <c r="M58" t="inlineStr">
        <is>
          <t>Konstruksi Gedung Kesehatan, Konstruksi Gedung Lainnya, Konstruksi Gedung Pendidikan</t>
        </is>
      </c>
      <c r="N58" t="inlineStr">
        <is>
          <t>K</t>
        </is>
      </c>
      <c r="O58" t="inlineStr">
        <is>
          <t>20231109, 20231113</t>
        </is>
      </c>
      <c r="P58" t="inlineStr">
        <is>
          <t>Jawa Timur</t>
        </is>
      </c>
      <c r="Q58" t="inlineStr"/>
    </row>
    <row r="59">
      <c r="A59" t="inlineStr">
        <is>
          <t>KARYA INDIKA KONSULTAN</t>
        </is>
      </c>
      <c r="B59" t="inlineStr">
        <is>
          <t>Kota Makassar</t>
        </is>
      </c>
      <c r="C59" t="inlineStr">
        <is>
          <t>081351601977</t>
        </is>
      </c>
      <c r="D59" t="inlineStr">
        <is>
          <t>karyaindikakonsultan@gmail.com</t>
        </is>
      </c>
      <c r="E59" t="inlineStr">
        <is>
          <t>https://lpjk.pu.go.id/search-badan-usaha-detail/c1FLNTU2Tkx6T294YjNGelpKUFRjUT09</t>
        </is>
      </c>
      <c r="F59" t="n">
        <v>4</v>
      </c>
      <c r="G59" t="inlineStr">
        <is>
          <t>RK001, RK002, RK003, RK005</t>
        </is>
      </c>
      <c r="H59" t="inlineStr">
        <is>
          <t>13 Oktober 2023</t>
        </is>
      </c>
      <c r="I59" s="2" t="n">
        <v>46342</v>
      </c>
      <c r="J59" t="inlineStr">
        <is>
          <t>Disetujui</t>
        </is>
      </c>
      <c r="K59" t="n">
        <v>87</v>
      </c>
      <c r="L59" t="inlineStr">
        <is>
          <t>16 November 2026</t>
        </is>
      </c>
      <c r="M59" t="inlineStr">
        <is>
          <t>Jasa Rekayasa Konstruksi Bangunan Gedung Hunian dan Non Hunian, Jasa Rekayasa Lainnya, Jasa Rekayasa Pekerjaan Teknik Sipil Sumber Daya Air, Jasa Rekayasa Pekerjaan Teknik Sipil Transportasi</t>
        </is>
      </c>
      <c r="N59" t="inlineStr">
        <is>
          <t>K</t>
        </is>
      </c>
      <c r="O59" t="inlineStr">
        <is>
          <t>20231027</t>
        </is>
      </c>
      <c r="P59" t="inlineStr">
        <is>
          <t>Sulawesi Selatan</t>
        </is>
      </c>
      <c r="Q59" t="inlineStr"/>
    </row>
    <row r="60">
      <c r="A60" t="inlineStr">
        <is>
          <t>KARYA SENTOSA CONTRACTOR</t>
        </is>
      </c>
      <c r="B60" t="inlineStr">
        <is>
          <t>Kab. Paser</t>
        </is>
      </c>
      <c r="C60" t="inlineStr">
        <is>
          <t>085347101875</t>
        </is>
      </c>
      <c r="D60" t="inlineStr">
        <is>
          <t>cvkaryasentosacontractor@gmail.com</t>
        </is>
      </c>
      <c r="E60" t="inlineStr">
        <is>
          <t>https://lpjk.pu.go.id/search-badan-usaha-detail/TGtxUGVTK3A0V0dWaTBaMFhtakFvdz09</t>
        </is>
      </c>
      <c r="F60" t="n">
        <v>1</v>
      </c>
      <c r="G60" t="inlineStr">
        <is>
          <t>BS005</t>
        </is>
      </c>
      <c r="H60" t="inlineStr">
        <is>
          <t>3 Juli 2023</t>
        </is>
      </c>
      <c r="I60" s="2" t="n">
        <v>46342</v>
      </c>
      <c r="J60" t="inlineStr">
        <is>
          <t>Disetujui</t>
        </is>
      </c>
      <c r="K60" t="n">
        <v>87</v>
      </c>
      <c r="L60" t="inlineStr">
        <is>
          <t>16 November 2026</t>
        </is>
      </c>
      <c r="M60" t="inlineStr">
        <is>
          <t>Konstruksi Bangunan Sipil Pengolahan Air Bersih</t>
        </is>
      </c>
      <c r="N60" t="inlineStr">
        <is>
          <t>K</t>
        </is>
      </c>
      <c r="O60" t="inlineStr">
        <is>
          <t>20231111</t>
        </is>
      </c>
      <c r="P60" t="inlineStr">
        <is>
          <t>Kalimantan Timur</t>
        </is>
      </c>
      <c r="Q60" t="inlineStr"/>
    </row>
    <row r="61">
      <c r="A61" t="inlineStr">
        <is>
          <t>KARYATAMA MANDIRI</t>
        </is>
      </c>
      <c r="B61" t="inlineStr">
        <is>
          <t>Kab. Padang Pariaman</t>
        </is>
      </c>
      <c r="C61" t="inlineStr">
        <is>
          <t>081286568877</t>
        </is>
      </c>
      <c r="D61" t="inlineStr">
        <is>
          <t>kar.tamamandiri@gmail.com</t>
        </is>
      </c>
      <c r="E61" t="inlineStr">
        <is>
          <t>https://lpjk.pu.go.id/search-badan-usaha-detail/Z0ZXN01jNGlWTGozTVl1Z25mbGNkUT09</t>
        </is>
      </c>
      <c r="F61" t="n">
        <v>2</v>
      </c>
      <c r="G61" t="inlineStr">
        <is>
          <t>BG001</t>
        </is>
      </c>
      <c r="H61" t="inlineStr">
        <is>
          <t>6 Oktober 1994</t>
        </is>
      </c>
      <c r="I61" s="2" t="n">
        <v>46342</v>
      </c>
      <c r="J61" t="inlineStr">
        <is>
          <t>Disetujui</t>
        </is>
      </c>
      <c r="K61" t="n">
        <v>87</v>
      </c>
      <c r="L61" t="inlineStr">
        <is>
          <t>16 November 2026</t>
        </is>
      </c>
      <c r="M61" t="inlineStr">
        <is>
          <t>Konstruksi Gedung Hunian</t>
        </is>
      </c>
      <c r="N61" t="inlineStr">
        <is>
          <t>K</t>
        </is>
      </c>
      <c r="O61" t="inlineStr">
        <is>
          <t>20231115</t>
        </is>
      </c>
      <c r="P61" t="inlineStr">
        <is>
          <t>Sumatera Barat</t>
        </is>
      </c>
      <c r="Q61" t="inlineStr"/>
    </row>
    <row r="62">
      <c r="A62" t="inlineStr">
        <is>
          <t>KEMBAR ABADI</t>
        </is>
      </c>
      <c r="B62" t="inlineStr">
        <is>
          <t>Kota Cirebon</t>
        </is>
      </c>
      <c r="C62" t="inlineStr">
        <is>
          <t>085220004306</t>
        </is>
      </c>
      <c r="D62" t="inlineStr">
        <is>
          <t>kembarabadi73@gmail.com</t>
        </is>
      </c>
      <c r="E62" t="inlineStr">
        <is>
          <t>https://lpjk.pu.go.id/search-badan-usaha-detail/c25zQm5RTlBTeEtEY29seVBuMzhaQT09</t>
        </is>
      </c>
      <c r="F62" t="n">
        <v>1</v>
      </c>
      <c r="G62" t="inlineStr">
        <is>
          <t>BS005</t>
        </is>
      </c>
      <c r="H62" t="inlineStr">
        <is>
          <t>15 Juni 2011</t>
        </is>
      </c>
      <c r="I62" s="2" t="n">
        <v>46342</v>
      </c>
      <c r="J62" t="inlineStr">
        <is>
          <t>Disetujui</t>
        </is>
      </c>
      <c r="K62" t="n">
        <v>87</v>
      </c>
      <c r="L62" t="inlineStr">
        <is>
          <t>16 November 2026</t>
        </is>
      </c>
      <c r="M62" t="inlineStr">
        <is>
          <t>Konstruksi Bangunan Sipil Pengolahan Air Bersih</t>
        </is>
      </c>
      <c r="N62" t="inlineStr">
        <is>
          <t>K</t>
        </is>
      </c>
      <c r="O62" t="inlineStr">
        <is>
          <t>20231117</t>
        </is>
      </c>
      <c r="P62" t="inlineStr">
        <is>
          <t>Jawa Barat</t>
        </is>
      </c>
      <c r="Q62" t="inlineStr"/>
    </row>
    <row r="63">
      <c r="A63" t="inlineStr">
        <is>
          <t>KENCANA LAYANA KONSULTAN</t>
        </is>
      </c>
      <c r="B63" t="inlineStr">
        <is>
          <t>Kota Kupang</t>
        </is>
      </c>
      <c r="C63" t="inlineStr">
        <is>
          <t>081239919199</t>
        </is>
      </c>
      <c r="D63" t="inlineStr">
        <is>
          <t>ptkencanalayana@gmail.com</t>
        </is>
      </c>
      <c r="E63" t="inlineStr">
        <is>
          <t>https://lpjk.pu.go.id/search-badan-usaha-detail/N3lkWW1xMFJMbUtRSVpJUjY1cHRIdz09</t>
        </is>
      </c>
      <c r="F63" t="n">
        <v>2</v>
      </c>
      <c r="G63" t="inlineStr">
        <is>
          <t>RK002, RK003</t>
        </is>
      </c>
      <c r="H63" t="inlineStr">
        <is>
          <t>23 November 2007</t>
        </is>
      </c>
      <c r="I63" s="2" t="n">
        <v>46342</v>
      </c>
      <c r="J63" t="inlineStr">
        <is>
          <t>Pencabutan</t>
        </is>
      </c>
      <c r="K63" t="n">
        <v>87</v>
      </c>
      <c r="L63" t="inlineStr">
        <is>
          <t>16 November 2026</t>
        </is>
      </c>
      <c r="M63" t="inlineStr">
        <is>
          <t>Jasa Rekayasa Pekerjaan Teknik Sipil Sumber Daya Air, Jasa Rekayasa Pekerjaan Teknik Sipil Transportasi</t>
        </is>
      </c>
      <c r="N63" t="inlineStr">
        <is>
          <t>M</t>
        </is>
      </c>
      <c r="O63" t="inlineStr">
        <is>
          <t>20231102</t>
        </is>
      </c>
      <c r="P63" t="inlineStr">
        <is>
          <t>Nusa Tenggara Timur</t>
        </is>
      </c>
      <c r="Q63" t="inlineStr"/>
    </row>
    <row r="64">
      <c r="A64" t="inlineStr">
        <is>
          <t>KENCANA MANDIRI SEJAHTERA TELECOM</t>
        </is>
      </c>
      <c r="B64" t="inlineStr">
        <is>
          <t>Kota Adm. Jakarta Barat</t>
        </is>
      </c>
      <c r="C64" t="inlineStr">
        <is>
          <t>02158356601</t>
        </is>
      </c>
      <c r="D64" t="inlineStr">
        <is>
          <t>kencana@kms-telecom.co.id</t>
        </is>
      </c>
      <c r="E64" t="inlineStr">
        <is>
          <t>https://lpjk.pu.go.id/search-badan-usaha-detail/K1RvVFgyVnJrVG1lZnFyTTEyM1lLdz09</t>
        </is>
      </c>
      <c r="F64" t="n">
        <v>2</v>
      </c>
      <c r="G64" t="inlineStr">
        <is>
          <t>BS007, BS009</t>
        </is>
      </c>
      <c r="H64" t="inlineStr">
        <is>
          <t>6 Maret 2006</t>
        </is>
      </c>
      <c r="I64" s="2" t="n">
        <v>46342</v>
      </c>
      <c r="J64" t="inlineStr">
        <is>
          <t>Disetujui</t>
        </is>
      </c>
      <c r="K64" t="n">
        <v>87</v>
      </c>
      <c r="L64" t="inlineStr">
        <is>
          <t>16 November 2026</t>
        </is>
      </c>
      <c r="M64" t="inlineStr">
        <is>
          <t>Konstruksi Bangunan Sipil Elektrikal, Konstruksi Sentral Telekomunikasi</t>
        </is>
      </c>
      <c r="N64" t="inlineStr">
        <is>
          <t>K</t>
        </is>
      </c>
      <c r="O64" t="inlineStr">
        <is>
          <t>20231117</t>
        </is>
      </c>
      <c r="P64" t="inlineStr">
        <is>
          <t>DKI Jakarta</t>
        </is>
      </c>
      <c r="Q64" t="inlineStr"/>
    </row>
    <row r="65">
      <c r="A65" t="inlineStr">
        <is>
          <t>KREASI SENI BANGSA</t>
        </is>
      </c>
      <c r="B65" t="inlineStr">
        <is>
          <t>Kota Tangerang Selatan</t>
        </is>
      </c>
      <c r="C65" t="inlineStr">
        <is>
          <t>02122326888</t>
        </is>
      </c>
      <c r="D65" t="inlineStr">
        <is>
          <t>dpojok02@gmail.com</t>
        </is>
      </c>
      <c r="E65" t="inlineStr">
        <is>
          <t>https://lpjk.pu.go.id/search-badan-usaha-detail/OUdVZXR6b3dWUTE5UXBpUXYrUXR1dz09</t>
        </is>
      </c>
      <c r="F65" t="n">
        <v>1</v>
      </c>
      <c r="G65" t="inlineStr">
        <is>
          <t>BG001</t>
        </is>
      </c>
      <c r="H65" t="inlineStr">
        <is>
          <t>4 Oktober 2019</t>
        </is>
      </c>
      <c r="I65" s="2" t="n">
        <v>46342</v>
      </c>
      <c r="J65" t="inlineStr">
        <is>
          <t>Disetujui</t>
        </is>
      </c>
      <c r="K65" t="n">
        <v>87</v>
      </c>
      <c r="L65" t="inlineStr">
        <is>
          <t>16 November 2026</t>
        </is>
      </c>
      <c r="M65" t="inlineStr">
        <is>
          <t>Konstruksi Gedung Hunian</t>
        </is>
      </c>
      <c r="N65" t="inlineStr">
        <is>
          <t>K</t>
        </is>
      </c>
      <c r="O65" t="inlineStr">
        <is>
          <t>20231102</t>
        </is>
      </c>
      <c r="P65" t="inlineStr">
        <is>
          <t>Banten</t>
        </is>
      </c>
      <c r="Q65" t="inlineStr"/>
    </row>
    <row r="66">
      <c r="A66" t="inlineStr">
        <is>
          <t>LINGGA CEMERLANG ABADI</t>
        </is>
      </c>
      <c r="B66" t="inlineStr">
        <is>
          <t>Kab. Dairi</t>
        </is>
      </c>
      <c r="C66" t="inlineStr">
        <is>
          <t>082164628086</t>
        </is>
      </c>
      <c r="D66" t="inlineStr">
        <is>
          <t>linggacemerlang82@gmail.com</t>
        </is>
      </c>
      <c r="E66" t="inlineStr">
        <is>
          <t>https://lpjk.pu.go.id/search-badan-usaha-detail/eDM3eXJpb3Z0a3VHaXI1WDN1UnRSdz09</t>
        </is>
      </c>
      <c r="F66" t="n">
        <v>1</v>
      </c>
      <c r="G66" t="inlineStr">
        <is>
          <t>BG001</t>
        </is>
      </c>
      <c r="H66" t="inlineStr">
        <is>
          <t>27 Maret 2023</t>
        </is>
      </c>
      <c r="I66" s="2" t="n">
        <v>46342</v>
      </c>
      <c r="J66" t="inlineStr">
        <is>
          <t>Pencabutan</t>
        </is>
      </c>
      <c r="K66" t="n">
        <v>87</v>
      </c>
      <c r="L66" t="inlineStr">
        <is>
          <t>16 November 2026</t>
        </is>
      </c>
      <c r="M66" t="inlineStr">
        <is>
          <t>Konstruksi Gedung Hunian</t>
        </is>
      </c>
      <c r="N66" t="inlineStr">
        <is>
          <t>K</t>
        </is>
      </c>
      <c r="O66" t="inlineStr">
        <is>
          <t>20231114</t>
        </is>
      </c>
      <c r="P66" t="inlineStr">
        <is>
          <t>Sumatera Utara</t>
        </is>
      </c>
      <c r="Q66" t="inlineStr"/>
    </row>
    <row r="67">
      <c r="A67" t="inlineStr">
        <is>
          <t>MAHESA SWARNABHUMI</t>
        </is>
      </c>
      <c r="B67" t="inlineStr">
        <is>
          <t>Kota Samarinda</t>
        </is>
      </c>
      <c r="C67" t="inlineStr">
        <is>
          <t>081253102126</t>
        </is>
      </c>
      <c r="D67" t="inlineStr">
        <is>
          <t>cv.mahesaswarnabhumi@gmail.com</t>
        </is>
      </c>
      <c r="E67" t="inlineStr">
        <is>
          <t>https://lpjk.pu.go.id/search-badan-usaha-detail/K1NJalNhZFhCYnNrY0duc29laFV4Zz09</t>
        </is>
      </c>
      <c r="F67" t="n">
        <v>1</v>
      </c>
      <c r="G67" t="inlineStr">
        <is>
          <t>BG009</t>
        </is>
      </c>
      <c r="H67" t="inlineStr">
        <is>
          <t>12 April 2023</t>
        </is>
      </c>
      <c r="I67" s="2" t="n">
        <v>46342</v>
      </c>
      <c r="J67" t="inlineStr">
        <is>
          <t>Pencabutan</t>
        </is>
      </c>
      <c r="K67" t="n">
        <v>87</v>
      </c>
      <c r="L67" t="inlineStr">
        <is>
          <t>16 November 2026</t>
        </is>
      </c>
      <c r="M67" t="inlineStr">
        <is>
          <t>Konstruksi Gedung Lainnya</t>
        </is>
      </c>
      <c r="N67" t="inlineStr">
        <is>
          <t>K</t>
        </is>
      </c>
      <c r="O67" t="inlineStr">
        <is>
          <t>20231116</t>
        </is>
      </c>
      <c r="P67" t="inlineStr">
        <is>
          <t>Kalimantan Timur</t>
        </is>
      </c>
      <c r="Q67" t="inlineStr"/>
    </row>
    <row r="68">
      <c r="A68" t="inlineStr">
        <is>
          <t>MAHIJA MANDAYA ABIKARYA</t>
        </is>
      </c>
      <c r="B68" t="inlineStr">
        <is>
          <t>Kab. Sleman</t>
        </is>
      </c>
      <c r="C68" t="inlineStr">
        <is>
          <t>08988334666</t>
        </is>
      </c>
      <c r="D68" t="inlineStr">
        <is>
          <t>mmabikarya@gmail.com</t>
        </is>
      </c>
      <c r="E68" t="inlineStr">
        <is>
          <t>https://lpjk.pu.go.id/search-badan-usaha-detail/NHNFdTFOVlpReUJXMjhqdGtLb2xMZz09</t>
        </is>
      </c>
      <c r="F68" t="n">
        <v>2</v>
      </c>
      <c r="G68" t="inlineStr">
        <is>
          <t>BS002, BS004</t>
        </is>
      </c>
      <c r="H68" t="inlineStr">
        <is>
          <t>26 Agustus 2021</t>
        </is>
      </c>
      <c r="I68" s="2" t="n">
        <v>46342</v>
      </c>
      <c r="J68" t="inlineStr">
        <is>
          <t>Pencabutan</t>
        </is>
      </c>
      <c r="K68" t="n">
        <v>87</v>
      </c>
      <c r="L68" t="inlineStr">
        <is>
          <t>16 November 2026</t>
        </is>
      </c>
      <c r="M68" t="inlineStr">
        <is>
          <t>Bangunan Sipil Jembatan, Jalan Layang, Fly Over, dan Underpass, Konstruksi Jaringan Irigasi dan Drainase</t>
        </is>
      </c>
      <c r="N68" t="inlineStr">
        <is>
          <t>K</t>
        </is>
      </c>
      <c r="O68" t="inlineStr">
        <is>
          <t>20230904, 20231113</t>
        </is>
      </c>
      <c r="P68" t="inlineStr">
        <is>
          <t>DI Yogyakarta</t>
        </is>
      </c>
      <c r="Q68" t="inlineStr"/>
    </row>
    <row r="69">
      <c r="A69" t="inlineStr">
        <is>
          <t>MAHKOTA BINA SUKSES</t>
        </is>
      </c>
      <c r="B69" t="inlineStr">
        <is>
          <t>Kota Batam</t>
        </is>
      </c>
      <c r="C69" t="inlineStr">
        <is>
          <t>08117019101</t>
        </is>
      </c>
      <c r="D69" t="inlineStr">
        <is>
          <t>suksesmbs@gmail.com</t>
        </is>
      </c>
      <c r="E69" t="inlineStr">
        <is>
          <t>https://lpjk.pu.go.id/search-badan-usaha-detail/SVN1cHJFakZpY3VTc09icEkrdXd6QT09</t>
        </is>
      </c>
      <c r="F69" t="n">
        <v>1</v>
      </c>
      <c r="G69" t="inlineStr">
        <is>
          <t>BG001</t>
        </is>
      </c>
      <c r="H69" t="inlineStr">
        <is>
          <t>22 September 2023</t>
        </is>
      </c>
      <c r="I69" s="2" t="n">
        <v>46342</v>
      </c>
      <c r="J69" t="inlineStr">
        <is>
          <t>Disetujui</t>
        </is>
      </c>
      <c r="K69" t="n">
        <v>87</v>
      </c>
      <c r="L69" t="inlineStr">
        <is>
          <t>16 November 2026</t>
        </is>
      </c>
      <c r="M69" t="inlineStr">
        <is>
          <t>Konstruksi Gedung Hunian</t>
        </is>
      </c>
      <c r="N69" t="inlineStr">
        <is>
          <t>K</t>
        </is>
      </c>
      <c r="O69" t="inlineStr">
        <is>
          <t>20231114</t>
        </is>
      </c>
      <c r="P69" t="inlineStr">
        <is>
          <t>Kepulauan Riau</t>
        </is>
      </c>
      <c r="Q69" t="inlineStr"/>
    </row>
    <row r="70">
      <c r="A70" t="inlineStr">
        <is>
          <t>MALABAR INTI KONSTRUKSI</t>
        </is>
      </c>
      <c r="B70" t="inlineStr">
        <is>
          <t>Kota Bandar Lampung</t>
        </is>
      </c>
      <c r="C70" t="inlineStr">
        <is>
          <t>085384227288</t>
        </is>
      </c>
      <c r="D70" t="inlineStr">
        <is>
          <t>konstruksimalabarinti@gmail.com</t>
        </is>
      </c>
      <c r="E70" t="inlineStr">
        <is>
          <t>https://lpjk.pu.go.id/search-badan-usaha-detail/YnA2enBzVWlFOVR1dktuK21ob2h2Zz09</t>
        </is>
      </c>
      <c r="F70" t="n">
        <v>1</v>
      </c>
      <c r="G70" t="inlineStr">
        <is>
          <t>BS004</t>
        </is>
      </c>
      <c r="H70" t="inlineStr">
        <is>
          <t>31 Desember 2018</t>
        </is>
      </c>
      <c r="I70" s="2" t="n">
        <v>46342</v>
      </c>
      <c r="J70" t="inlineStr">
        <is>
          <t>Disetujui</t>
        </is>
      </c>
      <c r="K70" t="n">
        <v>87</v>
      </c>
      <c r="L70" t="inlineStr">
        <is>
          <t>16 November 2026</t>
        </is>
      </c>
      <c r="M70" t="inlineStr">
        <is>
          <t>Konstruksi Jaringan Irigasi dan Drainase</t>
        </is>
      </c>
      <c r="N70" t="inlineStr">
        <is>
          <t>K</t>
        </is>
      </c>
      <c r="O70" t="inlineStr">
        <is>
          <t>20231113</t>
        </is>
      </c>
      <c r="P70" t="inlineStr">
        <is>
          <t>Lampung</t>
        </is>
      </c>
      <c r="Q70" t="inlineStr"/>
    </row>
    <row r="71">
      <c r="A71" t="inlineStr">
        <is>
          <t>MANDALA TUNGGAL PERKASA</t>
        </is>
      </c>
      <c r="B71" t="inlineStr">
        <is>
          <t>Kab. Tapanuli Selatan</t>
        </is>
      </c>
      <c r="C71" t="inlineStr">
        <is>
          <t>081360606059</t>
        </is>
      </c>
      <c r="D71" t="inlineStr">
        <is>
          <t>cv.mandalatunggalperkasa@gmail.com</t>
        </is>
      </c>
      <c r="E71" t="inlineStr">
        <is>
          <t>https://lpjk.pu.go.id/search-badan-usaha-detail/ZUdvQTBPbi84SkdNZHBYUVQwSzhFdz09</t>
        </is>
      </c>
      <c r="F71" t="n">
        <v>6</v>
      </c>
      <c r="G71" t="inlineStr">
        <is>
          <t>BG006, BS001, BS004</t>
        </is>
      </c>
      <c r="H71" t="inlineStr">
        <is>
          <t>2 November 2022</t>
        </is>
      </c>
      <c r="I71" s="2" t="n">
        <v>46342</v>
      </c>
      <c r="J71" t="inlineStr">
        <is>
          <t>Disetujui</t>
        </is>
      </c>
      <c r="K71" t="n">
        <v>87</v>
      </c>
      <c r="L71" t="inlineStr">
        <is>
          <t>16 November 2026</t>
        </is>
      </c>
      <c r="M71" t="inlineStr">
        <is>
          <t>Konstruksi Bangunan Sipil Jalan, Konstruksi Gedung Pendidikan, Konstruksi Jaringan Irigasi dan Drainase</t>
        </is>
      </c>
      <c r="N71" t="inlineStr">
        <is>
          <t>K</t>
        </is>
      </c>
      <c r="O71" t="inlineStr">
        <is>
          <t>20231115</t>
        </is>
      </c>
      <c r="P71" t="inlineStr">
        <is>
          <t>Sumatera Utara</t>
        </is>
      </c>
      <c r="Q71" t="inlineStr"/>
    </row>
    <row r="72">
      <c r="A72" t="inlineStr">
        <is>
          <t>MATA AIR</t>
        </is>
      </c>
      <c r="B72" t="inlineStr">
        <is>
          <t>Kota Sawahlunto</t>
        </is>
      </c>
      <c r="C72" t="inlineStr">
        <is>
          <t>081363486633</t>
        </is>
      </c>
      <c r="D72" t="inlineStr">
        <is>
          <t>mataaircv@yahoo.com</t>
        </is>
      </c>
      <c r="E72" t="inlineStr">
        <is>
          <t>https://lpjk.pu.go.id/search-badan-usaha-detail/cVRUNHpKSkpUZ0YrOGVjK3hTYjFwUT09</t>
        </is>
      </c>
      <c r="F72" t="n">
        <v>1</v>
      </c>
      <c r="G72" t="inlineStr">
        <is>
          <t>BS004</t>
        </is>
      </c>
      <c r="H72" t="inlineStr">
        <is>
          <t>3 Februari 2016</t>
        </is>
      </c>
      <c r="I72" s="2" t="n">
        <v>46342</v>
      </c>
      <c r="J72" t="inlineStr">
        <is>
          <t>Disetujui</t>
        </is>
      </c>
      <c r="K72" t="n">
        <v>87</v>
      </c>
      <c r="L72" t="inlineStr">
        <is>
          <t>16 November 2026</t>
        </is>
      </c>
      <c r="M72" t="inlineStr">
        <is>
          <t>Konstruksi Jaringan Irigasi dan Drainase</t>
        </is>
      </c>
      <c r="N72" t="inlineStr">
        <is>
          <t>K</t>
        </is>
      </c>
      <c r="O72" t="inlineStr">
        <is>
          <t>20231016</t>
        </is>
      </c>
      <c r="P72" t="inlineStr">
        <is>
          <t>Sumatera Barat</t>
        </is>
      </c>
      <c r="Q72" t="inlineStr"/>
    </row>
    <row r="73">
      <c r="A73" t="inlineStr">
        <is>
          <t>MAWARDIAS</t>
        </is>
      </c>
      <c r="B73" t="inlineStr">
        <is>
          <t>Kab. Banyuwangi</t>
        </is>
      </c>
      <c r="C73" t="inlineStr">
        <is>
          <t>081234551310</t>
        </is>
      </c>
      <c r="D73" t="inlineStr">
        <is>
          <t>cvmawardias@gmail.com</t>
        </is>
      </c>
      <c r="E73" t="inlineStr">
        <is>
          <t>https://lpjk.pu.go.id/search-badan-usaha-detail/S0ZWSXFacERjZTZPYy8vZ0ozS0hEdz09</t>
        </is>
      </c>
      <c r="F73" t="n">
        <v>4</v>
      </c>
      <c r="G73" t="inlineStr">
        <is>
          <t>BS001, BS004</t>
        </is>
      </c>
      <c r="H73" t="inlineStr">
        <is>
          <t>31 Oktober 2007</t>
        </is>
      </c>
      <c r="I73" s="2" t="n">
        <v>46342</v>
      </c>
      <c r="J73" t="inlineStr">
        <is>
          <t>Disetujui</t>
        </is>
      </c>
      <c r="K73" t="n">
        <v>87</v>
      </c>
      <c r="L73" t="inlineStr">
        <is>
          <t>16 November 2026</t>
        </is>
      </c>
      <c r="M73" t="inlineStr">
        <is>
          <t>Konstruksi Bangunan Sipil Jalan, Konstruksi Jaringan Irigasi dan Drainase</t>
        </is>
      </c>
      <c r="N73" t="inlineStr">
        <is>
          <t>K</t>
        </is>
      </c>
      <c r="O73" t="inlineStr">
        <is>
          <t>20231116</t>
        </is>
      </c>
      <c r="P73" t="inlineStr">
        <is>
          <t>Jawa Timur</t>
        </is>
      </c>
      <c r="Q73" t="inlineStr"/>
    </row>
    <row r="74">
      <c r="A74" t="inlineStr">
        <is>
          <t>MEGA KARYA NUSATAMA</t>
        </is>
      </c>
      <c r="B74" t="inlineStr">
        <is>
          <t>Kab. Buton Utara</t>
        </is>
      </c>
      <c r="C74" t="inlineStr">
        <is>
          <t>082349171576</t>
        </is>
      </c>
      <c r="D74" t="inlineStr">
        <is>
          <t>megakaryanusatama@gmail.com</t>
        </is>
      </c>
      <c r="E74" t="inlineStr">
        <is>
          <t>https://lpjk.pu.go.id/search-badan-usaha-detail/b05lb0lQVlUydUV2Q2NjYmQxUU1XQT09</t>
        </is>
      </c>
      <c r="F74" t="n">
        <v>2</v>
      </c>
      <c r="G74" t="inlineStr">
        <is>
          <t>BS001, BS004</t>
        </is>
      </c>
      <c r="H74" t="inlineStr">
        <is>
          <t>22 Februari 2023</t>
        </is>
      </c>
      <c r="I74" s="2" t="n">
        <v>46342</v>
      </c>
      <c r="J74" t="inlineStr">
        <is>
          <t>Disetujui</t>
        </is>
      </c>
      <c r="K74" t="n">
        <v>87</v>
      </c>
      <c r="L74" t="inlineStr">
        <is>
          <t>16 November 2026</t>
        </is>
      </c>
      <c r="M74" t="inlineStr">
        <is>
          <t>Konstruksi Bangunan Sipil Jalan, Konstruksi Jaringan Irigasi dan Drainase</t>
        </is>
      </c>
      <c r="N74" t="inlineStr">
        <is>
          <t>K</t>
        </is>
      </c>
      <c r="O74" t="inlineStr">
        <is>
          <t>20231115</t>
        </is>
      </c>
      <c r="P74" t="inlineStr">
        <is>
          <t>Sulawesi Tenggara</t>
        </is>
      </c>
      <c r="Q74" t="inlineStr"/>
    </row>
    <row r="75">
      <c r="A75" t="inlineStr">
        <is>
          <t>MEGA TIRTA KENCANA</t>
        </is>
      </c>
      <c r="B75" t="inlineStr">
        <is>
          <t>Kab. Cilacap</t>
        </is>
      </c>
      <c r="C75" t="inlineStr">
        <is>
          <t>0282520905</t>
        </is>
      </c>
      <c r="D75" t="inlineStr">
        <is>
          <t>cv.megatirtakencana@yahoo.com</t>
        </is>
      </c>
      <c r="E75" t="inlineStr">
        <is>
          <t>https://lpjk.pu.go.id/search-badan-usaha-detail/Q1Z6R3Rwa01PdS9VMUtWM29BVVRYUT09</t>
        </is>
      </c>
      <c r="F75" t="n">
        <v>2</v>
      </c>
      <c r="G75" t="inlineStr">
        <is>
          <t>BG002, BS010</t>
        </is>
      </c>
      <c r="H75" t="inlineStr">
        <is>
          <t>29 September 1999</t>
        </is>
      </c>
      <c r="I75" s="2" t="n">
        <v>46342</v>
      </c>
      <c r="J75" t="inlineStr">
        <is>
          <t>Disetujui</t>
        </is>
      </c>
      <c r="K75" t="n">
        <v>87</v>
      </c>
      <c r="L75" t="inlineStr">
        <is>
          <t>16 November 2026</t>
        </is>
      </c>
      <c r="M75" t="inlineStr">
        <is>
          <t>Konstruksi Bangunan Prasarana Sumber Daya Air, Konstruksi Gedung Perkantoran</t>
        </is>
      </c>
      <c r="N75" t="inlineStr">
        <is>
          <t>K</t>
        </is>
      </c>
      <c r="O75" t="inlineStr">
        <is>
          <t>20231101, 20231113</t>
        </is>
      </c>
      <c r="P75" t="inlineStr">
        <is>
          <t>Jawa Tengah</t>
        </is>
      </c>
      <c r="Q75" t="inlineStr"/>
    </row>
    <row r="76">
      <c r="A76" t="inlineStr">
        <is>
          <t>MEKAR JAYA</t>
        </is>
      </c>
      <c r="B76" t="inlineStr">
        <is>
          <t>Kab. Cirebon</t>
        </is>
      </c>
      <c r="C76" t="inlineStr">
        <is>
          <t>081212605530</t>
        </is>
      </c>
      <c r="D76" t="inlineStr">
        <is>
          <t>mekarjaya_cv@yahoo.com</t>
        </is>
      </c>
      <c r="E76" t="inlineStr">
        <is>
          <t>https://lpjk.pu.go.id/search-badan-usaha-detail/S1hTWXBOL1pkNUhYOFVJUVhwMGlGUT09</t>
        </is>
      </c>
      <c r="F76" t="n">
        <v>12</v>
      </c>
      <c r="G76" t="inlineStr">
        <is>
          <t>BG004, BG005, BG006, BS001, BS004, BS010</t>
        </is>
      </c>
      <c r="H76" t="inlineStr">
        <is>
          <t>20 November 2003</t>
        </is>
      </c>
      <c r="I76" s="2" t="n">
        <v>46342</v>
      </c>
      <c r="J76" t="inlineStr">
        <is>
          <t>Disetujui</t>
        </is>
      </c>
      <c r="K76" t="n">
        <v>87</v>
      </c>
      <c r="L76" t="inlineStr">
        <is>
          <t>16 November 2026</t>
        </is>
      </c>
      <c r="M76" t="inlineStr">
        <is>
          <t>Konstruksi Bangunan Prasarana Sumber Daya Air, Konstruksi Bangunan Sipil Jalan, Konstruksi Gedung Kesehatan, Konstruksi Gedung Pendidikan, Konstruksi Gedung Perbelanjaan, Konstruksi Jaringan Irigasi dan Drainase</t>
        </is>
      </c>
      <c r="N76" t="inlineStr">
        <is>
          <t>K</t>
        </is>
      </c>
      <c r="O76" t="inlineStr">
        <is>
          <t>20231115, 20231120</t>
        </is>
      </c>
      <c r="P76" t="inlineStr">
        <is>
          <t>Jawa Barat</t>
        </is>
      </c>
      <c r="Q76" t="inlineStr"/>
    </row>
    <row r="77">
      <c r="A77" t="inlineStr">
        <is>
          <t>MEKAR JAYA TEKNIK</t>
        </is>
      </c>
      <c r="B77" t="inlineStr">
        <is>
          <t>Kab. Sidoarjo</t>
        </is>
      </c>
      <c r="C77" t="inlineStr">
        <is>
          <t>0318530870</t>
        </is>
      </c>
      <c r="D77" t="inlineStr">
        <is>
          <t>mekarjayateknik@yahoo.co.id</t>
        </is>
      </c>
      <c r="E77" t="inlineStr">
        <is>
          <t>https://lpjk.pu.go.id/search-badan-usaha-detail/ZXV3dVY5b0xDbWxxbVlEM0RFYmFZZz09</t>
        </is>
      </c>
      <c r="F77" t="n">
        <v>4</v>
      </c>
      <c r="G77" t="inlineStr">
        <is>
          <t>BG003, IN004</t>
        </is>
      </c>
      <c r="H77" t="inlineStr">
        <is>
          <t>6 Februari 2013</t>
        </is>
      </c>
      <c r="I77" s="2" t="n">
        <v>46342</v>
      </c>
      <c r="J77" t="inlineStr">
        <is>
          <t>Disetujui</t>
        </is>
      </c>
      <c r="K77" t="n">
        <v>87</v>
      </c>
      <c r="L77" t="inlineStr">
        <is>
          <t>16 November 2026</t>
        </is>
      </c>
      <c r="M77" t="inlineStr">
        <is>
          <t>Instalasi Minyak dan Gas, Konstruksi Gedung Industri</t>
        </is>
      </c>
      <c r="N77" t="inlineStr">
        <is>
          <t>K, Spesialis</t>
        </is>
      </c>
      <c r="O77" t="inlineStr">
        <is>
          <t>20231114, 20231116</t>
        </is>
      </c>
      <c r="P77" t="inlineStr">
        <is>
          <t>Jawa Timur</t>
        </is>
      </c>
      <c r="Q77" t="inlineStr"/>
    </row>
    <row r="78">
      <c r="A78" t="inlineStr">
        <is>
          <t>MELATI PUTRI INDO</t>
        </is>
      </c>
      <c r="B78" t="inlineStr">
        <is>
          <t>Kota Bengkulu</t>
        </is>
      </c>
      <c r="C78" t="inlineStr">
        <is>
          <t>0811733937</t>
        </is>
      </c>
      <c r="D78" t="inlineStr">
        <is>
          <t>ptmelatiputriindo@gmail.com</t>
        </is>
      </c>
      <c r="E78" t="inlineStr">
        <is>
          <t>https://lpjk.pu.go.id/search-badan-usaha-detail/Y2ROZzdkSTlDNHZJK3k5OHFtRTZLQT09</t>
        </is>
      </c>
      <c r="F78" t="n">
        <v>1</v>
      </c>
      <c r="G78" t="inlineStr">
        <is>
          <t>BG001</t>
        </is>
      </c>
      <c r="H78" t="inlineStr">
        <is>
          <t>21 Desember 2015</t>
        </is>
      </c>
      <c r="I78" s="2" t="n">
        <v>46342</v>
      </c>
      <c r="J78" t="inlineStr">
        <is>
          <t>Disetujui</t>
        </is>
      </c>
      <c r="K78" t="n">
        <v>87</v>
      </c>
      <c r="L78" t="inlineStr">
        <is>
          <t>16 November 2026</t>
        </is>
      </c>
      <c r="M78" t="inlineStr">
        <is>
          <t>Konstruksi Gedung Hunian</t>
        </is>
      </c>
      <c r="N78" t="inlineStr">
        <is>
          <t>K</t>
        </is>
      </c>
      <c r="O78" t="inlineStr">
        <is>
          <t>20231115</t>
        </is>
      </c>
      <c r="P78" t="inlineStr">
        <is>
          <t>Bengkulu</t>
        </is>
      </c>
      <c r="Q78" t="inlineStr"/>
    </row>
    <row r="79">
      <c r="A79" t="inlineStr">
        <is>
          <t>MITRA ANOM</t>
        </is>
      </c>
      <c r="B79" t="inlineStr">
        <is>
          <t>Kab. Sumedang</t>
        </is>
      </c>
      <c r="C79" t="inlineStr">
        <is>
          <t>082129510556</t>
        </is>
      </c>
      <c r="D79" t="inlineStr">
        <is>
          <t>cvmitraanom@gmail.com</t>
        </is>
      </c>
      <c r="E79" t="inlineStr">
        <is>
          <t>https://lpjk.pu.go.id/search-badan-usaha-detail/eDRxSVlZN25wT21LNFlOSFM4NUtjQT09</t>
        </is>
      </c>
      <c r="F79" t="n">
        <v>2</v>
      </c>
      <c r="G79" t="inlineStr">
        <is>
          <t>BS001, BS005</t>
        </is>
      </c>
      <c r="H79" t="inlineStr">
        <is>
          <t>21 November 2008</t>
        </is>
      </c>
      <c r="I79" s="2" t="n">
        <v>46342</v>
      </c>
      <c r="J79" t="inlineStr">
        <is>
          <t>Disetujui</t>
        </is>
      </c>
      <c r="K79" t="n">
        <v>87</v>
      </c>
      <c r="L79" t="inlineStr">
        <is>
          <t>16 November 2026</t>
        </is>
      </c>
      <c r="M79" t="inlineStr">
        <is>
          <t>Konstruksi Bangunan Sipil Jalan, Konstruksi Bangunan Sipil Pengolahan Air Bersih</t>
        </is>
      </c>
      <c r="N79" t="inlineStr">
        <is>
          <t>K</t>
        </is>
      </c>
      <c r="O79" t="inlineStr">
        <is>
          <t>20231113</t>
        </is>
      </c>
      <c r="P79" t="inlineStr">
        <is>
          <t>Jawa Barat</t>
        </is>
      </c>
      <c r="Q79" t="inlineStr"/>
    </row>
    <row r="80">
      <c r="A80" t="inlineStr">
        <is>
          <t>MITRA KONTRAKTOR INDONESIA</t>
        </is>
      </c>
      <c r="B80" t="inlineStr">
        <is>
          <t>Kota Balikpapan</t>
        </is>
      </c>
      <c r="C80" t="inlineStr">
        <is>
          <t>081917611109</t>
        </is>
      </c>
      <c r="D80" t="inlineStr">
        <is>
          <t>mitrakontraktorindo@gmail.com</t>
        </is>
      </c>
      <c r="E80" t="inlineStr">
        <is>
          <t>https://lpjk.pu.go.id/search-badan-usaha-detail/SEVvSTNnSFREYXk5OVVuUjZDQXJjUT09</t>
        </is>
      </c>
      <c r="F80" t="n">
        <v>3</v>
      </c>
      <c r="G80" t="inlineStr">
        <is>
          <t>BG002, BG005, BG006</t>
        </is>
      </c>
      <c r="H80" t="inlineStr">
        <is>
          <t>31 Oktober 2022</t>
        </is>
      </c>
      <c r="I80" s="2" t="n">
        <v>46342</v>
      </c>
      <c r="J80" t="inlineStr">
        <is>
          <t>Disetujui</t>
        </is>
      </c>
      <c r="K80" t="n">
        <v>87</v>
      </c>
      <c r="L80" t="inlineStr">
        <is>
          <t>16 November 2026</t>
        </is>
      </c>
      <c r="M80" t="inlineStr">
        <is>
          <t>Konstruksi Gedung Kesehatan, Konstruksi Gedung Pendidikan, Konstruksi Gedung Perkantoran</t>
        </is>
      </c>
      <c r="N80" t="inlineStr">
        <is>
          <t>K</t>
        </is>
      </c>
      <c r="O80" t="inlineStr">
        <is>
          <t>20231117</t>
        </is>
      </c>
      <c r="P80" t="inlineStr">
        <is>
          <t>Kalimantan Timur</t>
        </is>
      </c>
      <c r="Q80" t="inlineStr"/>
    </row>
    <row r="81">
      <c r="A81" t="inlineStr">
        <is>
          <t>MODERN SURYA JAYA</t>
        </is>
      </c>
      <c r="B81" t="inlineStr">
        <is>
          <t>Kota Surabaya</t>
        </is>
      </c>
      <c r="C81" t="inlineStr">
        <is>
          <t>0318413366</t>
        </is>
      </c>
      <c r="D81" t="inlineStr">
        <is>
          <t>msj_sub@yahoo.co.id</t>
        </is>
      </c>
      <c r="E81" t="inlineStr">
        <is>
          <t>https://lpjk.pu.go.id/search-badan-usaha-detail/dnFIZTVGejRDV3kxQ1FJd3pOSndRdz09</t>
        </is>
      </c>
      <c r="F81" t="n">
        <v>1</v>
      </c>
      <c r="G81" t="inlineStr">
        <is>
          <t>BS003</t>
        </is>
      </c>
      <c r="H81" t="inlineStr">
        <is>
          <t>20 November 1976</t>
        </is>
      </c>
      <c r="I81" s="2" t="n">
        <v>46342</v>
      </c>
      <c r="J81" t="inlineStr">
        <is>
          <t>Disetujui</t>
        </is>
      </c>
      <c r="K81" t="n">
        <v>87</v>
      </c>
      <c r="L81" t="inlineStr">
        <is>
          <t>16 November 2026</t>
        </is>
      </c>
      <c r="M81" t="inlineStr">
        <is>
          <t>Konstruksi Jalan Rel</t>
        </is>
      </c>
      <c r="N81" t="inlineStr">
        <is>
          <t>B</t>
        </is>
      </c>
      <c r="O81" t="inlineStr">
        <is>
          <t>20231113</t>
        </is>
      </c>
      <c r="P81" t="inlineStr">
        <is>
          <t>Jawa Timur</t>
        </is>
      </c>
      <c r="Q81" t="inlineStr"/>
    </row>
    <row r="82">
      <c r="A82" t="inlineStr">
        <is>
          <t>MULTI PILAR MANDIRI</t>
        </is>
      </c>
      <c r="B82" t="inlineStr">
        <is>
          <t>Kab. Gresik</t>
        </is>
      </c>
      <c r="C82" t="inlineStr">
        <is>
          <t>0313980335</t>
        </is>
      </c>
      <c r="D82" t="inlineStr">
        <is>
          <t>ridharabbany4@gmail.com</t>
        </is>
      </c>
      <c r="E82" t="inlineStr">
        <is>
          <t>https://lpjk.pu.go.id/search-badan-usaha-detail/eFZrdW5haDNLWDVHNkNtRzhXL0dHdz09</t>
        </is>
      </c>
      <c r="F82" t="n">
        <v>1</v>
      </c>
      <c r="G82" t="inlineStr">
        <is>
          <t>BG003</t>
        </is>
      </c>
      <c r="H82" t="inlineStr">
        <is>
          <t>22 November 2012</t>
        </is>
      </c>
      <c r="I82" s="2" t="n">
        <v>46342</v>
      </c>
      <c r="J82" t="inlineStr">
        <is>
          <t>Disetujui</t>
        </is>
      </c>
      <c r="K82" t="n">
        <v>87</v>
      </c>
      <c r="L82" t="inlineStr">
        <is>
          <t>16 November 2026</t>
        </is>
      </c>
      <c r="M82" t="inlineStr">
        <is>
          <t>Konstruksi Gedung Industri</t>
        </is>
      </c>
      <c r="N82" t="inlineStr">
        <is>
          <t>M</t>
        </is>
      </c>
      <c r="O82" t="inlineStr">
        <is>
          <t>20231019</t>
        </is>
      </c>
      <c r="P82" t="inlineStr">
        <is>
          <t>Jawa Timur</t>
        </is>
      </c>
      <c r="Q82" t="inlineStr"/>
    </row>
    <row r="83">
      <c r="A83" t="inlineStr">
        <is>
          <t>NABILA MUTIARA SEJAHTERA</t>
        </is>
      </c>
      <c r="B83" t="inlineStr">
        <is>
          <t>Kab. Bima</t>
        </is>
      </c>
      <c r="C83" t="inlineStr">
        <is>
          <t>085339229035</t>
        </is>
      </c>
      <c r="D83" t="inlineStr">
        <is>
          <t>cvnabilamutiarasejahtera@gmail.com</t>
        </is>
      </c>
      <c r="E83" t="inlineStr">
        <is>
          <t>https://lpjk.pu.go.id/search-badan-usaha-detail/ZVB2aUNwZ3ZCYXNDY2pBZXMwWUcwZz09</t>
        </is>
      </c>
      <c r="F83" t="n">
        <v>4</v>
      </c>
      <c r="G83" t="inlineStr">
        <is>
          <t>BG006, BG009</t>
        </is>
      </c>
      <c r="H83" t="inlineStr">
        <is>
          <t>8 November 2023</t>
        </is>
      </c>
      <c r="I83" s="2" t="n">
        <v>46342</v>
      </c>
      <c r="J83" t="inlineStr">
        <is>
          <t>Disetujui</t>
        </is>
      </c>
      <c r="K83" t="n">
        <v>87</v>
      </c>
      <c r="L83" t="inlineStr">
        <is>
          <t>16 November 2026</t>
        </is>
      </c>
      <c r="M83" t="inlineStr">
        <is>
          <t>Konstruksi Gedung Lainnya, Konstruksi Gedung Pendidikan</t>
        </is>
      </c>
      <c r="N83" t="inlineStr">
        <is>
          <t>K</t>
        </is>
      </c>
      <c r="O83" t="inlineStr">
        <is>
          <t>20231114</t>
        </is>
      </c>
      <c r="P83" t="inlineStr">
        <is>
          <t>Nusa Tenggara Barat</t>
        </is>
      </c>
      <c r="Q83" t="inlineStr"/>
    </row>
    <row r="84">
      <c r="A84" t="inlineStr">
        <is>
          <t>NUGRAHA MURNI</t>
        </is>
      </c>
      <c r="B84" t="inlineStr">
        <is>
          <t>Kab. Kebumen</t>
        </is>
      </c>
      <c r="C84" t="inlineStr">
        <is>
          <t>0287381422</t>
        </is>
      </c>
      <c r="D84" t="inlineStr">
        <is>
          <t>nugrahamurni@gmail.com</t>
        </is>
      </c>
      <c r="E84" t="inlineStr">
        <is>
          <t>https://lpjk.pu.go.id/search-badan-usaha-detail/ODhzS0lOUnh1K3B6eVc4M0ZQSUgvZz09</t>
        </is>
      </c>
      <c r="F84" t="n">
        <v>6</v>
      </c>
      <c r="G84" t="inlineStr">
        <is>
          <t>BG001, BG006, BS004</t>
        </is>
      </c>
      <c r="H84" t="inlineStr">
        <is>
          <t>10 November 1992</t>
        </is>
      </c>
      <c r="I84" s="2" t="n">
        <v>46342</v>
      </c>
      <c r="J84" t="inlineStr">
        <is>
          <t>Disetujui</t>
        </is>
      </c>
      <c r="K84" t="n">
        <v>87</v>
      </c>
      <c r="L84" t="inlineStr">
        <is>
          <t>16 November 2026</t>
        </is>
      </c>
      <c r="M84" t="inlineStr">
        <is>
          <t>Konstruksi Gedung Hunian, Konstruksi Gedung Pendidikan, Konstruksi Jaringan Irigasi dan Drainase</t>
        </is>
      </c>
      <c r="N84" t="inlineStr">
        <is>
          <t>K</t>
        </is>
      </c>
      <c r="O84" t="inlineStr">
        <is>
          <t>20231114, 20231115</t>
        </is>
      </c>
      <c r="P84" t="inlineStr">
        <is>
          <t>Jawa Tengah</t>
        </is>
      </c>
      <c r="Q84" t="inlineStr"/>
    </row>
    <row r="85">
      <c r="A85" t="inlineStr">
        <is>
          <t>NURITA CAHAYA KENCANA</t>
        </is>
      </c>
      <c r="B85" t="inlineStr">
        <is>
          <t>Kota Surabaya</t>
        </is>
      </c>
      <c r="C85" t="inlineStr">
        <is>
          <t>081251799958</t>
        </is>
      </c>
      <c r="D85" t="inlineStr">
        <is>
          <t>nuritacahayakencana@gmail.com</t>
        </is>
      </c>
      <c r="E85" t="inlineStr">
        <is>
          <t>https://lpjk.pu.go.id/search-badan-usaha-detail/aXZvRnlnakxaR1l1VUQrK3lPNEEyZz09</t>
        </is>
      </c>
      <c r="F85" t="n">
        <v>1</v>
      </c>
      <c r="G85" t="inlineStr">
        <is>
          <t>BG006</t>
        </is>
      </c>
      <c r="H85" t="inlineStr">
        <is>
          <t>12 Juli 2022</t>
        </is>
      </c>
      <c r="I85" s="2" t="n">
        <v>46342</v>
      </c>
      <c r="J85" t="inlineStr">
        <is>
          <t>Disetujui</t>
        </is>
      </c>
      <c r="K85" t="n">
        <v>87</v>
      </c>
      <c r="L85" t="inlineStr">
        <is>
          <t>16 November 2026</t>
        </is>
      </c>
      <c r="M85" t="inlineStr">
        <is>
          <t>Konstruksi Gedung Pendidikan</t>
        </is>
      </c>
      <c r="N85" t="inlineStr">
        <is>
          <t>K</t>
        </is>
      </c>
      <c r="O85" t="inlineStr">
        <is>
          <t>20231115</t>
        </is>
      </c>
      <c r="P85" t="inlineStr">
        <is>
          <t>Jawa Timur</t>
        </is>
      </c>
      <c r="Q85" t="inlineStr"/>
    </row>
    <row r="86">
      <c r="A86" t="inlineStr">
        <is>
          <t>PATRA DINAMIKA KONSTRUKSI</t>
        </is>
      </c>
      <c r="B86" t="inlineStr">
        <is>
          <t>Kota Adm. Jakarta Barat</t>
        </is>
      </c>
      <c r="C86" t="inlineStr">
        <is>
          <t>0215671503</t>
        </is>
      </c>
      <c r="D86" t="inlineStr">
        <is>
          <t>a.daylami70@gmail.com</t>
        </is>
      </c>
      <c r="E86" t="inlineStr">
        <is>
          <t>https://lpjk.pu.go.id/search-badan-usaha-detail/WE9NSlpad2RMaHM5c3FybzNkdTQ3Zz09</t>
        </is>
      </c>
      <c r="F86" t="n">
        <v>1</v>
      </c>
      <c r="G86" t="inlineStr">
        <is>
          <t>BS007</t>
        </is>
      </c>
      <c r="H86" t="inlineStr">
        <is>
          <t>12 September 2023</t>
        </is>
      </c>
      <c r="I86" s="2" t="n">
        <v>46342</v>
      </c>
      <c r="J86" t="inlineStr">
        <is>
          <t>Disetujui</t>
        </is>
      </c>
      <c r="K86" t="n">
        <v>87</v>
      </c>
      <c r="L86" t="inlineStr">
        <is>
          <t>16 November 2026</t>
        </is>
      </c>
      <c r="M86" t="inlineStr">
        <is>
          <t>Konstruksi Bangunan Sipil Elektrikal</t>
        </is>
      </c>
      <c r="N86" t="inlineStr">
        <is>
          <t>K</t>
        </is>
      </c>
      <c r="O86" t="inlineStr">
        <is>
          <t>20231115</t>
        </is>
      </c>
      <c r="P86" t="inlineStr">
        <is>
          <t>DKI Jakarta</t>
        </is>
      </c>
      <c r="Q86" t="inlineStr"/>
    </row>
    <row r="87">
      <c r="A87" t="inlineStr">
        <is>
          <t>PELANGI ANTAR NUSA</t>
        </is>
      </c>
      <c r="B87" t="inlineStr">
        <is>
          <t>Kab. Banggai Laut</t>
        </is>
      </c>
      <c r="C87" t="inlineStr">
        <is>
          <t>082194005878</t>
        </is>
      </c>
      <c r="D87" t="inlineStr">
        <is>
          <t>nusapelangi68@gmail.com</t>
        </is>
      </c>
      <c r="E87" t="inlineStr">
        <is>
          <t>https://lpjk.pu.go.id/search-badan-usaha-detail/R0lXR2pUVUV6ZWJac3Q0OUtGd2VhUT09</t>
        </is>
      </c>
      <c r="F87" t="n">
        <v>10</v>
      </c>
      <c r="G87" t="inlineStr">
        <is>
          <t>BG001, BG002, BG004, BG005, BG006, BS001, BS002, BS005, BS010, BS011</t>
        </is>
      </c>
      <c r="H87" t="inlineStr">
        <is>
          <t>1 Desember 2015</t>
        </is>
      </c>
      <c r="I87" s="2" t="n">
        <v>46342</v>
      </c>
      <c r="J87" t="inlineStr">
        <is>
          <t>Disetujui</t>
        </is>
      </c>
      <c r="K87" t="n">
        <v>87</v>
      </c>
      <c r="L87" t="inlineStr">
        <is>
          <t>16 November 2026</t>
        </is>
      </c>
      <c r="M87" t="inlineStr">
        <is>
          <t>Bangunan Sipil Jembatan, Jalan Layang, Fly Over, dan Underpass, Konstruksi Bangunan Pelabuhan Bukan Perikanan, Konstruksi Bangunan Prasarana Sumber Daya Air, Konstruksi Bangunan Sipil Jalan, Konstruksi Bangunan Sipil Pengolahan Air Bersih, Konstruksi Gedung Hunian, Konstruksi Gedung Kesehatan, Konstruksi Gedung Pendidikan, Konstruksi Gedung Perbelanjaan, Konstruksi Gedung Perkantoran</t>
        </is>
      </c>
      <c r="N87" t="inlineStr">
        <is>
          <t>K</t>
        </is>
      </c>
      <c r="O87" t="inlineStr">
        <is>
          <t>20231116, 20231117, 20231121</t>
        </is>
      </c>
      <c r="P87" t="inlineStr">
        <is>
          <t>Sulawesi Tengah</t>
        </is>
      </c>
      <c r="Q87" t="inlineStr"/>
    </row>
    <row r="88">
      <c r="A88" t="inlineStr">
        <is>
          <t>PELITA SUCI</t>
        </is>
      </c>
      <c r="B88" t="inlineStr">
        <is>
          <t>Kota Bandung</t>
        </is>
      </c>
      <c r="C88" t="inlineStr">
        <is>
          <t>022-87241795</t>
        </is>
      </c>
      <c r="D88" t="inlineStr">
        <is>
          <t>pelitasuci@gmail.com</t>
        </is>
      </c>
      <c r="E88" t="inlineStr">
        <is>
          <t>https://lpjk.pu.go.id/search-badan-usaha-detail/dE1hL0p4UU40RW5ZbjAyUTk4a2k3QT09</t>
        </is>
      </c>
      <c r="F88" t="n">
        <v>1</v>
      </c>
      <c r="G88" t="inlineStr">
        <is>
          <t>BS001</t>
        </is>
      </c>
      <c r="H88" t="inlineStr">
        <is>
          <t>22 Agustus 1986</t>
        </is>
      </c>
      <c r="I88" s="2" t="n">
        <v>46342</v>
      </c>
      <c r="J88" t="inlineStr">
        <is>
          <t>Pencabutan</t>
        </is>
      </c>
      <c r="K88" t="n">
        <v>87</v>
      </c>
      <c r="L88" t="inlineStr">
        <is>
          <t>16 November 2026</t>
        </is>
      </c>
      <c r="M88" t="inlineStr">
        <is>
          <t>Konstruksi Bangunan Sipil Jalan</t>
        </is>
      </c>
      <c r="N88" t="inlineStr">
        <is>
          <t>K</t>
        </is>
      </c>
      <c r="O88" t="inlineStr">
        <is>
          <t>20231116</t>
        </is>
      </c>
      <c r="P88" t="inlineStr">
        <is>
          <t>Jawa Barat</t>
        </is>
      </c>
      <c r="Q88" t="inlineStr"/>
    </row>
    <row r="89">
      <c r="A89" t="inlineStr">
        <is>
          <t>PERMATA JAYA SENTOSA</t>
        </is>
      </c>
      <c r="B89" t="inlineStr">
        <is>
          <t>Kab. Kotawaringin Timur</t>
        </is>
      </c>
      <c r="C89" t="inlineStr">
        <is>
          <t>081352891669</t>
        </is>
      </c>
      <c r="D89" t="inlineStr">
        <is>
          <t>permatajaya023@gmail.com</t>
        </is>
      </c>
      <c r="E89" t="inlineStr">
        <is>
          <t>https://lpjk.pu.go.id/search-badan-usaha-detail/S21LN05VM3VudjZBOFJlbkZpRllRdz09</t>
        </is>
      </c>
      <c r="F89" t="n">
        <v>1</v>
      </c>
      <c r="G89" t="inlineStr">
        <is>
          <t>BG002</t>
        </is>
      </c>
      <c r="H89" t="inlineStr">
        <is>
          <t>12 September 2023</t>
        </is>
      </c>
      <c r="I89" s="2" t="n">
        <v>46342</v>
      </c>
      <c r="J89" t="inlineStr">
        <is>
          <t>Pencabutan</t>
        </is>
      </c>
      <c r="K89" t="n">
        <v>87</v>
      </c>
      <c r="L89" t="inlineStr">
        <is>
          <t>16 November 2026</t>
        </is>
      </c>
      <c r="M89" t="inlineStr">
        <is>
          <t>Konstruksi Gedung Perkantoran</t>
        </is>
      </c>
      <c r="N89" t="inlineStr">
        <is>
          <t>K</t>
        </is>
      </c>
      <c r="O89" t="inlineStr">
        <is>
          <t>20231109</t>
        </is>
      </c>
      <c r="P89" t="inlineStr">
        <is>
          <t>Kalimantan Tengah</t>
        </is>
      </c>
      <c r="Q89" t="inlineStr"/>
    </row>
    <row r="90">
      <c r="A90" t="inlineStr">
        <is>
          <t>PRIMA RV</t>
        </is>
      </c>
      <c r="B90" t="inlineStr">
        <is>
          <t>Kota Salatiga</t>
        </is>
      </c>
      <c r="C90" t="inlineStr">
        <is>
          <t>02983432377</t>
        </is>
      </c>
      <c r="D90" t="inlineStr">
        <is>
          <t>cvprimaxv@gmail.com</t>
        </is>
      </c>
      <c r="E90" t="inlineStr">
        <is>
          <t>https://lpjk.pu.go.id/search-badan-usaha-detail/elcwRW9TZGcraVlWZXYxa2NIcnFNUT09</t>
        </is>
      </c>
      <c r="F90" t="n">
        <v>1</v>
      </c>
      <c r="G90" t="inlineStr">
        <is>
          <t>BS004</t>
        </is>
      </c>
      <c r="H90" t="inlineStr">
        <is>
          <t>8 April 2023</t>
        </is>
      </c>
      <c r="I90" s="2" t="n">
        <v>46342</v>
      </c>
      <c r="J90" t="inlineStr">
        <is>
          <t>Pencabutan</t>
        </is>
      </c>
      <c r="K90" t="n">
        <v>87</v>
      </c>
      <c r="L90" t="inlineStr">
        <is>
          <t>16 November 2026</t>
        </is>
      </c>
      <c r="M90" t="inlineStr">
        <is>
          <t>Konstruksi Jaringan Irigasi dan Drainase</t>
        </is>
      </c>
      <c r="N90" t="inlineStr">
        <is>
          <t>K</t>
        </is>
      </c>
      <c r="O90" t="inlineStr">
        <is>
          <t>20230612</t>
        </is>
      </c>
      <c r="P90" t="inlineStr">
        <is>
          <t>Jawa Tengah</t>
        </is>
      </c>
      <c r="Q90" t="inlineStr"/>
    </row>
    <row r="91">
      <c r="A91" t="inlineStr">
        <is>
          <t>PUTRA ANUGRAH</t>
        </is>
      </c>
      <c r="B91" t="inlineStr">
        <is>
          <t>Kota Yogyakarta</t>
        </is>
      </c>
      <c r="C91" t="inlineStr">
        <is>
          <t>08122762277</t>
        </is>
      </c>
      <c r="D91" t="inlineStr">
        <is>
          <t>putraanugrahpb@yahoo.com</t>
        </is>
      </c>
      <c r="E91" t="inlineStr">
        <is>
          <t>https://lpjk.pu.go.id/search-badan-usaha-detail/WUNBc3EraVpWUzJlR1M2Tk5ySHFSdz09</t>
        </is>
      </c>
      <c r="F91" t="n">
        <v>3</v>
      </c>
      <c r="G91" t="inlineStr">
        <is>
          <t>BS004, BS005, BS006</t>
        </is>
      </c>
      <c r="H91" t="inlineStr">
        <is>
          <t>11 Juni 2007</t>
        </is>
      </c>
      <c r="I91" s="2" t="n">
        <v>46342</v>
      </c>
      <c r="J91" t="inlineStr">
        <is>
          <t>Disetujui</t>
        </is>
      </c>
      <c r="K91" t="n">
        <v>87</v>
      </c>
      <c r="L91" t="inlineStr">
        <is>
          <t>16 November 2026</t>
        </is>
      </c>
      <c r="M91" t="inlineStr">
        <is>
          <t>Konstruksi Bangunan Sipil Pengolahan Air Bersih, Konstruksi Bangunan Sipil Prasarana dan Sarana Sistem Pengolahan Limbah Padat, Cair, dan Gas, Konstruksi Jaringan Irigasi dan Drainase</t>
        </is>
      </c>
      <c r="N91" t="inlineStr">
        <is>
          <t>K</t>
        </is>
      </c>
      <c r="O91" t="inlineStr">
        <is>
          <t>20231114</t>
        </is>
      </c>
      <c r="P91" t="inlineStr">
        <is>
          <t>DI Yogyakarta</t>
        </is>
      </c>
      <c r="Q91" t="inlineStr"/>
    </row>
    <row r="92">
      <c r="A92" t="inlineStr">
        <is>
          <t>PUTRA POWER ENERGI</t>
        </is>
      </c>
      <c r="B92" t="inlineStr">
        <is>
          <t>Kota Medan</t>
        </is>
      </c>
      <c r="C92" t="inlineStr">
        <is>
          <t>081370100036</t>
        </is>
      </c>
      <c r="D92" t="inlineStr">
        <is>
          <t>putrapowerenergi1@gmail.com</t>
        </is>
      </c>
      <c r="E92" t="inlineStr">
        <is>
          <t>https://lpjk.pu.go.id/search-badan-usaha-detail/NGpOUktaWkk0SUdoeDFZNlJVZ09Odz09</t>
        </is>
      </c>
      <c r="F92" t="n">
        <v>1</v>
      </c>
      <c r="G92" t="inlineStr">
        <is>
          <t>BG002</t>
        </is>
      </c>
      <c r="H92" t="inlineStr">
        <is>
          <t>5 April 2016</t>
        </is>
      </c>
      <c r="I92" s="2" t="n">
        <v>46342</v>
      </c>
      <c r="J92" t="inlineStr">
        <is>
          <t>Disetujui</t>
        </is>
      </c>
      <c r="K92" t="n">
        <v>87</v>
      </c>
      <c r="L92" t="inlineStr">
        <is>
          <t>16 November 2026</t>
        </is>
      </c>
      <c r="M92" t="inlineStr">
        <is>
          <t>Konstruksi Gedung Perkantoran</t>
        </is>
      </c>
      <c r="N92" t="inlineStr">
        <is>
          <t>K</t>
        </is>
      </c>
      <c r="O92" t="inlineStr">
        <is>
          <t>20231024</t>
        </is>
      </c>
      <c r="P92" t="inlineStr">
        <is>
          <t>Sumatera Utara</t>
        </is>
      </c>
      <c r="Q92" t="inlineStr"/>
    </row>
    <row r="93">
      <c r="A93" t="inlineStr">
        <is>
          <t>PUTRI YALI MANDIRI</t>
        </is>
      </c>
      <c r="B93" t="inlineStr">
        <is>
          <t>Kab. Yalimo</t>
        </is>
      </c>
      <c r="C93" t="inlineStr">
        <is>
          <t>081344784841</t>
        </is>
      </c>
      <c r="D93" t="inlineStr">
        <is>
          <t>putriyalimandiri@gmail.com</t>
        </is>
      </c>
      <c r="E93" t="inlineStr">
        <is>
          <t>https://lpjk.pu.go.id/search-badan-usaha-detail/Nm45aHpCZkZ5VUZpcVlRenA0UUhTZz09</t>
        </is>
      </c>
      <c r="F93" t="n">
        <v>3</v>
      </c>
      <c r="G93" t="inlineStr">
        <is>
          <t>BG001, BG005, BG006</t>
        </is>
      </c>
      <c r="H93" t="inlineStr">
        <is>
          <t>17 Juli 2014</t>
        </is>
      </c>
      <c r="I93" s="2" t="n">
        <v>46342</v>
      </c>
      <c r="J93" t="inlineStr">
        <is>
          <t>Disetujui</t>
        </is>
      </c>
      <c r="K93" t="n">
        <v>87</v>
      </c>
      <c r="L93" t="inlineStr">
        <is>
          <t>16 November 2026</t>
        </is>
      </c>
      <c r="M93" t="inlineStr">
        <is>
          <t>Konstruksi Gedung Hunian, Konstruksi Gedung Kesehatan, Konstruksi Gedung Pendidikan</t>
        </is>
      </c>
      <c r="N93" t="inlineStr">
        <is>
          <t>K</t>
        </is>
      </c>
      <c r="O93" t="inlineStr">
        <is>
          <t>20231110, 20231115</t>
        </is>
      </c>
      <c r="P93" t="inlineStr">
        <is>
          <t>Papua Pegunungan</t>
        </is>
      </c>
      <c r="Q93" t="inlineStr"/>
    </row>
    <row r="94">
      <c r="A94" t="inlineStr">
        <is>
          <t>RAHMAT BANUA KONSULTAN</t>
        </is>
      </c>
      <c r="B94" t="inlineStr">
        <is>
          <t>Kab. Tapin</t>
        </is>
      </c>
      <c r="C94" t="inlineStr">
        <is>
          <t>081351499499</t>
        </is>
      </c>
      <c r="D94" t="inlineStr">
        <is>
          <t>cvrahmatbanua@gmail.som</t>
        </is>
      </c>
      <c r="E94" t="inlineStr">
        <is>
          <t>https://lpjk.pu.go.id/search-badan-usaha-detail/R281Sjk4WkxMTzcyUUxIak9JTXhaZz09</t>
        </is>
      </c>
      <c r="F94" t="n">
        <v>4</v>
      </c>
      <c r="G94" t="inlineStr">
        <is>
          <t>RK001, RK002</t>
        </is>
      </c>
      <c r="H94" t="inlineStr">
        <is>
          <t>25 Februari 2019</t>
        </is>
      </c>
      <c r="I94" s="2" t="n">
        <v>46342</v>
      </c>
      <c r="J94" t="inlineStr">
        <is>
          <t>Disetujui</t>
        </is>
      </c>
      <c r="K94" t="n">
        <v>87</v>
      </c>
      <c r="L94" t="inlineStr">
        <is>
          <t>16 November 2026</t>
        </is>
      </c>
      <c r="M94" t="inlineStr">
        <is>
          <t>Jasa Rekayasa Konstruksi Bangunan Gedung Hunian dan Non Hunian, Jasa Rekayasa Pekerjaan Teknik Sipil Sumber Daya Air</t>
        </is>
      </c>
      <c r="N94" t="inlineStr">
        <is>
          <t>K</t>
        </is>
      </c>
      <c r="O94" t="inlineStr">
        <is>
          <t>20230724, 20231101</t>
        </is>
      </c>
      <c r="P94" t="inlineStr">
        <is>
          <t>Kalimantan Selatan</t>
        </is>
      </c>
      <c r="Q94" t="inlineStr"/>
    </row>
    <row r="95">
      <c r="A95" t="inlineStr">
        <is>
          <t>RAIH PUTRA PERDANA</t>
        </is>
      </c>
      <c r="B95" t="inlineStr">
        <is>
          <t>Kab. Tangerang</t>
        </is>
      </c>
      <c r="C95" t="inlineStr">
        <is>
          <t>085691398310</t>
        </is>
      </c>
      <c r="D95" t="inlineStr">
        <is>
          <t>cv_rpp1321@yahoo.com</t>
        </is>
      </c>
      <c r="E95" t="inlineStr">
        <is>
          <t>https://lpjk.pu.go.id/search-badan-usaha-detail/blZpM0FobEdZVmlpNk1rRVpudStTZz09</t>
        </is>
      </c>
      <c r="F95" t="n">
        <v>1</v>
      </c>
      <c r="G95" t="inlineStr">
        <is>
          <t>BG006</t>
        </is>
      </c>
      <c r="H95" t="inlineStr">
        <is>
          <t>25 Oktober 2023</t>
        </is>
      </c>
      <c r="I95" s="2" t="n">
        <v>46342</v>
      </c>
      <c r="J95" t="inlineStr">
        <is>
          <t>Disetujui</t>
        </is>
      </c>
      <c r="K95" t="n">
        <v>87</v>
      </c>
      <c r="L95" t="inlineStr">
        <is>
          <t>16 November 2026</t>
        </is>
      </c>
      <c r="M95" t="inlineStr">
        <is>
          <t>Konstruksi Gedung Pendidikan</t>
        </is>
      </c>
      <c r="N95" t="inlineStr">
        <is>
          <t>K</t>
        </is>
      </c>
      <c r="O95" t="inlineStr">
        <is>
          <t>20231114</t>
        </is>
      </c>
      <c r="P95" t="inlineStr">
        <is>
          <t>Banten</t>
        </is>
      </c>
      <c r="Q95" t="inlineStr"/>
    </row>
    <row r="96">
      <c r="A96" t="inlineStr">
        <is>
          <t>RAKA MAKMUR</t>
        </is>
      </c>
      <c r="B96" t="inlineStr">
        <is>
          <t>Kab. Banyuwangi</t>
        </is>
      </c>
      <c r="C96" t="inlineStr">
        <is>
          <t>081231013333</t>
        </is>
      </c>
      <c r="D96" t="inlineStr">
        <is>
          <t>rakamakmur.cv@gmail.com</t>
        </is>
      </c>
      <c r="E96" t="inlineStr">
        <is>
          <t>https://lpjk.pu.go.id/search-badan-usaha-detail/ZDR5eUlkWlEvNUY0RnFaNDR6bVpVdz09</t>
        </is>
      </c>
      <c r="F96" t="n">
        <v>2</v>
      </c>
      <c r="G96" t="inlineStr">
        <is>
          <t>BG006, BG009</t>
        </is>
      </c>
      <c r="H96" t="inlineStr">
        <is>
          <t>19 Desember 2019</t>
        </is>
      </c>
      <c r="I96" s="2" t="n">
        <v>46342</v>
      </c>
      <c r="J96" t="inlineStr">
        <is>
          <t>Disetujui</t>
        </is>
      </c>
      <c r="K96" t="n">
        <v>87</v>
      </c>
      <c r="L96" t="inlineStr">
        <is>
          <t>16 November 2026</t>
        </is>
      </c>
      <c r="M96" t="inlineStr">
        <is>
          <t>Konstruksi Gedung Lainnya, Konstruksi Gedung Pendidikan</t>
        </is>
      </c>
      <c r="N96" t="inlineStr">
        <is>
          <t>K</t>
        </is>
      </c>
      <c r="O96" t="inlineStr">
        <is>
          <t>20231117</t>
        </is>
      </c>
      <c r="P96" t="inlineStr">
        <is>
          <t>Jawa Timur</t>
        </is>
      </c>
      <c r="Q96" t="inlineStr"/>
    </row>
    <row r="97">
      <c r="A97" t="inlineStr">
        <is>
          <t>RAKAN DROE</t>
        </is>
      </c>
      <c r="B97" t="inlineStr">
        <is>
          <t>Kab. Aceh Besar</t>
        </is>
      </c>
      <c r="C97" t="inlineStr">
        <is>
          <t>085260433554</t>
        </is>
      </c>
      <c r="D97" t="inlineStr">
        <is>
          <t>cv.rakandroe2019@gmail.com</t>
        </is>
      </c>
      <c r="E97" t="inlineStr">
        <is>
          <t>https://lpjk.pu.go.id/search-badan-usaha-detail/NlFTWTh3WU5QS0t6ZFExT2ZpRU1UZz09</t>
        </is>
      </c>
      <c r="F97" t="n">
        <v>6</v>
      </c>
      <c r="G97" t="inlineStr">
        <is>
          <t>BG005, BG006, BG009</t>
        </is>
      </c>
      <c r="H97" t="inlineStr">
        <is>
          <t>28 Desember 2006</t>
        </is>
      </c>
      <c r="I97" s="2" t="n">
        <v>46342</v>
      </c>
      <c r="J97" t="inlineStr">
        <is>
          <t>Disetujui</t>
        </is>
      </c>
      <c r="K97" t="n">
        <v>87</v>
      </c>
      <c r="L97" t="inlineStr">
        <is>
          <t>16 November 2026</t>
        </is>
      </c>
      <c r="M97" t="inlineStr">
        <is>
          <t>Konstruksi Gedung Kesehatan, Konstruksi Gedung Lainnya, Konstruksi Gedung Pendidikan</t>
        </is>
      </c>
      <c r="N97" t="inlineStr">
        <is>
          <t>K</t>
        </is>
      </c>
      <c r="O97" t="inlineStr">
        <is>
          <t>20231116, 20231117</t>
        </is>
      </c>
      <c r="P97" t="inlineStr">
        <is>
          <t>Aceh</t>
        </is>
      </c>
      <c r="Q97" t="inlineStr"/>
    </row>
    <row r="98">
      <c r="A98" t="inlineStr">
        <is>
          <t>RATU PANTEE KALUT</t>
        </is>
      </c>
      <c r="B98" t="inlineStr">
        <is>
          <t>Kab. Aceh Besar</t>
        </is>
      </c>
      <c r="C98" t="inlineStr">
        <is>
          <t>085248939980</t>
        </is>
      </c>
      <c r="D98" t="inlineStr">
        <is>
          <t>ratupanteekalut@gmail.com</t>
        </is>
      </c>
      <c r="E98" t="inlineStr">
        <is>
          <t>https://lpjk.pu.go.id/search-badan-usaha-detail/TEhxL2xxeW0vNHZ5ZXd0TnRwZkpkUT09</t>
        </is>
      </c>
      <c r="F98" t="n">
        <v>3</v>
      </c>
      <c r="G98" t="inlineStr">
        <is>
          <t>BG001, BG005, BG006</t>
        </is>
      </c>
      <c r="H98" t="inlineStr">
        <is>
          <t>20 Januari 2015</t>
        </is>
      </c>
      <c r="I98" s="2" t="n">
        <v>46342</v>
      </c>
      <c r="J98" t="inlineStr">
        <is>
          <t>Disetujui</t>
        </is>
      </c>
      <c r="K98" t="n">
        <v>87</v>
      </c>
      <c r="L98" t="inlineStr">
        <is>
          <t>16 November 2026</t>
        </is>
      </c>
      <c r="M98" t="inlineStr">
        <is>
          <t>Konstruksi Gedung Hunian, Konstruksi Gedung Kesehatan, Konstruksi Gedung Pendidikan</t>
        </is>
      </c>
      <c r="N98" t="inlineStr">
        <is>
          <t>K</t>
        </is>
      </c>
      <c r="O98" t="inlineStr">
        <is>
          <t>20231116</t>
        </is>
      </c>
      <c r="P98" t="inlineStr">
        <is>
          <t>Aceh</t>
        </is>
      </c>
      <c r="Q98" t="inlineStr"/>
    </row>
    <row r="99">
      <c r="A99" t="inlineStr">
        <is>
          <t>RUBY MAS</t>
        </is>
      </c>
      <c r="B99" t="inlineStr">
        <is>
          <t>Kab. Tegal</t>
        </is>
      </c>
      <c r="C99" t="inlineStr">
        <is>
          <t>08190261310</t>
        </is>
      </c>
      <c r="D99" t="inlineStr">
        <is>
          <t>cvrubymas@yahoo.com</t>
        </is>
      </c>
      <c r="E99" t="inlineStr">
        <is>
          <t>https://lpjk.pu.go.id/search-badan-usaha-detail/Nk5uVzY5NG5mVXloOTBEdGltU2xjZz09</t>
        </is>
      </c>
      <c r="F99" t="n">
        <v>2</v>
      </c>
      <c r="G99" t="inlineStr">
        <is>
          <t>BG006, BS005</t>
        </is>
      </c>
      <c r="H99" t="inlineStr">
        <is>
          <t>23 September 2014</t>
        </is>
      </c>
      <c r="I99" s="2" t="n">
        <v>46342</v>
      </c>
      <c r="J99" t="inlineStr">
        <is>
          <t>Disetujui</t>
        </is>
      </c>
      <c r="K99" t="n">
        <v>87</v>
      </c>
      <c r="L99" t="inlineStr">
        <is>
          <t>16 November 2026</t>
        </is>
      </c>
      <c r="M99" t="inlineStr">
        <is>
          <t>Konstruksi Bangunan Sipil Pengolahan Air Bersih, Konstruksi Gedung Pendidikan</t>
        </is>
      </c>
      <c r="N99" t="inlineStr">
        <is>
          <t>K</t>
        </is>
      </c>
      <c r="O99" t="inlineStr">
        <is>
          <t>20231114</t>
        </is>
      </c>
      <c r="P99" t="inlineStr">
        <is>
          <t>Jawa Tengah</t>
        </is>
      </c>
      <c r="Q99" t="inlineStr"/>
    </row>
    <row r="100">
      <c r="A100" t="inlineStr">
        <is>
          <t>SAGAWIN PUTRA</t>
        </is>
      </c>
      <c r="B100" t="inlineStr">
        <is>
          <t>Kota Sorong</t>
        </is>
      </c>
      <c r="C100" t="inlineStr">
        <is>
          <t>082194660276</t>
        </is>
      </c>
      <c r="D100" t="inlineStr">
        <is>
          <t>putrasagawin@gmail.com</t>
        </is>
      </c>
      <c r="E100" t="inlineStr">
        <is>
          <t>https://lpjk.pu.go.id/search-badan-usaha-detail/aHhtTUh3R1dyYmd1bk5DVU00NkREdz09</t>
        </is>
      </c>
      <c r="F100" t="n">
        <v>2</v>
      </c>
      <c r="G100" t="inlineStr">
        <is>
          <t>BS001, BS010</t>
        </is>
      </c>
      <c r="H100" t="inlineStr">
        <is>
          <t>9 Oktober 2023</t>
        </is>
      </c>
      <c r="I100" s="2" t="n">
        <v>46342</v>
      </c>
      <c r="J100" t="inlineStr">
        <is>
          <t>Disetujui, Pencabutan</t>
        </is>
      </c>
      <c r="K100" t="n">
        <v>87</v>
      </c>
      <c r="L100" t="inlineStr">
        <is>
          <t>16 November 2026</t>
        </is>
      </c>
      <c r="M100" t="inlineStr">
        <is>
          <t>Konstruksi Bangunan Prasarana Sumber Daya Air, Konstruksi Bangunan Sipil Jalan</t>
        </is>
      </c>
      <c r="N100" t="inlineStr">
        <is>
          <t>K</t>
        </is>
      </c>
      <c r="O100" t="inlineStr">
        <is>
          <t>20231111, 20231115</t>
        </is>
      </c>
      <c r="P100" t="inlineStr">
        <is>
          <t>Papua Barat Daya</t>
        </is>
      </c>
      <c r="Q100" t="inlineStr"/>
    </row>
    <row r="101">
      <c r="A101" t="inlineStr">
        <is>
          <t>SAHARA NIAGA NUSANTARA</t>
        </is>
      </c>
      <c r="B101" t="inlineStr">
        <is>
          <t>Kab. Bone</t>
        </is>
      </c>
      <c r="C101" t="inlineStr">
        <is>
          <t>85237192867</t>
        </is>
      </c>
      <c r="D101" t="inlineStr">
        <is>
          <t>jaya_makmur08@yahoo.com</t>
        </is>
      </c>
      <c r="E101" t="inlineStr">
        <is>
          <t>https://lpjk.pu.go.id/search-badan-usaha-detail/SlZaRG5aQ0htTE9ySlhTbWJNRFNuZz09</t>
        </is>
      </c>
      <c r="F101" t="n">
        <v>3</v>
      </c>
      <c r="G101" t="inlineStr">
        <is>
          <t>BG001, BG002, BG009</t>
        </is>
      </c>
      <c r="H101" t="inlineStr">
        <is>
          <t>24 April 2010</t>
        </is>
      </c>
      <c r="I101" s="2" t="n">
        <v>46342</v>
      </c>
      <c r="J101" t="inlineStr">
        <is>
          <t>Disetujui</t>
        </is>
      </c>
      <c r="K101" t="n">
        <v>87</v>
      </c>
      <c r="L101" t="inlineStr">
        <is>
          <t>16 November 2026</t>
        </is>
      </c>
      <c r="M101" t="inlineStr">
        <is>
          <t>Konstruksi Gedung Hunian, Konstruksi Gedung Lainnya, Konstruksi Gedung Perkantoran</t>
        </is>
      </c>
      <c r="N101" t="inlineStr">
        <is>
          <t>K</t>
        </is>
      </c>
      <c r="O101" t="inlineStr">
        <is>
          <t>20231117</t>
        </is>
      </c>
      <c r="P101" t="inlineStr">
        <is>
          <t>Sulawesi Selatan</t>
        </is>
      </c>
      <c r="Q101" t="inlineStr"/>
    </row>
    <row r="102">
      <c r="A102" t="inlineStr">
        <is>
          <t>SANGJAYA ABADI</t>
        </is>
      </c>
      <c r="B102" t="inlineStr">
        <is>
          <t>Kota Bandar Lampung</t>
        </is>
      </c>
      <c r="C102" t="inlineStr">
        <is>
          <t>082176116606</t>
        </is>
      </c>
      <c r="D102" t="inlineStr">
        <is>
          <t>sangjayaabadi11@yahoo.com</t>
        </is>
      </c>
      <c r="E102" t="inlineStr">
        <is>
          <t>https://lpjk.pu.go.id/search-badan-usaha-detail/alhaeGswVXI5NXlLWXRUQ0txTDNnQT09</t>
        </is>
      </c>
      <c r="F102" t="n">
        <v>1</v>
      </c>
      <c r="G102" t="inlineStr">
        <is>
          <t>BG001</t>
        </is>
      </c>
      <c r="H102" t="inlineStr">
        <is>
          <t>26 Februari 2015</t>
        </is>
      </c>
      <c r="I102" s="2" t="n">
        <v>46342</v>
      </c>
      <c r="J102" t="inlineStr">
        <is>
          <t>Disetujui</t>
        </is>
      </c>
      <c r="K102" t="n">
        <v>87</v>
      </c>
      <c r="L102" t="inlineStr">
        <is>
          <t>16 November 2026</t>
        </is>
      </c>
      <c r="M102" t="inlineStr">
        <is>
          <t>Konstruksi Gedung Hunian</t>
        </is>
      </c>
      <c r="N102" t="inlineStr">
        <is>
          <t>K</t>
        </is>
      </c>
      <c r="O102" t="inlineStr">
        <is>
          <t>20231117</t>
        </is>
      </c>
      <c r="P102" t="inlineStr">
        <is>
          <t>Lampung</t>
        </is>
      </c>
      <c r="Q102" t="inlineStr"/>
    </row>
    <row r="103">
      <c r="A103" t="inlineStr">
        <is>
          <t>SANTIKA PRATAMA</t>
        </is>
      </c>
      <c r="B103" t="inlineStr">
        <is>
          <t>Kab. Sumedang</t>
        </is>
      </c>
      <c r="C103" t="inlineStr">
        <is>
          <t>081321932999</t>
        </is>
      </c>
      <c r="D103" t="inlineStr">
        <is>
          <t>santikapratama782@gmail.com</t>
        </is>
      </c>
      <c r="E103" t="inlineStr">
        <is>
          <t>https://lpjk.pu.go.id/search-badan-usaha-detail/REpLcnNPZzFoc0M2SUNkMSt5ekVqdz09</t>
        </is>
      </c>
      <c r="F103" t="n">
        <v>8</v>
      </c>
      <c r="G103" t="inlineStr">
        <is>
          <t>BG004, BG005, BG006, BG009</t>
        </is>
      </c>
      <c r="H103" t="inlineStr">
        <is>
          <t>20 Desember 2010</t>
        </is>
      </c>
      <c r="I103" s="2" t="n">
        <v>46342</v>
      </c>
      <c r="J103" t="inlineStr">
        <is>
          <t>Disetujui</t>
        </is>
      </c>
      <c r="K103" t="n">
        <v>87</v>
      </c>
      <c r="L103" t="inlineStr">
        <is>
          <t>16 November 2026</t>
        </is>
      </c>
      <c r="M103" t="inlineStr">
        <is>
          <t>Konstruksi Gedung Kesehatan, Konstruksi Gedung Lainnya, Konstruksi Gedung Pendidikan, Konstruksi Gedung Perbelanjaan</t>
        </is>
      </c>
      <c r="N103" t="inlineStr">
        <is>
          <t>K</t>
        </is>
      </c>
      <c r="O103" t="inlineStr">
        <is>
          <t>20231113</t>
        </is>
      </c>
      <c r="P103" t="inlineStr">
        <is>
          <t>Jawa Barat</t>
        </is>
      </c>
      <c r="Q103" t="inlineStr"/>
    </row>
    <row r="104">
      <c r="A104" t="inlineStr">
        <is>
          <t>SATRIA</t>
        </is>
      </c>
      <c r="B104" t="inlineStr">
        <is>
          <t>Kab. Bojonegoro</t>
        </is>
      </c>
      <c r="C104" t="inlineStr">
        <is>
          <t>081359778486</t>
        </is>
      </c>
      <c r="D104" t="inlineStr">
        <is>
          <t>cv.satria13@gmail.com</t>
        </is>
      </c>
      <c r="E104" t="inlineStr">
        <is>
          <t>https://lpjk.pu.go.id/search-badan-usaha-detail/UDczRzdDZkM1VkJPbXE5bndQTnhGdz09</t>
        </is>
      </c>
      <c r="F104" t="n">
        <v>2</v>
      </c>
      <c r="G104" t="inlineStr">
        <is>
          <t>BS001, BS002</t>
        </is>
      </c>
      <c r="H104" t="inlineStr">
        <is>
          <t>15 November 2006</t>
        </is>
      </c>
      <c r="I104" s="2" t="n">
        <v>46342</v>
      </c>
      <c r="J104" t="inlineStr">
        <is>
          <t>Pencabutan</t>
        </is>
      </c>
      <c r="K104" t="n">
        <v>87</v>
      </c>
      <c r="L104" t="inlineStr">
        <is>
          <t>16 November 2026</t>
        </is>
      </c>
      <c r="M104" t="inlineStr">
        <is>
          <t>Bangunan Sipil Jembatan, Jalan Layang, Fly Over, dan Underpass, Konstruksi Bangunan Sipil Jalan</t>
        </is>
      </c>
      <c r="N104" t="inlineStr">
        <is>
          <t>K</t>
        </is>
      </c>
      <c r="O104" t="inlineStr">
        <is>
          <t>20231115, 20231120</t>
        </is>
      </c>
      <c r="P104" t="inlineStr">
        <is>
          <t>Jawa Timur</t>
        </is>
      </c>
      <c r="Q104" t="inlineStr"/>
    </row>
    <row r="105">
      <c r="A105" t="inlineStr">
        <is>
          <t>SEJAHTERA INTERCON</t>
        </is>
      </c>
      <c r="B105" t="inlineStr">
        <is>
          <t>Kota Palembang</t>
        </is>
      </c>
      <c r="C105" t="inlineStr">
        <is>
          <t>0811715725</t>
        </is>
      </c>
      <c r="D105" t="inlineStr">
        <is>
          <t>s_intercon@yahoo.com</t>
        </is>
      </c>
      <c r="E105" t="inlineStr">
        <is>
          <t>https://lpjk.pu.go.id/search-badan-usaha-detail/NS9YUGR6SUx1SVNaaWw4em4zRU1rQT09</t>
        </is>
      </c>
      <c r="F105" t="n">
        <v>1</v>
      </c>
      <c r="G105" t="inlineStr">
        <is>
          <t>BS007</t>
        </is>
      </c>
      <c r="H105" t="inlineStr">
        <is>
          <t>5 April 1995</t>
        </is>
      </c>
      <c r="I105" s="2" t="n">
        <v>46342</v>
      </c>
      <c r="J105" t="inlineStr">
        <is>
          <t>Disetujui</t>
        </is>
      </c>
      <c r="K105" t="n">
        <v>87</v>
      </c>
      <c r="L105" t="inlineStr">
        <is>
          <t>16 November 2026</t>
        </is>
      </c>
      <c r="M105" t="inlineStr">
        <is>
          <t>Konstruksi Bangunan Sipil Elektrikal</t>
        </is>
      </c>
      <c r="N105" t="inlineStr">
        <is>
          <t>B</t>
        </is>
      </c>
      <c r="O105" t="inlineStr">
        <is>
          <t>20231116</t>
        </is>
      </c>
      <c r="P105" t="inlineStr">
        <is>
          <t>Sumatera Selatan</t>
        </is>
      </c>
      <c r="Q105" t="inlineStr"/>
    </row>
    <row r="106">
      <c r="A106" t="inlineStr">
        <is>
          <t>SEJAHTERA JAYA ABADI</t>
        </is>
      </c>
      <c r="B106" t="inlineStr">
        <is>
          <t>Kab. Sidoarjo</t>
        </is>
      </c>
      <c r="C106" t="inlineStr">
        <is>
          <t>082196475842</t>
        </is>
      </c>
      <c r="D106" t="inlineStr">
        <is>
          <t>sejahteraabadi100@gmail.com</t>
        </is>
      </c>
      <c r="E106" t="inlineStr">
        <is>
          <t>https://lpjk.pu.go.id/search-badan-usaha-detail/ajVJY1N0OGNjdndCRW5KTzJkR1dYZz09</t>
        </is>
      </c>
      <c r="F106" t="n">
        <v>3</v>
      </c>
      <c r="G106" t="inlineStr">
        <is>
          <t>BG005, BG006, BG009</t>
        </is>
      </c>
      <c r="H106" t="inlineStr">
        <is>
          <t>19 April 2018</t>
        </is>
      </c>
      <c r="I106" s="2" t="n">
        <v>46342</v>
      </c>
      <c r="J106" t="inlineStr">
        <is>
          <t>Disetujui</t>
        </is>
      </c>
      <c r="K106" t="n">
        <v>87</v>
      </c>
      <c r="L106" t="inlineStr">
        <is>
          <t>16 November 2026</t>
        </is>
      </c>
      <c r="M106" t="inlineStr">
        <is>
          <t>Konstruksi Gedung Kesehatan, Konstruksi Gedung Lainnya, Konstruksi Gedung Pendidikan</t>
        </is>
      </c>
      <c r="N106" t="inlineStr">
        <is>
          <t>K</t>
        </is>
      </c>
      <c r="O106" t="inlineStr">
        <is>
          <t>20231115</t>
        </is>
      </c>
      <c r="P106" t="inlineStr">
        <is>
          <t>Jawa Timur</t>
        </is>
      </c>
      <c r="Q106" t="inlineStr"/>
    </row>
    <row r="107">
      <c r="A107" t="inlineStr">
        <is>
          <t>SEJAHTERA PERKASA BERSAMA</t>
        </is>
      </c>
      <c r="B107" t="inlineStr">
        <is>
          <t>Kota Palembang</t>
        </is>
      </c>
      <c r="C107" t="inlineStr">
        <is>
          <t>085267873834</t>
        </is>
      </c>
      <c r="D107" t="inlineStr">
        <is>
          <t>sejahteraa.bersama@gmail.com</t>
        </is>
      </c>
      <c r="E107" t="inlineStr">
        <is>
          <t>https://lpjk.pu.go.id/search-badan-usaha-detail/WVVUV2Rlc1NIMXZNbHlnMjN3OGNiUT09</t>
        </is>
      </c>
      <c r="F107" t="n">
        <v>2</v>
      </c>
      <c r="G107" t="inlineStr">
        <is>
          <t>BS002, BS003</t>
        </is>
      </c>
      <c r="H107" t="inlineStr">
        <is>
          <t>7 Desember 2012</t>
        </is>
      </c>
      <c r="I107" s="2" t="n">
        <v>46342</v>
      </c>
      <c r="J107" t="inlineStr">
        <is>
          <t>Disetujui</t>
        </is>
      </c>
      <c r="K107" t="n">
        <v>87</v>
      </c>
      <c r="L107" t="inlineStr">
        <is>
          <t>16 November 2026</t>
        </is>
      </c>
      <c r="M107" t="inlineStr">
        <is>
          <t>Bangunan Sipil Jembatan, Jalan Layang, Fly Over, dan Underpass, Konstruksi Jalan Rel</t>
        </is>
      </c>
      <c r="N107" t="inlineStr">
        <is>
          <t>K</t>
        </is>
      </c>
      <c r="O107" t="inlineStr">
        <is>
          <t>20231023</t>
        </is>
      </c>
      <c r="P107" t="inlineStr">
        <is>
          <t>Sumatera Selatan</t>
        </is>
      </c>
      <c r="Q107" t="inlineStr"/>
    </row>
    <row r="108">
      <c r="A108" t="inlineStr">
        <is>
          <t>SIMETRIS PULUNGINDO UTAMA</t>
        </is>
      </c>
      <c r="B108" t="inlineStr">
        <is>
          <t>Kota Medan</t>
        </is>
      </c>
      <c r="C108" t="inlineStr">
        <is>
          <t>-</t>
        </is>
      </c>
      <c r="D108" t="inlineStr">
        <is>
          <t>batusari92@gmail.com</t>
        </is>
      </c>
      <c r="E108" t="inlineStr">
        <is>
          <t>https://lpjk.pu.go.id/search-badan-usaha-detail/TnM0Tk1IZFBHVktXYy9NNWpvMitrQT09</t>
        </is>
      </c>
      <c r="F108" t="n">
        <v>1</v>
      </c>
      <c r="G108" t="inlineStr">
        <is>
          <t>RK002</t>
        </is>
      </c>
      <c r="H108" t="inlineStr">
        <is>
          <t>15 November 2019</t>
        </is>
      </c>
      <c r="I108" s="2" t="n">
        <v>46342</v>
      </c>
      <c r="J108" t="inlineStr">
        <is>
          <t>Pencabutan</t>
        </is>
      </c>
      <c r="K108" t="n">
        <v>87</v>
      </c>
      <c r="L108" t="inlineStr">
        <is>
          <t>16 November 2026</t>
        </is>
      </c>
      <c r="M108" t="inlineStr">
        <is>
          <t>Jasa Rekayasa Pekerjaan Teknik Sipil Sumber Daya Air</t>
        </is>
      </c>
      <c r="N108" t="inlineStr">
        <is>
          <t>K</t>
        </is>
      </c>
      <c r="O108" t="inlineStr">
        <is>
          <t>20231108</t>
        </is>
      </c>
      <c r="P108" t="inlineStr">
        <is>
          <t>Sumatera Utara</t>
        </is>
      </c>
      <c r="Q108" t="inlineStr"/>
    </row>
    <row r="109">
      <c r="A109" t="inlineStr">
        <is>
          <t>SINAR CAHAYA TERANG</t>
        </is>
      </c>
      <c r="B109" t="inlineStr">
        <is>
          <t>Kota Palangkaraya</t>
        </is>
      </c>
      <c r="C109" t="inlineStr">
        <is>
          <t>081347217277</t>
        </is>
      </c>
      <c r="D109" t="inlineStr">
        <is>
          <t>cvsinarcahayaterang@gmail.com</t>
        </is>
      </c>
      <c r="E109" t="inlineStr">
        <is>
          <t>https://lpjk.pu.go.id/search-badan-usaha-detail/ZHVFL2dEbW93ZktWQitwcU11UVVVQT09</t>
        </is>
      </c>
      <c r="F109" t="n">
        <v>2</v>
      </c>
      <c r="G109" t="inlineStr">
        <is>
          <t>BS001, BS004</t>
        </is>
      </c>
      <c r="H109" t="inlineStr">
        <is>
          <t>27 Januari 2020</t>
        </is>
      </c>
      <c r="I109" s="2" t="n">
        <v>46342</v>
      </c>
      <c r="J109" t="inlineStr">
        <is>
          <t>Pencabutan</t>
        </is>
      </c>
      <c r="K109" t="n">
        <v>87</v>
      </c>
      <c r="L109" t="inlineStr">
        <is>
          <t>16 November 2026</t>
        </is>
      </c>
      <c r="M109" t="inlineStr">
        <is>
          <t>Konstruksi Bangunan Sipil Jalan, Konstruksi Jaringan Irigasi dan Drainase</t>
        </is>
      </c>
      <c r="N109" t="inlineStr">
        <is>
          <t>K</t>
        </is>
      </c>
      <c r="O109" t="inlineStr">
        <is>
          <t>20231114, 20231115</t>
        </is>
      </c>
      <c r="P109" t="inlineStr">
        <is>
          <t>Kalimantan Tengah</t>
        </is>
      </c>
      <c r="Q109" t="inlineStr"/>
    </row>
    <row r="110">
      <c r="A110" t="inlineStr">
        <is>
          <t>SINAR PANCA</t>
        </is>
      </c>
      <c r="B110" t="inlineStr">
        <is>
          <t>Kota Adm. Jakarta Barat</t>
        </is>
      </c>
      <c r="C110" t="inlineStr">
        <is>
          <t>0215828169</t>
        </is>
      </c>
      <c r="D110" t="inlineStr">
        <is>
          <t>susans_5@yahoo.co.id</t>
        </is>
      </c>
      <c r="E110" t="inlineStr">
        <is>
          <t>https://lpjk.pu.go.id/search-badan-usaha-detail/bkJGVHlheC9VRnBadkNzVXNRU2Zpdz09</t>
        </is>
      </c>
      <c r="F110" t="n">
        <v>1</v>
      </c>
      <c r="G110" t="inlineStr">
        <is>
          <t>BG009</t>
        </is>
      </c>
      <c r="H110" t="inlineStr">
        <is>
          <t>28 Juni 2010</t>
        </is>
      </c>
      <c r="I110" s="2" t="n">
        <v>46342</v>
      </c>
      <c r="J110" t="inlineStr">
        <is>
          <t>Disetujui</t>
        </is>
      </c>
      <c r="K110" t="n">
        <v>87</v>
      </c>
      <c r="L110" t="inlineStr">
        <is>
          <t>16 November 2026</t>
        </is>
      </c>
      <c r="M110" t="inlineStr">
        <is>
          <t>Konstruksi Gedung Lainnya</t>
        </is>
      </c>
      <c r="N110" t="inlineStr">
        <is>
          <t>K</t>
        </is>
      </c>
      <c r="O110" t="inlineStr">
        <is>
          <t>20231116</t>
        </is>
      </c>
      <c r="P110" t="inlineStr">
        <is>
          <t>DKI Jakarta</t>
        </is>
      </c>
      <c r="Q110" t="inlineStr"/>
    </row>
    <row r="111">
      <c r="A111" t="inlineStr">
        <is>
          <t>SINERGI MITRA OPERASI REMBANG</t>
        </is>
      </c>
      <c r="B111" t="inlineStr">
        <is>
          <t>Kab. Rembang</t>
        </is>
      </c>
      <c r="C111" t="inlineStr">
        <is>
          <t>085775302999</t>
        </is>
      </c>
      <c r="D111" t="inlineStr">
        <is>
          <t>corp@smor.co.id</t>
        </is>
      </c>
      <c r="E111" t="inlineStr">
        <is>
          <t>https://lpjk.pu.go.id/search-badan-usaha-detail/S0Q3dFRqMUZqRlN5azFyazNXQlFjdz09</t>
        </is>
      </c>
      <c r="F111" t="n">
        <v>3</v>
      </c>
      <c r="G111" t="inlineStr">
        <is>
          <t>BG003, BG009, IN001</t>
        </is>
      </c>
      <c r="H111" t="inlineStr">
        <is>
          <t>12 Juni 2020</t>
        </is>
      </c>
      <c r="I111" s="2" t="n">
        <v>46342</v>
      </c>
      <c r="J111" t="inlineStr">
        <is>
          <t>Disetujui</t>
        </is>
      </c>
      <c r="K111" t="n">
        <v>87</v>
      </c>
      <c r="L111" t="inlineStr">
        <is>
          <t>16 November 2026</t>
        </is>
      </c>
      <c r="M111" t="inlineStr">
        <is>
          <t>Instalasi Mekanikal, Konstruksi Gedung Industri, Konstruksi Gedung Lainnya</t>
        </is>
      </c>
      <c r="N111" t="inlineStr">
        <is>
          <t>K, Spesialis</t>
        </is>
      </c>
      <c r="O111" t="inlineStr">
        <is>
          <t>20231113, 20231115</t>
        </is>
      </c>
      <c r="P111" t="inlineStr">
        <is>
          <t>Jawa Tengah</t>
        </is>
      </c>
      <c r="Q111" t="inlineStr"/>
    </row>
    <row r="112">
      <c r="A112" t="inlineStr">
        <is>
          <t>SINTESA ABHINAYA</t>
        </is>
      </c>
      <c r="B112" t="inlineStr">
        <is>
          <t>Kota Samarinda</t>
        </is>
      </c>
      <c r="C112" t="inlineStr">
        <is>
          <t>081348277376</t>
        </is>
      </c>
      <c r="D112" t="inlineStr">
        <is>
          <t>abhinayasintesa@gmail.com</t>
        </is>
      </c>
      <c r="E112" t="inlineStr">
        <is>
          <t>https://lpjk.pu.go.id/search-badan-usaha-detail/UThKeXpXZC9oT0pEZEpORWxKaXA3dz09</t>
        </is>
      </c>
      <c r="F112" t="n">
        <v>3</v>
      </c>
      <c r="G112" t="inlineStr">
        <is>
          <t>RK001, RK002, RK003</t>
        </is>
      </c>
      <c r="H112" t="inlineStr">
        <is>
          <t>14 Juli 2020</t>
        </is>
      </c>
      <c r="I112" s="2" t="n">
        <v>46342</v>
      </c>
      <c r="J112" t="inlineStr">
        <is>
          <t>Disetujui</t>
        </is>
      </c>
      <c r="K112" t="n">
        <v>87</v>
      </c>
      <c r="L112" t="inlineStr">
        <is>
          <t>16 November 2026</t>
        </is>
      </c>
      <c r="M112" t="inlineStr">
        <is>
          <t>Jasa Rekayasa Konstruksi Bangunan Gedung Hunian dan Non Hunian, Jasa Rekayasa Pekerjaan Teknik Sipil Sumber Daya Air, Jasa Rekayasa Pekerjaan Teknik Sipil Transportasi</t>
        </is>
      </c>
      <c r="N112" t="inlineStr">
        <is>
          <t>K</t>
        </is>
      </c>
      <c r="O112" t="inlineStr">
        <is>
          <t>20231113</t>
        </is>
      </c>
      <c r="P112" t="inlineStr">
        <is>
          <t>Kalimantan Timur</t>
        </is>
      </c>
      <c r="Q112" t="inlineStr"/>
    </row>
    <row r="113">
      <c r="A113" t="inlineStr">
        <is>
          <t>SOLUSI PRATAMA PERKASA</t>
        </is>
      </c>
      <c r="B113" t="inlineStr">
        <is>
          <t>Kota Semarang</t>
        </is>
      </c>
      <c r="C113" t="inlineStr">
        <is>
          <t>087731335493</t>
        </is>
      </c>
      <c r="D113" t="inlineStr">
        <is>
          <t>solusipratamaperkasa@gmail.com</t>
        </is>
      </c>
      <c r="E113" t="inlineStr">
        <is>
          <t>https://lpjk.pu.go.id/search-badan-usaha-detail/MWZPU0V5b2VvY3BvUjNLZzBJdHhsZz09</t>
        </is>
      </c>
      <c r="F113" t="n">
        <v>10</v>
      </c>
      <c r="G113" t="inlineStr">
        <is>
          <t>BG001, BG003, BG004, BG005, BG007</t>
        </is>
      </c>
      <c r="H113" t="inlineStr">
        <is>
          <t>26 September 2022</t>
        </is>
      </c>
      <c r="I113" s="2" t="n">
        <v>46342</v>
      </c>
      <c r="J113" t="inlineStr">
        <is>
          <t>Pencabutan</t>
        </is>
      </c>
      <c r="K113" t="n">
        <v>87</v>
      </c>
      <c r="L113" t="inlineStr">
        <is>
          <t>16 November 2026</t>
        </is>
      </c>
      <c r="M113" t="inlineStr">
        <is>
          <t>Konstruksi Gedung Hunian, Konstruksi Gedung Industri, Konstruksi Gedung Kesehatan, Konstruksi Gedung Penginapan, Konstruksi Gedung Perbelanjaan</t>
        </is>
      </c>
      <c r="N113" t="inlineStr">
        <is>
          <t>K</t>
        </is>
      </c>
      <c r="O113" t="inlineStr">
        <is>
          <t>20230316, 20230405</t>
        </is>
      </c>
      <c r="P113" t="inlineStr">
        <is>
          <t>Jawa Tengah</t>
        </is>
      </c>
      <c r="Q113" t="inlineStr"/>
    </row>
    <row r="114">
      <c r="A114" t="inlineStr">
        <is>
          <t>SRIWIJAYA SAMABUSA</t>
        </is>
      </c>
      <c r="B114" t="inlineStr">
        <is>
          <t>-</t>
        </is>
      </c>
      <c r="C114" t="inlineStr">
        <is>
          <t>081211229595</t>
        </is>
      </c>
      <c r="D114" t="inlineStr">
        <is>
          <t>sriwijayasamabusa.pt@gmail.com</t>
        </is>
      </c>
      <c r="E114" t="inlineStr">
        <is>
          <t>https://lpjk.pu.go.id/search-badan-usaha-detail/UWprVUdLaGVIaW9ZbHNjUWd5dUVxQT09</t>
        </is>
      </c>
      <c r="F114" t="n">
        <v>2</v>
      </c>
      <c r="G114" t="inlineStr">
        <is>
          <t>BS001, BS002</t>
        </is>
      </c>
      <c r="H114" t="inlineStr">
        <is>
          <t>13 Januari 1994</t>
        </is>
      </c>
      <c r="I114" s="2" t="n">
        <v>46342</v>
      </c>
      <c r="J114" t="inlineStr">
        <is>
          <t>Disetujui</t>
        </is>
      </c>
      <c r="K114" t="n">
        <v>87</v>
      </c>
      <c r="L114" t="inlineStr">
        <is>
          <t>16 November 2026</t>
        </is>
      </c>
      <c r="M114" t="inlineStr">
        <is>
          <t>Bangunan Sipil Jembatan, Jalan Layang, Fly Over, dan Underpass, Konstruksi Bangunan Sipil Jalan</t>
        </is>
      </c>
      <c r="N114" t="inlineStr">
        <is>
          <t>K</t>
        </is>
      </c>
      <c r="O114" t="inlineStr">
        <is>
          <t>20231020, 20231024</t>
        </is>
      </c>
      <c r="P114" t="inlineStr">
        <is>
          <t>Papua Tengah</t>
        </is>
      </c>
      <c r="Q114" t="inlineStr"/>
    </row>
    <row r="115">
      <c r="A115" t="inlineStr">
        <is>
          <t>STUDIO TIGA RUANG</t>
        </is>
      </c>
      <c r="B115" t="inlineStr">
        <is>
          <t>Kota Manado</t>
        </is>
      </c>
      <c r="C115" t="inlineStr">
        <is>
          <t>082231360625</t>
        </is>
      </c>
      <c r="D115" t="inlineStr">
        <is>
          <t>studiotigaruang@gmail.com</t>
        </is>
      </c>
      <c r="E115" t="inlineStr">
        <is>
          <t>https://lpjk.pu.go.id/search-badan-usaha-detail/bm8vNkU2eDM1bkw2UElZblZidUpJUT09</t>
        </is>
      </c>
      <c r="F115" t="n">
        <v>1</v>
      </c>
      <c r="G115" t="inlineStr">
        <is>
          <t>AR001</t>
        </is>
      </c>
      <c r="H115" t="inlineStr">
        <is>
          <t>6 April 2023</t>
        </is>
      </c>
      <c r="I115" s="2" t="n">
        <v>46342</v>
      </c>
      <c r="J115" t="inlineStr">
        <is>
          <t>Disetujui</t>
        </is>
      </c>
      <c r="K115" t="n">
        <v>87</v>
      </c>
      <c r="L115" t="inlineStr">
        <is>
          <t>16 November 2026</t>
        </is>
      </c>
      <c r="M115" t="inlineStr">
        <is>
          <t>Jasa Arsitektural Bangunan Gedung Hunian dan Non Hunian</t>
        </is>
      </c>
      <c r="N115" t="inlineStr">
        <is>
          <t>K</t>
        </is>
      </c>
      <c r="O115" t="inlineStr">
        <is>
          <t>20231102</t>
        </is>
      </c>
      <c r="P115" t="inlineStr">
        <is>
          <t>Sulawesi Utara</t>
        </is>
      </c>
      <c r="Q115" t="inlineStr"/>
    </row>
    <row r="116">
      <c r="A116" t="inlineStr">
        <is>
          <t>SUMBER KARYA</t>
        </is>
      </c>
      <c r="B116" t="inlineStr">
        <is>
          <t>Kab. Agam</t>
        </is>
      </c>
      <c r="C116" t="inlineStr">
        <is>
          <t>082387407880</t>
        </is>
      </c>
      <c r="D116" t="inlineStr">
        <is>
          <t>indratalago@yahoo.co.id</t>
        </is>
      </c>
      <c r="E116" t="inlineStr">
        <is>
          <t>https://lpjk.pu.go.id/search-badan-usaha-detail/dVltbFlVTm13OGhxL3pYdDRPUzhvUT09</t>
        </is>
      </c>
      <c r="F116" t="n">
        <v>1</v>
      </c>
      <c r="G116" t="inlineStr">
        <is>
          <t>BS004</t>
        </is>
      </c>
      <c r="H116" t="inlineStr">
        <is>
          <t>1 Mei 1972</t>
        </is>
      </c>
      <c r="I116" s="2" t="n">
        <v>46342</v>
      </c>
      <c r="J116" t="inlineStr">
        <is>
          <t>Disetujui</t>
        </is>
      </c>
      <c r="K116" t="n">
        <v>87</v>
      </c>
      <c r="L116" t="inlineStr">
        <is>
          <t>16 November 2026</t>
        </is>
      </c>
      <c r="M116" t="inlineStr">
        <is>
          <t>Konstruksi Jaringan Irigasi dan Drainase</t>
        </is>
      </c>
      <c r="N116" t="inlineStr">
        <is>
          <t>K</t>
        </is>
      </c>
      <c r="O116" t="inlineStr">
        <is>
          <t>20230820</t>
        </is>
      </c>
      <c r="P116" t="inlineStr">
        <is>
          <t>Sumatera Barat</t>
        </is>
      </c>
      <c r="Q116" t="inlineStr"/>
    </row>
    <row r="117">
      <c r="A117" t="inlineStr">
        <is>
          <t>TIGA PUTRA ARFAK BERKARYA</t>
        </is>
      </c>
      <c r="B117" t="inlineStr">
        <is>
          <t>Kab. Manokwari Selatan</t>
        </is>
      </c>
      <c r="C117" t="inlineStr">
        <is>
          <t>081216882663</t>
        </is>
      </c>
      <c r="D117" t="inlineStr">
        <is>
          <t>cvtigaputraarfakberkarya@gmail.com</t>
        </is>
      </c>
      <c r="E117" t="inlineStr">
        <is>
          <t>https://lpjk.pu.go.id/search-badan-usaha-detail/d1hNcGZiZmtVOEMwRGdzbGcvVUFYQT09</t>
        </is>
      </c>
      <c r="F117" t="n">
        <v>1</v>
      </c>
      <c r="G117" t="inlineStr">
        <is>
          <t>BG006</t>
        </is>
      </c>
      <c r="H117" t="inlineStr">
        <is>
          <t>12 Oktober 2023</t>
        </is>
      </c>
      <c r="I117" s="2" t="n">
        <v>46342</v>
      </c>
      <c r="J117" t="inlineStr">
        <is>
          <t>Pembekuan</t>
        </is>
      </c>
      <c r="K117" t="n">
        <v>87</v>
      </c>
      <c r="L117" t="inlineStr">
        <is>
          <t>16 November 2026</t>
        </is>
      </c>
      <c r="M117" t="inlineStr">
        <is>
          <t>Konstruksi Gedung Pendidikan</t>
        </is>
      </c>
      <c r="N117" t="inlineStr">
        <is>
          <t>K</t>
        </is>
      </c>
      <c r="O117" t="inlineStr">
        <is>
          <t>20231109</t>
        </is>
      </c>
      <c r="P117" t="inlineStr">
        <is>
          <t>Papua Barat</t>
        </is>
      </c>
      <c r="Q117" t="inlineStr"/>
    </row>
    <row r="118">
      <c r="A118" t="inlineStr">
        <is>
          <t>TIGA REJEKI BERSAUDARA</t>
        </is>
      </c>
      <c r="B118" t="inlineStr">
        <is>
          <t>Kota Serang</t>
        </is>
      </c>
      <c r="C118" t="inlineStr">
        <is>
          <t>082217564387</t>
        </is>
      </c>
      <c r="D118" t="inlineStr">
        <is>
          <t>cvtigarejekibersaudara@gmail.com</t>
        </is>
      </c>
      <c r="E118" t="inlineStr">
        <is>
          <t>https://lpjk.pu.go.id/search-badan-usaha-detail/b01xYUlkOVQ1TVE4b1pNV0pENE1QZz09</t>
        </is>
      </c>
      <c r="F118" t="n">
        <v>2</v>
      </c>
      <c r="G118" t="inlineStr">
        <is>
          <t>BG009, BS001</t>
        </is>
      </c>
      <c r="H118" t="inlineStr">
        <is>
          <t>23 Juni 2015</t>
        </is>
      </c>
      <c r="I118" s="2" t="n">
        <v>46342</v>
      </c>
      <c r="J118" t="inlineStr">
        <is>
          <t>Pencabutan</t>
        </is>
      </c>
      <c r="K118" t="n">
        <v>87</v>
      </c>
      <c r="L118" t="inlineStr">
        <is>
          <t>16 November 2026</t>
        </is>
      </c>
      <c r="M118" t="inlineStr">
        <is>
          <t>Konstruksi Bangunan Sipil Jalan, Konstruksi Gedung Lainnya</t>
        </is>
      </c>
      <c r="N118" t="inlineStr">
        <is>
          <t>K</t>
        </is>
      </c>
      <c r="O118" t="inlineStr">
        <is>
          <t>20231114, 20231115</t>
        </is>
      </c>
      <c r="P118" t="inlineStr">
        <is>
          <t>Banten</t>
        </is>
      </c>
      <c r="Q118" t="inlineStr"/>
    </row>
    <row r="119">
      <c r="A119" t="inlineStr">
        <is>
          <t>TIGA TUJUH SEJAHTERA</t>
        </is>
      </c>
      <c r="B119" t="inlineStr">
        <is>
          <t>Kota Mataram</t>
        </is>
      </c>
      <c r="C119" t="inlineStr">
        <is>
          <t>087863400054</t>
        </is>
      </c>
      <c r="D119" t="inlineStr">
        <is>
          <t>tigatujuhsejahtera@gmail.com</t>
        </is>
      </c>
      <c r="E119" t="inlineStr">
        <is>
          <t>https://lpjk.pu.go.id/search-badan-usaha-detail/YW9ZRjNXVnF5d08rU0NxdU5TeUExQT09</t>
        </is>
      </c>
      <c r="F119" t="n">
        <v>6</v>
      </c>
      <c r="G119" t="inlineStr">
        <is>
          <t>BG001, BG005, BG006, BG009, BS005, BS010</t>
        </is>
      </c>
      <c r="H119" t="inlineStr">
        <is>
          <t>1 September 2023</t>
        </is>
      </c>
      <c r="I119" s="2" t="n">
        <v>46342</v>
      </c>
      <c r="J119" t="inlineStr">
        <is>
          <t>Disetujui</t>
        </is>
      </c>
      <c r="K119" t="n">
        <v>87</v>
      </c>
      <c r="L119" t="inlineStr">
        <is>
          <t>16 November 2026</t>
        </is>
      </c>
      <c r="M119" t="inlineStr">
        <is>
          <t>Konstruksi Bangunan Prasarana Sumber Daya Air, Konstruksi Bangunan Sipil Pengolahan Air Bersih, Konstruksi Gedung Hunian, Konstruksi Gedung Kesehatan, Konstruksi Gedung Lainnya, Konstruksi Gedung Pendidikan</t>
        </is>
      </c>
      <c r="N119" t="inlineStr">
        <is>
          <t>K</t>
        </is>
      </c>
      <c r="O119" t="inlineStr">
        <is>
          <t>20231114, 20231116</t>
        </is>
      </c>
      <c r="P119" t="inlineStr">
        <is>
          <t>Nusa Tenggara Barat</t>
        </is>
      </c>
      <c r="Q119" t="inlineStr"/>
    </row>
    <row r="120">
      <c r="A120" t="inlineStr">
        <is>
          <t>TORASINA TEKNIK KONTRUKSI</t>
        </is>
      </c>
      <c r="B120" t="inlineStr">
        <is>
          <t>Kota Palopo</t>
        </is>
      </c>
      <c r="C120" t="inlineStr">
        <is>
          <t>085242377167</t>
        </is>
      </c>
      <c r="D120" t="inlineStr">
        <is>
          <t>torasinaplp@gmail.com</t>
        </is>
      </c>
      <c r="E120" t="inlineStr">
        <is>
          <t>https://lpjk.pu.go.id/search-badan-usaha-detail/c21EYUNmZi81aUpVc2xQL0FRUTFmZz09</t>
        </is>
      </c>
      <c r="F120" t="n">
        <v>1</v>
      </c>
      <c r="G120" t="inlineStr">
        <is>
          <t>BS001</t>
        </is>
      </c>
      <c r="H120" t="inlineStr">
        <is>
          <t>4 Oktober 2023</t>
        </is>
      </c>
      <c r="I120" s="2" t="n">
        <v>46342</v>
      </c>
      <c r="J120" t="inlineStr">
        <is>
          <t>Disetujui</t>
        </is>
      </c>
      <c r="K120" t="n">
        <v>87</v>
      </c>
      <c r="L120" t="inlineStr">
        <is>
          <t>16 November 2026</t>
        </is>
      </c>
      <c r="M120" t="inlineStr">
        <is>
          <t>Konstruksi Bangunan Sipil Jalan</t>
        </is>
      </c>
      <c r="N120" t="inlineStr">
        <is>
          <t>K</t>
        </is>
      </c>
      <c r="O120" t="inlineStr">
        <is>
          <t>20231117</t>
        </is>
      </c>
      <c r="P120" t="inlineStr">
        <is>
          <t>Sulawesi Selatan</t>
        </is>
      </c>
      <c r="Q120" t="inlineStr"/>
    </row>
    <row r="121">
      <c r="A121" t="inlineStr">
        <is>
          <t>TRI GAGAS DIMENSI</t>
        </is>
      </c>
      <c r="B121" t="inlineStr">
        <is>
          <t>Kota Mataram</t>
        </is>
      </c>
      <c r="C121" t="inlineStr">
        <is>
          <t>08175797223</t>
        </is>
      </c>
      <c r="D121" t="inlineStr">
        <is>
          <t>cv3gdimensi@yahoo.co.id</t>
        </is>
      </c>
      <c r="E121" t="inlineStr">
        <is>
          <t>https://lpjk.pu.go.id/search-badan-usaha-detail/NXhkcEpaVW9nVTd3bERYcHBNYVFyZz09</t>
        </is>
      </c>
      <c r="F121" t="n">
        <v>1</v>
      </c>
      <c r="G121" t="inlineStr">
        <is>
          <t>RK001</t>
        </is>
      </c>
      <c r="H121" t="inlineStr">
        <is>
          <t>14 Oktober 1993</t>
        </is>
      </c>
      <c r="I121" s="2" t="n">
        <v>46342</v>
      </c>
      <c r="J121" t="inlineStr">
        <is>
          <t>Disetujui</t>
        </is>
      </c>
      <c r="K121" t="n">
        <v>87</v>
      </c>
      <c r="L121" t="inlineStr">
        <is>
          <t>16 November 2026</t>
        </is>
      </c>
      <c r="M121" t="inlineStr">
        <is>
          <t>Jasa Rekayasa Konstruksi Bangunan Gedung Hunian dan Non Hunian</t>
        </is>
      </c>
      <c r="N121" t="inlineStr">
        <is>
          <t>K</t>
        </is>
      </c>
      <c r="O121" t="inlineStr">
        <is>
          <t>20231110</t>
        </is>
      </c>
      <c r="P121" t="inlineStr">
        <is>
          <t>Nusa Tenggara Barat</t>
        </is>
      </c>
      <c r="Q121" t="inlineStr"/>
    </row>
    <row r="122">
      <c r="A122" t="inlineStr">
        <is>
          <t>TRIDAYA BAKTI NUSA</t>
        </is>
      </c>
      <c r="B122" t="inlineStr">
        <is>
          <t>Kota Adm. Jakarta Selatan</t>
        </is>
      </c>
      <c r="C122" t="inlineStr">
        <is>
          <t>081283780827</t>
        </is>
      </c>
      <c r="D122" t="inlineStr">
        <is>
          <t>pttridayabaktinusa@gmail.com</t>
        </is>
      </c>
      <c r="E122" t="inlineStr">
        <is>
          <t>https://lpjk.pu.go.id/search-badan-usaha-detail/dHdKSmxDZjU2SlFucmp2VTlNa2NIZz09</t>
        </is>
      </c>
      <c r="F122" t="n">
        <v>2</v>
      </c>
      <c r="G122" t="inlineStr">
        <is>
          <t>BG002, BG009</t>
        </is>
      </c>
      <c r="H122" t="inlineStr">
        <is>
          <t>31 Juli 2023</t>
        </is>
      </c>
      <c r="I122" s="2" t="n">
        <v>46342</v>
      </c>
      <c r="J122" t="inlineStr">
        <is>
          <t>Pencabutan</t>
        </is>
      </c>
      <c r="K122" t="n">
        <v>87</v>
      </c>
      <c r="L122" t="inlineStr">
        <is>
          <t>16 November 2026</t>
        </is>
      </c>
      <c r="M122" t="inlineStr">
        <is>
          <t>Konstruksi Gedung Lainnya, Konstruksi Gedung Perkantoran</t>
        </is>
      </c>
      <c r="N122" t="inlineStr">
        <is>
          <t>K</t>
        </is>
      </c>
      <c r="O122" t="inlineStr">
        <is>
          <t>20231115</t>
        </is>
      </c>
      <c r="P122" t="inlineStr">
        <is>
          <t>DKI Jakarta</t>
        </is>
      </c>
      <c r="Q122" t="inlineStr"/>
    </row>
    <row r="123">
      <c r="A123" t="inlineStr">
        <is>
          <t>TRIKARYA VISI BERSAMA</t>
        </is>
      </c>
      <c r="B123" t="inlineStr">
        <is>
          <t>Kota Semarang</t>
        </is>
      </c>
      <c r="C123" t="inlineStr">
        <is>
          <t>081390039785</t>
        </is>
      </c>
      <c r="D123" t="inlineStr">
        <is>
          <t>cvtrikaryavisibersama@gmail.com</t>
        </is>
      </c>
      <c r="E123" t="inlineStr">
        <is>
          <t>https://lpjk.pu.go.id/search-badan-usaha-detail/WlJsdW81YUN2VlE4cjZVaSszNi92dz09</t>
        </is>
      </c>
      <c r="F123" t="n">
        <v>2</v>
      </c>
      <c r="G123" t="inlineStr">
        <is>
          <t>BG005, BG006</t>
        </is>
      </c>
      <c r="H123" t="inlineStr">
        <is>
          <t>21 Desember 2022</t>
        </is>
      </c>
      <c r="I123" s="2" t="n">
        <v>46342</v>
      </c>
      <c r="J123" t="inlineStr">
        <is>
          <t>Disetujui</t>
        </is>
      </c>
      <c r="K123" t="n">
        <v>87</v>
      </c>
      <c r="L123" t="inlineStr">
        <is>
          <t>16 November 2026</t>
        </is>
      </c>
      <c r="M123" t="inlineStr">
        <is>
          <t>Konstruksi Gedung Kesehatan, Konstruksi Gedung Pendidikan</t>
        </is>
      </c>
      <c r="N123" t="inlineStr">
        <is>
          <t>K</t>
        </is>
      </c>
      <c r="O123" t="inlineStr">
        <is>
          <t>20230114, 20231120</t>
        </is>
      </c>
      <c r="P123" t="inlineStr">
        <is>
          <t>Jawa Tengah</t>
        </is>
      </c>
      <c r="Q123" t="inlineStr"/>
    </row>
    <row r="124">
      <c r="A124" t="inlineStr">
        <is>
          <t>TUNAS MANDIRI</t>
        </is>
      </c>
      <c r="B124" t="inlineStr">
        <is>
          <t>Kota Palembang</t>
        </is>
      </c>
      <c r="C124" t="inlineStr">
        <is>
          <t>082182296776</t>
        </is>
      </c>
      <c r="D124" t="inlineStr">
        <is>
          <t>suaandri.sgc1@gmail.com</t>
        </is>
      </c>
      <c r="E124" t="inlineStr">
        <is>
          <t>https://lpjk.pu.go.id/search-badan-usaha-detail/Z0ptemp5NjNwTzk4aTQ0dkNaOWRaZz09</t>
        </is>
      </c>
      <c r="F124" t="n">
        <v>4</v>
      </c>
      <c r="G124" t="inlineStr">
        <is>
          <t>BG001, BG002, BG004, BG009</t>
        </is>
      </c>
      <c r="H124" t="inlineStr">
        <is>
          <t>4 Oktober 2023</t>
        </is>
      </c>
      <c r="I124" s="2" t="n">
        <v>46342</v>
      </c>
      <c r="J124" t="inlineStr">
        <is>
          <t>Disetujui</t>
        </is>
      </c>
      <c r="K124" t="n">
        <v>87</v>
      </c>
      <c r="L124" t="inlineStr">
        <is>
          <t>16 November 2026</t>
        </is>
      </c>
      <c r="M124" t="inlineStr">
        <is>
          <t>Konstruksi Gedung Hunian, Konstruksi Gedung Lainnya, Konstruksi Gedung Perbelanjaan, Konstruksi Gedung Perkantoran</t>
        </is>
      </c>
      <c r="N124" t="inlineStr">
        <is>
          <t>K</t>
        </is>
      </c>
      <c r="O124" t="inlineStr">
        <is>
          <t>20231115</t>
        </is>
      </c>
      <c r="P124" t="inlineStr">
        <is>
          <t>Sumatera Selatan</t>
        </is>
      </c>
      <c r="Q1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cols>
    <col width="29" customWidth="1" min="1" max="1"/>
    <col width="27" customWidth="1" min="2" max="2"/>
    <col width="15" customWidth="1" min="3" max="3"/>
    <col width="37"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BAHANA SUPRINDO KREASI</t>
        </is>
      </c>
      <c r="B2" t="inlineStr">
        <is>
          <t>Kab. Bogor</t>
        </is>
      </c>
      <c r="C2" t="inlineStr">
        <is>
          <t>02183716418</t>
        </is>
      </c>
      <c r="D2" t="inlineStr">
        <is>
          <t>bsk.generalcontractor@gmail.com</t>
        </is>
      </c>
      <c r="E2" t="inlineStr">
        <is>
          <t>https://lpjk.pu.go.id/search-badan-usaha-detail/eithR1pnMkg1bDNENWZLZW8vSmNjQT09</t>
        </is>
      </c>
      <c r="F2" t="n">
        <v>4</v>
      </c>
      <c r="G2" t="inlineStr">
        <is>
          <t>BG001, BG002, BG006, BS002</t>
        </is>
      </c>
      <c r="H2" t="inlineStr">
        <is>
          <t>9 September 2016</t>
        </is>
      </c>
      <c r="I2" s="2" t="n">
        <v>46315</v>
      </c>
      <c r="J2" t="inlineStr">
        <is>
          <t>Disetujui</t>
        </is>
      </c>
      <c r="K2" t="n">
        <v>60</v>
      </c>
      <c r="L2" t="inlineStr">
        <is>
          <t>20 Oktober 2026</t>
        </is>
      </c>
      <c r="M2" t="inlineStr">
        <is>
          <t>Bangunan Sipil Jembatan, Jalan Layang, Fly Over, dan Underpass, Konstruksi Gedung Hunian, Konstruksi Gedung Pendidikan, Konstruksi Gedung Perkantoran</t>
        </is>
      </c>
      <c r="N2" t="inlineStr">
        <is>
          <t>K, M</t>
        </is>
      </c>
      <c r="O2" t="inlineStr">
        <is>
          <t>20231014</t>
        </is>
      </c>
      <c r="P2" t="inlineStr">
        <is>
          <t>Jawa Barat</t>
        </is>
      </c>
      <c r="Q2" t="inlineStr"/>
    </row>
    <row r="3">
      <c r="A3" t="inlineStr">
        <is>
          <t>CITAMAS TRIA MITRA</t>
        </is>
      </c>
      <c r="B3" t="inlineStr">
        <is>
          <t>Kota Depok</t>
        </is>
      </c>
      <c r="C3" t="inlineStr">
        <is>
          <t>02177806735</t>
        </is>
      </c>
      <c r="D3" t="inlineStr">
        <is>
          <t>irene.citamas@gmail.com</t>
        </is>
      </c>
      <c r="E3" t="inlineStr">
        <is>
          <t>https://lpjk.pu.go.id/search-badan-usaha-detail/RWwrQUJNdEMwc1N6M3BCeUZVRldRQT09</t>
        </is>
      </c>
      <c r="F3" t="n">
        <v>4</v>
      </c>
      <c r="G3" t="inlineStr">
        <is>
          <t>PB003, PB004</t>
        </is>
      </c>
      <c r="H3" t="inlineStr">
        <is>
          <t>27 Januari 2015</t>
        </is>
      </c>
      <c r="I3" s="2" t="n">
        <v>46315</v>
      </c>
      <c r="J3" t="inlineStr">
        <is>
          <t>Pembekuan</t>
        </is>
      </c>
      <c r="K3" t="n">
        <v>60</v>
      </c>
      <c r="L3" t="inlineStr">
        <is>
          <t>20 Oktober 2026</t>
        </is>
      </c>
      <c r="M3" t="inlineStr">
        <is>
          <t>Dekorasi Interior, Pengerjaan Lantai, Dinding, Peralatan Saniter dan Plafon</t>
        </is>
      </c>
      <c r="N3" t="inlineStr">
        <is>
          <t>Spesialis</t>
        </is>
      </c>
      <c r="O3" t="inlineStr">
        <is>
          <t>20231017</t>
        </is>
      </c>
      <c r="P3" t="inlineStr">
        <is>
          <t>Jawa Barat</t>
        </is>
      </c>
      <c r="Q3" t="inlineStr"/>
    </row>
    <row r="4">
      <c r="A4" t="inlineStr">
        <is>
          <t>GUNUNG PANGRANGO</t>
        </is>
      </c>
      <c r="B4" t="inlineStr">
        <is>
          <t>Kab. Bogor</t>
        </is>
      </c>
      <c r="C4" t="inlineStr">
        <is>
          <t>081318824392</t>
        </is>
      </c>
      <c r="D4" t="inlineStr">
        <is>
          <t>cvgunung.pangrango@yahoo.com</t>
        </is>
      </c>
      <c r="E4" t="inlineStr">
        <is>
          <t>https://lpjk.pu.go.id/search-badan-usaha-detail/TlNIOU50d2p4a3ZkWVptbC9rTGNWZz09</t>
        </is>
      </c>
      <c r="F4" t="n">
        <v>4</v>
      </c>
      <c r="G4" t="inlineStr">
        <is>
          <t>BG002, BG005, BG006, BG009</t>
        </is>
      </c>
      <c r="H4" t="inlineStr">
        <is>
          <t>17 Desember 1974</t>
        </is>
      </c>
      <c r="I4" s="2" t="n">
        <v>46315</v>
      </c>
      <c r="J4" t="inlineStr">
        <is>
          <t>Disetujui</t>
        </is>
      </c>
      <c r="K4" t="n">
        <v>60</v>
      </c>
      <c r="L4" t="inlineStr">
        <is>
          <t>20 Oktober 2026</t>
        </is>
      </c>
      <c r="M4" t="inlineStr">
        <is>
          <t>Konstruksi Gedung Kesehatan, Konstruksi Gedung Lainnya, Konstruksi Gedung Pendidikan, Konstruksi Gedung Perkantoran</t>
        </is>
      </c>
      <c r="N4" t="inlineStr">
        <is>
          <t>K</t>
        </is>
      </c>
      <c r="O4" t="inlineStr">
        <is>
          <t>20231013</t>
        </is>
      </c>
      <c r="P4" t="inlineStr">
        <is>
          <t>Jawa Barat</t>
        </is>
      </c>
      <c r="Q4" s="3">
        <f>HYPERLINK("https://wa.me/6281318824392?text=*[PENGINGAT MASA BERLAKU SBU GUNUNG PANGRANGO]*%0A%0AYth. Pimpinan GUNUNG PANGRANGO,%0AMohon izin menginformasikan status SBU Anda di sistem LPJK:%0A%0A📄 SBU: BG002, BG005, BG006, BG009%0A📅 Expired: 20 Oktober 2026 (60 Hari Lagi)%0A%0AKami tim PT. ESDEA Assistance Management siap men-support proses perpanjangan segera agar administrasi proyek tidak terhambat%0A%0AApakah boleh saya bantu siapkan estimasi biaya dan waktu pengerjaannya?.", "Hubungi")</f>
        <v/>
      </c>
    </row>
    <row r="5">
      <c r="A5" t="inlineStr">
        <is>
          <t>MUKTI WIJAYA FIBRETECH</t>
        </is>
      </c>
      <c r="B5" t="inlineStr">
        <is>
          <t>Kota Bekasi</t>
        </is>
      </c>
      <c r="C5" t="inlineStr">
        <is>
          <t>081381252715</t>
        </is>
      </c>
      <c r="D5" t="inlineStr">
        <is>
          <t>muktiwijayafibretech@gmail.com</t>
        </is>
      </c>
      <c r="E5" t="inlineStr">
        <is>
          <t>https://lpjk.pu.go.id/search-badan-usaha-detail/S1ZJNmVpZHQ0K1FrQzVXWHNNaDdpQT09</t>
        </is>
      </c>
      <c r="F5" t="n">
        <v>2</v>
      </c>
      <c r="G5" t="inlineStr">
        <is>
          <t>BS006, IN001</t>
        </is>
      </c>
      <c r="H5" t="inlineStr">
        <is>
          <t>26 Januari 2019</t>
        </is>
      </c>
      <c r="I5" s="2" t="n">
        <v>46315</v>
      </c>
      <c r="J5" t="inlineStr">
        <is>
          <t>Disetujui</t>
        </is>
      </c>
      <c r="K5" t="n">
        <v>60</v>
      </c>
      <c r="L5" t="inlineStr">
        <is>
          <t>20 Oktober 2026</t>
        </is>
      </c>
      <c r="M5" t="inlineStr">
        <is>
          <t>Instalasi Mekanikal, Konstruksi Bangunan Sipil Prasarana dan Sarana Sistem Pengolahan Limbah Padat, Cair, dan Gas</t>
        </is>
      </c>
      <c r="N5" t="inlineStr">
        <is>
          <t>K, Spesialis</t>
        </is>
      </c>
      <c r="O5" t="inlineStr">
        <is>
          <t>20231020, 20231023</t>
        </is>
      </c>
      <c r="P5" t="inlineStr">
        <is>
          <t>Jawa Barat</t>
        </is>
      </c>
      <c r="Q5" s="3">
        <f>HYPERLINK("https://wa.me/6281381252715?text=*[PENGINGAT MASA BERLAKU SBU MUKTI WIJAYA FIBRETECH]*%0A%0AYth. Pimpinan MUKTI WIJAYA FIBRETECH,%0AMohon izin menginformasikan status SBU Anda di sistem LPJK:%0A%0A📄 SBU: BS006, IN001%0A📅 Expired: 20 Oktober 2026 (60 Hari Lagi)%0A%0AKami tim PT. ESDEA Assistance Management siap men-support proses perpanjangan segera agar administrasi proyek tidak terhambat%0A%0AApakah boleh saya bantu siapkan estimasi biaya dan waktu pengerjaannya?.", "Hubungi")</f>
        <v/>
      </c>
    </row>
    <row r="6">
      <c r="A6" t="inlineStr">
        <is>
          <t>AKSAN WIJAYA PUTRA</t>
        </is>
      </c>
      <c r="B6" t="inlineStr">
        <is>
          <t>Kab. Buton Utara</t>
        </is>
      </c>
      <c r="C6" t="inlineStr">
        <is>
          <t>085241777971</t>
        </is>
      </c>
      <c r="D6" t="inlineStr">
        <is>
          <t>hendrilipu89@gmail.com</t>
        </is>
      </c>
      <c r="E6" t="inlineStr">
        <is>
          <t>https://lpjk.pu.go.id/search-badan-usaha-detail/Y040NEJPMXEvaUM2bVdqRzRSejJuQT09</t>
        </is>
      </c>
      <c r="F6" t="n">
        <v>1</v>
      </c>
      <c r="G6" t="inlineStr">
        <is>
          <t>BS001</t>
        </is>
      </c>
      <c r="H6" t="inlineStr">
        <is>
          <t>11 Desember 2019</t>
        </is>
      </c>
      <c r="I6" s="2" t="n">
        <v>46315</v>
      </c>
      <c r="J6" t="inlineStr">
        <is>
          <t>Disetujui</t>
        </is>
      </c>
      <c r="K6" t="n">
        <v>60</v>
      </c>
      <c r="L6" t="inlineStr">
        <is>
          <t>20 Oktober 2026</t>
        </is>
      </c>
      <c r="M6" t="inlineStr">
        <is>
          <t>Konstruksi Bangunan Sipil Jalan</t>
        </is>
      </c>
      <c r="N6" t="inlineStr">
        <is>
          <t>K</t>
        </is>
      </c>
      <c r="O6" t="inlineStr">
        <is>
          <t>20231018</t>
        </is>
      </c>
      <c r="P6" t="inlineStr">
        <is>
          <t>Sulawesi Tenggara</t>
        </is>
      </c>
      <c r="Q6" t="inlineStr"/>
    </row>
    <row r="7">
      <c r="A7" t="inlineStr">
        <is>
          <t>ALBA JAYA CONSTRUCTION</t>
        </is>
      </c>
      <c r="B7" t="inlineStr">
        <is>
          <t>Kab. Bojonegoro</t>
        </is>
      </c>
      <c r="C7" t="inlineStr">
        <is>
          <t>082244447745</t>
        </is>
      </c>
      <c r="D7" t="inlineStr">
        <is>
          <t>alfan.albajaya@gmail.com</t>
        </is>
      </c>
      <c r="E7" t="inlineStr">
        <is>
          <t>https://lpjk.pu.go.id/search-badan-usaha-detail/SjdSTi8vOEpjL2Z2bXB2aHdrTU9wUT09</t>
        </is>
      </c>
      <c r="F7" t="n">
        <v>1</v>
      </c>
      <c r="G7" t="inlineStr">
        <is>
          <t>BS001</t>
        </is>
      </c>
      <c r="H7" t="inlineStr">
        <is>
          <t>29 Januari 2003</t>
        </is>
      </c>
      <c r="I7" s="2" t="n">
        <v>46315</v>
      </c>
      <c r="J7" t="inlineStr">
        <is>
          <t>Disetujui</t>
        </is>
      </c>
      <c r="K7" t="n">
        <v>60</v>
      </c>
      <c r="L7" t="inlineStr">
        <is>
          <t>20 Oktober 2026</t>
        </is>
      </c>
      <c r="M7" t="inlineStr">
        <is>
          <t>Konstruksi Bangunan Sipil Jalan</t>
        </is>
      </c>
      <c r="N7" t="inlineStr">
        <is>
          <t>M</t>
        </is>
      </c>
      <c r="O7" t="inlineStr">
        <is>
          <t>20230624</t>
        </is>
      </c>
      <c r="P7" t="inlineStr">
        <is>
          <t>Jawa Timur</t>
        </is>
      </c>
      <c r="Q7" t="inlineStr"/>
    </row>
    <row r="8">
      <c r="A8" t="inlineStr">
        <is>
          <t>ALIF JAYA KONSTRUKSI</t>
        </is>
      </c>
      <c r="B8" t="inlineStr">
        <is>
          <t>Kab. Bondowoso</t>
        </is>
      </c>
      <c r="C8" t="inlineStr">
        <is>
          <t>085330159778</t>
        </is>
      </c>
      <c r="D8" t="inlineStr">
        <is>
          <t>alifjayakonst@gmail.com</t>
        </is>
      </c>
      <c r="E8" t="inlineStr">
        <is>
          <t>https://lpjk.pu.go.id/search-badan-usaha-detail/WDY4RGpqUkdycUhtUDR1Z2ZkeTdaQT09</t>
        </is>
      </c>
      <c r="F8" t="n">
        <v>3</v>
      </c>
      <c r="G8" t="inlineStr">
        <is>
          <t>BG004, BG008, BG009</t>
        </is>
      </c>
      <c r="H8" t="inlineStr">
        <is>
          <t>27 Maret 2012</t>
        </is>
      </c>
      <c r="I8" s="2" t="n">
        <v>46315</v>
      </c>
      <c r="J8" t="inlineStr">
        <is>
          <t>Disetujui</t>
        </is>
      </c>
      <c r="K8" t="n">
        <v>60</v>
      </c>
      <c r="L8" t="inlineStr">
        <is>
          <t>20 Oktober 2026</t>
        </is>
      </c>
      <c r="M8" t="inlineStr">
        <is>
          <t>Konstruksi Gedung Lainnya, Konstruksi Gedung Perbelanjaan, Konstruksi Gedung Tempat Hiburan dan Olahraga</t>
        </is>
      </c>
      <c r="N8" t="inlineStr">
        <is>
          <t>K</t>
        </is>
      </c>
      <c r="O8" t="inlineStr">
        <is>
          <t>20231013, 20231020</t>
        </is>
      </c>
      <c r="P8" t="inlineStr">
        <is>
          <t>Jawa Timur</t>
        </is>
      </c>
      <c r="Q8" t="inlineStr"/>
    </row>
    <row r="9">
      <c r="A9" t="inlineStr">
        <is>
          <t>ANGKASA WANA KHATULISTIWA</t>
        </is>
      </c>
      <c r="B9" t="inlineStr">
        <is>
          <t>Kota Pontianak</t>
        </is>
      </c>
      <c r="C9" t="inlineStr">
        <is>
          <t>0811566630</t>
        </is>
      </c>
      <c r="D9" t="inlineStr">
        <is>
          <t>cv.awk19@gmail.com</t>
        </is>
      </c>
      <c r="E9" t="inlineStr">
        <is>
          <t>https://lpjk.pu.go.id/search-badan-usaha-detail/Q1FyaWRYQkExeE5aOXNnM3grVzBNQT09</t>
        </is>
      </c>
      <c r="F9" t="n">
        <v>2</v>
      </c>
      <c r="G9" t="inlineStr">
        <is>
          <t>BS002</t>
        </is>
      </c>
      <c r="H9" t="inlineStr">
        <is>
          <t>1 Juli 2019</t>
        </is>
      </c>
      <c r="I9" s="2" t="n">
        <v>46315</v>
      </c>
      <c r="J9" t="inlineStr">
        <is>
          <t>Pencabutan</t>
        </is>
      </c>
      <c r="K9" t="n">
        <v>60</v>
      </c>
      <c r="L9" t="inlineStr">
        <is>
          <t>20 Oktober 2026</t>
        </is>
      </c>
      <c r="M9" t="inlineStr">
        <is>
          <t>Bangunan Sipil Jembatan, Jalan Layang, Fly Over, dan Underpass</t>
        </is>
      </c>
      <c r="N9" t="inlineStr">
        <is>
          <t>K</t>
        </is>
      </c>
      <c r="O9" t="inlineStr">
        <is>
          <t>20231018</t>
        </is>
      </c>
      <c r="P9" t="inlineStr">
        <is>
          <t>Kalimantan Barat</t>
        </is>
      </c>
      <c r="Q9" t="inlineStr"/>
    </row>
    <row r="10">
      <c r="A10" t="inlineStr">
        <is>
          <t>ANUGRAH CIPTA ANDALAN</t>
        </is>
      </c>
      <c r="B10" t="inlineStr">
        <is>
          <t>Kab. Tangerang</t>
        </is>
      </c>
      <c r="C10" t="inlineStr">
        <is>
          <t>-</t>
        </is>
      </c>
      <c r="D10" t="inlineStr">
        <is>
          <t>aciptaandalan@gmail.com</t>
        </is>
      </c>
      <c r="E10" t="inlineStr">
        <is>
          <t>https://lpjk.pu.go.id/search-badan-usaha-detail/QVdnWkZDZXpjeEc1K0xrTElHZ1k1UT09</t>
        </is>
      </c>
      <c r="F10" t="n">
        <v>2</v>
      </c>
      <c r="G10" t="inlineStr">
        <is>
          <t>BG001</t>
        </is>
      </c>
      <c r="H10" t="inlineStr">
        <is>
          <t>30 Januari 2020</t>
        </is>
      </c>
      <c r="I10" s="2" t="n">
        <v>46315</v>
      </c>
      <c r="J10" t="inlineStr">
        <is>
          <t>Disetujui</t>
        </is>
      </c>
      <c r="K10" t="n">
        <v>60</v>
      </c>
      <c r="L10" t="inlineStr">
        <is>
          <t>20 Oktober 2026</t>
        </is>
      </c>
      <c r="M10" t="inlineStr">
        <is>
          <t>Konstruksi Gedung Hunian</t>
        </is>
      </c>
      <c r="N10" t="inlineStr">
        <is>
          <t>K</t>
        </is>
      </c>
      <c r="O10" t="inlineStr">
        <is>
          <t>20230329</t>
        </is>
      </c>
      <c r="P10" t="inlineStr">
        <is>
          <t>Banten</t>
        </is>
      </c>
      <c r="Q10" t="inlineStr"/>
    </row>
    <row r="11">
      <c r="A11" t="inlineStr">
        <is>
          <t>ANUGRAH ILAHI</t>
        </is>
      </c>
      <c r="B11" t="inlineStr">
        <is>
          <t>Kab. Merauke</t>
        </is>
      </c>
      <c r="C11" t="inlineStr">
        <is>
          <t>082397195859</t>
        </is>
      </c>
      <c r="D11" t="inlineStr">
        <is>
          <t>cvanugrahilahi2019gmail.com</t>
        </is>
      </c>
      <c r="E11" t="inlineStr">
        <is>
          <t>https://lpjk.pu.go.id/search-badan-usaha-detail/MmErdE9JSVA5Y0F5RS9CR3NxYzNoUT09</t>
        </is>
      </c>
      <c r="F11" t="n">
        <v>4</v>
      </c>
      <c r="G11" t="inlineStr">
        <is>
          <t>BS001, BS004</t>
        </is>
      </c>
      <c r="H11" t="inlineStr">
        <is>
          <t>24 April 2014</t>
        </is>
      </c>
      <c r="I11" s="2" t="n">
        <v>46315</v>
      </c>
      <c r="J11" t="inlineStr">
        <is>
          <t>Disetujui</t>
        </is>
      </c>
      <c r="K11" t="n">
        <v>60</v>
      </c>
      <c r="L11" t="inlineStr">
        <is>
          <t>20 Oktober 2026</t>
        </is>
      </c>
      <c r="M11" t="inlineStr">
        <is>
          <t>Konstruksi Bangunan Sipil Jalan, Konstruksi Jaringan Irigasi dan Drainase</t>
        </is>
      </c>
      <c r="N11" t="inlineStr">
        <is>
          <t>K</t>
        </is>
      </c>
      <c r="O11" t="inlineStr">
        <is>
          <t>20231019</t>
        </is>
      </c>
      <c r="P11" t="inlineStr">
        <is>
          <t>Papua</t>
        </is>
      </c>
      <c r="Q11" t="inlineStr"/>
    </row>
    <row r="12">
      <c r="A12" t="inlineStr">
        <is>
          <t>ANUGRAH PUTRA JAYA</t>
        </is>
      </c>
      <c r="B12" t="inlineStr">
        <is>
          <t>Kota Sukabumi</t>
        </is>
      </c>
      <c r="C12" t="inlineStr">
        <is>
          <t>085779455925</t>
        </is>
      </c>
      <c r="D12" t="inlineStr">
        <is>
          <t>cvanugrahjayaputra@gmail.com</t>
        </is>
      </c>
      <c r="E12" t="inlineStr">
        <is>
          <t>https://lpjk.pu.go.id/search-badan-usaha-detail/aWJxNExKQ3AvSllRVmg3Z0swaGhnUT09</t>
        </is>
      </c>
      <c r="F12" t="n">
        <v>16</v>
      </c>
      <c r="G12" t="inlineStr">
        <is>
          <t>BG002, BG005, BG006, BG008, BG009, BS001, BS002, BS004</t>
        </is>
      </c>
      <c r="H12" t="inlineStr">
        <is>
          <t>27 September 2023</t>
        </is>
      </c>
      <c r="I12" s="2" t="n">
        <v>46315</v>
      </c>
      <c r="J12" t="inlineStr">
        <is>
          <t>Pencabutan</t>
        </is>
      </c>
      <c r="K12" t="n">
        <v>60</v>
      </c>
      <c r="L12" t="inlineStr">
        <is>
          <t>20 Oktober 2026</t>
        </is>
      </c>
      <c r="M12" t="inlineStr">
        <is>
          <t>Bangunan Sipil Jembatan, Jalan Layang, Fly Over, dan Underpass, Konstruksi Bangunan Sipil Jalan, Konstruksi Gedung Kesehatan, Konstruksi Gedung Lainnya, Konstruksi Gedung Pendidikan, Konstruksi Gedung Perkantoran, Konstruksi Gedung Tempat Hiburan dan Olahraga, Konstruksi Jaringan Irigasi dan Drainase</t>
        </is>
      </c>
      <c r="N12" t="inlineStr">
        <is>
          <t>K</t>
        </is>
      </c>
      <c r="O12" t="inlineStr">
        <is>
          <t>20231015, 20231017, 20231018, 20231023</t>
        </is>
      </c>
      <c r="P12" t="inlineStr">
        <is>
          <t>Jawa Barat</t>
        </is>
      </c>
      <c r="Q12" t="inlineStr"/>
    </row>
    <row r="13">
      <c r="A13" t="inlineStr">
        <is>
          <t>APRI RESTU WIJAYA</t>
        </is>
      </c>
      <c r="B13" t="inlineStr">
        <is>
          <t>Kota Banjarbaru</t>
        </is>
      </c>
      <c r="C13" t="inlineStr">
        <is>
          <t>081251705165</t>
        </is>
      </c>
      <c r="D13" t="inlineStr">
        <is>
          <t>cvaprirstuwijaya@gmail.com</t>
        </is>
      </c>
      <c r="E13" t="inlineStr">
        <is>
          <t>https://lpjk.pu.go.id/search-badan-usaha-detail/MDBJT2ZJWnJ4OWYvTCtxUS9tRm9IQT09</t>
        </is>
      </c>
      <c r="F13" t="n">
        <v>4</v>
      </c>
      <c r="G13" t="inlineStr">
        <is>
          <t>BG002, BG005, BG006, BG009</t>
        </is>
      </c>
      <c r="H13" t="inlineStr">
        <is>
          <t>26 November 2021</t>
        </is>
      </c>
      <c r="I13" s="2" t="n">
        <v>46315</v>
      </c>
      <c r="J13" t="inlineStr">
        <is>
          <t>Disetujui</t>
        </is>
      </c>
      <c r="K13" t="n">
        <v>60</v>
      </c>
      <c r="L13" t="inlineStr">
        <is>
          <t>20 Oktober 2026</t>
        </is>
      </c>
      <c r="M13" t="inlineStr">
        <is>
          <t>Konstruksi Gedung Kesehatan, Konstruksi Gedung Lainnya, Konstruksi Gedung Pendidikan, Konstruksi Gedung Perkantoran</t>
        </is>
      </c>
      <c r="N13" t="inlineStr">
        <is>
          <t>K</t>
        </is>
      </c>
      <c r="O13" t="inlineStr">
        <is>
          <t>20230531, 20231018</t>
        </is>
      </c>
      <c r="P13" t="inlineStr">
        <is>
          <t>Kalimantan Selatan</t>
        </is>
      </c>
      <c r="Q13" t="inlineStr"/>
    </row>
    <row r="14">
      <c r="A14" t="inlineStr">
        <is>
          <t>BAMA PERKASA</t>
        </is>
      </c>
      <c r="B14" t="inlineStr">
        <is>
          <t>Kab. Magetan</t>
        </is>
      </c>
      <c r="C14" t="inlineStr">
        <is>
          <t>08983441169</t>
        </is>
      </c>
      <c r="D14" t="inlineStr">
        <is>
          <t>bama_perkasa@yahoo.com</t>
        </is>
      </c>
      <c r="E14" t="inlineStr">
        <is>
          <t>https://lpjk.pu.go.id/search-badan-usaha-detail/eExhUmFrajdwMndnZ0liT2lucENhUT09</t>
        </is>
      </c>
      <c r="F14" t="n">
        <v>1</v>
      </c>
      <c r="G14" t="inlineStr">
        <is>
          <t>BG004</t>
        </is>
      </c>
      <c r="H14" t="inlineStr">
        <is>
          <t>11 Juni 1997</t>
        </is>
      </c>
      <c r="I14" s="2" t="n">
        <v>46315</v>
      </c>
      <c r="J14" t="inlineStr">
        <is>
          <t>Disetujui</t>
        </is>
      </c>
      <c r="K14" t="n">
        <v>60</v>
      </c>
      <c r="L14" t="inlineStr">
        <is>
          <t>20 Oktober 2026</t>
        </is>
      </c>
      <c r="M14" t="inlineStr">
        <is>
          <t>Konstruksi Gedung Perbelanjaan</t>
        </is>
      </c>
      <c r="N14" t="inlineStr">
        <is>
          <t>K</t>
        </is>
      </c>
      <c r="O14" t="inlineStr">
        <is>
          <t>20231011</t>
        </is>
      </c>
      <c r="P14" t="inlineStr">
        <is>
          <t>Jawa Timur</t>
        </is>
      </c>
      <c r="Q14" t="inlineStr"/>
    </row>
    <row r="15">
      <c r="A15" t="inlineStr">
        <is>
          <t>BATHARA JAYA SARTIKA</t>
        </is>
      </c>
      <c r="B15" t="inlineStr">
        <is>
          <t>Kota Makassar</t>
        </is>
      </c>
      <c r="C15" t="inlineStr">
        <is>
          <t>081233123343</t>
        </is>
      </c>
      <c r="D15" t="inlineStr">
        <is>
          <t>batharajaya@gmail.com</t>
        </is>
      </c>
      <c r="E15" t="inlineStr">
        <is>
          <t>https://lpjk.pu.go.id/search-badan-usaha-detail/TUVEbXllQmJTVmh4RzErS3AwcmNadz09</t>
        </is>
      </c>
      <c r="F15" t="n">
        <v>3</v>
      </c>
      <c r="G15" t="inlineStr">
        <is>
          <t>BS001, BS002, BS004</t>
        </is>
      </c>
      <c r="H15" t="inlineStr">
        <is>
          <t>18 November 2014</t>
        </is>
      </c>
      <c r="I15" s="2" t="n">
        <v>46315</v>
      </c>
      <c r="J15" t="inlineStr">
        <is>
          <t>Pembekuan, Pencabutan</t>
        </is>
      </c>
      <c r="K15" t="n">
        <v>60</v>
      </c>
      <c r="L15" t="inlineStr">
        <is>
          <t>20 Oktober 2026</t>
        </is>
      </c>
      <c r="M15" t="inlineStr">
        <is>
          <t>Bangunan Sipil Jembatan, Jalan Layang, Fly Over, dan Underpass, Konstruksi Bangunan Sipil Jalan, Konstruksi Jaringan Irigasi dan Drainase</t>
        </is>
      </c>
      <c r="N15" t="inlineStr">
        <is>
          <t>M</t>
        </is>
      </c>
      <c r="O15" t="inlineStr">
        <is>
          <t>20231018, 20231020, 20231021</t>
        </is>
      </c>
      <c r="P15" t="inlineStr">
        <is>
          <t>Sulawesi Selatan</t>
        </is>
      </c>
      <c r="Q15" t="inlineStr"/>
    </row>
    <row r="16">
      <c r="A16" t="inlineStr">
        <is>
          <t>CIPTA RIMBA JAYA</t>
        </is>
      </c>
      <c r="B16" t="inlineStr">
        <is>
          <t>Kota Pematangsiantar</t>
        </is>
      </c>
      <c r="C16" t="inlineStr">
        <is>
          <t>6285270220143</t>
        </is>
      </c>
      <c r="D16" t="inlineStr">
        <is>
          <t>ciptarimbajaya71@gmail.com</t>
        </is>
      </c>
      <c r="E16" t="inlineStr">
        <is>
          <t>https://lpjk.pu.go.id/search-badan-usaha-detail/bkF0dG5iZGtvOHpwWE1PS2JLcWFlZz09</t>
        </is>
      </c>
      <c r="F16" t="n">
        <v>4</v>
      </c>
      <c r="G16" t="inlineStr">
        <is>
          <t>BS001, BS004</t>
        </is>
      </c>
      <c r="H16" t="inlineStr">
        <is>
          <t>21 April 2011</t>
        </is>
      </c>
      <c r="I16" s="2" t="n">
        <v>46315</v>
      </c>
      <c r="J16" t="inlineStr">
        <is>
          <t>Disetujui</t>
        </is>
      </c>
      <c r="K16" t="n">
        <v>60</v>
      </c>
      <c r="L16" t="inlineStr">
        <is>
          <t>20 Oktober 2026</t>
        </is>
      </c>
      <c r="M16" t="inlineStr">
        <is>
          <t>Konstruksi Bangunan Sipil Jalan, Konstruksi Jaringan Irigasi dan Drainase</t>
        </is>
      </c>
      <c r="N16" t="inlineStr">
        <is>
          <t>K</t>
        </is>
      </c>
      <c r="O16" t="inlineStr">
        <is>
          <t>20231012, 20231016</t>
        </is>
      </c>
      <c r="P16" t="inlineStr">
        <is>
          <t>Sumatera Utara</t>
        </is>
      </c>
      <c r="Q16" t="inlineStr"/>
    </row>
    <row r="17">
      <c r="A17" t="inlineStr">
        <is>
          <t>CIPTA SEJAHTERA BUANA</t>
        </is>
      </c>
      <c r="B17" t="inlineStr">
        <is>
          <t>Kota Surabaya</t>
        </is>
      </c>
      <c r="C17" t="inlineStr">
        <is>
          <t>08113472714</t>
        </is>
      </c>
      <c r="D17" t="inlineStr">
        <is>
          <t>csb.construction21@gmail.com</t>
        </is>
      </c>
      <c r="E17" t="inlineStr">
        <is>
          <t>https://lpjk.pu.go.id/search-badan-usaha-detail/N0tmVnJvZ213TUxqdkJXcndjdndLUT09</t>
        </is>
      </c>
      <c r="F17" t="n">
        <v>3</v>
      </c>
      <c r="G17" t="inlineStr">
        <is>
          <t>BS001, BS002, BS004</t>
        </is>
      </c>
      <c r="H17" t="inlineStr">
        <is>
          <t>5 Juli 2023</t>
        </is>
      </c>
      <c r="I17" s="2" t="n">
        <v>46315</v>
      </c>
      <c r="J17" t="inlineStr">
        <is>
          <t>Disetujui</t>
        </is>
      </c>
      <c r="K17" t="n">
        <v>60</v>
      </c>
      <c r="L17" t="inlineStr">
        <is>
          <t>20 Oktober 2026</t>
        </is>
      </c>
      <c r="M17" t="inlineStr">
        <is>
          <t>Bangunan Sipil Jembatan, Jalan Layang, Fly Over, dan Underpass, Konstruksi Bangunan Sipil Jalan, Konstruksi Jaringan Irigasi dan Drainase</t>
        </is>
      </c>
      <c r="N17" t="inlineStr">
        <is>
          <t>K</t>
        </is>
      </c>
      <c r="O17" t="inlineStr">
        <is>
          <t>20231018, 20231023</t>
        </is>
      </c>
      <c r="P17" t="inlineStr">
        <is>
          <t>Jawa Timur</t>
        </is>
      </c>
      <c r="Q17" t="inlineStr"/>
    </row>
    <row r="18">
      <c r="A18" t="inlineStr">
        <is>
          <t>CIPTA TIGA PRIMA</t>
        </is>
      </c>
      <c r="B18" t="inlineStr">
        <is>
          <t>Kota Kupang</t>
        </is>
      </c>
      <c r="C18" t="inlineStr">
        <is>
          <t>081339355354</t>
        </is>
      </c>
      <c r="D18" t="inlineStr">
        <is>
          <t>cipta3prima@yahoo.co.id</t>
        </is>
      </c>
      <c r="E18" t="inlineStr">
        <is>
          <t>https://lpjk.pu.go.id/search-badan-usaha-detail/ZTRkMjYwdERhZmhOanl3bThsa2REdz09</t>
        </is>
      </c>
      <c r="F18" t="n">
        <v>2</v>
      </c>
      <c r="G18" t="inlineStr">
        <is>
          <t>BS010</t>
        </is>
      </c>
      <c r="H18" t="inlineStr">
        <is>
          <t>30 Oktober 2012</t>
        </is>
      </c>
      <c r="I18" s="2" t="n">
        <v>46315</v>
      </c>
      <c r="J18" t="inlineStr">
        <is>
          <t>Disetujui</t>
        </is>
      </c>
      <c r="K18" t="n">
        <v>60</v>
      </c>
      <c r="L18" t="inlineStr">
        <is>
          <t>20 Oktober 2026</t>
        </is>
      </c>
      <c r="M18" t="inlineStr">
        <is>
          <t>Konstruksi Bangunan Prasarana Sumber Daya Air</t>
        </is>
      </c>
      <c r="N18" t="inlineStr">
        <is>
          <t>M</t>
        </is>
      </c>
      <c r="O18" t="inlineStr">
        <is>
          <t>20230525</t>
        </is>
      </c>
      <c r="P18" t="inlineStr">
        <is>
          <t>Nusa Tenggara Timur</t>
        </is>
      </c>
      <c r="Q18" t="inlineStr"/>
    </row>
    <row r="19">
      <c r="A19" t="inlineStr">
        <is>
          <t>CITRA HANABI PROPERTY</t>
        </is>
      </c>
      <c r="B19" t="inlineStr">
        <is>
          <t>Kota Kendari</t>
        </is>
      </c>
      <c r="C19" t="inlineStr">
        <is>
          <t>08114499519</t>
        </is>
      </c>
      <c r="D19" t="inlineStr">
        <is>
          <t>citrahanabiproperty2023@gmail.com</t>
        </is>
      </c>
      <c r="E19" t="inlineStr">
        <is>
          <t>https://lpjk.pu.go.id/search-badan-usaha-detail/WE9xZnIxNkdZQmtJVGpJRWhLMUNKZz09</t>
        </is>
      </c>
      <c r="F19" t="n">
        <v>2</v>
      </c>
      <c r="G19" t="inlineStr">
        <is>
          <t>BG001, BS001</t>
        </is>
      </c>
      <c r="H19" t="inlineStr">
        <is>
          <t>25 Agustus 2023</t>
        </is>
      </c>
      <c r="I19" s="2" t="n">
        <v>46315</v>
      </c>
      <c r="J19" t="inlineStr">
        <is>
          <t>Pencabutan</t>
        </is>
      </c>
      <c r="K19" t="n">
        <v>60</v>
      </c>
      <c r="L19" t="inlineStr">
        <is>
          <t>20 Oktober 2026</t>
        </is>
      </c>
      <c r="M19" t="inlineStr">
        <is>
          <t>Konstruksi Bangunan Sipil Jalan, Konstruksi Gedung Hunian</t>
        </is>
      </c>
      <c r="N19" t="inlineStr">
        <is>
          <t>K</t>
        </is>
      </c>
      <c r="O19" t="inlineStr">
        <is>
          <t>20231013, 20231024</t>
        </is>
      </c>
      <c r="P19" t="inlineStr">
        <is>
          <t>Sulawesi Tenggara</t>
        </is>
      </c>
      <c r="Q19" t="inlineStr"/>
    </row>
    <row r="20">
      <c r="A20" t="inlineStr">
        <is>
          <t>DEMANG AGENG</t>
        </is>
      </c>
      <c r="B20" t="inlineStr">
        <is>
          <t>Kab. Ponorogo</t>
        </is>
      </c>
      <c r="C20" t="inlineStr">
        <is>
          <t>08113312661</t>
        </is>
      </c>
      <c r="D20" t="inlineStr">
        <is>
          <t>cv.demangageng@gmail.com</t>
        </is>
      </c>
      <c r="E20" t="inlineStr">
        <is>
          <t>https://lpjk.pu.go.id/search-badan-usaha-detail/a0VJMUJWcStXOG9sdThCVk51OUlEQT09</t>
        </is>
      </c>
      <c r="F20" t="n">
        <v>4</v>
      </c>
      <c r="G20" t="inlineStr">
        <is>
          <t>BG006, BS001</t>
        </is>
      </c>
      <c r="H20" t="inlineStr">
        <is>
          <t>3 Januari 1983</t>
        </is>
      </c>
      <c r="I20" s="2" t="n">
        <v>46315</v>
      </c>
      <c r="J20" t="inlineStr">
        <is>
          <t>Disetujui</t>
        </is>
      </c>
      <c r="K20" t="n">
        <v>60</v>
      </c>
      <c r="L20" t="inlineStr">
        <is>
          <t>20 Oktober 2026</t>
        </is>
      </c>
      <c r="M20" t="inlineStr">
        <is>
          <t>Konstruksi Bangunan Sipil Jalan, Konstruksi Gedung Pendidikan</t>
        </is>
      </c>
      <c r="N20" t="inlineStr">
        <is>
          <t>K</t>
        </is>
      </c>
      <c r="O20" t="inlineStr">
        <is>
          <t>20231017, 20231020</t>
        </is>
      </c>
      <c r="P20" t="inlineStr">
        <is>
          <t>Jawa Timur</t>
        </is>
      </c>
      <c r="Q20" t="inlineStr"/>
    </row>
    <row r="21">
      <c r="A21" t="inlineStr">
        <is>
          <t>EMPAT SEKION GROUP</t>
        </is>
      </c>
      <c r="B21" t="inlineStr">
        <is>
          <t>Kota Langsa</t>
        </is>
      </c>
      <c r="C21" t="inlineStr">
        <is>
          <t>085260122690</t>
        </is>
      </c>
      <c r="D21" t="inlineStr">
        <is>
          <t>cv.empatsekiongroup@gmail.com</t>
        </is>
      </c>
      <c r="E21" t="inlineStr">
        <is>
          <t>https://lpjk.pu.go.id/search-badan-usaha-detail/T2tJR2VGc1JzTUFwZkFxbGFCSy9BZz09</t>
        </is>
      </c>
      <c r="F21" t="n">
        <v>6</v>
      </c>
      <c r="G21" t="inlineStr">
        <is>
          <t>BG001, BG002, BG005, BG006, BG009, BS001</t>
        </is>
      </c>
      <c r="H21" t="inlineStr">
        <is>
          <t>27 September 2023</t>
        </is>
      </c>
      <c r="I21" s="2" t="n">
        <v>46315</v>
      </c>
      <c r="J21" t="inlineStr">
        <is>
          <t>Disetujui</t>
        </is>
      </c>
      <c r="K21" t="n">
        <v>60</v>
      </c>
      <c r="L21" t="inlineStr">
        <is>
          <t>20 Oktober 2026</t>
        </is>
      </c>
      <c r="M21" t="inlineStr">
        <is>
          <t>Konstruksi Bangunan Sipil Jalan, Konstruksi Gedung Hunian, Konstruksi Gedung Kesehatan, Konstruksi Gedung Lainnya, Konstruksi Gedung Pendidikan, Konstruksi Gedung Perkantoran</t>
        </is>
      </c>
      <c r="N21" t="inlineStr">
        <is>
          <t>K</t>
        </is>
      </c>
      <c r="O21" t="inlineStr">
        <is>
          <t>20231014, 20231018</t>
        </is>
      </c>
      <c r="P21" t="inlineStr">
        <is>
          <t>Aceh</t>
        </is>
      </c>
      <c r="Q21" t="inlineStr"/>
    </row>
    <row r="22">
      <c r="A22" t="inlineStr">
        <is>
          <t>ENAM SATU ENAM PROJECT</t>
        </is>
      </c>
      <c r="B22" t="inlineStr">
        <is>
          <t>Kab. Tanah Bumbu</t>
        </is>
      </c>
      <c r="C22" t="inlineStr">
        <is>
          <t>082251863867</t>
        </is>
      </c>
      <c r="D22" t="inlineStr">
        <is>
          <t>cv.616project@gmail.com</t>
        </is>
      </c>
      <c r="E22" t="inlineStr">
        <is>
          <t>https://lpjk.pu.go.id/search-badan-usaha-detail/QlNMbjhTVnpLRXhDT1pTbi82NENHdz09</t>
        </is>
      </c>
      <c r="F22" t="n">
        <v>1</v>
      </c>
      <c r="G22" t="inlineStr">
        <is>
          <t>BS002</t>
        </is>
      </c>
      <c r="H22" t="inlineStr">
        <is>
          <t>5 November 2021</t>
        </is>
      </c>
      <c r="I22" s="2" t="n">
        <v>46315</v>
      </c>
      <c r="J22" t="inlineStr">
        <is>
          <t>Disetujui</t>
        </is>
      </c>
      <c r="K22" t="n">
        <v>60</v>
      </c>
      <c r="L22" t="inlineStr">
        <is>
          <t>20 Oktober 2026</t>
        </is>
      </c>
      <c r="M22" t="inlineStr">
        <is>
          <t>Bangunan Sipil Jembatan, Jalan Layang, Fly Over, dan Underpass</t>
        </is>
      </c>
      <c r="N22" t="inlineStr">
        <is>
          <t>K</t>
        </is>
      </c>
      <c r="O22" t="inlineStr">
        <is>
          <t>20231019</t>
        </is>
      </c>
      <c r="P22" t="inlineStr">
        <is>
          <t>Kalimantan Selatan</t>
        </is>
      </c>
      <c r="Q22" t="inlineStr"/>
    </row>
    <row r="23">
      <c r="A23" t="inlineStr">
        <is>
          <t>GESANG LANGGENG PANGESTU</t>
        </is>
      </c>
      <c r="B23" t="inlineStr">
        <is>
          <t>Kota Surabaya</t>
        </is>
      </c>
      <c r="C23" t="inlineStr">
        <is>
          <t>081236669615</t>
        </is>
      </c>
      <c r="D23" t="inlineStr">
        <is>
          <t>totokriadi@yahoo.com</t>
        </is>
      </c>
      <c r="E23" t="inlineStr">
        <is>
          <t>https://lpjk.pu.go.id/search-badan-usaha-detail/VVViR1VyT2wwOXV1MmJhOXFQZDJndz09</t>
        </is>
      </c>
      <c r="F23" t="n">
        <v>4</v>
      </c>
      <c r="G23" t="inlineStr">
        <is>
          <t>BG002, BG006, BG009, BS004</t>
        </is>
      </c>
      <c r="H23" t="inlineStr">
        <is>
          <t>3 Juli 2023</t>
        </is>
      </c>
      <c r="I23" s="2" t="n">
        <v>46315</v>
      </c>
      <c r="J23" t="inlineStr">
        <is>
          <t>Disetujui</t>
        </is>
      </c>
      <c r="K23" t="n">
        <v>60</v>
      </c>
      <c r="L23" t="inlineStr">
        <is>
          <t>20 Oktober 2026</t>
        </is>
      </c>
      <c r="M23" t="inlineStr">
        <is>
          <t>Konstruksi Gedung Lainnya, Konstruksi Gedung Pendidikan, Konstruksi Gedung Perkantoran, Konstruksi Jaringan Irigasi dan Drainase</t>
        </is>
      </c>
      <c r="N23" t="inlineStr">
        <is>
          <t>K</t>
        </is>
      </c>
      <c r="O23" t="inlineStr">
        <is>
          <t>20230712, 20231018, 20231019</t>
        </is>
      </c>
      <c r="P23" t="inlineStr">
        <is>
          <t>Jawa Timur</t>
        </is>
      </c>
      <c r="Q23" t="inlineStr"/>
    </row>
    <row r="24">
      <c r="A24" t="inlineStr">
        <is>
          <t>HENDRANATA BERKAH MANDIRI</t>
        </is>
      </c>
      <c r="B24" t="inlineStr">
        <is>
          <t>Kota Tangerang</t>
        </is>
      </c>
      <c r="C24" t="inlineStr">
        <is>
          <t>02155774012</t>
        </is>
      </c>
      <c r="D24" t="inlineStr">
        <is>
          <t>hendranata.mandiri@gmail.com</t>
        </is>
      </c>
      <c r="E24" t="inlineStr">
        <is>
          <t>https://lpjk.pu.go.id/search-badan-usaha-detail/czFqUzZuQnNaZVErTjVmU25NWGVyUT09</t>
        </is>
      </c>
      <c r="F24" t="n">
        <v>6</v>
      </c>
      <c r="G24" t="inlineStr">
        <is>
          <t>BG001, BG005, BG006, BG009, BS001, BS004</t>
        </is>
      </c>
      <c r="H24" t="inlineStr">
        <is>
          <t>17 Februari 2014</t>
        </is>
      </c>
      <c r="I24" s="2" t="n">
        <v>46315</v>
      </c>
      <c r="J24" t="inlineStr">
        <is>
          <t>Disetujui</t>
        </is>
      </c>
      <c r="K24" t="n">
        <v>60</v>
      </c>
      <c r="L24" t="inlineStr">
        <is>
          <t>20 Oktober 2026</t>
        </is>
      </c>
      <c r="M24" t="inlineStr">
        <is>
          <t>Konstruksi Bangunan Sipil Jalan, Konstruksi Gedung Hunian, Konstruksi Gedung Kesehatan, Konstruksi Gedung Lainnya, Konstruksi Gedung Pendidikan, Konstruksi Jaringan Irigasi dan Drainase</t>
        </is>
      </c>
      <c r="N24" t="inlineStr">
        <is>
          <t>K</t>
        </is>
      </c>
      <c r="O24" t="inlineStr">
        <is>
          <t>20231019</t>
        </is>
      </c>
      <c r="P24" t="inlineStr">
        <is>
          <t>Banten</t>
        </is>
      </c>
      <c r="Q24" t="inlineStr"/>
    </row>
    <row r="25">
      <c r="A25" t="inlineStr">
        <is>
          <t>IMW BUILDING GROUP</t>
        </is>
      </c>
      <c r="B25" t="inlineStr">
        <is>
          <t>Kab. Sumedang</t>
        </is>
      </c>
      <c r="C25" t="inlineStr">
        <is>
          <t>087875017045</t>
        </is>
      </c>
      <c r="D25" t="inlineStr">
        <is>
          <t>imwbuildinggroup@gmail.com</t>
        </is>
      </c>
      <c r="E25" t="inlineStr">
        <is>
          <t>https://lpjk.pu.go.id/search-badan-usaha-detail/U1dhNzBQeFh0TEhhMHpBZXpJcmFXUT09</t>
        </is>
      </c>
      <c r="F25" t="n">
        <v>2</v>
      </c>
      <c r="G25" t="inlineStr">
        <is>
          <t>BG002, BG009</t>
        </is>
      </c>
      <c r="H25" t="inlineStr">
        <is>
          <t>12 September 2023</t>
        </is>
      </c>
      <c r="I25" s="2" t="n">
        <v>46315</v>
      </c>
      <c r="J25" t="inlineStr">
        <is>
          <t>Disetujui</t>
        </is>
      </c>
      <c r="K25" t="n">
        <v>60</v>
      </c>
      <c r="L25" t="inlineStr">
        <is>
          <t>20 Oktober 2026</t>
        </is>
      </c>
      <c r="M25" t="inlineStr">
        <is>
          <t>Konstruksi Gedung Lainnya, Konstruksi Gedung Perkantoran</t>
        </is>
      </c>
      <c r="N25" t="inlineStr">
        <is>
          <t>K</t>
        </is>
      </c>
      <c r="O25" t="inlineStr">
        <is>
          <t>20231016, 20231019</t>
        </is>
      </c>
      <c r="P25" t="inlineStr">
        <is>
          <t>Jawa Barat</t>
        </is>
      </c>
      <c r="Q25" t="inlineStr"/>
    </row>
    <row r="26">
      <c r="A26" t="inlineStr">
        <is>
          <t>JANUAR PUTRA</t>
        </is>
      </c>
      <c r="B26" t="inlineStr">
        <is>
          <t>Kab. Ende</t>
        </is>
      </c>
      <c r="C26" t="inlineStr">
        <is>
          <t>08123682491</t>
        </is>
      </c>
      <c r="D26" t="inlineStr">
        <is>
          <t>cvjanuarputra@gmail.com</t>
        </is>
      </c>
      <c r="E26" t="inlineStr">
        <is>
          <t>https://lpjk.pu.go.id/search-badan-usaha-detail/RHBkSkV2Q01KdnU0RjlDVHAraWtnZz09</t>
        </is>
      </c>
      <c r="F26" t="n">
        <v>1</v>
      </c>
      <c r="G26" t="inlineStr">
        <is>
          <t>BS001</t>
        </is>
      </c>
      <c r="H26" t="inlineStr">
        <is>
          <t>8 Maret 2016</t>
        </is>
      </c>
      <c r="I26" s="2" t="n">
        <v>46315</v>
      </c>
      <c r="J26" t="inlineStr">
        <is>
          <t>Disetujui</t>
        </is>
      </c>
      <c r="K26" t="n">
        <v>60</v>
      </c>
      <c r="L26" t="inlineStr">
        <is>
          <t>20 Oktober 2026</t>
        </is>
      </c>
      <c r="M26" t="inlineStr">
        <is>
          <t>Konstruksi Bangunan Sipil Jalan</t>
        </is>
      </c>
      <c r="N26" t="inlineStr">
        <is>
          <t>K</t>
        </is>
      </c>
      <c r="O26" t="inlineStr">
        <is>
          <t>20231019</t>
        </is>
      </c>
      <c r="P26" t="inlineStr">
        <is>
          <t>Nusa Tenggara Timur</t>
        </is>
      </c>
      <c r="Q26" t="inlineStr"/>
    </row>
    <row r="27">
      <c r="A27" t="inlineStr">
        <is>
          <t>JATI MAS</t>
        </is>
      </c>
      <c r="B27" t="inlineStr">
        <is>
          <t>Kab. Jember</t>
        </is>
      </c>
      <c r="C27" t="inlineStr">
        <is>
          <t>081249672030</t>
        </is>
      </c>
      <c r="D27" t="inlineStr">
        <is>
          <t>cvjatimas121@gmail.com</t>
        </is>
      </c>
      <c r="E27" t="inlineStr">
        <is>
          <t>https://lpjk.pu.go.id/search-badan-usaha-detail/MWhTdTVGZ0xUcm9SN3U2a2ZvSkNKRlEwV0pyeXRLQVRjeHFRL21QczNsaz0</t>
        </is>
      </c>
      <c r="F27" t="n">
        <v>5</v>
      </c>
      <c r="G27" t="inlineStr">
        <is>
          <t>BG005, BG006, BG009, BS001, BS004</t>
        </is>
      </c>
      <c r="H27" t="inlineStr">
        <is>
          <t>7 Februari 2025</t>
        </is>
      </c>
      <c r="I27" s="2" t="n">
        <v>46315</v>
      </c>
      <c r="J27" t="inlineStr">
        <is>
          <t>Disetujui</t>
        </is>
      </c>
      <c r="K27" t="n">
        <v>60</v>
      </c>
      <c r="L27" t="inlineStr">
        <is>
          <t>20 Oktober 2026</t>
        </is>
      </c>
      <c r="M27" t="inlineStr">
        <is>
          <t>Konstruksi Bangunan Sipil Jalan, Konstruksi Gedung Kesehatan, Konstruksi Gedung Lainnya, Konstruksi Gedung Pendidikan, Konstruksi Jaringan Irigasi dan Drainase</t>
        </is>
      </c>
      <c r="N27" t="inlineStr">
        <is>
          <t>K</t>
        </is>
      </c>
      <c r="O27" t="inlineStr">
        <is>
          <t>20231018, 20231023</t>
        </is>
      </c>
      <c r="P27" t="inlineStr">
        <is>
          <t>Jawa Timur</t>
        </is>
      </c>
      <c r="Q27" t="inlineStr"/>
    </row>
    <row r="28">
      <c r="A28" t="inlineStr">
        <is>
          <t>KALIOMBO JAYA</t>
        </is>
      </c>
      <c r="B28" t="inlineStr">
        <is>
          <t>Kab. Bojonegoro</t>
        </is>
      </c>
      <c r="C28" t="inlineStr">
        <is>
          <t>081232423939</t>
        </is>
      </c>
      <c r="D28" t="inlineStr">
        <is>
          <t>baharudinahyar.legalmp@gmail.com</t>
        </is>
      </c>
      <c r="E28" t="inlineStr">
        <is>
          <t>https://lpjk.pu.go.id/search-badan-usaha-detail/QVBIWXZVVGtjczhCVlFwWVdYNzh6Zz09</t>
        </is>
      </c>
      <c r="F28" t="n">
        <v>8</v>
      </c>
      <c r="G28" t="inlineStr">
        <is>
          <t>BG001, BG002, BG005, BG006, BG009, BS001, BS002, BS010</t>
        </is>
      </c>
      <c r="H28" t="inlineStr">
        <is>
          <t>5 September 2023</t>
        </is>
      </c>
      <c r="I28" s="2" t="n">
        <v>46315</v>
      </c>
      <c r="J28" t="inlineStr">
        <is>
          <t>Disetujui</t>
        </is>
      </c>
      <c r="K28" t="n">
        <v>60</v>
      </c>
      <c r="L28" t="inlineStr">
        <is>
          <t>20 Oktober 2026</t>
        </is>
      </c>
      <c r="M28" t="inlineStr">
        <is>
          <t>Bangunan Sipil Jembatan, Jalan Layang, Fly Over, dan Underpass, Konstruksi Bangunan Prasarana Sumber Daya Air, Konstruksi Bangunan Sipil Jalan, Konstruksi Gedung Hunian, Konstruksi Gedung Kesehatan, Konstruksi Gedung Lainnya, Konstruksi Gedung Pendidikan, Konstruksi Gedung Perkantoran</t>
        </is>
      </c>
      <c r="N28" t="inlineStr">
        <is>
          <t>K</t>
        </is>
      </c>
      <c r="O28" t="inlineStr">
        <is>
          <t>20231020, 20231021</t>
        </is>
      </c>
      <c r="P28" t="inlineStr">
        <is>
          <t>Jawa Timur</t>
        </is>
      </c>
      <c r="Q28" t="inlineStr"/>
    </row>
    <row r="29">
      <c r="A29" t="inlineStr">
        <is>
          <t>KARYAWAN ELECTRIK</t>
        </is>
      </c>
      <c r="B29" t="inlineStr">
        <is>
          <t>Kota Palangkaraya</t>
        </is>
      </c>
      <c r="C29" t="inlineStr">
        <is>
          <t>05363228494</t>
        </is>
      </c>
      <c r="D29" t="inlineStr">
        <is>
          <t>kopkarelectric_pry@yahoo.com</t>
        </is>
      </c>
      <c r="E29" t="inlineStr">
        <is>
          <t>https://lpjk.pu.go.id/search-badan-usaha-detail/aWxKUXlSbVhvc0dTRVZER1EwOFZpQT09</t>
        </is>
      </c>
      <c r="F29" t="n">
        <v>1</v>
      </c>
      <c r="G29" t="inlineStr">
        <is>
          <t>BG002</t>
        </is>
      </c>
      <c r="H29" t="inlineStr">
        <is>
          <t>14 Juli 2022</t>
        </is>
      </c>
      <c r="I29" s="2" t="n">
        <v>46315</v>
      </c>
      <c r="J29" t="inlineStr">
        <is>
          <t>Disetujui</t>
        </is>
      </c>
      <c r="K29" t="n">
        <v>60</v>
      </c>
      <c r="L29" t="inlineStr">
        <is>
          <t>20 Oktober 2026</t>
        </is>
      </c>
      <c r="M29" t="inlineStr">
        <is>
          <t>Konstruksi Gedung Perkantoran</t>
        </is>
      </c>
      <c r="N29" t="inlineStr">
        <is>
          <t>K</t>
        </is>
      </c>
      <c r="O29" t="inlineStr">
        <is>
          <t>20231018</t>
        </is>
      </c>
      <c r="P29" t="inlineStr">
        <is>
          <t>Kalimantan Tengah</t>
        </is>
      </c>
      <c r="Q29" t="inlineStr"/>
    </row>
    <row r="30">
      <c r="A30" t="inlineStr">
        <is>
          <t>KAYUMAS SEJAHTERA</t>
        </is>
      </c>
      <c r="B30" t="inlineStr">
        <is>
          <t>Kab. Trenggalek</t>
        </is>
      </c>
      <c r="C30" t="inlineStr">
        <is>
          <t>081331043559</t>
        </is>
      </c>
      <c r="D30" t="inlineStr">
        <is>
          <t>kayumas32@yahoo.com</t>
        </is>
      </c>
      <c r="E30" t="inlineStr">
        <is>
          <t>https://lpjk.pu.go.id/search-badan-usaha-detail/cXFicjlXN1pjam5aZWZqclZqaVFvZz09</t>
        </is>
      </c>
      <c r="F30" t="n">
        <v>1</v>
      </c>
      <c r="G30" t="inlineStr">
        <is>
          <t>BS001</t>
        </is>
      </c>
      <c r="H30" t="inlineStr">
        <is>
          <t>1 November 2010</t>
        </is>
      </c>
      <c r="I30" s="2" t="n">
        <v>46315</v>
      </c>
      <c r="J30" t="inlineStr">
        <is>
          <t>Disetujui</t>
        </is>
      </c>
      <c r="K30" t="n">
        <v>60</v>
      </c>
      <c r="L30" t="inlineStr">
        <is>
          <t>20 Oktober 2026</t>
        </is>
      </c>
      <c r="M30" t="inlineStr">
        <is>
          <t>Konstruksi Bangunan Sipil Jalan</t>
        </is>
      </c>
      <c r="N30" t="inlineStr">
        <is>
          <t>K</t>
        </is>
      </c>
      <c r="O30" t="inlineStr">
        <is>
          <t>20231020</t>
        </is>
      </c>
      <c r="P30" t="inlineStr">
        <is>
          <t>Jawa Timur</t>
        </is>
      </c>
      <c r="Q30" t="inlineStr"/>
    </row>
    <row r="31">
      <c r="A31" t="inlineStr">
        <is>
          <t>KEMBANG KANTIL</t>
        </is>
      </c>
      <c r="B31" t="inlineStr">
        <is>
          <t>Kab. Trenggalek</t>
        </is>
      </c>
      <c r="C31" t="inlineStr">
        <is>
          <t>082232757838</t>
        </is>
      </c>
      <c r="D31" t="inlineStr">
        <is>
          <t>cvkembangkantil3@gmail.com</t>
        </is>
      </c>
      <c r="E31" t="inlineStr">
        <is>
          <t>https://lpjk.pu.go.id/search-badan-usaha-detail/bFhYaVdiS3dUR05mdGo1emMyVzBJdz09</t>
        </is>
      </c>
      <c r="F31" t="n">
        <v>3</v>
      </c>
      <c r="G31" t="inlineStr">
        <is>
          <t>BG005, BG006, BS001</t>
        </is>
      </c>
      <c r="H31" t="inlineStr">
        <is>
          <t>10 Mei 2023</t>
        </is>
      </c>
      <c r="I31" s="2" t="n">
        <v>46315</v>
      </c>
      <c r="J31" t="inlineStr">
        <is>
          <t>Disetujui</t>
        </is>
      </c>
      <c r="K31" t="n">
        <v>60</v>
      </c>
      <c r="L31" t="inlineStr">
        <is>
          <t>20 Oktober 2026</t>
        </is>
      </c>
      <c r="M31" t="inlineStr">
        <is>
          <t>Konstruksi Bangunan Sipil Jalan, Konstruksi Gedung Kesehatan, Konstruksi Gedung Pendidikan</t>
        </is>
      </c>
      <c r="N31" t="inlineStr">
        <is>
          <t>K</t>
        </is>
      </c>
      <c r="O31" t="inlineStr">
        <is>
          <t>20231020</t>
        </is>
      </c>
      <c r="P31" t="inlineStr">
        <is>
          <t>Jawa Timur</t>
        </is>
      </c>
      <c r="Q31" t="inlineStr"/>
    </row>
    <row r="32">
      <c r="A32" t="inlineStr">
        <is>
          <t>KHARISMA PERSADA</t>
        </is>
      </c>
      <c r="B32" t="inlineStr">
        <is>
          <t>Kab. Kutai Timur</t>
        </is>
      </c>
      <c r="C32" t="inlineStr">
        <is>
          <t>081347908546</t>
        </is>
      </c>
      <c r="D32" t="inlineStr">
        <is>
          <t>kharismapersada8@gmail.com</t>
        </is>
      </c>
      <c r="E32" t="inlineStr">
        <is>
          <t>https://lpjk.pu.go.id/search-badan-usaha-detail/bGREWXRkWW0zREQxRXEvTDVXclAzQT09</t>
        </is>
      </c>
      <c r="F32" t="n">
        <v>10</v>
      </c>
      <c r="G32" t="inlineStr">
        <is>
          <t>BG002, BG006, BG009, BS001, BS004</t>
        </is>
      </c>
      <c r="H32" t="inlineStr">
        <is>
          <t>11 Februari 2015</t>
        </is>
      </c>
      <c r="I32" s="2" t="n">
        <v>46315</v>
      </c>
      <c r="J32" t="inlineStr">
        <is>
          <t>Disetujui</t>
        </is>
      </c>
      <c r="K32" t="n">
        <v>60</v>
      </c>
      <c r="L32" t="inlineStr">
        <is>
          <t>20 Oktober 2026</t>
        </is>
      </c>
      <c r="M32" t="inlineStr">
        <is>
          <t>Konstruksi Bangunan Sipil Jalan, Konstruksi Gedung Lainnya, Konstruksi Gedung Pendidikan, Konstruksi Gedung Perkantoran, Konstruksi Jaringan Irigasi dan Drainase</t>
        </is>
      </c>
      <c r="N32" t="inlineStr">
        <is>
          <t>K</t>
        </is>
      </c>
      <c r="O32" t="inlineStr">
        <is>
          <t>20231018, 20231023</t>
        </is>
      </c>
      <c r="P32" t="inlineStr">
        <is>
          <t>Kalimantan Timur</t>
        </is>
      </c>
      <c r="Q32" t="inlineStr"/>
    </row>
    <row r="33">
      <c r="A33" t="inlineStr">
        <is>
          <t>KOBAR SENINA HUTAMA</t>
        </is>
      </c>
      <c r="B33" t="inlineStr">
        <is>
          <t>Kota Pematangsiantar</t>
        </is>
      </c>
      <c r="C33" t="inlineStr">
        <is>
          <t>081347366222</t>
        </is>
      </c>
      <c r="D33" t="inlineStr">
        <is>
          <t>kobarsenina@gmail.com</t>
        </is>
      </c>
      <c r="E33" t="inlineStr">
        <is>
          <t>https://lpjk.pu.go.id/search-badan-usaha-detail/TlFCSDhvZ0JMZFlTOEp0UjJZaHNqZz09</t>
        </is>
      </c>
      <c r="F33" t="n">
        <v>3</v>
      </c>
      <c r="G33" t="inlineStr">
        <is>
          <t>BG006, BG009, BS001</t>
        </is>
      </c>
      <c r="H33" t="inlineStr">
        <is>
          <t>20 September 2023</t>
        </is>
      </c>
      <c r="I33" s="2" t="n">
        <v>46315</v>
      </c>
      <c r="J33" t="inlineStr">
        <is>
          <t>Disetujui</t>
        </is>
      </c>
      <c r="K33" t="n">
        <v>60</v>
      </c>
      <c r="L33" t="inlineStr">
        <is>
          <t>20 Oktober 2026</t>
        </is>
      </c>
      <c r="M33" t="inlineStr">
        <is>
          <t>Konstruksi Bangunan Sipil Jalan, Konstruksi Gedung Lainnya, Konstruksi Gedung Pendidikan</t>
        </is>
      </c>
      <c r="N33" t="inlineStr">
        <is>
          <t>K</t>
        </is>
      </c>
      <c r="O33" t="inlineStr">
        <is>
          <t>20231018, 20231019</t>
        </is>
      </c>
      <c r="P33" t="inlineStr">
        <is>
          <t>Sumatera Utara</t>
        </is>
      </c>
      <c r="Q33" t="inlineStr"/>
    </row>
    <row r="34">
      <c r="A34" t="inlineStr">
        <is>
          <t>KOKOH SEMESTA</t>
        </is>
      </c>
      <c r="B34" t="inlineStr">
        <is>
          <t>Kota Adm. Jakarta Utara</t>
        </is>
      </c>
      <c r="C34" t="inlineStr">
        <is>
          <t>0214401808</t>
        </is>
      </c>
      <c r="D34" t="inlineStr">
        <is>
          <t>indrawan_djaja@kokohsemesta.com</t>
        </is>
      </c>
      <c r="E34" t="inlineStr">
        <is>
          <t>https://lpjk.pu.go.id/search-badan-usaha-detail/VkNkd0d0bUN4UG5nNzFRRFlKRlZOdz09</t>
        </is>
      </c>
      <c r="F34" t="n">
        <v>2</v>
      </c>
      <c r="G34" t="inlineStr">
        <is>
          <t>IN003, IN004</t>
        </is>
      </c>
      <c r="H34" t="inlineStr">
        <is>
          <t>8 Oktober 1980</t>
        </is>
      </c>
      <c r="I34" s="2" t="n">
        <v>46315</v>
      </c>
      <c r="J34" t="inlineStr">
        <is>
          <t>Pembekuan</t>
        </is>
      </c>
      <c r="K34" t="n">
        <v>60</v>
      </c>
      <c r="L34" t="inlineStr">
        <is>
          <t>20 Oktober 2026</t>
        </is>
      </c>
      <c r="M34" t="inlineStr">
        <is>
          <t>Instalasi Minyak dan Gas, Instalasi Peralatan Infrastruktur Pertambangan dan Manufaktur</t>
        </is>
      </c>
      <c r="N34" t="inlineStr">
        <is>
          <t>Spesialis</t>
        </is>
      </c>
      <c r="O34" t="inlineStr">
        <is>
          <t>20231013</t>
        </is>
      </c>
      <c r="P34" t="inlineStr">
        <is>
          <t>DKI Jakarta</t>
        </is>
      </c>
      <c r="Q34" t="inlineStr"/>
    </row>
    <row r="35">
      <c r="A35" t="inlineStr">
        <is>
          <t>MAHA KARYA SULASWARA</t>
        </is>
      </c>
      <c r="B35" t="inlineStr">
        <is>
          <t>Kota Bandung</t>
        </is>
      </c>
      <c r="C35" t="inlineStr">
        <is>
          <t>085721136380</t>
        </is>
      </c>
      <c r="D35" t="inlineStr">
        <is>
          <t>mahakaryasulaswara@gmail.com</t>
        </is>
      </c>
      <c r="E35" t="inlineStr">
        <is>
          <t>https://lpjk.pu.go.id/search-badan-usaha-detail/SEVYOEFHZEdHMmhEdFFtVkxoMmQ5dz09</t>
        </is>
      </c>
      <c r="F35" t="n">
        <v>6</v>
      </c>
      <c r="G35" t="inlineStr">
        <is>
          <t>BG002, BG005, BG006, BG009, BS001, BS004</t>
        </is>
      </c>
      <c r="H35" t="inlineStr">
        <is>
          <t>1 Februari 2023</t>
        </is>
      </c>
      <c r="I35" s="2" t="n">
        <v>46315</v>
      </c>
      <c r="J35" t="inlineStr">
        <is>
          <t>Disetujui</t>
        </is>
      </c>
      <c r="K35" t="n">
        <v>60</v>
      </c>
      <c r="L35" t="inlineStr">
        <is>
          <t>20 Oktober 2026</t>
        </is>
      </c>
      <c r="M35" t="inlineStr">
        <is>
          <t>Konstruksi Bangunan Sipil Jalan, Konstruksi Gedung Kesehatan, Konstruksi Gedung Lainnya, Konstruksi Gedung Pendidikan, Konstruksi Gedung Perkantoran, Konstruksi Jaringan Irigasi dan Drainase</t>
        </is>
      </c>
      <c r="N35" t="inlineStr">
        <is>
          <t>K</t>
        </is>
      </c>
      <c r="O35" t="inlineStr">
        <is>
          <t>20231018</t>
        </is>
      </c>
      <c r="P35" t="inlineStr">
        <is>
          <t>Jawa Barat</t>
        </is>
      </c>
      <c r="Q35" t="inlineStr"/>
    </row>
    <row r="36">
      <c r="A36" t="inlineStr">
        <is>
          <t>MANDIRI KIAN SEJATI</t>
        </is>
      </c>
      <c r="B36" t="inlineStr">
        <is>
          <t>Kota Batam</t>
        </is>
      </c>
      <c r="C36" t="inlineStr">
        <is>
          <t>085264667730</t>
        </is>
      </c>
      <c r="D36" t="inlineStr">
        <is>
          <t>mandirikiansejati@gmail.com</t>
        </is>
      </c>
      <c r="E36" t="inlineStr">
        <is>
          <t>https://lpjk.pu.go.id/search-badan-usaha-detail/SU1aa2h5KzBEQTAvZkFtcFZRMCtUdz09</t>
        </is>
      </c>
      <c r="F36" t="n">
        <v>1</v>
      </c>
      <c r="G36" t="inlineStr">
        <is>
          <t>BS002</t>
        </is>
      </c>
      <c r="H36" t="inlineStr">
        <is>
          <t>10 Juli 2023</t>
        </is>
      </c>
      <c r="I36" s="2" t="n">
        <v>46315</v>
      </c>
      <c r="J36" t="inlineStr">
        <is>
          <t>Disetujui</t>
        </is>
      </c>
      <c r="K36" t="n">
        <v>60</v>
      </c>
      <c r="L36" t="inlineStr">
        <is>
          <t>20 Oktober 2026</t>
        </is>
      </c>
      <c r="M36" t="inlineStr">
        <is>
          <t>Bangunan Sipil Jembatan, Jalan Layang, Fly Over, dan Underpass</t>
        </is>
      </c>
      <c r="N36" t="inlineStr">
        <is>
          <t>K</t>
        </is>
      </c>
      <c r="O36" t="inlineStr">
        <is>
          <t>20231017</t>
        </is>
      </c>
      <c r="P36" t="inlineStr">
        <is>
          <t>Kepulauan Riau</t>
        </is>
      </c>
      <c r="Q36" t="inlineStr"/>
    </row>
    <row r="37">
      <c r="A37" t="inlineStr">
        <is>
          <t>MATRA PRIMA ASRI</t>
        </is>
      </c>
      <c r="B37" t="inlineStr">
        <is>
          <t>Kota Padang</t>
        </is>
      </c>
      <c r="C37" t="inlineStr">
        <is>
          <t>0811665100</t>
        </is>
      </c>
      <c r="D37" t="inlineStr">
        <is>
          <t>ptmatraprimaasri123@gmail.com</t>
        </is>
      </c>
      <c r="E37" t="inlineStr">
        <is>
          <t>https://lpjk.pu.go.id/search-badan-usaha-detail/YkpNY3lveHJlZ3RQOEtxbVJ4ZUtIUT09</t>
        </is>
      </c>
      <c r="F37" t="n">
        <v>4</v>
      </c>
      <c r="G37" t="inlineStr">
        <is>
          <t>BG001</t>
        </is>
      </c>
      <c r="H37" t="inlineStr">
        <is>
          <t>4 Juni 2013</t>
        </is>
      </c>
      <c r="I37" s="2" t="n">
        <v>46315</v>
      </c>
      <c r="J37" t="inlineStr">
        <is>
          <t>Disetujui</t>
        </is>
      </c>
      <c r="K37" t="n">
        <v>60</v>
      </c>
      <c r="L37" t="inlineStr">
        <is>
          <t>20 Oktober 2026</t>
        </is>
      </c>
      <c r="M37" t="inlineStr">
        <is>
          <t>Konstruksi Gedung Hunian</t>
        </is>
      </c>
      <c r="N37" t="inlineStr">
        <is>
          <t>K</t>
        </is>
      </c>
      <c r="O37" t="inlineStr">
        <is>
          <t>20230828</t>
        </is>
      </c>
      <c r="P37" t="inlineStr">
        <is>
          <t>Sumatera Barat</t>
        </is>
      </c>
      <c r="Q37" t="inlineStr"/>
    </row>
    <row r="38">
      <c r="A38" t="inlineStr">
        <is>
          <t>MEGANA KARYA KONSTRUKSI</t>
        </is>
      </c>
      <c r="B38" t="inlineStr">
        <is>
          <t>Kota Batam</t>
        </is>
      </c>
      <c r="C38" t="inlineStr">
        <is>
          <t>081217773733</t>
        </is>
      </c>
      <c r="D38" t="inlineStr">
        <is>
          <t>ptmeganakaryakonstruksi@gmail.com</t>
        </is>
      </c>
      <c r="E38" t="inlineStr">
        <is>
          <t>https://lpjk.pu.go.id/search-badan-usaha-detail/UVJLSkd1UFdsT0RHclNrMW50Wk5Pdz09</t>
        </is>
      </c>
      <c r="F38" t="n">
        <v>4</v>
      </c>
      <c r="G38" t="inlineStr">
        <is>
          <t>BG001, BG004</t>
        </is>
      </c>
      <c r="H38" t="inlineStr">
        <is>
          <t>19 Mei 2023</t>
        </is>
      </c>
      <c r="I38" s="2" t="n">
        <v>46315</v>
      </c>
      <c r="J38" t="inlineStr">
        <is>
          <t>Pencabutan</t>
        </is>
      </c>
      <c r="K38" t="n">
        <v>60</v>
      </c>
      <c r="L38" t="inlineStr">
        <is>
          <t>20 Oktober 2026</t>
        </is>
      </c>
      <c r="M38" t="inlineStr">
        <is>
          <t>Konstruksi Gedung Hunian, Konstruksi Gedung Perbelanjaan</t>
        </is>
      </c>
      <c r="N38" t="inlineStr">
        <is>
          <t>K</t>
        </is>
      </c>
      <c r="O38" t="inlineStr">
        <is>
          <t>20230919</t>
        </is>
      </c>
      <c r="P38" t="inlineStr">
        <is>
          <t>Kepulauan Riau</t>
        </is>
      </c>
      <c r="Q38" t="inlineStr"/>
    </row>
    <row r="39">
      <c r="A39" t="inlineStr">
        <is>
          <t>MENARA INDOJAYA</t>
        </is>
      </c>
      <c r="B39" t="inlineStr">
        <is>
          <t>Kab. Trenggalek</t>
        </is>
      </c>
      <c r="C39" t="inlineStr">
        <is>
          <t>081234466444</t>
        </is>
      </c>
      <c r="D39" t="inlineStr">
        <is>
          <t>cvmenaraindojaya@gmail.com</t>
        </is>
      </c>
      <c r="E39" t="inlineStr">
        <is>
          <t>https://lpjk.pu.go.id/search-badan-usaha-detail/NlU1eE1YUmZYeGpYZ3JvZEVhZVhPUT09</t>
        </is>
      </c>
      <c r="F39" t="n">
        <v>1</v>
      </c>
      <c r="G39" t="inlineStr">
        <is>
          <t>BS001</t>
        </is>
      </c>
      <c r="H39" t="inlineStr">
        <is>
          <t>20 Mei 2014</t>
        </is>
      </c>
      <c r="I39" s="2" t="n">
        <v>46315</v>
      </c>
      <c r="J39" t="inlineStr">
        <is>
          <t>Disetujui</t>
        </is>
      </c>
      <c r="K39" t="n">
        <v>60</v>
      </c>
      <c r="L39" t="inlineStr">
        <is>
          <t>20 Oktober 2026</t>
        </is>
      </c>
      <c r="M39" t="inlineStr">
        <is>
          <t>Konstruksi Bangunan Sipil Jalan</t>
        </is>
      </c>
      <c r="N39" t="inlineStr">
        <is>
          <t>K</t>
        </is>
      </c>
      <c r="O39" t="inlineStr">
        <is>
          <t>20231018</t>
        </is>
      </c>
      <c r="P39" t="inlineStr">
        <is>
          <t>Jawa Timur</t>
        </is>
      </c>
      <c r="Q39" t="inlineStr"/>
    </row>
    <row r="40">
      <c r="A40" t="inlineStr">
        <is>
          <t>METADATA TEKNIK INFRASIS</t>
        </is>
      </c>
      <c r="B40" t="inlineStr">
        <is>
          <t>Kota Tangerang</t>
        </is>
      </c>
      <c r="C40" t="inlineStr">
        <is>
          <t>081210503316</t>
        </is>
      </c>
      <c r="D40" t="inlineStr">
        <is>
          <t>intan@metadatateknik.com</t>
        </is>
      </c>
      <c r="E40" t="inlineStr">
        <is>
          <t>https://lpjk.pu.go.id/search-badan-usaha-detail/UTR5N3ZLSmhOZWxDdVhHQkp5cU9UZz09</t>
        </is>
      </c>
      <c r="F40" t="n">
        <v>1</v>
      </c>
      <c r="G40" t="inlineStr">
        <is>
          <t>IN006</t>
        </is>
      </c>
      <c r="H40" t="inlineStr">
        <is>
          <t>29 September 2020</t>
        </is>
      </c>
      <c r="I40" s="2" t="n">
        <v>46315</v>
      </c>
      <c r="J40" t="inlineStr">
        <is>
          <t>Pembekuan</t>
        </is>
      </c>
      <c r="K40" t="n">
        <v>60</v>
      </c>
      <c r="L40" t="inlineStr">
        <is>
          <t>20 Oktober 2026</t>
        </is>
      </c>
      <c r="M40" t="inlineStr">
        <is>
          <t>Instalasi Elektronika</t>
        </is>
      </c>
      <c r="N40" t="inlineStr">
        <is>
          <t>Spesialis</t>
        </is>
      </c>
      <c r="O40" t="inlineStr">
        <is>
          <t>20230919</t>
        </is>
      </c>
      <c r="P40" t="inlineStr">
        <is>
          <t>Banten</t>
        </is>
      </c>
      <c r="Q40" t="inlineStr"/>
    </row>
    <row r="41">
      <c r="A41" t="inlineStr">
        <is>
          <t>MOJO JOYO</t>
        </is>
      </c>
      <c r="B41" t="inlineStr">
        <is>
          <t>Kab. Bulungan</t>
        </is>
      </c>
      <c r="C41" t="inlineStr">
        <is>
          <t>082251520947</t>
        </is>
      </c>
      <c r="D41" t="inlineStr">
        <is>
          <t>mojojoyo1010@gmail.com</t>
        </is>
      </c>
      <c r="E41" t="inlineStr">
        <is>
          <t>https://lpjk.pu.go.id/search-badan-usaha-detail/ZkJkSTd5c2pIdkRMY2pNRzg2RC9uZz09</t>
        </is>
      </c>
      <c r="F41" t="n">
        <v>8</v>
      </c>
      <c r="G41" t="inlineStr">
        <is>
          <t>BG002, BG005, BG006, BG008, BG009, BS001, BS004, BS005</t>
        </is>
      </c>
      <c r="H41" t="inlineStr">
        <is>
          <t>10 Oktober 2023</t>
        </is>
      </c>
      <c r="I41" s="2" t="n">
        <v>46315</v>
      </c>
      <c r="J41" t="inlineStr">
        <is>
          <t>Disetujui</t>
        </is>
      </c>
      <c r="K41" t="n">
        <v>60</v>
      </c>
      <c r="L41" t="inlineStr">
        <is>
          <t>20 Oktober 2026</t>
        </is>
      </c>
      <c r="M41" t="inlineStr">
        <is>
          <t>Konstruksi Bangunan Sipil Jalan, Konstruksi Bangunan Sipil Pengolahan Air Bersih, Konstruksi Gedung Kesehatan, Konstruksi Gedung Lainnya, Konstruksi Gedung Pendidikan, Konstruksi Gedung Perkantoran, Konstruksi Gedung Tempat Hiburan dan Olahraga, Konstruksi Jaringan Irigasi dan Drainase</t>
        </is>
      </c>
      <c r="N41" t="inlineStr">
        <is>
          <t>K</t>
        </is>
      </c>
      <c r="O41" t="inlineStr">
        <is>
          <t>20231020, 20231024</t>
        </is>
      </c>
      <c r="P41" t="inlineStr">
        <is>
          <t>Kalimantan Utara</t>
        </is>
      </c>
      <c r="Q41" t="inlineStr"/>
    </row>
    <row r="42">
      <c r="A42" t="inlineStr">
        <is>
          <t>MULTI PILAR MANDIRI</t>
        </is>
      </c>
      <c r="B42" t="inlineStr">
        <is>
          <t>Kab. Gresik</t>
        </is>
      </c>
      <c r="C42" t="inlineStr">
        <is>
          <t>0313980335</t>
        </is>
      </c>
      <c r="D42" t="inlineStr">
        <is>
          <t>ridharabbany4@gmail.com</t>
        </is>
      </c>
      <c r="E42" t="inlineStr">
        <is>
          <t>https://lpjk.pu.go.id/search-badan-usaha-detail/eFZrdW5haDNLWDVHNkNtRzhXL0dHdz09</t>
        </is>
      </c>
      <c r="F42" t="n">
        <v>1</v>
      </c>
      <c r="G42" t="inlineStr">
        <is>
          <t>IN001</t>
        </is>
      </c>
      <c r="H42" t="inlineStr">
        <is>
          <t>22 November 2012</t>
        </is>
      </c>
      <c r="I42" s="2" t="n">
        <v>46315</v>
      </c>
      <c r="J42" t="inlineStr">
        <is>
          <t>Disetujui</t>
        </is>
      </c>
      <c r="K42" t="n">
        <v>60</v>
      </c>
      <c r="L42" t="inlineStr">
        <is>
          <t>20 Oktober 2026</t>
        </is>
      </c>
      <c r="M42" t="inlineStr">
        <is>
          <t>Instalasi Mekanikal</t>
        </is>
      </c>
      <c r="N42" t="inlineStr">
        <is>
          <t>Spesialis</t>
        </is>
      </c>
      <c r="O42" t="inlineStr">
        <is>
          <t>20231012</t>
        </is>
      </c>
      <c r="P42" t="inlineStr">
        <is>
          <t>Jawa Timur</t>
        </is>
      </c>
      <c r="Q42" t="inlineStr"/>
    </row>
    <row r="43">
      <c r="A43" t="inlineStr">
        <is>
          <t>PEMBANGUNAN MULTI SEJAHTERA</t>
        </is>
      </c>
      <c r="B43" t="inlineStr">
        <is>
          <t>Kota Denpasar</t>
        </is>
      </c>
      <c r="C43" t="inlineStr">
        <is>
          <t>082147098767</t>
        </is>
      </c>
      <c r="D43" t="inlineStr">
        <is>
          <t>cvpms854@gmail.com</t>
        </is>
      </c>
      <c r="E43" t="inlineStr">
        <is>
          <t>https://lpjk.pu.go.id/search-badan-usaha-detail/V0lmangxRnd4T25qRTFzNzU3WXR1Zz09</t>
        </is>
      </c>
      <c r="F43" t="n">
        <v>1</v>
      </c>
      <c r="G43" t="inlineStr">
        <is>
          <t>BG006</t>
        </is>
      </c>
      <c r="H43" t="inlineStr">
        <is>
          <t>26 Juli 2023</t>
        </is>
      </c>
      <c r="I43" s="2" t="n">
        <v>46315</v>
      </c>
      <c r="J43" t="inlineStr">
        <is>
          <t>Disetujui</t>
        </is>
      </c>
      <c r="K43" t="n">
        <v>60</v>
      </c>
      <c r="L43" t="inlineStr">
        <is>
          <t>20 Oktober 2026</t>
        </is>
      </c>
      <c r="M43" t="inlineStr">
        <is>
          <t>Konstruksi Gedung Pendidikan</t>
        </is>
      </c>
      <c r="N43" t="inlineStr">
        <is>
          <t>K</t>
        </is>
      </c>
      <c r="O43" t="inlineStr">
        <is>
          <t>20231013</t>
        </is>
      </c>
      <c r="P43" t="inlineStr">
        <is>
          <t>Bali</t>
        </is>
      </c>
      <c r="Q43" t="inlineStr"/>
    </row>
    <row r="44">
      <c r="A44" t="inlineStr">
        <is>
          <t>PILAR MUDA INDOTAMA</t>
        </is>
      </c>
      <c r="B44" t="inlineStr">
        <is>
          <t>Kab. Sidoarjo</t>
        </is>
      </c>
      <c r="C44" t="inlineStr">
        <is>
          <t>085791116490</t>
        </is>
      </c>
      <c r="D44" t="inlineStr">
        <is>
          <t>PILARMUDAINDOTAMA@GMAIL.COM</t>
        </is>
      </c>
      <c r="E44" t="inlineStr">
        <is>
          <t>https://lpjk.pu.go.id/search-badan-usaha-detail/M2d5elFoUlhERk5kd1JaNFhJUEE4dz09</t>
        </is>
      </c>
      <c r="F44" t="n">
        <v>1</v>
      </c>
      <c r="G44" t="inlineStr">
        <is>
          <t>BG003</t>
        </is>
      </c>
      <c r="H44" t="inlineStr">
        <is>
          <t>28 Agustus 2023</t>
        </is>
      </c>
      <c r="I44" s="2" t="n">
        <v>46315</v>
      </c>
      <c r="J44" t="inlineStr">
        <is>
          <t>Disetujui</t>
        </is>
      </c>
      <c r="K44" t="n">
        <v>60</v>
      </c>
      <c r="L44" t="inlineStr">
        <is>
          <t>20 Oktober 2026</t>
        </is>
      </c>
      <c r="M44" t="inlineStr">
        <is>
          <t>Konstruksi Gedung Industri</t>
        </is>
      </c>
      <c r="N44" t="inlineStr">
        <is>
          <t>K</t>
        </is>
      </c>
      <c r="O44" t="inlineStr">
        <is>
          <t>20231018</t>
        </is>
      </c>
      <c r="P44" t="inlineStr">
        <is>
          <t>Jawa Timur</t>
        </is>
      </c>
      <c r="Q44" t="inlineStr"/>
    </row>
    <row r="45">
      <c r="A45" t="inlineStr">
        <is>
          <t>POHON BESAR</t>
        </is>
      </c>
      <c r="B45" t="inlineStr">
        <is>
          <t>Kab. Kutai Timur</t>
        </is>
      </c>
      <c r="C45" t="inlineStr">
        <is>
          <t>085163031112</t>
        </is>
      </c>
      <c r="D45" t="inlineStr">
        <is>
          <t>pohonbesarhijau@gmail.com</t>
        </is>
      </c>
      <c r="E45" t="inlineStr">
        <is>
          <t>https://lpjk.pu.go.id/search-badan-usaha-detail/ZWIzcDZtRnJsTm9OUUZzd0FOUWVuZz09</t>
        </is>
      </c>
      <c r="F45" t="n">
        <v>3</v>
      </c>
      <c r="G45" t="inlineStr">
        <is>
          <t>BG006, BG009, BS001</t>
        </is>
      </c>
      <c r="H45" t="inlineStr">
        <is>
          <t>10 Januari 2023</t>
        </is>
      </c>
      <c r="I45" s="2" t="n">
        <v>46315</v>
      </c>
      <c r="J45" t="inlineStr">
        <is>
          <t>Disetujui</t>
        </is>
      </c>
      <c r="K45" t="n">
        <v>60</v>
      </c>
      <c r="L45" t="inlineStr">
        <is>
          <t>20 Oktober 2026</t>
        </is>
      </c>
      <c r="M45" t="inlineStr">
        <is>
          <t>Konstruksi Bangunan Sipil Jalan, Konstruksi Gedung Lainnya, Konstruksi Gedung Pendidikan</t>
        </is>
      </c>
      <c r="N45" t="inlineStr">
        <is>
          <t>K</t>
        </is>
      </c>
      <c r="O45" t="inlineStr">
        <is>
          <t>20231019, 20231020</t>
        </is>
      </c>
      <c r="P45" t="inlineStr">
        <is>
          <t>Kalimantan Timur</t>
        </is>
      </c>
      <c r="Q45" t="inlineStr"/>
    </row>
    <row r="46">
      <c r="A46" t="inlineStr">
        <is>
          <t>PRABU MULIH KONSTRUKSI</t>
        </is>
      </c>
      <c r="B46" t="inlineStr">
        <is>
          <t>Kota Bandar Lampung</t>
        </is>
      </c>
      <c r="C46" t="inlineStr">
        <is>
          <t>081272475000</t>
        </is>
      </c>
      <c r="D46" t="inlineStr">
        <is>
          <t>konstruksiprabumulih@gmail.com</t>
        </is>
      </c>
      <c r="E46" t="inlineStr">
        <is>
          <t>https://lpjk.pu.go.id/search-badan-usaha-detail/YnBJdW10c1lCVGJ4MU5SSEJCN3VyZz09</t>
        </is>
      </c>
      <c r="F46" t="n">
        <v>3</v>
      </c>
      <c r="G46" t="inlineStr">
        <is>
          <t>BG001, BG009, BS005</t>
        </is>
      </c>
      <c r="H46" t="inlineStr">
        <is>
          <t>10 Januari 2011</t>
        </is>
      </c>
      <c r="I46" s="2" t="n">
        <v>46315</v>
      </c>
      <c r="J46" t="inlineStr">
        <is>
          <t>Disetujui</t>
        </is>
      </c>
      <c r="K46" t="n">
        <v>60</v>
      </c>
      <c r="L46" t="inlineStr">
        <is>
          <t>20 Oktober 2026</t>
        </is>
      </c>
      <c r="M46" t="inlineStr">
        <is>
          <t>Konstruksi Bangunan Sipil Pengolahan Air Bersih, Konstruksi Gedung Hunian, Konstruksi Gedung Lainnya</t>
        </is>
      </c>
      <c r="N46" t="inlineStr">
        <is>
          <t>K</t>
        </is>
      </c>
      <c r="O46" t="inlineStr">
        <is>
          <t>20231018, 20231019</t>
        </is>
      </c>
      <c r="P46" t="inlineStr">
        <is>
          <t>Lampung</t>
        </is>
      </c>
      <c r="Q46" t="inlineStr"/>
    </row>
    <row r="47">
      <c r="A47" t="inlineStr">
        <is>
          <t>PUTRA JAYA</t>
        </is>
      </c>
      <c r="B47" t="inlineStr">
        <is>
          <t>Kab. Kulon Progo</t>
        </is>
      </c>
      <c r="C47" t="inlineStr">
        <is>
          <t>08179434780</t>
        </is>
      </c>
      <c r="D47" t="inlineStr">
        <is>
          <t>putrajaya1758@gmail.com</t>
        </is>
      </c>
      <c r="E47" t="inlineStr">
        <is>
          <t>https://lpjk.pu.go.id/search-badan-usaha-detail/T1RKTEYzMVhWd2hIZUYybUxwVW15QT09</t>
        </is>
      </c>
      <c r="F47" t="n">
        <v>1</v>
      </c>
      <c r="G47" t="inlineStr">
        <is>
          <t>BG009</t>
        </is>
      </c>
      <c r="H47" t="inlineStr">
        <is>
          <t>17 Mei 2008</t>
        </is>
      </c>
      <c r="I47" s="2" t="n">
        <v>46315</v>
      </c>
      <c r="J47" t="inlineStr">
        <is>
          <t>Disetujui</t>
        </is>
      </c>
      <c r="K47" t="n">
        <v>60</v>
      </c>
      <c r="L47" t="inlineStr">
        <is>
          <t>20 Oktober 2026</t>
        </is>
      </c>
      <c r="M47" t="inlineStr">
        <is>
          <t>Konstruksi Gedung Lainnya</t>
        </is>
      </c>
      <c r="N47" t="inlineStr">
        <is>
          <t>K</t>
        </is>
      </c>
      <c r="O47" t="inlineStr">
        <is>
          <t>20231020</t>
        </is>
      </c>
      <c r="P47" t="inlineStr">
        <is>
          <t>DI Yogyakarta</t>
        </is>
      </c>
      <c r="Q47" t="inlineStr"/>
    </row>
    <row r="48">
      <c r="A48" t="inlineStr">
        <is>
          <t>PUTRA SARANA</t>
        </is>
      </c>
      <c r="B48" t="inlineStr">
        <is>
          <t>Kab. Tulungagung</t>
        </is>
      </c>
      <c r="C48" t="inlineStr">
        <is>
          <t>0355321246</t>
        </is>
      </c>
      <c r="D48" t="inlineStr">
        <is>
          <t>putrasaranacv72@gmail.com</t>
        </is>
      </c>
      <c r="E48" t="inlineStr">
        <is>
          <t>https://lpjk.pu.go.id/search-badan-usaha-detail/dzA3MWlXUld5V0FGcysxNVJHQXJhZz09</t>
        </is>
      </c>
      <c r="F48" t="n">
        <v>1</v>
      </c>
      <c r="G48" t="inlineStr">
        <is>
          <t>BG009</t>
        </is>
      </c>
      <c r="H48" t="inlineStr">
        <is>
          <t>3 Januari 1998</t>
        </is>
      </c>
      <c r="I48" s="2" t="n">
        <v>46315</v>
      </c>
      <c r="J48" t="inlineStr">
        <is>
          <t>Disetujui</t>
        </is>
      </c>
      <c r="K48" t="n">
        <v>60</v>
      </c>
      <c r="L48" t="inlineStr">
        <is>
          <t>20 Oktober 2026</t>
        </is>
      </c>
      <c r="M48" t="inlineStr">
        <is>
          <t>Konstruksi Gedung Lainnya</t>
        </is>
      </c>
      <c r="N48" t="inlineStr">
        <is>
          <t>K</t>
        </is>
      </c>
      <c r="O48" t="inlineStr">
        <is>
          <t>20231006</t>
        </is>
      </c>
      <c r="P48" t="inlineStr">
        <is>
          <t>Jawa Timur</t>
        </is>
      </c>
      <c r="Q48" t="inlineStr"/>
    </row>
    <row r="49">
      <c r="A49" t="inlineStr">
        <is>
          <t>PUTRI PRINGGA BAYA</t>
        </is>
      </c>
      <c r="B49" t="inlineStr">
        <is>
          <t>Kab. Indramayu</t>
        </is>
      </c>
      <c r="C49" t="inlineStr">
        <is>
          <t>08122077031</t>
        </is>
      </c>
      <c r="D49" t="inlineStr">
        <is>
          <t>putri_pringgabaya.pt@yahoo.com</t>
        </is>
      </c>
      <c r="E49" t="inlineStr">
        <is>
          <t>https://lpjk.pu.go.id/search-badan-usaha-detail/eFNSSWhBSjJhNVFJNUQvOU9GdVdKdz09</t>
        </is>
      </c>
      <c r="F49" t="n">
        <v>2</v>
      </c>
      <c r="G49" t="inlineStr">
        <is>
          <t>BG002, BG009</t>
        </is>
      </c>
      <c r="H49" t="inlineStr">
        <is>
          <t>17 Desember 2014</t>
        </is>
      </c>
      <c r="I49" s="2" t="n">
        <v>46315</v>
      </c>
      <c r="J49" t="inlineStr">
        <is>
          <t>Disetujui</t>
        </is>
      </c>
      <c r="K49" t="n">
        <v>60</v>
      </c>
      <c r="L49" t="inlineStr">
        <is>
          <t>20 Oktober 2026</t>
        </is>
      </c>
      <c r="M49" t="inlineStr">
        <is>
          <t>Konstruksi Gedung Lainnya, Konstruksi Gedung Perkantoran</t>
        </is>
      </c>
      <c r="N49" t="inlineStr">
        <is>
          <t>K</t>
        </is>
      </c>
      <c r="O49" t="inlineStr">
        <is>
          <t>20231018</t>
        </is>
      </c>
      <c r="P49" t="inlineStr">
        <is>
          <t>Jawa Barat</t>
        </is>
      </c>
      <c r="Q49" t="inlineStr"/>
    </row>
    <row r="50">
      <c r="A50" t="inlineStr">
        <is>
          <t>PUTRI TUNGGAL KONSTRUKSI</t>
        </is>
      </c>
      <c r="B50" t="inlineStr">
        <is>
          <t>Kab. Boalemo</t>
        </is>
      </c>
      <c r="C50" t="inlineStr">
        <is>
          <t>081356431760</t>
        </is>
      </c>
      <c r="D50" t="inlineStr">
        <is>
          <t>cv.putritunggalkonstruksi@gmail.com</t>
        </is>
      </c>
      <c r="E50" t="inlineStr">
        <is>
          <t>https://lpjk.pu.go.id/search-badan-usaha-detail/MkVVZHk2RFhzK1lBUVY0aHBuNEpsQT09</t>
        </is>
      </c>
      <c r="F50" t="n">
        <v>1</v>
      </c>
      <c r="G50" t="inlineStr">
        <is>
          <t>BG004</t>
        </is>
      </c>
      <c r="H50" t="inlineStr">
        <is>
          <t>29 September 2022</t>
        </is>
      </c>
      <c r="I50" s="2" t="n">
        <v>46315</v>
      </c>
      <c r="J50" t="inlineStr">
        <is>
          <t>Disetujui</t>
        </is>
      </c>
      <c r="K50" t="n">
        <v>60</v>
      </c>
      <c r="L50" t="inlineStr">
        <is>
          <t>20 Oktober 2026</t>
        </is>
      </c>
      <c r="M50" t="inlineStr">
        <is>
          <t>Konstruksi Gedung Perbelanjaan</t>
        </is>
      </c>
      <c r="N50" t="inlineStr">
        <is>
          <t>K</t>
        </is>
      </c>
      <c r="O50" t="inlineStr">
        <is>
          <t>20231016</t>
        </is>
      </c>
      <c r="P50" t="inlineStr">
        <is>
          <t>Gorontalo</t>
        </is>
      </c>
      <c r="Q50" t="inlineStr"/>
    </row>
    <row r="51">
      <c r="A51" t="inlineStr">
        <is>
          <t>RAFFASYA</t>
        </is>
      </c>
      <c r="B51" t="inlineStr">
        <is>
          <t>Kab. Tanjung Jabung Barat</t>
        </is>
      </c>
      <c r="C51" t="inlineStr">
        <is>
          <t>082281042835</t>
        </is>
      </c>
      <c r="D51" t="inlineStr">
        <is>
          <t>raffasyacv@gmail.com</t>
        </is>
      </c>
      <c r="E51" t="inlineStr">
        <is>
          <t>https://lpjk.pu.go.id/search-badan-usaha-detail/Y0ZCdHNtOXFWRmRUWXQ0UHZya21HUT09</t>
        </is>
      </c>
      <c r="F51" t="n">
        <v>2</v>
      </c>
      <c r="G51" t="inlineStr">
        <is>
          <t>BG008</t>
        </is>
      </c>
      <c r="H51" t="inlineStr">
        <is>
          <t>26 Januari 2022</t>
        </is>
      </c>
      <c r="I51" s="2" t="n">
        <v>46315</v>
      </c>
      <c r="J51" t="inlineStr">
        <is>
          <t>Disetujui</t>
        </is>
      </c>
      <c r="K51" t="n">
        <v>60</v>
      </c>
      <c r="L51" t="inlineStr">
        <is>
          <t>20 Oktober 2026</t>
        </is>
      </c>
      <c r="M51" t="inlineStr">
        <is>
          <t>Konstruksi Gedung Tempat Hiburan dan Olahraga</t>
        </is>
      </c>
      <c r="N51" t="inlineStr">
        <is>
          <t>K</t>
        </is>
      </c>
      <c r="O51" t="inlineStr">
        <is>
          <t>20231018</t>
        </is>
      </c>
      <c r="P51" t="inlineStr">
        <is>
          <t>Jambi</t>
        </is>
      </c>
      <c r="Q51" t="inlineStr"/>
    </row>
    <row r="52">
      <c r="A52" t="inlineStr">
        <is>
          <t>RANCANG BANGUN PARAMITRA</t>
        </is>
      </c>
      <c r="B52" t="inlineStr">
        <is>
          <t>Kota Bandung</t>
        </is>
      </c>
      <c r="C52" t="inlineStr">
        <is>
          <t>082120100200</t>
        </is>
      </c>
      <c r="D52" t="inlineStr">
        <is>
          <t>barosrabapa@gmail.com</t>
        </is>
      </c>
      <c r="E52" t="inlineStr">
        <is>
          <t>https://lpjk.pu.go.id/search-badan-usaha-detail/VGJEb3JKS1dwUjNYRUxMcTUzNFliQT09</t>
        </is>
      </c>
      <c r="F52" t="n">
        <v>2</v>
      </c>
      <c r="G52" t="inlineStr">
        <is>
          <t>BG001</t>
        </is>
      </c>
      <c r="H52" t="inlineStr">
        <is>
          <t>6 Agustus 2019</t>
        </is>
      </c>
      <c r="I52" s="2" t="n">
        <v>46315</v>
      </c>
      <c r="J52" t="inlineStr">
        <is>
          <t>Disetujui</t>
        </is>
      </c>
      <c r="K52" t="n">
        <v>60</v>
      </c>
      <c r="L52" t="inlineStr">
        <is>
          <t>20 Oktober 2026</t>
        </is>
      </c>
      <c r="M52" t="inlineStr">
        <is>
          <t>Konstruksi Gedung Hunian</t>
        </is>
      </c>
      <c r="N52" t="inlineStr">
        <is>
          <t>K</t>
        </is>
      </c>
      <c r="O52" t="inlineStr">
        <is>
          <t>20231019</t>
        </is>
      </c>
      <c r="P52" t="inlineStr">
        <is>
          <t>Jawa Barat</t>
        </is>
      </c>
      <c r="Q52" t="inlineStr"/>
    </row>
    <row r="53">
      <c r="A53" t="inlineStr">
        <is>
          <t>RIANDITA ADI PRATAMA</t>
        </is>
      </c>
      <c r="B53" t="inlineStr">
        <is>
          <t>Kota Surakarta</t>
        </is>
      </c>
      <c r="C53" t="inlineStr">
        <is>
          <t>082328794395</t>
        </is>
      </c>
      <c r="D53" t="inlineStr">
        <is>
          <t>pt.rianditaadipratama@yahoo.com</t>
        </is>
      </c>
      <c r="E53" t="inlineStr">
        <is>
          <t>https://lpjk.pu.go.id/search-badan-usaha-detail/bklNNS9BbW9WUklXY3JrdnNOcjQvUT09</t>
        </is>
      </c>
      <c r="F53" t="n">
        <v>1</v>
      </c>
      <c r="G53" t="inlineStr">
        <is>
          <t>BG009</t>
        </is>
      </c>
      <c r="H53" t="inlineStr">
        <is>
          <t>19 September 2019</t>
        </is>
      </c>
      <c r="I53" s="2" t="n">
        <v>46315</v>
      </c>
      <c r="J53" t="inlineStr">
        <is>
          <t>Disetujui</t>
        </is>
      </c>
      <c r="K53" t="n">
        <v>60</v>
      </c>
      <c r="L53" t="inlineStr">
        <is>
          <t>20 Oktober 2026</t>
        </is>
      </c>
      <c r="M53" t="inlineStr">
        <is>
          <t>Konstruksi Gedung Lainnya</t>
        </is>
      </c>
      <c r="N53" t="inlineStr">
        <is>
          <t>K</t>
        </is>
      </c>
      <c r="O53" t="inlineStr">
        <is>
          <t>20231020</t>
        </is>
      </c>
      <c r="P53" t="inlineStr">
        <is>
          <t>Jawa Tengah</t>
        </is>
      </c>
      <c r="Q53" t="inlineStr"/>
    </row>
    <row r="54">
      <c r="A54" t="inlineStr">
        <is>
          <t>SATRIA JAYA MANDIRI</t>
        </is>
      </c>
      <c r="B54" t="inlineStr">
        <is>
          <t>Kab. Kapuas Hulu</t>
        </is>
      </c>
      <c r="C54" t="inlineStr">
        <is>
          <t>082148836635</t>
        </is>
      </c>
      <c r="D54" t="inlineStr">
        <is>
          <t>satriajayamandiri219@gmail.com</t>
        </is>
      </c>
      <c r="E54" t="inlineStr">
        <is>
          <t>https://lpjk.pu.go.id/search-badan-usaha-detail/UllJd0JHdVcxRHJwVXpCVGUwMTVtZz09</t>
        </is>
      </c>
      <c r="F54" t="n">
        <v>1</v>
      </c>
      <c r="G54" t="inlineStr">
        <is>
          <t>BS002</t>
        </is>
      </c>
      <c r="H54" t="inlineStr">
        <is>
          <t>4 Maret 2020</t>
        </is>
      </c>
      <c r="I54" s="2" t="n">
        <v>46315</v>
      </c>
      <c r="J54" t="inlineStr">
        <is>
          <t>Disetujui</t>
        </is>
      </c>
      <c r="K54" t="n">
        <v>60</v>
      </c>
      <c r="L54" t="inlineStr">
        <is>
          <t>20 Oktober 2026</t>
        </is>
      </c>
      <c r="M54" t="inlineStr">
        <is>
          <t>Bangunan Sipil Jembatan, Jalan Layang, Fly Over, dan Underpass</t>
        </is>
      </c>
      <c r="N54" t="inlineStr">
        <is>
          <t>K</t>
        </is>
      </c>
      <c r="O54" t="inlineStr">
        <is>
          <t>20231020</t>
        </is>
      </c>
      <c r="P54" t="inlineStr">
        <is>
          <t>Kalimantan Barat</t>
        </is>
      </c>
      <c r="Q54" t="inlineStr"/>
    </row>
    <row r="55">
      <c r="A55" t="inlineStr">
        <is>
          <t>SATRIA SUKSES UTAMA</t>
        </is>
      </c>
      <c r="B55" t="inlineStr">
        <is>
          <t>Kota Adm. Jakarta Utara</t>
        </is>
      </c>
      <c r="C55" t="inlineStr">
        <is>
          <t>02145847811</t>
        </is>
      </c>
      <c r="D55" t="inlineStr">
        <is>
          <t>satriasuksesutama@gmail.com</t>
        </is>
      </c>
      <c r="E55" t="inlineStr">
        <is>
          <t>https://lpjk.pu.go.id/search-badan-usaha-detail/UG96SGptbklTQzF6a1ZhK1BmUGxKdz09</t>
        </is>
      </c>
      <c r="F55" t="n">
        <v>2</v>
      </c>
      <c r="G55" t="inlineStr">
        <is>
          <t>BS001, BS004</t>
        </is>
      </c>
      <c r="H55" t="inlineStr">
        <is>
          <t>31 Juli 2024</t>
        </is>
      </c>
      <c r="I55" s="2" t="n">
        <v>46315</v>
      </c>
      <c r="J55" t="inlineStr">
        <is>
          <t>Disetujui</t>
        </is>
      </c>
      <c r="K55" t="n">
        <v>60</v>
      </c>
      <c r="L55" t="inlineStr">
        <is>
          <t>20 Oktober 2026</t>
        </is>
      </c>
      <c r="M55" t="inlineStr">
        <is>
          <t>Konstruksi Bangunan Sipil Jalan, Konstruksi Jaringan Irigasi dan Drainase</t>
        </is>
      </c>
      <c r="N55" t="inlineStr">
        <is>
          <t>K</t>
        </is>
      </c>
      <c r="O55" t="inlineStr">
        <is>
          <t>20231013</t>
        </is>
      </c>
      <c r="P55" t="inlineStr">
        <is>
          <t>DKI Jakarta</t>
        </is>
      </c>
      <c r="Q55" t="inlineStr"/>
    </row>
    <row r="56">
      <c r="A56" t="inlineStr">
        <is>
          <t>SETIAWAN BUNDA</t>
        </is>
      </c>
      <c r="B56" t="inlineStr">
        <is>
          <t>Kota Surabaya</t>
        </is>
      </c>
      <c r="C56" t="inlineStr">
        <is>
          <t>082230140708</t>
        </is>
      </c>
      <c r="D56" t="inlineStr">
        <is>
          <t>setiawan.bunda@yahoo.com</t>
        </is>
      </c>
      <c r="E56" t="inlineStr">
        <is>
          <t>https://lpjk.pu.go.id/search-badan-usaha-detail/bXdHcUNFMlJRalltaG5qVEJpTVpvdz09</t>
        </is>
      </c>
      <c r="F56" t="n">
        <v>1</v>
      </c>
      <c r="G56" t="inlineStr">
        <is>
          <t>BS004</t>
        </is>
      </c>
      <c r="H56" t="inlineStr">
        <is>
          <t>22 Juni 2012</t>
        </is>
      </c>
      <c r="I56" s="2" t="n">
        <v>46315</v>
      </c>
      <c r="J56" t="inlineStr">
        <is>
          <t>Disetujui</t>
        </is>
      </c>
      <c r="K56" t="n">
        <v>60</v>
      </c>
      <c r="L56" t="inlineStr">
        <is>
          <t>20 Oktober 2026</t>
        </is>
      </c>
      <c r="M56" t="inlineStr">
        <is>
          <t>Konstruksi Jaringan Irigasi dan Drainase</t>
        </is>
      </c>
      <c r="N56" t="inlineStr">
        <is>
          <t>K</t>
        </is>
      </c>
      <c r="O56" t="inlineStr">
        <is>
          <t>20231017</t>
        </is>
      </c>
      <c r="P56" t="inlineStr">
        <is>
          <t>Jawa Timur</t>
        </is>
      </c>
      <c r="Q56" t="inlineStr"/>
    </row>
    <row r="57">
      <c r="A57" t="inlineStr">
        <is>
          <t>SINAR LIMA</t>
        </is>
      </c>
      <c r="B57" t="inlineStr">
        <is>
          <t>Kab. Bima</t>
        </is>
      </c>
      <c r="C57" t="inlineStr">
        <is>
          <t>081337813901</t>
        </is>
      </c>
      <c r="D57" t="inlineStr">
        <is>
          <t>buyungna929@gmail.com</t>
        </is>
      </c>
      <c r="E57" t="inlineStr">
        <is>
          <t>https://lpjk.pu.go.id/search-badan-usaha-detail/a2FrK2g4WXJUNnVJMjNJRnNnaUY4UT09</t>
        </is>
      </c>
      <c r="F57" t="n">
        <v>1</v>
      </c>
      <c r="G57" t="inlineStr">
        <is>
          <t>BG002</t>
        </is>
      </c>
      <c r="H57" t="inlineStr">
        <is>
          <t>10 Desember 2013</t>
        </is>
      </c>
      <c r="I57" s="2" t="n">
        <v>46315</v>
      </c>
      <c r="J57" t="inlineStr">
        <is>
          <t>Disetujui</t>
        </is>
      </c>
      <c r="K57" t="n">
        <v>60</v>
      </c>
      <c r="L57" t="inlineStr">
        <is>
          <t>20 Oktober 2026</t>
        </is>
      </c>
      <c r="M57" t="inlineStr">
        <is>
          <t>Konstruksi Gedung Perkantoran</t>
        </is>
      </c>
      <c r="N57" t="inlineStr">
        <is>
          <t>K</t>
        </is>
      </c>
      <c r="O57" t="inlineStr">
        <is>
          <t>20231017</t>
        </is>
      </c>
      <c r="P57" t="inlineStr">
        <is>
          <t>Nusa Tenggara Barat</t>
        </is>
      </c>
      <c r="Q57" t="inlineStr"/>
    </row>
    <row r="58">
      <c r="A58" t="inlineStr">
        <is>
          <t>SONI ELKA BERSAUDARA</t>
        </is>
      </c>
      <c r="B58" t="inlineStr">
        <is>
          <t>Kota Kendari</t>
        </is>
      </c>
      <c r="C58" t="inlineStr">
        <is>
          <t>085256462929</t>
        </is>
      </c>
      <c r="D58" t="inlineStr">
        <is>
          <t>sonielkabersaudara@gmail.com</t>
        </is>
      </c>
      <c r="E58" t="inlineStr">
        <is>
          <t>https://lpjk.pu.go.id/search-badan-usaha-detail/RWgxSTJkaVBseFkyQ2IyQzAzeFQ2QT09</t>
        </is>
      </c>
      <c r="F58" t="n">
        <v>1</v>
      </c>
      <c r="G58" t="inlineStr">
        <is>
          <t>BS002</t>
        </is>
      </c>
      <c r="H58" t="inlineStr">
        <is>
          <t>7 September 2023</t>
        </is>
      </c>
      <c r="I58" s="2" t="n">
        <v>46315</v>
      </c>
      <c r="J58" t="inlineStr">
        <is>
          <t>Disetujui</t>
        </is>
      </c>
      <c r="K58" t="n">
        <v>60</v>
      </c>
      <c r="L58" t="inlineStr">
        <is>
          <t>20 Oktober 2026</t>
        </is>
      </c>
      <c r="M58" t="inlineStr">
        <is>
          <t>Bangunan Sipil Jembatan, Jalan Layang, Fly Over, dan Underpass</t>
        </is>
      </c>
      <c r="N58" t="inlineStr">
        <is>
          <t>K</t>
        </is>
      </c>
      <c r="O58" t="inlineStr">
        <is>
          <t>20231016</t>
        </is>
      </c>
      <c r="P58" t="inlineStr">
        <is>
          <t>Sulawesi Tenggara</t>
        </is>
      </c>
      <c r="Q58" t="inlineStr"/>
    </row>
    <row r="59">
      <c r="A59" t="inlineStr">
        <is>
          <t>SWARNA CINDE RAYA</t>
        </is>
      </c>
      <c r="B59" t="inlineStr">
        <is>
          <t>Kota Palembang</t>
        </is>
      </c>
      <c r="C59" t="inlineStr">
        <is>
          <t>0811711714</t>
        </is>
      </c>
      <c r="D59" t="inlineStr">
        <is>
          <t>admin@swarnacinderaya.com</t>
        </is>
      </c>
      <c r="E59" t="inlineStr">
        <is>
          <t>https://lpjk.pu.go.id/search-badan-usaha-detail/akRPYXRFTnB2OS94RTZXTjRhNXBWZz09</t>
        </is>
      </c>
      <c r="F59" t="n">
        <v>1</v>
      </c>
      <c r="G59" t="inlineStr">
        <is>
          <t>PA001</t>
        </is>
      </c>
      <c r="H59" t="inlineStr">
        <is>
          <t>23 Maret 2004</t>
        </is>
      </c>
      <c r="I59" s="2" t="n">
        <v>46315</v>
      </c>
      <c r="J59" t="inlineStr">
        <is>
          <t>Disetujui</t>
        </is>
      </c>
      <c r="K59" t="n">
        <v>60</v>
      </c>
      <c r="L59" t="inlineStr">
        <is>
          <t>20 Oktober 2026</t>
        </is>
      </c>
      <c r="M59" t="inlineStr">
        <is>
          <t>Penyewaan Peralatan Konstruksi</t>
        </is>
      </c>
      <c r="N59" t="inlineStr">
        <is>
          <t>Spesialis</t>
        </is>
      </c>
      <c r="O59" t="inlineStr">
        <is>
          <t>20231019</t>
        </is>
      </c>
      <c r="P59" t="inlineStr">
        <is>
          <t>Sumatera Selatan</t>
        </is>
      </c>
      <c r="Q59" t="inlineStr"/>
    </row>
    <row r="60">
      <c r="A60" t="inlineStr">
        <is>
          <t>TALANG BALARIK</t>
        </is>
      </c>
      <c r="B60" t="inlineStr">
        <is>
          <t>Kab. Pesisir Selatan</t>
        </is>
      </c>
      <c r="C60" t="inlineStr">
        <is>
          <t>085263182353</t>
        </is>
      </c>
      <c r="D60" t="inlineStr">
        <is>
          <t>cvtalangbalarik@gmail.com</t>
        </is>
      </c>
      <c r="E60" t="inlineStr">
        <is>
          <t>https://lpjk.pu.go.id/search-badan-usaha-detail/ZXhVcnZBRi85RXRFUzdDY0FpVWxzdz09</t>
        </is>
      </c>
      <c r="F60" t="n">
        <v>1</v>
      </c>
      <c r="G60" t="inlineStr">
        <is>
          <t>BS004</t>
        </is>
      </c>
      <c r="H60" t="inlineStr">
        <is>
          <t>12 Desember 2006</t>
        </is>
      </c>
      <c r="I60" s="2" t="n">
        <v>46315</v>
      </c>
      <c r="J60" t="inlineStr">
        <is>
          <t>Disetujui</t>
        </is>
      </c>
      <c r="K60" t="n">
        <v>60</v>
      </c>
      <c r="L60" t="inlineStr">
        <is>
          <t>20 Oktober 2026</t>
        </is>
      </c>
      <c r="M60" t="inlineStr">
        <is>
          <t>Konstruksi Jaringan Irigasi dan Drainase</t>
        </is>
      </c>
      <c r="N60" t="inlineStr">
        <is>
          <t>K</t>
        </is>
      </c>
      <c r="O60" t="inlineStr">
        <is>
          <t>20231016</t>
        </is>
      </c>
      <c r="P60" t="inlineStr">
        <is>
          <t>Sumatera Barat</t>
        </is>
      </c>
      <c r="Q60" t="inlineStr"/>
    </row>
    <row r="61">
      <c r="A61" t="inlineStr">
        <is>
          <t>THETA KONSTRUKSI</t>
        </is>
      </c>
      <c r="B61" t="inlineStr">
        <is>
          <t>Kota Malang</t>
        </is>
      </c>
      <c r="C61" t="inlineStr">
        <is>
          <t>082131928384</t>
        </is>
      </c>
      <c r="D61" t="inlineStr">
        <is>
          <t>Thetakonstruksi@gmail.com</t>
        </is>
      </c>
      <c r="E61" t="inlineStr">
        <is>
          <t>https://lpjk.pu.go.id/search-badan-usaha-detail/bFh0YkZkbW5jL2grMVFoT3E5T1FRZz09</t>
        </is>
      </c>
      <c r="F61" t="n">
        <v>1</v>
      </c>
      <c r="G61" t="inlineStr">
        <is>
          <t>BS004</t>
        </is>
      </c>
      <c r="H61" t="inlineStr">
        <is>
          <t>23 Maret 2020</t>
        </is>
      </c>
      <c r="I61" s="2" t="n">
        <v>46315</v>
      </c>
      <c r="J61" t="inlineStr">
        <is>
          <t>Disetujui</t>
        </is>
      </c>
      <c r="K61" t="n">
        <v>60</v>
      </c>
      <c r="L61" t="inlineStr">
        <is>
          <t>20 Oktober 2026</t>
        </is>
      </c>
      <c r="M61" t="inlineStr">
        <is>
          <t>Konstruksi Jaringan Irigasi dan Drainase</t>
        </is>
      </c>
      <c r="N61" t="inlineStr">
        <is>
          <t>K</t>
        </is>
      </c>
      <c r="O61" t="inlineStr">
        <is>
          <t>20230930</t>
        </is>
      </c>
      <c r="P61" t="inlineStr">
        <is>
          <t>Jawa Timur</t>
        </is>
      </c>
      <c r="Q61" t="inlineStr"/>
    </row>
    <row r="62">
      <c r="A62" t="inlineStr">
        <is>
          <t>TORAA GRAHA UTAMA</t>
        </is>
      </c>
      <c r="B62" t="inlineStr">
        <is>
          <t>Kota Palangkaraya</t>
        </is>
      </c>
      <c r="C62" t="inlineStr">
        <is>
          <t>081345151035</t>
        </is>
      </c>
      <c r="D62" t="inlineStr">
        <is>
          <t>toraatgu.pt@gmail.com</t>
        </is>
      </c>
      <c r="E62" t="inlineStr">
        <is>
          <t>https://lpjk.pu.go.id/search-badan-usaha-detail/WUs2U1BrL0lEMUQ3UVBxSHdXc1cyUT09</t>
        </is>
      </c>
      <c r="F62" t="n">
        <v>2</v>
      </c>
      <c r="G62" t="inlineStr">
        <is>
          <t>BG009, BS001</t>
        </is>
      </c>
      <c r="H62" t="inlineStr">
        <is>
          <t>28 Juni 2004</t>
        </is>
      </c>
      <c r="I62" s="2" t="n">
        <v>46315</v>
      </c>
      <c r="J62" t="inlineStr">
        <is>
          <t>Disetujui</t>
        </is>
      </c>
      <c r="K62" t="n">
        <v>60</v>
      </c>
      <c r="L62" t="inlineStr">
        <is>
          <t>20 Oktober 2026</t>
        </is>
      </c>
      <c r="M62" t="inlineStr">
        <is>
          <t>Konstruksi Bangunan Sipil Jalan, Konstruksi Gedung Lainnya</t>
        </is>
      </c>
      <c r="N62" t="inlineStr">
        <is>
          <t>K</t>
        </is>
      </c>
      <c r="O62" t="inlineStr">
        <is>
          <t>20231018</t>
        </is>
      </c>
      <c r="P62" t="inlineStr">
        <is>
          <t>Kalimantan Tengah</t>
        </is>
      </c>
      <c r="Q62" t="inlineStr"/>
    </row>
    <row r="63">
      <c r="A63" t="inlineStr">
        <is>
          <t>TRIGUNA CAHAYA MANDIRI</t>
        </is>
      </c>
      <c r="B63" t="inlineStr">
        <is>
          <t>Kota Adm. Jakarta Selatan</t>
        </is>
      </c>
      <c r="C63" t="inlineStr">
        <is>
          <t>0217273013</t>
        </is>
      </c>
      <c r="D63" t="inlineStr">
        <is>
          <t>triguna.cm@gmail.com</t>
        </is>
      </c>
      <c r="E63" t="inlineStr">
        <is>
          <t>https://lpjk.pu.go.id/search-badan-usaha-detail/ZjNZbnpoOFB4L28zc1c4YU5neE85UT09</t>
        </is>
      </c>
      <c r="F63" t="n">
        <v>4</v>
      </c>
      <c r="G63" t="inlineStr">
        <is>
          <t>BG002, BG003, BG004, BG009</t>
        </is>
      </c>
      <c r="H63" t="inlineStr">
        <is>
          <t>26 September 2023</t>
        </is>
      </c>
      <c r="I63" s="2" t="n">
        <v>46315</v>
      </c>
      <c r="J63" t="inlineStr">
        <is>
          <t>Disetujui</t>
        </is>
      </c>
      <c r="K63" t="n">
        <v>60</v>
      </c>
      <c r="L63" t="inlineStr">
        <is>
          <t>20 Oktober 2026</t>
        </is>
      </c>
      <c r="M63" t="inlineStr">
        <is>
          <t>Konstruksi Gedung Industri, Konstruksi Gedung Lainnya, Konstruksi Gedung Perbelanjaan, Konstruksi Gedung Perkantoran</t>
        </is>
      </c>
      <c r="N63" t="inlineStr">
        <is>
          <t>K</t>
        </is>
      </c>
      <c r="O63" t="inlineStr">
        <is>
          <t>20231012, 20231014</t>
        </is>
      </c>
      <c r="P63" t="inlineStr">
        <is>
          <t>DKI Jakarta</t>
        </is>
      </c>
      <c r="Q63" t="inlineStr"/>
    </row>
    <row r="64">
      <c r="A64" t="inlineStr">
        <is>
          <t>TRIGUNA MANDALA</t>
        </is>
      </c>
      <c r="B64" t="inlineStr">
        <is>
          <t>Kota Adm. Jakarta Barat</t>
        </is>
      </c>
      <c r="C64" t="inlineStr">
        <is>
          <t>02129659801</t>
        </is>
      </c>
      <c r="D64" t="inlineStr">
        <is>
          <t>sales@trigunamandala.co.id</t>
        </is>
      </c>
      <c r="E64" t="inlineStr">
        <is>
          <t>https://lpjk.pu.go.id/search-badan-usaha-detail/YytSVzdkUkNPZXNLbFBQWUNqTE1EUT09</t>
        </is>
      </c>
      <c r="F64" t="n">
        <v>1</v>
      </c>
      <c r="G64" t="inlineStr">
        <is>
          <t>IN004</t>
        </is>
      </c>
      <c r="H64" t="inlineStr">
        <is>
          <t>26 April 1988</t>
        </is>
      </c>
      <c r="I64" s="2" t="n">
        <v>46315</v>
      </c>
      <c r="J64" t="inlineStr">
        <is>
          <t>Pembekuan</t>
        </is>
      </c>
      <c r="K64" t="n">
        <v>60</v>
      </c>
      <c r="L64" t="inlineStr">
        <is>
          <t>20 Oktober 2026</t>
        </is>
      </c>
      <c r="M64" t="inlineStr">
        <is>
          <t>Instalasi Minyak dan Gas</t>
        </is>
      </c>
      <c r="N64" t="inlineStr">
        <is>
          <t>Spesialis</t>
        </is>
      </c>
      <c r="O64" t="inlineStr">
        <is>
          <t>20231019</t>
        </is>
      </c>
      <c r="P64" t="inlineStr">
        <is>
          <t>DKI Jakarta</t>
        </is>
      </c>
      <c r="Q64" t="inlineStr"/>
    </row>
    <row r="65">
      <c r="A65" t="inlineStr">
        <is>
          <t>WIJAYA PERDANA</t>
        </is>
      </c>
      <c r="B65" t="inlineStr">
        <is>
          <t>Kota Adm. Jakarta Selatan</t>
        </is>
      </c>
      <c r="C65" t="inlineStr">
        <is>
          <t>0217507322</t>
        </is>
      </c>
      <c r="D65" t="inlineStr">
        <is>
          <t>info@wijayaperdana.id</t>
        </is>
      </c>
      <c r="E65" t="inlineStr">
        <is>
          <t>https://lpjk.pu.go.id/search-badan-usaha-detail/OHhuR1gyWVZyVFFPS1RiOTZVNWRyQT09</t>
        </is>
      </c>
      <c r="F65" t="n">
        <v>2</v>
      </c>
      <c r="G65" t="inlineStr">
        <is>
          <t>BG009</t>
        </is>
      </c>
      <c r="H65" t="inlineStr">
        <is>
          <t>26 Februari 1980</t>
        </is>
      </c>
      <c r="I65" s="2" t="n">
        <v>46315</v>
      </c>
      <c r="J65" t="inlineStr">
        <is>
          <t>Pencabutan</t>
        </is>
      </c>
      <c r="K65" t="n">
        <v>60</v>
      </c>
      <c r="L65" t="inlineStr">
        <is>
          <t>20 Oktober 2026</t>
        </is>
      </c>
      <c r="M65" t="inlineStr">
        <is>
          <t>Konstruksi Gedung Lainnya</t>
        </is>
      </c>
      <c r="N65" t="inlineStr">
        <is>
          <t>M</t>
        </is>
      </c>
      <c r="O65" t="inlineStr">
        <is>
          <t>20221221</t>
        </is>
      </c>
      <c r="P65" t="inlineStr">
        <is>
          <t>DKI Jakarta</t>
        </is>
      </c>
      <c r="Q65" t="inlineStr"/>
    </row>
    <row r="66">
      <c r="A66" t="inlineStr">
        <is>
          <t>WISNU CAKRA BUANA</t>
        </is>
      </c>
      <c r="B66" t="inlineStr">
        <is>
          <t>Kab. Blora</t>
        </is>
      </c>
      <c r="C66" t="inlineStr">
        <is>
          <t>085226164489</t>
        </is>
      </c>
      <c r="D66" t="inlineStr">
        <is>
          <t>wisnucakrabuana700@gmail.com</t>
        </is>
      </c>
      <c r="E66" t="inlineStr">
        <is>
          <t>https://lpjk.pu.go.id/search-badan-usaha-detail/R0JyQlhVc0wyeWJoZEJIYk5jY09hdz09</t>
        </is>
      </c>
      <c r="F66" t="n">
        <v>1</v>
      </c>
      <c r="G66" t="inlineStr">
        <is>
          <t>BG005</t>
        </is>
      </c>
      <c r="H66" t="inlineStr">
        <is>
          <t>11 Februari 2021</t>
        </is>
      </c>
      <c r="I66" s="2" t="n">
        <v>46315</v>
      </c>
      <c r="J66" t="inlineStr">
        <is>
          <t>Disetujui</t>
        </is>
      </c>
      <c r="K66" t="n">
        <v>60</v>
      </c>
      <c r="L66" t="inlineStr">
        <is>
          <t>20 Oktober 2026</t>
        </is>
      </c>
      <c r="M66" t="inlineStr">
        <is>
          <t>Konstruksi Gedung Kesehatan</t>
        </is>
      </c>
      <c r="N66" t="inlineStr">
        <is>
          <t>K</t>
        </is>
      </c>
      <c r="O66" t="inlineStr">
        <is>
          <t>20231020</t>
        </is>
      </c>
      <c r="P66" t="inlineStr">
        <is>
          <t>Jawa Tengah</t>
        </is>
      </c>
      <c r="Q66" t="inlineStr"/>
    </row>
    <row r="67">
      <c r="A67" t="inlineStr">
        <is>
          <t>YUDHA BATARAJA</t>
        </is>
      </c>
      <c r="B67" t="inlineStr">
        <is>
          <t>Kab. Jayawijaya</t>
        </is>
      </c>
      <c r="C67" t="inlineStr">
        <is>
          <t>081318566731</t>
        </is>
      </c>
      <c r="D67" t="inlineStr">
        <is>
          <t>yudhabatarajapt@gmail.com</t>
        </is>
      </c>
      <c r="E67" t="inlineStr">
        <is>
          <t>https://lpjk.pu.go.id/search-badan-usaha-detail/MTd2MWlQcjhIVTV6dlJEdDNIeFFOb0E3d0xtVHFmMktCbmUzVmV4TUlpQT0</t>
        </is>
      </c>
      <c r="F67" t="n">
        <v>4</v>
      </c>
      <c r="G67" t="inlineStr">
        <is>
          <t>BG002, BG005, BG006, BS001</t>
        </is>
      </c>
      <c r="H67" t="inlineStr">
        <is>
          <t>14 Agustus 2023</t>
        </is>
      </c>
      <c r="I67" s="2" t="n">
        <v>46315</v>
      </c>
      <c r="J67" t="inlineStr">
        <is>
          <t>Disetujui</t>
        </is>
      </c>
      <c r="K67" t="n">
        <v>60</v>
      </c>
      <c r="L67" t="inlineStr">
        <is>
          <t>20 Oktober 2026</t>
        </is>
      </c>
      <c r="M67" t="inlineStr">
        <is>
          <t>Konstruksi Bangunan Sipil Jalan, Konstruksi Gedung Kesehatan, Konstruksi Gedung Pendidikan, Konstruksi Gedung Perkantoran</t>
        </is>
      </c>
      <c r="N67" t="inlineStr">
        <is>
          <t>M</t>
        </is>
      </c>
      <c r="O67" t="inlineStr">
        <is>
          <t>20231013, 20231018</t>
        </is>
      </c>
      <c r="P67" t="inlineStr">
        <is>
          <t>Papua Pegunungan</t>
        </is>
      </c>
      <c r="Q67" t="inlineStr"/>
    </row>
    <row r="68">
      <c r="A68" t="inlineStr">
        <is>
          <t>ZEIND QUEEN PERKASA</t>
        </is>
      </c>
      <c r="B68" t="inlineStr">
        <is>
          <t>Kab. Morowali Utara</t>
        </is>
      </c>
      <c r="C68" t="inlineStr">
        <is>
          <t>081347134977</t>
        </is>
      </c>
      <c r="D68" t="inlineStr">
        <is>
          <t>zeindqueenperkasa@gmail.com</t>
        </is>
      </c>
      <c r="E68" t="inlineStr">
        <is>
          <t>https://lpjk.pu.go.id/search-badan-usaha-detail/UllXSDhsTXR4Szk5dU05SThISjRMdz09</t>
        </is>
      </c>
      <c r="F68" t="n">
        <v>1</v>
      </c>
      <c r="G68" t="inlineStr">
        <is>
          <t>BS001</t>
        </is>
      </c>
      <c r="H68" t="inlineStr">
        <is>
          <t>20 September 2023</t>
        </is>
      </c>
      <c r="I68" s="2" t="n">
        <v>46315</v>
      </c>
      <c r="J68" t="inlineStr">
        <is>
          <t>Disetujui</t>
        </is>
      </c>
      <c r="K68" t="n">
        <v>60</v>
      </c>
      <c r="L68" t="inlineStr">
        <is>
          <t>20 Oktober 2026</t>
        </is>
      </c>
      <c r="M68" t="inlineStr">
        <is>
          <t>Konstruksi Bangunan Sipil Jalan</t>
        </is>
      </c>
      <c r="N68" t="inlineStr">
        <is>
          <t>K</t>
        </is>
      </c>
      <c r="O68" t="inlineStr">
        <is>
          <t>20231017</t>
        </is>
      </c>
      <c r="P68" t="inlineStr">
        <is>
          <t>Sulawesi Tengah</t>
        </is>
      </c>
      <c r="Q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3"/>
  <sheetViews>
    <sheetView workbookViewId="0">
      <selection activeCell="A1" sqref="A1"/>
    </sheetView>
  </sheetViews>
  <sheetFormatPr baseColWidth="8" defaultRowHeight="15"/>
  <cols>
    <col width="44"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PUTRA KARYA</t>
        </is>
      </c>
      <c r="B2" t="inlineStr">
        <is>
          <t>Kota Bekasi</t>
        </is>
      </c>
      <c r="C2" t="inlineStr">
        <is>
          <t>02126060152</t>
        </is>
      </c>
      <c r="D2" t="inlineStr">
        <is>
          <t>pt.abdiputrakarya84@gmail.com</t>
        </is>
      </c>
      <c r="E2" t="inlineStr">
        <is>
          <t>https://lpjk.pu.go.id/search-badan-usaha-detail/QzNNcHY5YVl3WlVFMnI5QTA1d0Mwdz09</t>
        </is>
      </c>
      <c r="F2" t="n">
        <v>1</v>
      </c>
      <c r="G2" t="inlineStr">
        <is>
          <t>BG001</t>
        </is>
      </c>
      <c r="H2" t="inlineStr">
        <is>
          <t>23 Februari 2012</t>
        </is>
      </c>
      <c r="I2" s="2" t="n">
        <v>46285</v>
      </c>
      <c r="J2" t="inlineStr">
        <is>
          <t>Disetujui</t>
        </is>
      </c>
      <c r="K2" t="n">
        <v>30</v>
      </c>
      <c r="L2" t="inlineStr">
        <is>
          <t>20 September 2026</t>
        </is>
      </c>
      <c r="M2" t="inlineStr">
        <is>
          <t>Konstruksi Gedung Hunian</t>
        </is>
      </c>
      <c r="N2" t="inlineStr">
        <is>
          <t>K</t>
        </is>
      </c>
      <c r="O2" t="inlineStr">
        <is>
          <t>20230915</t>
        </is>
      </c>
      <c r="P2" t="inlineStr">
        <is>
          <t>Jawa Barat</t>
        </is>
      </c>
      <c r="Q2" t="inlineStr"/>
    </row>
    <row r="3">
      <c r="A3" t="inlineStr">
        <is>
          <t>AGRA PARAMA SARANA</t>
        </is>
      </c>
      <c r="B3" t="inlineStr">
        <is>
          <t>Kota Bekasi</t>
        </is>
      </c>
      <c r="C3" t="inlineStr">
        <is>
          <t>08161858498</t>
        </is>
      </c>
      <c r="D3" t="inlineStr">
        <is>
          <t>agraparamasarana@gmail.com</t>
        </is>
      </c>
      <c r="E3" t="inlineStr">
        <is>
          <t>https://lpjk.pu.go.id/search-badan-usaha-detail/alhmRE5RSHhlWHBKUDVYOVkxQjJIZz09</t>
        </is>
      </c>
      <c r="F3" t="n">
        <v>5</v>
      </c>
      <c r="G3" t="inlineStr">
        <is>
          <t>BG001, BG002, BG003, BG006, BG009</t>
        </is>
      </c>
      <c r="H3" t="inlineStr">
        <is>
          <t>25 Februari 2019</t>
        </is>
      </c>
      <c r="I3" s="2" t="n">
        <v>46285</v>
      </c>
      <c r="J3" t="inlineStr">
        <is>
          <t>Disetujui</t>
        </is>
      </c>
      <c r="K3" t="n">
        <v>30</v>
      </c>
      <c r="L3" t="inlineStr">
        <is>
          <t>20 September 2026</t>
        </is>
      </c>
      <c r="M3" t="inlineStr">
        <is>
          <t>Konstruksi Gedung Hunian, Konstruksi Gedung Industri, Konstruksi Gedung Lainnya, Konstruksi Gedung Pendidikan, Konstruksi Gedung Perkantoran</t>
        </is>
      </c>
      <c r="N3" t="inlineStr">
        <is>
          <t>K</t>
        </is>
      </c>
      <c r="O3" t="inlineStr">
        <is>
          <t>20230912</t>
        </is>
      </c>
      <c r="P3" t="inlineStr">
        <is>
          <t>Jawa Barat</t>
        </is>
      </c>
      <c r="Q3" s="3">
        <f>HYPERLINK("https://wa.me/628161858498?text=*[Pengingat Masa Berlaku SBU AGRA PARAMA SARANA]*%0A%0AYth. Pimpinan AGRA PARAMA SARANA,%0AMohon izin menginformasikan status SBU Anda:%0A%0A📄 SBU: BG001, BG002, BG003, BG006, BG009%0A📅 Expired: 20 September 2026 (30 Hari Lagi)%0A%0AKami tim PT. ESDEA Assistance Management siap men-support proses perpanjangan segera agar administrasi proyek tidak terhambat%0A%0AApakah boleh saya bantu siapkan estimasi biaya dan waktu pengerjaannya?.", "Hubungi")</f>
        <v/>
      </c>
    </row>
    <row r="4">
      <c r="A4" t="inlineStr">
        <is>
          <t>ARRAY DIMENSI DATA</t>
        </is>
      </c>
      <c r="B4" t="inlineStr">
        <is>
          <t>Kab. Bekasi</t>
        </is>
      </c>
      <c r="C4" t="inlineStr">
        <is>
          <t>087788699970</t>
        </is>
      </c>
      <c r="D4" t="inlineStr">
        <is>
          <t>arraydimensidata@gmail.com</t>
        </is>
      </c>
      <c r="E4" t="inlineStr">
        <is>
          <t>https://lpjk.pu.go.id/search-badan-usaha-detail/RFEvZWkyb2JtSVErQnV6R2tZUUlZZz09</t>
        </is>
      </c>
      <c r="F4" t="n">
        <v>4</v>
      </c>
      <c r="G4" t="inlineStr">
        <is>
          <t>BG009</t>
        </is>
      </c>
      <c r="H4" t="inlineStr">
        <is>
          <t>14 Agustus 2023</t>
        </is>
      </c>
      <c r="I4" s="2" t="n">
        <v>46285</v>
      </c>
      <c r="J4" t="inlineStr">
        <is>
          <t>Pencabutan</t>
        </is>
      </c>
      <c r="K4" t="n">
        <v>30</v>
      </c>
      <c r="L4" t="inlineStr">
        <is>
          <t>20 September 2026</t>
        </is>
      </c>
      <c r="M4" t="inlineStr">
        <is>
          <t>Konstruksi Gedung Lainnya</t>
        </is>
      </c>
      <c r="N4" t="inlineStr">
        <is>
          <t>K</t>
        </is>
      </c>
      <c r="O4" t="inlineStr">
        <is>
          <t>20230913</t>
        </is>
      </c>
      <c r="P4" t="inlineStr">
        <is>
          <t>Jawa Barat</t>
        </is>
      </c>
      <c r="Q4" s="3">
        <f>HYPERLINK("https://wa.me/6287788699970?text=*[Pengingat Masa Berlaku SBU ARRAY DIMENSI DATA]*%0A%0AYth. Pimpinan ARRAY DIMENSI DATA,%0AMohon izin menginformasikan status SBU Anda:%0A%0A📄 SBU: BG009%0A📅 Expired: 20 September 2026 (30 Hari Lagi)%0A%0AKami tim PT. ESDEA Assistance Management siap men-support proses perpanjangan segera agar administrasi proyek tidak terhambat%0A%0AApakah boleh saya bantu siapkan estimasi biaya dan waktu pengerjaannya?.", "Hubungi")</f>
        <v/>
      </c>
    </row>
    <row r="5">
      <c r="A5" t="inlineStr">
        <is>
          <t>CIREMAI GRIYA PERSADA</t>
        </is>
      </c>
      <c r="B5" t="inlineStr">
        <is>
          <t>Kota Bekasi</t>
        </is>
      </c>
      <c r="C5" t="inlineStr">
        <is>
          <t>02182625401</t>
        </is>
      </c>
      <c r="D5" t="inlineStr">
        <is>
          <t>ciremaigriyapersada1000@gmail.com</t>
        </is>
      </c>
      <c r="E5" t="inlineStr">
        <is>
          <t>https://lpjk.pu.go.id/search-badan-usaha-detail/U29UZnFXMkY0T3JCWnVTY2dKcEhrUT09</t>
        </is>
      </c>
      <c r="F5" t="n">
        <v>1</v>
      </c>
      <c r="G5" t="inlineStr">
        <is>
          <t>BS004</t>
        </is>
      </c>
      <c r="H5" t="inlineStr">
        <is>
          <t>9 November 2022</t>
        </is>
      </c>
      <c r="I5" s="2" t="n">
        <v>46285</v>
      </c>
      <c r="J5" t="inlineStr">
        <is>
          <t>Disetujui</t>
        </is>
      </c>
      <c r="K5" t="n">
        <v>30</v>
      </c>
      <c r="L5" t="inlineStr">
        <is>
          <t>20 September 2026</t>
        </is>
      </c>
      <c r="M5" t="inlineStr">
        <is>
          <t>Konstruksi Jaringan Irigasi dan Drainase</t>
        </is>
      </c>
      <c r="N5" t="inlineStr">
        <is>
          <t>K</t>
        </is>
      </c>
      <c r="O5" t="inlineStr">
        <is>
          <t>20230914</t>
        </is>
      </c>
      <c r="P5" t="inlineStr">
        <is>
          <t>Jawa Barat</t>
        </is>
      </c>
      <c r="Q5" t="inlineStr"/>
    </row>
    <row r="6">
      <c r="A6" t="inlineStr">
        <is>
          <t>EKA PANCA BERSAMA</t>
        </is>
      </c>
      <c r="B6" t="inlineStr">
        <is>
          <t>Kota Adm. Jakarta Timur</t>
        </is>
      </c>
      <c r="C6" t="inlineStr">
        <is>
          <t>081288118608</t>
        </is>
      </c>
      <c r="D6" t="inlineStr">
        <is>
          <t>Ekapancabersama@gmail.com</t>
        </is>
      </c>
      <c r="E6" t="inlineStr">
        <is>
          <t>https://lpjk.pu.go.id/search-badan-usaha-detail/akRrdXRRbEh4cm1yeG5pZWZpYlBTdz09</t>
        </is>
      </c>
      <c r="F6" t="n">
        <v>1</v>
      </c>
      <c r="G6" t="inlineStr">
        <is>
          <t>KK016</t>
        </is>
      </c>
      <c r="H6" t="inlineStr">
        <is>
          <t>15 Agustus 2023</t>
        </is>
      </c>
      <c r="I6" s="2" t="n">
        <v>46285</v>
      </c>
      <c r="J6" t="inlineStr">
        <is>
          <t>Disetujui</t>
        </is>
      </c>
      <c r="K6" t="n">
        <v>30</v>
      </c>
      <c r="L6" t="inlineStr">
        <is>
          <t>20 September 2026</t>
        </is>
      </c>
      <c r="M6" t="inlineStr">
        <is>
          <t>Pemasangan Kerangka Baja</t>
        </is>
      </c>
      <c r="N6" t="inlineStr">
        <is>
          <t>Spesialis</t>
        </is>
      </c>
      <c r="O6" t="inlineStr">
        <is>
          <t>20230919</t>
        </is>
      </c>
      <c r="P6" t="inlineStr">
        <is>
          <t>DKI Jakarta</t>
        </is>
      </c>
      <c r="Q6" s="3">
        <f>HYPERLINK("https://wa.me/6281288118608?text=*[Pengingat Masa Berlaku SBU EKA PANCA BERSAMA]*%0A%0AYth. Pimpinan EKA PANCA BERSAMA,%0AMohon izin menginformasikan status SBU Anda:%0A%0A📄 SBU: KK016%0A📅 Expired: 20 September 2026 (30 Hari Lagi)%0A%0AKami tim PT. ESDEA Assistance Management siap men-support proses perpanjangan segera agar administrasi proyek tidak terhambat%0A%0AApakah boleh saya bantu siapkan estimasi biaya dan waktu pengerjaannya?.", "Hubungi")</f>
        <v/>
      </c>
    </row>
    <row r="7">
      <c r="A7" t="inlineStr">
        <is>
          <t>FURAMA</t>
        </is>
      </c>
      <c r="B7" t="inlineStr">
        <is>
          <t>Kota Bekasi</t>
        </is>
      </c>
      <c r="C7" t="inlineStr">
        <is>
          <t>02182671123</t>
        </is>
      </c>
      <c r="D7" t="inlineStr">
        <is>
          <t>furama_ciknus@yahoo.com</t>
        </is>
      </c>
      <c r="E7" t="inlineStr">
        <is>
          <t>https://lpjk.pu.go.id/search-badan-usaha-detail/V2VVV3FCRDUza2M5ZnZjclR0aU5zQT09</t>
        </is>
      </c>
      <c r="F7" t="n">
        <v>1</v>
      </c>
      <c r="G7" t="inlineStr">
        <is>
          <t>BG006</t>
        </is>
      </c>
      <c r="H7" t="inlineStr">
        <is>
          <t>12 November 2009</t>
        </is>
      </c>
      <c r="I7" s="2" t="n">
        <v>46285</v>
      </c>
      <c r="J7" t="inlineStr">
        <is>
          <t>Disetujui</t>
        </is>
      </c>
      <c r="K7" t="n">
        <v>30</v>
      </c>
      <c r="L7" t="inlineStr">
        <is>
          <t>20 September 2026</t>
        </is>
      </c>
      <c r="M7" t="inlineStr">
        <is>
          <t>Konstruksi Gedung Pendidikan</t>
        </is>
      </c>
      <c r="N7" t="inlineStr">
        <is>
          <t>M</t>
        </is>
      </c>
      <c r="O7" t="inlineStr">
        <is>
          <t>20230818</t>
        </is>
      </c>
      <c r="P7" t="inlineStr">
        <is>
          <t>Jawa Barat</t>
        </is>
      </c>
      <c r="Q7" t="inlineStr"/>
    </row>
    <row r="8">
      <c r="A8" t="inlineStr">
        <is>
          <t>INFRASTRUKTUR JAYA MANDIRI</t>
        </is>
      </c>
      <c r="B8" t="inlineStr">
        <is>
          <t>Kab. Bogor</t>
        </is>
      </c>
      <c r="C8" t="inlineStr">
        <is>
          <t>082285501679</t>
        </is>
      </c>
      <c r="D8" t="inlineStr">
        <is>
          <t>infrastrukturjayamandiri5@gmail.com</t>
        </is>
      </c>
      <c r="E8" t="inlineStr">
        <is>
          <t>https://lpjk.pu.go.id/search-badan-usaha-detail/aDZ0U3V0RnVKaUY1TWpCRXhJdUdpUT09</t>
        </is>
      </c>
      <c r="F8" t="n">
        <v>2</v>
      </c>
      <c r="G8" t="inlineStr">
        <is>
          <t>BS002</t>
        </is>
      </c>
      <c r="H8" t="inlineStr">
        <is>
          <t>22 Juni 2012</t>
        </is>
      </c>
      <c r="I8" s="2" t="n">
        <v>46285</v>
      </c>
      <c r="J8" t="inlineStr">
        <is>
          <t>Pencabutan</t>
        </is>
      </c>
      <c r="K8" t="n">
        <v>30</v>
      </c>
      <c r="L8" t="inlineStr">
        <is>
          <t>20 September 2026</t>
        </is>
      </c>
      <c r="M8" t="inlineStr">
        <is>
          <t>Bangunan Sipil Jembatan, Jalan Layang, Fly Over, dan Underpass</t>
        </is>
      </c>
      <c r="N8" t="inlineStr">
        <is>
          <t>K</t>
        </is>
      </c>
      <c r="O8" t="inlineStr">
        <is>
          <t>20230919</t>
        </is>
      </c>
      <c r="P8" t="inlineStr">
        <is>
          <t>Jawa Barat</t>
        </is>
      </c>
      <c r="Q8" s="3">
        <f>HYPERLINK("https://wa.me/6282285501679?text=*[Pengingat Masa Berlaku SBU INFRASTRUKTUR JAYA MANDIRI]*%0A%0AYth. Pimpinan INFRASTRUKTUR JAYA MANDIRI,%0AMohon izin menginformasikan status SBU Anda:%0A%0A📄 SBU: BS002%0A📅 Expired: 20 September 2026 (30 Hari Lagi)%0A%0AKami tim PT. ESDEA Assistance Management siap men-support proses perpanjangan segera agar administrasi proyek tidak terhambat%0A%0AApakah boleh saya bantu siapkan estimasi biaya dan waktu pengerjaannya?.", "Hubungi")</f>
        <v/>
      </c>
    </row>
    <row r="9">
      <c r="A9" t="inlineStr">
        <is>
          <t>JARING RAINAN HUTAMA</t>
        </is>
      </c>
      <c r="B9" t="inlineStr">
        <is>
          <t>Kab. Bogor</t>
        </is>
      </c>
      <c r="C9" t="inlineStr">
        <is>
          <t>081219020086</t>
        </is>
      </c>
      <c r="D9" t="inlineStr">
        <is>
          <t>jaringrh2022@gmail.com</t>
        </is>
      </c>
      <c r="E9" t="inlineStr">
        <is>
          <t>https://lpjk.pu.go.id/search-badan-usaha-detail/eFpVR0IwZVhjYStKRW1kVDU4bFhZdz09</t>
        </is>
      </c>
      <c r="F9" t="n">
        <v>1</v>
      </c>
      <c r="G9" t="inlineStr">
        <is>
          <t>BS007</t>
        </is>
      </c>
      <c r="H9" t="inlineStr">
        <is>
          <t>20 September 2019</t>
        </is>
      </c>
      <c r="I9" s="2" t="n">
        <v>46285</v>
      </c>
      <c r="J9" t="inlineStr">
        <is>
          <t>Pencabutan</t>
        </is>
      </c>
      <c r="K9" t="n">
        <v>30</v>
      </c>
      <c r="L9" t="inlineStr">
        <is>
          <t>20 September 2026</t>
        </is>
      </c>
      <c r="M9" t="inlineStr">
        <is>
          <t>Konstruksi Bangunan Sipil Elektrikal</t>
        </is>
      </c>
      <c r="N9" t="inlineStr">
        <is>
          <t>K</t>
        </is>
      </c>
      <c r="O9" t="inlineStr">
        <is>
          <t>20230918</t>
        </is>
      </c>
      <c r="P9" t="inlineStr">
        <is>
          <t>Jawa Barat</t>
        </is>
      </c>
      <c r="Q9" s="3">
        <f>HYPERLINK("https://wa.me/6281219020086?text=*[Pengingat Masa Berlaku SBU JARING RAINAN HUTAMA]*%0A%0AYth. Pimpinan JARING RAINAN HUTAMA,%0AMohon izin menginformasikan status SBU Anda:%0A%0A📄 SBU: BS007%0A📅 Expired: 20 September 2026 (30 Hari Lagi)%0A%0AKami tim PT. ESDEA Assistance Management siap men-support proses perpanjangan segera agar administrasi proyek tidak terhambat%0A%0AApakah boleh saya bantu siapkan estimasi biaya dan waktu pengerjaannya?.", "Hubungi")</f>
        <v/>
      </c>
    </row>
    <row r="10">
      <c r="A10" t="inlineStr">
        <is>
          <t>KARTIKA ANUGERAH UTAMA</t>
        </is>
      </c>
      <c r="B10" t="inlineStr">
        <is>
          <t>Kota Depok</t>
        </is>
      </c>
      <c r="C10" t="inlineStr">
        <is>
          <t>02187755951</t>
        </is>
      </c>
      <c r="D10" t="inlineStr">
        <is>
          <t>kartikaanugerahutama@yahoo.com</t>
        </is>
      </c>
      <c r="E10" t="inlineStr">
        <is>
          <t>https://lpjk.pu.go.id/search-badan-usaha-detail/WCtmS3ZVcXQ2STN0eTBGTW9QZzNiZz09</t>
        </is>
      </c>
      <c r="F10" t="n">
        <v>4</v>
      </c>
      <c r="G10" t="inlineStr">
        <is>
          <t>BG001, BG002, BG006, BG009</t>
        </is>
      </c>
      <c r="H10" t="inlineStr">
        <is>
          <t>23 Februari 2011</t>
        </is>
      </c>
      <c r="I10" s="2" t="n">
        <v>46285</v>
      </c>
      <c r="J10" t="inlineStr">
        <is>
          <t>Disetujui</t>
        </is>
      </c>
      <c r="K10" t="n">
        <v>30</v>
      </c>
      <c r="L10" t="inlineStr">
        <is>
          <t>20 September 2026</t>
        </is>
      </c>
      <c r="M10" t="inlineStr">
        <is>
          <t>Konstruksi Gedung Hunian, Konstruksi Gedung Lainnya, Konstruksi Gedung Pendidikan, Konstruksi Gedung Perkantoran</t>
        </is>
      </c>
      <c r="N10" t="inlineStr">
        <is>
          <t>K</t>
        </is>
      </c>
      <c r="O10" t="inlineStr">
        <is>
          <t>20230919</t>
        </is>
      </c>
      <c r="P10" t="inlineStr">
        <is>
          <t>Jawa Barat</t>
        </is>
      </c>
      <c r="Q10" t="inlineStr"/>
    </row>
    <row r="11">
      <c r="A11" t="inlineStr">
        <is>
          <t>KARYA USAHA SINERGI</t>
        </is>
      </c>
      <c r="B11" t="inlineStr">
        <is>
          <t>Kota Bogor</t>
        </is>
      </c>
      <c r="C11" t="inlineStr">
        <is>
          <t>02518324716</t>
        </is>
      </c>
      <c r="D11" t="inlineStr">
        <is>
          <t>karyausahasinergi@gmail.com</t>
        </is>
      </c>
      <c r="E11" t="inlineStr">
        <is>
          <t>https://lpjk.pu.go.id/search-badan-usaha-detail/ZkIxK252NVJYbTVKS0IzeHNaeTNWdz09</t>
        </is>
      </c>
      <c r="F11" t="n">
        <v>1</v>
      </c>
      <c r="G11" t="inlineStr">
        <is>
          <t>BS002</t>
        </is>
      </c>
      <c r="H11" t="inlineStr">
        <is>
          <t>7 Juli 2017</t>
        </is>
      </c>
      <c r="I11" s="2" t="n">
        <v>46285</v>
      </c>
      <c r="J11" t="inlineStr">
        <is>
          <t>Disetujui</t>
        </is>
      </c>
      <c r="K11" t="n">
        <v>30</v>
      </c>
      <c r="L11" t="inlineStr">
        <is>
          <t>20 September 2026</t>
        </is>
      </c>
      <c r="M11" t="inlineStr">
        <is>
          <t>Bangunan Sipil Jembatan, Jalan Layang, Fly Over, dan Underpass</t>
        </is>
      </c>
      <c r="N11" t="inlineStr">
        <is>
          <t>K</t>
        </is>
      </c>
      <c r="O11" t="inlineStr">
        <is>
          <t>20230919</t>
        </is>
      </c>
      <c r="P11" t="inlineStr">
        <is>
          <t>Jawa Barat</t>
        </is>
      </c>
      <c r="Q11" s="3">
        <f>HYPERLINK("https://wa.me/622518324716?text=*[Pengingat Masa Berlaku SBU KARYA USAHA SINERGI]*%0A%0AYth. Pimpinan KARYA USAHA SINERGI,%0AMohon izin menginformasikan status SBU Anda:%0A%0A📄 SBU: BS002%0A📅 Expired: 20 September 2026 (30 Hari Lagi)%0A%0AKami tim PT. ESDEA Assistance Management siap men-support proses perpanjangan segera agar administrasi proyek tidak terhambat%0A%0AApakah boleh saya bantu siapkan estimasi biaya dan waktu pengerjaannya?.", "Hubungi")</f>
        <v/>
      </c>
    </row>
    <row r="12">
      <c r="A12" t="inlineStr">
        <is>
          <t>KINARYA MAESTRO NUSANTARA</t>
        </is>
      </c>
      <c r="B12" t="inlineStr">
        <is>
          <t>Kota Depok</t>
        </is>
      </c>
      <c r="C12" t="inlineStr">
        <is>
          <t>087878000786</t>
        </is>
      </c>
      <c r="D12" t="inlineStr">
        <is>
          <t>kinaryamaestronusantara@gmail.com</t>
        </is>
      </c>
      <c r="E12" t="inlineStr">
        <is>
          <t>https://lpjk.pu.go.id/search-badan-usaha-detail/aHF0cWQxUEJmZnJ5dFZ5NUJGaTFkZz09</t>
        </is>
      </c>
      <c r="F12" t="n">
        <v>16</v>
      </c>
      <c r="G12" t="inlineStr">
        <is>
          <t>BG001, BG002, BG003, BG005, BG008</t>
        </is>
      </c>
      <c r="H12" t="inlineStr">
        <is>
          <t>29 Agustus 2023</t>
        </is>
      </c>
      <c r="I12" s="2" t="n">
        <v>46285</v>
      </c>
      <c r="J12" t="inlineStr">
        <is>
          <t>Disetujui</t>
        </is>
      </c>
      <c r="K12" t="n">
        <v>30</v>
      </c>
      <c r="L12" t="inlineStr">
        <is>
          <t>20 September 2026</t>
        </is>
      </c>
      <c r="M12" t="inlineStr">
        <is>
          <t>Konstruksi Gedung Hunian, Konstruksi Gedung Industri, Konstruksi Gedung Kesehatan, Konstruksi Gedung Perkantoran, Konstruksi Gedung Tempat Hiburan dan Olahraga</t>
        </is>
      </c>
      <c r="N12" t="inlineStr">
        <is>
          <t>K, M</t>
        </is>
      </c>
      <c r="O12" t="inlineStr">
        <is>
          <t>20230907, 20230919, 20230921</t>
        </is>
      </c>
      <c r="P12" t="inlineStr">
        <is>
          <t>Jawa Barat</t>
        </is>
      </c>
      <c r="Q12" s="3">
        <f>HYPERLINK("https://wa.me/6287878000786?text=*[Pengingat Masa Berlaku SBU KINARYA MAESTRO NUSANTARA]*%0A%0AYth. Pimpinan KINARYA MAESTRO NUSANTARA,%0AMohon izin menginformasikan status SBU Anda:%0A%0A📄 SBU: BG001, BG002, BG003, BG005, BG008%0A📅 Expired: 20 September 2026 (30 Hari Lagi)%0A%0AKami tim PT. ESDEA Assistance Management siap men-support proses perpanjangan segera agar administrasi proyek tidak terhambat%0A%0AApakah boleh saya bantu siapkan estimasi biaya dan waktu pengerjaannya?.", "Hubungi")</f>
        <v/>
      </c>
    </row>
    <row r="13">
      <c r="A13" t="inlineStr">
        <is>
          <t>MINA TRANSINDO TOTABUAN</t>
        </is>
      </c>
      <c r="B13" t="inlineStr">
        <is>
          <t>Kota Adm. Jakarta Timur</t>
        </is>
      </c>
      <c r="C13" t="inlineStr">
        <is>
          <t>02129067257</t>
        </is>
      </c>
      <c r="D13" t="inlineStr">
        <is>
          <t>menara.pp@gmail.com</t>
        </is>
      </c>
      <c r="E13" t="inlineStr">
        <is>
          <t>https://lpjk.pu.go.id/search-badan-usaha-detail/WUhEeUNGOVZKOVFjelFabVB2OXh1QT09</t>
        </is>
      </c>
      <c r="F13" t="n">
        <v>1</v>
      </c>
      <c r="G13" t="inlineStr">
        <is>
          <t>BS003</t>
        </is>
      </c>
      <c r="H13" t="inlineStr">
        <is>
          <t>20 April 1998</t>
        </is>
      </c>
      <c r="I13" s="2" t="n">
        <v>46285</v>
      </c>
      <c r="J13" t="inlineStr">
        <is>
          <t>Dokumen Tidak Lengkap</t>
        </is>
      </c>
      <c r="K13" t="n">
        <v>30</v>
      </c>
      <c r="L13" t="inlineStr">
        <is>
          <t>20 September 2026</t>
        </is>
      </c>
      <c r="M13" t="inlineStr">
        <is>
          <t>Konstruksi Jalan Rel</t>
        </is>
      </c>
      <c r="N13" t="inlineStr">
        <is>
          <t>M</t>
        </is>
      </c>
      <c r="O13" t="inlineStr">
        <is>
          <t>20230810</t>
        </is>
      </c>
      <c r="P13" t="inlineStr">
        <is>
          <t>DKI Jakarta</t>
        </is>
      </c>
      <c r="Q13" t="inlineStr"/>
    </row>
    <row r="14">
      <c r="A14" t="inlineStr">
        <is>
          <t>RISKA PUTRI SULUNG</t>
        </is>
      </c>
      <c r="B14" t="inlineStr">
        <is>
          <t>Kota Depok</t>
        </is>
      </c>
      <c r="C14" t="inlineStr">
        <is>
          <t>085296848435</t>
        </is>
      </c>
      <c r="D14" t="inlineStr">
        <is>
          <t>ptriskaputrisulung@yahoo.com</t>
        </is>
      </c>
      <c r="E14" t="inlineStr">
        <is>
          <t>https://lpjk.pu.go.id/search-badan-usaha-detail/bkVkRlBxcGZLbHk0S01GRUYrVGNmdz09</t>
        </is>
      </c>
      <c r="F14" t="n">
        <v>1</v>
      </c>
      <c r="G14" t="inlineStr">
        <is>
          <t>BS005</t>
        </is>
      </c>
      <c r="H14" t="inlineStr">
        <is>
          <t>25 Juli 2022</t>
        </is>
      </c>
      <c r="I14" s="2" t="n">
        <v>46285</v>
      </c>
      <c r="J14" t="inlineStr">
        <is>
          <t>Disetujui</t>
        </is>
      </c>
      <c r="K14" t="n">
        <v>30</v>
      </c>
      <c r="L14" t="inlineStr">
        <is>
          <t>20 September 2026</t>
        </is>
      </c>
      <c r="M14" t="inlineStr">
        <is>
          <t>Konstruksi Bangunan Sipil Pengolahan Air Bersih</t>
        </is>
      </c>
      <c r="N14" t="inlineStr">
        <is>
          <t>K</t>
        </is>
      </c>
      <c r="O14" t="inlineStr">
        <is>
          <t>20230919</t>
        </is>
      </c>
      <c r="P14" t="inlineStr">
        <is>
          <t>Jawa Barat</t>
        </is>
      </c>
      <c r="Q14" s="3">
        <f>HYPERLINK("https://wa.me/6285296848435?text=*[Pengingat Masa Berlaku SBU RISKA PUTRI SULUNG]*%0A%0AYth. Pimpinan RISKA PUTRI SULUNG,%0AMohon izin menginformasikan status SBU Anda:%0A%0A📄 SBU: BS005%0A📅 Expired: 20 September 2026 (30 Hari Lagi)%0A%0AKami tim PT. ESDEA Assistance Management siap men-support proses perpanjangan segera agar administrasi proyek tidak terhambat%0A%0AApakah boleh saya bantu siapkan estimasi biaya dan waktu pengerjaannya?.", "Hubungi")</f>
        <v/>
      </c>
    </row>
    <row r="15">
      <c r="A15" t="inlineStr">
        <is>
          <t>SERIBU GARIS CAHAYA</t>
        </is>
      </c>
      <c r="B15" t="inlineStr">
        <is>
          <t>Kota Bekasi</t>
        </is>
      </c>
      <c r="C15" t="inlineStr">
        <is>
          <t>08111611143</t>
        </is>
      </c>
      <c r="D15" t="inlineStr">
        <is>
          <t>cvseribugariscahaya6@gmail.com</t>
        </is>
      </c>
      <c r="E15" t="inlineStr">
        <is>
          <t>https://lpjk.pu.go.id/search-badan-usaha-detail/amZheFJockFVSm1EOUU0REg1bzJYZz09</t>
        </is>
      </c>
      <c r="F15" t="n">
        <v>5</v>
      </c>
      <c r="G15" t="inlineStr">
        <is>
          <t>BG002, BG005, BG006, BG008, BG009</t>
        </is>
      </c>
      <c r="H15" t="inlineStr">
        <is>
          <t>13 Februari 2023</t>
        </is>
      </c>
      <c r="I15" s="2" t="n">
        <v>46285</v>
      </c>
      <c r="J15" t="inlineStr">
        <is>
          <t>Disetujui</t>
        </is>
      </c>
      <c r="K15" t="n">
        <v>30</v>
      </c>
      <c r="L15" t="inlineStr">
        <is>
          <t>20 September 2026</t>
        </is>
      </c>
      <c r="M15" t="inlineStr">
        <is>
          <t>Konstruksi Gedung Kesehatan, Konstruksi Gedung Lainnya, Konstruksi Gedung Pendidikan, Konstruksi Gedung Perkantoran, Konstruksi Gedung Tempat Hiburan dan Olahraga</t>
        </is>
      </c>
      <c r="N15" t="inlineStr">
        <is>
          <t>K</t>
        </is>
      </c>
      <c r="O15" t="inlineStr">
        <is>
          <t>20230915</t>
        </is>
      </c>
      <c r="P15" t="inlineStr">
        <is>
          <t>Jawa Barat</t>
        </is>
      </c>
      <c r="Q15" s="3">
        <f>HYPERLINK("https://wa.me/628111611143?text=*[Pengingat Masa Berlaku SBU SERIBU GARIS CAHAYA]*%0A%0AYth. Pimpinan SERIBU GARIS CAHAYA,%0AMohon izin menginformasikan status SBU Anda:%0A%0A📄 SBU: BG002, BG005, BG006, BG008, BG009%0A📅 Expired: 20 September 2026 (30 Hari Lagi)%0A%0AKami tim PT. ESDEA Assistance Management siap men-support proses perpanjangan segera agar administrasi proyek tidak terhambat%0A%0AApakah boleh saya bantu siapkan estimasi biaya dan waktu pengerjaannya?.", "Hubungi")</f>
        <v/>
      </c>
    </row>
    <row r="16">
      <c r="A16" t="inlineStr">
        <is>
          <t>SKALA RAYYA</t>
        </is>
      </c>
      <c r="B16" t="inlineStr">
        <is>
          <t>Kota Depok</t>
        </is>
      </c>
      <c r="C16" t="inlineStr">
        <is>
          <t>02177807712</t>
        </is>
      </c>
      <c r="D16" t="inlineStr">
        <is>
          <t>cvskalarayya@gmail.com</t>
        </is>
      </c>
      <c r="E16" t="inlineStr">
        <is>
          <t>https://lpjk.pu.go.id/search-badan-usaha-detail/WTN5Tkl4SW1jQTR5a3c4dG1Qd1ptUT09</t>
        </is>
      </c>
      <c r="F16" t="n">
        <v>4</v>
      </c>
      <c r="G16" t="inlineStr">
        <is>
          <t>BS001, BS002, BS004</t>
        </is>
      </c>
      <c r="H16" t="inlineStr">
        <is>
          <t>10 Agustus 2017</t>
        </is>
      </c>
      <c r="I16" s="2" t="n">
        <v>46285</v>
      </c>
      <c r="J16" t="inlineStr">
        <is>
          <t>Disetujui</t>
        </is>
      </c>
      <c r="K16" t="n">
        <v>30</v>
      </c>
      <c r="L16" t="inlineStr">
        <is>
          <t>20 September 2026</t>
        </is>
      </c>
      <c r="M16" t="inlineStr">
        <is>
          <t>Bangunan Sipil Jembatan, Jalan Layang, Fly Over, dan Underpass, Konstruksi Bangunan Sipil Jalan, Konstruksi Jaringan Irigasi dan Drainase</t>
        </is>
      </c>
      <c r="N16" t="inlineStr">
        <is>
          <t>K</t>
        </is>
      </c>
      <c r="O16" t="inlineStr">
        <is>
          <t>20230814, 20230904, 20230919</t>
        </is>
      </c>
      <c r="P16" t="inlineStr">
        <is>
          <t>Jawa Barat</t>
        </is>
      </c>
      <c r="Q16" t="inlineStr"/>
    </row>
    <row r="17">
      <c r="A17" t="inlineStr">
        <is>
          <t>SOLUSI KARYA KONSTRUKSI</t>
        </is>
      </c>
      <c r="B17" t="inlineStr">
        <is>
          <t>Kota Adm. Jakarta Timur</t>
        </is>
      </c>
      <c r="C17" t="inlineStr">
        <is>
          <t>02158905002</t>
        </is>
      </c>
      <c r="D17" t="inlineStr">
        <is>
          <t>pt.solusikaryakonstruksi@gmail.com</t>
        </is>
      </c>
      <c r="E17" t="inlineStr">
        <is>
          <t>https://lpjk.pu.go.id/search-badan-usaha-detail/WnVkUFVuOXo4YkpkTGkxaFdrS3B5UT09</t>
        </is>
      </c>
      <c r="F17" t="n">
        <v>2</v>
      </c>
      <c r="G17" t="inlineStr">
        <is>
          <t>IN003</t>
        </is>
      </c>
      <c r="H17" t="inlineStr">
        <is>
          <t>2 Agustus 2023</t>
        </is>
      </c>
      <c r="I17" s="2" t="n">
        <v>46285</v>
      </c>
      <c r="J17" t="inlineStr">
        <is>
          <t>Disetujui</t>
        </is>
      </c>
      <c r="K17" t="n">
        <v>30</v>
      </c>
      <c r="L17" t="inlineStr">
        <is>
          <t>20 September 2026</t>
        </is>
      </c>
      <c r="M17" t="inlineStr">
        <is>
          <t>Instalasi Peralatan Infrastruktur Pertambangan dan Manufaktur</t>
        </is>
      </c>
      <c r="N17" t="inlineStr">
        <is>
          <t>Spesialis</t>
        </is>
      </c>
      <c r="O17" t="inlineStr">
        <is>
          <t>20230919</t>
        </is>
      </c>
      <c r="P17" t="inlineStr">
        <is>
          <t>DKI Jakarta</t>
        </is>
      </c>
      <c r="Q17" t="inlineStr"/>
    </row>
    <row r="18">
      <c r="A18" t="inlineStr">
        <is>
          <t>ABABIL</t>
        </is>
      </c>
      <c r="B18" t="inlineStr">
        <is>
          <t>Kab. Donggala</t>
        </is>
      </c>
      <c r="C18" t="inlineStr">
        <is>
          <t>082191817808</t>
        </is>
      </c>
      <c r="D18" t="inlineStr">
        <is>
          <t>ababilium@gmail.com</t>
        </is>
      </c>
      <c r="E18" t="inlineStr">
        <is>
          <t>https://lpjk.pu.go.id/search-badan-usaha-detail/SWNPdTlvTjJLbXpTaklhM0o5RUpiZz09</t>
        </is>
      </c>
      <c r="F18" t="n">
        <v>4</v>
      </c>
      <c r="G18" t="inlineStr">
        <is>
          <t>BG006, BG009, BS001, BS004</t>
        </is>
      </c>
      <c r="H18" t="inlineStr">
        <is>
          <t>30 Januari 2012</t>
        </is>
      </c>
      <c r="I18" s="2" t="n">
        <v>46285</v>
      </c>
      <c r="J18" t="inlineStr">
        <is>
          <t>Disetujui</t>
        </is>
      </c>
      <c r="K18" t="n">
        <v>30</v>
      </c>
      <c r="L18" t="inlineStr">
        <is>
          <t>20 September 2026</t>
        </is>
      </c>
      <c r="M18" t="inlineStr">
        <is>
          <t>Konstruksi Bangunan Sipil Jalan, Konstruksi Gedung Lainnya, Konstruksi Gedung Pendidikan, Konstruksi Jaringan Irigasi dan Drainase</t>
        </is>
      </c>
      <c r="N18" t="inlineStr">
        <is>
          <t>K</t>
        </is>
      </c>
      <c r="O18" t="inlineStr">
        <is>
          <t>20230903, 20230904</t>
        </is>
      </c>
      <c r="P18" t="inlineStr">
        <is>
          <t>Sulawesi Tengah</t>
        </is>
      </c>
      <c r="Q18" t="inlineStr"/>
    </row>
    <row r="19">
      <c r="A19" t="inlineStr">
        <is>
          <t>ADA GROUP MANDIRI</t>
        </is>
      </c>
      <c r="B19" t="inlineStr">
        <is>
          <t>Kab. Toba Samosir</t>
        </is>
      </c>
      <c r="C19" t="inlineStr">
        <is>
          <t>082165935068</t>
        </is>
      </c>
      <c r="D19" t="inlineStr">
        <is>
          <t>ptadagroupmandiriagm@gmail.com</t>
        </is>
      </c>
      <c r="E19" t="inlineStr">
        <is>
          <t>https://lpjk.pu.go.id/search-badan-usaha-detail/ZGo5aXJWMUhVRWpVRUw5WWFuREJ4dz09</t>
        </is>
      </c>
      <c r="F19" t="n">
        <v>2</v>
      </c>
      <c r="G19" t="inlineStr">
        <is>
          <t>BS002, BS004</t>
        </is>
      </c>
      <c r="H19" t="inlineStr">
        <is>
          <t>1 Agustus 2023</t>
        </is>
      </c>
      <c r="I19" s="2" t="n">
        <v>46285</v>
      </c>
      <c r="J19" t="inlineStr">
        <is>
          <t>Disetujui</t>
        </is>
      </c>
      <c r="K19" t="n">
        <v>30</v>
      </c>
      <c r="L19" t="inlineStr">
        <is>
          <t>20 September 2026</t>
        </is>
      </c>
      <c r="M19" t="inlineStr">
        <is>
          <t>Bangunan Sipil Jembatan, Jalan Layang, Fly Over, dan Underpass, Konstruksi Jaringan Irigasi dan Drainase</t>
        </is>
      </c>
      <c r="N19" t="inlineStr">
        <is>
          <t>K</t>
        </is>
      </c>
      <c r="O19" t="inlineStr">
        <is>
          <t>20230919</t>
        </is>
      </c>
      <c r="P19" t="inlineStr">
        <is>
          <t>Sumatera Utara</t>
        </is>
      </c>
      <c r="Q19" t="inlineStr"/>
    </row>
    <row r="20">
      <c r="A20" t="inlineStr">
        <is>
          <t>ADHITAMA KARYA MANDIRI</t>
        </is>
      </c>
      <c r="B20" t="inlineStr">
        <is>
          <t>Kab. Sidoarjo</t>
        </is>
      </c>
      <c r="C20" t="inlineStr">
        <is>
          <t>081280847658</t>
        </is>
      </c>
      <c r="D20" t="inlineStr">
        <is>
          <t>adhitamakaryamandiri9@gmail.com</t>
        </is>
      </c>
      <c r="E20" t="inlineStr">
        <is>
          <t>https://lpjk.pu.go.id/search-badan-usaha-detail/M2ZFTEx4aUxzKzMrd2FIUkZ3cDJWUT09</t>
        </is>
      </c>
      <c r="F20" t="n">
        <v>2</v>
      </c>
      <c r="G20" t="inlineStr">
        <is>
          <t>BG006</t>
        </is>
      </c>
      <c r="H20" t="inlineStr">
        <is>
          <t>8 Agustus 2016</t>
        </is>
      </c>
      <c r="I20" s="2" t="n">
        <v>46285</v>
      </c>
      <c r="J20" t="inlineStr">
        <is>
          <t>Disetujui</t>
        </is>
      </c>
      <c r="K20" t="n">
        <v>30</v>
      </c>
      <c r="L20" t="inlineStr">
        <is>
          <t>20 September 2026</t>
        </is>
      </c>
      <c r="M20" t="inlineStr">
        <is>
          <t>Konstruksi Gedung Pendidikan</t>
        </is>
      </c>
      <c r="N20" t="inlineStr">
        <is>
          <t>K</t>
        </is>
      </c>
      <c r="O20" t="inlineStr">
        <is>
          <t>20230908</t>
        </is>
      </c>
      <c r="P20" t="inlineStr">
        <is>
          <t>Jawa Timur</t>
        </is>
      </c>
      <c r="Q20" t="inlineStr"/>
    </row>
    <row r="21">
      <c r="A21" t="inlineStr">
        <is>
          <t>AKA DESIGN DAN ENGINEERING</t>
        </is>
      </c>
      <c r="B21" t="inlineStr">
        <is>
          <t>Kab. Malang</t>
        </is>
      </c>
      <c r="C21" t="inlineStr">
        <is>
          <t>081232662022</t>
        </is>
      </c>
      <c r="D21" t="inlineStr">
        <is>
          <t>akdesignengineering@gmail.com</t>
        </is>
      </c>
      <c r="E21" t="inlineStr">
        <is>
          <t>https://lpjk.pu.go.id/search-badan-usaha-detail/SE83M1hsLzJzVzVYS3BHYmR2Uno5dz09</t>
        </is>
      </c>
      <c r="F21" t="n">
        <v>1</v>
      </c>
      <c r="G21" t="inlineStr">
        <is>
          <t>AR001</t>
        </is>
      </c>
      <c r="H21" t="inlineStr">
        <is>
          <t>15 Mei 2017</t>
        </is>
      </c>
      <c r="I21" s="2" t="n">
        <v>46285</v>
      </c>
      <c r="J21" t="inlineStr">
        <is>
          <t>Disetujui</t>
        </is>
      </c>
      <c r="K21" t="n">
        <v>30</v>
      </c>
      <c r="L21" t="inlineStr">
        <is>
          <t>20 September 2026</t>
        </is>
      </c>
      <c r="M21" t="inlineStr">
        <is>
          <t>Jasa Arsitektural Bangunan Gedung Hunian dan Non Hunian</t>
        </is>
      </c>
      <c r="N21" t="inlineStr">
        <is>
          <t>K</t>
        </is>
      </c>
      <c r="O21" t="inlineStr">
        <is>
          <t>20230915</t>
        </is>
      </c>
      <c r="P21" t="inlineStr">
        <is>
          <t>Jawa Timur</t>
        </is>
      </c>
      <c r="Q21" t="inlineStr"/>
    </row>
    <row r="22">
      <c r="A22" t="inlineStr">
        <is>
          <t>AKASIA LIGAR MANDIRI</t>
        </is>
      </c>
      <c r="B22" t="inlineStr">
        <is>
          <t>Kab. Tasikmalaya</t>
        </is>
      </c>
      <c r="C22" t="inlineStr">
        <is>
          <t>081321650650</t>
        </is>
      </c>
      <c r="D22" t="inlineStr">
        <is>
          <t>cvakasialigarmandiri@gmail.com</t>
        </is>
      </c>
      <c r="E22" t="inlineStr">
        <is>
          <t>https://lpjk.pu.go.id/search-badan-usaha-detail/S281aVh0aTlVYWhacjdNSVhINGxlQT09</t>
        </is>
      </c>
      <c r="F22" t="n">
        <v>8</v>
      </c>
      <c r="G22" t="inlineStr">
        <is>
          <t>BG005, BG006, BG009, BS001</t>
        </is>
      </c>
      <c r="H22" t="inlineStr">
        <is>
          <t>24 Juli 2023</t>
        </is>
      </c>
      <c r="I22" s="2" t="n">
        <v>46285</v>
      </c>
      <c r="J22" t="inlineStr">
        <is>
          <t>Disetujui</t>
        </is>
      </c>
      <c r="K22" t="n">
        <v>30</v>
      </c>
      <c r="L22" t="inlineStr">
        <is>
          <t>20 September 2026</t>
        </is>
      </c>
      <c r="M22" t="inlineStr">
        <is>
          <t>Konstruksi Bangunan Sipil Jalan, Konstruksi Gedung Kesehatan, Konstruksi Gedung Lainnya, Konstruksi Gedung Pendidikan</t>
        </is>
      </c>
      <c r="N22" t="inlineStr">
        <is>
          <t>K</t>
        </is>
      </c>
      <c r="O22" t="inlineStr">
        <is>
          <t>20230831, 20230901, 20230912</t>
        </is>
      </c>
      <c r="P22" t="inlineStr">
        <is>
          <t>Jawa Barat</t>
        </is>
      </c>
      <c r="Q22" t="inlineStr"/>
    </row>
    <row r="23">
      <c r="A23" t="inlineStr">
        <is>
          <t>AKSATA BINAR CONSULTAN</t>
        </is>
      </c>
      <c r="B23" t="inlineStr">
        <is>
          <t>Kab. Lombok Timur</t>
        </is>
      </c>
      <c r="C23" t="inlineStr">
        <is>
          <t>087846795900</t>
        </is>
      </c>
      <c r="D23" t="inlineStr">
        <is>
          <t>cvaksatabinarconsultant@gmail.com</t>
        </is>
      </c>
      <c r="E23" t="inlineStr">
        <is>
          <t>https://lpjk.pu.go.id/search-badan-usaha-detail/bUZOMmlRa2c0dFBGQUpIT2t6VjZWQT09</t>
        </is>
      </c>
      <c r="F23" t="n">
        <v>2</v>
      </c>
      <c r="G23" t="inlineStr">
        <is>
          <t>RK003</t>
        </is>
      </c>
      <c r="H23" t="inlineStr">
        <is>
          <t>18 Agustus 2023</t>
        </is>
      </c>
      <c r="I23" s="2" t="n">
        <v>46285</v>
      </c>
      <c r="J23" t="inlineStr">
        <is>
          <t>Disetujui</t>
        </is>
      </c>
      <c r="K23" t="n">
        <v>30</v>
      </c>
      <c r="L23" t="inlineStr">
        <is>
          <t>20 September 2026</t>
        </is>
      </c>
      <c r="M23" t="inlineStr">
        <is>
          <t>Jasa Rekayasa Pekerjaan Teknik Sipil Transportasi</t>
        </is>
      </c>
      <c r="N23" t="inlineStr">
        <is>
          <t>K</t>
        </is>
      </c>
      <c r="O23" t="inlineStr">
        <is>
          <t>20230831</t>
        </is>
      </c>
      <c r="P23" t="inlineStr">
        <is>
          <t>Nusa Tenggara Barat</t>
        </is>
      </c>
      <c r="Q23" t="inlineStr"/>
    </row>
    <row r="24">
      <c r="A24" t="inlineStr">
        <is>
          <t>ALMIRA BERJAYA</t>
        </is>
      </c>
      <c r="B24" t="inlineStr">
        <is>
          <t>Kab. Pahuwato</t>
        </is>
      </c>
      <c r="C24" t="inlineStr">
        <is>
          <t>081258025250</t>
        </is>
      </c>
      <c r="D24" t="inlineStr">
        <is>
          <t>almiraberjaya16@gmail.com</t>
        </is>
      </c>
      <c r="E24" t="inlineStr">
        <is>
          <t>https://lpjk.pu.go.id/search-badan-usaha-detail/dHlRem95MFFnUWhPS3FBWHBpdHRQUT09</t>
        </is>
      </c>
      <c r="F24" t="n">
        <v>1</v>
      </c>
      <c r="G24" t="inlineStr">
        <is>
          <t>BG009</t>
        </is>
      </c>
      <c r="H24" t="inlineStr">
        <is>
          <t>8 November 2022</t>
        </is>
      </c>
      <c r="I24" s="2" t="n">
        <v>46285</v>
      </c>
      <c r="J24" t="inlineStr">
        <is>
          <t>Disetujui</t>
        </is>
      </c>
      <c r="K24" t="n">
        <v>30</v>
      </c>
      <c r="L24" t="inlineStr">
        <is>
          <t>20 September 2026</t>
        </is>
      </c>
      <c r="M24" t="inlineStr">
        <is>
          <t>Konstruksi Gedung Lainnya</t>
        </is>
      </c>
      <c r="N24" t="inlineStr">
        <is>
          <t>K</t>
        </is>
      </c>
      <c r="O24" t="inlineStr">
        <is>
          <t>20230914</t>
        </is>
      </c>
      <c r="P24" t="inlineStr">
        <is>
          <t>Gorontalo</t>
        </is>
      </c>
      <c r="Q24" t="inlineStr"/>
    </row>
    <row r="25">
      <c r="A25" t="inlineStr">
        <is>
          <t>ALUNA KARYA INDONESIA</t>
        </is>
      </c>
      <c r="B25" t="inlineStr">
        <is>
          <t>Kab. Toba Samosir</t>
        </is>
      </c>
      <c r="C25" t="inlineStr">
        <is>
          <t>085260141163</t>
        </is>
      </c>
      <c r="D25" t="inlineStr">
        <is>
          <t>alunakaryaindonesia@gmail.com</t>
        </is>
      </c>
      <c r="E25" t="inlineStr">
        <is>
          <t>https://lpjk.pu.go.id/search-badan-usaha-detail/RHl6UnNHbW9GbUhQTU1jU3VOcjFPZz09</t>
        </is>
      </c>
      <c r="F25" t="n">
        <v>1</v>
      </c>
      <c r="G25" t="inlineStr">
        <is>
          <t>BS001</t>
        </is>
      </c>
      <c r="H25" t="inlineStr">
        <is>
          <t>25 April 2022</t>
        </is>
      </c>
      <c r="I25" s="2" t="n">
        <v>46285</v>
      </c>
      <c r="J25" t="inlineStr">
        <is>
          <t>Disetujui</t>
        </is>
      </c>
      <c r="K25" t="n">
        <v>30</v>
      </c>
      <c r="L25" t="inlineStr">
        <is>
          <t>20 September 2026</t>
        </is>
      </c>
      <c r="M25" t="inlineStr">
        <is>
          <t>Konstruksi Bangunan Sipil Jalan</t>
        </is>
      </c>
      <c r="N25" t="inlineStr">
        <is>
          <t>K</t>
        </is>
      </c>
      <c r="O25" t="inlineStr">
        <is>
          <t>20230920</t>
        </is>
      </c>
      <c r="P25" t="inlineStr">
        <is>
          <t>Sumatera Utara</t>
        </is>
      </c>
      <c r="Q25" t="inlineStr"/>
    </row>
    <row r="26">
      <c r="A26" t="inlineStr">
        <is>
          <t>ALVINDO JAYA</t>
        </is>
      </c>
      <c r="B26" t="inlineStr">
        <is>
          <t>Kab. Kubu Raya</t>
        </is>
      </c>
      <c r="C26" t="inlineStr">
        <is>
          <t>085738594106</t>
        </is>
      </c>
      <c r="D26" t="inlineStr">
        <is>
          <t>alvindo3078@gmail.com</t>
        </is>
      </c>
      <c r="E26" t="inlineStr">
        <is>
          <t>https://lpjk.pu.go.id/search-badan-usaha-detail/SFdrY3dmRTZaK1dvamxTRFRsN25LZz09</t>
        </is>
      </c>
      <c r="F26" t="n">
        <v>9</v>
      </c>
      <c r="G26" t="inlineStr">
        <is>
          <t>BS001, BS002, BS004</t>
        </is>
      </c>
      <c r="H26" t="inlineStr">
        <is>
          <t>19 Januari 2011</t>
        </is>
      </c>
      <c r="I26" s="2" t="n">
        <v>46285</v>
      </c>
      <c r="J26" t="inlineStr">
        <is>
          <t>Disetujui</t>
        </is>
      </c>
      <c r="K26" t="n">
        <v>30</v>
      </c>
      <c r="L26" t="inlineStr">
        <is>
          <t>20 September 2026</t>
        </is>
      </c>
      <c r="M26" t="inlineStr">
        <is>
          <t>Bangunan Sipil Jembatan, Jalan Layang, Fly Over, dan Underpass, Konstruksi Bangunan Sipil Jalan, Konstruksi Jaringan Irigasi dan Drainase</t>
        </is>
      </c>
      <c r="N26" t="inlineStr">
        <is>
          <t>K</t>
        </is>
      </c>
      <c r="O26" t="inlineStr">
        <is>
          <t>20230918, 20230920</t>
        </is>
      </c>
      <c r="P26" t="inlineStr">
        <is>
          <t>Kalimantan Barat</t>
        </is>
      </c>
      <c r="Q26" t="inlineStr"/>
    </row>
    <row r="27">
      <c r="A27" t="inlineStr">
        <is>
          <t>AMERU</t>
        </is>
      </c>
      <c r="B27" t="inlineStr">
        <is>
          <t>Kota Makassar</t>
        </is>
      </c>
      <c r="C27" t="inlineStr">
        <is>
          <t>085299116591</t>
        </is>
      </c>
      <c r="D27" t="inlineStr">
        <is>
          <t>cv.ameru@gmail.com</t>
        </is>
      </c>
      <c r="E27" t="inlineStr">
        <is>
          <t>https://lpjk.pu.go.id/search-badan-usaha-detail/bWRZZHAvalpBMm5oZmZzK05JWnJqZz09</t>
        </is>
      </c>
      <c r="F27" t="n">
        <v>2</v>
      </c>
      <c r="G27" t="inlineStr">
        <is>
          <t>BG001, BG009</t>
        </is>
      </c>
      <c r="H27" t="inlineStr">
        <is>
          <t>18 Januari 2017</t>
        </is>
      </c>
      <c r="I27" s="2" t="n">
        <v>46285</v>
      </c>
      <c r="J27" t="inlineStr">
        <is>
          <t>Disetujui</t>
        </is>
      </c>
      <c r="K27" t="n">
        <v>30</v>
      </c>
      <c r="L27" t="inlineStr">
        <is>
          <t>20 September 2026</t>
        </is>
      </c>
      <c r="M27" t="inlineStr">
        <is>
          <t>Konstruksi Gedung Hunian, Konstruksi Gedung Lainnya</t>
        </is>
      </c>
      <c r="N27" t="inlineStr">
        <is>
          <t>K</t>
        </is>
      </c>
      <c r="O27" t="inlineStr">
        <is>
          <t>20230920</t>
        </is>
      </c>
      <c r="P27" t="inlineStr">
        <is>
          <t>Sulawesi Selatan</t>
        </is>
      </c>
      <c r="Q27" t="inlineStr"/>
    </row>
    <row r="28">
      <c r="A28" t="inlineStr">
        <is>
          <t>AMIRA PUTRI PERKASA</t>
        </is>
      </c>
      <c r="B28" t="inlineStr">
        <is>
          <t>Kab. Jeneponto</t>
        </is>
      </c>
      <c r="C28" t="inlineStr">
        <is>
          <t>082194370699</t>
        </is>
      </c>
      <c r="D28" t="inlineStr">
        <is>
          <t>amiraputriperkasa@gmail.com</t>
        </is>
      </c>
      <c r="E28" t="inlineStr">
        <is>
          <t>https://lpjk.pu.go.id/search-badan-usaha-detail/Qm82dEJNWXZtVTd4YTZMSFMvM0dhUT09</t>
        </is>
      </c>
      <c r="F28" t="n">
        <v>2</v>
      </c>
      <c r="G28" t="inlineStr">
        <is>
          <t>BG005, BG006</t>
        </is>
      </c>
      <c r="H28" t="inlineStr">
        <is>
          <t>15 September 2023</t>
        </is>
      </c>
      <c r="I28" s="2" t="n">
        <v>46285</v>
      </c>
      <c r="J28" t="inlineStr">
        <is>
          <t>Disetujui</t>
        </is>
      </c>
      <c r="K28" t="n">
        <v>30</v>
      </c>
      <c r="L28" t="inlineStr">
        <is>
          <t>20 September 2026</t>
        </is>
      </c>
      <c r="M28" t="inlineStr">
        <is>
          <t>Konstruksi Gedung Kesehatan, Konstruksi Gedung Pendidikan</t>
        </is>
      </c>
      <c r="N28" t="inlineStr">
        <is>
          <t>K</t>
        </is>
      </c>
      <c r="O28" t="inlineStr">
        <is>
          <t>20230920</t>
        </is>
      </c>
      <c r="P28" t="inlineStr">
        <is>
          <t>Sulawesi Selatan</t>
        </is>
      </c>
      <c r="Q28" t="inlineStr"/>
    </row>
    <row r="29">
      <c r="A29" t="inlineStr">
        <is>
          <t>ANDARA IDEHOME</t>
        </is>
      </c>
      <c r="B29" t="inlineStr">
        <is>
          <t>Kab. Kendal</t>
        </is>
      </c>
      <c r="C29" t="inlineStr">
        <is>
          <t>081310691396</t>
        </is>
      </c>
      <c r="D29" t="inlineStr">
        <is>
          <t>andaraindehome@gmail.com</t>
        </is>
      </c>
      <c r="E29" t="inlineStr">
        <is>
          <t>https://lpjk.pu.go.id/search-badan-usaha-detail/Y1RoVHZpdmNQcEh3SitkZjhCcFVNZz09</t>
        </is>
      </c>
      <c r="F29" t="n">
        <v>2</v>
      </c>
      <c r="G29" t="inlineStr">
        <is>
          <t>BG001</t>
        </is>
      </c>
      <c r="H29" t="inlineStr">
        <is>
          <t>28 Agustus 2023</t>
        </is>
      </c>
      <c r="I29" s="2" t="n">
        <v>46285</v>
      </c>
      <c r="J29" t="inlineStr">
        <is>
          <t>Disetujui</t>
        </is>
      </c>
      <c r="K29" t="n">
        <v>30</v>
      </c>
      <c r="L29" t="inlineStr">
        <is>
          <t>20 September 2026</t>
        </is>
      </c>
      <c r="M29" t="inlineStr">
        <is>
          <t>Konstruksi Gedung Hunian</t>
        </is>
      </c>
      <c r="N29" t="inlineStr">
        <is>
          <t>K</t>
        </is>
      </c>
      <c r="O29" t="inlineStr">
        <is>
          <t>20230919</t>
        </is>
      </c>
      <c r="P29" t="inlineStr">
        <is>
          <t>Jawa Tengah</t>
        </is>
      </c>
      <c r="Q29" t="inlineStr"/>
    </row>
    <row r="30">
      <c r="A30" t="inlineStr">
        <is>
          <t>ANUGERAH RESTU IBU</t>
        </is>
      </c>
      <c r="B30" t="inlineStr">
        <is>
          <t>Kab. Tulungagung</t>
        </is>
      </c>
      <c r="C30" t="inlineStr">
        <is>
          <t>081553690203</t>
        </is>
      </c>
      <c r="D30" t="inlineStr">
        <is>
          <t>anugerahrestuibu@gmail.com</t>
        </is>
      </c>
      <c r="E30" t="inlineStr">
        <is>
          <t>https://lpjk.pu.go.id/search-badan-usaha-detail/L0pDY3dRZHQwZWhQY0pZT0ExUms2Zz09</t>
        </is>
      </c>
      <c r="F30" t="n">
        <v>3</v>
      </c>
      <c r="G30" t="inlineStr">
        <is>
          <t>BG002, BG004, BG006</t>
        </is>
      </c>
      <c r="H30" t="inlineStr">
        <is>
          <t>11 Januari 2017</t>
        </is>
      </c>
      <c r="I30" s="2" t="n">
        <v>46285</v>
      </c>
      <c r="J30" t="inlineStr">
        <is>
          <t>Disetujui</t>
        </is>
      </c>
      <c r="K30" t="n">
        <v>30</v>
      </c>
      <c r="L30" t="inlineStr">
        <is>
          <t>20 September 2026</t>
        </is>
      </c>
      <c r="M30" t="inlineStr">
        <is>
          <t>Konstruksi Gedung Pendidikan, Konstruksi Gedung Perbelanjaan, Konstruksi Gedung Perkantoran</t>
        </is>
      </c>
      <c r="N30" t="inlineStr">
        <is>
          <t>K</t>
        </is>
      </c>
      <c r="O30" t="inlineStr">
        <is>
          <t>20230919, 20230921</t>
        </is>
      </c>
      <c r="P30" t="inlineStr">
        <is>
          <t>Jawa Timur</t>
        </is>
      </c>
      <c r="Q30" t="inlineStr"/>
    </row>
    <row r="31">
      <c r="A31" t="inlineStr">
        <is>
          <t>ARDIAN RAYA</t>
        </is>
      </c>
      <c r="B31" t="inlineStr">
        <is>
          <t>Kota Kendari</t>
        </is>
      </c>
      <c r="C31" t="inlineStr">
        <is>
          <t>085241882572</t>
        </is>
      </c>
      <c r="D31" t="inlineStr">
        <is>
          <t>ardianrayacv@gmail.com</t>
        </is>
      </c>
      <c r="E31" t="inlineStr">
        <is>
          <t>https://lpjk.pu.go.id/search-badan-usaha-detail/eDZkaXNxT2dHa09sQVhQMTAvcTlkQT09</t>
        </is>
      </c>
      <c r="F31" t="n">
        <v>2</v>
      </c>
      <c r="G31" t="inlineStr">
        <is>
          <t>BS004</t>
        </is>
      </c>
      <c r="H31" t="inlineStr">
        <is>
          <t>4 Januari 2010</t>
        </is>
      </c>
      <c r="I31" s="2" t="n">
        <v>46285</v>
      </c>
      <c r="J31" t="inlineStr">
        <is>
          <t>Disetujui</t>
        </is>
      </c>
      <c r="K31" t="n">
        <v>30</v>
      </c>
      <c r="L31" t="inlineStr">
        <is>
          <t>20 September 2026</t>
        </is>
      </c>
      <c r="M31" t="inlineStr">
        <is>
          <t>Konstruksi Jaringan Irigasi dan Drainase</t>
        </is>
      </c>
      <c r="N31" t="inlineStr">
        <is>
          <t>K</t>
        </is>
      </c>
      <c r="O31" t="inlineStr">
        <is>
          <t>20230904</t>
        </is>
      </c>
      <c r="P31" t="inlineStr">
        <is>
          <t>Sulawesi Tenggara</t>
        </is>
      </c>
      <c r="Q31" t="inlineStr"/>
    </row>
    <row r="32">
      <c r="A32" t="inlineStr">
        <is>
          <t>ARIS GRAHA INDOTAMA</t>
        </is>
      </c>
      <c r="B32" t="inlineStr">
        <is>
          <t>Kab. Buton</t>
        </is>
      </c>
      <c r="C32" t="inlineStr">
        <is>
          <t>085298575469</t>
        </is>
      </c>
      <c r="D32" t="inlineStr">
        <is>
          <t>arisindotama@gmail.com</t>
        </is>
      </c>
      <c r="E32" t="inlineStr">
        <is>
          <t>https://lpjk.pu.go.id/search-badan-usaha-detail/ZDZVN0EyQTBhaGhVZlJRcTJwenp0QT09</t>
        </is>
      </c>
      <c r="F32" t="n">
        <v>3</v>
      </c>
      <c r="G32" t="inlineStr">
        <is>
          <t>RK001, RK002, RK003</t>
        </is>
      </c>
      <c r="H32" t="inlineStr">
        <is>
          <t>13 Juni 2020</t>
        </is>
      </c>
      <c r="I32" s="2" t="n">
        <v>46285</v>
      </c>
      <c r="J32" t="inlineStr">
        <is>
          <t>Disetujui</t>
        </is>
      </c>
      <c r="K32" t="n">
        <v>30</v>
      </c>
      <c r="L32" t="inlineStr">
        <is>
          <t>20 September 2026</t>
        </is>
      </c>
      <c r="M32" t="inlineStr">
        <is>
          <t>Jasa Rekayasa Konstruksi Bangunan Gedung Hunian dan Non Hunian, Jasa Rekayasa Pekerjaan Teknik Sipil Sumber Daya Air, Jasa Rekayasa Pekerjaan Teknik Sipil Transportasi</t>
        </is>
      </c>
      <c r="N32" t="inlineStr">
        <is>
          <t>K</t>
        </is>
      </c>
      <c r="O32" t="inlineStr">
        <is>
          <t>20230830</t>
        </is>
      </c>
      <c r="P32" t="inlineStr">
        <is>
          <t>Sulawesi Tenggara</t>
        </is>
      </c>
      <c r="Q32" t="inlineStr"/>
    </row>
    <row r="33">
      <c r="A33" t="inlineStr">
        <is>
          <t>ARSITEKTURASIA</t>
        </is>
      </c>
      <c r="B33" t="inlineStr">
        <is>
          <t>Kota Denpasar</t>
        </is>
      </c>
      <c r="C33" t="inlineStr">
        <is>
          <t>081239401380</t>
        </is>
      </c>
      <c r="D33" t="inlineStr">
        <is>
          <t>arsitekturasia@gmail.com</t>
        </is>
      </c>
      <c r="E33" t="inlineStr">
        <is>
          <t>https://lpjk.pu.go.id/search-badan-usaha-detail/ZDFXRi8wVzN6Q243V251d3FBdFNYdz09</t>
        </is>
      </c>
      <c r="F33" t="n">
        <v>1</v>
      </c>
      <c r="G33" t="inlineStr">
        <is>
          <t>BG007</t>
        </is>
      </c>
      <c r="H33" t="inlineStr">
        <is>
          <t>3 Februari 2020</t>
        </is>
      </c>
      <c r="I33" s="2" t="n">
        <v>46285</v>
      </c>
      <c r="J33" t="inlineStr">
        <is>
          <t>Disetujui</t>
        </is>
      </c>
      <c r="K33" t="n">
        <v>30</v>
      </c>
      <c r="L33" t="inlineStr">
        <is>
          <t>20 September 2026</t>
        </is>
      </c>
      <c r="M33" t="inlineStr">
        <is>
          <t>Konstruksi Gedung Penginapan</t>
        </is>
      </c>
      <c r="N33" t="inlineStr">
        <is>
          <t>K</t>
        </is>
      </c>
      <c r="O33" t="inlineStr">
        <is>
          <t>20230921</t>
        </is>
      </c>
      <c r="P33" t="inlineStr">
        <is>
          <t>Bali</t>
        </is>
      </c>
      <c r="Q33" t="inlineStr"/>
    </row>
    <row r="34">
      <c r="A34" t="inlineStr">
        <is>
          <t>ARTHA GRAHA CONSULTANT</t>
        </is>
      </c>
      <c r="B34" t="inlineStr">
        <is>
          <t>Kab. Murung Raya</t>
        </is>
      </c>
      <c r="C34" t="inlineStr">
        <is>
          <t>082162626260</t>
        </is>
      </c>
      <c r="D34" t="inlineStr">
        <is>
          <t>cvarthagrahaconsultant@gmail.com</t>
        </is>
      </c>
      <c r="E34" t="inlineStr">
        <is>
          <t>https://lpjk.pu.go.id/search-badan-usaha-detail/cy9pVWh5cDNHK1o2NGh3bEdwdDVqUT09</t>
        </is>
      </c>
      <c r="F34" t="n">
        <v>4</v>
      </c>
      <c r="G34" t="inlineStr">
        <is>
          <t>AR001, AR002, RK001, RK003</t>
        </is>
      </c>
      <c r="H34" t="inlineStr">
        <is>
          <t>16 Mei 2023</t>
        </is>
      </c>
      <c r="I34" s="2" t="n">
        <v>46285</v>
      </c>
      <c r="J34" t="inlineStr">
        <is>
          <t>Disetujui</t>
        </is>
      </c>
      <c r="K34" t="n">
        <v>30</v>
      </c>
      <c r="L34" t="inlineStr">
        <is>
          <t>20 September 2026</t>
        </is>
      </c>
      <c r="M34" t="inlineStr">
        <is>
          <t>Jasa Arsitektural Bangunan Gedung Hunian dan Non Hunian, Jasa Arsitektural Lainnya, Jasa Rekayasa Konstruksi Bangunan Gedung Hunian dan Non Hunian, Jasa Rekayasa Pekerjaan Teknik Sipil Transportasi</t>
        </is>
      </c>
      <c r="N34" t="inlineStr">
        <is>
          <t>K</t>
        </is>
      </c>
      <c r="O34" t="inlineStr">
        <is>
          <t>20230907, 20230908</t>
        </is>
      </c>
      <c r="P34" t="inlineStr">
        <is>
          <t>Kalimantan Tengah</t>
        </is>
      </c>
      <c r="Q34" t="inlineStr"/>
    </row>
    <row r="35">
      <c r="A35" t="inlineStr">
        <is>
          <t>ATLAS ADHI PERKASA</t>
        </is>
      </c>
      <c r="B35" t="inlineStr">
        <is>
          <t>Kota Adm. Jakarta Utara</t>
        </is>
      </c>
      <c r="C35" t="inlineStr">
        <is>
          <t>02165314315</t>
        </is>
      </c>
      <c r="D35" t="inlineStr">
        <is>
          <t>atlasadhiperkasa@gmail.com</t>
        </is>
      </c>
      <c r="E35" t="inlineStr">
        <is>
          <t>https://lpjk.pu.go.id/search-badan-usaha-detail/RlVWUjZuaUFGTkkvRnNNYm04RGdZQT09</t>
        </is>
      </c>
      <c r="F35" t="n">
        <v>3</v>
      </c>
      <c r="G35" t="inlineStr">
        <is>
          <t>BG001, BG003, BG009</t>
        </is>
      </c>
      <c r="H35" t="inlineStr">
        <is>
          <t>2 Februari 2018</t>
        </is>
      </c>
      <c r="I35" s="2" t="n">
        <v>46285</v>
      </c>
      <c r="J35" t="inlineStr">
        <is>
          <t>Disetujui</t>
        </is>
      </c>
      <c r="K35" t="n">
        <v>30</v>
      </c>
      <c r="L35" t="inlineStr">
        <is>
          <t>20 September 2026</t>
        </is>
      </c>
      <c r="M35" t="inlineStr">
        <is>
          <t>Konstruksi Gedung Hunian, Konstruksi Gedung Industri, Konstruksi Gedung Lainnya</t>
        </is>
      </c>
      <c r="N35" t="inlineStr">
        <is>
          <t>K</t>
        </is>
      </c>
      <c r="O35" t="inlineStr">
        <is>
          <t>20230918</t>
        </is>
      </c>
      <c r="P35" t="inlineStr">
        <is>
          <t>DKI Jakarta</t>
        </is>
      </c>
      <c r="Q35" t="inlineStr"/>
    </row>
    <row r="36">
      <c r="A36" t="inlineStr">
        <is>
          <t>AURA JONG CELEBES</t>
        </is>
      </c>
      <c r="B36" t="inlineStr">
        <is>
          <t>Kab. Bondowoso</t>
        </is>
      </c>
      <c r="C36" t="inlineStr">
        <is>
          <t>082234224303</t>
        </is>
      </c>
      <c r="D36" t="inlineStr">
        <is>
          <t>aurajongcelebes@gmail.com</t>
        </is>
      </c>
      <c r="E36" t="inlineStr">
        <is>
          <t>https://lpjk.pu.go.id/search-badan-usaha-detail/d1JoYjN3Sm4xSStXWG9pNDViMVRRdz09</t>
        </is>
      </c>
      <c r="F36" t="n">
        <v>2</v>
      </c>
      <c r="G36" t="inlineStr">
        <is>
          <t>BG001, BG005</t>
        </is>
      </c>
      <c r="H36" t="inlineStr">
        <is>
          <t>7 April 2015</t>
        </is>
      </c>
      <c r="I36" s="2" t="n">
        <v>46285</v>
      </c>
      <c r="J36" t="inlineStr">
        <is>
          <t>Disetujui</t>
        </is>
      </c>
      <c r="K36" t="n">
        <v>30</v>
      </c>
      <c r="L36" t="inlineStr">
        <is>
          <t>20 September 2026</t>
        </is>
      </c>
      <c r="M36" t="inlineStr">
        <is>
          <t>Konstruksi Gedung Hunian, Konstruksi Gedung Kesehatan</t>
        </is>
      </c>
      <c r="N36" t="inlineStr">
        <is>
          <t>K</t>
        </is>
      </c>
      <c r="O36" t="inlineStr">
        <is>
          <t>20230919, 20230920</t>
        </is>
      </c>
      <c r="P36" t="inlineStr">
        <is>
          <t>Jawa Timur</t>
        </is>
      </c>
      <c r="Q36" t="inlineStr"/>
    </row>
    <row r="37">
      <c r="A37" t="inlineStr">
        <is>
          <t>BADIA KARYA</t>
        </is>
      </c>
      <c r="B37" t="inlineStr">
        <is>
          <t>Kab. Pangandaran</t>
        </is>
      </c>
      <c r="C37" t="inlineStr">
        <is>
          <t>085280391199</t>
        </is>
      </c>
      <c r="D37" t="inlineStr">
        <is>
          <t>cv.badiakarya91@gmail.com</t>
        </is>
      </c>
      <c r="E37" t="inlineStr">
        <is>
          <t>https://lpjk.pu.go.id/search-badan-usaha-detail/c1Jwc25tY2dzempEREthUjFOMzIrdz09</t>
        </is>
      </c>
      <c r="F37" t="n">
        <v>4</v>
      </c>
      <c r="G37" t="inlineStr">
        <is>
          <t>BG001, BG006, BG009, BS001</t>
        </is>
      </c>
      <c r="H37" t="inlineStr">
        <is>
          <t>10 Februari 2012</t>
        </is>
      </c>
      <c r="I37" s="2" t="n">
        <v>46285</v>
      </c>
      <c r="J37" t="inlineStr">
        <is>
          <t>Disetujui</t>
        </is>
      </c>
      <c r="K37" t="n">
        <v>30</v>
      </c>
      <c r="L37" t="inlineStr">
        <is>
          <t>20 September 2026</t>
        </is>
      </c>
      <c r="M37" t="inlineStr">
        <is>
          <t>Konstruksi Bangunan Sipil Jalan, Konstruksi Gedung Hunian, Konstruksi Gedung Lainnya, Konstruksi Gedung Pendidikan</t>
        </is>
      </c>
      <c r="N37" t="inlineStr">
        <is>
          <t>K</t>
        </is>
      </c>
      <c r="O37" t="inlineStr">
        <is>
          <t>20230912, 20230918</t>
        </is>
      </c>
      <c r="P37" t="inlineStr">
        <is>
          <t>Jawa Barat</t>
        </is>
      </c>
      <c r="Q37" t="inlineStr"/>
    </row>
    <row r="38">
      <c r="A38" t="inlineStr">
        <is>
          <t>BAGINDA ABABIEL</t>
        </is>
      </c>
      <c r="B38" t="inlineStr">
        <is>
          <t>Kab. Tuban</t>
        </is>
      </c>
      <c r="C38" t="inlineStr">
        <is>
          <t>0821790004444</t>
        </is>
      </c>
      <c r="D38" t="inlineStr">
        <is>
          <t>a.baginda@yahoo.com</t>
        </is>
      </c>
      <c r="E38" t="inlineStr">
        <is>
          <t>https://lpjk.pu.go.id/search-badan-usaha-detail/VENxc01qN0dmY01WOUVmNG10Vkp3UT09</t>
        </is>
      </c>
      <c r="F38" t="n">
        <v>4</v>
      </c>
      <c r="G38" t="inlineStr">
        <is>
          <t>BG005, BG009, BS001, BS004</t>
        </is>
      </c>
      <c r="H38" t="inlineStr">
        <is>
          <t>11 Desember 2017</t>
        </is>
      </c>
      <c r="I38" s="2" t="n">
        <v>46285</v>
      </c>
      <c r="J38" t="inlineStr">
        <is>
          <t>Disetujui</t>
        </is>
      </c>
      <c r="K38" t="n">
        <v>30</v>
      </c>
      <c r="L38" t="inlineStr">
        <is>
          <t>20 September 2026</t>
        </is>
      </c>
      <c r="M38" t="inlineStr">
        <is>
          <t>Konstruksi Bangunan Sipil Jalan, Konstruksi Gedung Kesehatan, Konstruksi Gedung Lainnya, Konstruksi Jaringan Irigasi dan Drainase</t>
        </is>
      </c>
      <c r="N38" t="inlineStr">
        <is>
          <t>K</t>
        </is>
      </c>
      <c r="O38" t="inlineStr">
        <is>
          <t>20230917, 20230925</t>
        </is>
      </c>
      <c r="P38" t="inlineStr">
        <is>
          <t>Jawa Timur</t>
        </is>
      </c>
      <c r="Q38" t="inlineStr"/>
    </row>
    <row r="39">
      <c r="A39" t="inlineStr">
        <is>
          <t>BANGUN PERSADA</t>
        </is>
      </c>
      <c r="B39" t="inlineStr">
        <is>
          <t>Kota Bandar Lampung</t>
        </is>
      </c>
      <c r="C39" t="inlineStr">
        <is>
          <t>082131614382</t>
        </is>
      </c>
      <c r="D39" t="inlineStr">
        <is>
          <t>CV_BANGUNPERSADA@YMAIL.COM</t>
        </is>
      </c>
      <c r="E39" t="inlineStr">
        <is>
          <t>https://lpjk.pu.go.id/search-badan-usaha-detail/QWpnbmZOQ1FzWFl3eXIxb1AyVVRiQT09</t>
        </is>
      </c>
      <c r="F39" t="n">
        <v>1</v>
      </c>
      <c r="G39" t="inlineStr">
        <is>
          <t>BG003</t>
        </is>
      </c>
      <c r="H39" t="inlineStr">
        <is>
          <t>16 Juli 2010</t>
        </is>
      </c>
      <c r="I39" s="2" t="n">
        <v>46285</v>
      </c>
      <c r="J39" t="inlineStr">
        <is>
          <t>Pencabutan</t>
        </is>
      </c>
      <c r="K39" t="n">
        <v>30</v>
      </c>
      <c r="L39" t="inlineStr">
        <is>
          <t>20 September 2026</t>
        </is>
      </c>
      <c r="M39" t="inlineStr">
        <is>
          <t>Konstruksi Gedung Industri</t>
        </is>
      </c>
      <c r="N39" t="inlineStr">
        <is>
          <t>K</t>
        </is>
      </c>
      <c r="O39" t="inlineStr">
        <is>
          <t>20230912</t>
        </is>
      </c>
      <c r="P39" t="inlineStr">
        <is>
          <t>Lampung</t>
        </is>
      </c>
      <c r="Q39" t="inlineStr"/>
    </row>
    <row r="40">
      <c r="A40" t="inlineStr">
        <is>
          <t>BARAKA INDO SINERGI</t>
        </is>
      </c>
      <c r="B40" t="inlineStr">
        <is>
          <t>Kota Adm. Jakarta Selatan</t>
        </is>
      </c>
      <c r="C40" t="inlineStr">
        <is>
          <t>081285001789</t>
        </is>
      </c>
      <c r="D40" t="inlineStr">
        <is>
          <t>barakaindosinergi@gmail.com</t>
        </is>
      </c>
      <c r="E40" t="inlineStr">
        <is>
          <t>https://lpjk.pu.go.id/search-badan-usaha-detail/UTBDR3B3cU1rdGovQ0hoaFl5NFlYZz09</t>
        </is>
      </c>
      <c r="F40" t="n">
        <v>2</v>
      </c>
      <c r="G40" t="inlineStr">
        <is>
          <t>BG001</t>
        </is>
      </c>
      <c r="H40" t="inlineStr">
        <is>
          <t>30 Agustus 2022</t>
        </is>
      </c>
      <c r="I40" s="2" t="n">
        <v>46285</v>
      </c>
      <c r="J40" t="inlineStr">
        <is>
          <t>Disetujui</t>
        </is>
      </c>
      <c r="K40" t="n">
        <v>30</v>
      </c>
      <c r="L40" t="inlineStr">
        <is>
          <t>20 September 2026</t>
        </is>
      </c>
      <c r="M40" t="inlineStr">
        <is>
          <t>Konstruksi Gedung Hunian</t>
        </is>
      </c>
      <c r="N40" t="inlineStr">
        <is>
          <t>K</t>
        </is>
      </c>
      <c r="O40" t="inlineStr">
        <is>
          <t>20230918</t>
        </is>
      </c>
      <c r="P40" t="inlineStr">
        <is>
          <t>DKI Jakarta</t>
        </is>
      </c>
      <c r="Q40" t="inlineStr"/>
    </row>
    <row r="41">
      <c r="A41" t="inlineStr">
        <is>
          <t>BERDIKARI PAPUA PERKASA</t>
        </is>
      </c>
      <c r="B41" t="inlineStr">
        <is>
          <t>Kab. Jayapura</t>
        </is>
      </c>
      <c r="C41" t="inlineStr">
        <is>
          <t>085244094848</t>
        </is>
      </c>
      <c r="D41" t="inlineStr">
        <is>
          <t>cvberdikaripp@gmail.com</t>
        </is>
      </c>
      <c r="E41" t="inlineStr">
        <is>
          <t>https://lpjk.pu.go.id/search-badan-usaha-detail/L3hJVWloeml2YmovMFNXVi8rcWdhZz09</t>
        </is>
      </c>
      <c r="F41" t="n">
        <v>1</v>
      </c>
      <c r="G41" t="inlineStr">
        <is>
          <t>BS002</t>
        </is>
      </c>
      <c r="H41" t="inlineStr">
        <is>
          <t>3 Februari 2016</t>
        </is>
      </c>
      <c r="I41" s="2" t="n">
        <v>46285</v>
      </c>
      <c r="J41" t="inlineStr">
        <is>
          <t>Disetujui</t>
        </is>
      </c>
      <c r="K41" t="n">
        <v>30</v>
      </c>
      <c r="L41" t="inlineStr">
        <is>
          <t>20 September 2026</t>
        </is>
      </c>
      <c r="M41" t="inlineStr">
        <is>
          <t>Bangunan Sipil Jembatan, Jalan Layang, Fly Over, dan Underpass</t>
        </is>
      </c>
      <c r="N41" t="inlineStr">
        <is>
          <t>K</t>
        </is>
      </c>
      <c r="O41" t="inlineStr">
        <is>
          <t>20230921</t>
        </is>
      </c>
      <c r="P41" t="inlineStr">
        <is>
          <t>Papua</t>
        </is>
      </c>
      <c r="Q41" t="inlineStr"/>
    </row>
    <row r="42">
      <c r="A42" t="inlineStr">
        <is>
          <t>BERKAH AKHDAN</t>
        </is>
      </c>
      <c r="B42" t="inlineStr">
        <is>
          <t>Kab. Bantul</t>
        </is>
      </c>
      <c r="C42" t="inlineStr">
        <is>
          <t>081324470078</t>
        </is>
      </c>
      <c r="D42" t="inlineStr">
        <is>
          <t>cv.berkahakhdan@gmail.com</t>
        </is>
      </c>
      <c r="E42" t="inlineStr">
        <is>
          <t>https://lpjk.pu.go.id/search-badan-usaha-detail/MTlBMHFFazBma1dUMVZyOWl1ME9PUT09</t>
        </is>
      </c>
      <c r="F42" t="n">
        <v>12</v>
      </c>
      <c r="G42" t="inlineStr">
        <is>
          <t>BG002, BG004, BG006, BS004, BS010</t>
        </is>
      </c>
      <c r="H42" t="inlineStr">
        <is>
          <t>20 Januari 2017</t>
        </is>
      </c>
      <c r="I42" s="2" t="n">
        <v>46285</v>
      </c>
      <c r="J42" t="inlineStr">
        <is>
          <t>Disetujui</t>
        </is>
      </c>
      <c r="K42" t="n">
        <v>30</v>
      </c>
      <c r="L42" t="inlineStr">
        <is>
          <t>20 September 2026</t>
        </is>
      </c>
      <c r="M42" t="inlineStr">
        <is>
          <t>Konstruksi Bangunan Prasarana Sumber Daya Air, Konstruksi Gedung Pendidikan, Konstruksi Gedung Perbelanjaan, Konstruksi Gedung Perkantoran, Konstruksi Jaringan Irigasi dan Drainase</t>
        </is>
      </c>
      <c r="N42" t="inlineStr">
        <is>
          <t>K</t>
        </is>
      </c>
      <c r="O42" t="inlineStr">
        <is>
          <t>20230913, 20230918, 20230919</t>
        </is>
      </c>
      <c r="P42" t="inlineStr">
        <is>
          <t>DI Yogyakarta</t>
        </is>
      </c>
      <c r="Q42" t="inlineStr"/>
    </row>
    <row r="43">
      <c r="A43" t="inlineStr">
        <is>
          <t>BERKAT IKHLAS BATAM</t>
        </is>
      </c>
      <c r="B43" t="inlineStr">
        <is>
          <t>Kota Batam</t>
        </is>
      </c>
      <c r="C43" t="inlineStr">
        <is>
          <t>081372664373</t>
        </is>
      </c>
      <c r="D43" t="inlineStr">
        <is>
          <t>berkatikhlasbatam.cv@yahoo.com</t>
        </is>
      </c>
      <c r="E43" t="inlineStr">
        <is>
          <t>https://lpjk.pu.go.id/search-badan-usaha-detail/dStiUTJZRkIxdU8rdGYvUEp5aURnZz09</t>
        </is>
      </c>
      <c r="F43" t="n">
        <v>10</v>
      </c>
      <c r="G43" t="inlineStr">
        <is>
          <t>BG001, BG003, BG005, BG006, BG009</t>
        </is>
      </c>
      <c r="H43" t="inlineStr">
        <is>
          <t>19 Juli 2012</t>
        </is>
      </c>
      <c r="I43" s="2" t="n">
        <v>46285</v>
      </c>
      <c r="J43" t="inlineStr">
        <is>
          <t>Disetujui</t>
        </is>
      </c>
      <c r="K43" t="n">
        <v>30</v>
      </c>
      <c r="L43" t="inlineStr">
        <is>
          <t>20 September 2026</t>
        </is>
      </c>
      <c r="M43" t="inlineStr">
        <is>
          <t>Konstruksi Gedung Hunian, Konstruksi Gedung Industri, Konstruksi Gedung Kesehatan, Konstruksi Gedung Lainnya, Konstruksi Gedung Pendidikan</t>
        </is>
      </c>
      <c r="N43" t="inlineStr">
        <is>
          <t>K</t>
        </is>
      </c>
      <c r="O43" t="inlineStr">
        <is>
          <t>20230921</t>
        </is>
      </c>
      <c r="P43" t="inlineStr">
        <is>
          <t>Kepulauan Riau</t>
        </is>
      </c>
      <c r="Q43" t="inlineStr"/>
    </row>
    <row r="44">
      <c r="A44" t="inlineStr">
        <is>
          <t>BERKO</t>
        </is>
      </c>
      <c r="B44" t="inlineStr">
        <is>
          <t>Kota Ambon</t>
        </is>
      </c>
      <c r="C44" t="inlineStr">
        <is>
          <t>081356102153</t>
        </is>
      </c>
      <c r="D44" t="inlineStr">
        <is>
          <t>berko_cv@yahoo.co.id</t>
        </is>
      </c>
      <c r="E44" t="inlineStr">
        <is>
          <t>https://lpjk.pu.go.id/search-badan-usaha-detail/VEFSdEFIWGhSM3A3ZDhsY2FFVmJDQT09</t>
        </is>
      </c>
      <c r="F44" t="n">
        <v>1</v>
      </c>
      <c r="G44" t="inlineStr">
        <is>
          <t>RK002</t>
        </is>
      </c>
      <c r="H44" t="inlineStr">
        <is>
          <t>14 September 2007</t>
        </is>
      </c>
      <c r="I44" s="2" t="n">
        <v>46285</v>
      </c>
      <c r="J44" t="inlineStr">
        <is>
          <t>Disetujui</t>
        </is>
      </c>
      <c r="K44" t="n">
        <v>30</v>
      </c>
      <c r="L44" t="inlineStr">
        <is>
          <t>20 September 2026</t>
        </is>
      </c>
      <c r="M44" t="inlineStr">
        <is>
          <t>Jasa Rekayasa Pekerjaan Teknik Sipil Sumber Daya Air</t>
        </is>
      </c>
      <c r="N44" t="inlineStr">
        <is>
          <t>K</t>
        </is>
      </c>
      <c r="O44" t="inlineStr">
        <is>
          <t>20230826</t>
        </is>
      </c>
      <c r="P44" t="inlineStr">
        <is>
          <t>Maluku</t>
        </is>
      </c>
      <c r="Q44" t="inlineStr"/>
    </row>
    <row r="45">
      <c r="A45" t="inlineStr">
        <is>
          <t>BETA SEJAHTERA</t>
        </is>
      </c>
      <c r="B45" t="inlineStr">
        <is>
          <t>Kab. Kutai Timur</t>
        </is>
      </c>
      <c r="C45" t="inlineStr">
        <is>
          <t>085251641074</t>
        </is>
      </c>
      <c r="D45" t="inlineStr">
        <is>
          <t>cv.betasejahtera@gmail.com</t>
        </is>
      </c>
      <c r="E45" t="inlineStr">
        <is>
          <t>https://lpjk.pu.go.id/search-badan-usaha-detail/aVFmdGp3akdiZ0lnbWltN0pCaXVmdz09</t>
        </is>
      </c>
      <c r="F45" t="n">
        <v>2</v>
      </c>
      <c r="G45" t="inlineStr">
        <is>
          <t>BS001, BS004</t>
        </is>
      </c>
      <c r="H45" t="inlineStr">
        <is>
          <t>13 Maret 2023</t>
        </is>
      </c>
      <c r="I45" s="2" t="n">
        <v>46285</v>
      </c>
      <c r="J45" t="inlineStr">
        <is>
          <t>Disetujui</t>
        </is>
      </c>
      <c r="K45" t="n">
        <v>30</v>
      </c>
      <c r="L45" t="inlineStr">
        <is>
          <t>20 September 2026</t>
        </is>
      </c>
      <c r="M45" t="inlineStr">
        <is>
          <t>Konstruksi Bangunan Sipil Jalan, Konstruksi Jaringan Irigasi dan Drainase</t>
        </is>
      </c>
      <c r="N45" t="inlineStr">
        <is>
          <t>K</t>
        </is>
      </c>
      <c r="O45" t="inlineStr">
        <is>
          <t>20230919</t>
        </is>
      </c>
      <c r="P45" t="inlineStr">
        <is>
          <t>Kalimantan Timur</t>
        </is>
      </c>
      <c r="Q45" t="inlineStr"/>
    </row>
    <row r="46">
      <c r="A46" t="inlineStr">
        <is>
          <t>BINA CIPTA CONSULTANT</t>
        </is>
      </c>
      <c r="B46" t="inlineStr">
        <is>
          <t>Kab. Berau</t>
        </is>
      </c>
      <c r="C46" t="inlineStr">
        <is>
          <t>082255585634</t>
        </is>
      </c>
      <c r="D46" t="inlineStr">
        <is>
          <t>binaciptaconsultant@yahoo.com</t>
        </is>
      </c>
      <c r="E46" t="inlineStr">
        <is>
          <t>https://lpjk.pu.go.id/search-badan-usaha-detail/Uit1L1NyUjgrVkhaMkxVSlhXVDJvQT09</t>
        </is>
      </c>
      <c r="F46" t="n">
        <v>3</v>
      </c>
      <c r="G46" t="inlineStr">
        <is>
          <t>AR001, RK002, RK003</t>
        </is>
      </c>
      <c r="H46" t="inlineStr">
        <is>
          <t>18 Maret 2003</t>
        </is>
      </c>
      <c r="I46" s="2" t="n">
        <v>46285</v>
      </c>
      <c r="J46" t="inlineStr">
        <is>
          <t>Disetujui</t>
        </is>
      </c>
      <c r="K46" t="n">
        <v>30</v>
      </c>
      <c r="L46" t="inlineStr">
        <is>
          <t>20 September 2026</t>
        </is>
      </c>
      <c r="M46" t="inlineStr">
        <is>
          <t>Jasa Arsitektural Bangunan Gedung Hunian dan Non Hunian, Jasa Rekayasa Pekerjaan Teknik Sipil Sumber Daya Air, Jasa Rekayasa Pekerjaan Teknik Sipil Transportasi</t>
        </is>
      </c>
      <c r="N46" t="inlineStr">
        <is>
          <t>K</t>
        </is>
      </c>
      <c r="O46" t="inlineStr">
        <is>
          <t>20230821, 20230914</t>
        </is>
      </c>
      <c r="P46" t="inlineStr">
        <is>
          <t>Kalimantan Timur</t>
        </is>
      </c>
      <c r="Q46" t="inlineStr"/>
    </row>
    <row r="47">
      <c r="A47" t="inlineStr">
        <is>
          <t>BINTANG ANUGRAH JAYA</t>
        </is>
      </c>
      <c r="B47" t="inlineStr">
        <is>
          <t>Kota Palembang</t>
        </is>
      </c>
      <c r="C47" t="inlineStr">
        <is>
          <t>-</t>
        </is>
      </c>
      <c r="D47" t="inlineStr">
        <is>
          <t>pt.bintanganugerahjaya@gmail.com</t>
        </is>
      </c>
      <c r="E47" t="inlineStr">
        <is>
          <t>https://lpjk.pu.go.id/search-badan-usaha-detail/S3AyZk5hYVNTcEhDTFhlZW1HWW9tZz09</t>
        </is>
      </c>
      <c r="F47" t="n">
        <v>2</v>
      </c>
      <c r="G47" t="inlineStr">
        <is>
          <t>BS005</t>
        </is>
      </c>
      <c r="H47" t="inlineStr">
        <is>
          <t>5 Februari 2004</t>
        </is>
      </c>
      <c r="I47" s="2" t="n">
        <v>46285</v>
      </c>
      <c r="J47" t="inlineStr">
        <is>
          <t>Disetujui</t>
        </is>
      </c>
      <c r="K47" t="n">
        <v>30</v>
      </c>
      <c r="L47" t="inlineStr">
        <is>
          <t>20 September 2026</t>
        </is>
      </c>
      <c r="M47" t="inlineStr">
        <is>
          <t>Konstruksi Bangunan Sipil Pengolahan Air Bersih</t>
        </is>
      </c>
      <c r="N47" t="inlineStr">
        <is>
          <t>M</t>
        </is>
      </c>
      <c r="O47" t="inlineStr">
        <is>
          <t>20230917</t>
        </is>
      </c>
      <c r="P47" t="inlineStr">
        <is>
          <t>Sumatera Selatan</t>
        </is>
      </c>
      <c r="Q47" t="inlineStr"/>
    </row>
    <row r="48">
      <c r="A48" t="inlineStr">
        <is>
          <t>BINTANG KARYA GEMILANG</t>
        </is>
      </c>
      <c r="B48" t="inlineStr">
        <is>
          <t>Kota Pekanbaru</t>
        </is>
      </c>
      <c r="C48" t="inlineStr">
        <is>
          <t>082389276307</t>
        </is>
      </c>
      <c r="D48" t="inlineStr">
        <is>
          <t>riau_andjaya@yahoo.com</t>
        </is>
      </c>
      <c r="E48" t="inlineStr">
        <is>
          <t>https://lpjk.pu.go.id/search-badan-usaha-detail/Y1hoeXJoeVhXMTBMN3JVOXorVXhlZz09</t>
        </is>
      </c>
      <c r="F48" t="n">
        <v>2</v>
      </c>
      <c r="G48" t="inlineStr">
        <is>
          <t>BS010</t>
        </is>
      </c>
      <c r="H48" t="inlineStr">
        <is>
          <t>21 Desember 2009</t>
        </is>
      </c>
      <c r="I48" s="2" t="n">
        <v>46285</v>
      </c>
      <c r="J48" t="inlineStr">
        <is>
          <t>Pencabutan</t>
        </is>
      </c>
      <c r="K48" t="n">
        <v>30</v>
      </c>
      <c r="L48" t="inlineStr">
        <is>
          <t>20 September 2026</t>
        </is>
      </c>
      <c r="M48" t="inlineStr">
        <is>
          <t>Konstruksi Bangunan Prasarana Sumber Daya Air</t>
        </is>
      </c>
      <c r="N48" t="inlineStr">
        <is>
          <t>K</t>
        </is>
      </c>
      <c r="O48" t="inlineStr">
        <is>
          <t>20230920</t>
        </is>
      </c>
      <c r="P48" t="inlineStr">
        <is>
          <t>Riau</t>
        </is>
      </c>
      <c r="Q48" t="inlineStr"/>
    </row>
    <row r="49">
      <c r="A49" t="inlineStr">
        <is>
          <t>BINTANG MANDIRI GROUP</t>
        </is>
      </c>
      <c r="B49" t="inlineStr">
        <is>
          <t>Kab. Mamuju</t>
        </is>
      </c>
      <c r="C49" t="inlineStr">
        <is>
          <t>081289957367</t>
        </is>
      </c>
      <c r="D49" t="inlineStr">
        <is>
          <t>pt.bintangmandirigroup@yahoo.com</t>
        </is>
      </c>
      <c r="E49" t="inlineStr">
        <is>
          <t>https://lpjk.pu.go.id/search-badan-usaha-detail/OWZCbWV2UDJaZmdNbVNGazlIc1VwZz09</t>
        </is>
      </c>
      <c r="F49" t="n">
        <v>2</v>
      </c>
      <c r="G49" t="inlineStr">
        <is>
          <t>BS010</t>
        </is>
      </c>
      <c r="H49" t="inlineStr">
        <is>
          <t>4 Maret 2015</t>
        </is>
      </c>
      <c r="I49" s="2" t="n">
        <v>46285</v>
      </c>
      <c r="J49" t="inlineStr">
        <is>
          <t>Disetujui</t>
        </is>
      </c>
      <c r="K49" t="n">
        <v>30</v>
      </c>
      <c r="L49" t="inlineStr">
        <is>
          <t>20 September 2026</t>
        </is>
      </c>
      <c r="M49" t="inlineStr">
        <is>
          <t>Konstruksi Bangunan Prasarana Sumber Daya Air</t>
        </is>
      </c>
      <c r="N49" t="inlineStr">
        <is>
          <t>K</t>
        </is>
      </c>
      <c r="O49" t="inlineStr">
        <is>
          <t>20230919</t>
        </is>
      </c>
      <c r="P49" t="inlineStr">
        <is>
          <t>Sulawesi Barat</t>
        </is>
      </c>
      <c r="Q49" t="inlineStr"/>
    </row>
    <row r="50">
      <c r="A50" t="inlineStr">
        <is>
          <t>BINTANG MAS</t>
        </is>
      </c>
      <c r="B50" t="inlineStr">
        <is>
          <t>Kab. Bandung</t>
        </is>
      </c>
      <c r="C50" t="inlineStr">
        <is>
          <t>082321855589</t>
        </is>
      </c>
      <c r="D50" t="inlineStr">
        <is>
          <t>cvbintangmas79@gmail.com</t>
        </is>
      </c>
      <c r="E50" t="inlineStr">
        <is>
          <t>https://lpjk.pu.go.id/search-badan-usaha-detail/NnpIMm81aHR2OXB4emp1Zkh6dWdMdz09</t>
        </is>
      </c>
      <c r="F50" t="n">
        <v>2</v>
      </c>
      <c r="G50" t="inlineStr">
        <is>
          <t>BG003</t>
        </is>
      </c>
      <c r="H50" t="inlineStr">
        <is>
          <t>14 Agustus 2023</t>
        </is>
      </c>
      <c r="I50" s="2" t="n">
        <v>46285</v>
      </c>
      <c r="J50" t="inlineStr">
        <is>
          <t>Disetujui</t>
        </is>
      </c>
      <c r="K50" t="n">
        <v>30</v>
      </c>
      <c r="L50" t="inlineStr">
        <is>
          <t>20 September 2026</t>
        </is>
      </c>
      <c r="M50" t="inlineStr">
        <is>
          <t>Konstruksi Gedung Industri</t>
        </is>
      </c>
      <c r="N50" t="inlineStr">
        <is>
          <t>K</t>
        </is>
      </c>
      <c r="O50" t="inlineStr">
        <is>
          <t>20230914</t>
        </is>
      </c>
      <c r="P50" t="inlineStr">
        <is>
          <t>Jawa Barat</t>
        </is>
      </c>
      <c r="Q50" t="inlineStr"/>
    </row>
    <row r="51">
      <c r="A51" t="inlineStr">
        <is>
          <t>BINTANG PALAPA</t>
        </is>
      </c>
      <c r="B51" t="inlineStr">
        <is>
          <t>Kab. Nganjuk</t>
        </is>
      </c>
      <c r="C51" t="inlineStr">
        <is>
          <t>082139060994</t>
        </is>
      </c>
      <c r="D51" t="inlineStr">
        <is>
          <t>bintangpalapacv@gmail.com</t>
        </is>
      </c>
      <c r="E51" t="inlineStr">
        <is>
          <t>https://lpjk.pu.go.id/search-badan-usaha-detail/aXF1UktkMEM1NkNJS3FsemJpVkhhQT09</t>
        </is>
      </c>
      <c r="F51" t="n">
        <v>4</v>
      </c>
      <c r="G51" t="inlineStr">
        <is>
          <t>BS001, BS004</t>
        </is>
      </c>
      <c r="H51" t="inlineStr">
        <is>
          <t>1 Februari 1984</t>
        </is>
      </c>
      <c r="I51" s="2" t="n">
        <v>46285</v>
      </c>
      <c r="J51" t="inlineStr">
        <is>
          <t>Disetujui</t>
        </is>
      </c>
      <c r="K51" t="n">
        <v>30</v>
      </c>
      <c r="L51" t="inlineStr">
        <is>
          <t>20 September 2026</t>
        </is>
      </c>
      <c r="M51" t="inlineStr">
        <is>
          <t>Konstruksi Bangunan Sipil Jalan, Konstruksi Jaringan Irigasi dan Drainase</t>
        </is>
      </c>
      <c r="N51" t="inlineStr">
        <is>
          <t>K</t>
        </is>
      </c>
      <c r="O51" t="inlineStr">
        <is>
          <t>20230918, 20230919</t>
        </is>
      </c>
      <c r="P51" t="inlineStr">
        <is>
          <t>Jawa Timur</t>
        </is>
      </c>
      <c r="Q51" t="inlineStr"/>
    </row>
    <row r="52">
      <c r="A52" t="inlineStr">
        <is>
          <t>BINTANG TIMUR</t>
        </is>
      </c>
      <c r="B52" t="inlineStr">
        <is>
          <t>Kota Makassar</t>
        </is>
      </c>
      <c r="C52" t="inlineStr">
        <is>
          <t>081241111011</t>
        </is>
      </c>
      <c r="D52" t="inlineStr">
        <is>
          <t>bintangtimur734@gmail.com</t>
        </is>
      </c>
      <c r="E52" t="inlineStr">
        <is>
          <t>https://lpjk.pu.go.id/search-badan-usaha-detail/YXU0WWc1Y0pmVS8zR3l3dWJObGFadz09</t>
        </is>
      </c>
      <c r="F52" t="n">
        <v>6</v>
      </c>
      <c r="G52" t="inlineStr">
        <is>
          <t>BG005, BG006, BG009</t>
        </is>
      </c>
      <c r="H52" t="inlineStr">
        <is>
          <t>18 Februari 2007</t>
        </is>
      </c>
      <c r="I52" s="2" t="n">
        <v>46285</v>
      </c>
      <c r="J52" t="inlineStr">
        <is>
          <t>Disetujui</t>
        </is>
      </c>
      <c r="K52" t="n">
        <v>30</v>
      </c>
      <c r="L52" t="inlineStr">
        <is>
          <t>20 September 2026</t>
        </is>
      </c>
      <c r="M52" t="inlineStr">
        <is>
          <t>Konstruksi Gedung Kesehatan, Konstruksi Gedung Lainnya, Konstruksi Gedung Pendidikan</t>
        </is>
      </c>
      <c r="N52" t="inlineStr">
        <is>
          <t>K</t>
        </is>
      </c>
      <c r="O52" t="inlineStr">
        <is>
          <t>20230815, 20230911</t>
        </is>
      </c>
      <c r="P52" t="inlineStr">
        <is>
          <t>Sulawesi Selatan</t>
        </is>
      </c>
      <c r="Q52" t="inlineStr"/>
    </row>
    <row r="53">
      <c r="A53" t="inlineStr">
        <is>
          <t>BUMI JAYA DILISTA</t>
        </is>
      </c>
      <c r="B53" t="inlineStr">
        <is>
          <t>Kota Banjarbaru</t>
        </is>
      </c>
      <c r="C53" t="inlineStr">
        <is>
          <t>082288221441</t>
        </is>
      </c>
      <c r="D53" t="inlineStr">
        <is>
          <t>ptbumijayadilista@gmail.com</t>
        </is>
      </c>
      <c r="E53" t="inlineStr">
        <is>
          <t>https://lpjk.pu.go.id/search-badan-usaha-detail/NDIvY3JTSVVwWDd1Wk9hOTlTVExIUT09</t>
        </is>
      </c>
      <c r="F53" t="n">
        <v>1</v>
      </c>
      <c r="G53" t="inlineStr">
        <is>
          <t>BG001</t>
        </is>
      </c>
      <c r="H53" t="inlineStr">
        <is>
          <t>20 September 2023</t>
        </is>
      </c>
      <c r="I53" s="2" t="n">
        <v>46285</v>
      </c>
      <c r="J53" t="inlineStr">
        <is>
          <t>Disetujui</t>
        </is>
      </c>
      <c r="K53" t="n">
        <v>30</v>
      </c>
      <c r="L53" t="inlineStr">
        <is>
          <t>20 September 2026</t>
        </is>
      </c>
      <c r="M53" t="inlineStr">
        <is>
          <t>Konstruksi Gedung Hunian</t>
        </is>
      </c>
      <c r="N53" t="inlineStr">
        <is>
          <t>K</t>
        </is>
      </c>
      <c r="O53" t="inlineStr">
        <is>
          <t>20230921</t>
        </is>
      </c>
      <c r="P53" t="inlineStr">
        <is>
          <t>Kalimantan Selatan</t>
        </is>
      </c>
      <c r="Q53" t="inlineStr"/>
    </row>
    <row r="54">
      <c r="A54" t="inlineStr">
        <is>
          <t>BUNGA KARYA KONSULTAN</t>
        </is>
      </c>
      <c r="B54" t="inlineStr">
        <is>
          <t>Kab. Bojonegoro</t>
        </is>
      </c>
      <c r="C54" t="inlineStr">
        <is>
          <t>08121606081</t>
        </is>
      </c>
      <c r="D54" t="inlineStr">
        <is>
          <t>bungakarya.konsultan01@gmail.com</t>
        </is>
      </c>
      <c r="E54" t="inlineStr">
        <is>
          <t>https://lpjk.pu.go.id/search-badan-usaha-detail/MStUWVpzZW1wTlp0Qmg3UU9wa1IyUT09</t>
        </is>
      </c>
      <c r="F54" t="n">
        <v>1</v>
      </c>
      <c r="G54" t="inlineStr">
        <is>
          <t>RK003</t>
        </is>
      </c>
      <c r="H54" t="inlineStr">
        <is>
          <t>27 Oktober 2022</t>
        </is>
      </c>
      <c r="I54" s="2" t="n">
        <v>46285</v>
      </c>
      <c r="J54" t="inlineStr">
        <is>
          <t>Disetujui</t>
        </is>
      </c>
      <c r="K54" t="n">
        <v>30</v>
      </c>
      <c r="L54" t="inlineStr">
        <is>
          <t>20 September 2026</t>
        </is>
      </c>
      <c r="M54" t="inlineStr">
        <is>
          <t>Jasa Rekayasa Pekerjaan Teknik Sipil Transportasi</t>
        </is>
      </c>
      <c r="N54" t="inlineStr">
        <is>
          <t>K</t>
        </is>
      </c>
      <c r="O54" t="inlineStr">
        <is>
          <t>20230918</t>
        </is>
      </c>
      <c r="P54" t="inlineStr">
        <is>
          <t>Jawa Timur</t>
        </is>
      </c>
      <c r="Q54" t="inlineStr"/>
    </row>
    <row r="55">
      <c r="A55" t="inlineStr">
        <is>
          <t>CAKRAWALA BANUA</t>
        </is>
      </c>
      <c r="B55" t="inlineStr">
        <is>
          <t>Kab. Tapin</t>
        </is>
      </c>
      <c r="C55" t="inlineStr">
        <is>
          <t>081348698098</t>
        </is>
      </c>
      <c r="D55" t="inlineStr">
        <is>
          <t>CVCAKRAWALABANUA@GMAIL.COM</t>
        </is>
      </c>
      <c r="E55" t="inlineStr">
        <is>
          <t>https://lpjk.pu.go.id/search-badan-usaha-detail/VkRNRXA3Sk00aGlsNE43YnJUTWpxQT09</t>
        </is>
      </c>
      <c r="F55" t="n">
        <v>2</v>
      </c>
      <c r="G55" t="inlineStr">
        <is>
          <t>BG002, BG009</t>
        </is>
      </c>
      <c r="H55" t="inlineStr">
        <is>
          <t>22 Juni 2023</t>
        </is>
      </c>
      <c r="I55" s="2" t="n">
        <v>46285</v>
      </c>
      <c r="J55" t="inlineStr">
        <is>
          <t>Disetujui</t>
        </is>
      </c>
      <c r="K55" t="n">
        <v>30</v>
      </c>
      <c r="L55" t="inlineStr">
        <is>
          <t>20 September 2026</t>
        </is>
      </c>
      <c r="M55" t="inlineStr">
        <is>
          <t>Konstruksi Gedung Lainnya, Konstruksi Gedung Perkantoran</t>
        </is>
      </c>
      <c r="N55" t="inlineStr">
        <is>
          <t>K</t>
        </is>
      </c>
      <c r="O55" t="inlineStr">
        <is>
          <t>20230919</t>
        </is>
      </c>
      <c r="P55" t="inlineStr">
        <is>
          <t>Kalimantan Selatan</t>
        </is>
      </c>
      <c r="Q55" t="inlineStr"/>
    </row>
    <row r="56">
      <c r="A56" t="inlineStr">
        <is>
          <t>CEMERLANG GEMILANG GROUP</t>
        </is>
      </c>
      <c r="B56" t="inlineStr">
        <is>
          <t>Kab. Mandailing Natal</t>
        </is>
      </c>
      <c r="C56" t="inlineStr">
        <is>
          <t>081396794599</t>
        </is>
      </c>
      <c r="D56" t="inlineStr">
        <is>
          <t>cemerlanggemilanggrouo.cv@gmail.com</t>
        </is>
      </c>
      <c r="E56" t="inlineStr">
        <is>
          <t>https://lpjk.pu.go.id/search-badan-usaha-detail/Q3ZxWjhPQzA1S3F3dVdCOHVtQmZkQT09</t>
        </is>
      </c>
      <c r="F56" t="n">
        <v>1</v>
      </c>
      <c r="G56" t="inlineStr">
        <is>
          <t>BG002</t>
        </is>
      </c>
      <c r="H56" t="inlineStr">
        <is>
          <t>15 Januari 2019</t>
        </is>
      </c>
      <c r="I56" s="2" t="n">
        <v>46285</v>
      </c>
      <c r="J56" t="inlineStr">
        <is>
          <t>Disetujui</t>
        </is>
      </c>
      <c r="K56" t="n">
        <v>30</v>
      </c>
      <c r="L56" t="inlineStr">
        <is>
          <t>20 September 2026</t>
        </is>
      </c>
      <c r="M56" t="inlineStr">
        <is>
          <t>Konstruksi Gedung Perkantoran</t>
        </is>
      </c>
      <c r="N56" t="inlineStr">
        <is>
          <t>K</t>
        </is>
      </c>
      <c r="O56" t="inlineStr">
        <is>
          <t>20230914</t>
        </is>
      </c>
      <c r="P56" t="inlineStr">
        <is>
          <t>Sumatera Utara</t>
        </is>
      </c>
      <c r="Q56" t="inlineStr"/>
    </row>
    <row r="57">
      <c r="A57" t="inlineStr">
        <is>
          <t>CIPTA INTERNUSA KONSTRUKSI</t>
        </is>
      </c>
      <c r="B57" t="inlineStr">
        <is>
          <t>Kab. Kutai Kartanegara</t>
        </is>
      </c>
      <c r="C57" t="inlineStr">
        <is>
          <t>0818997476</t>
        </is>
      </c>
      <c r="D57" t="inlineStr">
        <is>
          <t>ciko.ik99@gmail.com</t>
        </is>
      </c>
      <c r="E57" t="inlineStr">
        <is>
          <t>https://lpjk.pu.go.id/search-badan-usaha-detail/aFdJak5BRFBicmFTLzMvSjFNRm53QT09</t>
        </is>
      </c>
      <c r="F57" t="n">
        <v>1</v>
      </c>
      <c r="G57" t="inlineStr">
        <is>
          <t>BS002</t>
        </is>
      </c>
      <c r="H57" t="inlineStr">
        <is>
          <t>28 Januari 2014</t>
        </is>
      </c>
      <c r="I57" s="2" t="n">
        <v>46285</v>
      </c>
      <c r="J57" t="inlineStr">
        <is>
          <t>Disetujui</t>
        </is>
      </c>
      <c r="K57" t="n">
        <v>30</v>
      </c>
      <c r="L57" t="inlineStr">
        <is>
          <t>20 September 2026</t>
        </is>
      </c>
      <c r="M57" t="inlineStr">
        <is>
          <t>Bangunan Sipil Jembatan, Jalan Layang, Fly Over, dan Underpass</t>
        </is>
      </c>
      <c r="N57" t="inlineStr">
        <is>
          <t>K</t>
        </is>
      </c>
      <c r="O57" t="inlineStr">
        <is>
          <t>20230918</t>
        </is>
      </c>
      <c r="P57" t="inlineStr">
        <is>
          <t>Kalimantan Timur</t>
        </is>
      </c>
      <c r="Q57" t="inlineStr"/>
    </row>
    <row r="58">
      <c r="A58" t="inlineStr">
        <is>
          <t>CIPTA NUANSA PRIMA</t>
        </is>
      </c>
      <c r="B58" t="inlineStr">
        <is>
          <t>Kota Tangerang Selatan</t>
        </is>
      </c>
      <c r="C58" t="inlineStr">
        <is>
          <t>02173446229</t>
        </is>
      </c>
      <c r="D58" t="inlineStr">
        <is>
          <t>hartantociptanuansa@gmail.com</t>
        </is>
      </c>
      <c r="E58" t="inlineStr">
        <is>
          <t>https://lpjk.pu.go.id/search-badan-usaha-detail/TFBLYktVOHRIZWkyV2NVN3d3MlNpUT09</t>
        </is>
      </c>
      <c r="F58" t="n">
        <v>6</v>
      </c>
      <c r="G58" t="inlineStr">
        <is>
          <t>BG002, BG005, BG009</t>
        </is>
      </c>
      <c r="H58" t="inlineStr">
        <is>
          <t>24 Maret 2008</t>
        </is>
      </c>
      <c r="I58" s="2" t="n">
        <v>46285</v>
      </c>
      <c r="J58" t="inlineStr">
        <is>
          <t>Disetujui</t>
        </is>
      </c>
      <c r="K58" t="n">
        <v>30</v>
      </c>
      <c r="L58" t="inlineStr">
        <is>
          <t>20 September 2026</t>
        </is>
      </c>
      <c r="M58" t="inlineStr">
        <is>
          <t>Konstruksi Gedung Kesehatan, Konstruksi Gedung Lainnya, Konstruksi Gedung Perkantoran</t>
        </is>
      </c>
      <c r="N58" t="inlineStr">
        <is>
          <t>M</t>
        </is>
      </c>
      <c r="O58" t="inlineStr">
        <is>
          <t>20230916</t>
        </is>
      </c>
      <c r="P58" t="inlineStr">
        <is>
          <t>Banten</t>
        </is>
      </c>
      <c r="Q58" t="inlineStr"/>
    </row>
    <row r="59">
      <c r="A59" t="inlineStr">
        <is>
          <t>CITRA ARSITAMA</t>
        </is>
      </c>
      <c r="B59" t="inlineStr">
        <is>
          <t>Kota Semarang</t>
        </is>
      </c>
      <c r="C59" t="inlineStr">
        <is>
          <t>02476602016</t>
        </is>
      </c>
      <c r="D59" t="inlineStr">
        <is>
          <t>citraarsitama@gmail.com</t>
        </is>
      </c>
      <c r="E59" t="inlineStr">
        <is>
          <t>https://lpjk.pu.go.id/search-badan-usaha-detail/bEpCMmgwSFpWSmFRL3k4b1N3RUFOQT09</t>
        </is>
      </c>
      <c r="F59" t="n">
        <v>6</v>
      </c>
      <c r="G59" t="inlineStr">
        <is>
          <t>AL002, AL003, AL004, AR001, AR002, RK002</t>
        </is>
      </c>
      <c r="H59" t="inlineStr">
        <is>
          <t>15 April 2011</t>
        </is>
      </c>
      <c r="I59" s="2" t="n">
        <v>46285</v>
      </c>
      <c r="J59" t="inlineStr">
        <is>
          <t>Disetujui</t>
        </is>
      </c>
      <c r="K59" t="n">
        <v>30</v>
      </c>
      <c r="L59" t="inlineStr">
        <is>
          <t>20 September 2026</t>
        </is>
      </c>
      <c r="M59" t="inlineStr">
        <is>
          <t>Jasa Arsitektural Bangunan Gedung Hunian dan Non Hunian, Jasa Arsitektural Lainnya, Jasa Pengembangan Lingkungan Bangunan dan Lanskap, Jasa Pengembangan Perkotaan, Jasa Pengembangan Wilayah, Jasa Rekayasa Pekerjaan Teknik Sipil Sumber Daya Air</t>
        </is>
      </c>
      <c r="N59" t="inlineStr">
        <is>
          <t>K</t>
        </is>
      </c>
      <c r="O59" t="inlineStr">
        <is>
          <t>20230915</t>
        </is>
      </c>
      <c r="P59" t="inlineStr">
        <is>
          <t>Jawa Tengah</t>
        </is>
      </c>
      <c r="Q59" t="inlineStr"/>
    </row>
    <row r="60">
      <c r="A60" t="inlineStr">
        <is>
          <t>CITRA RAJAWALI MEMBANGUN</t>
        </is>
      </c>
      <c r="B60" t="inlineStr">
        <is>
          <t>Kab. Pulang Pisau</t>
        </is>
      </c>
      <c r="C60" t="inlineStr">
        <is>
          <t>08129850597</t>
        </is>
      </c>
      <c r="D60" t="inlineStr">
        <is>
          <t>asruntingkondrat@gmail.com</t>
        </is>
      </c>
      <c r="E60" t="inlineStr">
        <is>
          <t>https://lpjk.pu.go.id/search-badan-usaha-detail/Z2dUL1hlc3k1ZnVLMlh5d1E5bFpLUT09</t>
        </is>
      </c>
      <c r="F60" t="n">
        <v>1</v>
      </c>
      <c r="G60" t="inlineStr">
        <is>
          <t>BS005</t>
        </is>
      </c>
      <c r="H60" t="inlineStr">
        <is>
          <t>26 Juli 2013</t>
        </is>
      </c>
      <c r="I60" s="2" t="n">
        <v>46285</v>
      </c>
      <c r="J60" t="inlineStr">
        <is>
          <t>Disetujui</t>
        </is>
      </c>
      <c r="K60" t="n">
        <v>30</v>
      </c>
      <c r="L60" t="inlineStr">
        <is>
          <t>20 September 2026</t>
        </is>
      </c>
      <c r="M60" t="inlineStr">
        <is>
          <t>Konstruksi Bangunan Sipil Pengolahan Air Bersih</t>
        </is>
      </c>
      <c r="N60" t="inlineStr">
        <is>
          <t>K</t>
        </is>
      </c>
      <c r="O60" t="inlineStr">
        <is>
          <t>20230916</t>
        </is>
      </c>
      <c r="P60" t="inlineStr">
        <is>
          <t>Kalimantan Tengah</t>
        </is>
      </c>
      <c r="Q60" t="inlineStr"/>
    </row>
    <row r="61">
      <c r="A61" t="inlineStr">
        <is>
          <t>DARMA BUANA</t>
        </is>
      </c>
      <c r="B61" t="inlineStr">
        <is>
          <t>Kota Palembang</t>
        </is>
      </c>
      <c r="C61" t="inlineStr">
        <is>
          <t>081273046441</t>
        </is>
      </c>
      <c r="D61" t="inlineStr">
        <is>
          <t>pt.darmabuana@rocketmail.com</t>
        </is>
      </c>
      <c r="E61" t="inlineStr">
        <is>
          <t>https://lpjk.pu.go.id/search-badan-usaha-detail/Qm1GOEVNclJUb2NMcG5LdHRVcjZndz09</t>
        </is>
      </c>
      <c r="F61" t="n">
        <v>2</v>
      </c>
      <c r="G61" t="inlineStr">
        <is>
          <t>BG002, BS001</t>
        </is>
      </c>
      <c r="H61" t="inlineStr">
        <is>
          <t>29 Januari 2007</t>
        </is>
      </c>
      <c r="I61" s="2" t="n">
        <v>46285</v>
      </c>
      <c r="J61" t="inlineStr">
        <is>
          <t>Disetujui</t>
        </is>
      </c>
      <c r="K61" t="n">
        <v>30</v>
      </c>
      <c r="L61" t="inlineStr">
        <is>
          <t>20 September 2026</t>
        </is>
      </c>
      <c r="M61" t="inlineStr">
        <is>
          <t>Konstruksi Bangunan Sipil Jalan, Konstruksi Gedung Perkantoran</t>
        </is>
      </c>
      <c r="N61" t="inlineStr">
        <is>
          <t>M</t>
        </is>
      </c>
      <c r="O61" t="inlineStr">
        <is>
          <t>20230914</t>
        </is>
      </c>
      <c r="P61" t="inlineStr">
        <is>
          <t>Sumatera Selatan</t>
        </is>
      </c>
      <c r="Q61" t="inlineStr"/>
    </row>
    <row r="62">
      <c r="A62" t="inlineStr">
        <is>
          <t>DASENA PRIMA</t>
        </is>
      </c>
      <c r="B62" t="inlineStr">
        <is>
          <t>Kota Bandung</t>
        </is>
      </c>
      <c r="C62" t="inlineStr">
        <is>
          <t>082128767676</t>
        </is>
      </c>
      <c r="D62" t="inlineStr">
        <is>
          <t>admin@dasenaprima.co.id</t>
        </is>
      </c>
      <c r="E62" t="inlineStr">
        <is>
          <t>https://lpjk.pu.go.id/search-badan-usaha-detail/cmNQekxXZ1BLME9sOFN2K2VEbVUxdz09</t>
        </is>
      </c>
      <c r="F62" t="n">
        <v>1</v>
      </c>
      <c r="G62" t="inlineStr">
        <is>
          <t>BS009</t>
        </is>
      </c>
      <c r="H62" t="inlineStr">
        <is>
          <t>1 Maret 2013</t>
        </is>
      </c>
      <c r="I62" s="2" t="n">
        <v>46285</v>
      </c>
      <c r="J62" t="inlineStr">
        <is>
          <t>Disetujui</t>
        </is>
      </c>
      <c r="K62" t="n">
        <v>30</v>
      </c>
      <c r="L62" t="inlineStr">
        <is>
          <t>20 September 2026</t>
        </is>
      </c>
      <c r="M62" t="inlineStr">
        <is>
          <t>Konstruksi Sentral Telekomunikasi</t>
        </is>
      </c>
      <c r="N62" t="inlineStr">
        <is>
          <t>K</t>
        </is>
      </c>
      <c r="O62" t="inlineStr">
        <is>
          <t>20230913</t>
        </is>
      </c>
      <c r="P62" t="inlineStr">
        <is>
          <t>Jawa Barat</t>
        </is>
      </c>
      <c r="Q62" t="inlineStr"/>
    </row>
    <row r="63">
      <c r="A63" t="inlineStr">
        <is>
          <t>DEMAK INDAH</t>
        </is>
      </c>
      <c r="B63" t="inlineStr">
        <is>
          <t>Kab. Merauke</t>
        </is>
      </c>
      <c r="C63" t="inlineStr">
        <is>
          <t>081225101111</t>
        </is>
      </c>
      <c r="D63" t="inlineStr">
        <is>
          <t>demakindah001@gmail.com</t>
        </is>
      </c>
      <c r="E63" t="inlineStr">
        <is>
          <t>https://lpjk.pu.go.id/search-badan-usaha-detail/VTVQcTY1RlhUZUh0UVl4U0ozdE9Bdz09</t>
        </is>
      </c>
      <c r="F63" t="n">
        <v>6</v>
      </c>
      <c r="G63" t="inlineStr">
        <is>
          <t>BG001, BG009, BS001</t>
        </is>
      </c>
      <c r="H63" t="inlineStr">
        <is>
          <t>23 Desember 2014</t>
        </is>
      </c>
      <c r="I63" s="2" t="n">
        <v>46285</v>
      </c>
      <c r="J63" t="inlineStr">
        <is>
          <t>Disetujui</t>
        </is>
      </c>
      <c r="K63" t="n">
        <v>30</v>
      </c>
      <c r="L63" t="inlineStr">
        <is>
          <t>20 September 2026</t>
        </is>
      </c>
      <c r="M63" t="inlineStr">
        <is>
          <t>Konstruksi Bangunan Sipil Jalan, Konstruksi Gedung Hunian, Konstruksi Gedung Lainnya</t>
        </is>
      </c>
      <c r="N63" t="inlineStr">
        <is>
          <t>K</t>
        </is>
      </c>
      <c r="O63" t="inlineStr">
        <is>
          <t>20230815, 20230816, 20230830</t>
        </is>
      </c>
      <c r="P63" t="inlineStr">
        <is>
          <t>Papua</t>
        </is>
      </c>
      <c r="Q63" t="inlineStr"/>
    </row>
    <row r="64">
      <c r="A64" t="inlineStr">
        <is>
          <t>DEWANGGA SAKTI REKADAYA</t>
        </is>
      </c>
      <c r="B64" t="inlineStr">
        <is>
          <t>Kota Tangerang Selatan</t>
        </is>
      </c>
      <c r="C64" t="inlineStr">
        <is>
          <t>081218505861</t>
        </is>
      </c>
      <c r="D64" t="inlineStr">
        <is>
          <t>cvdsrd2020@gmail.com</t>
        </is>
      </c>
      <c r="E64" t="inlineStr">
        <is>
          <t>https://lpjk.pu.go.id/search-badan-usaha-detail/YXZuZnozQWU1Skc1SEJkSDdGNDlKQT09</t>
        </is>
      </c>
      <c r="F64" t="n">
        <v>4</v>
      </c>
      <c r="G64" t="inlineStr">
        <is>
          <t>BS001, BS004</t>
        </is>
      </c>
      <c r="H64" t="inlineStr">
        <is>
          <t>22 Februari 2019</t>
        </is>
      </c>
      <c r="I64" s="2" t="n">
        <v>46285</v>
      </c>
      <c r="J64" t="inlineStr">
        <is>
          <t>Disetujui</t>
        </is>
      </c>
      <c r="K64" t="n">
        <v>30</v>
      </c>
      <c r="L64" t="inlineStr">
        <is>
          <t>20 September 2026</t>
        </is>
      </c>
      <c r="M64" t="inlineStr">
        <is>
          <t>Konstruksi Bangunan Sipil Jalan, Konstruksi Jaringan Irigasi dan Drainase</t>
        </is>
      </c>
      <c r="N64" t="inlineStr">
        <is>
          <t>K</t>
        </is>
      </c>
      <c r="O64" t="inlineStr">
        <is>
          <t>20230919</t>
        </is>
      </c>
      <c r="P64" t="inlineStr">
        <is>
          <t>Banten</t>
        </is>
      </c>
      <c r="Q64" t="inlineStr"/>
    </row>
    <row r="65">
      <c r="A65" t="inlineStr">
        <is>
          <t>DEWI LESTARI</t>
        </is>
      </c>
      <c r="B65" t="inlineStr">
        <is>
          <t>Kab. Ketapang</t>
        </is>
      </c>
      <c r="C65" t="inlineStr">
        <is>
          <t>089694324690</t>
        </is>
      </c>
      <c r="D65" t="inlineStr">
        <is>
          <t>darmawan64k@gmail.com</t>
        </is>
      </c>
      <c r="E65" t="inlineStr">
        <is>
          <t>https://lpjk.pu.go.id/search-badan-usaha-detail/aC9sb1pvM2NTdlFqYm9hK2RwTzBvUT09</t>
        </is>
      </c>
      <c r="F65" t="n">
        <v>1</v>
      </c>
      <c r="G65" t="inlineStr">
        <is>
          <t>BS001</t>
        </is>
      </c>
      <c r="H65" t="inlineStr">
        <is>
          <t>9 Juni 2008</t>
        </is>
      </c>
      <c r="I65" s="2" t="n">
        <v>46285</v>
      </c>
      <c r="J65" t="inlineStr">
        <is>
          <t>Disetujui</t>
        </is>
      </c>
      <c r="K65" t="n">
        <v>30</v>
      </c>
      <c r="L65" t="inlineStr">
        <is>
          <t>20 September 2026</t>
        </is>
      </c>
      <c r="M65" t="inlineStr">
        <is>
          <t>Konstruksi Bangunan Sipil Jalan</t>
        </is>
      </c>
      <c r="N65" t="inlineStr">
        <is>
          <t>K</t>
        </is>
      </c>
      <c r="O65" t="inlineStr">
        <is>
          <t>20230921</t>
        </is>
      </c>
      <c r="P65" t="inlineStr">
        <is>
          <t>Kalimantan Barat</t>
        </is>
      </c>
      <c r="Q65" t="inlineStr"/>
    </row>
    <row r="66">
      <c r="A66" t="inlineStr">
        <is>
          <t>DINASTY MITRATAMA INDONESIA</t>
        </is>
      </c>
      <c r="B66" t="inlineStr">
        <is>
          <t>Kab. Tuban</t>
        </is>
      </c>
      <c r="C66" t="inlineStr">
        <is>
          <t>08123113042</t>
        </is>
      </c>
      <c r="D66" t="inlineStr">
        <is>
          <t>indonesiadinastimitratama@gmail.com</t>
        </is>
      </c>
      <c r="E66" t="inlineStr">
        <is>
          <t>https://lpjk.pu.go.id/search-badan-usaha-detail/ZmV5cFlZcEpoYnJsaFdTUVJDVkg2dz09</t>
        </is>
      </c>
      <c r="F66" t="n">
        <v>3</v>
      </c>
      <c r="G66" t="inlineStr">
        <is>
          <t>BS001</t>
        </is>
      </c>
      <c r="H66" t="inlineStr">
        <is>
          <t>27 Maret 2023</t>
        </is>
      </c>
      <c r="I66" s="2" t="n">
        <v>46285</v>
      </c>
      <c r="J66" t="inlineStr">
        <is>
          <t>Pencabutan</t>
        </is>
      </c>
      <c r="K66" t="n">
        <v>30</v>
      </c>
      <c r="L66" t="inlineStr">
        <is>
          <t>20 September 2026</t>
        </is>
      </c>
      <c r="M66" t="inlineStr">
        <is>
          <t>Konstruksi Bangunan Sipil Jalan</t>
        </is>
      </c>
      <c r="N66" t="inlineStr">
        <is>
          <t>K</t>
        </is>
      </c>
      <c r="O66" t="inlineStr">
        <is>
          <t>20230918</t>
        </is>
      </c>
      <c r="P66" t="inlineStr">
        <is>
          <t>Jawa Timur</t>
        </is>
      </c>
      <c r="Q66" t="inlineStr"/>
    </row>
    <row r="67">
      <c r="A67" t="inlineStr">
        <is>
          <t>EMBUN RAYA</t>
        </is>
      </c>
      <c r="B67" t="inlineStr">
        <is>
          <t>Kab. Lombok Barat</t>
        </is>
      </c>
      <c r="C67" t="inlineStr">
        <is>
          <t>087858750554</t>
        </is>
      </c>
      <c r="D67" t="inlineStr">
        <is>
          <t>embun_raya.cv@yahoo.com</t>
        </is>
      </c>
      <c r="E67" t="inlineStr">
        <is>
          <t>https://lpjk.pu.go.id/search-badan-usaha-detail/NE9KK3VHZ09kck54UnY2OUE3eThtUT09</t>
        </is>
      </c>
      <c r="F67" t="n">
        <v>3</v>
      </c>
      <c r="G67" t="inlineStr">
        <is>
          <t>BG005, BG006, BS001</t>
        </is>
      </c>
      <c r="H67" t="inlineStr">
        <is>
          <t>15 Juni 2016</t>
        </is>
      </c>
      <c r="I67" s="2" t="n">
        <v>46285</v>
      </c>
      <c r="J67" t="inlineStr">
        <is>
          <t>Pencabutan</t>
        </is>
      </c>
      <c r="K67" t="n">
        <v>30</v>
      </c>
      <c r="L67" t="inlineStr">
        <is>
          <t>20 September 2026</t>
        </is>
      </c>
      <c r="M67" t="inlineStr">
        <is>
          <t>Konstruksi Bangunan Sipil Jalan, Konstruksi Gedung Kesehatan, Konstruksi Gedung Pendidikan</t>
        </is>
      </c>
      <c r="N67" t="inlineStr">
        <is>
          <t>K</t>
        </is>
      </c>
      <c r="O67" t="inlineStr">
        <is>
          <t>20230920</t>
        </is>
      </c>
      <c r="P67" t="inlineStr">
        <is>
          <t>Nusa Tenggara Barat</t>
        </is>
      </c>
      <c r="Q67" t="inlineStr"/>
    </row>
    <row r="68">
      <c r="A68" t="inlineStr">
        <is>
          <t>EMPAT KENA TIGA</t>
        </is>
      </c>
      <c r="B68" t="inlineStr">
        <is>
          <t>Kota Adm. Jakarta Selatan</t>
        </is>
      </c>
      <c r="C68" t="inlineStr">
        <is>
          <t>082125937969</t>
        </is>
      </c>
      <c r="D68" t="inlineStr">
        <is>
          <t>empatkenatiga3@gmail.com</t>
        </is>
      </c>
      <c r="E68" t="inlineStr">
        <is>
          <t>https://lpjk.pu.go.id/search-badan-usaha-detail/dXZaSUhFN1pTcS9naEh2RjA1a0RUZz09</t>
        </is>
      </c>
      <c r="F68" t="n">
        <v>1</v>
      </c>
      <c r="G68" t="inlineStr">
        <is>
          <t>BS009</t>
        </is>
      </c>
      <c r="H68" t="inlineStr">
        <is>
          <t>16 September 2023</t>
        </is>
      </c>
      <c r="I68" s="2" t="n">
        <v>46285</v>
      </c>
      <c r="J68" t="inlineStr">
        <is>
          <t>Disetujui</t>
        </is>
      </c>
      <c r="K68" t="n">
        <v>30</v>
      </c>
      <c r="L68" t="inlineStr">
        <is>
          <t>20 September 2026</t>
        </is>
      </c>
      <c r="M68" t="inlineStr">
        <is>
          <t>Konstruksi Sentral Telekomunikasi</t>
        </is>
      </c>
      <c r="N68" t="inlineStr">
        <is>
          <t>K</t>
        </is>
      </c>
      <c r="O68" t="inlineStr">
        <is>
          <t>20230921</t>
        </is>
      </c>
      <c r="P68" t="inlineStr">
        <is>
          <t>DKI Jakarta</t>
        </is>
      </c>
      <c r="Q68" t="inlineStr"/>
    </row>
    <row r="69">
      <c r="A69" t="inlineStr">
        <is>
          <t>FAEYZA SUCCESS</t>
        </is>
      </c>
      <c r="B69" t="inlineStr">
        <is>
          <t>Kota Padang</t>
        </is>
      </c>
      <c r="C69" t="inlineStr">
        <is>
          <t>082284330053</t>
        </is>
      </c>
      <c r="D69" t="inlineStr">
        <is>
          <t>faeyza.success@gmail.com</t>
        </is>
      </c>
      <c r="E69" t="inlineStr">
        <is>
          <t>https://lpjk.pu.go.id/search-badan-usaha-detail/OFVZczBZR0NKNGFkdFhjU1M1ZUxwZz09</t>
        </is>
      </c>
      <c r="F69" t="n">
        <v>4</v>
      </c>
      <c r="G69" t="inlineStr">
        <is>
          <t>BG001, BG009, BS001, BS004</t>
        </is>
      </c>
      <c r="H69" t="inlineStr">
        <is>
          <t>3 Februari 2020</t>
        </is>
      </c>
      <c r="I69" s="2" t="n">
        <v>46285</v>
      </c>
      <c r="J69" t="inlineStr">
        <is>
          <t>Disetujui</t>
        </is>
      </c>
      <c r="K69" t="n">
        <v>30</v>
      </c>
      <c r="L69" t="inlineStr">
        <is>
          <t>20 September 2026</t>
        </is>
      </c>
      <c r="M69" t="inlineStr">
        <is>
          <t>Konstruksi Bangunan Sipil Jalan, Konstruksi Gedung Hunian, Konstruksi Gedung Lainnya, Konstruksi Jaringan Irigasi dan Drainase</t>
        </is>
      </c>
      <c r="N69" t="inlineStr">
        <is>
          <t>K</t>
        </is>
      </c>
      <c r="O69" t="inlineStr">
        <is>
          <t>20230911, 20230915</t>
        </is>
      </c>
      <c r="P69" t="inlineStr">
        <is>
          <t>Sumatera Barat</t>
        </is>
      </c>
      <c r="Q69" t="inlineStr"/>
    </row>
    <row r="70">
      <c r="A70" t="inlineStr">
        <is>
          <t>GADA JAYA</t>
        </is>
      </c>
      <c r="B70" t="inlineStr">
        <is>
          <t>Kota Dumai</t>
        </is>
      </c>
      <c r="C70" t="inlineStr">
        <is>
          <t>085271224937</t>
        </is>
      </c>
      <c r="D70" t="inlineStr">
        <is>
          <t>gadajaya2008@yahoo.com</t>
        </is>
      </c>
      <c r="E70" t="inlineStr">
        <is>
          <t>https://lpjk.pu.go.id/search-badan-usaha-detail/UEJYZUtmMU15a3VIQ3RPa0ZqVFd4dz09</t>
        </is>
      </c>
      <c r="F70" t="n">
        <v>5</v>
      </c>
      <c r="G70" t="inlineStr">
        <is>
          <t>BG001, BG002, BG005, BG006, BG009</t>
        </is>
      </c>
      <c r="H70" t="inlineStr">
        <is>
          <t>28 Mei 2008</t>
        </is>
      </c>
      <c r="I70" s="2" t="n">
        <v>46285</v>
      </c>
      <c r="J70" t="inlineStr">
        <is>
          <t>Disetujui</t>
        </is>
      </c>
      <c r="K70" t="n">
        <v>30</v>
      </c>
      <c r="L70" t="inlineStr">
        <is>
          <t>20 September 2026</t>
        </is>
      </c>
      <c r="M70" t="inlineStr">
        <is>
          <t>Konstruksi Gedung Hunian, Konstruksi Gedung Kesehatan, Konstruksi Gedung Lainnya, Konstruksi Gedung Pendidikan, Konstruksi Gedung Perkantoran</t>
        </is>
      </c>
      <c r="N70" t="inlineStr">
        <is>
          <t>K</t>
        </is>
      </c>
      <c r="O70" t="inlineStr">
        <is>
          <t>20230912, 20230921</t>
        </is>
      </c>
      <c r="P70" t="inlineStr">
        <is>
          <t>Riau</t>
        </is>
      </c>
      <c r="Q70" t="inlineStr"/>
    </row>
    <row r="71">
      <c r="A71" t="inlineStr">
        <is>
          <t>GAJAH MANDALA JAYA</t>
        </is>
      </c>
      <c r="B71" t="inlineStr">
        <is>
          <t>Kota Adm. Jakarta Utara</t>
        </is>
      </c>
      <c r="C71" t="inlineStr">
        <is>
          <t>0214513922</t>
        </is>
      </c>
      <c r="D71" t="inlineStr">
        <is>
          <t>gmj@taitindo.com</t>
        </is>
      </c>
      <c r="E71" t="inlineStr">
        <is>
          <t>https://lpjk.pu.go.id/search-badan-usaha-detail/ZVRyeWJnc3B2ZDNTeGVweHkvaFkzdz09</t>
        </is>
      </c>
      <c r="F71" t="n">
        <v>1</v>
      </c>
      <c r="G71" t="inlineStr">
        <is>
          <t>BS009</t>
        </is>
      </c>
      <c r="H71" t="inlineStr">
        <is>
          <t>31 Juli 1996</t>
        </is>
      </c>
      <c r="I71" s="2" t="n">
        <v>46285</v>
      </c>
      <c r="J71" t="inlineStr">
        <is>
          <t>Pembekuan</t>
        </is>
      </c>
      <c r="K71" t="n">
        <v>30</v>
      </c>
      <c r="L71" t="inlineStr">
        <is>
          <t>20 September 2026</t>
        </is>
      </c>
      <c r="M71" t="inlineStr">
        <is>
          <t>Konstruksi Sentral Telekomunikasi</t>
        </is>
      </c>
      <c r="N71" t="inlineStr">
        <is>
          <t>M</t>
        </is>
      </c>
      <c r="O71" t="inlineStr">
        <is>
          <t>20230915</t>
        </is>
      </c>
      <c r="P71" t="inlineStr">
        <is>
          <t>DKI Jakarta</t>
        </is>
      </c>
      <c r="Q71" t="inlineStr"/>
    </row>
    <row r="72">
      <c r="A72" t="inlineStr">
        <is>
          <t>GALUH RAMADHITA</t>
        </is>
      </c>
      <c r="B72" t="inlineStr">
        <is>
          <t>Kota Bandung</t>
        </is>
      </c>
      <c r="C72" t="inlineStr">
        <is>
          <t>082262244624</t>
        </is>
      </c>
      <c r="D72" t="inlineStr">
        <is>
          <t>galuhramadhita@yahoo.com</t>
        </is>
      </c>
      <c r="E72" t="inlineStr">
        <is>
          <t>https://lpjk.pu.go.id/search-badan-usaha-detail/N0IxMXQ2cSswcHZhL0RHQXEzK1pkUT09</t>
        </is>
      </c>
      <c r="F72" t="n">
        <v>2</v>
      </c>
      <c r="G72" t="inlineStr">
        <is>
          <t>BG006, BS004</t>
        </is>
      </c>
      <c r="H72" t="inlineStr">
        <is>
          <t>22 Juni 2012</t>
        </is>
      </c>
      <c r="I72" s="2" t="n">
        <v>46285</v>
      </c>
      <c r="J72" t="inlineStr">
        <is>
          <t>Disetujui</t>
        </is>
      </c>
      <c r="K72" t="n">
        <v>30</v>
      </c>
      <c r="L72" t="inlineStr">
        <is>
          <t>20 September 2026</t>
        </is>
      </c>
      <c r="M72" t="inlineStr">
        <is>
          <t>Konstruksi Gedung Pendidikan, Konstruksi Jaringan Irigasi dan Drainase</t>
        </is>
      </c>
      <c r="N72" t="inlineStr">
        <is>
          <t>K</t>
        </is>
      </c>
      <c r="O72" t="inlineStr">
        <is>
          <t>20230918, 20230925</t>
        </is>
      </c>
      <c r="P72" t="inlineStr">
        <is>
          <t>Jawa Barat</t>
        </is>
      </c>
      <c r="Q72" t="inlineStr"/>
    </row>
    <row r="73">
      <c r="A73" t="inlineStr">
        <is>
          <t>GARIS RINGSAKTI</t>
        </is>
      </c>
      <c r="B73" t="inlineStr">
        <is>
          <t>Kota Adm. Jakarta Utara</t>
        </is>
      </c>
      <c r="C73" t="inlineStr">
        <is>
          <t>02129037142</t>
        </is>
      </c>
      <c r="D73" t="inlineStr">
        <is>
          <t>sales@garisring.com</t>
        </is>
      </c>
      <c r="E73" t="inlineStr">
        <is>
          <t>https://lpjk.pu.go.id/search-badan-usaha-detail/YmljalFGU2VCRDZUVWZnTWF4NXFvUT09</t>
        </is>
      </c>
      <c r="F73" t="n">
        <v>1</v>
      </c>
      <c r="G73" t="inlineStr">
        <is>
          <t>IN004</t>
        </is>
      </c>
      <c r="H73" t="inlineStr">
        <is>
          <t>4 Februari 2021</t>
        </is>
      </c>
      <c r="I73" s="2" t="n">
        <v>46285</v>
      </c>
      <c r="J73" t="inlineStr">
        <is>
          <t>Disetujui</t>
        </is>
      </c>
      <c r="K73" t="n">
        <v>30</v>
      </c>
      <c r="L73" t="inlineStr">
        <is>
          <t>20 September 2026</t>
        </is>
      </c>
      <c r="M73" t="inlineStr">
        <is>
          <t>Instalasi Minyak dan Gas</t>
        </is>
      </c>
      <c r="N73" t="inlineStr">
        <is>
          <t>Spesialis</t>
        </is>
      </c>
      <c r="O73" t="inlineStr">
        <is>
          <t>20230911</t>
        </is>
      </c>
      <c r="P73" t="inlineStr">
        <is>
          <t>DKI Jakarta</t>
        </is>
      </c>
      <c r="Q73" t="inlineStr"/>
    </row>
    <row r="74">
      <c r="A74" t="inlineStr">
        <is>
          <t>GEMILANG PRESTASI ABADI</t>
        </is>
      </c>
      <c r="B74" t="inlineStr">
        <is>
          <t>Kab. Sukabumi</t>
        </is>
      </c>
      <c r="C74" t="inlineStr">
        <is>
          <t>085793927738</t>
        </is>
      </c>
      <c r="D74" t="inlineStr">
        <is>
          <t>pt.gemilangprestasiabadi2021@gmail.com</t>
        </is>
      </c>
      <c r="E74" t="inlineStr">
        <is>
          <t>https://lpjk.pu.go.id/search-badan-usaha-detail/MXdvT0pyUXlobEhKRXhwYVVsMFYxUT09</t>
        </is>
      </c>
      <c r="F74" t="n">
        <v>2</v>
      </c>
      <c r="G74" t="inlineStr">
        <is>
          <t>BG002, BS001</t>
        </is>
      </c>
      <c r="H74" t="inlineStr">
        <is>
          <t>26 April 2016</t>
        </is>
      </c>
      <c r="I74" s="2" t="n">
        <v>46285</v>
      </c>
      <c r="J74" t="inlineStr">
        <is>
          <t>Disetujui</t>
        </is>
      </c>
      <c r="K74" t="n">
        <v>30</v>
      </c>
      <c r="L74" t="inlineStr">
        <is>
          <t>20 September 2026</t>
        </is>
      </c>
      <c r="M74" t="inlineStr">
        <is>
          <t>Konstruksi Bangunan Sipil Jalan, Konstruksi Gedung Perkantoran</t>
        </is>
      </c>
      <c r="N74" t="inlineStr">
        <is>
          <t>K</t>
        </is>
      </c>
      <c r="O74" t="inlineStr">
        <is>
          <t>20230920</t>
        </is>
      </c>
      <c r="P74" t="inlineStr">
        <is>
          <t>Jawa Barat</t>
        </is>
      </c>
      <c r="Q74" t="inlineStr"/>
    </row>
    <row r="75">
      <c r="A75" t="inlineStr">
        <is>
          <t>GIAN MULTI CIPTA</t>
        </is>
      </c>
      <c r="B75" t="inlineStr">
        <is>
          <t>Kota Palembang</t>
        </is>
      </c>
      <c r="C75" t="inlineStr">
        <is>
          <t>08127837728</t>
        </is>
      </c>
      <c r="D75" t="inlineStr">
        <is>
          <t>gianmulticipta2000@gmail.com</t>
        </is>
      </c>
      <c r="E75" t="inlineStr">
        <is>
          <t>https://lpjk.pu.go.id/search-badan-usaha-detail/WDlwdkU4Q2pLWXhveDRIOEhsdTVNUT09</t>
        </is>
      </c>
      <c r="F75" t="n">
        <v>1</v>
      </c>
      <c r="G75" t="inlineStr">
        <is>
          <t>BG002</t>
        </is>
      </c>
      <c r="H75" t="inlineStr">
        <is>
          <t>10 Mei 2010</t>
        </is>
      </c>
      <c r="I75" s="2" t="n">
        <v>46285</v>
      </c>
      <c r="J75" t="inlineStr">
        <is>
          <t>Pencabutan</t>
        </is>
      </c>
      <c r="K75" t="n">
        <v>30</v>
      </c>
      <c r="L75" t="inlineStr">
        <is>
          <t>20 September 2026</t>
        </is>
      </c>
      <c r="M75" t="inlineStr">
        <is>
          <t>Konstruksi Gedung Perkantoran</t>
        </is>
      </c>
      <c r="N75" t="inlineStr">
        <is>
          <t>K</t>
        </is>
      </c>
      <c r="O75" t="inlineStr">
        <is>
          <t>20230920</t>
        </is>
      </c>
      <c r="P75" t="inlineStr">
        <is>
          <t>Sumatera Selatan</t>
        </is>
      </c>
      <c r="Q75" t="inlineStr"/>
    </row>
    <row r="76">
      <c r="A76" t="inlineStr">
        <is>
          <t>GIRI PUTRI SEJATI</t>
        </is>
      </c>
      <c r="B76" t="inlineStr">
        <is>
          <t>Kota Kendari</t>
        </is>
      </c>
      <c r="C76" t="inlineStr">
        <is>
          <t>085299446705</t>
        </is>
      </c>
      <c r="D76" t="inlineStr">
        <is>
          <t>cv.giri@yahoo.com</t>
        </is>
      </c>
      <c r="E76" t="inlineStr">
        <is>
          <t>https://lpjk.pu.go.id/search-badan-usaha-detail/MnRESEIxM0UvYXFzOVhnQkhXNXpkdz09</t>
        </is>
      </c>
      <c r="F76" t="n">
        <v>1</v>
      </c>
      <c r="G76" t="inlineStr">
        <is>
          <t>BG001</t>
        </is>
      </c>
      <c r="H76" t="inlineStr">
        <is>
          <t>1 Juli 2000</t>
        </is>
      </c>
      <c r="I76" s="2" t="n">
        <v>46285</v>
      </c>
      <c r="J76" t="inlineStr">
        <is>
          <t>Disetujui</t>
        </is>
      </c>
      <c r="K76" t="n">
        <v>30</v>
      </c>
      <c r="L76" t="inlineStr">
        <is>
          <t>20 September 2026</t>
        </is>
      </c>
      <c r="M76" t="inlineStr">
        <is>
          <t>Konstruksi Gedung Hunian</t>
        </is>
      </c>
      <c r="N76" t="inlineStr">
        <is>
          <t>K</t>
        </is>
      </c>
      <c r="O76" t="inlineStr">
        <is>
          <t>20230627</t>
        </is>
      </c>
      <c r="P76" t="inlineStr">
        <is>
          <t>Sulawesi Tenggara</t>
        </is>
      </c>
      <c r="Q76" t="inlineStr"/>
    </row>
    <row r="77">
      <c r="A77" t="inlineStr">
        <is>
          <t>GOLDEN BOY ELFICO</t>
        </is>
      </c>
      <c r="B77" t="inlineStr">
        <is>
          <t>Kota Banjar</t>
        </is>
      </c>
      <c r="C77" t="inlineStr">
        <is>
          <t>081313038357</t>
        </is>
      </c>
      <c r="D77" t="inlineStr">
        <is>
          <t>elficogoldenboy@gmail.com</t>
        </is>
      </c>
      <c r="E77" t="inlineStr">
        <is>
          <t>https://lpjk.pu.go.id/search-badan-usaha-detail/cHY1VWZNNmIvamt2NkZ1ZW5leUM0QT09</t>
        </is>
      </c>
      <c r="F77" t="n">
        <v>4</v>
      </c>
      <c r="G77" t="inlineStr">
        <is>
          <t>BS001, BS004</t>
        </is>
      </c>
      <c r="H77" t="inlineStr">
        <is>
          <t>21 Juni 2022</t>
        </is>
      </c>
      <c r="I77" s="2" t="n">
        <v>46285</v>
      </c>
      <c r="J77" t="inlineStr">
        <is>
          <t>Disetujui</t>
        </is>
      </c>
      <c r="K77" t="n">
        <v>30</v>
      </c>
      <c r="L77" t="inlineStr">
        <is>
          <t>20 September 2026</t>
        </is>
      </c>
      <c r="M77" t="inlineStr">
        <is>
          <t>Konstruksi Bangunan Sipil Jalan, Konstruksi Jaringan Irigasi dan Drainase</t>
        </is>
      </c>
      <c r="N77" t="inlineStr">
        <is>
          <t>K</t>
        </is>
      </c>
      <c r="O77" t="inlineStr">
        <is>
          <t>20230915</t>
        </is>
      </c>
      <c r="P77" t="inlineStr">
        <is>
          <t>Jawa Barat</t>
        </is>
      </c>
      <c r="Q77" t="inlineStr"/>
    </row>
    <row r="78">
      <c r="A78" t="inlineStr">
        <is>
          <t>GUNTUR PERKASA ENGINERING</t>
        </is>
      </c>
      <c r="B78" t="inlineStr">
        <is>
          <t>Kab. Karawang</t>
        </is>
      </c>
      <c r="C78" t="inlineStr">
        <is>
          <t>0267414802</t>
        </is>
      </c>
      <c r="D78" t="inlineStr">
        <is>
          <t>pt.gunturperkasa@yahoo.co.id</t>
        </is>
      </c>
      <c r="E78" t="inlineStr">
        <is>
          <t>https://lpjk.pu.go.id/search-badan-usaha-detail/Nk93cnhnL09UV2lndkZjc21TckZxdHdMWVkrb1VaeXRVSzhuOEpUaVFTdz0</t>
        </is>
      </c>
      <c r="F78" t="n">
        <v>1</v>
      </c>
      <c r="G78" t="inlineStr">
        <is>
          <t>BS002</t>
        </is>
      </c>
      <c r="H78" t="inlineStr">
        <is>
          <t>5 Juni 2015</t>
        </is>
      </c>
      <c r="I78" s="2" t="n">
        <v>46285</v>
      </c>
      <c r="J78" t="inlineStr">
        <is>
          <t>Disetujui</t>
        </is>
      </c>
      <c r="K78" t="n">
        <v>30</v>
      </c>
      <c r="L78" t="inlineStr">
        <is>
          <t>20 September 2026</t>
        </is>
      </c>
      <c r="M78" t="inlineStr">
        <is>
          <t>Bangunan Sipil Jembatan, Jalan Layang, Fly Over, dan Underpass</t>
        </is>
      </c>
      <c r="N78" t="inlineStr">
        <is>
          <t>K</t>
        </is>
      </c>
      <c r="O78" t="inlineStr">
        <is>
          <t>20230919</t>
        </is>
      </c>
      <c r="P78" t="inlineStr">
        <is>
          <t>Jawa Barat</t>
        </is>
      </c>
      <c r="Q78" t="inlineStr"/>
    </row>
    <row r="79">
      <c r="A79" t="inlineStr">
        <is>
          <t>GUNUNG KONDO</t>
        </is>
      </c>
      <c r="B79" t="inlineStr">
        <is>
          <t>Kab. Kepulauan Anambas</t>
        </is>
      </c>
      <c r="C79" t="inlineStr">
        <is>
          <t>081383833732</t>
        </is>
      </c>
      <c r="D79" t="inlineStr">
        <is>
          <t>gunungkondo.cv@gmail.com</t>
        </is>
      </c>
      <c r="E79" t="inlineStr">
        <is>
          <t>https://lpjk.pu.go.id/search-badan-usaha-detail/WFZrWllpbHBLQk92M1F5alVFZGJRQT09</t>
        </is>
      </c>
      <c r="F79" t="n">
        <v>4</v>
      </c>
      <c r="G79" t="inlineStr">
        <is>
          <t>BG005, BG006, BG009, BS001</t>
        </is>
      </c>
      <c r="H79" t="inlineStr">
        <is>
          <t>5 Maret 2018</t>
        </is>
      </c>
      <c r="I79" s="2" t="n">
        <v>46285</v>
      </c>
      <c r="J79" t="inlineStr">
        <is>
          <t>Disetujui</t>
        </is>
      </c>
      <c r="K79" t="n">
        <v>30</v>
      </c>
      <c r="L79" t="inlineStr">
        <is>
          <t>20 September 2026</t>
        </is>
      </c>
      <c r="M79" t="inlineStr">
        <is>
          <t>Konstruksi Bangunan Sipil Jalan, Konstruksi Gedung Kesehatan, Konstruksi Gedung Lainnya, Konstruksi Gedung Pendidikan</t>
        </is>
      </c>
      <c r="N79" t="inlineStr">
        <is>
          <t>K</t>
        </is>
      </c>
      <c r="O79" t="inlineStr">
        <is>
          <t>20230917</t>
        </is>
      </c>
      <c r="P79" t="inlineStr">
        <is>
          <t>Kepulauan Riau</t>
        </is>
      </c>
      <c r="Q79" t="inlineStr"/>
    </row>
    <row r="80">
      <c r="A80" t="inlineStr">
        <is>
          <t>GUYUB INTI TUNGGAL</t>
        </is>
      </c>
      <c r="B80" t="inlineStr">
        <is>
          <t>Kota Adm. Jakarta Selatan</t>
        </is>
      </c>
      <c r="C80" t="inlineStr">
        <is>
          <t>0217801460</t>
        </is>
      </c>
      <c r="D80" t="inlineStr">
        <is>
          <t>hrdlegal@guyub.co.id</t>
        </is>
      </c>
      <c r="E80" t="inlineStr">
        <is>
          <t>https://lpjk.pu.go.id/search-badan-usaha-detail/TFNuc2lkbDNlQTQ5M2ErcC9qcmFxZz09</t>
        </is>
      </c>
      <c r="F80" t="n">
        <v>1</v>
      </c>
      <c r="G80" t="inlineStr">
        <is>
          <t>BS009</t>
        </is>
      </c>
      <c r="H80" t="inlineStr">
        <is>
          <t>28 Oktober 2016</t>
        </is>
      </c>
      <c r="I80" s="2" t="n">
        <v>46285</v>
      </c>
      <c r="J80" t="inlineStr">
        <is>
          <t>Disetujui</t>
        </is>
      </c>
      <c r="K80" t="n">
        <v>30</v>
      </c>
      <c r="L80" t="inlineStr">
        <is>
          <t>20 September 2026</t>
        </is>
      </c>
      <c r="M80" t="inlineStr">
        <is>
          <t>Konstruksi Sentral Telekomunikasi</t>
        </is>
      </c>
      <c r="N80" t="inlineStr">
        <is>
          <t>K</t>
        </is>
      </c>
      <c r="O80" t="inlineStr">
        <is>
          <t>20230920</t>
        </is>
      </c>
      <c r="P80" t="inlineStr">
        <is>
          <t>DKI Jakarta</t>
        </is>
      </c>
      <c r="Q80" t="inlineStr"/>
    </row>
    <row r="81">
      <c r="A81" t="inlineStr">
        <is>
          <t>HANDAL JAYA</t>
        </is>
      </c>
      <c r="B81" t="inlineStr">
        <is>
          <t>Kab. Subang</t>
        </is>
      </c>
      <c r="C81" t="inlineStr">
        <is>
          <t>081320588999</t>
        </is>
      </c>
      <c r="D81" t="inlineStr">
        <is>
          <t>handal.jaya@yahoo.com</t>
        </is>
      </c>
      <c r="E81" t="inlineStr">
        <is>
          <t>https://lpjk.pu.go.id/search-badan-usaha-detail/Q0VNVkFZMWNoK1RZOXdnamFqVEh6QT09</t>
        </is>
      </c>
      <c r="F81" t="n">
        <v>8</v>
      </c>
      <c r="G81" t="inlineStr">
        <is>
          <t>BG006, BG009, BS001, BS004</t>
        </is>
      </c>
      <c r="H81" t="inlineStr">
        <is>
          <t>4 Juli 2008</t>
        </is>
      </c>
      <c r="I81" s="2" t="n">
        <v>46285</v>
      </c>
      <c r="J81" t="inlineStr">
        <is>
          <t>Disetujui</t>
        </is>
      </c>
      <c r="K81" t="n">
        <v>30</v>
      </c>
      <c r="L81" t="inlineStr">
        <is>
          <t>20 September 2026</t>
        </is>
      </c>
      <c r="M81" t="inlineStr">
        <is>
          <t>Konstruksi Bangunan Sipil Jalan, Konstruksi Gedung Lainnya, Konstruksi Gedung Pendidikan, Konstruksi Jaringan Irigasi dan Drainase</t>
        </is>
      </c>
      <c r="N81" t="inlineStr">
        <is>
          <t>K</t>
        </is>
      </c>
      <c r="O81" t="inlineStr">
        <is>
          <t>20230913</t>
        </is>
      </c>
      <c r="P81" t="inlineStr">
        <is>
          <t>Jawa Barat</t>
        </is>
      </c>
      <c r="Q81" t="inlineStr"/>
    </row>
    <row r="82">
      <c r="A82" t="inlineStr">
        <is>
          <t>HIKARI TEKNOLOGI INDONESIA</t>
        </is>
      </c>
      <c r="B82" t="inlineStr">
        <is>
          <t>Kab. Gresik</t>
        </is>
      </c>
      <c r="C82" t="inlineStr">
        <is>
          <t>081131141150</t>
        </is>
      </c>
      <c r="D82" t="inlineStr">
        <is>
          <t>hrd@pt-hikari.com</t>
        </is>
      </c>
      <c r="E82" t="inlineStr">
        <is>
          <t>https://lpjk.pu.go.id/search-badan-usaha-detail/WFpENFRXZFphaWJoTWtOa2ZRUm5VQT09</t>
        </is>
      </c>
      <c r="F82" t="n">
        <v>2</v>
      </c>
      <c r="G82" t="inlineStr">
        <is>
          <t>BG003, IN004</t>
        </is>
      </c>
      <c r="H82" t="inlineStr">
        <is>
          <t>6 November 2014</t>
        </is>
      </c>
      <c r="I82" s="2" t="n">
        <v>46285</v>
      </c>
      <c r="J82" t="inlineStr">
        <is>
          <t>Disetujui</t>
        </is>
      </c>
      <c r="K82" t="n">
        <v>30</v>
      </c>
      <c r="L82" t="inlineStr">
        <is>
          <t>20 September 2026</t>
        </is>
      </c>
      <c r="M82" t="inlineStr">
        <is>
          <t>Instalasi Minyak dan Gas, Konstruksi Gedung Industri</t>
        </is>
      </c>
      <c r="N82" t="inlineStr">
        <is>
          <t>M, Spesialis</t>
        </is>
      </c>
      <c r="O82" t="inlineStr">
        <is>
          <t>20230918</t>
        </is>
      </c>
      <c r="P82" t="inlineStr">
        <is>
          <t>Jawa Timur</t>
        </is>
      </c>
      <c r="Q82" t="inlineStr"/>
    </row>
    <row r="83">
      <c r="A83" t="inlineStr">
        <is>
          <t>IKHLAS AMAL BERSAMA</t>
        </is>
      </c>
      <c r="B83" t="inlineStr">
        <is>
          <t>Kab. Cianjur</t>
        </is>
      </c>
      <c r="C83" t="inlineStr">
        <is>
          <t>085318859695</t>
        </is>
      </c>
      <c r="D83" t="inlineStr">
        <is>
          <t>ikhlasamalbersama.cjr@gmail.com</t>
        </is>
      </c>
      <c r="E83" t="inlineStr">
        <is>
          <t>https://lpjk.pu.go.id/search-badan-usaha-detail/emk1VnBBVlEraExvUGxIc1B4WUJEdz09</t>
        </is>
      </c>
      <c r="F83" t="n">
        <v>1</v>
      </c>
      <c r="G83" t="inlineStr">
        <is>
          <t>PL005</t>
        </is>
      </c>
      <c r="H83" t="inlineStr">
        <is>
          <t>19 September 1995</t>
        </is>
      </c>
      <c r="I83" s="2" t="n">
        <v>46285</v>
      </c>
      <c r="J83" t="inlineStr">
        <is>
          <t>Pembekuan</t>
        </is>
      </c>
      <c r="K83" t="n">
        <v>30</v>
      </c>
      <c r="L83" t="inlineStr">
        <is>
          <t>20 September 2026</t>
        </is>
      </c>
      <c r="M83" t="inlineStr">
        <is>
          <t>Pembuatan/Pengeboran Sumur Air Tanah</t>
        </is>
      </c>
      <c r="N83" t="inlineStr">
        <is>
          <t>Spesialis</t>
        </is>
      </c>
      <c r="O83" t="inlineStr">
        <is>
          <t>20230920</t>
        </is>
      </c>
      <c r="P83" t="inlineStr">
        <is>
          <t>Jawa Barat</t>
        </is>
      </c>
      <c r="Q83" t="inlineStr"/>
    </row>
    <row r="84">
      <c r="A84" t="inlineStr">
        <is>
          <t>INDO PROPERTY PERMATA</t>
        </is>
      </c>
      <c r="B84" t="inlineStr">
        <is>
          <t>Kab. Polewali Mandar</t>
        </is>
      </c>
      <c r="C84" t="inlineStr">
        <is>
          <t>085242498350</t>
        </is>
      </c>
      <c r="D84" t="inlineStr">
        <is>
          <t>indopropertypermata@gmail.com</t>
        </is>
      </c>
      <c r="E84" t="inlineStr">
        <is>
          <t>https://lpjk.pu.go.id/search-badan-usaha-detail/Q0RuM0wwTktvb1Jyc3ZqdVoxSm00dz09</t>
        </is>
      </c>
      <c r="F84" t="n">
        <v>1</v>
      </c>
      <c r="G84" t="inlineStr">
        <is>
          <t>BG001</t>
        </is>
      </c>
      <c r="H84" t="inlineStr">
        <is>
          <t>1 September 2023</t>
        </is>
      </c>
      <c r="I84" s="2" t="n">
        <v>46285</v>
      </c>
      <c r="J84" t="inlineStr">
        <is>
          <t>Pencabutan</t>
        </is>
      </c>
      <c r="K84" t="n">
        <v>30</v>
      </c>
      <c r="L84" t="inlineStr">
        <is>
          <t>20 September 2026</t>
        </is>
      </c>
      <c r="M84" t="inlineStr">
        <is>
          <t>Konstruksi Gedung Hunian</t>
        </is>
      </c>
      <c r="N84" t="inlineStr">
        <is>
          <t>K</t>
        </is>
      </c>
      <c r="O84" t="inlineStr">
        <is>
          <t>20230905</t>
        </is>
      </c>
      <c r="P84" t="inlineStr">
        <is>
          <t>Sulawesi Barat</t>
        </is>
      </c>
      <c r="Q84" t="inlineStr"/>
    </row>
    <row r="85">
      <c r="A85" t="inlineStr">
        <is>
          <t>INDO STRONG KONSTRUKSI</t>
        </is>
      </c>
      <c r="B85" t="inlineStr">
        <is>
          <t>Kota Bau Bau</t>
        </is>
      </c>
      <c r="C85" t="inlineStr">
        <is>
          <t>082239969316</t>
        </is>
      </c>
      <c r="D85" t="inlineStr">
        <is>
          <t>hipotenusa.contraktor@gmail.com</t>
        </is>
      </c>
      <c r="E85" t="inlineStr">
        <is>
          <t>https://lpjk.pu.go.id/search-badan-usaha-detail/Y05veWUycDNLNGVCMVA5UFJrYmJUdz09</t>
        </is>
      </c>
      <c r="F85" t="n">
        <v>1</v>
      </c>
      <c r="G85" t="inlineStr">
        <is>
          <t>BS001</t>
        </is>
      </c>
      <c r="H85" t="inlineStr">
        <is>
          <t>16 Januari 2015</t>
        </is>
      </c>
      <c r="I85" s="2" t="n">
        <v>46285</v>
      </c>
      <c r="J85" t="inlineStr">
        <is>
          <t>Disetujui</t>
        </is>
      </c>
      <c r="K85" t="n">
        <v>30</v>
      </c>
      <c r="L85" t="inlineStr">
        <is>
          <t>20 September 2026</t>
        </is>
      </c>
      <c r="M85" t="inlineStr">
        <is>
          <t>Konstruksi Bangunan Sipil Jalan</t>
        </is>
      </c>
      <c r="N85" t="inlineStr">
        <is>
          <t>K</t>
        </is>
      </c>
      <c r="O85" t="inlineStr">
        <is>
          <t>20230915</t>
        </is>
      </c>
      <c r="P85" t="inlineStr">
        <is>
          <t>Sulawesi Tenggara</t>
        </is>
      </c>
      <c r="Q85" t="inlineStr"/>
    </row>
    <row r="86">
      <c r="A86" t="inlineStr">
        <is>
          <t>INDONESIA SEJAHTERA KONSULTAN</t>
        </is>
      </c>
      <c r="B86" t="inlineStr">
        <is>
          <t>Kab. Tulungagung</t>
        </is>
      </c>
      <c r="C86" t="inlineStr">
        <is>
          <t>081335878777</t>
        </is>
      </c>
      <c r="D86" t="inlineStr">
        <is>
          <t>rendydestryacaya@yahoo.co.id</t>
        </is>
      </c>
      <c r="E86" t="inlineStr">
        <is>
          <t>https://lpjk.pu.go.id/search-badan-usaha-detail/Q1Q0VXNJcUhwQ2w3OFQ4WUZoRnBiQT09</t>
        </is>
      </c>
      <c r="F86" t="n">
        <v>4</v>
      </c>
      <c r="G86" t="inlineStr">
        <is>
          <t>RK001, RK003</t>
        </is>
      </c>
      <c r="H86" t="inlineStr">
        <is>
          <t>15 Februari 2016</t>
        </is>
      </c>
      <c r="I86" s="2" t="n">
        <v>46285</v>
      </c>
      <c r="J86" t="inlineStr">
        <is>
          <t>Disetujui</t>
        </is>
      </c>
      <c r="K86" t="n">
        <v>30</v>
      </c>
      <c r="L86" t="inlineStr">
        <is>
          <t>20 September 2026</t>
        </is>
      </c>
      <c r="M86" t="inlineStr">
        <is>
          <t>Jasa Rekayasa Konstruksi Bangunan Gedung Hunian dan Non Hunian, Jasa Rekayasa Pekerjaan Teknik Sipil Transportasi</t>
        </is>
      </c>
      <c r="N86" t="inlineStr">
        <is>
          <t>K</t>
        </is>
      </c>
      <c r="O86" t="inlineStr">
        <is>
          <t>20230912</t>
        </is>
      </c>
      <c r="P86" t="inlineStr">
        <is>
          <t>Jawa Timur</t>
        </is>
      </c>
      <c r="Q86" t="inlineStr"/>
    </row>
    <row r="87">
      <c r="A87" t="inlineStr">
        <is>
          <t>JAYA ANUGERAH</t>
        </is>
      </c>
      <c r="B87" t="inlineStr">
        <is>
          <t>Kab. Tuban</t>
        </is>
      </c>
      <c r="C87" t="inlineStr">
        <is>
          <t>081330588325</t>
        </is>
      </c>
      <c r="D87" t="inlineStr">
        <is>
          <t>janugrah64@yahoo.com</t>
        </is>
      </c>
      <c r="E87" t="inlineStr">
        <is>
          <t>https://lpjk.pu.go.id/search-badan-usaha-detail/Ri9DWngyUGlvY3FuQXFsT3BpSmE2dz09</t>
        </is>
      </c>
      <c r="F87" t="n">
        <v>1</v>
      </c>
      <c r="G87" t="inlineStr">
        <is>
          <t>BG006</t>
        </is>
      </c>
      <c r="H87" t="inlineStr">
        <is>
          <t>3 Maret 2004</t>
        </is>
      </c>
      <c r="I87" s="2" t="n">
        <v>46285</v>
      </c>
      <c r="J87" t="inlineStr">
        <is>
          <t>Disetujui</t>
        </is>
      </c>
      <c r="K87" t="n">
        <v>30</v>
      </c>
      <c r="L87" t="inlineStr">
        <is>
          <t>20 September 2026</t>
        </is>
      </c>
      <c r="M87" t="inlineStr">
        <is>
          <t>Konstruksi Gedung Pendidikan</t>
        </is>
      </c>
      <c r="N87" t="inlineStr">
        <is>
          <t>K</t>
        </is>
      </c>
      <c r="O87" t="inlineStr">
        <is>
          <t>20230919</t>
        </is>
      </c>
      <c r="P87" t="inlineStr">
        <is>
          <t>Jawa Timur</t>
        </is>
      </c>
      <c r="Q87" t="inlineStr"/>
    </row>
    <row r="88">
      <c r="A88" t="inlineStr">
        <is>
          <t>JAYA BERSAUDARA</t>
        </is>
      </c>
      <c r="B88" t="inlineStr">
        <is>
          <t>Kab. Banjar</t>
        </is>
      </c>
      <c r="C88" t="inlineStr">
        <is>
          <t>082149054747</t>
        </is>
      </c>
      <c r="D88" t="inlineStr">
        <is>
          <t>jayabersaudara269@gmail.com</t>
        </is>
      </c>
      <c r="E88" t="inlineStr">
        <is>
          <t>https://lpjk.pu.go.id/search-badan-usaha-detail/eGMxdks3VUpiYXdWREI0UXdVRFlzUT09</t>
        </is>
      </c>
      <c r="F88" t="n">
        <v>1</v>
      </c>
      <c r="G88" t="inlineStr">
        <is>
          <t>BS001</t>
        </is>
      </c>
      <c r="H88" t="inlineStr">
        <is>
          <t>19 November 2009</t>
        </is>
      </c>
      <c r="I88" s="2" t="n">
        <v>46285</v>
      </c>
      <c r="J88" t="inlineStr">
        <is>
          <t>Disetujui</t>
        </is>
      </c>
      <c r="K88" t="n">
        <v>30</v>
      </c>
      <c r="L88" t="inlineStr">
        <is>
          <t>20 September 2026</t>
        </is>
      </c>
      <c r="M88" t="inlineStr">
        <is>
          <t>Konstruksi Bangunan Sipil Jalan</t>
        </is>
      </c>
      <c r="N88" t="inlineStr">
        <is>
          <t>K</t>
        </is>
      </c>
      <c r="O88" t="inlineStr">
        <is>
          <t>20230920</t>
        </is>
      </c>
      <c r="P88" t="inlineStr">
        <is>
          <t>Kalimantan Selatan</t>
        </is>
      </c>
      <c r="Q88" t="inlineStr"/>
    </row>
    <row r="89">
      <c r="A89" t="inlineStr">
        <is>
          <t>JAYA PRATAMA</t>
        </is>
      </c>
      <c r="B89" t="inlineStr">
        <is>
          <t>Kab. Purwakarta</t>
        </is>
      </c>
      <c r="C89" t="inlineStr">
        <is>
          <t>081912553435</t>
        </is>
      </c>
      <c r="D89" t="inlineStr">
        <is>
          <t>jayapratama705@gmail.com</t>
        </is>
      </c>
      <c r="E89" t="inlineStr">
        <is>
          <t>https://lpjk.pu.go.id/search-badan-usaha-detail/bGVJYjE2ajZETEE2MmlRU2s1eFFNdz09</t>
        </is>
      </c>
      <c r="F89" t="n">
        <v>1</v>
      </c>
      <c r="G89" t="inlineStr">
        <is>
          <t>BG002</t>
        </is>
      </c>
      <c r="H89" t="inlineStr">
        <is>
          <t>8 November 2010</t>
        </is>
      </c>
      <c r="I89" s="2" t="n">
        <v>46285</v>
      </c>
      <c r="J89" t="inlineStr">
        <is>
          <t>Disetujui</t>
        </is>
      </c>
      <c r="K89" t="n">
        <v>30</v>
      </c>
      <c r="L89" t="inlineStr">
        <is>
          <t>20 September 2026</t>
        </is>
      </c>
      <c r="M89" t="inlineStr">
        <is>
          <t>Konstruksi Gedung Perkantoran</t>
        </is>
      </c>
      <c r="N89" t="inlineStr">
        <is>
          <t>K</t>
        </is>
      </c>
      <c r="O89" t="inlineStr">
        <is>
          <t>20230913</t>
        </is>
      </c>
      <c r="P89" t="inlineStr">
        <is>
          <t>Jawa Barat</t>
        </is>
      </c>
      <c r="Q89" t="inlineStr"/>
    </row>
    <row r="90">
      <c r="A90" t="inlineStr">
        <is>
          <t>JAYA SEKAWAN ABADI</t>
        </is>
      </c>
      <c r="B90" t="inlineStr">
        <is>
          <t>Kab. Batu Bara</t>
        </is>
      </c>
      <c r="C90" t="inlineStr">
        <is>
          <t>082304278009</t>
        </is>
      </c>
      <c r="D90" t="inlineStr">
        <is>
          <t>jayasekawanabadi@gmail.com</t>
        </is>
      </c>
      <c r="E90" t="inlineStr">
        <is>
          <t>https://lpjk.pu.go.id/search-badan-usaha-detail/dDNQY3d4QklMb1U4VDhFZzlnaCtlQT09</t>
        </is>
      </c>
      <c r="F90" t="n">
        <v>1</v>
      </c>
      <c r="G90" t="inlineStr">
        <is>
          <t>BS004</t>
        </is>
      </c>
      <c r="H90" t="inlineStr">
        <is>
          <t>19 Februari 2021</t>
        </is>
      </c>
      <c r="I90" s="2" t="n">
        <v>46285</v>
      </c>
      <c r="J90" t="inlineStr">
        <is>
          <t>Disetujui</t>
        </is>
      </c>
      <c r="K90" t="n">
        <v>30</v>
      </c>
      <c r="L90" t="inlineStr">
        <is>
          <t>20 September 2026</t>
        </is>
      </c>
      <c r="M90" t="inlineStr">
        <is>
          <t>Konstruksi Jaringan Irigasi dan Drainase</t>
        </is>
      </c>
      <c r="N90" t="inlineStr">
        <is>
          <t>K</t>
        </is>
      </c>
      <c r="O90" t="inlineStr">
        <is>
          <t>20230920</t>
        </is>
      </c>
      <c r="P90" t="inlineStr">
        <is>
          <t>Sumatera Utara</t>
        </is>
      </c>
      <c r="Q90" t="inlineStr"/>
    </row>
    <row r="91">
      <c r="A91" t="inlineStr">
        <is>
          <t>JEJAK PAPUA BERSINAR</t>
        </is>
      </c>
      <c r="B91" t="inlineStr">
        <is>
          <t>Kab. Nabire</t>
        </is>
      </c>
      <c r="C91" t="inlineStr">
        <is>
          <t>085244142514</t>
        </is>
      </c>
      <c r="D91" t="inlineStr">
        <is>
          <t>jejakpapuabersinar01@gmail.com</t>
        </is>
      </c>
      <c r="E91" t="inlineStr">
        <is>
          <t>https://lpjk.pu.go.id/search-badan-usaha-detail/bTl5SWQvSkk5NldGL0VJTytJVCtCZz09</t>
        </is>
      </c>
      <c r="F91" t="n">
        <v>2</v>
      </c>
      <c r="G91" t="inlineStr">
        <is>
          <t>BG001, BG005</t>
        </is>
      </c>
      <c r="H91" t="inlineStr">
        <is>
          <t>13 Maret 2020</t>
        </is>
      </c>
      <c r="I91" s="2" t="n">
        <v>46285</v>
      </c>
      <c r="J91" t="inlineStr">
        <is>
          <t>Disetujui</t>
        </is>
      </c>
      <c r="K91" t="n">
        <v>30</v>
      </c>
      <c r="L91" t="inlineStr">
        <is>
          <t>20 September 2026</t>
        </is>
      </c>
      <c r="M91" t="inlineStr">
        <is>
          <t>Konstruksi Gedung Hunian, Konstruksi Gedung Kesehatan</t>
        </is>
      </c>
      <c r="N91" t="inlineStr">
        <is>
          <t>K</t>
        </is>
      </c>
      <c r="O91" t="inlineStr">
        <is>
          <t>20230920</t>
        </is>
      </c>
      <c r="P91" t="inlineStr">
        <is>
          <t>Papua</t>
        </is>
      </c>
      <c r="Q91" t="inlineStr"/>
    </row>
    <row r="92">
      <c r="A92" t="inlineStr">
        <is>
          <t>KARYA AGUNG</t>
        </is>
      </c>
      <c r="B92" t="inlineStr">
        <is>
          <t>Kab. Trenggalek</t>
        </is>
      </c>
      <c r="C92" t="inlineStr">
        <is>
          <t>081335708051</t>
        </is>
      </c>
      <c r="D92" t="inlineStr">
        <is>
          <t>karyaagung545@gmail.com</t>
        </is>
      </c>
      <c r="E92" t="inlineStr">
        <is>
          <t>https://lpjk.pu.go.id/search-badan-usaha-detail/TFJIRnpTbFNqRnU0WVc3TXZkUEplQT09</t>
        </is>
      </c>
      <c r="F92" t="n">
        <v>2</v>
      </c>
      <c r="G92" t="inlineStr">
        <is>
          <t>BG006, BS001</t>
        </is>
      </c>
      <c r="H92" t="inlineStr">
        <is>
          <t>10 Januari 2005</t>
        </is>
      </c>
      <c r="I92" s="2" t="n">
        <v>46285</v>
      </c>
      <c r="J92" t="inlineStr">
        <is>
          <t>Disetujui</t>
        </is>
      </c>
      <c r="K92" t="n">
        <v>30</v>
      </c>
      <c r="L92" t="inlineStr">
        <is>
          <t>20 September 2026</t>
        </is>
      </c>
      <c r="M92" t="inlineStr">
        <is>
          <t>Konstruksi Bangunan Sipil Jalan, Konstruksi Gedung Pendidikan</t>
        </is>
      </c>
      <c r="N92" t="inlineStr">
        <is>
          <t>K</t>
        </is>
      </c>
      <c r="O92" t="inlineStr">
        <is>
          <t>20230912</t>
        </is>
      </c>
      <c r="P92" t="inlineStr">
        <is>
          <t>Jawa Timur</t>
        </is>
      </c>
      <c r="Q92" t="inlineStr"/>
    </row>
    <row r="93">
      <c r="A93" t="inlineStr">
        <is>
          <t>KARYA PUTRA PANDAWA</t>
        </is>
      </c>
      <c r="B93" t="inlineStr">
        <is>
          <t>Kab. Barito Kuala</t>
        </is>
      </c>
      <c r="C93" t="inlineStr">
        <is>
          <t>085386667303</t>
        </is>
      </c>
      <c r="D93" t="inlineStr">
        <is>
          <t>cv.karyaputrapandawa@gmail.com</t>
        </is>
      </c>
      <c r="E93" t="inlineStr">
        <is>
          <t>https://lpjk.pu.go.id/search-badan-usaha-detail/d3RyNmk3d29TOGs0aTVMckZyanBlUT09</t>
        </is>
      </c>
      <c r="F93" t="n">
        <v>4</v>
      </c>
      <c r="G93" t="inlineStr">
        <is>
          <t>BG005, BG006, BG009, BS004</t>
        </is>
      </c>
      <c r="H93" t="inlineStr">
        <is>
          <t>4 Maret 2013</t>
        </is>
      </c>
      <c r="I93" s="2" t="n">
        <v>46285</v>
      </c>
      <c r="J93" t="inlineStr">
        <is>
          <t>Disetujui, Pencabutan</t>
        </is>
      </c>
      <c r="K93" t="n">
        <v>30</v>
      </c>
      <c r="L93" t="inlineStr">
        <is>
          <t>20 September 2026</t>
        </is>
      </c>
      <c r="M93" t="inlineStr">
        <is>
          <t>Konstruksi Gedung Kesehatan, Konstruksi Gedung Lainnya, Konstruksi Gedung Pendidikan, Konstruksi Jaringan Irigasi dan Drainase</t>
        </is>
      </c>
      <c r="N93" t="inlineStr">
        <is>
          <t>K</t>
        </is>
      </c>
      <c r="O93" t="inlineStr">
        <is>
          <t>20230920, 20230925</t>
        </is>
      </c>
      <c r="P93" t="inlineStr">
        <is>
          <t>Kalimantan Selatan</t>
        </is>
      </c>
      <c r="Q93" t="inlineStr"/>
    </row>
    <row r="94">
      <c r="A94" t="inlineStr">
        <is>
          <t>KARYA TIGA PUTERA</t>
        </is>
      </c>
      <c r="B94" t="inlineStr">
        <is>
          <t>Kota Cimahi</t>
        </is>
      </c>
      <c r="C94" t="inlineStr">
        <is>
          <t>081282091335</t>
        </is>
      </c>
      <c r="D94" t="inlineStr">
        <is>
          <t>karyatigaputera@gmail.com</t>
        </is>
      </c>
      <c r="E94" t="inlineStr">
        <is>
          <t>https://lpjk.pu.go.id/search-badan-usaha-detail/TG5KV1RlZkFWelJ2N1JycUozeGlvZz09</t>
        </is>
      </c>
      <c r="F94" t="n">
        <v>2</v>
      </c>
      <c r="G94" t="inlineStr">
        <is>
          <t>BG006, BS001</t>
        </is>
      </c>
      <c r="H94" t="inlineStr">
        <is>
          <t>22 Juni 2012</t>
        </is>
      </c>
      <c r="I94" s="2" t="n">
        <v>46285</v>
      </c>
      <c r="J94" t="inlineStr">
        <is>
          <t>Disetujui</t>
        </is>
      </c>
      <c r="K94" t="n">
        <v>30</v>
      </c>
      <c r="L94" t="inlineStr">
        <is>
          <t>20 September 2026</t>
        </is>
      </c>
      <c r="M94" t="inlineStr">
        <is>
          <t>Konstruksi Bangunan Sipil Jalan, Konstruksi Gedung Pendidikan</t>
        </is>
      </c>
      <c r="N94" t="inlineStr">
        <is>
          <t>K</t>
        </is>
      </c>
      <c r="O94" t="inlineStr">
        <is>
          <t>20230908, 20230914</t>
        </is>
      </c>
      <c r="P94" t="inlineStr">
        <is>
          <t>Jawa Barat</t>
        </is>
      </c>
      <c r="Q94" t="inlineStr"/>
    </row>
    <row r="95">
      <c r="A95" t="inlineStr">
        <is>
          <t>KARYA UTAMA BANGKIT</t>
        </is>
      </c>
      <c r="B95" t="inlineStr">
        <is>
          <t>Kab. Boyolali</t>
        </is>
      </c>
      <c r="C95" t="inlineStr">
        <is>
          <t>085742559173</t>
        </is>
      </c>
      <c r="D95" t="inlineStr">
        <is>
          <t>karyautamaboyolali@yahoo.co.id</t>
        </is>
      </c>
      <c r="E95" t="inlineStr">
        <is>
          <t>https://lpjk.pu.go.id/search-badan-usaha-detail/ZzJ4UGxwV0JCNTlBb3hlSUpXU29zdz09</t>
        </is>
      </c>
      <c r="F95" t="n">
        <v>1</v>
      </c>
      <c r="G95" t="inlineStr">
        <is>
          <t>BG005</t>
        </is>
      </c>
      <c r="H95" t="inlineStr">
        <is>
          <t>22 Juni 2012</t>
        </is>
      </c>
      <c r="I95" s="2" t="n">
        <v>46285</v>
      </c>
      <c r="J95" t="inlineStr">
        <is>
          <t>Disetujui</t>
        </is>
      </c>
      <c r="K95" t="n">
        <v>30</v>
      </c>
      <c r="L95" t="inlineStr">
        <is>
          <t>20 September 2026</t>
        </is>
      </c>
      <c r="M95" t="inlineStr">
        <is>
          <t>Konstruksi Gedung Kesehatan</t>
        </is>
      </c>
      <c r="N95" t="inlineStr">
        <is>
          <t>K</t>
        </is>
      </c>
      <c r="O95" t="inlineStr">
        <is>
          <t>20230914</t>
        </is>
      </c>
      <c r="P95" t="inlineStr">
        <is>
          <t>Jawa Tengah</t>
        </is>
      </c>
      <c r="Q95" t="inlineStr"/>
    </row>
    <row r="96">
      <c r="A96" t="inlineStr">
        <is>
          <t>KONSEP RUMAH INDONESIA</t>
        </is>
      </c>
      <c r="B96" t="inlineStr">
        <is>
          <t>Kota Cimahi</t>
        </is>
      </c>
      <c r="C96" t="inlineStr">
        <is>
          <t>02229911966</t>
        </is>
      </c>
      <c r="D96" t="inlineStr">
        <is>
          <t>Konseprumah.com@gmail.com</t>
        </is>
      </c>
      <c r="E96" t="inlineStr">
        <is>
          <t>https://lpjk.pu.go.id/search-badan-usaha-detail/Vm83Z1dQTzFXWUdoMFRmbVRsOEFpUT09</t>
        </is>
      </c>
      <c r="F96" t="n">
        <v>3</v>
      </c>
      <c r="G96" t="inlineStr">
        <is>
          <t>BG001, BG002, BG005</t>
        </is>
      </c>
      <c r="H96" t="inlineStr">
        <is>
          <t>14 Januari 2020</t>
        </is>
      </c>
      <c r="I96" s="2" t="n">
        <v>46285</v>
      </c>
      <c r="J96" t="inlineStr">
        <is>
          <t>Disetujui</t>
        </is>
      </c>
      <c r="K96" t="n">
        <v>30</v>
      </c>
      <c r="L96" t="inlineStr">
        <is>
          <t>20 September 2026</t>
        </is>
      </c>
      <c r="M96" t="inlineStr">
        <is>
          <t>Konstruksi Gedung Hunian, Konstruksi Gedung Kesehatan, Konstruksi Gedung Perkantoran</t>
        </is>
      </c>
      <c r="N96" t="inlineStr">
        <is>
          <t>K</t>
        </is>
      </c>
      <c r="O96" t="inlineStr">
        <is>
          <t>20230919, 20230921</t>
        </is>
      </c>
      <c r="P96" t="inlineStr">
        <is>
          <t>Jawa Barat</t>
        </is>
      </c>
      <c r="Q96" t="inlineStr"/>
    </row>
    <row r="97">
      <c r="A97" t="inlineStr">
        <is>
          <t>LAMPUNG ANDALAS SHIPBUILDING &amp; ENGINEERING</t>
        </is>
      </c>
      <c r="B97" t="inlineStr">
        <is>
          <t>Kab. Lampung Selatan</t>
        </is>
      </c>
      <c r="C97" t="inlineStr">
        <is>
          <t>072131187</t>
        </is>
      </c>
      <c r="D97" t="inlineStr">
        <is>
          <t>legal@lampungandalas.com</t>
        </is>
      </c>
      <c r="E97" t="inlineStr">
        <is>
          <t>https://lpjk.pu.go.id/search-badan-usaha-detail/Sm56a3ZKREpWbm9BNC85T21tVTBLdz09</t>
        </is>
      </c>
      <c r="F97" t="n">
        <v>2</v>
      </c>
      <c r="G97" t="inlineStr">
        <is>
          <t>BS007, BS013</t>
        </is>
      </c>
      <c r="H97" t="inlineStr">
        <is>
          <t>1 Juli 2000</t>
        </is>
      </c>
      <c r="I97" s="2" t="n">
        <v>46285</v>
      </c>
      <c r="J97" t="inlineStr">
        <is>
          <t>Disetujui</t>
        </is>
      </c>
      <c r="K97" t="n">
        <v>30</v>
      </c>
      <c r="L97" t="inlineStr">
        <is>
          <t>20 September 2026</t>
        </is>
      </c>
      <c r="M97" t="inlineStr">
        <is>
          <t>Konstruksi Bangunan Sipil Elektrikal, Konstruksi Bangunan Sipil Minyak dan Gas Bumi</t>
        </is>
      </c>
      <c r="N97" t="inlineStr">
        <is>
          <t>M</t>
        </is>
      </c>
      <c r="O97" t="inlineStr">
        <is>
          <t>20230830, 20230831</t>
        </is>
      </c>
      <c r="P97" t="inlineStr">
        <is>
          <t>Lampung</t>
        </is>
      </c>
      <c r="Q97" t="inlineStr"/>
    </row>
    <row r="98">
      <c r="A98" t="inlineStr">
        <is>
          <t>LESTARI PRATAMA MANDIRI</t>
        </is>
      </c>
      <c r="B98" t="inlineStr">
        <is>
          <t>Kab. Tangerang</t>
        </is>
      </c>
      <c r="C98" t="inlineStr">
        <is>
          <t>085972567177</t>
        </is>
      </c>
      <c r="D98" t="inlineStr">
        <is>
          <t>cvlestarijayaabadi0708@gmail.com</t>
        </is>
      </c>
      <c r="E98" t="inlineStr">
        <is>
          <t>https://lpjk.pu.go.id/search-badan-usaha-detail/Qk5XUnF2TmIzSkliRTdia3FqUUNZdz09</t>
        </is>
      </c>
      <c r="F98" t="n">
        <v>3</v>
      </c>
      <c r="G98" t="inlineStr">
        <is>
          <t>BG009, BS001, BS004</t>
        </is>
      </c>
      <c r="H98" t="inlineStr">
        <is>
          <t>18 Maret 2020</t>
        </is>
      </c>
      <c r="I98" s="2" t="n">
        <v>46285</v>
      </c>
      <c r="J98" t="inlineStr">
        <is>
          <t>Disetujui</t>
        </is>
      </c>
      <c r="K98" t="n">
        <v>30</v>
      </c>
      <c r="L98" t="inlineStr">
        <is>
          <t>20 September 2026</t>
        </is>
      </c>
      <c r="M98" t="inlineStr">
        <is>
          <t>Konstruksi Bangunan Sipil Jalan, Konstruksi Gedung Lainnya, Konstruksi Jaringan Irigasi dan Drainase</t>
        </is>
      </c>
      <c r="N98" t="inlineStr">
        <is>
          <t>K</t>
        </is>
      </c>
      <c r="O98" t="inlineStr">
        <is>
          <t>20230919</t>
        </is>
      </c>
      <c r="P98" t="inlineStr">
        <is>
          <t>Banten</t>
        </is>
      </c>
      <c r="Q98" t="inlineStr"/>
    </row>
    <row r="99">
      <c r="A99" t="inlineStr">
        <is>
          <t>LIMA PUTRA</t>
        </is>
      </c>
      <c r="B99" t="inlineStr">
        <is>
          <t>Kab. Lombok Timur</t>
        </is>
      </c>
      <c r="C99" t="inlineStr">
        <is>
          <t>081918213589</t>
        </is>
      </c>
      <c r="D99" t="inlineStr">
        <is>
          <t>cv.limaputra2019@gmail.com</t>
        </is>
      </c>
      <c r="E99" t="inlineStr">
        <is>
          <t>https://lpjk.pu.go.id/search-badan-usaha-detail/RGN4SllYNUsxQnMxSjBJOFdYaVJrZz09</t>
        </is>
      </c>
      <c r="F99" t="n">
        <v>1</v>
      </c>
      <c r="G99" t="inlineStr">
        <is>
          <t>BG005</t>
        </is>
      </c>
      <c r="H99" t="inlineStr">
        <is>
          <t>20 Oktober 1993</t>
        </is>
      </c>
      <c r="I99" s="2" t="n">
        <v>46285</v>
      </c>
      <c r="J99" t="inlineStr">
        <is>
          <t>Disetujui</t>
        </is>
      </c>
      <c r="K99" t="n">
        <v>30</v>
      </c>
      <c r="L99" t="inlineStr">
        <is>
          <t>20 September 2026</t>
        </is>
      </c>
      <c r="M99" t="inlineStr">
        <is>
          <t>Konstruksi Gedung Kesehatan</t>
        </is>
      </c>
      <c r="N99" t="inlineStr">
        <is>
          <t>K</t>
        </is>
      </c>
      <c r="O99" t="inlineStr">
        <is>
          <t>20230914</t>
        </is>
      </c>
      <c r="P99" t="inlineStr">
        <is>
          <t>Nusa Tenggara Barat</t>
        </is>
      </c>
      <c r="Q99" t="inlineStr"/>
    </row>
    <row r="100">
      <c r="A100" t="inlineStr">
        <is>
          <t>MAESTRO IHSAN BAHAGIA</t>
        </is>
      </c>
      <c r="B100" t="inlineStr">
        <is>
          <t>Kota Adm. Jakarta Utara</t>
        </is>
      </c>
      <c r="C100" t="inlineStr">
        <is>
          <t>081322313111</t>
        </is>
      </c>
      <c r="D100" t="inlineStr">
        <is>
          <t>pt.maestroib@gmail.com</t>
        </is>
      </c>
      <c r="E100" t="inlineStr">
        <is>
          <t>https://lpjk.pu.go.id/search-badan-usaha-detail/NmZqdVNQc25OSUNqSitCbHJ0WlJIQT09</t>
        </is>
      </c>
      <c r="F100" t="n">
        <v>2</v>
      </c>
      <c r="G100" t="inlineStr">
        <is>
          <t>RK002, RK003</t>
        </is>
      </c>
      <c r="H100" t="inlineStr">
        <is>
          <t>12 Maret 2022</t>
        </is>
      </c>
      <c r="I100" s="2" t="n">
        <v>46285</v>
      </c>
      <c r="J100" t="inlineStr">
        <is>
          <t>Disetujui</t>
        </is>
      </c>
      <c r="K100" t="n">
        <v>30</v>
      </c>
      <c r="L100" t="inlineStr">
        <is>
          <t>20 September 2026</t>
        </is>
      </c>
      <c r="M100" t="inlineStr">
        <is>
          <t>Jasa Rekayasa Pekerjaan Teknik Sipil Sumber Daya Air, Jasa Rekayasa Pekerjaan Teknik Sipil Transportasi</t>
        </is>
      </c>
      <c r="N100" t="inlineStr">
        <is>
          <t>K</t>
        </is>
      </c>
      <c r="O100" t="inlineStr">
        <is>
          <t>20230829, 20230919</t>
        </is>
      </c>
      <c r="P100" t="inlineStr">
        <is>
          <t>DKI Jakarta</t>
        </is>
      </c>
      <c r="Q100" t="inlineStr"/>
    </row>
    <row r="101">
      <c r="A101" t="inlineStr">
        <is>
          <t>MAHAMERU CITRATAMA</t>
        </is>
      </c>
      <c r="B101" t="inlineStr">
        <is>
          <t>Kota Pontianak</t>
        </is>
      </c>
      <c r="C101" t="inlineStr">
        <is>
          <t>081256585658</t>
        </is>
      </c>
      <c r="D101" t="inlineStr">
        <is>
          <t>mahamerucitratama@gmail.com</t>
        </is>
      </c>
      <c r="E101" t="inlineStr">
        <is>
          <t>https://lpjk.pu.go.id/search-badan-usaha-detail/WkI1ZGt0RUx3RHR6Q1BkRzUzR3FjZz09</t>
        </is>
      </c>
      <c r="F101" t="n">
        <v>2</v>
      </c>
      <c r="G101" t="inlineStr">
        <is>
          <t>BG006</t>
        </is>
      </c>
      <c r="H101" t="inlineStr">
        <is>
          <t>4 Februari 2003</t>
        </is>
      </c>
      <c r="I101" s="2" t="n">
        <v>46285</v>
      </c>
      <c r="J101" t="inlineStr">
        <is>
          <t>Disetujui</t>
        </is>
      </c>
      <c r="K101" t="n">
        <v>30</v>
      </c>
      <c r="L101" t="inlineStr">
        <is>
          <t>20 September 2026</t>
        </is>
      </c>
      <c r="M101" t="inlineStr">
        <is>
          <t>Konstruksi Gedung Pendidikan</t>
        </is>
      </c>
      <c r="N101" t="inlineStr">
        <is>
          <t>K</t>
        </is>
      </c>
      <c r="O101" t="inlineStr">
        <is>
          <t>20230914</t>
        </is>
      </c>
      <c r="P101" t="inlineStr">
        <is>
          <t>Kalimantan Barat</t>
        </is>
      </c>
      <c r="Q101" t="inlineStr"/>
    </row>
    <row r="102">
      <c r="A102" t="inlineStr">
        <is>
          <t>MAHAPTRA JAYA MAKMUR</t>
        </is>
      </c>
      <c r="B102" t="inlineStr">
        <is>
          <t>Kota Banjarmasin</t>
        </is>
      </c>
      <c r="C102" t="inlineStr">
        <is>
          <t>0</t>
        </is>
      </c>
      <c r="D102" t="inlineStr">
        <is>
          <t>pt.mahaptrajayamakmur@yahoo.com</t>
        </is>
      </c>
      <c r="E102" t="inlineStr">
        <is>
          <t>https://lpjk.pu.go.id/search-badan-usaha-detail/ZWVkSHhMZXpZZGhkdlZYOGxrUTVnQT09</t>
        </is>
      </c>
      <c r="F102" t="n">
        <v>1</v>
      </c>
      <c r="G102" t="inlineStr">
        <is>
          <t>BG001</t>
        </is>
      </c>
      <c r="H102" t="inlineStr">
        <is>
          <t>28 Juni 2019</t>
        </is>
      </c>
      <c r="I102" s="2" t="n">
        <v>46285</v>
      </c>
      <c r="J102" t="inlineStr">
        <is>
          <t>Disetujui</t>
        </is>
      </c>
      <c r="K102" t="n">
        <v>30</v>
      </c>
      <c r="L102" t="inlineStr">
        <is>
          <t>20 September 2026</t>
        </is>
      </c>
      <c r="M102" t="inlineStr">
        <is>
          <t>Konstruksi Gedung Hunian</t>
        </is>
      </c>
      <c r="N102" t="inlineStr">
        <is>
          <t>K</t>
        </is>
      </c>
      <c r="O102" t="inlineStr">
        <is>
          <t>20230920</t>
        </is>
      </c>
      <c r="P102" t="inlineStr">
        <is>
          <t>Kalimantan Selatan</t>
        </is>
      </c>
      <c r="Q102" t="inlineStr"/>
    </row>
    <row r="103">
      <c r="A103" t="inlineStr">
        <is>
          <t>MAHKOTA ALAM JAYA</t>
        </is>
      </c>
      <c r="B103" t="inlineStr">
        <is>
          <t>Kab. Pangandaran</t>
        </is>
      </c>
      <c r="C103" t="inlineStr">
        <is>
          <t>082127778054</t>
        </is>
      </c>
      <c r="D103" t="inlineStr">
        <is>
          <t>mahkotaalamjaya.pnd@gmail.com</t>
        </is>
      </c>
      <c r="E103" t="inlineStr">
        <is>
          <t>https://lpjk.pu.go.id/search-badan-usaha-detail/aElaTjFKMW12UzZMN1BxTTV1N05hdz09</t>
        </is>
      </c>
      <c r="F103" t="n">
        <v>3</v>
      </c>
      <c r="G103" t="inlineStr">
        <is>
          <t>BG006, BG009, BS001</t>
        </is>
      </c>
      <c r="H103" t="inlineStr">
        <is>
          <t>24 Februari 2017</t>
        </is>
      </c>
      <c r="I103" s="2" t="n">
        <v>46285</v>
      </c>
      <c r="J103" t="inlineStr">
        <is>
          <t>Disetujui</t>
        </is>
      </c>
      <c r="K103" t="n">
        <v>30</v>
      </c>
      <c r="L103" t="inlineStr">
        <is>
          <t>20 September 2026</t>
        </is>
      </c>
      <c r="M103" t="inlineStr">
        <is>
          <t>Konstruksi Bangunan Sipil Jalan, Konstruksi Gedung Lainnya, Konstruksi Gedung Pendidikan</t>
        </is>
      </c>
      <c r="N103" t="inlineStr">
        <is>
          <t>K</t>
        </is>
      </c>
      <c r="O103" t="inlineStr">
        <is>
          <t>20230914, 20230921</t>
        </is>
      </c>
      <c r="P103" t="inlineStr">
        <is>
          <t>Jawa Barat</t>
        </is>
      </c>
      <c r="Q103" t="inlineStr"/>
    </row>
    <row r="104">
      <c r="A104" t="inlineStr">
        <is>
          <t>MAJU LANCAR</t>
        </is>
      </c>
      <c r="B104" t="inlineStr">
        <is>
          <t>Kab. Fak Fak</t>
        </is>
      </c>
      <c r="C104" t="inlineStr">
        <is>
          <t>081344012114</t>
        </is>
      </c>
      <c r="D104" t="inlineStr">
        <is>
          <t>majulancarfakfak@yahoo.com</t>
        </is>
      </c>
      <c r="E104" t="inlineStr">
        <is>
          <t>https://lpjk.pu.go.id/search-badan-usaha-detail/bWgrVWdleTJLalhYT3o3WWlnNXA5dz09</t>
        </is>
      </c>
      <c r="F104" t="n">
        <v>2</v>
      </c>
      <c r="G104" t="inlineStr">
        <is>
          <t>BS001, BS010</t>
        </is>
      </c>
      <c r="H104" t="inlineStr">
        <is>
          <t>22 Juni 2019</t>
        </is>
      </c>
      <c r="I104" s="2" t="n">
        <v>46285</v>
      </c>
      <c r="J104" t="inlineStr">
        <is>
          <t>Disetujui</t>
        </is>
      </c>
      <c r="K104" t="n">
        <v>30</v>
      </c>
      <c r="L104" t="inlineStr">
        <is>
          <t>20 September 2026</t>
        </is>
      </c>
      <c r="M104" t="inlineStr">
        <is>
          <t>Konstruksi Bangunan Prasarana Sumber Daya Air, Konstruksi Bangunan Sipil Jalan</t>
        </is>
      </c>
      <c r="N104" t="inlineStr">
        <is>
          <t>K</t>
        </is>
      </c>
      <c r="O104" t="inlineStr">
        <is>
          <t>20230920</t>
        </is>
      </c>
      <c r="P104" t="inlineStr">
        <is>
          <t>Papua Barat</t>
        </is>
      </c>
      <c r="Q104" t="inlineStr"/>
    </row>
    <row r="105">
      <c r="A105" t="inlineStr">
        <is>
          <t>MAKMUR PRATAMA</t>
        </is>
      </c>
      <c r="B105" t="inlineStr">
        <is>
          <t>Kab. Langkat</t>
        </is>
      </c>
      <c r="C105" t="inlineStr">
        <is>
          <t>082163051292</t>
        </is>
      </c>
      <c r="D105" t="inlineStr">
        <is>
          <t>cv.makmurpratama12@gmail.com</t>
        </is>
      </c>
      <c r="E105" t="inlineStr">
        <is>
          <t>https://lpjk.pu.go.id/search-badan-usaha-detail/eGtsWnZPVXFpamlFNURwaHhzUnMyUT09</t>
        </is>
      </c>
      <c r="F105" t="n">
        <v>1</v>
      </c>
      <c r="G105" t="inlineStr">
        <is>
          <t>BS001</t>
        </is>
      </c>
      <c r="H105" t="inlineStr">
        <is>
          <t>21 Januari 2008</t>
        </is>
      </c>
      <c r="I105" s="2" t="n">
        <v>46285</v>
      </c>
      <c r="J105" t="inlineStr">
        <is>
          <t>Disetujui</t>
        </is>
      </c>
      <c r="K105" t="n">
        <v>30</v>
      </c>
      <c r="L105" t="inlineStr">
        <is>
          <t>20 September 2026</t>
        </is>
      </c>
      <c r="M105" t="inlineStr">
        <is>
          <t>Konstruksi Bangunan Sipil Jalan</t>
        </is>
      </c>
      <c r="N105" t="inlineStr">
        <is>
          <t>K</t>
        </is>
      </c>
      <c r="O105" t="inlineStr">
        <is>
          <t>20230920</t>
        </is>
      </c>
      <c r="P105" t="inlineStr">
        <is>
          <t>Sumatera Utara</t>
        </is>
      </c>
      <c r="Q105" t="inlineStr"/>
    </row>
    <row r="106">
      <c r="A106" t="inlineStr">
        <is>
          <t>MANDIRI JAYA</t>
        </is>
      </c>
      <c r="B106" t="inlineStr">
        <is>
          <t>Kab. Jayapura</t>
        </is>
      </c>
      <c r="C106" t="inlineStr">
        <is>
          <t>0</t>
        </is>
      </c>
      <c r="D106" t="inlineStr">
        <is>
          <t>pt.mikrojaya2018@gmail.com</t>
        </is>
      </c>
      <c r="E106" t="inlineStr">
        <is>
          <t>https://lpjk.pu.go.id/search-badan-usaha-detail/eGhMaDFNN2JkNlhmT3BlUEVkcTloZz09</t>
        </is>
      </c>
      <c r="F106" t="n">
        <v>1</v>
      </c>
      <c r="G106" t="inlineStr">
        <is>
          <t>PB004</t>
        </is>
      </c>
      <c r="H106" t="inlineStr">
        <is>
          <t>11 Februari 2002</t>
        </is>
      </c>
      <c r="I106" s="2" t="n">
        <v>46285</v>
      </c>
      <c r="J106" t="inlineStr">
        <is>
          <t>Disetujui</t>
        </is>
      </c>
      <c r="K106" t="n">
        <v>30</v>
      </c>
      <c r="L106" t="inlineStr">
        <is>
          <t>20 September 2026</t>
        </is>
      </c>
      <c r="M106" t="inlineStr">
        <is>
          <t>Dekorasi Interior</t>
        </is>
      </c>
      <c r="N106" t="inlineStr">
        <is>
          <t>Spesialis</t>
        </is>
      </c>
      <c r="O106" t="inlineStr">
        <is>
          <t>20230920</t>
        </is>
      </c>
      <c r="P106" t="inlineStr">
        <is>
          <t>Papua</t>
        </is>
      </c>
      <c r="Q106" t="inlineStr"/>
    </row>
    <row r="107">
      <c r="A107" t="inlineStr">
        <is>
          <t>MANDIRI USAHA SUKSES</t>
        </is>
      </c>
      <c r="B107" t="inlineStr">
        <is>
          <t>Kota Bima</t>
        </is>
      </c>
      <c r="C107" t="inlineStr">
        <is>
          <t>082341989956</t>
        </is>
      </c>
      <c r="D107" t="inlineStr">
        <is>
          <t>cvmandiriusahasukses@gmail.com</t>
        </is>
      </c>
      <c r="E107" t="inlineStr">
        <is>
          <t>https://lpjk.pu.go.id/search-badan-usaha-detail/QzBnTWJ0R0g5M0lZOXlseWNLdWRHQT09</t>
        </is>
      </c>
      <c r="F107" t="n">
        <v>1</v>
      </c>
      <c r="G107" t="inlineStr">
        <is>
          <t>PL005</t>
        </is>
      </c>
      <c r="H107" t="inlineStr">
        <is>
          <t>18 Desember 2019</t>
        </is>
      </c>
      <c r="I107" s="2" t="n">
        <v>46285</v>
      </c>
      <c r="J107" t="inlineStr">
        <is>
          <t>Disetujui</t>
        </is>
      </c>
      <c r="K107" t="n">
        <v>30</v>
      </c>
      <c r="L107" t="inlineStr">
        <is>
          <t>20 September 2026</t>
        </is>
      </c>
      <c r="M107" t="inlineStr">
        <is>
          <t>Pembuatan/Pengeboran Sumur Air Tanah</t>
        </is>
      </c>
      <c r="N107" t="inlineStr">
        <is>
          <t>Spesialis</t>
        </is>
      </c>
      <c r="O107" t="inlineStr">
        <is>
          <t>20230920</t>
        </is>
      </c>
      <c r="P107" t="inlineStr">
        <is>
          <t>Nusa Tenggara Barat</t>
        </is>
      </c>
      <c r="Q107" t="inlineStr"/>
    </row>
    <row r="108">
      <c r="A108" t="inlineStr">
        <is>
          <t>MANGGALA KARYA</t>
        </is>
      </c>
      <c r="B108" t="inlineStr">
        <is>
          <t>Kota Banjar</t>
        </is>
      </c>
      <c r="C108" t="inlineStr">
        <is>
          <t>085353309535</t>
        </is>
      </c>
      <c r="D108" t="inlineStr">
        <is>
          <t>cv.manggalakarya@gmail.com</t>
        </is>
      </c>
      <c r="E108" t="inlineStr">
        <is>
          <t>https://lpjk.pu.go.id/search-badan-usaha-detail/K20wK1VvVjd6Znhmbk1GbnRaSVkwUT09</t>
        </is>
      </c>
      <c r="F108" t="n">
        <v>2</v>
      </c>
      <c r="G108" t="inlineStr">
        <is>
          <t>BS001, BS004</t>
        </is>
      </c>
      <c r="H108" t="inlineStr">
        <is>
          <t>16 Maret 2016</t>
        </is>
      </c>
      <c r="I108" s="2" t="n">
        <v>46285</v>
      </c>
      <c r="J108" t="inlineStr">
        <is>
          <t>Disetujui</t>
        </is>
      </c>
      <c r="K108" t="n">
        <v>30</v>
      </c>
      <c r="L108" t="inlineStr">
        <is>
          <t>20 September 2026</t>
        </is>
      </c>
      <c r="M108" t="inlineStr">
        <is>
          <t>Konstruksi Bangunan Sipil Jalan, Konstruksi Jaringan Irigasi dan Drainase</t>
        </is>
      </c>
      <c r="N108" t="inlineStr">
        <is>
          <t>K</t>
        </is>
      </c>
      <c r="O108" t="inlineStr">
        <is>
          <t>20230919</t>
        </is>
      </c>
      <c r="P108" t="inlineStr">
        <is>
          <t>Jawa Barat</t>
        </is>
      </c>
      <c r="Q108" t="inlineStr"/>
    </row>
    <row r="109">
      <c r="A109" t="inlineStr">
        <is>
          <t>MEDALA CIPTA PRATAMA</t>
        </is>
      </c>
      <c r="B109" t="inlineStr">
        <is>
          <t>Kab. Pesisir Selatan</t>
        </is>
      </c>
      <c r="C109" t="inlineStr">
        <is>
          <t>082386633363</t>
        </is>
      </c>
      <c r="D109" t="inlineStr">
        <is>
          <t>metraaries2@gmail.com</t>
        </is>
      </c>
      <c r="E109" t="inlineStr">
        <is>
          <t>https://lpjk.pu.go.id/search-badan-usaha-detail/SXhHd3pqZFF4T295VlZBaTlHOFp6dz09</t>
        </is>
      </c>
      <c r="F109" t="n">
        <v>2</v>
      </c>
      <c r="G109" t="inlineStr">
        <is>
          <t>BG009, BS004</t>
        </is>
      </c>
      <c r="H109" t="inlineStr">
        <is>
          <t>8 Januari 2019</t>
        </is>
      </c>
      <c r="I109" s="2" t="n">
        <v>46285</v>
      </c>
      <c r="J109" t="inlineStr">
        <is>
          <t>Disetujui</t>
        </is>
      </c>
      <c r="K109" t="n">
        <v>30</v>
      </c>
      <c r="L109" t="inlineStr">
        <is>
          <t>20 September 2026</t>
        </is>
      </c>
      <c r="M109" t="inlineStr">
        <is>
          <t>Konstruksi Gedung Lainnya, Konstruksi Jaringan Irigasi dan Drainase</t>
        </is>
      </c>
      <c r="N109" t="inlineStr">
        <is>
          <t>K</t>
        </is>
      </c>
      <c r="O109" t="inlineStr">
        <is>
          <t>20230919</t>
        </is>
      </c>
      <c r="P109" t="inlineStr">
        <is>
          <t>Sumatera Barat</t>
        </is>
      </c>
      <c r="Q109" t="inlineStr"/>
    </row>
    <row r="110">
      <c r="A110" t="inlineStr">
        <is>
          <t>MEGA KENCANA PUTRA</t>
        </is>
      </c>
      <c r="B110" t="inlineStr">
        <is>
          <t>Kota Tangerang</t>
        </is>
      </c>
      <c r="C110" t="inlineStr">
        <is>
          <t>08128537012</t>
        </is>
      </c>
      <c r="D110" t="inlineStr">
        <is>
          <t>megakencanaputra.cv@gmail.com</t>
        </is>
      </c>
      <c r="E110" t="inlineStr">
        <is>
          <t>https://lpjk.pu.go.id/search-badan-usaha-detail/eTRFaWhxTXV2a3U1VVZQRjVpNGNMdz09</t>
        </is>
      </c>
      <c r="F110" t="n">
        <v>5</v>
      </c>
      <c r="G110" t="inlineStr">
        <is>
          <t>BG002, BG003, BG005, BG006, BG008</t>
        </is>
      </c>
      <c r="H110" t="inlineStr">
        <is>
          <t>20 Mei 2021</t>
        </is>
      </c>
      <c r="I110" s="2" t="n">
        <v>46285</v>
      </c>
      <c r="J110" t="inlineStr">
        <is>
          <t>Disetujui</t>
        </is>
      </c>
      <c r="K110" t="n">
        <v>30</v>
      </c>
      <c r="L110" t="inlineStr">
        <is>
          <t>20 September 2026</t>
        </is>
      </c>
      <c r="M110" t="inlineStr">
        <is>
          <t>Konstruksi Gedung Industri, Konstruksi Gedung Kesehatan, Konstruksi Gedung Pendidikan, Konstruksi Gedung Perkantoran, Konstruksi Gedung Tempat Hiburan dan Olahraga</t>
        </is>
      </c>
      <c r="N110" t="inlineStr">
        <is>
          <t>K</t>
        </is>
      </c>
      <c r="O110" t="inlineStr">
        <is>
          <t>20211210, 20230826, 20230904, 20230918</t>
        </is>
      </c>
      <c r="P110" t="inlineStr">
        <is>
          <t>Banten</t>
        </is>
      </c>
      <c r="Q110" t="inlineStr"/>
    </row>
    <row r="111">
      <c r="A111" t="inlineStr">
        <is>
          <t>MEGAH HALIM ABADI</t>
        </is>
      </c>
      <c r="B111" t="inlineStr">
        <is>
          <t>Kota Batam</t>
        </is>
      </c>
      <c r="C111" t="inlineStr">
        <is>
          <t>08128688385</t>
        </is>
      </c>
      <c r="D111" t="inlineStr">
        <is>
          <t>ptmegahhalimabadi@gmail.com</t>
        </is>
      </c>
      <c r="E111" t="inlineStr">
        <is>
          <t>https://lpjk.pu.go.id/search-badan-usaha-detail/RGl4RWpIUjhvWHUwZzJ6SDlHY0ljZz09</t>
        </is>
      </c>
      <c r="F111" t="n">
        <v>6</v>
      </c>
      <c r="G111" t="inlineStr">
        <is>
          <t>BG002, BG003, BG009</t>
        </is>
      </c>
      <c r="H111" t="inlineStr">
        <is>
          <t>6 April 2023</t>
        </is>
      </c>
      <c r="I111" s="2" t="n">
        <v>46285</v>
      </c>
      <c r="J111" t="inlineStr">
        <is>
          <t>Disetujui</t>
        </is>
      </c>
      <c r="K111" t="n">
        <v>30</v>
      </c>
      <c r="L111" t="inlineStr">
        <is>
          <t>20 September 2026</t>
        </is>
      </c>
      <c r="M111" t="inlineStr">
        <is>
          <t>Konstruksi Gedung Industri, Konstruksi Gedung Lainnya, Konstruksi Gedung Perkantoran</t>
        </is>
      </c>
      <c r="N111" t="inlineStr">
        <is>
          <t>K</t>
        </is>
      </c>
      <c r="O111" t="inlineStr">
        <is>
          <t>20230921</t>
        </is>
      </c>
      <c r="P111" t="inlineStr">
        <is>
          <t>Kepulauan Riau</t>
        </is>
      </c>
      <c r="Q111" t="inlineStr"/>
    </row>
    <row r="112">
      <c r="A112" t="inlineStr">
        <is>
          <t>MEGAH KARYA TIKA PRATAMA</t>
        </is>
      </c>
      <c r="B112" t="inlineStr">
        <is>
          <t>Kota Semarang</t>
        </is>
      </c>
      <c r="C112" t="inlineStr">
        <is>
          <t>0247623792</t>
        </is>
      </c>
      <c r="D112" t="inlineStr">
        <is>
          <t>megah_group@yahoo.com</t>
        </is>
      </c>
      <c r="E112" t="inlineStr">
        <is>
          <t>https://lpjk.pu.go.id/search-badan-usaha-detail/RUh6aEpnSXFRUnF2Q1hqNlc5TFFXUT09</t>
        </is>
      </c>
      <c r="F112" t="n">
        <v>8</v>
      </c>
      <c r="G112" t="inlineStr">
        <is>
          <t>BG002, BG003, BG004, BG009</t>
        </is>
      </c>
      <c r="H112" t="inlineStr">
        <is>
          <t>25 Mei 1990</t>
        </is>
      </c>
      <c r="I112" s="2" t="n">
        <v>46285</v>
      </c>
      <c r="J112" t="inlineStr">
        <is>
          <t>Disetujui</t>
        </is>
      </c>
      <c r="K112" t="n">
        <v>30</v>
      </c>
      <c r="L112" t="inlineStr">
        <is>
          <t>20 September 2026</t>
        </is>
      </c>
      <c r="M112" t="inlineStr">
        <is>
          <t>Konstruksi Gedung Industri, Konstruksi Gedung Lainnya, Konstruksi Gedung Perbelanjaan, Konstruksi Gedung Perkantoran</t>
        </is>
      </c>
      <c r="N112" t="inlineStr">
        <is>
          <t>M</t>
        </is>
      </c>
      <c r="O112" t="inlineStr">
        <is>
          <t>20230918</t>
        </is>
      </c>
      <c r="P112" t="inlineStr">
        <is>
          <t>Jawa Tengah</t>
        </is>
      </c>
      <c r="Q112" t="inlineStr"/>
    </row>
    <row r="113">
      <c r="A113" t="inlineStr">
        <is>
          <t>MENARA DHAHABI</t>
        </is>
      </c>
      <c r="B113" t="inlineStr">
        <is>
          <t>Kab. Tuban</t>
        </is>
      </c>
      <c r="C113" t="inlineStr">
        <is>
          <t>082234676786</t>
        </is>
      </c>
      <c r="D113" t="inlineStr">
        <is>
          <t>menara.dhahabi@gmail.com</t>
        </is>
      </c>
      <c r="E113" t="inlineStr">
        <is>
          <t>https://lpjk.pu.go.id/search-badan-usaha-detail/QnFhbGhvNXVXQWcrUzhvczlDK3piQT09</t>
        </is>
      </c>
      <c r="F113" t="n">
        <v>2</v>
      </c>
      <c r="G113" t="inlineStr">
        <is>
          <t>BS001, BS004</t>
        </is>
      </c>
      <c r="H113" t="inlineStr">
        <is>
          <t>21 Agustus 2023</t>
        </is>
      </c>
      <c r="I113" s="2" t="n">
        <v>46285</v>
      </c>
      <c r="J113" t="inlineStr">
        <is>
          <t>Disetujui</t>
        </is>
      </c>
      <c r="K113" t="n">
        <v>30</v>
      </c>
      <c r="L113" t="inlineStr">
        <is>
          <t>20 September 2026</t>
        </is>
      </c>
      <c r="M113" t="inlineStr">
        <is>
          <t>Konstruksi Bangunan Sipil Jalan, Konstruksi Jaringan Irigasi dan Drainase</t>
        </is>
      </c>
      <c r="N113" t="inlineStr">
        <is>
          <t>K</t>
        </is>
      </c>
      <c r="O113" t="inlineStr">
        <is>
          <t>20230911, 20230917</t>
        </is>
      </c>
      <c r="P113" t="inlineStr">
        <is>
          <t>Jawa Timur</t>
        </is>
      </c>
      <c r="Q113" t="inlineStr"/>
    </row>
    <row r="114">
      <c r="A114" t="inlineStr">
        <is>
          <t>MITRA KARYA PEMBANGUNAN</t>
        </is>
      </c>
      <c r="B114" t="inlineStr">
        <is>
          <t>Kota Tarakan</t>
        </is>
      </c>
      <c r="C114" t="inlineStr">
        <is>
          <t>081220449729</t>
        </is>
      </c>
      <c r="D114" t="inlineStr">
        <is>
          <t>cv_karyapembangunan@yahoo.com</t>
        </is>
      </c>
      <c r="E114" t="inlineStr">
        <is>
          <t>https://lpjk.pu.go.id/search-badan-usaha-detail/ZDBlMWg0VGt3b1NYVFlhWWc2ejBJdz09</t>
        </is>
      </c>
      <c r="F114" t="n">
        <v>2</v>
      </c>
      <c r="G114" t="inlineStr">
        <is>
          <t>BG001, BG002</t>
        </is>
      </c>
      <c r="H114" t="inlineStr">
        <is>
          <t>31 Januari 2020</t>
        </is>
      </c>
      <c r="I114" s="2" t="n">
        <v>46285</v>
      </c>
      <c r="J114" t="inlineStr">
        <is>
          <t>Disetujui</t>
        </is>
      </c>
      <c r="K114" t="n">
        <v>30</v>
      </c>
      <c r="L114" t="inlineStr">
        <is>
          <t>20 September 2026</t>
        </is>
      </c>
      <c r="M114" t="inlineStr">
        <is>
          <t>Konstruksi Gedung Hunian, Konstruksi Gedung Perkantoran</t>
        </is>
      </c>
      <c r="N114" t="inlineStr">
        <is>
          <t>K</t>
        </is>
      </c>
      <c r="O114" t="inlineStr">
        <is>
          <t>20230919</t>
        </is>
      </c>
      <c r="P114" t="inlineStr">
        <is>
          <t>Kalimantan Utara</t>
        </is>
      </c>
      <c r="Q114" t="inlineStr"/>
    </row>
    <row r="115">
      <c r="A115" t="inlineStr">
        <is>
          <t>MITRA UTAMA</t>
        </is>
      </c>
      <c r="B115" t="inlineStr">
        <is>
          <t>Kab. Barito Selatan</t>
        </is>
      </c>
      <c r="C115" t="inlineStr">
        <is>
          <t>081348037447</t>
        </is>
      </c>
      <c r="D115" t="inlineStr">
        <is>
          <t>mitrautama.cv23@gmail.com</t>
        </is>
      </c>
      <c r="E115" t="inlineStr">
        <is>
          <t>https://lpjk.pu.go.id/search-badan-usaha-detail/dFI4SzBmRGRwekNYa1dReXJhTC9OQT09</t>
        </is>
      </c>
      <c r="F115" t="n">
        <v>1</v>
      </c>
      <c r="G115" t="inlineStr">
        <is>
          <t>BG002</t>
        </is>
      </c>
      <c r="H115" t="inlineStr">
        <is>
          <t>26 Maret 1990</t>
        </is>
      </c>
      <c r="I115" s="2" t="n">
        <v>46285</v>
      </c>
      <c r="J115" t="inlineStr">
        <is>
          <t>Disetujui</t>
        </is>
      </c>
      <c r="K115" t="n">
        <v>30</v>
      </c>
      <c r="L115" t="inlineStr">
        <is>
          <t>20 September 2026</t>
        </is>
      </c>
      <c r="M115" t="inlineStr">
        <is>
          <t>Konstruksi Gedung Perkantoran</t>
        </is>
      </c>
      <c r="N115" t="inlineStr">
        <is>
          <t>K</t>
        </is>
      </c>
      <c r="O115" t="inlineStr">
        <is>
          <t>20230917</t>
        </is>
      </c>
      <c r="P115" t="inlineStr">
        <is>
          <t>Kalimantan Tengah</t>
        </is>
      </c>
      <c r="Q115" t="inlineStr"/>
    </row>
    <row r="116">
      <c r="A116" t="inlineStr">
        <is>
          <t>MOBAR NUSANTARA</t>
        </is>
      </c>
      <c r="B116" t="inlineStr">
        <is>
          <t>Kab. Poso</t>
        </is>
      </c>
      <c r="C116" t="inlineStr">
        <is>
          <t>081341311755</t>
        </is>
      </c>
      <c r="D116" t="inlineStr">
        <is>
          <t>bimmobar@gmail.com</t>
        </is>
      </c>
      <c r="E116" t="inlineStr">
        <is>
          <t>https://lpjk.pu.go.id/search-badan-usaha-detail/Z1RmNkIvKzFQNzZFVEtrcEg5czlZdz09</t>
        </is>
      </c>
      <c r="F116" t="n">
        <v>2</v>
      </c>
      <c r="G116" t="inlineStr">
        <is>
          <t>BG006, BG009</t>
        </is>
      </c>
      <c r="H116" t="inlineStr">
        <is>
          <t>15 Desember 2015</t>
        </is>
      </c>
      <c r="I116" s="2" t="n">
        <v>46285</v>
      </c>
      <c r="J116" t="inlineStr">
        <is>
          <t>Disetujui</t>
        </is>
      </c>
      <c r="K116" t="n">
        <v>30</v>
      </c>
      <c r="L116" t="inlineStr">
        <is>
          <t>20 September 2026</t>
        </is>
      </c>
      <c r="M116" t="inlineStr">
        <is>
          <t>Konstruksi Gedung Lainnya, Konstruksi Gedung Pendidikan</t>
        </is>
      </c>
      <c r="N116" t="inlineStr">
        <is>
          <t>K</t>
        </is>
      </c>
      <c r="O116" t="inlineStr">
        <is>
          <t>20230912</t>
        </is>
      </c>
      <c r="P116" t="inlineStr">
        <is>
          <t>Sulawesi Tengah</t>
        </is>
      </c>
      <c r="Q116" t="inlineStr"/>
    </row>
    <row r="117">
      <c r="A117" t="inlineStr">
        <is>
          <t>MUARA KARYA KONSULTAN</t>
        </is>
      </c>
      <c r="B117" t="inlineStr">
        <is>
          <t>Kab. Situbondo</t>
        </is>
      </c>
      <c r="C117" t="inlineStr">
        <is>
          <t>085330808604</t>
        </is>
      </c>
      <c r="D117" t="inlineStr">
        <is>
          <t>mukakonsultan@gmail.com</t>
        </is>
      </c>
      <c r="E117" t="inlineStr">
        <is>
          <t>https://lpjk.pu.go.id/search-badan-usaha-detail/ZWxWK29aMkYyampzQStLam84NGg1QT09</t>
        </is>
      </c>
      <c r="F117" t="n">
        <v>2</v>
      </c>
      <c r="G117" t="inlineStr">
        <is>
          <t>RK001, RK002</t>
        </is>
      </c>
      <c r="H117" t="inlineStr">
        <is>
          <t>12 April 2023</t>
        </is>
      </c>
      <c r="I117" s="2" t="n">
        <v>46285</v>
      </c>
      <c r="J117" t="inlineStr">
        <is>
          <t>Disetujui</t>
        </is>
      </c>
      <c r="K117" t="n">
        <v>30</v>
      </c>
      <c r="L117" t="inlineStr">
        <is>
          <t>20 September 2026</t>
        </is>
      </c>
      <c r="M117" t="inlineStr">
        <is>
          <t>Jasa Rekayasa Konstruksi Bangunan Gedung Hunian dan Non Hunian, Jasa Rekayasa Pekerjaan Teknik Sipil Sumber Daya Air</t>
        </is>
      </c>
      <c r="N117" t="inlineStr">
        <is>
          <t>K</t>
        </is>
      </c>
      <c r="O117" t="inlineStr">
        <is>
          <t>20230914</t>
        </is>
      </c>
      <c r="P117" t="inlineStr">
        <is>
          <t>Jawa Timur</t>
        </is>
      </c>
      <c r="Q117" t="inlineStr"/>
    </row>
    <row r="118">
      <c r="A118" t="inlineStr">
        <is>
          <t>MULYATAMA JAYA KONSULINDO</t>
        </is>
      </c>
      <c r="B118" t="inlineStr">
        <is>
          <t>Kota Serang</t>
        </is>
      </c>
      <c r="C118" t="inlineStr">
        <is>
          <t>081211641942</t>
        </is>
      </c>
      <c r="D118" t="inlineStr">
        <is>
          <t>mulyatamajayakons.pt@gmail.com</t>
        </is>
      </c>
      <c r="E118" t="inlineStr">
        <is>
          <t>https://lpjk.pu.go.id/search-badan-usaha-detail/R3BxcGUvZEhQRXJSalNBanZac1FEZz09</t>
        </is>
      </c>
      <c r="F118" t="n">
        <v>2</v>
      </c>
      <c r="G118" t="inlineStr">
        <is>
          <t>RK001</t>
        </is>
      </c>
      <c r="H118" t="inlineStr">
        <is>
          <t>10 September 2019</t>
        </is>
      </c>
      <c r="I118" s="2" t="n">
        <v>46285</v>
      </c>
      <c r="J118" t="inlineStr">
        <is>
          <t>Pencabutan</t>
        </is>
      </c>
      <c r="K118" t="n">
        <v>30</v>
      </c>
      <c r="L118" t="inlineStr">
        <is>
          <t>20 September 2026</t>
        </is>
      </c>
      <c r="M118" t="inlineStr">
        <is>
          <t>Jasa Rekayasa Konstruksi Bangunan Gedung Hunian dan Non Hunian</t>
        </is>
      </c>
      <c r="N118" t="inlineStr">
        <is>
          <t>K</t>
        </is>
      </c>
      <c r="O118" t="inlineStr">
        <is>
          <t>20230903</t>
        </is>
      </c>
      <c r="P118" t="inlineStr">
        <is>
          <t>Banten</t>
        </is>
      </c>
      <c r="Q118" t="inlineStr"/>
    </row>
    <row r="119">
      <c r="A119" t="inlineStr">
        <is>
          <t>MUTIARA NAGA</t>
        </is>
      </c>
      <c r="B119" t="inlineStr">
        <is>
          <t>Kab. Tangerang</t>
        </is>
      </c>
      <c r="C119" t="inlineStr">
        <is>
          <t>085882935015</t>
        </is>
      </c>
      <c r="D119" t="inlineStr">
        <is>
          <t>cv.mutiaranaga@hotmail.com</t>
        </is>
      </c>
      <c r="E119" t="inlineStr">
        <is>
          <t>https://lpjk.pu.go.id/search-badan-usaha-detail/Q2wyc1U2eTcvNlVickREenByWHNrQT09</t>
        </is>
      </c>
      <c r="F119" t="n">
        <v>2</v>
      </c>
      <c r="G119" t="inlineStr">
        <is>
          <t>BS004</t>
        </is>
      </c>
      <c r="H119" t="inlineStr">
        <is>
          <t>15 Desember 2014</t>
        </is>
      </c>
      <c r="I119" s="2" t="n">
        <v>46285</v>
      </c>
      <c r="J119" t="inlineStr">
        <is>
          <t>Disetujui</t>
        </is>
      </c>
      <c r="K119" t="n">
        <v>30</v>
      </c>
      <c r="L119" t="inlineStr">
        <is>
          <t>20 September 2026</t>
        </is>
      </c>
      <c r="M119" t="inlineStr">
        <is>
          <t>Konstruksi Jaringan Irigasi dan Drainase</t>
        </is>
      </c>
      <c r="N119" t="inlineStr">
        <is>
          <t>K</t>
        </is>
      </c>
      <c r="O119" t="inlineStr">
        <is>
          <t>20230921</t>
        </is>
      </c>
      <c r="P119" t="inlineStr">
        <is>
          <t>Banten</t>
        </is>
      </c>
      <c r="Q119" t="inlineStr"/>
    </row>
    <row r="120">
      <c r="A120" t="inlineStr">
        <is>
          <t>MUTIARA REZEKI PERKASA</t>
        </is>
      </c>
      <c r="B120" t="inlineStr">
        <is>
          <t>Kab. Garut</t>
        </is>
      </c>
      <c r="C120" t="inlineStr">
        <is>
          <t>0821 2184 6747</t>
        </is>
      </c>
      <c r="D120" t="inlineStr">
        <is>
          <t>mutiararezekiperkasa@gmail.com</t>
        </is>
      </c>
      <c r="E120" t="inlineStr">
        <is>
          <t>https://lpjk.pu.go.id/search-badan-usaha-detail/TTdrWnEram1uRCtQMCsvMCtOb2IyUT09</t>
        </is>
      </c>
      <c r="F120" t="n">
        <v>10</v>
      </c>
      <c r="G120" t="inlineStr">
        <is>
          <t>BG002, BG006, BG008, BG009, BS001</t>
        </is>
      </c>
      <c r="H120" t="inlineStr">
        <is>
          <t>24 Januari 2019</t>
        </is>
      </c>
      <c r="I120" s="2" t="n">
        <v>46285</v>
      </c>
      <c r="J120" t="inlineStr">
        <is>
          <t>Disetujui</t>
        </is>
      </c>
      <c r="K120" t="n">
        <v>30</v>
      </c>
      <c r="L120" t="inlineStr">
        <is>
          <t>20 September 2026</t>
        </is>
      </c>
      <c r="M120" t="inlineStr">
        <is>
          <t>Konstruksi Bangunan Sipil Jalan, Konstruksi Gedung Lainnya, Konstruksi Gedung Pendidikan, Konstruksi Gedung Perkantoran, Konstruksi Gedung Tempat Hiburan dan Olahraga</t>
        </is>
      </c>
      <c r="N120" t="inlineStr">
        <is>
          <t>K</t>
        </is>
      </c>
      <c r="O120" t="inlineStr">
        <is>
          <t>20230914</t>
        </is>
      </c>
      <c r="P120" t="inlineStr">
        <is>
          <t>Jawa Barat</t>
        </is>
      </c>
      <c r="Q120" t="inlineStr"/>
    </row>
    <row r="121">
      <c r="A121" t="inlineStr">
        <is>
          <t>MUTIARA SELATAN</t>
        </is>
      </c>
      <c r="B121" t="inlineStr">
        <is>
          <t>Kab. Trenggalek</t>
        </is>
      </c>
      <c r="C121" t="inlineStr">
        <is>
          <t>085236038738</t>
        </is>
      </c>
      <c r="D121" t="inlineStr">
        <is>
          <t>rofikmasruri2@gmail.com</t>
        </is>
      </c>
      <c r="E121" t="inlineStr">
        <is>
          <t>https://lpjk.pu.go.id/search-badan-usaha-detail/QkpIMTU5c2p2ZXpPTE41ZWkwUWNrQT09</t>
        </is>
      </c>
      <c r="F121" t="n">
        <v>10</v>
      </c>
      <c r="G121" t="inlineStr">
        <is>
          <t>BG002, BG004, BG006, BG009, BS001</t>
        </is>
      </c>
      <c r="H121" t="inlineStr">
        <is>
          <t>18 Februari 2017</t>
        </is>
      </c>
      <c r="I121" s="2" t="n">
        <v>46285</v>
      </c>
      <c r="J121" t="inlineStr">
        <is>
          <t>Disetujui</t>
        </is>
      </c>
      <c r="K121" t="n">
        <v>30</v>
      </c>
      <c r="L121" t="inlineStr">
        <is>
          <t>20 September 2026</t>
        </is>
      </c>
      <c r="M121" t="inlineStr">
        <is>
          <t>Konstruksi Bangunan Sipil Jalan, Konstruksi Gedung Lainnya, Konstruksi Gedung Pendidikan, Konstruksi Gedung Perbelanjaan, Konstruksi Gedung Perkantoran</t>
        </is>
      </c>
      <c r="N121" t="inlineStr">
        <is>
          <t>K</t>
        </is>
      </c>
      <c r="O121" t="inlineStr">
        <is>
          <t>20230919</t>
        </is>
      </c>
      <c r="P121" t="inlineStr">
        <is>
          <t>Jawa Timur</t>
        </is>
      </c>
      <c r="Q121" t="inlineStr"/>
    </row>
    <row r="122">
      <c r="A122" t="inlineStr">
        <is>
          <t>NADA UTAMA</t>
        </is>
      </c>
      <c r="B122" t="inlineStr">
        <is>
          <t>Kab. Tangerang</t>
        </is>
      </c>
      <c r="C122" t="inlineStr">
        <is>
          <t>081282308100</t>
        </is>
      </c>
      <c r="D122" t="inlineStr">
        <is>
          <t>cvnadautama@yahoo.com</t>
        </is>
      </c>
      <c r="E122" t="inlineStr">
        <is>
          <t>https://lpjk.pu.go.id/search-badan-usaha-detail/QkxnTHhxeEF4QkxTVkFSV0wxWXVtZz09</t>
        </is>
      </c>
      <c r="F122" t="n">
        <v>3</v>
      </c>
      <c r="G122" t="inlineStr">
        <is>
          <t>BG009, BS001, BS004</t>
        </is>
      </c>
      <c r="H122" t="inlineStr">
        <is>
          <t>29 Juli 2019</t>
        </is>
      </c>
      <c r="I122" s="2" t="n">
        <v>46285</v>
      </c>
      <c r="J122" t="inlineStr">
        <is>
          <t>Disetujui</t>
        </is>
      </c>
      <c r="K122" t="n">
        <v>30</v>
      </c>
      <c r="L122" t="inlineStr">
        <is>
          <t>20 September 2026</t>
        </is>
      </c>
      <c r="M122" t="inlineStr">
        <is>
          <t>Konstruksi Bangunan Sipil Jalan, Konstruksi Gedung Lainnya, Konstruksi Jaringan Irigasi dan Drainase</t>
        </is>
      </c>
      <c r="N122" t="inlineStr">
        <is>
          <t>K</t>
        </is>
      </c>
      <c r="O122" t="inlineStr">
        <is>
          <t>20230919</t>
        </is>
      </c>
      <c r="P122" t="inlineStr">
        <is>
          <t>Banten</t>
        </is>
      </c>
      <c r="Q122" t="inlineStr"/>
    </row>
    <row r="123">
      <c r="A123" t="inlineStr">
        <is>
          <t>NAGATAMA SEJAHTERA</t>
        </is>
      </c>
      <c r="B123" t="inlineStr">
        <is>
          <t>Kota Metro</t>
        </is>
      </c>
      <c r="C123" t="inlineStr">
        <is>
          <t>085379064797</t>
        </is>
      </c>
      <c r="D123" t="inlineStr">
        <is>
          <t>cvnagatamasejahtera@gmail.com</t>
        </is>
      </c>
      <c r="E123" t="inlineStr">
        <is>
          <t>https://lpjk.pu.go.id/search-badan-usaha-detail/RldkV0gwdzlHTDh1cHMyWEN5azNrQT09</t>
        </is>
      </c>
      <c r="F123" t="n">
        <v>3</v>
      </c>
      <c r="G123" t="inlineStr">
        <is>
          <t>BG009, BS001, BS004</t>
        </is>
      </c>
      <c r="H123" t="inlineStr">
        <is>
          <t>15 Agustus 2023</t>
        </is>
      </c>
      <c r="I123" s="2" t="n">
        <v>46285</v>
      </c>
      <c r="J123" t="inlineStr">
        <is>
          <t>Disetujui</t>
        </is>
      </c>
      <c r="K123" t="n">
        <v>30</v>
      </c>
      <c r="L123" t="inlineStr">
        <is>
          <t>20 September 2026</t>
        </is>
      </c>
      <c r="M123" t="inlineStr">
        <is>
          <t>Konstruksi Bangunan Sipil Jalan, Konstruksi Gedung Lainnya, Konstruksi Jaringan Irigasi dan Drainase</t>
        </is>
      </c>
      <c r="N123" t="inlineStr">
        <is>
          <t>K</t>
        </is>
      </c>
      <c r="O123" t="inlineStr">
        <is>
          <t>20230919, 20230921</t>
        </is>
      </c>
      <c r="P123" t="inlineStr">
        <is>
          <t>Lampung</t>
        </is>
      </c>
      <c r="Q123" t="inlineStr"/>
    </row>
    <row r="124">
      <c r="A124" t="inlineStr">
        <is>
          <t>NASYA MAS</t>
        </is>
      </c>
      <c r="B124" t="inlineStr">
        <is>
          <t>Kab. Cirebon</t>
        </is>
      </c>
      <c r="C124" t="inlineStr">
        <is>
          <t>082216935544</t>
        </is>
      </c>
      <c r="D124" t="inlineStr">
        <is>
          <t>cv.nasyamascrb@yahoo.com</t>
        </is>
      </c>
      <c r="E124" t="inlineStr">
        <is>
          <t>https://lpjk.pu.go.id/search-badan-usaha-detail/WkNyUkJqK3pGdUlPUk9vRXJXd0RnQT09</t>
        </is>
      </c>
      <c r="F124" t="n">
        <v>1</v>
      </c>
      <c r="G124" t="inlineStr">
        <is>
          <t>BS004</t>
        </is>
      </c>
      <c r="H124" t="inlineStr">
        <is>
          <t>20 September 2003</t>
        </is>
      </c>
      <c r="I124" s="2" t="n">
        <v>46285</v>
      </c>
      <c r="J124" t="inlineStr">
        <is>
          <t>Disetujui</t>
        </is>
      </c>
      <c r="K124" t="n">
        <v>30</v>
      </c>
      <c r="L124" t="inlineStr">
        <is>
          <t>20 September 2026</t>
        </is>
      </c>
      <c r="M124" t="inlineStr">
        <is>
          <t>Konstruksi Jaringan Irigasi dan Drainase</t>
        </is>
      </c>
      <c r="N124" t="inlineStr">
        <is>
          <t>K</t>
        </is>
      </c>
      <c r="O124" t="inlineStr">
        <is>
          <t>20230919</t>
        </is>
      </c>
      <c r="P124" t="inlineStr">
        <is>
          <t>Jawa Barat</t>
        </is>
      </c>
      <c r="Q124" t="inlineStr"/>
    </row>
    <row r="125">
      <c r="A125" t="inlineStr">
        <is>
          <t>NUR KREASI MANDIRI</t>
        </is>
      </c>
      <c r="B125" t="inlineStr">
        <is>
          <t>Kota Adm. Jakarta Barat</t>
        </is>
      </c>
      <c r="C125" t="inlineStr">
        <is>
          <t>0215664869</t>
        </is>
      </c>
      <c r="D125" t="inlineStr">
        <is>
          <t>ptnurkreasimandiri@gmail.com</t>
        </is>
      </c>
      <c r="E125" t="inlineStr">
        <is>
          <t>https://lpjk.pu.go.id/search-badan-usaha-detail/eDlLWEtIdGtKWFAzbG1iRGFvZFdPUT09</t>
        </is>
      </c>
      <c r="F125" t="n">
        <v>1</v>
      </c>
      <c r="G125" t="inlineStr">
        <is>
          <t>BG003</t>
        </is>
      </c>
      <c r="H125" t="inlineStr">
        <is>
          <t>30 November 2020</t>
        </is>
      </c>
      <c r="I125" s="2" t="n">
        <v>46285</v>
      </c>
      <c r="J125" t="inlineStr">
        <is>
          <t>Disetujui</t>
        </is>
      </c>
      <c r="K125" t="n">
        <v>30</v>
      </c>
      <c r="L125" t="inlineStr">
        <is>
          <t>20 September 2026</t>
        </is>
      </c>
      <c r="M125" t="inlineStr">
        <is>
          <t>Konstruksi Gedung Industri</t>
        </is>
      </c>
      <c r="N125" t="inlineStr">
        <is>
          <t>K</t>
        </is>
      </c>
      <c r="O125" t="inlineStr">
        <is>
          <t>20230911</t>
        </is>
      </c>
      <c r="P125" t="inlineStr">
        <is>
          <t>DKI Jakarta</t>
        </is>
      </c>
      <c r="Q125" t="inlineStr"/>
    </row>
    <row r="126">
      <c r="A126" t="inlineStr">
        <is>
          <t>NUSAKURA KARYA MANDIRI</t>
        </is>
      </c>
      <c r="B126" t="inlineStr">
        <is>
          <t>Kota Ambon</t>
        </is>
      </c>
      <c r="C126" t="inlineStr">
        <is>
          <t>082248165320</t>
        </is>
      </c>
      <c r="D126" t="inlineStr">
        <is>
          <t>nusakurakaryamandiri@gmail.com</t>
        </is>
      </c>
      <c r="E126" t="inlineStr">
        <is>
          <t>https://lpjk.pu.go.id/search-badan-usaha-detail/SEZxbGtyM1dtZ2pnUk04MnFrR1p1dz09</t>
        </is>
      </c>
      <c r="F126" t="n">
        <v>1</v>
      </c>
      <c r="G126" t="inlineStr">
        <is>
          <t>BG001</t>
        </is>
      </c>
      <c r="H126" t="inlineStr">
        <is>
          <t>27 Oktober 2021</t>
        </is>
      </c>
      <c r="I126" s="2" t="n">
        <v>46285</v>
      </c>
      <c r="J126" t="inlineStr">
        <is>
          <t>Disetujui</t>
        </is>
      </c>
      <c r="K126" t="n">
        <v>30</v>
      </c>
      <c r="L126" t="inlineStr">
        <is>
          <t>20 September 2026</t>
        </is>
      </c>
      <c r="M126" t="inlineStr">
        <is>
          <t>Konstruksi Gedung Hunian</t>
        </is>
      </c>
      <c r="N126" t="inlineStr">
        <is>
          <t>K</t>
        </is>
      </c>
      <c r="O126" t="inlineStr">
        <is>
          <t>20230918</t>
        </is>
      </c>
      <c r="P126" t="inlineStr">
        <is>
          <t>Maluku</t>
        </is>
      </c>
      <c r="Q126" t="inlineStr"/>
    </row>
    <row r="127">
      <c r="A127" t="inlineStr">
        <is>
          <t>PARSAORAN MEMBANGUN</t>
        </is>
      </c>
      <c r="B127" t="inlineStr">
        <is>
          <t>Kota Medan</t>
        </is>
      </c>
      <c r="C127" t="inlineStr">
        <is>
          <t>0</t>
        </is>
      </c>
      <c r="D127" t="inlineStr">
        <is>
          <t>parsaoranmembangun@gmail.com</t>
        </is>
      </c>
      <c r="E127" t="inlineStr">
        <is>
          <t>https://lpjk.pu.go.id/search-badan-usaha-detail/MjQra2NHczM3QXNPaCtxTU4zcGNZUT09</t>
        </is>
      </c>
      <c r="F127" t="n">
        <v>1</v>
      </c>
      <c r="G127" t="inlineStr">
        <is>
          <t>BS005</t>
        </is>
      </c>
      <c r="H127" t="inlineStr">
        <is>
          <t>28 November 2012</t>
        </is>
      </c>
      <c r="I127" s="2" t="n">
        <v>46285</v>
      </c>
      <c r="J127" t="inlineStr">
        <is>
          <t>Pembekuan</t>
        </is>
      </c>
      <c r="K127" t="n">
        <v>30</v>
      </c>
      <c r="L127" t="inlineStr">
        <is>
          <t>20 September 2026</t>
        </is>
      </c>
      <c r="M127" t="inlineStr">
        <is>
          <t>Konstruksi Bangunan Sipil Pengolahan Air Bersih</t>
        </is>
      </c>
      <c r="N127" t="inlineStr">
        <is>
          <t>M</t>
        </is>
      </c>
      <c r="O127" t="inlineStr">
        <is>
          <t>20230911</t>
        </is>
      </c>
      <c r="P127" t="inlineStr">
        <is>
          <t>Sumatera Utara</t>
        </is>
      </c>
      <c r="Q127" t="inlineStr"/>
    </row>
    <row r="128">
      <c r="A128" t="inlineStr">
        <is>
          <t>PASUNDAN JAYA</t>
        </is>
      </c>
      <c r="B128" t="inlineStr">
        <is>
          <t>Kota Bandung</t>
        </is>
      </c>
      <c r="C128" t="inlineStr">
        <is>
          <t>08112322999</t>
        </is>
      </c>
      <c r="D128" t="inlineStr">
        <is>
          <t>pasundanjaya.cv@yahoo.com</t>
        </is>
      </c>
      <c r="E128" t="inlineStr">
        <is>
          <t>https://lpjk.pu.go.id/search-badan-usaha-detail/YjYraWljOW5Jb1dEcDM1V21EZ1FwUT09</t>
        </is>
      </c>
      <c r="F128" t="n">
        <v>4</v>
      </c>
      <c r="G128" t="inlineStr">
        <is>
          <t>BG004, BG005</t>
        </is>
      </c>
      <c r="H128" t="inlineStr">
        <is>
          <t>12 Maret 2007</t>
        </is>
      </c>
      <c r="I128" s="2" t="n">
        <v>46285</v>
      </c>
      <c r="J128" t="inlineStr">
        <is>
          <t>Disetujui</t>
        </is>
      </c>
      <c r="K128" t="n">
        <v>30</v>
      </c>
      <c r="L128" t="inlineStr">
        <is>
          <t>20 September 2026</t>
        </is>
      </c>
      <c r="M128" t="inlineStr">
        <is>
          <t>Konstruksi Gedung Kesehatan, Konstruksi Gedung Perbelanjaan</t>
        </is>
      </c>
      <c r="N128" t="inlineStr">
        <is>
          <t>K</t>
        </is>
      </c>
      <c r="O128" t="inlineStr">
        <is>
          <t>20230920, 20230921</t>
        </is>
      </c>
      <c r="P128" t="inlineStr">
        <is>
          <t>Jawa Barat</t>
        </is>
      </c>
      <c r="Q128" t="inlineStr"/>
    </row>
    <row r="129">
      <c r="A129" t="inlineStr">
        <is>
          <t>PELANGI KRIDA BHAKTI</t>
        </is>
      </c>
      <c r="B129" t="inlineStr">
        <is>
          <t>Kota Samarinda</t>
        </is>
      </c>
      <c r="C129" t="inlineStr">
        <is>
          <t>081283780827</t>
        </is>
      </c>
      <c r="D129" t="inlineStr">
        <is>
          <t>pelangikridabhakti@gmail.com</t>
        </is>
      </c>
      <c r="E129" t="inlineStr">
        <is>
          <t>https://lpjk.pu.go.id/search-badan-usaha-detail/K1pLUW0yVHJ6bVBFdmRCMUZZTkdpQT09</t>
        </is>
      </c>
      <c r="F129" t="n">
        <v>1</v>
      </c>
      <c r="G129" t="inlineStr">
        <is>
          <t>BS001</t>
        </is>
      </c>
      <c r="H129" t="inlineStr">
        <is>
          <t>17 Juli 2017</t>
        </is>
      </c>
      <c r="I129" s="2" t="n">
        <v>46285</v>
      </c>
      <c r="J129" t="inlineStr">
        <is>
          <t>Disetujui</t>
        </is>
      </c>
      <c r="K129" t="n">
        <v>30</v>
      </c>
      <c r="L129" t="inlineStr">
        <is>
          <t>20 September 2026</t>
        </is>
      </c>
      <c r="M129" t="inlineStr">
        <is>
          <t>Konstruksi Bangunan Sipil Jalan</t>
        </is>
      </c>
      <c r="N129" t="inlineStr">
        <is>
          <t>K</t>
        </is>
      </c>
      <c r="O129" t="inlineStr">
        <is>
          <t>20230920</t>
        </is>
      </c>
      <c r="P129" t="inlineStr">
        <is>
          <t>Kalimantan Timur</t>
        </is>
      </c>
      <c r="Q129" t="inlineStr"/>
    </row>
    <row r="130">
      <c r="A130" t="inlineStr">
        <is>
          <t>PERDANA</t>
        </is>
      </c>
      <c r="B130" t="inlineStr">
        <is>
          <t>Kota Surabaya</t>
        </is>
      </c>
      <c r="C130" t="inlineStr">
        <is>
          <t>0818331309</t>
        </is>
      </c>
      <c r="D130" t="inlineStr">
        <is>
          <t>Cvperdana38@gmail.com</t>
        </is>
      </c>
      <c r="E130" t="inlineStr">
        <is>
          <t>https://lpjk.pu.go.id/search-badan-usaha-detail/TlVpak81OG82WDRleDlIV3ZVb3NLZz09</t>
        </is>
      </c>
      <c r="F130" t="n">
        <v>1</v>
      </c>
      <c r="G130" t="inlineStr">
        <is>
          <t>BG009</t>
        </is>
      </c>
      <c r="H130" t="inlineStr">
        <is>
          <t>19 November 1983</t>
        </is>
      </c>
      <c r="I130" s="2" t="n">
        <v>46285</v>
      </c>
      <c r="J130" t="inlineStr">
        <is>
          <t>Disetujui</t>
        </is>
      </c>
      <c r="K130" t="n">
        <v>30</v>
      </c>
      <c r="L130" t="inlineStr">
        <is>
          <t>20 September 2026</t>
        </is>
      </c>
      <c r="M130" t="inlineStr">
        <is>
          <t>Konstruksi Gedung Lainnya</t>
        </is>
      </c>
      <c r="N130" t="inlineStr">
        <is>
          <t>K</t>
        </is>
      </c>
      <c r="O130" t="inlineStr">
        <is>
          <t>20230815</t>
        </is>
      </c>
      <c r="P130" t="inlineStr">
        <is>
          <t>Jawa Timur</t>
        </is>
      </c>
      <c r="Q130" t="inlineStr"/>
    </row>
    <row r="131">
      <c r="A131" t="inlineStr">
        <is>
          <t>PERMATA</t>
        </is>
      </c>
      <c r="B131" t="inlineStr">
        <is>
          <t>Kab. Bandung Barat</t>
        </is>
      </c>
      <c r="C131" t="inlineStr">
        <is>
          <t>082121206969</t>
        </is>
      </c>
      <c r="D131" t="inlineStr">
        <is>
          <t>cvpermatakbb@gmail.com</t>
        </is>
      </c>
      <c r="E131" t="inlineStr">
        <is>
          <t>https://lpjk.pu.go.id/search-badan-usaha-detail/UHdEdzQrcHJnZmpzY2tYSmk5ZWFMUT09</t>
        </is>
      </c>
      <c r="F131" t="n">
        <v>1</v>
      </c>
      <c r="G131" t="inlineStr">
        <is>
          <t>BS001</t>
        </is>
      </c>
      <c r="H131" t="inlineStr">
        <is>
          <t>31 Januari 2011</t>
        </is>
      </c>
      <c r="I131" s="2" t="n">
        <v>46285</v>
      </c>
      <c r="J131" t="inlineStr">
        <is>
          <t>Disetujui</t>
        </is>
      </c>
      <c r="K131" t="n">
        <v>30</v>
      </c>
      <c r="L131" t="inlineStr">
        <is>
          <t>20 September 2026</t>
        </is>
      </c>
      <c r="M131" t="inlineStr">
        <is>
          <t>Konstruksi Bangunan Sipil Jalan</t>
        </is>
      </c>
      <c r="N131" t="inlineStr">
        <is>
          <t>K</t>
        </is>
      </c>
      <c r="O131" t="inlineStr">
        <is>
          <t>20230914</t>
        </is>
      </c>
      <c r="P131" t="inlineStr">
        <is>
          <t>Jawa Barat</t>
        </is>
      </c>
      <c r="Q131" t="inlineStr"/>
    </row>
    <row r="132">
      <c r="A132" t="inlineStr">
        <is>
          <t>PERSADA BATU MULIA</t>
        </is>
      </c>
      <c r="B132" t="inlineStr">
        <is>
          <t>Kota Yogyakarta</t>
        </is>
      </c>
      <c r="C132" t="inlineStr">
        <is>
          <t>082223608445</t>
        </is>
      </c>
      <c r="D132" t="inlineStr">
        <is>
          <t>persadabatumulia@gmail.com</t>
        </is>
      </c>
      <c r="E132" t="inlineStr">
        <is>
          <t>https://lpjk.pu.go.id/search-badan-usaha-detail/Z2N2S0duTjFsTDEwOG5pUktwdWZPdz09</t>
        </is>
      </c>
      <c r="F132" t="n">
        <v>1</v>
      </c>
      <c r="G132" t="inlineStr">
        <is>
          <t>PB007</t>
        </is>
      </c>
      <c r="H132" t="inlineStr">
        <is>
          <t>10 Februari 2023</t>
        </is>
      </c>
      <c r="I132" s="2" t="n">
        <v>46285</v>
      </c>
      <c r="J132" t="inlineStr">
        <is>
          <t>Pencabutan</t>
        </is>
      </c>
      <c r="K132" t="n">
        <v>30</v>
      </c>
      <c r="L132" t="inlineStr">
        <is>
          <t>20 September 2026</t>
        </is>
      </c>
      <c r="M132" t="inlineStr">
        <is>
          <t>Pengecatan</t>
        </is>
      </c>
      <c r="N132" t="inlineStr">
        <is>
          <t>Spesialis</t>
        </is>
      </c>
      <c r="O132" t="inlineStr">
        <is>
          <t>20230920</t>
        </is>
      </c>
      <c r="P132" t="inlineStr">
        <is>
          <t>DI Yogyakarta</t>
        </is>
      </c>
      <c r="Q132" t="inlineStr"/>
    </row>
    <row r="133">
      <c r="A133" t="inlineStr">
        <is>
          <t>PILAR ABADI SEMESTA</t>
        </is>
      </c>
      <c r="B133" t="inlineStr">
        <is>
          <t>Kota Pangkal Pinang</t>
        </is>
      </c>
      <c r="C133" t="inlineStr">
        <is>
          <t>082281974983</t>
        </is>
      </c>
      <c r="D133" t="inlineStr">
        <is>
          <t>cvpilarabadisemesta@gmail.com</t>
        </is>
      </c>
      <c r="E133" t="inlineStr">
        <is>
          <t>https://lpjk.pu.go.id/search-badan-usaha-detail/OVpHL3NxRXVQKzViTzViT09XZElIdz09</t>
        </is>
      </c>
      <c r="F133" t="n">
        <v>4</v>
      </c>
      <c r="G133" t="inlineStr">
        <is>
          <t>BG002, BG005, BG006, BG009</t>
        </is>
      </c>
      <c r="H133" t="inlineStr">
        <is>
          <t>13 September 2023</t>
        </is>
      </c>
      <c r="I133" s="2" t="n">
        <v>46285</v>
      </c>
      <c r="J133" t="inlineStr">
        <is>
          <t>Disetujui</t>
        </is>
      </c>
      <c r="K133" t="n">
        <v>30</v>
      </c>
      <c r="L133" t="inlineStr">
        <is>
          <t>20 September 2026</t>
        </is>
      </c>
      <c r="M133" t="inlineStr">
        <is>
          <t>Konstruksi Gedung Kesehatan, Konstruksi Gedung Lainnya, Konstruksi Gedung Pendidikan, Konstruksi Gedung Perkantoran</t>
        </is>
      </c>
      <c r="N133" t="inlineStr">
        <is>
          <t>K</t>
        </is>
      </c>
      <c r="O133" t="inlineStr">
        <is>
          <t>20230921</t>
        </is>
      </c>
      <c r="P133" t="inlineStr">
        <is>
          <t>Kepulauan Bangka Belitung</t>
        </is>
      </c>
      <c r="Q133" t="inlineStr"/>
    </row>
    <row r="134">
      <c r="A134" t="inlineStr">
        <is>
          <t>PRAKARSA</t>
        </is>
      </c>
      <c r="B134" t="inlineStr">
        <is>
          <t>Kab. Nunukan</t>
        </is>
      </c>
      <c r="C134" t="inlineStr">
        <is>
          <t>085387877878</t>
        </is>
      </c>
      <c r="D134" t="inlineStr">
        <is>
          <t>ahmadfauzi.pmi@gmail.com</t>
        </is>
      </c>
      <c r="E134" t="inlineStr">
        <is>
          <t>https://lpjk.pu.go.id/search-badan-usaha-detail/VFJXMSsxSVY2dWNpRjZnaHBrS2FRZz09</t>
        </is>
      </c>
      <c r="F134" t="n">
        <v>1</v>
      </c>
      <c r="G134" t="inlineStr">
        <is>
          <t>BG001</t>
        </is>
      </c>
      <c r="H134" t="inlineStr">
        <is>
          <t>17 November 2008</t>
        </is>
      </c>
      <c r="I134" s="2" t="n">
        <v>46285</v>
      </c>
      <c r="J134" t="inlineStr">
        <is>
          <t>Disetujui</t>
        </is>
      </c>
      <c r="K134" t="n">
        <v>30</v>
      </c>
      <c r="L134" t="inlineStr">
        <is>
          <t>20 September 2026</t>
        </is>
      </c>
      <c r="M134" t="inlineStr">
        <is>
          <t>Konstruksi Gedung Hunian</t>
        </is>
      </c>
      <c r="N134" t="inlineStr">
        <is>
          <t>K</t>
        </is>
      </c>
      <c r="O134" t="inlineStr">
        <is>
          <t>20230917</t>
        </is>
      </c>
      <c r="P134" t="inlineStr">
        <is>
          <t>Kalimantan Utara</t>
        </is>
      </c>
      <c r="Q134" t="inlineStr"/>
    </row>
    <row r="135">
      <c r="A135" t="inlineStr">
        <is>
          <t>PRIMA HASIL DANA SEJAHTERA</t>
        </is>
      </c>
      <c r="B135" t="inlineStr">
        <is>
          <t>Kota Denpasar</t>
        </is>
      </c>
      <c r="C135" t="inlineStr">
        <is>
          <t>082236618907</t>
        </is>
      </c>
      <c r="D135" t="inlineStr">
        <is>
          <t>cvprimahasildanasejahtera@gmail.com</t>
        </is>
      </c>
      <c r="E135" t="inlineStr">
        <is>
          <t>https://lpjk.pu.go.id/search-badan-usaha-detail/czhEZlRzZ09vbkhEbkZIbHBSb3ByUT09</t>
        </is>
      </c>
      <c r="F135" t="n">
        <v>2</v>
      </c>
      <c r="G135" t="inlineStr">
        <is>
          <t>AR001, AR002</t>
        </is>
      </c>
      <c r="H135" t="inlineStr">
        <is>
          <t>11 September 2023</t>
        </is>
      </c>
      <c r="I135" s="2" t="n">
        <v>46285</v>
      </c>
      <c r="J135" t="inlineStr">
        <is>
          <t>Disetujui</t>
        </is>
      </c>
      <c r="K135" t="n">
        <v>30</v>
      </c>
      <c r="L135" t="inlineStr">
        <is>
          <t>20 September 2026</t>
        </is>
      </c>
      <c r="M135" t="inlineStr">
        <is>
          <t>Jasa Arsitektural Bangunan Gedung Hunian dan Non Hunian, Jasa Arsitektural Lainnya</t>
        </is>
      </c>
      <c r="N135" t="inlineStr">
        <is>
          <t>K</t>
        </is>
      </c>
      <c r="O135" t="inlineStr">
        <is>
          <t>20230918</t>
        </is>
      </c>
      <c r="P135" t="inlineStr">
        <is>
          <t>Bali</t>
        </is>
      </c>
      <c r="Q135" t="inlineStr"/>
    </row>
    <row r="136">
      <c r="A136" t="inlineStr">
        <is>
          <t>PRISMA ANDHAKA RAJASUKHA</t>
        </is>
      </c>
      <c r="B136" t="inlineStr">
        <is>
          <t>Kota Tangerang Selatan</t>
        </is>
      </c>
      <c r="C136" t="inlineStr">
        <is>
          <t>85236521761</t>
        </is>
      </c>
      <c r="D136" t="inlineStr">
        <is>
          <t>prisma.ar.sukha@gmail.com</t>
        </is>
      </c>
      <c r="E136" t="inlineStr">
        <is>
          <t>https://lpjk.pu.go.id/search-badan-usaha-detail/b1NlZWRDck5ORzRmNU9iZnBNV0FxUT09</t>
        </is>
      </c>
      <c r="F136" t="n">
        <v>3</v>
      </c>
      <c r="G136" t="inlineStr">
        <is>
          <t>BG002, BG004, BG009</t>
        </is>
      </c>
      <c r="H136" t="inlineStr">
        <is>
          <t>22 Agustus 2018</t>
        </is>
      </c>
      <c r="I136" s="2" t="n">
        <v>46285</v>
      </c>
      <c r="J136" t="inlineStr">
        <is>
          <t>Pembekuan</t>
        </is>
      </c>
      <c r="K136" t="n">
        <v>30</v>
      </c>
      <c r="L136" t="inlineStr">
        <is>
          <t>20 September 2026</t>
        </is>
      </c>
      <c r="M136" t="inlineStr">
        <is>
          <t>Konstruksi Gedung Lainnya, Konstruksi Gedung Perbelanjaan, Konstruksi Gedung Perkantoran</t>
        </is>
      </c>
      <c r="N136" t="inlineStr">
        <is>
          <t>K</t>
        </is>
      </c>
      <c r="O136" t="inlineStr">
        <is>
          <t>20230919, 20230920</t>
        </is>
      </c>
      <c r="P136" t="inlineStr">
        <is>
          <t>Banten</t>
        </is>
      </c>
      <c r="Q136" t="inlineStr"/>
    </row>
    <row r="137">
      <c r="A137" t="inlineStr">
        <is>
          <t>PUTRA BUMI KHATULISTIWA</t>
        </is>
      </c>
      <c r="B137" t="inlineStr">
        <is>
          <t>Kota Padang</t>
        </is>
      </c>
      <c r="C137" t="inlineStr">
        <is>
          <t>085274821633</t>
        </is>
      </c>
      <c r="D137" t="inlineStr">
        <is>
          <t>putrabumikhatulistiwa@gmail.com</t>
        </is>
      </c>
      <c r="E137" t="inlineStr">
        <is>
          <t>https://lpjk.pu.go.id/search-badan-usaha-detail/Z0FxUkdSbmNqMXNENUVhK3haajJ2UT09</t>
        </is>
      </c>
      <c r="F137" t="n">
        <v>6</v>
      </c>
      <c r="G137" t="inlineStr">
        <is>
          <t>BG001, BG002, BG006, BG009, BS001, BS004</t>
        </is>
      </c>
      <c r="H137" t="inlineStr">
        <is>
          <t>20 November 2019</t>
        </is>
      </c>
      <c r="I137" s="2" t="n">
        <v>46285</v>
      </c>
      <c r="J137" t="inlineStr">
        <is>
          <t>Disetujui</t>
        </is>
      </c>
      <c r="K137" t="n">
        <v>30</v>
      </c>
      <c r="L137" t="inlineStr">
        <is>
          <t>20 September 2026</t>
        </is>
      </c>
      <c r="M137" t="inlineStr">
        <is>
          <t>Konstruksi Bangunan Sipil Jalan, Konstruksi Gedung Hunian, Konstruksi Gedung Lainnya, Konstruksi Gedung Pendidikan, Konstruksi Gedung Perkantoran, Konstruksi Jaringan Irigasi dan Drainase</t>
        </is>
      </c>
      <c r="N137" t="inlineStr">
        <is>
          <t>K</t>
        </is>
      </c>
      <c r="O137" t="inlineStr">
        <is>
          <t>20230907, 20230908</t>
        </is>
      </c>
      <c r="P137" t="inlineStr">
        <is>
          <t>Sumatera Barat</t>
        </is>
      </c>
      <c r="Q137" t="inlineStr"/>
    </row>
    <row r="138">
      <c r="A138" t="inlineStr">
        <is>
          <t>PUTRA CELEBES PAPUA ENGINEERING</t>
        </is>
      </c>
      <c r="B138" t="inlineStr">
        <is>
          <t>Kota Makassar</t>
        </is>
      </c>
      <c r="C138" t="inlineStr">
        <is>
          <t>085327544446</t>
        </is>
      </c>
      <c r="D138" t="inlineStr">
        <is>
          <t>PCP.ENG01@GMAIL.COM</t>
        </is>
      </c>
      <c r="E138" t="inlineStr">
        <is>
          <t>https://lpjk.pu.go.id/search-badan-usaha-detail/ZGNOdzgyc2l0T3Nrelh5dU11TnJUZz09</t>
        </is>
      </c>
      <c r="F138" t="n">
        <v>4</v>
      </c>
      <c r="G138" t="inlineStr">
        <is>
          <t>RK001, RK002, RK003, RK005</t>
        </is>
      </c>
      <c r="H138" t="inlineStr">
        <is>
          <t>29 November 2013</t>
        </is>
      </c>
      <c r="I138" s="2" t="n">
        <v>46285</v>
      </c>
      <c r="J138" t="inlineStr">
        <is>
          <t>Disetujui</t>
        </is>
      </c>
      <c r="K138" t="n">
        <v>30</v>
      </c>
      <c r="L138" t="inlineStr">
        <is>
          <t>20 September 2026</t>
        </is>
      </c>
      <c r="M138" t="inlineStr">
        <is>
          <t>Jasa Rekayasa Konstruksi Bangunan Gedung Hunian dan Non Hunian, Jasa Rekayasa Lainnya, Jasa Rekayasa Pekerjaan Teknik Sipil Sumber Daya Air, Jasa Rekayasa Pekerjaan Teknik Sipil Transportasi</t>
        </is>
      </c>
      <c r="N138" t="inlineStr">
        <is>
          <t>K</t>
        </is>
      </c>
      <c r="O138" t="inlineStr">
        <is>
          <t>20230901</t>
        </is>
      </c>
      <c r="P138" t="inlineStr">
        <is>
          <t>Sulawesi Selatan</t>
        </is>
      </c>
      <c r="Q138" t="inlineStr"/>
    </row>
    <row r="139">
      <c r="A139" t="inlineStr">
        <is>
          <t>PUTRA KOTA SELARAS</t>
        </is>
      </c>
      <c r="B139" t="inlineStr">
        <is>
          <t>Kota Pematangsiantar</t>
        </is>
      </c>
      <c r="C139" t="inlineStr">
        <is>
          <t>811526060</t>
        </is>
      </c>
      <c r="D139" t="inlineStr">
        <is>
          <t>7putraselaras@gmail.com</t>
        </is>
      </c>
      <c r="E139" t="inlineStr">
        <is>
          <t>https://lpjk.pu.go.id/search-badan-usaha-detail/cGNPdXZRNzNabUFFWk01aEgwbUNpUT09</t>
        </is>
      </c>
      <c r="F139" t="n">
        <v>1</v>
      </c>
      <c r="G139" t="inlineStr">
        <is>
          <t>BS004</t>
        </is>
      </c>
      <c r="H139" t="inlineStr">
        <is>
          <t>30 November 2001</t>
        </is>
      </c>
      <c r="I139" s="2" t="n">
        <v>46285</v>
      </c>
      <c r="J139" t="inlineStr">
        <is>
          <t>Disetujui</t>
        </is>
      </c>
      <c r="K139" t="n">
        <v>30</v>
      </c>
      <c r="L139" t="inlineStr">
        <is>
          <t>20 September 2026</t>
        </is>
      </c>
      <c r="M139" t="inlineStr">
        <is>
          <t>Konstruksi Jaringan Irigasi dan Drainase</t>
        </is>
      </c>
      <c r="N139" t="inlineStr">
        <is>
          <t>K</t>
        </is>
      </c>
      <c r="O139" t="inlineStr">
        <is>
          <t>20230915</t>
        </is>
      </c>
      <c r="P139" t="inlineStr">
        <is>
          <t>Sumatera Utara</t>
        </is>
      </c>
      <c r="Q139" t="inlineStr"/>
    </row>
    <row r="140">
      <c r="A140" t="inlineStr">
        <is>
          <t>PUTRA MUTIARA JAYA</t>
        </is>
      </c>
      <c r="B140" t="inlineStr">
        <is>
          <t>Kab. Probolinggo</t>
        </is>
      </c>
      <c r="C140" t="inlineStr">
        <is>
          <t>085204850688</t>
        </is>
      </c>
      <c r="D140" t="inlineStr">
        <is>
          <t>cvpmj31@gmail.com</t>
        </is>
      </c>
      <c r="E140" t="inlineStr">
        <is>
          <t>https://lpjk.pu.go.id/search-badan-usaha-detail/SEZVTEZDc01yT2FVMTJ3eVVCall1UT09</t>
        </is>
      </c>
      <c r="F140" t="n">
        <v>1</v>
      </c>
      <c r="G140" t="inlineStr">
        <is>
          <t>BG005</t>
        </is>
      </c>
      <c r="H140" t="inlineStr">
        <is>
          <t>1 Desember 2021</t>
        </is>
      </c>
      <c r="I140" s="2" t="n">
        <v>46285</v>
      </c>
      <c r="J140" t="inlineStr">
        <is>
          <t>Disetujui</t>
        </is>
      </c>
      <c r="K140" t="n">
        <v>30</v>
      </c>
      <c r="L140" t="inlineStr">
        <is>
          <t>20 September 2026</t>
        </is>
      </c>
      <c r="M140" t="inlineStr">
        <is>
          <t>Konstruksi Gedung Kesehatan</t>
        </is>
      </c>
      <c r="N140" t="inlineStr">
        <is>
          <t>K</t>
        </is>
      </c>
      <c r="O140" t="inlineStr">
        <is>
          <t>20230913</t>
        </is>
      </c>
      <c r="P140" t="inlineStr">
        <is>
          <t>Jawa Timur</t>
        </is>
      </c>
      <c r="Q140" t="inlineStr"/>
    </row>
    <row r="141">
      <c r="A141" t="inlineStr">
        <is>
          <t>PUTRA PANGLIMA</t>
        </is>
      </c>
      <c r="B141" t="inlineStr">
        <is>
          <t>Kab. Tanjung Jabung Barat</t>
        </is>
      </c>
      <c r="C141" t="inlineStr">
        <is>
          <t>08163264125</t>
        </is>
      </c>
      <c r="D141" t="inlineStr">
        <is>
          <t>Cv.putrapanglima88@gmail.com</t>
        </is>
      </c>
      <c r="E141" t="inlineStr">
        <is>
          <t>https://lpjk.pu.go.id/search-badan-usaha-detail/V1F2aWtSeXZDclM4VjNXR2daUHNWQT09</t>
        </is>
      </c>
      <c r="F141" t="n">
        <v>1</v>
      </c>
      <c r="G141" t="inlineStr">
        <is>
          <t>BG005</t>
        </is>
      </c>
      <c r="H141" t="inlineStr">
        <is>
          <t>4 Desember 2019</t>
        </is>
      </c>
      <c r="I141" s="2" t="n">
        <v>46285</v>
      </c>
      <c r="J141" t="inlineStr">
        <is>
          <t>Disetujui</t>
        </is>
      </c>
      <c r="K141" t="n">
        <v>30</v>
      </c>
      <c r="L141" t="inlineStr">
        <is>
          <t>20 September 2026</t>
        </is>
      </c>
      <c r="M141" t="inlineStr">
        <is>
          <t>Konstruksi Gedung Kesehatan</t>
        </is>
      </c>
      <c r="N141" t="inlineStr">
        <is>
          <t>K</t>
        </is>
      </c>
      <c r="O141" t="inlineStr">
        <is>
          <t>20230921</t>
        </is>
      </c>
      <c r="P141" t="inlineStr">
        <is>
          <t>Jambi</t>
        </is>
      </c>
      <c r="Q141" t="inlineStr"/>
    </row>
    <row r="142">
      <c r="A142" t="inlineStr">
        <is>
          <t>PUTRA RATUHAPIS</t>
        </is>
      </c>
      <c r="B142" t="inlineStr">
        <is>
          <t>Kota Padang Sidempuan</t>
        </is>
      </c>
      <c r="C142" t="inlineStr">
        <is>
          <t>081370977542</t>
        </is>
      </c>
      <c r="D142" t="inlineStr">
        <is>
          <t>cvrajaratuhapis@yahoo.com</t>
        </is>
      </c>
      <c r="E142" t="inlineStr">
        <is>
          <t>https://lpjk.pu.go.id/search-badan-usaha-detail/QmdIK2ZjM1NBRWlPakpBMWdFOTZLQT09</t>
        </is>
      </c>
      <c r="F142" t="n">
        <v>2</v>
      </c>
      <c r="G142" t="inlineStr">
        <is>
          <t>BS001, BS004</t>
        </is>
      </c>
      <c r="H142" t="inlineStr">
        <is>
          <t>3 Februari 2023</t>
        </is>
      </c>
      <c r="I142" s="2" t="n">
        <v>46285</v>
      </c>
      <c r="J142" t="inlineStr">
        <is>
          <t>Disetujui</t>
        </is>
      </c>
      <c r="K142" t="n">
        <v>30</v>
      </c>
      <c r="L142" t="inlineStr">
        <is>
          <t>20 September 2026</t>
        </is>
      </c>
      <c r="M142" t="inlineStr">
        <is>
          <t>Konstruksi Bangunan Sipil Jalan, Konstruksi Jaringan Irigasi dan Drainase</t>
        </is>
      </c>
      <c r="N142" t="inlineStr">
        <is>
          <t>K</t>
        </is>
      </c>
      <c r="O142" t="inlineStr">
        <is>
          <t>20230707, 20230920</t>
        </is>
      </c>
      <c r="P142" t="inlineStr">
        <is>
          <t>Sumatera Utara</t>
        </is>
      </c>
      <c r="Q142" t="inlineStr"/>
    </row>
    <row r="143">
      <c r="A143" t="inlineStr">
        <is>
          <t>PUTRA SASAK MANDIRI</t>
        </is>
      </c>
      <c r="B143" t="inlineStr">
        <is>
          <t>Kota Tangerang Selatan</t>
        </is>
      </c>
      <c r="C143" t="inlineStr">
        <is>
          <t>085772690921</t>
        </is>
      </c>
      <c r="D143" t="inlineStr">
        <is>
          <t>cv.putrasasakmandiri1@gmail.com</t>
        </is>
      </c>
      <c r="E143" t="inlineStr">
        <is>
          <t>https://lpjk.pu.go.id/search-badan-usaha-detail/Vm9ObUd2RXQvWkREbDlNSGNsbzZMUT09</t>
        </is>
      </c>
      <c r="F143" t="n">
        <v>1</v>
      </c>
      <c r="G143" t="inlineStr">
        <is>
          <t>BS004</t>
        </is>
      </c>
      <c r="H143" t="inlineStr">
        <is>
          <t>26 Januari 2015</t>
        </is>
      </c>
      <c r="I143" s="2" t="n">
        <v>46285</v>
      </c>
      <c r="J143" t="inlineStr">
        <is>
          <t>Disetujui</t>
        </is>
      </c>
      <c r="K143" t="n">
        <v>30</v>
      </c>
      <c r="L143" t="inlineStr">
        <is>
          <t>20 September 2026</t>
        </is>
      </c>
      <c r="M143" t="inlineStr">
        <is>
          <t>Konstruksi Jaringan Irigasi dan Drainase</t>
        </is>
      </c>
      <c r="N143" t="inlineStr">
        <is>
          <t>K</t>
        </is>
      </c>
      <c r="O143" t="inlineStr">
        <is>
          <t>20230918</t>
        </is>
      </c>
      <c r="P143" t="inlineStr">
        <is>
          <t>Banten</t>
        </is>
      </c>
      <c r="Q143" t="inlineStr"/>
    </row>
    <row r="144">
      <c r="A144" t="inlineStr">
        <is>
          <t>QUEEN</t>
        </is>
      </c>
      <c r="B144" t="inlineStr">
        <is>
          <t>Kab. Banyumas</t>
        </is>
      </c>
      <c r="C144" t="inlineStr">
        <is>
          <t>0281640062</t>
        </is>
      </c>
      <c r="D144" t="inlineStr">
        <is>
          <t>queen15.cv@gmail.com</t>
        </is>
      </c>
      <c r="E144" t="inlineStr">
        <is>
          <t>https://lpjk.pu.go.id/search-badan-usaha-detail/QTlVYlI1WHg4SVFOV3FXSWZUS2NvZz09</t>
        </is>
      </c>
      <c r="F144" t="n">
        <v>4</v>
      </c>
      <c r="G144" t="inlineStr">
        <is>
          <t>BG005, BG006, BG009, BS001</t>
        </is>
      </c>
      <c r="H144" t="inlineStr">
        <is>
          <t>22 Juni 2012</t>
        </is>
      </c>
      <c r="I144" s="2" t="n">
        <v>46285</v>
      </c>
      <c r="J144" t="inlineStr">
        <is>
          <t>Disetujui</t>
        </is>
      </c>
      <c r="K144" t="n">
        <v>30</v>
      </c>
      <c r="L144" t="inlineStr">
        <is>
          <t>20 September 2026</t>
        </is>
      </c>
      <c r="M144" t="inlineStr">
        <is>
          <t>Konstruksi Bangunan Sipil Jalan, Konstruksi Gedung Kesehatan, Konstruksi Gedung Lainnya, Konstruksi Gedung Pendidikan</t>
        </is>
      </c>
      <c r="N144" t="inlineStr">
        <is>
          <t>K</t>
        </is>
      </c>
      <c r="O144" t="inlineStr">
        <is>
          <t>20230919, 20230922</t>
        </is>
      </c>
      <c r="P144" t="inlineStr">
        <is>
          <t>Jawa Tengah</t>
        </is>
      </c>
      <c r="Q144" t="inlineStr"/>
    </row>
    <row r="145">
      <c r="A145" t="inlineStr">
        <is>
          <t>RAMDANI MAJU BERSAMA</t>
        </is>
      </c>
      <c r="B145" t="inlineStr">
        <is>
          <t>Kab. Bandung Barat</t>
        </is>
      </c>
      <c r="C145" t="inlineStr">
        <is>
          <t>08172390634</t>
        </is>
      </c>
      <c r="D145" t="inlineStr">
        <is>
          <t>ramdani.majubersama@gmail.com</t>
        </is>
      </c>
      <c r="E145" t="inlineStr">
        <is>
          <t>https://lpjk.pu.go.id/search-badan-usaha-detail/Qll4SkNJMlBUaFoxcmJOU1Q4V1BIQT09</t>
        </is>
      </c>
      <c r="F145" t="n">
        <v>4</v>
      </c>
      <c r="G145" t="inlineStr">
        <is>
          <t>BG003, BG009, BS001, BS004</t>
        </is>
      </c>
      <c r="H145" t="inlineStr">
        <is>
          <t>25 Mei 2023</t>
        </is>
      </c>
      <c r="I145" s="2" t="n">
        <v>46285</v>
      </c>
      <c r="J145" t="inlineStr">
        <is>
          <t>Disetujui, Pencabutan</t>
        </is>
      </c>
      <c r="K145" t="n">
        <v>30</v>
      </c>
      <c r="L145" t="inlineStr">
        <is>
          <t>20 September 2026</t>
        </is>
      </c>
      <c r="M145" t="inlineStr">
        <is>
          <t>Konstruksi Bangunan Sipil Jalan, Konstruksi Gedung Industri, Konstruksi Gedung Lainnya, Konstruksi Jaringan Irigasi dan Drainase</t>
        </is>
      </c>
      <c r="N145" t="inlineStr">
        <is>
          <t>K</t>
        </is>
      </c>
      <c r="O145" t="inlineStr">
        <is>
          <t>20230814, 20230915</t>
        </is>
      </c>
      <c r="P145" t="inlineStr">
        <is>
          <t>Jawa Barat</t>
        </is>
      </c>
      <c r="Q145" t="inlineStr"/>
    </row>
    <row r="146">
      <c r="A146" t="inlineStr">
        <is>
          <t>RAYYAN</t>
        </is>
      </c>
      <c r="B146" t="inlineStr">
        <is>
          <t>Kab. Bima</t>
        </is>
      </c>
      <c r="C146" t="inlineStr">
        <is>
          <t>082339621999</t>
        </is>
      </c>
      <c r="D146" t="inlineStr">
        <is>
          <t>mantikarino@gmail.com</t>
        </is>
      </c>
      <c r="E146" t="inlineStr">
        <is>
          <t>https://lpjk.pu.go.id/search-badan-usaha-detail/bmNnODRHbWZCdFBMRzBCb2QzYVppZz09</t>
        </is>
      </c>
      <c r="F146" t="n">
        <v>4</v>
      </c>
      <c r="G146" t="inlineStr">
        <is>
          <t>BG006, BG008</t>
        </is>
      </c>
      <c r="H146" t="inlineStr">
        <is>
          <t>29 September 2018</t>
        </is>
      </c>
      <c r="I146" s="2" t="n">
        <v>46285</v>
      </c>
      <c r="J146" t="inlineStr">
        <is>
          <t>Disetujui, Pencabutan</t>
        </is>
      </c>
      <c r="K146" t="n">
        <v>30</v>
      </c>
      <c r="L146" t="inlineStr">
        <is>
          <t>20 September 2026</t>
        </is>
      </c>
      <c r="M146" t="inlineStr">
        <is>
          <t>Konstruksi Gedung Pendidikan, Konstruksi Gedung Tempat Hiburan dan Olahraga</t>
        </is>
      </c>
      <c r="N146" t="inlineStr">
        <is>
          <t>K</t>
        </is>
      </c>
      <c r="O146" t="inlineStr">
        <is>
          <t>20230920, 20230926</t>
        </is>
      </c>
      <c r="P146" t="inlineStr">
        <is>
          <t>Nusa Tenggara Barat</t>
        </is>
      </c>
      <c r="Q146" t="inlineStr"/>
    </row>
    <row r="147">
      <c r="A147" t="inlineStr">
        <is>
          <t>REKA CIPTA UTAMA</t>
        </is>
      </c>
      <c r="B147" t="inlineStr">
        <is>
          <t>Kota Pekanbaru</t>
        </is>
      </c>
      <c r="C147" t="inlineStr">
        <is>
          <t>082387854543</t>
        </is>
      </c>
      <c r="D147" t="inlineStr">
        <is>
          <t>cv.rekaciptautamapku@gmail.com</t>
        </is>
      </c>
      <c r="E147" t="inlineStr">
        <is>
          <t>https://lpjk.pu.go.id/search-badan-usaha-detail/b1RlZTdvNC9VZ1dFTzZXSjUzeUdRUT09</t>
        </is>
      </c>
      <c r="F147" t="n">
        <v>4</v>
      </c>
      <c r="G147" t="inlineStr">
        <is>
          <t>RK001, RK002, RK003, RK005</t>
        </is>
      </c>
      <c r="H147" t="inlineStr">
        <is>
          <t>18 Maret 2005</t>
        </is>
      </c>
      <c r="I147" s="2" t="n">
        <v>46285</v>
      </c>
      <c r="J147" t="inlineStr">
        <is>
          <t>Disetujui</t>
        </is>
      </c>
      <c r="K147" t="n">
        <v>30</v>
      </c>
      <c r="L147" t="inlineStr">
        <is>
          <t>20 September 2026</t>
        </is>
      </c>
      <c r="M147" t="inlineStr">
        <is>
          <t>Jasa Rekayasa Konstruksi Bangunan Gedung Hunian dan Non Hunian, Jasa Rekayasa Lainnya, Jasa Rekayasa Pekerjaan Teknik Sipil Sumber Daya Air, Jasa Rekayasa Pekerjaan Teknik Sipil Transportasi</t>
        </is>
      </c>
      <c r="N147" t="inlineStr">
        <is>
          <t>K</t>
        </is>
      </c>
      <c r="O147" t="inlineStr">
        <is>
          <t>20230912</t>
        </is>
      </c>
      <c r="P147" t="inlineStr">
        <is>
          <t>Riau</t>
        </is>
      </c>
      <c r="Q147" t="inlineStr"/>
    </row>
    <row r="148">
      <c r="A148" t="inlineStr">
        <is>
          <t>RIA JAYA UTAMA</t>
        </is>
      </c>
      <c r="B148" t="inlineStr">
        <is>
          <t>Kota Bontang</t>
        </is>
      </c>
      <c r="C148" t="inlineStr">
        <is>
          <t>081345785758</t>
        </is>
      </c>
      <c r="D148" t="inlineStr">
        <is>
          <t>riajayasamuel@gmail.com</t>
        </is>
      </c>
      <c r="E148" t="inlineStr">
        <is>
          <t>https://lpjk.pu.go.id/search-badan-usaha-detail/Q0hpeTA2Q0ZHdElmeUdJUEt1MUdWQT09</t>
        </is>
      </c>
      <c r="F148" t="n">
        <v>6</v>
      </c>
      <c r="G148" t="inlineStr">
        <is>
          <t>BG005, BG006, BG009, BS001, BS002, BS004</t>
        </is>
      </c>
      <c r="H148" t="inlineStr">
        <is>
          <t>11 April 2007</t>
        </is>
      </c>
      <c r="I148" s="2" t="n">
        <v>46285</v>
      </c>
      <c r="J148" t="inlineStr">
        <is>
          <t>Disetujui</t>
        </is>
      </c>
      <c r="K148" t="n">
        <v>30</v>
      </c>
      <c r="L148" t="inlineStr">
        <is>
          <t>20 September 2026</t>
        </is>
      </c>
      <c r="M148" t="inlineStr">
        <is>
          <t>Bangunan Sipil Jembatan, Jalan Layang, Fly Over, dan Underpass, Konstruksi Bangunan Sipil Jalan, Konstruksi Gedung Kesehatan, Konstruksi Gedung Lainnya, Konstruksi Gedung Pendidikan, Konstruksi Jaringan Irigasi dan Drainase</t>
        </is>
      </c>
      <c r="N148" t="inlineStr">
        <is>
          <t>K</t>
        </is>
      </c>
      <c r="O148" t="inlineStr">
        <is>
          <t>20230920, 20230921</t>
        </is>
      </c>
      <c r="P148" t="inlineStr">
        <is>
          <t>Kalimantan Timur</t>
        </is>
      </c>
      <c r="Q148" t="inlineStr"/>
    </row>
    <row r="149">
      <c r="A149" t="inlineStr">
        <is>
          <t>RIDHA MAROS</t>
        </is>
      </c>
      <c r="B149" t="inlineStr">
        <is>
          <t>Kab. Maros</t>
        </is>
      </c>
      <c r="C149" t="inlineStr">
        <is>
          <t>081342478965</t>
        </is>
      </c>
      <c r="D149" t="inlineStr">
        <is>
          <t>ridhamaros71@gmail.com</t>
        </is>
      </c>
      <c r="E149" t="inlineStr">
        <is>
          <t>https://lpjk.pu.go.id/search-badan-usaha-detail/RjVlR211Z0JZT1hwclAzazFwUGNWUT09</t>
        </is>
      </c>
      <c r="F149" t="n">
        <v>1</v>
      </c>
      <c r="G149" t="inlineStr">
        <is>
          <t>BG002</t>
        </is>
      </c>
      <c r="H149" t="inlineStr">
        <is>
          <t>18 April 2023</t>
        </is>
      </c>
      <c r="I149" s="2" t="n">
        <v>46285</v>
      </c>
      <c r="J149" t="inlineStr">
        <is>
          <t>Disetujui</t>
        </is>
      </c>
      <c r="K149" t="n">
        <v>30</v>
      </c>
      <c r="L149" t="inlineStr">
        <is>
          <t>20 September 2026</t>
        </is>
      </c>
      <c r="M149" t="inlineStr">
        <is>
          <t>Konstruksi Gedung Perkantoran</t>
        </is>
      </c>
      <c r="N149" t="inlineStr">
        <is>
          <t>K</t>
        </is>
      </c>
      <c r="O149" t="inlineStr">
        <is>
          <t>20230918</t>
        </is>
      </c>
      <c r="P149" t="inlineStr">
        <is>
          <t>Sulawesi Selatan</t>
        </is>
      </c>
      <c r="Q149" t="inlineStr"/>
    </row>
    <row r="150">
      <c r="A150" t="inlineStr">
        <is>
          <t>RIDHO BERKAH SARANA</t>
        </is>
      </c>
      <c r="B150" t="inlineStr">
        <is>
          <t>Kab. Cirebon</t>
        </is>
      </c>
      <c r="C150" t="inlineStr">
        <is>
          <t>082127942111</t>
        </is>
      </c>
      <c r="D150" t="inlineStr">
        <is>
          <t>ridhoberkahsarana@gmail.com</t>
        </is>
      </c>
      <c r="E150" t="inlineStr">
        <is>
          <t>https://lpjk.pu.go.id/search-badan-usaha-detail/R2FFbFArTnVCeUsrQll4QUR3NEsrdz09</t>
        </is>
      </c>
      <c r="F150" t="n">
        <v>2</v>
      </c>
      <c r="G150" t="inlineStr">
        <is>
          <t>BG001, BS001</t>
        </is>
      </c>
      <c r="H150" t="inlineStr">
        <is>
          <t>10 April 2023</t>
        </is>
      </c>
      <c r="I150" s="2" t="n">
        <v>46285</v>
      </c>
      <c r="J150" t="inlineStr">
        <is>
          <t>Disetujui</t>
        </is>
      </c>
      <c r="K150" t="n">
        <v>30</v>
      </c>
      <c r="L150" t="inlineStr">
        <is>
          <t>20 September 2026</t>
        </is>
      </c>
      <c r="M150" t="inlineStr">
        <is>
          <t>Konstruksi Bangunan Sipil Jalan, Konstruksi Gedung Hunian</t>
        </is>
      </c>
      <c r="N150" t="inlineStr">
        <is>
          <t>K</t>
        </is>
      </c>
      <c r="O150" t="inlineStr">
        <is>
          <t>20230907</t>
        </is>
      </c>
      <c r="P150" t="inlineStr">
        <is>
          <t>Jawa Barat</t>
        </is>
      </c>
      <c r="Q150" t="inlineStr"/>
    </row>
    <row r="151">
      <c r="A151" t="inlineStr">
        <is>
          <t>RIZKA RIZKI BAROKAH</t>
        </is>
      </c>
      <c r="B151" t="inlineStr">
        <is>
          <t>Kota Gorontalo</t>
        </is>
      </c>
      <c r="C151" t="inlineStr">
        <is>
          <t>082314222978</t>
        </is>
      </c>
      <c r="D151" t="inlineStr">
        <is>
          <t>cv.rizkarizkibarokah@gmail.com</t>
        </is>
      </c>
      <c r="E151" t="inlineStr">
        <is>
          <t>https://lpjk.pu.go.id/search-badan-usaha-detail/cXFzSGpXbnhUNEVVUWNnKzF5a2lydz09</t>
        </is>
      </c>
      <c r="F151" t="n">
        <v>2</v>
      </c>
      <c r="G151" t="inlineStr">
        <is>
          <t>BG002, BS001</t>
        </is>
      </c>
      <c r="H151" t="inlineStr">
        <is>
          <t>24 Agustus 2023</t>
        </is>
      </c>
      <c r="I151" s="2" t="n">
        <v>46285</v>
      </c>
      <c r="J151" t="inlineStr">
        <is>
          <t>Disetujui</t>
        </is>
      </c>
      <c r="K151" t="n">
        <v>30</v>
      </c>
      <c r="L151" t="inlineStr">
        <is>
          <t>20 September 2026</t>
        </is>
      </c>
      <c r="M151" t="inlineStr">
        <is>
          <t>Konstruksi Bangunan Sipil Jalan, Konstruksi Gedung Perkantoran</t>
        </is>
      </c>
      <c r="N151" t="inlineStr">
        <is>
          <t>K</t>
        </is>
      </c>
      <c r="O151" t="inlineStr">
        <is>
          <t>20230920, 20230921</t>
        </is>
      </c>
      <c r="P151" t="inlineStr">
        <is>
          <t>Gorontalo</t>
        </is>
      </c>
      <c r="Q151" t="inlineStr"/>
    </row>
    <row r="152">
      <c r="A152" t="inlineStr">
        <is>
          <t>RIZKY AKBAR CEMERLANG</t>
        </is>
      </c>
      <c r="B152" t="inlineStr">
        <is>
          <t>Kab. Deli Serdang</t>
        </is>
      </c>
      <c r="C152" t="inlineStr">
        <is>
          <t>085260484094</t>
        </is>
      </c>
      <c r="D152" t="inlineStr">
        <is>
          <t>CVRIZKYAKBARCEMERLANG@GMAIL.COM</t>
        </is>
      </c>
      <c r="E152" t="inlineStr">
        <is>
          <t>https://lpjk.pu.go.id/search-badan-usaha-detail/TVoyUnVPQWU2SmxaZW1VVGZJNGJ1UT09</t>
        </is>
      </c>
      <c r="F152" t="n">
        <v>5</v>
      </c>
      <c r="G152" t="inlineStr">
        <is>
          <t>BG006, BG009, BS001, BS002, BS004</t>
        </is>
      </c>
      <c r="H152" t="inlineStr">
        <is>
          <t>23 Agustus 2023</t>
        </is>
      </c>
      <c r="I152" s="2" t="n">
        <v>46285</v>
      </c>
      <c r="J152" t="inlineStr">
        <is>
          <t>Disetujui</t>
        </is>
      </c>
      <c r="K152" t="n">
        <v>30</v>
      </c>
      <c r="L152" t="inlineStr">
        <is>
          <t>20 September 2026</t>
        </is>
      </c>
      <c r="M152" t="inlineStr">
        <is>
          <t>Bangunan Sipil Jembatan, Jalan Layang, Fly Over, dan Underpass, Konstruksi Bangunan Sipil Jalan, Konstruksi Gedung Lainnya, Konstruksi Gedung Pendidikan, Konstruksi Jaringan Irigasi dan Drainase</t>
        </is>
      </c>
      <c r="N152" t="inlineStr">
        <is>
          <t>K</t>
        </is>
      </c>
      <c r="O152" t="inlineStr">
        <is>
          <t>20230917, 20230918</t>
        </is>
      </c>
      <c r="P152" t="inlineStr">
        <is>
          <t>Sumatera Utara</t>
        </is>
      </c>
      <c r="Q152" t="inlineStr"/>
    </row>
    <row r="153">
      <c r="A153" t="inlineStr">
        <is>
          <t>RIZQIANA DAFFA PERTAMA</t>
        </is>
      </c>
      <c r="B153" t="inlineStr">
        <is>
          <t>Kab. Jeneponto</t>
        </is>
      </c>
      <c r="C153" t="inlineStr">
        <is>
          <t>081241070555</t>
        </is>
      </c>
      <c r="D153" t="inlineStr">
        <is>
          <t>cvrizqianadaffapertama@gmail.com</t>
        </is>
      </c>
      <c r="E153" t="inlineStr">
        <is>
          <t>https://lpjk.pu.go.id/search-badan-usaha-detail/WjRDUWVSYnZKdXhKU2g5WFV2Mll6UT09</t>
        </is>
      </c>
      <c r="F153" t="n">
        <v>6</v>
      </c>
      <c r="G153" t="inlineStr">
        <is>
          <t>BG002, BG006, BG009</t>
        </is>
      </c>
      <c r="H153" t="inlineStr">
        <is>
          <t>6 Maret 2018</t>
        </is>
      </c>
      <c r="I153" s="2" t="n">
        <v>46285</v>
      </c>
      <c r="J153" t="inlineStr">
        <is>
          <t>Pencabutan</t>
        </is>
      </c>
      <c r="K153" t="n">
        <v>30</v>
      </c>
      <c r="L153" t="inlineStr">
        <is>
          <t>20 September 2026</t>
        </is>
      </c>
      <c r="M153" t="inlineStr">
        <is>
          <t>Konstruksi Gedung Lainnya, Konstruksi Gedung Pendidikan, Konstruksi Gedung Perkantoran</t>
        </is>
      </c>
      <c r="N153" t="inlineStr">
        <is>
          <t>K</t>
        </is>
      </c>
      <c r="O153" t="inlineStr">
        <is>
          <t>20230919</t>
        </is>
      </c>
      <c r="P153" t="inlineStr">
        <is>
          <t>Sulawesi Selatan</t>
        </is>
      </c>
      <c r="Q153" t="inlineStr"/>
    </row>
    <row r="154">
      <c r="A154" t="inlineStr">
        <is>
          <t>SADEWA</t>
        </is>
      </c>
      <c r="B154" t="inlineStr">
        <is>
          <t>Kab. Merangin</t>
        </is>
      </c>
      <c r="C154" t="inlineStr">
        <is>
          <t>082173064677</t>
        </is>
      </c>
      <c r="D154" t="inlineStr">
        <is>
          <t>inuri.amd@yahoo.com</t>
        </is>
      </c>
      <c r="E154" t="inlineStr">
        <is>
          <t>https://lpjk.pu.go.id/search-badan-usaha-detail/M1FiUkdQSVQ5UjRjSExKLzJWMExqZz09</t>
        </is>
      </c>
      <c r="F154" t="n">
        <v>5</v>
      </c>
      <c r="G154" t="inlineStr">
        <is>
          <t>BG001, BG005, BG006, BS010</t>
        </is>
      </c>
      <c r="H154" t="inlineStr">
        <is>
          <t>5 Agustus 1999</t>
        </is>
      </c>
      <c r="I154" s="2" t="n">
        <v>46285</v>
      </c>
      <c r="J154" t="inlineStr">
        <is>
          <t>Disetujui</t>
        </is>
      </c>
      <c r="K154" t="n">
        <v>30</v>
      </c>
      <c r="L154" t="inlineStr">
        <is>
          <t>20 September 2026</t>
        </is>
      </c>
      <c r="M154" t="inlineStr">
        <is>
          <t>Konstruksi Bangunan Prasarana Sumber Daya Air, Konstruksi Gedung Hunian, Konstruksi Gedung Kesehatan, Konstruksi Gedung Pendidikan</t>
        </is>
      </c>
      <c r="N154" t="inlineStr">
        <is>
          <t>K</t>
        </is>
      </c>
      <c r="O154" t="inlineStr">
        <is>
          <t>20230918, 20230920, 20230922</t>
        </is>
      </c>
      <c r="P154" t="inlineStr">
        <is>
          <t>Jambi</t>
        </is>
      </c>
      <c r="Q154" t="inlineStr"/>
    </row>
    <row r="155">
      <c r="A155" t="inlineStr">
        <is>
          <t>SAGALA JAYA</t>
        </is>
      </c>
      <c r="B155" t="inlineStr">
        <is>
          <t>Kab. Asahan</t>
        </is>
      </c>
      <c r="C155" t="inlineStr">
        <is>
          <t>085362787158</t>
        </is>
      </c>
      <c r="D155" t="inlineStr">
        <is>
          <t>SAGALAJAYA@YAHOO.COM</t>
        </is>
      </c>
      <c r="E155" t="inlineStr">
        <is>
          <t>https://lpjk.pu.go.id/search-badan-usaha-detail/aTVmNWFwWi9CdGNBVkZhUHNRUjRoQT09</t>
        </is>
      </c>
      <c r="F155" t="n">
        <v>1</v>
      </c>
      <c r="G155" t="inlineStr">
        <is>
          <t>BG006</t>
        </is>
      </c>
      <c r="H155" t="inlineStr">
        <is>
          <t>22 Februari 2017</t>
        </is>
      </c>
      <c r="I155" s="2" t="n">
        <v>46285</v>
      </c>
      <c r="J155" t="inlineStr">
        <is>
          <t>Disetujui</t>
        </is>
      </c>
      <c r="K155" t="n">
        <v>30</v>
      </c>
      <c r="L155" t="inlineStr">
        <is>
          <t>20 September 2026</t>
        </is>
      </c>
      <c r="M155" t="inlineStr">
        <is>
          <t>Konstruksi Gedung Pendidikan</t>
        </is>
      </c>
      <c r="N155" t="inlineStr">
        <is>
          <t>K</t>
        </is>
      </c>
      <c r="O155" t="inlineStr">
        <is>
          <t>20230920</t>
        </is>
      </c>
      <c r="P155" t="inlineStr">
        <is>
          <t>Sumatera Utara</t>
        </is>
      </c>
      <c r="Q155" t="inlineStr"/>
    </row>
    <row r="156">
      <c r="A156" t="inlineStr">
        <is>
          <t>SAMPOERNA KONS</t>
        </is>
      </c>
      <c r="B156" t="inlineStr">
        <is>
          <t>Kab. Tanah Bumbu</t>
        </is>
      </c>
      <c r="C156" t="inlineStr">
        <is>
          <t>082250456679</t>
        </is>
      </c>
      <c r="D156" t="inlineStr">
        <is>
          <t>sampoerna_kons@yahoo.com</t>
        </is>
      </c>
      <c r="E156" t="inlineStr">
        <is>
          <t>https://lpjk.pu.go.id/search-badan-usaha-detail/ZkF5YU45dmcrV0tsMitkcDlLT3BWZz09</t>
        </is>
      </c>
      <c r="F156" t="n">
        <v>1</v>
      </c>
      <c r="G156" t="inlineStr">
        <is>
          <t>RK003</t>
        </is>
      </c>
      <c r="H156" t="inlineStr">
        <is>
          <t>9 April 2013</t>
        </is>
      </c>
      <c r="I156" s="2" t="n">
        <v>46285</v>
      </c>
      <c r="J156" t="inlineStr">
        <is>
          <t>Disetujui</t>
        </is>
      </c>
      <c r="K156" t="n">
        <v>30</v>
      </c>
      <c r="L156" t="inlineStr">
        <is>
          <t>20 September 2026</t>
        </is>
      </c>
      <c r="M156" t="inlineStr">
        <is>
          <t>Jasa Rekayasa Pekerjaan Teknik Sipil Transportasi</t>
        </is>
      </c>
      <c r="N156" t="inlineStr">
        <is>
          <t>K</t>
        </is>
      </c>
      <c r="O156" t="inlineStr">
        <is>
          <t>20230825</t>
        </is>
      </c>
      <c r="P156" t="inlineStr">
        <is>
          <t>Kalimantan Selatan</t>
        </is>
      </c>
      <c r="Q156" t="inlineStr"/>
    </row>
    <row r="157">
      <c r="A157" t="inlineStr">
        <is>
          <t>SAMSUNG C&amp;T CORPORATION</t>
        </is>
      </c>
      <c r="B157" t="inlineStr">
        <is>
          <t>Kota Adm. Jakarta Selatan</t>
        </is>
      </c>
      <c r="C157" t="inlineStr">
        <is>
          <t>02129880418</t>
        </is>
      </c>
      <c r="D157" t="inlineStr">
        <is>
          <t>secc.ina@samsung.com</t>
        </is>
      </c>
      <c r="E157" t="inlineStr">
        <is>
          <t>https://lpjk.pu.go.id/search-badan-usaha-detail/VVpBZHFpYXZqcmdGNVVDbFpnekV1UT09</t>
        </is>
      </c>
      <c r="F157" t="n">
        <v>1</v>
      </c>
      <c r="G157" t="inlineStr">
        <is>
          <t>BG002</t>
        </is>
      </c>
      <c r="H157" t="inlineStr">
        <is>
          <t>23 Desember 1963</t>
        </is>
      </c>
      <c r="I157" s="2" t="n">
        <v>46285</v>
      </c>
      <c r="J157" t="inlineStr">
        <is>
          <t>Disetujui</t>
        </is>
      </c>
      <c r="K157" t="n">
        <v>30</v>
      </c>
      <c r="L157" t="inlineStr">
        <is>
          <t>20 September 2026</t>
        </is>
      </c>
      <c r="M157" t="inlineStr">
        <is>
          <t>Konstruksi Gedung Perkantoran</t>
        </is>
      </c>
      <c r="N157" t="inlineStr">
        <is>
          <t>B</t>
        </is>
      </c>
      <c r="O157" t="inlineStr">
        <is>
          <t>20230907</t>
        </is>
      </c>
      <c r="P157" t="inlineStr">
        <is>
          <t>DKI Jakarta</t>
        </is>
      </c>
      <c r="Q157" t="inlineStr"/>
    </row>
    <row r="158">
      <c r="A158" t="inlineStr">
        <is>
          <t>SAMUDERA INDOTAMA</t>
        </is>
      </c>
      <c r="B158" t="inlineStr">
        <is>
          <t>Kota Medan</t>
        </is>
      </c>
      <c r="C158" t="inlineStr">
        <is>
          <t>0821643812000</t>
        </is>
      </c>
      <c r="D158" t="inlineStr">
        <is>
          <t>samuderaindotama@gmail.com</t>
        </is>
      </c>
      <c r="E158" t="inlineStr">
        <is>
          <t>https://lpjk.pu.go.id/search-badan-usaha-detail/bHA0TGFZc08rekI0eTl4aG1ocDVpdz09</t>
        </is>
      </c>
      <c r="F158" t="n">
        <v>1</v>
      </c>
      <c r="G158" t="inlineStr">
        <is>
          <t>BG009</t>
        </is>
      </c>
      <c r="H158" t="inlineStr">
        <is>
          <t>4 November 2019</t>
        </is>
      </c>
      <c r="I158" s="2" t="n">
        <v>46285</v>
      </c>
      <c r="J158" t="inlineStr">
        <is>
          <t>Disetujui</t>
        </is>
      </c>
      <c r="K158" t="n">
        <v>30</v>
      </c>
      <c r="L158" t="inlineStr">
        <is>
          <t>20 September 2026</t>
        </is>
      </c>
      <c r="M158" t="inlineStr">
        <is>
          <t>Konstruksi Gedung Lainnya</t>
        </is>
      </c>
      <c r="N158" t="inlineStr">
        <is>
          <t>K</t>
        </is>
      </c>
      <c r="O158" t="inlineStr">
        <is>
          <t>20230905</t>
        </is>
      </c>
      <c r="P158" t="inlineStr">
        <is>
          <t>Sumatera Utara</t>
        </is>
      </c>
      <c r="Q158" t="inlineStr"/>
    </row>
    <row r="159">
      <c r="A159" t="inlineStr">
        <is>
          <t>SARAH PERMATA KHATULISTIWA</t>
        </is>
      </c>
      <c r="B159" t="inlineStr">
        <is>
          <t>Kota Pontianak</t>
        </is>
      </c>
      <c r="C159" t="inlineStr">
        <is>
          <t>082153212100</t>
        </is>
      </c>
      <c r="D159" t="inlineStr">
        <is>
          <t>sarahpermata2021@gmail.com</t>
        </is>
      </c>
      <c r="E159" t="inlineStr">
        <is>
          <t>https://lpjk.pu.go.id/search-badan-usaha-detail/TktWa09LRC9CTktsT2NZRytVaTdWZz09</t>
        </is>
      </c>
      <c r="F159" t="n">
        <v>2</v>
      </c>
      <c r="G159" t="inlineStr">
        <is>
          <t>BG006, BG009</t>
        </is>
      </c>
      <c r="H159" t="inlineStr">
        <is>
          <t>10 Desember 2009</t>
        </is>
      </c>
      <c r="I159" s="2" t="n">
        <v>46285</v>
      </c>
      <c r="J159" t="inlineStr">
        <is>
          <t>Disetujui</t>
        </is>
      </c>
      <c r="K159" t="n">
        <v>30</v>
      </c>
      <c r="L159" t="inlineStr">
        <is>
          <t>20 September 2026</t>
        </is>
      </c>
      <c r="M159" t="inlineStr">
        <is>
          <t>Konstruksi Gedung Lainnya, Konstruksi Gedung Pendidikan</t>
        </is>
      </c>
      <c r="N159" t="inlineStr">
        <is>
          <t>K</t>
        </is>
      </c>
      <c r="O159" t="inlineStr">
        <is>
          <t>20230920, 20230921</t>
        </is>
      </c>
      <c r="P159" t="inlineStr">
        <is>
          <t>Kalimantan Barat</t>
        </is>
      </c>
      <c r="Q159" t="inlineStr"/>
    </row>
    <row r="160">
      <c r="A160" t="inlineStr">
        <is>
          <t>SARI NUGRAHA</t>
        </is>
      </c>
      <c r="B160" t="inlineStr">
        <is>
          <t>Kab. Lombok Barat</t>
        </is>
      </c>
      <c r="C160" t="inlineStr">
        <is>
          <t>0370673116</t>
        </is>
      </c>
      <c r="D160" t="inlineStr">
        <is>
          <t>sarinugraha64@yahoo.com</t>
        </is>
      </c>
      <c r="E160" t="inlineStr">
        <is>
          <t>https://lpjk.pu.go.id/search-badan-usaha-detail/SVJZV3VLdkFrUzVVanl5aTVFMEVJQT09</t>
        </is>
      </c>
      <c r="F160" t="n">
        <v>1</v>
      </c>
      <c r="G160" t="inlineStr">
        <is>
          <t>BS001</t>
        </is>
      </c>
      <c r="H160" t="inlineStr">
        <is>
          <t>21 Juni 1975</t>
        </is>
      </c>
      <c r="I160" s="2" t="n">
        <v>46285</v>
      </c>
      <c r="J160" t="inlineStr">
        <is>
          <t>Disetujui</t>
        </is>
      </c>
      <c r="K160" t="n">
        <v>30</v>
      </c>
      <c r="L160" t="inlineStr">
        <is>
          <t>20 September 2026</t>
        </is>
      </c>
      <c r="M160" t="inlineStr">
        <is>
          <t>Konstruksi Bangunan Sipil Jalan</t>
        </is>
      </c>
      <c r="N160" t="inlineStr">
        <is>
          <t>K</t>
        </is>
      </c>
      <c r="O160" t="inlineStr">
        <is>
          <t>20230907</t>
        </is>
      </c>
      <c r="P160" t="inlineStr">
        <is>
          <t>Nusa Tenggara Barat</t>
        </is>
      </c>
      <c r="Q160" t="inlineStr"/>
    </row>
    <row r="161">
      <c r="A161" t="inlineStr">
        <is>
          <t>SATUI SARANA JAYA</t>
        </is>
      </c>
      <c r="B161" t="inlineStr">
        <is>
          <t>Kab. Tanah Bumbu</t>
        </is>
      </c>
      <c r="C161" t="inlineStr">
        <is>
          <t>081293577461</t>
        </is>
      </c>
      <c r="D161" t="inlineStr">
        <is>
          <t>satuisaranajaya@gmail.com</t>
        </is>
      </c>
      <c r="E161" t="inlineStr">
        <is>
          <t>https://lpjk.pu.go.id/search-badan-usaha-detail/WHNOZWpKQUZvU1VWV250QUQ4UUVudz09</t>
        </is>
      </c>
      <c r="F161" t="n">
        <v>4</v>
      </c>
      <c r="G161" t="inlineStr">
        <is>
          <t>BG001, BS001, BS002, BS011</t>
        </is>
      </c>
      <c r="H161" t="inlineStr">
        <is>
          <t>1 September 2020</t>
        </is>
      </c>
      <c r="I161" s="2" t="n">
        <v>46285</v>
      </c>
      <c r="J161" t="inlineStr">
        <is>
          <t>Disetujui, Pencabutan</t>
        </is>
      </c>
      <c r="K161" t="n">
        <v>30</v>
      </c>
      <c r="L161" t="inlineStr">
        <is>
          <t>20 September 2026</t>
        </is>
      </c>
      <c r="M161" t="inlineStr">
        <is>
          <t>Bangunan Sipil Jembatan, Jalan Layang, Fly Over, dan Underpass, Konstruksi Bangunan Pelabuhan Bukan Perikanan, Konstruksi Bangunan Sipil Jalan, Konstruksi Gedung Hunian</t>
        </is>
      </c>
      <c r="N161" t="inlineStr">
        <is>
          <t>K</t>
        </is>
      </c>
      <c r="O161" t="inlineStr">
        <is>
          <t>20230921</t>
        </is>
      </c>
      <c r="P161" t="inlineStr">
        <is>
          <t>Kalimantan Selatan</t>
        </is>
      </c>
      <c r="Q161" t="inlineStr"/>
    </row>
    <row r="162">
      <c r="A162" t="inlineStr">
        <is>
          <t>SEPAKAT JAYA</t>
        </is>
      </c>
      <c r="B162" t="inlineStr">
        <is>
          <t>Kota Pontianak</t>
        </is>
      </c>
      <c r="C162" t="inlineStr">
        <is>
          <t>082159824895</t>
        </is>
      </c>
      <c r="D162" t="inlineStr">
        <is>
          <t>cv.sepakatjaya77@gmail.com</t>
        </is>
      </c>
      <c r="E162" t="inlineStr">
        <is>
          <t>https://lpjk.pu.go.id/search-badan-usaha-detail/NWNtTit2U1BHYzlXT1puN2VrdC9pdz09</t>
        </is>
      </c>
      <c r="F162" t="n">
        <v>1</v>
      </c>
      <c r="G162" t="inlineStr">
        <is>
          <t>BS004</t>
        </is>
      </c>
      <c r="H162" t="inlineStr">
        <is>
          <t>6 Desember 2016</t>
        </is>
      </c>
      <c r="I162" s="2" t="n">
        <v>46285</v>
      </c>
      <c r="J162" t="inlineStr">
        <is>
          <t>Pencabutan</t>
        </is>
      </c>
      <c r="K162" t="n">
        <v>30</v>
      </c>
      <c r="L162" t="inlineStr">
        <is>
          <t>20 September 2026</t>
        </is>
      </c>
      <c r="M162" t="inlineStr">
        <is>
          <t>Konstruksi Jaringan Irigasi dan Drainase</t>
        </is>
      </c>
      <c r="N162" t="inlineStr">
        <is>
          <t>K</t>
        </is>
      </c>
      <c r="O162" t="inlineStr">
        <is>
          <t>20230915</t>
        </is>
      </c>
      <c r="P162" t="inlineStr">
        <is>
          <t>Kalimantan Barat</t>
        </is>
      </c>
      <c r="Q162" t="inlineStr"/>
    </row>
    <row r="163">
      <c r="A163" t="inlineStr">
        <is>
          <t>SHAFAMA PRIMA KONSULTAN</t>
        </is>
      </c>
      <c r="B163" t="inlineStr">
        <is>
          <t>Kota Tangerang</t>
        </is>
      </c>
      <c r="C163" t="inlineStr">
        <is>
          <t>087713874686</t>
        </is>
      </c>
      <c r="D163" t="inlineStr">
        <is>
          <t>shafamaprima@gmail.com</t>
        </is>
      </c>
      <c r="E163" t="inlineStr">
        <is>
          <t>https://lpjk.pu.go.id/search-badan-usaha-detail/MS95ajg3T0FRSm00Y0FWWXFRdVdhdz09</t>
        </is>
      </c>
      <c r="F163" t="n">
        <v>1</v>
      </c>
      <c r="G163" t="inlineStr">
        <is>
          <t>RK001</t>
        </is>
      </c>
      <c r="H163" t="inlineStr">
        <is>
          <t>20 Maret 2019</t>
        </is>
      </c>
      <c r="I163" s="2" t="n">
        <v>46285</v>
      </c>
      <c r="J163" t="inlineStr">
        <is>
          <t>Disetujui</t>
        </is>
      </c>
      <c r="K163" t="n">
        <v>30</v>
      </c>
      <c r="L163" t="inlineStr">
        <is>
          <t>20 September 2026</t>
        </is>
      </c>
      <c r="M163" t="inlineStr">
        <is>
          <t>Jasa Rekayasa Konstruksi Bangunan Gedung Hunian dan Non Hunian</t>
        </is>
      </c>
      <c r="N163" t="inlineStr">
        <is>
          <t>K</t>
        </is>
      </c>
      <c r="O163" t="inlineStr">
        <is>
          <t>20230914</t>
        </is>
      </c>
      <c r="P163" t="inlineStr">
        <is>
          <t>Banten</t>
        </is>
      </c>
      <c r="Q163" t="inlineStr"/>
    </row>
    <row r="164">
      <c r="A164" t="inlineStr">
        <is>
          <t>SINAR BINTANG</t>
        </is>
      </c>
      <c r="B164" t="inlineStr">
        <is>
          <t>Kab. Bandung</t>
        </is>
      </c>
      <c r="C164" t="inlineStr">
        <is>
          <t>081322964044</t>
        </is>
      </c>
      <c r="D164" t="inlineStr">
        <is>
          <t>sb681538@gmail.com</t>
        </is>
      </c>
      <c r="E164" t="inlineStr">
        <is>
          <t>https://lpjk.pu.go.id/search-badan-usaha-detail/OWk3eERUaTloOVhmNXBjVDlISjVMUT09</t>
        </is>
      </c>
      <c r="F164" t="n">
        <v>1</v>
      </c>
      <c r="G164" t="inlineStr">
        <is>
          <t>BG002</t>
        </is>
      </c>
      <c r="H164" t="inlineStr">
        <is>
          <t>8 Maret 2016</t>
        </is>
      </c>
      <c r="I164" s="2" t="n">
        <v>46285</v>
      </c>
      <c r="J164" t="inlineStr">
        <is>
          <t>Pencabutan</t>
        </is>
      </c>
      <c r="K164" t="n">
        <v>30</v>
      </c>
      <c r="L164" t="inlineStr">
        <is>
          <t>20 September 2026</t>
        </is>
      </c>
      <c r="M164" t="inlineStr">
        <is>
          <t>Konstruksi Gedung Perkantoran</t>
        </is>
      </c>
      <c r="N164" t="inlineStr">
        <is>
          <t>K</t>
        </is>
      </c>
      <c r="O164" t="inlineStr">
        <is>
          <t>20230921</t>
        </is>
      </c>
      <c r="P164" t="inlineStr">
        <is>
          <t>Jawa Barat</t>
        </is>
      </c>
      <c r="Q164" t="inlineStr"/>
    </row>
    <row r="165">
      <c r="A165" t="inlineStr">
        <is>
          <t>SINAR DODO</t>
        </is>
      </c>
      <c r="B165" t="inlineStr">
        <is>
          <t>Kab. Tapin</t>
        </is>
      </c>
      <c r="C165" t="inlineStr">
        <is>
          <t>085350055167</t>
        </is>
      </c>
      <c r="D165" t="inlineStr">
        <is>
          <t>cvsinardodo@gmail.com</t>
        </is>
      </c>
      <c r="E165" t="inlineStr">
        <is>
          <t>https://lpjk.pu.go.id/search-badan-usaha-detail/ZE0wNTM5NXArU3k0M1Q1eHFKTStsUT09</t>
        </is>
      </c>
      <c r="F165" t="n">
        <v>8</v>
      </c>
      <c r="G165" t="inlineStr">
        <is>
          <t>BG006, BG009, BS001, BS004, BS010</t>
        </is>
      </c>
      <c r="H165" t="inlineStr">
        <is>
          <t>29 Agustus 2023</t>
        </is>
      </c>
      <c r="I165" s="2" t="n">
        <v>46285</v>
      </c>
      <c r="J165" t="inlineStr">
        <is>
          <t>Disetujui</t>
        </is>
      </c>
      <c r="K165" t="n">
        <v>30</v>
      </c>
      <c r="L165" t="inlineStr">
        <is>
          <t>20 September 2026</t>
        </is>
      </c>
      <c r="M165" t="inlineStr">
        <is>
          <t>Konstruksi Bangunan Prasarana Sumber Daya Air, Konstruksi Bangunan Sipil Jalan, Konstruksi Gedung Lainnya, Konstruksi Gedung Pendidikan, Konstruksi Jaringan Irigasi dan Drainase</t>
        </is>
      </c>
      <c r="N165" t="inlineStr">
        <is>
          <t>K</t>
        </is>
      </c>
      <c r="O165" t="inlineStr">
        <is>
          <t>20230920, 20230921</t>
        </is>
      </c>
      <c r="P165" t="inlineStr">
        <is>
          <t>Kalimantan Selatan</t>
        </is>
      </c>
      <c r="Q165" t="inlineStr"/>
    </row>
    <row r="166">
      <c r="A166" t="inlineStr">
        <is>
          <t>SINAR PURNAMA GEMILANG</t>
        </is>
      </c>
      <c r="B166" t="inlineStr">
        <is>
          <t>Kota Batu</t>
        </is>
      </c>
      <c r="C166" t="inlineStr">
        <is>
          <t>081935176514</t>
        </is>
      </c>
      <c r="D166" t="inlineStr">
        <is>
          <t>sinarpurnamagemilang@gmail.com</t>
        </is>
      </c>
      <c r="E166" t="inlineStr">
        <is>
          <t>https://lpjk.pu.go.id/search-badan-usaha-detail/eHZ1cUhtRTM3QmRQeVg1VVRNT3RiZz09</t>
        </is>
      </c>
      <c r="F166" t="n">
        <v>1</v>
      </c>
      <c r="G166" t="inlineStr">
        <is>
          <t>BS004</t>
        </is>
      </c>
      <c r="H166" t="inlineStr">
        <is>
          <t>7 April 2020</t>
        </is>
      </c>
      <c r="I166" s="2" t="n">
        <v>46285</v>
      </c>
      <c r="J166" t="inlineStr">
        <is>
          <t>Disetujui</t>
        </is>
      </c>
      <c r="K166" t="n">
        <v>30</v>
      </c>
      <c r="L166" t="inlineStr">
        <is>
          <t>20 September 2026</t>
        </is>
      </c>
      <c r="M166" t="inlineStr">
        <is>
          <t>Konstruksi Jaringan Irigasi dan Drainase</t>
        </is>
      </c>
      <c r="N166" t="inlineStr">
        <is>
          <t>K</t>
        </is>
      </c>
      <c r="O166" t="inlineStr">
        <is>
          <t>20230907</t>
        </is>
      </c>
      <c r="P166" t="inlineStr">
        <is>
          <t>Jawa Timur</t>
        </is>
      </c>
      <c r="Q166" t="inlineStr"/>
    </row>
    <row r="167">
      <c r="A167" t="inlineStr">
        <is>
          <t>SINAR TANTINA</t>
        </is>
      </c>
      <c r="B167" t="inlineStr">
        <is>
          <t>Kab. Kutai Timur</t>
        </is>
      </c>
      <c r="C167" t="inlineStr">
        <is>
          <t>085250853833</t>
        </is>
      </c>
      <c r="D167" t="inlineStr">
        <is>
          <t>cvsinartantina@yahoo.com</t>
        </is>
      </c>
      <c r="E167" t="inlineStr">
        <is>
          <t>https://lpjk.pu.go.id/search-badan-usaha-detail/anN4cG9xMFVoQWhwNDB3RG5LdjdNdz09</t>
        </is>
      </c>
      <c r="F167" t="n">
        <v>3</v>
      </c>
      <c r="G167" t="inlineStr">
        <is>
          <t>BG006, BS001, BS010</t>
        </is>
      </c>
      <c r="H167" t="inlineStr">
        <is>
          <t>1 November 2022</t>
        </is>
      </c>
      <c r="I167" s="2" t="n">
        <v>46285</v>
      </c>
      <c r="J167" t="inlineStr">
        <is>
          <t>Disetujui, Pencabutan</t>
        </is>
      </c>
      <c r="K167" t="n">
        <v>30</v>
      </c>
      <c r="L167" t="inlineStr">
        <is>
          <t>20 September 2026</t>
        </is>
      </c>
      <c r="M167" t="inlineStr">
        <is>
          <t>Konstruksi Bangunan Prasarana Sumber Daya Air, Konstruksi Bangunan Sipil Jalan, Konstruksi Gedung Pendidikan</t>
        </is>
      </c>
      <c r="N167" t="inlineStr">
        <is>
          <t>K</t>
        </is>
      </c>
      <c r="O167" t="inlineStr">
        <is>
          <t>20230917, 20230919</t>
        </is>
      </c>
      <c r="P167" t="inlineStr">
        <is>
          <t>Kalimantan Timur</t>
        </is>
      </c>
      <c r="Q167" t="inlineStr"/>
    </row>
    <row r="168">
      <c r="A168" t="inlineStr">
        <is>
          <t>SINARA &amp; BROTHERS</t>
        </is>
      </c>
      <c r="B168" t="inlineStr">
        <is>
          <t>Kota Adm. Jakarta Selatan</t>
        </is>
      </c>
      <c r="C168" t="inlineStr">
        <is>
          <t>0217694906</t>
        </is>
      </c>
      <c r="D168" t="inlineStr">
        <is>
          <t>sinarabrothers09@gmail.com</t>
        </is>
      </c>
      <c r="E168" t="inlineStr">
        <is>
          <t>https://lpjk.pu.go.id/search-badan-usaha-detail/SFdkclI1dWpyamNwRXBrUkQwZmFhQT09</t>
        </is>
      </c>
      <c r="F168" t="n">
        <v>1</v>
      </c>
      <c r="G168" t="inlineStr">
        <is>
          <t>BG009</t>
        </is>
      </c>
      <c r="H168" t="inlineStr">
        <is>
          <t>31 Oktober 2009</t>
        </is>
      </c>
      <c r="I168" s="2" t="n">
        <v>46285</v>
      </c>
      <c r="J168" t="inlineStr">
        <is>
          <t>Disetujui</t>
        </is>
      </c>
      <c r="K168" t="n">
        <v>30</v>
      </c>
      <c r="L168" t="inlineStr">
        <is>
          <t>20 September 2026</t>
        </is>
      </c>
      <c r="M168" t="inlineStr">
        <is>
          <t>Konstruksi Gedung Lainnya</t>
        </is>
      </c>
      <c r="N168" t="inlineStr">
        <is>
          <t>K</t>
        </is>
      </c>
      <c r="O168" t="inlineStr">
        <is>
          <t>20230531</t>
        </is>
      </c>
      <c r="P168" t="inlineStr">
        <is>
          <t>DKI Jakarta</t>
        </is>
      </c>
      <c r="Q168" t="inlineStr"/>
    </row>
    <row r="169">
      <c r="A169" t="inlineStr">
        <is>
          <t>SINERGI JOMBANG PATRIOT</t>
        </is>
      </c>
      <c r="B169" t="inlineStr">
        <is>
          <t>Kab. Jombang</t>
        </is>
      </c>
      <c r="C169" t="inlineStr">
        <is>
          <t>0321866668</t>
        </is>
      </c>
      <c r="D169" t="inlineStr">
        <is>
          <t>sinergijombangpatriot@gmail.com</t>
        </is>
      </c>
      <c r="E169" t="inlineStr">
        <is>
          <t>https://lpjk.pu.go.id/search-badan-usaha-detail/bVk3S09zSW5TWHdZS0hTSWJqTlRhQT09</t>
        </is>
      </c>
      <c r="F169" t="n">
        <v>2</v>
      </c>
      <c r="G169" t="inlineStr">
        <is>
          <t>BS008, BS009</t>
        </is>
      </c>
      <c r="H169" t="inlineStr">
        <is>
          <t>31 Maret 2021</t>
        </is>
      </c>
      <c r="I169" s="2" t="n">
        <v>46285</v>
      </c>
      <c r="J169" t="inlineStr">
        <is>
          <t>Disetujui</t>
        </is>
      </c>
      <c r="K169" t="n">
        <v>30</v>
      </c>
      <c r="L169" t="inlineStr">
        <is>
          <t>20 September 2026</t>
        </is>
      </c>
      <c r="M169" t="inlineStr">
        <is>
          <t>Konstruksi Bangunan Sipil Telekomunikasi untuk Prasarana Transportasi, Konstruksi Sentral Telekomunikasi</t>
        </is>
      </c>
      <c r="N169" t="inlineStr">
        <is>
          <t>K</t>
        </is>
      </c>
      <c r="O169" t="inlineStr">
        <is>
          <t>20230921</t>
        </is>
      </c>
      <c r="P169" t="inlineStr">
        <is>
          <t>Jawa Timur</t>
        </is>
      </c>
      <c r="Q169" t="inlineStr"/>
    </row>
    <row r="170">
      <c r="A170" t="inlineStr">
        <is>
          <t>SOLID LYBAZ SEMESTA</t>
        </is>
      </c>
      <c r="B170" t="inlineStr">
        <is>
          <t>Kab. Malang</t>
        </is>
      </c>
      <c r="C170" t="inlineStr">
        <is>
          <t>08568375512</t>
        </is>
      </c>
      <c r="D170" t="inlineStr">
        <is>
          <t>solidlybaz.semesta@gmail.com</t>
        </is>
      </c>
      <c r="E170" t="inlineStr">
        <is>
          <t>https://lpjk.pu.go.id/search-badan-usaha-detail/eno0WjVJWTl2SVozZkV6TTF3YUx1Zz09</t>
        </is>
      </c>
      <c r="F170" t="n">
        <v>1</v>
      </c>
      <c r="G170" t="inlineStr">
        <is>
          <t>PL005</t>
        </is>
      </c>
      <c r="H170" t="inlineStr">
        <is>
          <t>16 Mei 2023</t>
        </is>
      </c>
      <c r="I170" s="2" t="n">
        <v>46285</v>
      </c>
      <c r="J170" t="inlineStr">
        <is>
          <t>Pembekuan</t>
        </is>
      </c>
      <c r="K170" t="n">
        <v>30</v>
      </c>
      <c r="L170" t="inlineStr">
        <is>
          <t>20 September 2026</t>
        </is>
      </c>
      <c r="M170" t="inlineStr">
        <is>
          <t>Pembuatan/Pengeboran Sumur Air Tanah</t>
        </is>
      </c>
      <c r="N170" t="inlineStr">
        <is>
          <t>Spesialis</t>
        </is>
      </c>
      <c r="O170" t="inlineStr">
        <is>
          <t>20230624</t>
        </is>
      </c>
      <c r="P170" t="inlineStr">
        <is>
          <t>Jawa Timur</t>
        </is>
      </c>
      <c r="Q170" t="inlineStr"/>
    </row>
    <row r="171">
      <c r="A171" t="inlineStr">
        <is>
          <t>TAHASAK JAYA KONSTRUKSI</t>
        </is>
      </c>
      <c r="B171" t="inlineStr">
        <is>
          <t>Kota Palangkaraya</t>
        </is>
      </c>
      <c r="C171" t="inlineStr">
        <is>
          <t>081250122116</t>
        </is>
      </c>
      <c r="D171" t="inlineStr">
        <is>
          <t>TAHASAKJ@gmail.com</t>
        </is>
      </c>
      <c r="E171" t="inlineStr">
        <is>
          <t>https://lpjk.pu.go.id/search-badan-usaha-detail/YkRNSDN3MXBXa2F5Mk5FdnQzOVBuZz09</t>
        </is>
      </c>
      <c r="F171" t="n">
        <v>6</v>
      </c>
      <c r="G171" t="inlineStr">
        <is>
          <t>BG001, BG002, BG005, BG006, BG009, BS001</t>
        </is>
      </c>
      <c r="H171" t="inlineStr">
        <is>
          <t>8 September 2023</t>
        </is>
      </c>
      <c r="I171" s="2" t="n">
        <v>46285</v>
      </c>
      <c r="J171" t="inlineStr">
        <is>
          <t>Disetujui</t>
        </is>
      </c>
      <c r="K171" t="n">
        <v>30</v>
      </c>
      <c r="L171" t="inlineStr">
        <is>
          <t>20 September 2026</t>
        </is>
      </c>
      <c r="M171" t="inlineStr">
        <is>
          <t>Konstruksi Bangunan Sipil Jalan, Konstruksi Gedung Hunian, Konstruksi Gedung Kesehatan, Konstruksi Gedung Lainnya, Konstruksi Gedung Pendidikan, Konstruksi Gedung Perkantoran</t>
        </is>
      </c>
      <c r="N171" t="inlineStr">
        <is>
          <t>K</t>
        </is>
      </c>
      <c r="O171" t="inlineStr">
        <is>
          <t>20230920</t>
        </is>
      </c>
      <c r="P171" t="inlineStr">
        <is>
          <t>Kalimantan Tengah</t>
        </is>
      </c>
      <c r="Q171" t="inlineStr"/>
    </row>
    <row r="172">
      <c r="A172" t="inlineStr">
        <is>
          <t>TANGGA BATU</t>
        </is>
      </c>
      <c r="B172" t="inlineStr">
        <is>
          <t>Kota Medan</t>
        </is>
      </c>
      <c r="C172" t="inlineStr">
        <is>
          <t>081228132677</t>
        </is>
      </c>
      <c r="D172" t="inlineStr">
        <is>
          <t>tanggabatucv@gmail.com</t>
        </is>
      </c>
      <c r="E172" t="inlineStr">
        <is>
          <t>https://lpjk.pu.go.id/search-badan-usaha-detail/b3E0OSsrcGI0MytDeHgxcC94UmRxdz09</t>
        </is>
      </c>
      <c r="F172" t="n">
        <v>1</v>
      </c>
      <c r="G172" t="inlineStr">
        <is>
          <t>BS001</t>
        </is>
      </c>
      <c r="H172" t="inlineStr">
        <is>
          <t>11 Mei 2016</t>
        </is>
      </c>
      <c r="I172" s="2" t="n">
        <v>46285</v>
      </c>
      <c r="J172" t="inlineStr">
        <is>
          <t>Disetujui</t>
        </is>
      </c>
      <c r="K172" t="n">
        <v>30</v>
      </c>
      <c r="L172" t="inlineStr">
        <is>
          <t>20 September 2026</t>
        </is>
      </c>
      <c r="M172" t="inlineStr">
        <is>
          <t>Konstruksi Bangunan Sipil Jalan</t>
        </is>
      </c>
      <c r="N172" t="inlineStr">
        <is>
          <t>K</t>
        </is>
      </c>
      <c r="O172" t="inlineStr">
        <is>
          <t>20230918</t>
        </is>
      </c>
      <c r="P172" t="inlineStr">
        <is>
          <t>Sumatera Utara</t>
        </is>
      </c>
      <c r="Q172" t="inlineStr"/>
    </row>
    <row r="173">
      <c r="A173" t="inlineStr">
        <is>
          <t>TRADA STETIKA</t>
        </is>
      </c>
      <c r="B173" t="inlineStr">
        <is>
          <t>Kota Tangerang Selatan</t>
        </is>
      </c>
      <c r="C173" t="inlineStr">
        <is>
          <t>02129511775</t>
        </is>
      </c>
      <c r="D173" t="inlineStr">
        <is>
          <t>trada_stetika@yahoo.co.id</t>
        </is>
      </c>
      <c r="E173" t="inlineStr">
        <is>
          <t>https://lpjk.pu.go.id/search-badan-usaha-detail/TjIvaUFubjJwcEkzR2tDdmNEQS83dz09</t>
        </is>
      </c>
      <c r="F173" t="n">
        <v>6</v>
      </c>
      <c r="G173" t="inlineStr">
        <is>
          <t>BG001, BG002, BG003, BG004, BG007, BG009</t>
        </is>
      </c>
      <c r="H173" t="inlineStr">
        <is>
          <t>3 Mei 2011</t>
        </is>
      </c>
      <c r="I173" s="2" t="n">
        <v>46285</v>
      </c>
      <c r="J173" t="inlineStr">
        <is>
          <t>Disetujui</t>
        </is>
      </c>
      <c r="K173" t="n">
        <v>30</v>
      </c>
      <c r="L173" t="inlineStr">
        <is>
          <t>20 September 2026</t>
        </is>
      </c>
      <c r="M173" t="inlineStr">
        <is>
          <t>Konstruksi Gedung Hunian, Konstruksi Gedung Industri, Konstruksi Gedung Lainnya, Konstruksi Gedung Penginapan, Konstruksi Gedung Perbelanjaan, Konstruksi Gedung Perkantoran</t>
        </is>
      </c>
      <c r="N173" t="inlineStr">
        <is>
          <t>K</t>
        </is>
      </c>
      <c r="O173" t="inlineStr">
        <is>
          <t>20230919</t>
        </is>
      </c>
      <c r="P173" t="inlineStr">
        <is>
          <t>Banten</t>
        </is>
      </c>
      <c r="Q173" t="inlineStr"/>
    </row>
    <row r="174">
      <c r="A174" t="inlineStr">
        <is>
          <t>TRI KARYA BORNEO</t>
        </is>
      </c>
      <c r="B174" t="inlineStr">
        <is>
          <t>Kota Adm. Jakarta Barat</t>
        </is>
      </c>
      <c r="C174" t="inlineStr">
        <is>
          <t>0215872222</t>
        </is>
      </c>
      <c r="D174" t="inlineStr">
        <is>
          <t>pttrikaryaborneo@gmail.com</t>
        </is>
      </c>
      <c r="E174" t="inlineStr">
        <is>
          <t>https://lpjk.pu.go.id/search-badan-usaha-detail/SDBrN0xMWjNGdXYrZk9tUHZOcjRTdz09</t>
        </is>
      </c>
      <c r="F174" t="n">
        <v>1</v>
      </c>
      <c r="G174" t="inlineStr">
        <is>
          <t>BG004</t>
        </is>
      </c>
      <c r="H174" t="inlineStr">
        <is>
          <t>7 Juli 2012</t>
        </is>
      </c>
      <c r="I174" s="2" t="n">
        <v>46285</v>
      </c>
      <c r="J174" t="inlineStr">
        <is>
          <t>Disetujui</t>
        </is>
      </c>
      <c r="K174" t="n">
        <v>30</v>
      </c>
      <c r="L174" t="inlineStr">
        <is>
          <t>20 September 2026</t>
        </is>
      </c>
      <c r="M174" t="inlineStr">
        <is>
          <t>Konstruksi Gedung Perbelanjaan</t>
        </is>
      </c>
      <c r="N174" t="inlineStr">
        <is>
          <t>K</t>
        </is>
      </c>
      <c r="O174" t="inlineStr">
        <is>
          <t>20230914</t>
        </is>
      </c>
      <c r="P174" t="inlineStr">
        <is>
          <t>DKI Jakarta</t>
        </is>
      </c>
      <c r="Q174" t="inlineStr"/>
    </row>
    <row r="175">
      <c r="A175" t="inlineStr">
        <is>
          <t>TRIBUANA TUNGGADEWI</t>
        </is>
      </c>
      <c r="B175" t="inlineStr">
        <is>
          <t>Kab. Tulungagung</t>
        </is>
      </c>
      <c r="C175" t="inlineStr">
        <is>
          <t>085645863213</t>
        </is>
      </c>
      <c r="D175" t="inlineStr">
        <is>
          <t>tunggadewitribuana22@gmail.com</t>
        </is>
      </c>
      <c r="E175" t="inlineStr">
        <is>
          <t>https://lpjk.pu.go.id/search-badan-usaha-detail/MVVMMjNBamFjRG9KZU1FMUVUVzFVUT09</t>
        </is>
      </c>
      <c r="F175" t="n">
        <v>1</v>
      </c>
      <c r="G175" t="inlineStr">
        <is>
          <t>BS001</t>
        </is>
      </c>
      <c r="H175" t="inlineStr">
        <is>
          <t>22 Maret 2017</t>
        </is>
      </c>
      <c r="I175" s="2" t="n">
        <v>46285</v>
      </c>
      <c r="J175" t="inlineStr">
        <is>
          <t>Disetujui</t>
        </is>
      </c>
      <c r="K175" t="n">
        <v>30</v>
      </c>
      <c r="L175" t="inlineStr">
        <is>
          <t>20 September 2026</t>
        </is>
      </c>
      <c r="M175" t="inlineStr">
        <is>
          <t>Konstruksi Bangunan Sipil Jalan</t>
        </is>
      </c>
      <c r="N175" t="inlineStr">
        <is>
          <t>K</t>
        </is>
      </c>
      <c r="O175" t="inlineStr">
        <is>
          <t>20230918</t>
        </is>
      </c>
      <c r="P175" t="inlineStr">
        <is>
          <t>Jawa Timur</t>
        </is>
      </c>
      <c r="Q175" t="inlineStr"/>
    </row>
    <row r="176">
      <c r="A176" t="inlineStr">
        <is>
          <t>TRIPLE S PUTRA KEDIRI</t>
        </is>
      </c>
      <c r="B176" t="inlineStr">
        <is>
          <t>Kab. Kediri</t>
        </is>
      </c>
      <c r="C176" t="inlineStr">
        <is>
          <t>0354772495</t>
        </is>
      </c>
      <c r="D176" t="inlineStr">
        <is>
          <t>tspk_kdr@yahoo.co.id</t>
        </is>
      </c>
      <c r="E176" t="inlineStr">
        <is>
          <t>https://lpjk.pu.go.id/search-badan-usaha-detail/RG9uS1EvVFljR1pJcHRab0JwT0FNUT09</t>
        </is>
      </c>
      <c r="F176" t="n">
        <v>1</v>
      </c>
      <c r="G176" t="inlineStr">
        <is>
          <t>BS001</t>
        </is>
      </c>
      <c r="H176" t="inlineStr">
        <is>
          <t>9 Maret 2004</t>
        </is>
      </c>
      <c r="I176" s="2" t="n">
        <v>46285</v>
      </c>
      <c r="J176" t="inlineStr">
        <is>
          <t>Pencabutan</t>
        </is>
      </c>
      <c r="K176" t="n">
        <v>30</v>
      </c>
      <c r="L176" t="inlineStr">
        <is>
          <t>20 September 2026</t>
        </is>
      </c>
      <c r="M176" t="inlineStr">
        <is>
          <t>Konstruksi Bangunan Sipil Jalan</t>
        </is>
      </c>
      <c r="N176" t="inlineStr">
        <is>
          <t>M</t>
        </is>
      </c>
      <c r="O176" t="inlineStr">
        <is>
          <t>20230906</t>
        </is>
      </c>
      <c r="P176" t="inlineStr">
        <is>
          <t>Jawa Timur</t>
        </is>
      </c>
      <c r="Q176" t="inlineStr"/>
    </row>
    <row r="177">
      <c r="A177" t="inlineStr">
        <is>
          <t>TUNAS AGUNG SENTOSA</t>
        </is>
      </c>
      <c r="B177" t="inlineStr">
        <is>
          <t>Kota Surabaya</t>
        </is>
      </c>
      <c r="C177" t="inlineStr">
        <is>
          <t>0318497279</t>
        </is>
      </c>
      <c r="D177" t="inlineStr">
        <is>
          <t>ptassurabaya@gmail.com</t>
        </is>
      </c>
      <c r="E177" t="inlineStr">
        <is>
          <t>https://lpjk.pu.go.id/search-badan-usaha-detail/TjZvUStva3dTc3ZjZmFMU21QVlZyZz09</t>
        </is>
      </c>
      <c r="F177" t="n">
        <v>1</v>
      </c>
      <c r="G177" t="inlineStr">
        <is>
          <t>KP002</t>
        </is>
      </c>
      <c r="H177" t="inlineStr">
        <is>
          <t>28 September 2012</t>
        </is>
      </c>
      <c r="I177" s="2" t="n">
        <v>46285</v>
      </c>
      <c r="J177" t="inlineStr">
        <is>
          <t>Disetujui</t>
        </is>
      </c>
      <c r="K177" t="n">
        <v>30</v>
      </c>
      <c r="L177" t="inlineStr">
        <is>
          <t>20 September 2026</t>
        </is>
      </c>
      <c r="M177" t="inlineStr">
        <is>
          <t>Pekerjaan Konstruksi Prapabrikasi Bangunan Sipil</t>
        </is>
      </c>
      <c r="N177" t="inlineStr">
        <is>
          <t>Spesialis</t>
        </is>
      </c>
      <c r="O177" t="inlineStr">
        <is>
          <t>20230916</t>
        </is>
      </c>
      <c r="P177" t="inlineStr">
        <is>
          <t>Jawa Timur</t>
        </is>
      </c>
      <c r="Q177" t="inlineStr"/>
    </row>
    <row r="178">
      <c r="A178" t="inlineStr">
        <is>
          <t>USAHA SUKSES EMPAT SEKAWAN</t>
        </is>
      </c>
      <c r="B178" t="inlineStr">
        <is>
          <t>Kab. Lombok Barat</t>
        </is>
      </c>
      <c r="C178" t="inlineStr">
        <is>
          <t>081935953505</t>
        </is>
      </c>
      <c r="D178" t="inlineStr">
        <is>
          <t>cv.usahasuksesempatsekawan@gmail.com</t>
        </is>
      </c>
      <c r="E178" t="inlineStr">
        <is>
          <t>https://lpjk.pu.go.id/search-badan-usaha-detail/MS9hOG9mSy8wY015bVBKT2g3MUVUQT09</t>
        </is>
      </c>
      <c r="F178" t="n">
        <v>3</v>
      </c>
      <c r="G178" t="inlineStr">
        <is>
          <t>BG009, BS001, BS004</t>
        </is>
      </c>
      <c r="H178" t="inlineStr">
        <is>
          <t>4 November 2019</t>
        </is>
      </c>
      <c r="I178" s="2" t="n">
        <v>46285</v>
      </c>
      <c r="J178" t="inlineStr">
        <is>
          <t>Disetujui</t>
        </is>
      </c>
      <c r="K178" t="n">
        <v>30</v>
      </c>
      <c r="L178" t="inlineStr">
        <is>
          <t>20 September 2026</t>
        </is>
      </c>
      <c r="M178" t="inlineStr">
        <is>
          <t>Konstruksi Bangunan Sipil Jalan, Konstruksi Gedung Lainnya, Konstruksi Jaringan Irigasi dan Drainase</t>
        </is>
      </c>
      <c r="N178" t="inlineStr">
        <is>
          <t>K</t>
        </is>
      </c>
      <c r="O178" t="inlineStr">
        <is>
          <t>20230919</t>
        </is>
      </c>
      <c r="P178" t="inlineStr">
        <is>
          <t>Nusa Tenggara Barat</t>
        </is>
      </c>
      <c r="Q178" t="inlineStr"/>
    </row>
    <row r="179">
      <c r="A179" t="inlineStr">
        <is>
          <t>WIDHY ARYA PRATAMA</t>
        </is>
      </c>
      <c r="B179" t="inlineStr">
        <is>
          <t>Kab. Kubu Raya</t>
        </is>
      </c>
      <c r="C179" t="inlineStr">
        <is>
          <t>085245484444</t>
        </is>
      </c>
      <c r="D179" t="inlineStr">
        <is>
          <t>ptwidhyatama@gmail.com</t>
        </is>
      </c>
      <c r="E179" t="inlineStr">
        <is>
          <t>https://lpjk.pu.go.id/search-badan-usaha-detail/Y2czZm8yZGt2MGZoQWYwNnRkV3NRQT09</t>
        </is>
      </c>
      <c r="F179" t="n">
        <v>1</v>
      </c>
      <c r="G179" t="inlineStr">
        <is>
          <t>BG001</t>
        </is>
      </c>
      <c r="H179" t="inlineStr">
        <is>
          <t>5 September 2018</t>
        </is>
      </c>
      <c r="I179" s="2" t="n">
        <v>46285</v>
      </c>
      <c r="J179" t="inlineStr">
        <is>
          <t>Disetujui</t>
        </is>
      </c>
      <c r="K179" t="n">
        <v>30</v>
      </c>
      <c r="L179" t="inlineStr">
        <is>
          <t>20 September 2026</t>
        </is>
      </c>
      <c r="M179" t="inlineStr">
        <is>
          <t>Konstruksi Gedung Hunian</t>
        </is>
      </c>
      <c r="N179" t="inlineStr">
        <is>
          <t>K</t>
        </is>
      </c>
      <c r="O179" t="inlineStr">
        <is>
          <t>20230919</t>
        </is>
      </c>
      <c r="P179" t="inlineStr">
        <is>
          <t>Kalimantan Barat</t>
        </is>
      </c>
      <c r="Q179" t="inlineStr"/>
    </row>
    <row r="180">
      <c r="A180" t="inlineStr">
        <is>
          <t>WIJAYA PERDANA</t>
        </is>
      </c>
      <c r="B180" t="inlineStr">
        <is>
          <t>Kota Adm. Jakarta Selatan</t>
        </is>
      </c>
      <c r="C180" t="inlineStr">
        <is>
          <t>0217507322</t>
        </is>
      </c>
      <c r="D180" t="inlineStr">
        <is>
          <t>info@wijayaperdana.id</t>
        </is>
      </c>
      <c r="E180" t="inlineStr">
        <is>
          <t>https://lpjk.pu.go.id/search-badan-usaha-detail/OHhuR1gyWVZyVFFPS1RiOTZVNWRyQT09</t>
        </is>
      </c>
      <c r="F180" t="n">
        <v>2</v>
      </c>
      <c r="G180" t="inlineStr">
        <is>
          <t>BG001</t>
        </is>
      </c>
      <c r="H180" t="inlineStr">
        <is>
          <t>26 Februari 1980</t>
        </is>
      </c>
      <c r="I180" s="2" t="n">
        <v>46285</v>
      </c>
      <c r="J180" t="inlineStr">
        <is>
          <t>Pencabutan</t>
        </is>
      </c>
      <c r="K180" t="n">
        <v>30</v>
      </c>
      <c r="L180" t="inlineStr">
        <is>
          <t>20 September 2026</t>
        </is>
      </c>
      <c r="M180" t="inlineStr">
        <is>
          <t>Konstruksi Gedung Hunian</t>
        </is>
      </c>
      <c r="N180" t="inlineStr">
        <is>
          <t>B</t>
        </is>
      </c>
      <c r="O180" t="inlineStr">
        <is>
          <t>20230918</t>
        </is>
      </c>
      <c r="P180" t="inlineStr">
        <is>
          <t>DKI Jakarta</t>
        </is>
      </c>
      <c r="Q180" t="inlineStr"/>
    </row>
    <row r="181">
      <c r="A181" t="inlineStr">
        <is>
          <t>WINATA JAYA UTAMA</t>
        </is>
      </c>
      <c r="B181" t="inlineStr">
        <is>
          <t>Kota Tangerang Selatan</t>
        </is>
      </c>
      <c r="C181" t="inlineStr">
        <is>
          <t>081112001479</t>
        </is>
      </c>
      <c r="D181" t="inlineStr">
        <is>
          <t>winatajayautama@gmail.com</t>
        </is>
      </c>
      <c r="E181" t="inlineStr">
        <is>
          <t>https://lpjk.pu.go.id/search-badan-usaha-detail/am1kQUtXMmxWRTNjaHJKNHVVWXdVdz09</t>
        </is>
      </c>
      <c r="F181" t="n">
        <v>8</v>
      </c>
      <c r="G181" t="inlineStr">
        <is>
          <t>BG003, BG004, BG005, BG009</t>
        </is>
      </c>
      <c r="H181" t="inlineStr">
        <is>
          <t>25 November 2022</t>
        </is>
      </c>
      <c r="I181" s="2" t="n">
        <v>46285</v>
      </c>
      <c r="J181" t="inlineStr">
        <is>
          <t>Disetujui</t>
        </is>
      </c>
      <c r="K181" t="n">
        <v>30</v>
      </c>
      <c r="L181" t="inlineStr">
        <is>
          <t>20 September 2026</t>
        </is>
      </c>
      <c r="M181" t="inlineStr">
        <is>
          <t>Konstruksi Gedung Industri, Konstruksi Gedung Kesehatan, Konstruksi Gedung Lainnya, Konstruksi Gedung Perbelanjaan</t>
        </is>
      </c>
      <c r="N181" t="inlineStr">
        <is>
          <t>K</t>
        </is>
      </c>
      <c r="O181" t="inlineStr">
        <is>
          <t>20230914</t>
        </is>
      </c>
      <c r="P181" t="inlineStr">
        <is>
          <t>Banten</t>
        </is>
      </c>
      <c r="Q181" t="inlineStr"/>
    </row>
    <row r="182">
      <c r="A182" t="inlineStr">
        <is>
          <t>YOGA UMBARA</t>
        </is>
      </c>
      <c r="B182" t="inlineStr">
        <is>
          <t>Kab. Bangka Barat</t>
        </is>
      </c>
      <c r="C182" t="inlineStr">
        <is>
          <t>081929083638</t>
        </is>
      </c>
      <c r="D182" t="inlineStr">
        <is>
          <t>de_ven@ymail.com</t>
        </is>
      </c>
      <c r="E182" t="inlineStr">
        <is>
          <t>https://lpjk.pu.go.id/search-badan-usaha-detail/VHhSUzc2alByTVlxVk4vVnBMMVlTZz09</t>
        </is>
      </c>
      <c r="F182" t="n">
        <v>1</v>
      </c>
      <c r="G182" t="inlineStr">
        <is>
          <t>BS004</t>
        </is>
      </c>
      <c r="H182" t="inlineStr">
        <is>
          <t>11 Januari 2021</t>
        </is>
      </c>
      <c r="I182" s="2" t="n">
        <v>46285</v>
      </c>
      <c r="J182" t="inlineStr">
        <is>
          <t>Disetujui</t>
        </is>
      </c>
      <c r="K182" t="n">
        <v>30</v>
      </c>
      <c r="L182" t="inlineStr">
        <is>
          <t>20 September 2026</t>
        </is>
      </c>
      <c r="M182" t="inlineStr">
        <is>
          <t>Konstruksi Jaringan Irigasi dan Drainase</t>
        </is>
      </c>
      <c r="N182" t="inlineStr">
        <is>
          <t>K</t>
        </is>
      </c>
      <c r="O182" t="inlineStr">
        <is>
          <t>20230921</t>
        </is>
      </c>
      <c r="P182" t="inlineStr">
        <is>
          <t>Kepulauan Bangka Belitung</t>
        </is>
      </c>
      <c r="Q182" t="inlineStr"/>
    </row>
    <row r="183">
      <c r="A183" t="inlineStr">
        <is>
          <t>ZIDAN RAIHAN</t>
        </is>
      </c>
      <c r="B183" t="inlineStr">
        <is>
          <t>Kab. Cilacap</t>
        </is>
      </c>
      <c r="C183" t="inlineStr">
        <is>
          <t>081226113344</t>
        </is>
      </c>
      <c r="D183" t="inlineStr">
        <is>
          <t>cv.zidanraihan@gmail.com</t>
        </is>
      </c>
      <c r="E183" t="inlineStr">
        <is>
          <t>https://lpjk.pu.go.id/search-badan-usaha-detail/cm1UUXRMajJBMTBoVHVLUFZwZWd3dz09</t>
        </is>
      </c>
      <c r="F183" t="n">
        <v>2</v>
      </c>
      <c r="G183" t="inlineStr">
        <is>
          <t>BG002, BG006</t>
        </is>
      </c>
      <c r="H183" t="inlineStr">
        <is>
          <t>12 November 2016</t>
        </is>
      </c>
      <c r="I183" s="2" t="n">
        <v>46285</v>
      </c>
      <c r="J183" t="inlineStr">
        <is>
          <t>Disetujui</t>
        </is>
      </c>
      <c r="K183" t="n">
        <v>30</v>
      </c>
      <c r="L183" t="inlineStr">
        <is>
          <t>20 September 2026</t>
        </is>
      </c>
      <c r="M183" t="inlineStr">
        <is>
          <t>Konstruksi Gedung Pendidikan, Konstruksi Gedung Perkantoran</t>
        </is>
      </c>
      <c r="N183" t="inlineStr">
        <is>
          <t>K</t>
        </is>
      </c>
      <c r="O183" t="inlineStr">
        <is>
          <t>20230920</t>
        </is>
      </c>
      <c r="P183" t="inlineStr">
        <is>
          <t>Jawa Tengah</t>
        </is>
      </c>
      <c r="Q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2026-08-21T03:11:31Z</dcterms:created>
  <dcterms:modified xsi:type="dcterms:W3CDTF">2026-08-21T03:11:31Z</dcterms:modified>
</cp:coreProperties>
</file>