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6"/>
  <sheetViews>
    <sheetView workbookViewId="0">
      <selection activeCell="A1" sqref="A1"/>
    </sheetView>
  </sheetViews>
  <sheetFormatPr baseColWidth="8" defaultRowHeight="15"/>
  <cols>
    <col width="35"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ABADI JAYA KONSTRUKSI</t>
        </is>
      </c>
      <c r="B2" t="inlineStr">
        <is>
          <t>Kota Bogor</t>
        </is>
      </c>
      <c r="C2" t="inlineStr">
        <is>
          <t>02517531399</t>
        </is>
      </c>
      <c r="D2" t="inlineStr">
        <is>
          <t>ajayakon@ymail.com</t>
        </is>
      </c>
      <c r="E2" t="inlineStr">
        <is>
          <t>https://lpjk.pu.go.id/search-badan-usaha-detail/MDViaGdVeVM4NW1rUlU3Nk5Danh0QT09</t>
        </is>
      </c>
      <c r="F2" t="n">
        <v>2</v>
      </c>
      <c r="G2" t="inlineStr">
        <is>
          <t>AR001</t>
        </is>
      </c>
      <c r="H2" t="inlineStr">
        <is>
          <t>28 Mei 1985</t>
        </is>
      </c>
      <c r="I2" s="2" t="n">
        <v>46328</v>
      </c>
      <c r="J2" t="inlineStr">
        <is>
          <t>Pencabutan</t>
        </is>
      </c>
      <c r="K2" t="n">
        <v>90</v>
      </c>
      <c r="L2" t="inlineStr">
        <is>
          <t>2 November 2026</t>
        </is>
      </c>
      <c r="M2" t="inlineStr">
        <is>
          <t>Jasa Arsitektural Bangunan Gedung Hunian dan Non Hunian</t>
        </is>
      </c>
      <c r="N2" t="inlineStr">
        <is>
          <t>K</t>
        </is>
      </c>
      <c r="O2" t="inlineStr">
        <is>
          <t>20231023</t>
        </is>
      </c>
      <c r="P2" t="inlineStr">
        <is>
          <t>Jawa Barat</t>
        </is>
      </c>
      <c r="Q2" s="3">
        <f>HYPERLINK("https://wa.me/622517531399?text=Selamat siang Bapak/Ibu pimpinan ABADI JAYA KONSTRUKSI,%0A%0ASemoga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BINTANG MILENIUM PERKASA</t>
        </is>
      </c>
      <c r="B3" t="inlineStr">
        <is>
          <t>Kota Adm. Jakarta Timur</t>
        </is>
      </c>
      <c r="C3" t="inlineStr">
        <is>
          <t>02122845408</t>
        </is>
      </c>
      <c r="D3" t="inlineStr">
        <is>
          <t>info@bintangmileniumperkasa.co.id</t>
        </is>
      </c>
      <c r="E3" t="inlineStr">
        <is>
          <t>https://lpjk.pu.go.id/search-badan-usaha-detail/dC96QmIxNmc0SWU1ODVCZkQva3pQUT09</t>
        </is>
      </c>
      <c r="F3" t="n">
        <v>2</v>
      </c>
      <c r="G3" t="inlineStr">
        <is>
          <t>BG009</t>
        </is>
      </c>
      <c r="H3" t="inlineStr">
        <is>
          <t>16 Januari 2008</t>
        </is>
      </c>
      <c r="I3" s="2" t="n">
        <v>46328</v>
      </c>
      <c r="J3" t="inlineStr">
        <is>
          <t>Disetujui</t>
        </is>
      </c>
      <c r="K3" t="n">
        <v>90</v>
      </c>
      <c r="L3" t="inlineStr">
        <is>
          <t>2 November 2026</t>
        </is>
      </c>
      <c r="M3" t="inlineStr">
        <is>
          <t>Konstruksi Gedung Lainnya</t>
        </is>
      </c>
      <c r="N3" t="inlineStr">
        <is>
          <t>M</t>
        </is>
      </c>
      <c r="O3" t="inlineStr">
        <is>
          <t>20230216</t>
        </is>
      </c>
      <c r="P3" t="inlineStr">
        <is>
          <t>DKI Jakarta</t>
        </is>
      </c>
      <c r="Q3" t="inlineStr"/>
    </row>
    <row r="4">
      <c r="A4" t="inlineStr">
        <is>
          <t>DIMAS AQNI PUTRA</t>
        </is>
      </c>
      <c r="B4" t="inlineStr">
        <is>
          <t>Kota Bekasi</t>
        </is>
      </c>
      <c r="C4" t="inlineStr">
        <is>
          <t>081283780827</t>
        </is>
      </c>
      <c r="D4" t="inlineStr">
        <is>
          <t>dimasaqniputra@gmail.com</t>
        </is>
      </c>
      <c r="E4" t="inlineStr">
        <is>
          <t>https://lpjk.pu.go.id/search-badan-usaha-detail/aWMwQjdOOFZaZ3FpRWEyVlRLVU1KUT09</t>
        </is>
      </c>
      <c r="F4" t="n">
        <v>1</v>
      </c>
      <c r="G4" t="inlineStr">
        <is>
          <t>BS002</t>
        </is>
      </c>
      <c r="H4" t="inlineStr">
        <is>
          <t>29 Oktober 2015</t>
        </is>
      </c>
      <c r="I4" s="2" t="n">
        <v>46328</v>
      </c>
      <c r="J4" t="inlineStr">
        <is>
          <t>Disetujui</t>
        </is>
      </c>
      <c r="K4" t="n">
        <v>90</v>
      </c>
      <c r="L4" t="inlineStr">
        <is>
          <t>2 November 2026</t>
        </is>
      </c>
      <c r="M4" t="inlineStr">
        <is>
          <t>Bangunan Sipil Jembatan, Jalan Layang, Fly Over, dan Underpass</t>
        </is>
      </c>
      <c r="N4" t="inlineStr">
        <is>
          <t>K</t>
        </is>
      </c>
      <c r="O4" t="inlineStr">
        <is>
          <t>20231019</t>
        </is>
      </c>
      <c r="P4" t="inlineStr">
        <is>
          <t>Jawa Barat</t>
        </is>
      </c>
      <c r="Q4" s="3">
        <f>HYPERLINK("https://wa.me/6281283780827?text=Selamat siang Bapak/Ibu pimpinan DIMAS AQNI PUTRA,%0A%0ASemoga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DUA PUTRA ABADI</t>
        </is>
      </c>
      <c r="B5" t="inlineStr">
        <is>
          <t>Kota Bekasi</t>
        </is>
      </c>
      <c r="C5" t="inlineStr">
        <is>
          <t>081287980229</t>
        </is>
      </c>
      <c r="D5" t="inlineStr">
        <is>
          <t>duaputraabadi@gmail.com</t>
        </is>
      </c>
      <c r="E5" t="inlineStr">
        <is>
          <t>https://lpjk.pu.go.id/search-badan-usaha-detail/U2NwUndheHFhYXk1OXBCaWxWaFdOUT09</t>
        </is>
      </c>
      <c r="F5" t="n">
        <v>1</v>
      </c>
      <c r="G5" t="inlineStr">
        <is>
          <t>BG006</t>
        </is>
      </c>
      <c r="H5" t="inlineStr">
        <is>
          <t>14 Januari 2015</t>
        </is>
      </c>
      <c r="I5" s="2" t="n">
        <v>46328</v>
      </c>
      <c r="J5" t="inlineStr">
        <is>
          <t>Disetujui</t>
        </is>
      </c>
      <c r="K5" t="n">
        <v>90</v>
      </c>
      <c r="L5" t="inlineStr">
        <is>
          <t>2 November 2026</t>
        </is>
      </c>
      <c r="M5" t="inlineStr">
        <is>
          <t>Konstruksi Gedung Pendidikan</t>
        </is>
      </c>
      <c r="N5" t="inlineStr">
        <is>
          <t>K</t>
        </is>
      </c>
      <c r="O5" t="inlineStr">
        <is>
          <t>20231101</t>
        </is>
      </c>
      <c r="P5" t="inlineStr">
        <is>
          <t>Jawa Barat</t>
        </is>
      </c>
      <c r="Q5" s="3">
        <f>HYPERLINK("https://wa.me/6281287980229?text=Selamat siang Bapak/Ibu pimpinan DUA PUTRA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FAREEL USAHA MANDIRI</t>
        </is>
      </c>
      <c r="B6" t="inlineStr">
        <is>
          <t>Kab. Bekasi</t>
        </is>
      </c>
      <c r="C6" t="inlineStr">
        <is>
          <t>0</t>
        </is>
      </c>
      <c r="D6" t="inlineStr">
        <is>
          <t>cv.fareelusahamandiri@gmail.com</t>
        </is>
      </c>
      <c r="E6" t="inlineStr">
        <is>
          <t>https://lpjk.pu.go.id/search-badan-usaha-detail/ZFdQSUdWTGd2WTRqZDFBMGhMZXBwUT09</t>
        </is>
      </c>
      <c r="F6" t="n">
        <v>2</v>
      </c>
      <c r="G6" t="inlineStr">
        <is>
          <t>BG001, BG009</t>
        </is>
      </c>
      <c r="H6" t="inlineStr">
        <is>
          <t>27 April 2012</t>
        </is>
      </c>
      <c r="I6" s="2" t="n">
        <v>46328</v>
      </c>
      <c r="J6" t="inlineStr">
        <is>
          <t>Pencabutan</t>
        </is>
      </c>
      <c r="K6" t="n">
        <v>90</v>
      </c>
      <c r="L6" t="inlineStr">
        <is>
          <t>2 November 2026</t>
        </is>
      </c>
      <c r="M6" t="inlineStr">
        <is>
          <t>Konstruksi Gedung Hunian, Konstruksi Gedung Lainnya</t>
        </is>
      </c>
      <c r="N6" t="inlineStr">
        <is>
          <t>K</t>
        </is>
      </c>
      <c r="O6" t="inlineStr">
        <is>
          <t>20231031</t>
        </is>
      </c>
      <c r="P6" t="inlineStr">
        <is>
          <t>Jawa Barat</t>
        </is>
      </c>
      <c r="Q6" s="3">
        <f>HYPERLINK("https://wa.me/62?text=Selamat siang Bapak/Ibu pimpinan FAREEL USAHA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GODAM SOLUSI INDONESIA</t>
        </is>
      </c>
      <c r="B7" t="inlineStr">
        <is>
          <t>Kota Adm. Jakarta Timur</t>
        </is>
      </c>
      <c r="C7" t="inlineStr">
        <is>
          <t>0811907272</t>
        </is>
      </c>
      <c r="D7" t="inlineStr">
        <is>
          <t>halo@godamsolusi.co.id</t>
        </is>
      </c>
      <c r="E7" t="inlineStr">
        <is>
          <t>https://lpjk.pu.go.id/search-badan-usaha-detail/aTBCRjhyMmpKN3dGYlJ3SVVTU1ZPdz09</t>
        </is>
      </c>
      <c r="F7" t="n">
        <v>1</v>
      </c>
      <c r="G7" t="inlineStr">
        <is>
          <t>BS010</t>
        </is>
      </c>
      <c r="H7" t="inlineStr">
        <is>
          <t>21 Maret 2023</t>
        </is>
      </c>
      <c r="I7" s="2" t="n">
        <v>46328</v>
      </c>
      <c r="J7" t="inlineStr">
        <is>
          <t>Pembekuan</t>
        </is>
      </c>
      <c r="K7" t="n">
        <v>90</v>
      </c>
      <c r="L7" t="inlineStr">
        <is>
          <t>2 November 2026</t>
        </is>
      </c>
      <c r="M7" t="inlineStr">
        <is>
          <t>Konstruksi Bangunan Prasarana Sumber Daya Air</t>
        </is>
      </c>
      <c r="N7" t="inlineStr">
        <is>
          <t>B</t>
        </is>
      </c>
      <c r="O7" t="inlineStr">
        <is>
          <t>20231030</t>
        </is>
      </c>
      <c r="P7" t="inlineStr">
        <is>
          <t>DKI Jakarta</t>
        </is>
      </c>
      <c r="Q7" s="3">
        <f>HYPERLINK("https://wa.me/62811907272?text=Selamat siang Bapak/Ibu pimpinan GODAM SOLUSI INDONESIA,%0A%0ASemoga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KARYA AMANAH KONSTRUKSI</t>
        </is>
      </c>
      <c r="B8" t="inlineStr">
        <is>
          <t>Kota Bekasi</t>
        </is>
      </c>
      <c r="C8" t="inlineStr">
        <is>
          <t>081381063718</t>
        </is>
      </c>
      <c r="D8" t="inlineStr">
        <is>
          <t>karyaamanah.konstruksi@gmail.com</t>
        </is>
      </c>
      <c r="E8" t="inlineStr">
        <is>
          <t>https://lpjk.pu.go.id/search-badan-usaha-detail/UE9wWTAzeHc2VmV6WG9tQXJrcXI1dz09</t>
        </is>
      </c>
      <c r="F8" t="n">
        <v>1</v>
      </c>
      <c r="G8" t="inlineStr">
        <is>
          <t>BG005</t>
        </is>
      </c>
      <c r="H8" t="inlineStr">
        <is>
          <t>25 Juli 2018</t>
        </is>
      </c>
      <c r="I8" s="2" t="n">
        <v>46328</v>
      </c>
      <c r="J8" t="inlineStr">
        <is>
          <t>Pencabutan</t>
        </is>
      </c>
      <c r="K8" t="n">
        <v>90</v>
      </c>
      <c r="L8" t="inlineStr">
        <is>
          <t>2 November 2026</t>
        </is>
      </c>
      <c r="M8" t="inlineStr">
        <is>
          <t>Konstruksi Gedung Kesehatan</t>
        </is>
      </c>
      <c r="N8" t="inlineStr">
        <is>
          <t>B</t>
        </is>
      </c>
      <c r="O8" t="inlineStr">
        <is>
          <t>20230918</t>
        </is>
      </c>
      <c r="P8" t="inlineStr">
        <is>
          <t>Jawa Barat</t>
        </is>
      </c>
      <c r="Q8" s="3">
        <f>HYPERLINK("https://wa.me/6281381063718?text=Selamat siang Bapak/Ibu pimpinan KARYA AMANAH KONSTRUKSI,%0A%0ASemoga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KARYA TANGAN HANDAL SEJATI</t>
        </is>
      </c>
      <c r="B9" t="inlineStr">
        <is>
          <t>Kab. Bekasi</t>
        </is>
      </c>
      <c r="C9" t="inlineStr">
        <is>
          <t>081213138512</t>
        </is>
      </c>
      <c r="D9" t="inlineStr">
        <is>
          <t>ptkatahati@gmail.com</t>
        </is>
      </c>
      <c r="E9" t="inlineStr">
        <is>
          <t>https://lpjk.pu.go.id/search-badan-usaha-detail/a2JWT2w1OW1hQ1Q2K05GaEFyK3lwZz09</t>
        </is>
      </c>
      <c r="F9" t="n">
        <v>1</v>
      </c>
      <c r="G9" t="inlineStr">
        <is>
          <t>BG002</t>
        </is>
      </c>
      <c r="H9" t="inlineStr">
        <is>
          <t>24 Oktober 2023</t>
        </is>
      </c>
      <c r="I9" s="2" t="n">
        <v>46328</v>
      </c>
      <c r="J9" t="inlineStr">
        <is>
          <t>Disetujui</t>
        </is>
      </c>
      <c r="K9" t="n">
        <v>90</v>
      </c>
      <c r="L9" t="inlineStr">
        <is>
          <t>2 November 2026</t>
        </is>
      </c>
      <c r="M9" t="inlineStr">
        <is>
          <t>Konstruksi Gedung Perkantoran</t>
        </is>
      </c>
      <c r="N9" t="inlineStr">
        <is>
          <t>K</t>
        </is>
      </c>
      <c r="O9" t="inlineStr">
        <is>
          <t>20231030</t>
        </is>
      </c>
      <c r="P9" t="inlineStr">
        <is>
          <t>Jawa Barat</t>
        </is>
      </c>
      <c r="Q9" s="3">
        <f>HYPERLINK("https://wa.me/6281213138512?text=Selamat siang Bapak/Ibu pimpinan KARYA TANGAN HANDAL SEJATI,%0A%0ASemoga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METRO GLOBAL MANDIRI</t>
        </is>
      </c>
      <c r="B10" t="inlineStr">
        <is>
          <t>Kab. Bogor</t>
        </is>
      </c>
      <c r="C10" t="inlineStr">
        <is>
          <t>081293330500</t>
        </is>
      </c>
      <c r="D10" t="inlineStr">
        <is>
          <t>metroglobalmandiri@gmail.com</t>
        </is>
      </c>
      <c r="E10" t="inlineStr">
        <is>
          <t>https://lpjk.pu.go.id/search-badan-usaha-detail/QVZZbFd0c0JCS1BEM3NhZG00bDBTUT09</t>
        </is>
      </c>
      <c r="F10" t="n">
        <v>1</v>
      </c>
      <c r="G10" t="inlineStr">
        <is>
          <t>IN007</t>
        </is>
      </c>
      <c r="H10" t="inlineStr">
        <is>
          <t>27 Juni 2022</t>
        </is>
      </c>
      <c r="I10" s="2" t="n">
        <v>46328</v>
      </c>
      <c r="J10" t="inlineStr">
        <is>
          <t>Pencabutan</t>
        </is>
      </c>
      <c r="K10" t="n">
        <v>90</v>
      </c>
      <c r="L10" t="inlineStr">
        <is>
          <t>2 November 2026</t>
        </is>
      </c>
      <c r="M10" t="inlineStr">
        <is>
          <t>Instalasi Saluran Air (Plambing)</t>
        </is>
      </c>
      <c r="N10" t="inlineStr">
        <is>
          <t>Spesialis</t>
        </is>
      </c>
      <c r="O10" t="inlineStr">
        <is>
          <t>20231101</t>
        </is>
      </c>
      <c r="P10" t="inlineStr">
        <is>
          <t>Jawa Barat</t>
        </is>
      </c>
      <c r="Q10" s="3">
        <f>HYPERLINK("https://wa.me/6281293330500?text=Selamat siang Bapak/Ibu pimpinan METRO GLOBAL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NUSA INDAH BERKARYA</t>
        </is>
      </c>
      <c r="B11" t="inlineStr">
        <is>
          <t>Kab. Bogor</t>
        </is>
      </c>
      <c r="C11" t="inlineStr">
        <is>
          <t>081219558120</t>
        </is>
      </c>
      <c r="D11" t="inlineStr">
        <is>
          <t>nusaindah.berkarya@gmail.com</t>
        </is>
      </c>
      <c r="E11" t="inlineStr">
        <is>
          <t>https://lpjk.pu.go.id/search-badan-usaha-detail/NXoyZUFIdkpWT1dRZ0lOV1RXZXA2UT09</t>
        </is>
      </c>
      <c r="F11" t="n">
        <v>1</v>
      </c>
      <c r="G11" t="inlineStr">
        <is>
          <t>IN007</t>
        </is>
      </c>
      <c r="H11" t="inlineStr">
        <is>
          <t>17 Desember 2021</t>
        </is>
      </c>
      <c r="I11" s="2" t="n">
        <v>46328</v>
      </c>
      <c r="J11" t="inlineStr">
        <is>
          <t>Pencabutan</t>
        </is>
      </c>
      <c r="K11" t="n">
        <v>90</v>
      </c>
      <c r="L11" t="inlineStr">
        <is>
          <t>2 November 2026</t>
        </is>
      </c>
      <c r="M11" t="inlineStr">
        <is>
          <t>Instalasi Saluran Air (Plambing)</t>
        </is>
      </c>
      <c r="N11" t="inlineStr">
        <is>
          <t>Spesialis</t>
        </is>
      </c>
      <c r="O11" t="inlineStr">
        <is>
          <t>20231030</t>
        </is>
      </c>
      <c r="P11" t="inlineStr">
        <is>
          <t>Jawa Barat</t>
        </is>
      </c>
      <c r="Q11" s="3">
        <f>HYPERLINK("https://wa.me/6281219558120?text=Selamat siang Bapak/Ibu pimpinan NUSA INDAH BERKARYA,%0A%0ASemoga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PUTRA MANDIRI</t>
        </is>
      </c>
      <c r="B12" t="inlineStr">
        <is>
          <t>Kota Bekasi</t>
        </is>
      </c>
      <c r="C12" t="inlineStr">
        <is>
          <t>081808076671</t>
        </is>
      </c>
      <c r="D12" t="inlineStr">
        <is>
          <t>pmandiri013@gmail.com</t>
        </is>
      </c>
      <c r="E12" t="inlineStr">
        <is>
          <t>https://lpjk.pu.go.id/search-badan-usaha-detail/TE8yY2JSTWsxYmN1bXRXQmQ1V0dHZz09</t>
        </is>
      </c>
      <c r="F12" t="n">
        <v>3</v>
      </c>
      <c r="G12" t="inlineStr">
        <is>
          <t>BS001, BS004, BS010</t>
        </is>
      </c>
      <c r="H12" t="inlineStr">
        <is>
          <t>10 Maret 2007</t>
        </is>
      </c>
      <c r="I12" s="2" t="n">
        <v>46328</v>
      </c>
      <c r="J12" t="inlineStr">
        <is>
          <t>Disetujui</t>
        </is>
      </c>
      <c r="K12" t="n">
        <v>90</v>
      </c>
      <c r="L12" t="inlineStr">
        <is>
          <t>2 November 2026</t>
        </is>
      </c>
      <c r="M12" t="inlineStr">
        <is>
          <t>Konstruksi Bangunan Prasarana Sumber Daya Air, Konstruksi Bangunan Sipil Jalan, Konstruksi Jaringan Irigasi dan Drainase</t>
        </is>
      </c>
      <c r="N12" t="inlineStr">
        <is>
          <t>K</t>
        </is>
      </c>
      <c r="O12" t="inlineStr">
        <is>
          <t>20231102</t>
        </is>
      </c>
      <c r="P12" t="inlineStr">
        <is>
          <t>Jawa Barat</t>
        </is>
      </c>
      <c r="Q12" s="3">
        <f>HYPERLINK("https://wa.me/6281808076671?text=Selamat siang Bapak/Ibu pimpinan PUTRA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RAZWA SAPUTRA</t>
        </is>
      </c>
      <c r="B13" t="inlineStr">
        <is>
          <t>Kab. Bogor</t>
        </is>
      </c>
      <c r="C13" t="inlineStr">
        <is>
          <t>081319505279</t>
        </is>
      </c>
      <c r="D13" t="inlineStr">
        <is>
          <t>cv.razwasaputra@yahoo.co.id</t>
        </is>
      </c>
      <c r="E13" t="inlineStr">
        <is>
          <t>https://lpjk.pu.go.id/search-badan-usaha-detail/LzR5RjBCd1BhNThISXNvS2ZlVlUyZz09</t>
        </is>
      </c>
      <c r="F13" t="n">
        <v>3</v>
      </c>
      <c r="G13" t="inlineStr">
        <is>
          <t>BG006, BG009, BS004</t>
        </is>
      </c>
      <c r="H13" t="inlineStr">
        <is>
          <t>11 November 2011</t>
        </is>
      </c>
      <c r="I13" s="2" t="n">
        <v>46328</v>
      </c>
      <c r="J13" t="inlineStr">
        <is>
          <t>Disetujui</t>
        </is>
      </c>
      <c r="K13" t="n">
        <v>90</v>
      </c>
      <c r="L13" t="inlineStr">
        <is>
          <t>2 November 2026</t>
        </is>
      </c>
      <c r="M13" t="inlineStr">
        <is>
          <t>Konstruksi Gedung Lainnya, Konstruksi Gedung Pendidikan, Konstruksi Jaringan Irigasi dan Drainase</t>
        </is>
      </c>
      <c r="N13" t="inlineStr">
        <is>
          <t>K</t>
        </is>
      </c>
      <c r="O13" t="inlineStr">
        <is>
          <t>20231018</t>
        </is>
      </c>
      <c r="P13" t="inlineStr">
        <is>
          <t>Jawa Barat</t>
        </is>
      </c>
      <c r="Q13" s="3">
        <f>HYPERLINK("https://wa.me/6281319505279?text=Selamat siang Bapak/Ibu pimpinan RAZWA SAPUTRA,%0A%0ASemoga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REKA YASA DINAMIKA</t>
        </is>
      </c>
      <c r="B14" t="inlineStr">
        <is>
          <t>Kota Bekasi</t>
        </is>
      </c>
      <c r="C14" t="inlineStr">
        <is>
          <t>0218457836</t>
        </is>
      </c>
      <c r="D14" t="inlineStr">
        <is>
          <t>pt_rekayasa_dinamika@yahoo.com</t>
        </is>
      </c>
      <c r="E14" t="inlineStr">
        <is>
          <t>https://lpjk.pu.go.id/search-badan-usaha-detail/WWNCZkNVQkd5UEdGa0h3dmZQMXg2dz09</t>
        </is>
      </c>
      <c r="F14" t="n">
        <v>1</v>
      </c>
      <c r="G14" t="inlineStr">
        <is>
          <t>AR002</t>
        </is>
      </c>
      <c r="H14" t="inlineStr">
        <is>
          <t>2 Juni 2021</t>
        </is>
      </c>
      <c r="I14" s="2" t="n">
        <v>46328</v>
      </c>
      <c r="J14" t="inlineStr">
        <is>
          <t>Disetujui</t>
        </is>
      </c>
      <c r="K14" t="n">
        <v>90</v>
      </c>
      <c r="L14" t="inlineStr">
        <is>
          <t>2 November 2026</t>
        </is>
      </c>
      <c r="M14" t="inlineStr">
        <is>
          <t>Jasa Arsitektural Lainnya</t>
        </is>
      </c>
      <c r="N14" t="inlineStr">
        <is>
          <t>K</t>
        </is>
      </c>
      <c r="O14" t="inlineStr">
        <is>
          <t>20231006</t>
        </is>
      </c>
      <c r="P14" t="inlineStr">
        <is>
          <t>Jawa Barat</t>
        </is>
      </c>
      <c r="Q14" t="inlineStr"/>
    </row>
    <row r="15">
      <c r="A15" t="inlineStr">
        <is>
          <t>SNIBRAHIM JAYA KONSULTAN</t>
        </is>
      </c>
      <c r="B15" t="inlineStr">
        <is>
          <t>Kota Depok</t>
        </is>
      </c>
      <c r="C15" t="inlineStr">
        <is>
          <t>02177833772</t>
        </is>
      </c>
      <c r="D15" t="inlineStr">
        <is>
          <t>sjk_ibrahim@yahoo.com</t>
        </is>
      </c>
      <c r="E15" t="inlineStr">
        <is>
          <t>https://lpjk.pu.go.id/search-badan-usaha-detail/eVJDWEV1UFc3eUhMM1ZJUCt0bGlSdz09</t>
        </is>
      </c>
      <c r="F15" t="n">
        <v>1</v>
      </c>
      <c r="G15" t="inlineStr">
        <is>
          <t>RK002</t>
        </is>
      </c>
      <c r="H15" t="inlineStr">
        <is>
          <t>21 Juni 2016</t>
        </is>
      </c>
      <c r="I15" s="2" t="n">
        <v>46328</v>
      </c>
      <c r="J15" t="inlineStr">
        <is>
          <t>Disetujui</t>
        </is>
      </c>
      <c r="K15" t="n">
        <v>90</v>
      </c>
      <c r="L15" t="inlineStr">
        <is>
          <t>2 November 2026</t>
        </is>
      </c>
      <c r="M15" t="inlineStr">
        <is>
          <t>Jasa Rekayasa Pekerjaan Teknik Sipil Sumber Daya Air</t>
        </is>
      </c>
      <c r="N15" t="inlineStr">
        <is>
          <t>K</t>
        </is>
      </c>
      <c r="O15" t="inlineStr">
        <is>
          <t>20231011</t>
        </is>
      </c>
      <c r="P15" t="inlineStr">
        <is>
          <t>Jawa Barat</t>
        </is>
      </c>
      <c r="Q15" t="inlineStr"/>
    </row>
    <row r="16">
      <c r="A16" t="inlineStr">
        <is>
          <t>WIDYAMITA</t>
        </is>
      </c>
      <c r="B16" t="inlineStr">
        <is>
          <t>Kota Adm. Jakarta Timur</t>
        </is>
      </c>
      <c r="C16" t="inlineStr">
        <is>
          <t>02122875922</t>
        </is>
      </c>
      <c r="D16" t="inlineStr">
        <is>
          <t>widyamita@gmail.com</t>
        </is>
      </c>
      <c r="E16" t="inlineStr">
        <is>
          <t>https://lpjk.pu.go.id/search-badan-usaha-detail/bUFjS3hHalVaVjRzU25ZeWs5Y3IyZz09</t>
        </is>
      </c>
      <c r="F16" t="n">
        <v>1</v>
      </c>
      <c r="G16" t="inlineStr">
        <is>
          <t>PB010</t>
        </is>
      </c>
      <c r="H16" t="inlineStr">
        <is>
          <t>9 Agustus 2007</t>
        </is>
      </c>
      <c r="I16" s="2" t="n">
        <v>46328</v>
      </c>
      <c r="J16" t="inlineStr">
        <is>
          <t>Pencabutan</t>
        </is>
      </c>
      <c r="K16" t="n">
        <v>90</v>
      </c>
      <c r="L16" t="inlineStr">
        <is>
          <t>2 November 2026</t>
        </is>
      </c>
      <c r="M16" t="inlineStr">
        <is>
          <t>Pekerjaan Lanskap, Pertamanan, dan Penanaman Vegetasi</t>
        </is>
      </c>
      <c r="N16" t="inlineStr">
        <is>
          <t>Spesialis</t>
        </is>
      </c>
      <c r="O16" t="inlineStr">
        <is>
          <t>20231101</t>
        </is>
      </c>
      <c r="P16" t="inlineStr">
        <is>
          <t>DKI Jakarta</t>
        </is>
      </c>
      <c r="Q16" t="inlineStr"/>
    </row>
    <row r="17">
      <c r="A17" t="inlineStr">
        <is>
          <t>AGAM ANAK NEGERI</t>
        </is>
      </c>
      <c r="B17" t="inlineStr">
        <is>
          <t>Kab. Trenggalek</t>
        </is>
      </c>
      <c r="C17" t="inlineStr">
        <is>
          <t>082137624395</t>
        </is>
      </c>
      <c r="D17" t="inlineStr">
        <is>
          <t>cvagamanaknegeri@gmail.com</t>
        </is>
      </c>
      <c r="E17" t="inlineStr">
        <is>
          <t>https://lpjk.pu.go.id/search-badan-usaha-detail/MmxXTDVsMy9ab3dkVnhBRXpnNTlrQT09</t>
        </is>
      </c>
      <c r="F17" t="n">
        <v>1</v>
      </c>
      <c r="G17" t="inlineStr">
        <is>
          <t>BG009</t>
        </is>
      </c>
      <c r="H17" t="inlineStr">
        <is>
          <t>13 Oktober 2023</t>
        </is>
      </c>
      <c r="I17" s="2" t="n">
        <v>46328</v>
      </c>
      <c r="J17" t="inlineStr">
        <is>
          <t>Disetujui</t>
        </is>
      </c>
      <c r="K17" t="n">
        <v>90</v>
      </c>
      <c r="L17" t="inlineStr">
        <is>
          <t>2 November 2026</t>
        </is>
      </c>
      <c r="M17" t="inlineStr">
        <is>
          <t>Konstruksi Gedung Lainnya</t>
        </is>
      </c>
      <c r="N17" t="inlineStr">
        <is>
          <t>K</t>
        </is>
      </c>
      <c r="O17" t="inlineStr">
        <is>
          <t>20231102</t>
        </is>
      </c>
      <c r="P17" t="inlineStr">
        <is>
          <t>Jawa Timur</t>
        </is>
      </c>
      <c r="Q17" t="inlineStr"/>
    </row>
    <row r="18">
      <c r="A18" t="inlineStr">
        <is>
          <t>AGUNG WASKITA</t>
        </is>
      </c>
      <c r="B18" t="inlineStr">
        <is>
          <t>Kota Surakarta</t>
        </is>
      </c>
      <c r="C18" t="inlineStr">
        <is>
          <t>0271716810</t>
        </is>
      </c>
      <c r="D18" t="inlineStr">
        <is>
          <t>pt.agungwaskita@yahoo.co.id</t>
        </is>
      </c>
      <c r="E18" t="inlineStr">
        <is>
          <t>https://lpjk.pu.go.id/search-badan-usaha-detail/bmZBblNtWGtYaVA1ekE1WjFCSXpJQT09</t>
        </is>
      </c>
      <c r="F18" t="n">
        <v>2</v>
      </c>
      <c r="G18" t="inlineStr">
        <is>
          <t>BG001</t>
        </is>
      </c>
      <c r="H18" t="inlineStr">
        <is>
          <t>25 Juli 1995</t>
        </is>
      </c>
      <c r="I18" s="2" t="n">
        <v>46328</v>
      </c>
      <c r="J18" t="inlineStr">
        <is>
          <t>Disetujui</t>
        </is>
      </c>
      <c r="K18" t="n">
        <v>90</v>
      </c>
      <c r="L18" t="inlineStr">
        <is>
          <t>2 November 2026</t>
        </is>
      </c>
      <c r="M18" t="inlineStr">
        <is>
          <t>Konstruksi Gedung Hunian</t>
        </is>
      </c>
      <c r="N18" t="inlineStr">
        <is>
          <t>K</t>
        </is>
      </c>
      <c r="O18" t="inlineStr">
        <is>
          <t>20231101</t>
        </is>
      </c>
      <c r="P18" t="inlineStr">
        <is>
          <t>Jawa Tengah</t>
        </is>
      </c>
      <c r="Q18" t="inlineStr"/>
    </row>
    <row r="19">
      <c r="A19" t="inlineStr">
        <is>
          <t>AIRMAS SELARAS ARTHA</t>
        </is>
      </c>
      <c r="B19" t="inlineStr">
        <is>
          <t>Kota Adm. Jakarta Pusat</t>
        </is>
      </c>
      <c r="C19" t="inlineStr">
        <is>
          <t>0213105314</t>
        </is>
      </c>
      <c r="D19" t="inlineStr">
        <is>
          <t>airmasselarasartha@gmail.com</t>
        </is>
      </c>
      <c r="E19" t="inlineStr">
        <is>
          <t>https://lpjk.pu.go.id/search-badan-usaha-detail/WGU2SlIwOWo2TUNnRGk3UDdqL3R4QT09</t>
        </is>
      </c>
      <c r="F19" t="n">
        <v>2</v>
      </c>
      <c r="G19" t="inlineStr">
        <is>
          <t>BG008, BG009</t>
        </is>
      </c>
      <c r="H19" t="inlineStr">
        <is>
          <t>22 Februari 2022</t>
        </is>
      </c>
      <c r="I19" s="2" t="n">
        <v>46328</v>
      </c>
      <c r="J19" t="inlineStr">
        <is>
          <t>Disetujui</t>
        </is>
      </c>
      <c r="K19" t="n">
        <v>90</v>
      </c>
      <c r="L19" t="inlineStr">
        <is>
          <t>2 November 2026</t>
        </is>
      </c>
      <c r="M19" t="inlineStr">
        <is>
          <t>Konstruksi Gedung Lainnya, Konstruksi Gedung Tempat Hiburan dan Olahraga</t>
        </is>
      </c>
      <c r="N19" t="inlineStr">
        <is>
          <t>K</t>
        </is>
      </c>
      <c r="O19" t="inlineStr">
        <is>
          <t>20231103</t>
        </is>
      </c>
      <c r="P19" t="inlineStr">
        <is>
          <t>DKI Jakarta</t>
        </is>
      </c>
      <c r="Q19" t="inlineStr"/>
    </row>
    <row r="20">
      <c r="A20" t="inlineStr">
        <is>
          <t>AISYAH PUTRI PERMATA</t>
        </is>
      </c>
      <c r="B20" t="inlineStr">
        <is>
          <t>Kab. Polewali Mandar</t>
        </is>
      </c>
      <c r="C20" t="inlineStr">
        <is>
          <t>082182363979</t>
        </is>
      </c>
      <c r="D20" t="inlineStr">
        <is>
          <t>aisyahcv023@gmail.com</t>
        </is>
      </c>
      <c r="E20" t="inlineStr">
        <is>
          <t>https://lpjk.pu.go.id/search-badan-usaha-detail/c3FmK2dXeWY2cWJkVTZSai9Qa05Ydz09</t>
        </is>
      </c>
      <c r="F20" t="n">
        <v>2</v>
      </c>
      <c r="G20" t="inlineStr">
        <is>
          <t>BG006</t>
        </is>
      </c>
      <c r="H20" t="inlineStr">
        <is>
          <t>7 September 2023</t>
        </is>
      </c>
      <c r="I20" s="2" t="n">
        <v>46328</v>
      </c>
      <c r="J20" t="inlineStr">
        <is>
          <t>Pencabutan</t>
        </is>
      </c>
      <c r="K20" t="n">
        <v>90</v>
      </c>
      <c r="L20" t="inlineStr">
        <is>
          <t>2 November 2026</t>
        </is>
      </c>
      <c r="M20" t="inlineStr">
        <is>
          <t>Konstruksi Gedung Pendidikan</t>
        </is>
      </c>
      <c r="N20" t="inlineStr">
        <is>
          <t>K</t>
        </is>
      </c>
      <c r="O20" t="inlineStr">
        <is>
          <t>20230929</t>
        </is>
      </c>
      <c r="P20" t="inlineStr">
        <is>
          <t>Sulawesi Barat</t>
        </is>
      </c>
      <c r="Q20" t="inlineStr"/>
    </row>
    <row r="21">
      <c r="A21" t="inlineStr">
        <is>
          <t>AKSA INDO MANUFAKTUR</t>
        </is>
      </c>
      <c r="B21" t="inlineStr">
        <is>
          <t>Kota Palu</t>
        </is>
      </c>
      <c r="C21" t="inlineStr">
        <is>
          <t>08114534393</t>
        </is>
      </c>
      <c r="D21" t="inlineStr">
        <is>
          <t>aksaindomanufaktur@gmail.com</t>
        </is>
      </c>
      <c r="E21" t="inlineStr">
        <is>
          <t>https://lpjk.pu.go.id/search-badan-usaha-detail/L1B1WkZTR1dpTUIzVkRXSkpJL01vdz09</t>
        </is>
      </c>
      <c r="F21" t="n">
        <v>1</v>
      </c>
      <c r="G21" t="inlineStr">
        <is>
          <t>BG005</t>
        </is>
      </c>
      <c r="H21" t="inlineStr">
        <is>
          <t>9 Januari 2023</t>
        </is>
      </c>
      <c r="I21" s="2" t="n">
        <v>46328</v>
      </c>
      <c r="J21" t="inlineStr">
        <is>
          <t>Disetujui</t>
        </is>
      </c>
      <c r="K21" t="n">
        <v>90</v>
      </c>
      <c r="L21" t="inlineStr">
        <is>
          <t>2 November 2026</t>
        </is>
      </c>
      <c r="M21" t="inlineStr">
        <is>
          <t>Konstruksi Gedung Kesehatan</t>
        </is>
      </c>
      <c r="N21" t="inlineStr">
        <is>
          <t>K</t>
        </is>
      </c>
      <c r="O21" t="inlineStr">
        <is>
          <t>20231025</t>
        </is>
      </c>
      <c r="P21" t="inlineStr">
        <is>
          <t>Sulawesi Tengah</t>
        </is>
      </c>
      <c r="Q21" t="inlineStr"/>
    </row>
    <row r="22">
      <c r="A22" t="inlineStr">
        <is>
          <t>AMARTA ARSY PERDANA</t>
        </is>
      </c>
      <c r="B22" t="inlineStr">
        <is>
          <t>Kab. Banyumas</t>
        </is>
      </c>
      <c r="C22" t="inlineStr">
        <is>
          <t>085156651668</t>
        </is>
      </c>
      <c r="D22" t="inlineStr">
        <is>
          <t>cv.amartaarsyperdana@gmail.com</t>
        </is>
      </c>
      <c r="E22" t="inlineStr">
        <is>
          <t>https://lpjk.pu.go.id/search-badan-usaha-detail/WkcwZ00yYTMyb2NuNElINlBvQ1ErQT09</t>
        </is>
      </c>
      <c r="F22" t="n">
        <v>2</v>
      </c>
      <c r="G22" t="inlineStr">
        <is>
          <t>BS006</t>
        </is>
      </c>
      <c r="H22" t="inlineStr">
        <is>
          <t>7 Juni 2017</t>
        </is>
      </c>
      <c r="I22" s="2" t="n">
        <v>46328</v>
      </c>
      <c r="J22" t="inlineStr">
        <is>
          <t>Disetujui</t>
        </is>
      </c>
      <c r="K22" t="n">
        <v>90</v>
      </c>
      <c r="L22" t="inlineStr">
        <is>
          <t>2 November 2026</t>
        </is>
      </c>
      <c r="M22" t="inlineStr">
        <is>
          <t>Konstruksi Bangunan Sipil Prasarana dan Sarana Sistem Pengolahan Limbah Padat, Cair, dan Gas</t>
        </is>
      </c>
      <c r="N22" t="inlineStr">
        <is>
          <t>K</t>
        </is>
      </c>
      <c r="O22" t="inlineStr">
        <is>
          <t>20231030</t>
        </is>
      </c>
      <c r="P22" t="inlineStr">
        <is>
          <t>Jawa Tengah</t>
        </is>
      </c>
      <c r="Q22" t="inlineStr"/>
    </row>
    <row r="23">
      <c r="A23" t="inlineStr">
        <is>
          <t>ANGGREK MAS JAYA</t>
        </is>
      </c>
      <c r="B23" t="inlineStr">
        <is>
          <t>Kota Batam</t>
        </is>
      </c>
      <c r="C23" t="inlineStr">
        <is>
          <t>081991095091</t>
        </is>
      </c>
      <c r="D23" t="inlineStr">
        <is>
          <t>cv.amj321@gmail.com</t>
        </is>
      </c>
      <c r="E23" t="inlineStr">
        <is>
          <t>https://lpjk.pu.go.id/search-badan-usaha-detail/dHNvbXRlcExjUVRJZzM5V28vS1pNdz09</t>
        </is>
      </c>
      <c r="F23" t="n">
        <v>1</v>
      </c>
      <c r="G23" t="inlineStr">
        <is>
          <t>BG006</t>
        </is>
      </c>
      <c r="H23" t="inlineStr">
        <is>
          <t>13 Oktober 2023</t>
        </is>
      </c>
      <c r="I23" s="2" t="n">
        <v>46328</v>
      </c>
      <c r="J23" t="inlineStr">
        <is>
          <t>Disetujui</t>
        </is>
      </c>
      <c r="K23" t="n">
        <v>90</v>
      </c>
      <c r="L23" t="inlineStr">
        <is>
          <t>2 November 2026</t>
        </is>
      </c>
      <c r="M23" t="inlineStr">
        <is>
          <t>Konstruksi Gedung Pendidikan</t>
        </is>
      </c>
      <c r="N23" t="inlineStr">
        <is>
          <t>K</t>
        </is>
      </c>
      <c r="O23" t="inlineStr">
        <is>
          <t>20231031</t>
        </is>
      </c>
      <c r="P23" t="inlineStr">
        <is>
          <t>Kepulauan Riau</t>
        </is>
      </c>
      <c r="Q23" t="inlineStr"/>
    </row>
    <row r="24">
      <c r="A24" t="inlineStr">
        <is>
          <t>ANUGERAH</t>
        </is>
      </c>
      <c r="B24" t="inlineStr">
        <is>
          <t>Kota Mataram</t>
        </is>
      </c>
      <c r="C24" t="inlineStr">
        <is>
          <t>08175775512</t>
        </is>
      </c>
      <c r="D24" t="inlineStr">
        <is>
          <t>ceve.anugerah@yahoo.com</t>
        </is>
      </c>
      <c r="E24" t="inlineStr">
        <is>
          <t>https://lpjk.pu.go.id/search-badan-usaha-detail/MHUzVTduZHJSYUl5WXozcS9idGN5Zz09</t>
        </is>
      </c>
      <c r="F24" t="n">
        <v>1</v>
      </c>
      <c r="G24" t="inlineStr">
        <is>
          <t>BG001</t>
        </is>
      </c>
      <c r="H24" t="inlineStr">
        <is>
          <t>29 Oktober 1993</t>
        </is>
      </c>
      <c r="I24" s="2" t="n">
        <v>46328</v>
      </c>
      <c r="J24" t="inlineStr">
        <is>
          <t>Pencabutan</t>
        </is>
      </c>
      <c r="K24" t="n">
        <v>90</v>
      </c>
      <c r="L24" t="inlineStr">
        <is>
          <t>2 November 2026</t>
        </is>
      </c>
      <c r="M24" t="inlineStr">
        <is>
          <t>Konstruksi Gedung Hunian</t>
        </is>
      </c>
      <c r="N24" t="inlineStr">
        <is>
          <t>K</t>
        </is>
      </c>
      <c r="O24" t="inlineStr">
        <is>
          <t>20231030</t>
        </is>
      </c>
      <c r="P24" t="inlineStr">
        <is>
          <t>Nusa Tenggara Barat</t>
        </is>
      </c>
      <c r="Q24" t="inlineStr"/>
    </row>
    <row r="25">
      <c r="A25" t="inlineStr">
        <is>
          <t>ANUGRAH BRUNO KITA</t>
        </is>
      </c>
      <c r="B25" t="inlineStr">
        <is>
          <t>Kab. Purworejo</t>
        </is>
      </c>
      <c r="C25" t="inlineStr">
        <is>
          <t>082134694332</t>
        </is>
      </c>
      <c r="D25" t="inlineStr">
        <is>
          <t>cv.abk2023@gmail.com</t>
        </is>
      </c>
      <c r="E25" t="inlineStr">
        <is>
          <t>https://lpjk.pu.go.id/search-badan-usaha-detail/T1ZMT3JUd2thUWk2ZkhrVVNNYU9odz09</t>
        </is>
      </c>
      <c r="F25" t="n">
        <v>2</v>
      </c>
      <c r="G25" t="inlineStr">
        <is>
          <t>BS005</t>
        </is>
      </c>
      <c r="H25" t="inlineStr">
        <is>
          <t>13 September 2023</t>
        </is>
      </c>
      <c r="I25" s="2" t="n">
        <v>46328</v>
      </c>
      <c r="J25" t="inlineStr">
        <is>
          <t>Disetujui</t>
        </is>
      </c>
      <c r="K25" t="n">
        <v>90</v>
      </c>
      <c r="L25" t="inlineStr">
        <is>
          <t>2 November 2026</t>
        </is>
      </c>
      <c r="M25" t="inlineStr">
        <is>
          <t>Konstruksi Bangunan Sipil Pengolahan Air Bersih</t>
        </is>
      </c>
      <c r="N25" t="inlineStr">
        <is>
          <t>K</t>
        </is>
      </c>
      <c r="O25" t="inlineStr">
        <is>
          <t>20231103</t>
        </is>
      </c>
      <c r="P25" t="inlineStr">
        <is>
          <t>Jawa Tengah</t>
        </is>
      </c>
      <c r="Q25" t="inlineStr"/>
    </row>
    <row r="26">
      <c r="A26" t="inlineStr">
        <is>
          <t>ARIES MUDA HUTAMA</t>
        </is>
      </c>
      <c r="B26" t="inlineStr">
        <is>
          <t>Kab. Sijunjung</t>
        </is>
      </c>
      <c r="C26" t="inlineStr">
        <is>
          <t>081266599852</t>
        </is>
      </c>
      <c r="D26" t="inlineStr">
        <is>
          <t>ariesmudahutama@gmail.com</t>
        </is>
      </c>
      <c r="E26" t="inlineStr">
        <is>
          <t>https://lpjk.pu.go.id/search-badan-usaha-detail/NlBiYTZ0VnNIUmo0REc0cVpHK0tXdz09</t>
        </is>
      </c>
      <c r="F26" t="n">
        <v>2</v>
      </c>
      <c r="G26" t="inlineStr">
        <is>
          <t>BS001</t>
        </is>
      </c>
      <c r="H26" t="inlineStr">
        <is>
          <t>5 Juni 2023</t>
        </is>
      </c>
      <c r="I26" s="2" t="n">
        <v>46328</v>
      </c>
      <c r="J26" t="inlineStr">
        <is>
          <t>Pencabutan</t>
        </is>
      </c>
      <c r="K26" t="n">
        <v>90</v>
      </c>
      <c r="L26" t="inlineStr">
        <is>
          <t>2 November 2026</t>
        </is>
      </c>
      <c r="M26" t="inlineStr">
        <is>
          <t>Konstruksi Bangunan Sipil Jalan</t>
        </is>
      </c>
      <c r="N26" t="inlineStr">
        <is>
          <t>K</t>
        </is>
      </c>
      <c r="O26" t="inlineStr">
        <is>
          <t>20231103</t>
        </is>
      </c>
      <c r="P26" t="inlineStr">
        <is>
          <t>Sumatera Barat</t>
        </is>
      </c>
      <c r="Q26" t="inlineStr"/>
    </row>
    <row r="27">
      <c r="A27" t="inlineStr">
        <is>
          <t>ARIF SEJAHTERA</t>
        </is>
      </c>
      <c r="B27" t="inlineStr">
        <is>
          <t>Kota Pontianak</t>
        </is>
      </c>
      <c r="C27" t="inlineStr">
        <is>
          <t>085828636615</t>
        </is>
      </c>
      <c r="D27" t="inlineStr">
        <is>
          <t>arifsejahtera.cvas@yahoo.com</t>
        </is>
      </c>
      <c r="E27" t="inlineStr">
        <is>
          <t>https://lpjk.pu.go.id/search-badan-usaha-detail/TEtaSUQ5M2w1K0dDN29UaFJXb1AyZz09</t>
        </is>
      </c>
      <c r="F27" t="n">
        <v>1</v>
      </c>
      <c r="G27" t="inlineStr">
        <is>
          <t>BS001</t>
        </is>
      </c>
      <c r="H27" t="inlineStr">
        <is>
          <t>28 November 2008</t>
        </is>
      </c>
      <c r="I27" s="2" t="n">
        <v>46328</v>
      </c>
      <c r="J27" t="inlineStr">
        <is>
          <t>Disetujui</t>
        </is>
      </c>
      <c r="K27" t="n">
        <v>90</v>
      </c>
      <c r="L27" t="inlineStr">
        <is>
          <t>2 November 2026</t>
        </is>
      </c>
      <c r="M27" t="inlineStr">
        <is>
          <t>Konstruksi Bangunan Sipil Jalan</t>
        </is>
      </c>
      <c r="N27" t="inlineStr">
        <is>
          <t>K</t>
        </is>
      </c>
      <c r="O27" t="inlineStr">
        <is>
          <t>20230927</t>
        </is>
      </c>
      <c r="P27" t="inlineStr">
        <is>
          <t>Kalimantan Barat</t>
        </is>
      </c>
      <c r="Q27" t="inlineStr"/>
    </row>
    <row r="28">
      <c r="A28" t="inlineStr">
        <is>
          <t>ARKANANTA GLOBAL PERSADA</t>
        </is>
      </c>
      <c r="B28" t="inlineStr">
        <is>
          <t>Kota Adm. Jakarta Utara</t>
        </is>
      </c>
      <c r="C28" t="inlineStr">
        <is>
          <t>0817206542</t>
        </is>
      </c>
      <c r="D28" t="inlineStr">
        <is>
          <t>globalpersadaa@gmail.com</t>
        </is>
      </c>
      <c r="E28" t="inlineStr">
        <is>
          <t>https://lpjk.pu.go.id/search-badan-usaha-detail/NWZ6NENXSWZMQk9sT2hDbkM5YVJ5QT09</t>
        </is>
      </c>
      <c r="F28" t="n">
        <v>4</v>
      </c>
      <c r="G28" t="inlineStr">
        <is>
          <t>BG009</t>
        </is>
      </c>
      <c r="H28" t="inlineStr">
        <is>
          <t>29 Mei 2023</t>
        </is>
      </c>
      <c r="I28" s="2" t="n">
        <v>46328</v>
      </c>
      <c r="J28" t="inlineStr">
        <is>
          <t>Disetujui</t>
        </is>
      </c>
      <c r="K28" t="n">
        <v>90</v>
      </c>
      <c r="L28" t="inlineStr">
        <is>
          <t>2 November 2026</t>
        </is>
      </c>
      <c r="M28" t="inlineStr">
        <is>
          <t>Konstruksi Gedung Lainnya</t>
        </is>
      </c>
      <c r="N28" t="inlineStr">
        <is>
          <t>K</t>
        </is>
      </c>
      <c r="O28" t="inlineStr">
        <is>
          <t>20231103</t>
        </is>
      </c>
      <c r="P28" t="inlineStr">
        <is>
          <t>DKI Jakarta</t>
        </is>
      </c>
      <c r="Q28" t="inlineStr"/>
    </row>
    <row r="29">
      <c r="A29" t="inlineStr">
        <is>
          <t>ARTHA WAHANA JAYA</t>
        </is>
      </c>
      <c r="B29" t="inlineStr">
        <is>
          <t>Kab. Pamekasan</t>
        </is>
      </c>
      <c r="C29" t="inlineStr">
        <is>
          <t>081703486677</t>
        </is>
      </c>
      <c r="D29" t="inlineStr">
        <is>
          <t>arthawahana.jaya@gmail.com</t>
        </is>
      </c>
      <c r="E29" t="inlineStr">
        <is>
          <t>https://lpjk.pu.go.id/search-badan-usaha-detail/Uk9OM0hGMUZVdFZwTEV3V2RJWGtGQT09</t>
        </is>
      </c>
      <c r="F29" t="n">
        <v>1</v>
      </c>
      <c r="G29" t="inlineStr">
        <is>
          <t>BG005</t>
        </is>
      </c>
      <c r="H29" t="inlineStr">
        <is>
          <t>23 Mei 2023</t>
        </is>
      </c>
      <c r="I29" s="2" t="n">
        <v>46328</v>
      </c>
      <c r="J29" t="inlineStr">
        <is>
          <t>Pencabutan</t>
        </is>
      </c>
      <c r="K29" t="n">
        <v>90</v>
      </c>
      <c r="L29" t="inlineStr">
        <is>
          <t>2 November 2026</t>
        </is>
      </c>
      <c r="M29" t="inlineStr">
        <is>
          <t>Konstruksi Gedung Kesehatan</t>
        </is>
      </c>
      <c r="N29" t="inlineStr">
        <is>
          <t>K</t>
        </is>
      </c>
      <c r="O29" t="inlineStr">
        <is>
          <t>20231031</t>
        </is>
      </c>
      <c r="P29" t="inlineStr">
        <is>
          <t>Jawa Timur</t>
        </is>
      </c>
      <c r="Q29" t="inlineStr"/>
    </row>
    <row r="30">
      <c r="A30" t="inlineStr">
        <is>
          <t>ASMARA KARYA</t>
        </is>
      </c>
      <c r="B30" t="inlineStr">
        <is>
          <t>Kab. Sidoarjo</t>
        </is>
      </c>
      <c r="C30" t="inlineStr">
        <is>
          <t>081357147967</t>
        </is>
      </c>
      <c r="D30" t="inlineStr">
        <is>
          <t>asmara.karya@gmail.com</t>
        </is>
      </c>
      <c r="E30" t="inlineStr">
        <is>
          <t>https://lpjk.pu.go.id/search-badan-usaha-detail/QnVjRUVtbk5ndFBKRWl1TW14Y3o2QT09</t>
        </is>
      </c>
      <c r="F30" t="n">
        <v>1</v>
      </c>
      <c r="G30" t="inlineStr">
        <is>
          <t>BS004</t>
        </is>
      </c>
      <c r="H30" t="inlineStr">
        <is>
          <t>12 September 1991</t>
        </is>
      </c>
      <c r="I30" s="2" t="n">
        <v>46328</v>
      </c>
      <c r="J30" t="inlineStr">
        <is>
          <t>Disetujui</t>
        </is>
      </c>
      <c r="K30" t="n">
        <v>90</v>
      </c>
      <c r="L30" t="inlineStr">
        <is>
          <t>2 November 2026</t>
        </is>
      </c>
      <c r="M30" t="inlineStr">
        <is>
          <t>Konstruksi Jaringan Irigasi dan Drainase</t>
        </is>
      </c>
      <c r="N30" t="inlineStr">
        <is>
          <t>K</t>
        </is>
      </c>
      <c r="O30" t="inlineStr">
        <is>
          <t>20231101</t>
        </is>
      </c>
      <c r="P30" t="inlineStr">
        <is>
          <t>Jawa Timur</t>
        </is>
      </c>
      <c r="Q30" t="inlineStr"/>
    </row>
    <row r="31">
      <c r="A31" t="inlineStr">
        <is>
          <t>ATRAQO</t>
        </is>
      </c>
      <c r="B31" t="inlineStr">
        <is>
          <t>Kab. Pandeglang</t>
        </is>
      </c>
      <c r="C31" t="inlineStr">
        <is>
          <t>087880616067</t>
        </is>
      </c>
      <c r="D31" t="inlineStr">
        <is>
          <t>cv.atraqo678@yahoo.com</t>
        </is>
      </c>
      <c r="E31" t="inlineStr">
        <is>
          <t>https://lpjk.pu.go.id/search-badan-usaha-detail/UlFaMnU4TDQ1bmNObGtWanhmN1RvUT09</t>
        </is>
      </c>
      <c r="F31" t="n">
        <v>1</v>
      </c>
      <c r="G31" t="inlineStr">
        <is>
          <t>BG006</t>
        </is>
      </c>
      <c r="H31" t="inlineStr">
        <is>
          <t>13 Maret 2012</t>
        </is>
      </c>
      <c r="I31" s="2" t="n">
        <v>46328</v>
      </c>
      <c r="J31" t="inlineStr">
        <is>
          <t>Pencabutan</t>
        </is>
      </c>
      <c r="K31" t="n">
        <v>90</v>
      </c>
      <c r="L31" t="inlineStr">
        <is>
          <t>2 November 2026</t>
        </is>
      </c>
      <c r="M31" t="inlineStr">
        <is>
          <t>Konstruksi Gedung Pendidikan</t>
        </is>
      </c>
      <c r="N31" t="inlineStr">
        <is>
          <t>K</t>
        </is>
      </c>
      <c r="O31" t="inlineStr">
        <is>
          <t>20231031</t>
        </is>
      </c>
      <c r="P31" t="inlineStr">
        <is>
          <t>Banten</t>
        </is>
      </c>
      <c r="Q31" t="inlineStr"/>
    </row>
    <row r="32">
      <c r="A32" t="inlineStr">
        <is>
          <t>AULIAN CIPTA UTAMA</t>
        </is>
      </c>
      <c r="B32" t="inlineStr">
        <is>
          <t>Kota Tangerang</t>
        </is>
      </c>
      <c r="C32" t="inlineStr">
        <is>
          <t>081388033398</t>
        </is>
      </c>
      <c r="D32" t="inlineStr">
        <is>
          <t>cvaulianciptautama@gmail.com</t>
        </is>
      </c>
      <c r="E32" t="inlineStr">
        <is>
          <t>https://lpjk.pu.go.id/search-badan-usaha-detail/T0FZN0d4aTBOZ3M1OEFFU3pDK0I2QT09</t>
        </is>
      </c>
      <c r="F32" t="n">
        <v>1</v>
      </c>
      <c r="G32" t="inlineStr">
        <is>
          <t>BS004</t>
        </is>
      </c>
      <c r="H32" t="inlineStr">
        <is>
          <t>12 Januari 2022</t>
        </is>
      </c>
      <c r="I32" s="2" t="n">
        <v>46328</v>
      </c>
      <c r="J32" t="inlineStr">
        <is>
          <t>Pencabutan</t>
        </is>
      </c>
      <c r="K32" t="n">
        <v>90</v>
      </c>
      <c r="L32" t="inlineStr">
        <is>
          <t>2 November 2026</t>
        </is>
      </c>
      <c r="M32" t="inlineStr">
        <is>
          <t>Konstruksi Jaringan Irigasi dan Drainase</t>
        </is>
      </c>
      <c r="N32" t="inlineStr">
        <is>
          <t>K</t>
        </is>
      </c>
      <c r="O32" t="inlineStr">
        <is>
          <t>20231102</t>
        </is>
      </c>
      <c r="P32" t="inlineStr">
        <is>
          <t>Banten</t>
        </is>
      </c>
      <c r="Q32" t="inlineStr"/>
    </row>
    <row r="33">
      <c r="A33" t="inlineStr">
        <is>
          <t>BANGUN PERSADA MANDIRI</t>
        </is>
      </c>
      <c r="B33" t="inlineStr">
        <is>
          <t>Kota Surabaya</t>
        </is>
      </c>
      <c r="C33" t="inlineStr">
        <is>
          <t>0318431383</t>
        </is>
      </c>
      <c r="D33" t="inlineStr">
        <is>
          <t>ptbangunpersadamandiri@gmail.com</t>
        </is>
      </c>
      <c r="E33" t="inlineStr">
        <is>
          <t>https://lpjk.pu.go.id/search-badan-usaha-detail/a2NXQytHUno0MTZ5VGNOT3RhRmtkUT09</t>
        </is>
      </c>
      <c r="F33" t="n">
        <v>1</v>
      </c>
      <c r="G33" t="inlineStr">
        <is>
          <t>BS006</t>
        </is>
      </c>
      <c r="H33" t="inlineStr">
        <is>
          <t>31 Desember 2003</t>
        </is>
      </c>
      <c r="I33" s="2" t="n">
        <v>46328</v>
      </c>
      <c r="J33" t="inlineStr">
        <is>
          <t>Disetujui</t>
        </is>
      </c>
      <c r="K33" t="n">
        <v>90</v>
      </c>
      <c r="L33" t="inlineStr">
        <is>
          <t>2 November 2026</t>
        </is>
      </c>
      <c r="M33" t="inlineStr">
        <is>
          <t>Konstruksi Bangunan Sipil Prasarana dan Sarana Sistem Pengolahan Limbah Padat, Cair, dan Gas</t>
        </is>
      </c>
      <c r="N33" t="inlineStr">
        <is>
          <t>M</t>
        </is>
      </c>
      <c r="O33" t="inlineStr">
        <is>
          <t>20231101</t>
        </is>
      </c>
      <c r="P33" t="inlineStr">
        <is>
          <t>Jawa Timur</t>
        </is>
      </c>
      <c r="Q33" t="inlineStr"/>
    </row>
    <row r="34">
      <c r="A34" t="inlineStr">
        <is>
          <t>BAYU UTAMA</t>
        </is>
      </c>
      <c r="B34" t="inlineStr">
        <is>
          <t>Kab. Bantul</t>
        </is>
      </c>
      <c r="C34" t="inlineStr">
        <is>
          <t>0274368452</t>
        </is>
      </c>
      <c r="D34" t="inlineStr">
        <is>
          <t>ptbayuutama@yahoo.com</t>
        </is>
      </c>
      <c r="E34" t="inlineStr">
        <is>
          <t>https://lpjk.pu.go.id/search-badan-usaha-detail/bTVmbXE5SzV6ZzM4WmZGbElXeHhUdz09</t>
        </is>
      </c>
      <c r="F34" t="n">
        <v>1</v>
      </c>
      <c r="G34" t="inlineStr">
        <is>
          <t>BS001</t>
        </is>
      </c>
      <c r="H34" t="inlineStr">
        <is>
          <t>30 Maret 1978</t>
        </is>
      </c>
      <c r="I34" s="2" t="n">
        <v>46328</v>
      </c>
      <c r="J34" t="inlineStr">
        <is>
          <t>Disetujui</t>
        </is>
      </c>
      <c r="K34" t="n">
        <v>90</v>
      </c>
      <c r="L34" t="inlineStr">
        <is>
          <t>2 November 2026</t>
        </is>
      </c>
      <c r="M34" t="inlineStr">
        <is>
          <t>Konstruksi Bangunan Sipil Jalan</t>
        </is>
      </c>
      <c r="N34" t="inlineStr">
        <is>
          <t>M</t>
        </is>
      </c>
      <c r="O34" t="inlineStr">
        <is>
          <t>20231030</t>
        </is>
      </c>
      <c r="P34" t="inlineStr">
        <is>
          <t>DI Yogyakarta</t>
        </is>
      </c>
      <c r="Q34" t="inlineStr"/>
    </row>
    <row r="35">
      <c r="A35" t="inlineStr">
        <is>
          <t>BERKAH TENAGA MUDA</t>
        </is>
      </c>
      <c r="B35" t="inlineStr">
        <is>
          <t>Kab. Mojokerto</t>
        </is>
      </c>
      <c r="C35" t="inlineStr">
        <is>
          <t>081252214045</t>
        </is>
      </c>
      <c r="D35" t="inlineStr">
        <is>
          <t>cvberkahtenagamuda@gmail.com</t>
        </is>
      </c>
      <c r="E35" t="inlineStr">
        <is>
          <t>https://lpjk.pu.go.id/search-badan-usaha-detail/cGRqR1R3VnhNVnZhcW4rN25yc3kxQT09</t>
        </is>
      </c>
      <c r="F35" t="n">
        <v>4</v>
      </c>
      <c r="G35" t="inlineStr">
        <is>
          <t>BG006, BG009</t>
        </is>
      </c>
      <c r="H35" t="inlineStr">
        <is>
          <t>3 Agustus 2023</t>
        </is>
      </c>
      <c r="I35" s="2" t="n">
        <v>46328</v>
      </c>
      <c r="J35" t="inlineStr">
        <is>
          <t>Disetujui</t>
        </is>
      </c>
      <c r="K35" t="n">
        <v>90</v>
      </c>
      <c r="L35" t="inlineStr">
        <is>
          <t>2 November 2026</t>
        </is>
      </c>
      <c r="M35" t="inlineStr">
        <is>
          <t>Konstruksi Gedung Lainnya, Konstruksi Gedung Pendidikan</t>
        </is>
      </c>
      <c r="N35" t="inlineStr">
        <is>
          <t>K</t>
        </is>
      </c>
      <c r="O35" t="inlineStr">
        <is>
          <t>20231031, 20231101</t>
        </is>
      </c>
      <c r="P35" t="inlineStr">
        <is>
          <t>Jawa Timur</t>
        </is>
      </c>
      <c r="Q35" t="inlineStr"/>
    </row>
    <row r="36">
      <c r="A36" t="inlineStr">
        <is>
          <t>BIMO MANDALA SAKTI</t>
        </is>
      </c>
      <c r="B36" t="inlineStr">
        <is>
          <t>Kota Kendari</t>
        </is>
      </c>
      <c r="C36" t="inlineStr">
        <is>
          <t>0811402299</t>
        </is>
      </c>
      <c r="D36" t="inlineStr">
        <is>
          <t>bimomandalasakti@gmail.com</t>
        </is>
      </c>
      <c r="E36" t="inlineStr">
        <is>
          <t>https://lpjk.pu.go.id/search-badan-usaha-detail/SjkybGRBeGNCd3lPY2xMQ2dsdlNvZz09</t>
        </is>
      </c>
      <c r="F36" t="n">
        <v>1</v>
      </c>
      <c r="G36" t="inlineStr">
        <is>
          <t>BG009</t>
        </is>
      </c>
      <c r="H36" t="inlineStr">
        <is>
          <t>13 Januari 2005</t>
        </is>
      </c>
      <c r="I36" s="2" t="n">
        <v>46328</v>
      </c>
      <c r="J36" t="inlineStr">
        <is>
          <t>Disetujui</t>
        </is>
      </c>
      <c r="K36" t="n">
        <v>90</v>
      </c>
      <c r="L36" t="inlineStr">
        <is>
          <t>2 November 2026</t>
        </is>
      </c>
      <c r="M36" t="inlineStr">
        <is>
          <t>Konstruksi Gedung Lainnya</t>
        </is>
      </c>
      <c r="N36" t="inlineStr">
        <is>
          <t>K</t>
        </is>
      </c>
      <c r="O36" t="inlineStr">
        <is>
          <t>20231101</t>
        </is>
      </c>
      <c r="P36" t="inlineStr">
        <is>
          <t>Sulawesi Tenggara</t>
        </is>
      </c>
      <c r="Q36" t="inlineStr"/>
    </row>
    <row r="37">
      <c r="A37" t="inlineStr">
        <is>
          <t>BINAGUNA CITRASEJATI</t>
        </is>
      </c>
      <c r="B37" t="inlineStr">
        <is>
          <t>Kab. Sleman</t>
        </is>
      </c>
      <c r="C37" t="inlineStr">
        <is>
          <t>08112831487</t>
        </is>
      </c>
      <c r="D37" t="inlineStr">
        <is>
          <t>binaguna.legal@gmail.com</t>
        </is>
      </c>
      <c r="E37" t="inlineStr">
        <is>
          <t>https://lpjk.pu.go.id/search-badan-usaha-detail/OTUvV3NqelIyNDRDOHJkLzFRTkh1UT09</t>
        </is>
      </c>
      <c r="F37" t="n">
        <v>1</v>
      </c>
      <c r="G37" t="inlineStr">
        <is>
          <t>BG003</t>
        </is>
      </c>
      <c r="H37" t="inlineStr">
        <is>
          <t>21 Maret 1997</t>
        </is>
      </c>
      <c r="I37" s="2" t="n">
        <v>46328</v>
      </c>
      <c r="J37" t="inlineStr">
        <is>
          <t>Pembekuan</t>
        </is>
      </c>
      <c r="K37" t="n">
        <v>90</v>
      </c>
      <c r="L37" t="inlineStr">
        <is>
          <t>2 November 2026</t>
        </is>
      </c>
      <c r="M37" t="inlineStr">
        <is>
          <t>Konstruksi Gedung Industri</t>
        </is>
      </c>
      <c r="N37" t="inlineStr">
        <is>
          <t>M</t>
        </is>
      </c>
      <c r="O37" t="inlineStr">
        <is>
          <t>20231007</t>
        </is>
      </c>
      <c r="P37" t="inlineStr">
        <is>
          <t>DI Yogyakarta</t>
        </is>
      </c>
      <c r="Q37" t="inlineStr"/>
    </row>
    <row r="38">
      <c r="A38" t="inlineStr">
        <is>
          <t>BINTANG ADHARA</t>
        </is>
      </c>
      <c r="B38" t="inlineStr">
        <is>
          <t>Kab. Garut</t>
        </is>
      </c>
      <c r="C38" t="inlineStr">
        <is>
          <t>085210838077</t>
        </is>
      </c>
      <c r="D38" t="inlineStr">
        <is>
          <t>cv.bintangadhara@gmail.com</t>
        </is>
      </c>
      <c r="E38" t="inlineStr">
        <is>
          <t>https://lpjk.pu.go.id/search-badan-usaha-detail/Y3QxeXc0YUlmWFZrK2EvZWJUT2dvdz09</t>
        </is>
      </c>
      <c r="F38" t="n">
        <v>2</v>
      </c>
      <c r="G38" t="inlineStr">
        <is>
          <t>BS002</t>
        </is>
      </c>
      <c r="H38" t="inlineStr">
        <is>
          <t>4 April 2019</t>
        </is>
      </c>
      <c r="I38" s="2" t="n">
        <v>46328</v>
      </c>
      <c r="J38" t="inlineStr">
        <is>
          <t>Disetujui</t>
        </is>
      </c>
      <c r="K38" t="n">
        <v>90</v>
      </c>
      <c r="L38" t="inlineStr">
        <is>
          <t>2 November 2026</t>
        </is>
      </c>
      <c r="M38" t="inlineStr">
        <is>
          <t>Bangunan Sipil Jembatan, Jalan Layang, Fly Over, dan Underpass</t>
        </is>
      </c>
      <c r="N38" t="inlineStr">
        <is>
          <t>K</t>
        </is>
      </c>
      <c r="O38" t="inlineStr">
        <is>
          <t>20231102</t>
        </is>
      </c>
      <c r="P38" t="inlineStr">
        <is>
          <t>Jawa Barat</t>
        </is>
      </c>
      <c r="Q38" t="inlineStr"/>
    </row>
    <row r="39">
      <c r="A39" t="inlineStr">
        <is>
          <t>BINTANG KEJAYAAN</t>
        </is>
      </c>
      <c r="B39" t="inlineStr">
        <is>
          <t>Kab. Muara Enim</t>
        </is>
      </c>
      <c r="C39" t="inlineStr">
        <is>
          <t>085208175787</t>
        </is>
      </c>
      <c r="D39" t="inlineStr">
        <is>
          <t>azhariktm745@gmail.com</t>
        </is>
      </c>
      <c r="E39" t="inlineStr">
        <is>
          <t>https://lpjk.pu.go.id/search-badan-usaha-detail/N3FRMS9SSytNRWs1QUJUVWhWdnRsZz09</t>
        </is>
      </c>
      <c r="F39" t="n">
        <v>2</v>
      </c>
      <c r="G39" t="inlineStr">
        <is>
          <t>BS001</t>
        </is>
      </c>
      <c r="H39" t="inlineStr">
        <is>
          <t>14 Januari 2020</t>
        </is>
      </c>
      <c r="I39" s="2" t="n">
        <v>46328</v>
      </c>
      <c r="J39" t="inlineStr">
        <is>
          <t>Disetujui</t>
        </is>
      </c>
      <c r="K39" t="n">
        <v>90</v>
      </c>
      <c r="L39" t="inlineStr">
        <is>
          <t>2 November 2026</t>
        </is>
      </c>
      <c r="M39" t="inlineStr">
        <is>
          <t>Konstruksi Bangunan Sipil Jalan</t>
        </is>
      </c>
      <c r="N39" t="inlineStr">
        <is>
          <t>K</t>
        </is>
      </c>
      <c r="O39" t="inlineStr">
        <is>
          <t>20231031</t>
        </is>
      </c>
      <c r="P39" t="inlineStr">
        <is>
          <t>Sumatera Selatan</t>
        </is>
      </c>
      <c r="Q39" t="inlineStr"/>
    </row>
    <row r="40">
      <c r="A40" t="inlineStr">
        <is>
          <t>BUMI MAKMUR</t>
        </is>
      </c>
      <c r="B40" t="inlineStr">
        <is>
          <t>Kota Banda Aceh</t>
        </is>
      </c>
      <c r="C40" t="inlineStr">
        <is>
          <t>081375304672</t>
        </is>
      </c>
      <c r="D40" t="inlineStr">
        <is>
          <t>cv.bumimakmur19@gmail.com</t>
        </is>
      </c>
      <c r="E40" t="inlineStr">
        <is>
          <t>https://lpjk.pu.go.id/search-badan-usaha-detail/VGwvL0NBYUJjeFlRUG5ZNnVhcEFuUT09</t>
        </is>
      </c>
      <c r="F40" t="n">
        <v>3</v>
      </c>
      <c r="G40" t="inlineStr">
        <is>
          <t>BG001, BG008, BG009</t>
        </is>
      </c>
      <c r="H40" t="inlineStr">
        <is>
          <t>4 Mei 2017</t>
        </is>
      </c>
      <c r="I40" s="2" t="n">
        <v>46328</v>
      </c>
      <c r="J40" t="inlineStr">
        <is>
          <t>Disetujui</t>
        </is>
      </c>
      <c r="K40" t="n">
        <v>90</v>
      </c>
      <c r="L40" t="inlineStr">
        <is>
          <t>2 November 2026</t>
        </is>
      </c>
      <c r="M40" t="inlineStr">
        <is>
          <t>Konstruksi Gedung Hunian, Konstruksi Gedung Lainnya, Konstruksi Gedung Tempat Hiburan dan Olahraga</t>
        </is>
      </c>
      <c r="N40" t="inlineStr">
        <is>
          <t>K</t>
        </is>
      </c>
      <c r="O40" t="inlineStr">
        <is>
          <t>20231030</t>
        </is>
      </c>
      <c r="P40" t="inlineStr">
        <is>
          <t>Aceh</t>
        </is>
      </c>
      <c r="Q40" t="inlineStr"/>
    </row>
    <row r="41">
      <c r="A41" t="inlineStr">
        <is>
          <t>CAHAYA MULYA</t>
        </is>
      </c>
      <c r="B41" t="inlineStr">
        <is>
          <t>Kota Malang</t>
        </is>
      </c>
      <c r="C41" t="inlineStr">
        <is>
          <t>082131616130</t>
        </is>
      </c>
      <c r="D41" t="inlineStr">
        <is>
          <t>cahayamulya.cv@gmail.com</t>
        </is>
      </c>
      <c r="E41" t="inlineStr">
        <is>
          <t>https://lpjk.pu.go.id/search-badan-usaha-detail/VHdYbnQ0SExKcGptUGMvajR0eVBnUT09</t>
        </is>
      </c>
      <c r="F41" t="n">
        <v>1</v>
      </c>
      <c r="G41" t="inlineStr">
        <is>
          <t>BS001</t>
        </is>
      </c>
      <c r="H41" t="inlineStr">
        <is>
          <t>18 Desember 2007</t>
        </is>
      </c>
      <c r="I41" s="2" t="n">
        <v>46328</v>
      </c>
      <c r="J41" t="inlineStr">
        <is>
          <t>Disetujui</t>
        </is>
      </c>
      <c r="K41" t="n">
        <v>90</v>
      </c>
      <c r="L41" t="inlineStr">
        <is>
          <t>2 November 2026</t>
        </is>
      </c>
      <c r="M41" t="inlineStr">
        <is>
          <t>Konstruksi Bangunan Sipil Jalan</t>
        </is>
      </c>
      <c r="N41" t="inlineStr">
        <is>
          <t>K</t>
        </is>
      </c>
      <c r="O41" t="inlineStr">
        <is>
          <t>20231027</t>
        </is>
      </c>
      <c r="P41" t="inlineStr">
        <is>
          <t>Jawa Timur</t>
        </is>
      </c>
      <c r="Q41" t="inlineStr"/>
    </row>
    <row r="42">
      <c r="A42" t="inlineStr">
        <is>
          <t>CAHAYA SEMESTA ELEKTRIK INDONESIA</t>
        </is>
      </c>
      <c r="B42" t="inlineStr">
        <is>
          <t>Kab. Kudus</t>
        </is>
      </c>
      <c r="C42" t="inlineStr">
        <is>
          <t>02914101925</t>
        </is>
      </c>
      <c r="D42" t="inlineStr">
        <is>
          <t>cselektrik.indonesia@gmail.com</t>
        </is>
      </c>
      <c r="E42" t="inlineStr">
        <is>
          <t>https://lpjk.pu.go.id/search-badan-usaha-detail/UC9DV2h1Szl3c1dGcUJFbWdlaVZVdz09</t>
        </is>
      </c>
      <c r="F42" t="n">
        <v>1</v>
      </c>
      <c r="G42" t="inlineStr">
        <is>
          <t>BS009</t>
        </is>
      </c>
      <c r="H42" t="inlineStr">
        <is>
          <t>23 Juli 2019</t>
        </is>
      </c>
      <c r="I42" s="2" t="n">
        <v>46328</v>
      </c>
      <c r="J42" t="inlineStr">
        <is>
          <t>Pencabutan</t>
        </is>
      </c>
      <c r="K42" t="n">
        <v>90</v>
      </c>
      <c r="L42" t="inlineStr">
        <is>
          <t>2 November 2026</t>
        </is>
      </c>
      <c r="M42" t="inlineStr">
        <is>
          <t>Konstruksi Sentral Telekomunikasi</t>
        </is>
      </c>
      <c r="N42" t="inlineStr">
        <is>
          <t>K</t>
        </is>
      </c>
      <c r="O42" t="inlineStr">
        <is>
          <t>20231101</t>
        </is>
      </c>
      <c r="P42" t="inlineStr">
        <is>
          <t>Jawa Tengah</t>
        </is>
      </c>
      <c r="Q42" t="inlineStr"/>
    </row>
    <row r="43">
      <c r="A43" t="inlineStr">
        <is>
          <t>CAHAYA SIMETRIS</t>
        </is>
      </c>
      <c r="B43" t="inlineStr">
        <is>
          <t>Kab. Langkat</t>
        </is>
      </c>
      <c r="C43" t="inlineStr">
        <is>
          <t>081263633422</t>
        </is>
      </c>
      <c r="D43" t="inlineStr">
        <is>
          <t>cahayasimetris@gmail.com</t>
        </is>
      </c>
      <c r="E43" t="inlineStr">
        <is>
          <t>https://lpjk.pu.go.id/search-badan-usaha-detail/ZnhWdG82amhRc1ZQNElvUEEzdmYvZz09</t>
        </is>
      </c>
      <c r="F43" t="n">
        <v>1</v>
      </c>
      <c r="G43" t="inlineStr">
        <is>
          <t>BG006</t>
        </is>
      </c>
      <c r="H43" t="inlineStr">
        <is>
          <t>6 Juli 2023</t>
        </is>
      </c>
      <c r="I43" s="2" t="n">
        <v>46328</v>
      </c>
      <c r="J43" t="inlineStr">
        <is>
          <t>Pencabutan</t>
        </is>
      </c>
      <c r="K43" t="n">
        <v>90</v>
      </c>
      <c r="L43" t="inlineStr">
        <is>
          <t>2 November 2026</t>
        </is>
      </c>
      <c r="M43" t="inlineStr">
        <is>
          <t>Konstruksi Gedung Pendidikan</t>
        </is>
      </c>
      <c r="N43" t="inlineStr">
        <is>
          <t>K</t>
        </is>
      </c>
      <c r="O43" t="inlineStr">
        <is>
          <t>20231101</t>
        </is>
      </c>
      <c r="P43" t="inlineStr">
        <is>
          <t>Sumatera Utara</t>
        </is>
      </c>
      <c r="Q43" t="inlineStr"/>
    </row>
    <row r="44">
      <c r="A44" t="inlineStr">
        <is>
          <t>CINTA BAHAGIA</t>
        </is>
      </c>
      <c r="B44" t="inlineStr">
        <is>
          <t>Kab. Sumbawa</t>
        </is>
      </c>
      <c r="C44" t="inlineStr">
        <is>
          <t>082334434444</t>
        </is>
      </c>
      <c r="D44" t="inlineStr">
        <is>
          <t>cintabahagia2018@gmail.com</t>
        </is>
      </c>
      <c r="E44" t="inlineStr">
        <is>
          <t>https://lpjk.pu.go.id/search-badan-usaha-detail/MDVaY20vOUl5Y0hhWHFwWGFGRzFlQT09</t>
        </is>
      </c>
      <c r="F44" t="n">
        <v>7</v>
      </c>
      <c r="G44" t="inlineStr">
        <is>
          <t>BG001, BG005, BG006, BG009, BS001, BS004, BS010</t>
        </is>
      </c>
      <c r="H44" t="inlineStr">
        <is>
          <t>31 Oktober 1983</t>
        </is>
      </c>
      <c r="I44" s="2" t="n">
        <v>46328</v>
      </c>
      <c r="J44" t="inlineStr">
        <is>
          <t>Disetujui</t>
        </is>
      </c>
      <c r="K44" t="n">
        <v>90</v>
      </c>
      <c r="L44" t="inlineStr">
        <is>
          <t>2 November 2026</t>
        </is>
      </c>
      <c r="M44" t="inlineStr">
        <is>
          <t>Konstruksi Bangunan Prasarana Sumber Daya Air, Konstruksi Bangunan Sipil Jalan, Konstruksi Gedung Hunian, Konstruksi Gedung Kesehatan, Konstruksi Gedung Lainnya, Konstruksi Gedung Pendidikan, Konstruksi Jaringan Irigasi dan Drainase</t>
        </is>
      </c>
      <c r="N44" t="inlineStr">
        <is>
          <t>K</t>
        </is>
      </c>
      <c r="O44" t="inlineStr">
        <is>
          <t>20231019, 20231031</t>
        </is>
      </c>
      <c r="P44" t="inlineStr">
        <is>
          <t>Nusa Tenggara Barat</t>
        </is>
      </c>
      <c r="Q44" t="inlineStr"/>
    </row>
    <row r="45">
      <c r="A45" t="inlineStr">
        <is>
          <t>CIPTA DINATA KARYA</t>
        </is>
      </c>
      <c r="B45" t="inlineStr">
        <is>
          <t>Kab. Jembrana</t>
        </is>
      </c>
      <c r="C45" t="inlineStr">
        <is>
          <t>036542351</t>
        </is>
      </c>
      <c r="D45" t="inlineStr">
        <is>
          <t>ciptadinatakarya@yahoo.com</t>
        </is>
      </c>
      <c r="E45" t="inlineStr">
        <is>
          <t>https://lpjk.pu.go.id/search-badan-usaha-detail/NnIzdUcxQTM2bDdVNnJ4a3hIckE1UT09</t>
        </is>
      </c>
      <c r="F45" t="n">
        <v>1</v>
      </c>
      <c r="G45" t="inlineStr">
        <is>
          <t>BS004</t>
        </is>
      </c>
      <c r="H45" t="inlineStr">
        <is>
          <t>3 Februari 2003</t>
        </is>
      </c>
      <c r="I45" s="2" t="n">
        <v>46328</v>
      </c>
      <c r="J45" t="inlineStr">
        <is>
          <t>Disetujui</t>
        </is>
      </c>
      <c r="K45" t="n">
        <v>90</v>
      </c>
      <c r="L45" t="inlineStr">
        <is>
          <t>2 November 2026</t>
        </is>
      </c>
      <c r="M45" t="inlineStr">
        <is>
          <t>Konstruksi Jaringan Irigasi dan Drainase</t>
        </is>
      </c>
      <c r="N45" t="inlineStr">
        <is>
          <t>K</t>
        </is>
      </c>
      <c r="O45" t="inlineStr">
        <is>
          <t>20231020</t>
        </is>
      </c>
      <c r="P45" t="inlineStr">
        <is>
          <t>Bali</t>
        </is>
      </c>
      <c r="Q45" t="inlineStr"/>
    </row>
    <row r="46">
      <c r="A46" t="inlineStr">
        <is>
          <t>CIREMAI PUTRA TEKINDO</t>
        </is>
      </c>
      <c r="B46" t="inlineStr">
        <is>
          <t>Kab. Tangerang</t>
        </is>
      </c>
      <c r="C46" t="inlineStr">
        <is>
          <t>081286345007</t>
        </is>
      </c>
      <c r="D46" t="inlineStr">
        <is>
          <t>ptciremaiputratekindo@gmail.com</t>
        </is>
      </c>
      <c r="E46" t="inlineStr">
        <is>
          <t>https://lpjk.pu.go.id/search-badan-usaha-detail/Vm52TWZOK0YvREVJK0RidSt0Q1VHUmhYQ0hrSUY1dnUzbVkwV3VWVmNPUT0</t>
        </is>
      </c>
      <c r="F46" t="n">
        <v>2</v>
      </c>
      <c r="G46" t="inlineStr">
        <is>
          <t>IN006, IN007</t>
        </is>
      </c>
      <c r="H46" t="inlineStr">
        <is>
          <t>3 Februari 2025</t>
        </is>
      </c>
      <c r="I46" s="2" t="n">
        <v>46328</v>
      </c>
      <c r="J46" t="inlineStr">
        <is>
          <t>Disetujui</t>
        </is>
      </c>
      <c r="K46" t="n">
        <v>90</v>
      </c>
      <c r="L46" t="inlineStr">
        <is>
          <t>2 November 2026</t>
        </is>
      </c>
      <c r="M46" t="inlineStr">
        <is>
          <t>Instalasi Elektronika, Instalasi Saluran Air (Plambing)</t>
        </is>
      </c>
      <c r="N46" t="inlineStr">
        <is>
          <t>Spesialis</t>
        </is>
      </c>
      <c r="O46" t="inlineStr">
        <is>
          <t>20231031</t>
        </is>
      </c>
      <c r="P46" t="inlineStr">
        <is>
          <t>Banten</t>
        </is>
      </c>
      <c r="Q46" t="inlineStr"/>
    </row>
    <row r="47">
      <c r="A47" t="inlineStr">
        <is>
          <t>CV. WAHYU RIZKY PRATAMA</t>
        </is>
      </c>
      <c r="B47" t="inlineStr">
        <is>
          <t>Kab. Sigi</t>
        </is>
      </c>
      <c r="C47" t="inlineStr">
        <is>
          <t>085242407845</t>
        </is>
      </c>
      <c r="D47" t="inlineStr">
        <is>
          <t>cvwahyurizkypratama@gmail.com</t>
        </is>
      </c>
      <c r="E47" t="inlineStr">
        <is>
          <t>https://lpjk.pu.go.id/search-badan-usaha-detail/NVVnS0FqR3ByaS9DRVZWL3pJNmRrQT09</t>
        </is>
      </c>
      <c r="F47" t="n">
        <v>1</v>
      </c>
      <c r="G47" t="inlineStr">
        <is>
          <t>BG006</t>
        </is>
      </c>
      <c r="H47" t="inlineStr">
        <is>
          <t>5 Desember 2000</t>
        </is>
      </c>
      <c r="I47" s="2" t="n">
        <v>46328</v>
      </c>
      <c r="J47" t="inlineStr">
        <is>
          <t>Pencabutan</t>
        </is>
      </c>
      <c r="K47" t="n">
        <v>90</v>
      </c>
      <c r="L47" t="inlineStr">
        <is>
          <t>2 November 2026</t>
        </is>
      </c>
      <c r="M47" t="inlineStr">
        <is>
          <t>Konstruksi Gedung Pendidikan</t>
        </is>
      </c>
      <c r="N47" t="inlineStr">
        <is>
          <t>K</t>
        </is>
      </c>
      <c r="O47" t="inlineStr">
        <is>
          <t>20231101</t>
        </is>
      </c>
      <c r="P47" t="inlineStr">
        <is>
          <t>Sulawesi Tengah</t>
        </is>
      </c>
      <c r="Q47" t="inlineStr"/>
    </row>
    <row r="48">
      <c r="A48" t="inlineStr">
        <is>
          <t>DHARMA BANGUN PERSADA</t>
        </is>
      </c>
      <c r="B48" t="inlineStr">
        <is>
          <t>Kota Padang</t>
        </is>
      </c>
      <c r="C48" t="inlineStr">
        <is>
          <t>082389233572</t>
        </is>
      </c>
      <c r="D48" t="inlineStr">
        <is>
          <t>dharmabangunpersada@gmail.com</t>
        </is>
      </c>
      <c r="E48" t="inlineStr">
        <is>
          <t>https://lpjk.pu.go.id/search-badan-usaha-detail/aVVxQzIyMWtidXMzOTJlZDcxV2dJdz09</t>
        </is>
      </c>
      <c r="F48" t="n">
        <v>2</v>
      </c>
      <c r="G48" t="inlineStr">
        <is>
          <t>BS001, BS004</t>
        </is>
      </c>
      <c r="H48" t="inlineStr">
        <is>
          <t>2 Oktober 1992</t>
        </is>
      </c>
      <c r="I48" s="2" t="n">
        <v>46328</v>
      </c>
      <c r="J48" t="inlineStr">
        <is>
          <t>Disetujui</t>
        </is>
      </c>
      <c r="K48" t="n">
        <v>90</v>
      </c>
      <c r="L48" t="inlineStr">
        <is>
          <t>2 November 2026</t>
        </is>
      </c>
      <c r="M48" t="inlineStr">
        <is>
          <t>Konstruksi Bangunan Sipil Jalan, Konstruksi Jaringan Irigasi dan Drainase</t>
        </is>
      </c>
      <c r="N48" t="inlineStr">
        <is>
          <t>K</t>
        </is>
      </c>
      <c r="O48" t="inlineStr">
        <is>
          <t>20231102</t>
        </is>
      </c>
      <c r="P48" t="inlineStr">
        <is>
          <t>Sumatera Barat</t>
        </is>
      </c>
      <c r="Q48" t="inlineStr"/>
    </row>
    <row r="49">
      <c r="A49" t="inlineStr">
        <is>
          <t>DIAN KARTIKA KUSUMA</t>
        </is>
      </c>
      <c r="B49" t="inlineStr">
        <is>
          <t>Kab. Semarang</t>
        </is>
      </c>
      <c r="C49" t="inlineStr">
        <is>
          <t>082137045347</t>
        </is>
      </c>
      <c r="D49" t="inlineStr">
        <is>
          <t>cvdiankartikakusuma@gmail.com</t>
        </is>
      </c>
      <c r="E49" t="inlineStr">
        <is>
          <t>https://lpjk.pu.go.id/search-badan-usaha-detail/YnA3dkp0ZWFSV212ejJGUG90bnFqdz09</t>
        </is>
      </c>
      <c r="F49" t="n">
        <v>2</v>
      </c>
      <c r="G49" t="inlineStr">
        <is>
          <t>BG001, BG004</t>
        </is>
      </c>
      <c r="H49" t="inlineStr">
        <is>
          <t>13 Agustus 2021</t>
        </is>
      </c>
      <c r="I49" s="2" t="n">
        <v>46328</v>
      </c>
      <c r="J49" t="inlineStr">
        <is>
          <t>Disetujui</t>
        </is>
      </c>
      <c r="K49" t="n">
        <v>90</v>
      </c>
      <c r="L49" t="inlineStr">
        <is>
          <t>2 November 2026</t>
        </is>
      </c>
      <c r="M49" t="inlineStr">
        <is>
          <t>Konstruksi Gedung Hunian, Konstruksi Gedung Perbelanjaan</t>
        </is>
      </c>
      <c r="N49" t="inlineStr">
        <is>
          <t>K</t>
        </is>
      </c>
      <c r="O49" t="inlineStr">
        <is>
          <t>20230504, 20231102</t>
        </is>
      </c>
      <c r="P49" t="inlineStr">
        <is>
          <t>Jawa Tengah</t>
        </is>
      </c>
      <c r="Q49" t="inlineStr"/>
    </row>
    <row r="50">
      <c r="A50" t="inlineStr">
        <is>
          <t>DIRA GRAHA</t>
        </is>
      </c>
      <c r="B50" t="inlineStr">
        <is>
          <t>Kab. Lombok Timur</t>
        </is>
      </c>
      <c r="C50" t="inlineStr">
        <is>
          <t>081913415323</t>
        </is>
      </c>
      <c r="D50" t="inlineStr">
        <is>
          <t>cvdiragraha74@gmail.com</t>
        </is>
      </c>
      <c r="E50" t="inlineStr">
        <is>
          <t>https://lpjk.pu.go.id/search-badan-usaha-detail/b29yV1J1WE5odVI4cmRDbUJCZm9jZz09</t>
        </is>
      </c>
      <c r="F50" t="n">
        <v>1</v>
      </c>
      <c r="G50" t="inlineStr">
        <is>
          <t>BG006</t>
        </is>
      </c>
      <c r="H50" t="inlineStr">
        <is>
          <t>30 Desember 2016</t>
        </is>
      </c>
      <c r="I50" s="2" t="n">
        <v>46328</v>
      </c>
      <c r="J50" t="inlineStr">
        <is>
          <t>Disetujui</t>
        </is>
      </c>
      <c r="K50" t="n">
        <v>90</v>
      </c>
      <c r="L50" t="inlineStr">
        <is>
          <t>2 November 2026</t>
        </is>
      </c>
      <c r="M50" t="inlineStr">
        <is>
          <t>Konstruksi Gedung Pendidikan</t>
        </is>
      </c>
      <c r="N50" t="inlineStr">
        <is>
          <t>K</t>
        </is>
      </c>
      <c r="O50" t="inlineStr">
        <is>
          <t>20231102</t>
        </is>
      </c>
      <c r="P50" t="inlineStr">
        <is>
          <t>Nusa Tenggara Barat</t>
        </is>
      </c>
      <c r="Q50" t="inlineStr"/>
    </row>
    <row r="51">
      <c r="A51" t="inlineStr">
        <is>
          <t>DIVA ENGINEERING CONSULTANT</t>
        </is>
      </c>
      <c r="B51" t="inlineStr">
        <is>
          <t>Kab. Aceh Selatan</t>
        </is>
      </c>
      <c r="C51" t="inlineStr">
        <is>
          <t>085261086823</t>
        </is>
      </c>
      <c r="D51" t="inlineStr">
        <is>
          <t>cvdec2020@gmail.com</t>
        </is>
      </c>
      <c r="E51" t="inlineStr">
        <is>
          <t>https://lpjk.pu.go.id/search-badan-usaha-detail/QXpIV1VPT1Jza0UyUzdhSGQ5SWJZdz09</t>
        </is>
      </c>
      <c r="F51" t="n">
        <v>4</v>
      </c>
      <c r="G51" t="inlineStr">
        <is>
          <t>RK001, RK002, RK003, RK005</t>
        </is>
      </c>
      <c r="H51" t="inlineStr">
        <is>
          <t>14 September 2020</t>
        </is>
      </c>
      <c r="I51" s="2" t="n">
        <v>46328</v>
      </c>
      <c r="J51" t="inlineStr">
        <is>
          <t>Pencabutan</t>
        </is>
      </c>
      <c r="K51" t="n">
        <v>90</v>
      </c>
      <c r="L51" t="inlineStr">
        <is>
          <t>2 November 2026</t>
        </is>
      </c>
      <c r="M51" t="inlineStr">
        <is>
          <t>Jasa Rekayasa Konstruksi Bangunan Gedung Hunian dan Non Hunian, Jasa Rekayasa Lainnya, Jasa Rekayasa Pekerjaan Teknik Sipil Sumber Daya Air, Jasa Rekayasa Pekerjaan Teknik Sipil Transportasi</t>
        </is>
      </c>
      <c r="N51" t="inlineStr">
        <is>
          <t>K</t>
        </is>
      </c>
      <c r="O51" t="inlineStr">
        <is>
          <t>20231025</t>
        </is>
      </c>
      <c r="P51" t="inlineStr">
        <is>
          <t>Aceh</t>
        </is>
      </c>
      <c r="Q51" t="inlineStr"/>
    </row>
    <row r="52">
      <c r="A52" t="inlineStr">
        <is>
          <t>DJAJA ABADI TUNAS MERAUKE</t>
        </is>
      </c>
      <c r="B52" t="inlineStr">
        <is>
          <t>Kab. Merauke</t>
        </is>
      </c>
      <c r="C52" t="inlineStr">
        <is>
          <t>0811484112</t>
        </is>
      </c>
      <c r="D52" t="inlineStr">
        <is>
          <t>djajaabadi_tm@yahoo.com</t>
        </is>
      </c>
      <c r="E52" t="inlineStr">
        <is>
          <t>https://lpjk.pu.go.id/search-badan-usaha-detail/eEV5VnZWeFdoZVEyOXNVNENTbk5sZz09</t>
        </is>
      </c>
      <c r="F52" t="n">
        <v>1</v>
      </c>
      <c r="G52" t="inlineStr">
        <is>
          <t>BS001</t>
        </is>
      </c>
      <c r="H52" t="inlineStr">
        <is>
          <t>23 Maret 2007</t>
        </is>
      </c>
      <c r="I52" s="2" t="n">
        <v>46328</v>
      </c>
      <c r="J52" t="inlineStr">
        <is>
          <t>Pencabutan</t>
        </is>
      </c>
      <c r="K52" t="n">
        <v>90</v>
      </c>
      <c r="L52" t="inlineStr">
        <is>
          <t>2 November 2026</t>
        </is>
      </c>
      <c r="M52" t="inlineStr">
        <is>
          <t>Konstruksi Bangunan Sipil Jalan</t>
        </is>
      </c>
      <c r="N52" t="inlineStr">
        <is>
          <t>M</t>
        </is>
      </c>
      <c r="O52" t="inlineStr">
        <is>
          <t>20231101</t>
        </is>
      </c>
      <c r="P52" t="inlineStr">
        <is>
          <t>Papua</t>
        </is>
      </c>
      <c r="Q52" t="inlineStr"/>
    </row>
    <row r="53">
      <c r="A53" t="inlineStr">
        <is>
          <t>DUTA GLOBAL ELEKTRINDO</t>
        </is>
      </c>
      <c r="B53" t="inlineStr">
        <is>
          <t>Kota Bandung</t>
        </is>
      </c>
      <c r="C53" t="inlineStr">
        <is>
          <t>02285240663</t>
        </is>
      </c>
      <c r="D53" t="inlineStr">
        <is>
          <t>adm@dutaglobalindo.com</t>
        </is>
      </c>
      <c r="E53" t="inlineStr">
        <is>
          <t>https://lpjk.pu.go.id/search-badan-usaha-detail/Y0I3akUvWFczdUdZeHZjUkFXUmtMVEpzN0dENXRwUGUzRU9FNHphdzE1WT0</t>
        </is>
      </c>
      <c r="F53" t="n">
        <v>3</v>
      </c>
      <c r="G53" t="inlineStr">
        <is>
          <t>BS002, BS006, BS007</t>
        </is>
      </c>
      <c r="H53" t="inlineStr">
        <is>
          <t>14 Oktober 2022</t>
        </is>
      </c>
      <c r="I53" s="2" t="n">
        <v>46328</v>
      </c>
      <c r="J53" t="inlineStr">
        <is>
          <t>Disetujui</t>
        </is>
      </c>
      <c r="K53" t="n">
        <v>90</v>
      </c>
      <c r="L53" t="inlineStr">
        <is>
          <t>2 November 2026</t>
        </is>
      </c>
      <c r="M53" t="inlineStr">
        <is>
          <t>Bangunan Sipil Jembatan, Jalan Layang, Fly Over, dan Underpass, Konstruksi Bangunan Sipil Elektrikal, Konstruksi Bangunan Sipil Prasarana dan Sarana Sistem Pengolahan Limbah Padat, Cair, dan Gas</t>
        </is>
      </c>
      <c r="N53" t="inlineStr">
        <is>
          <t>K</t>
        </is>
      </c>
      <c r="O53" t="inlineStr">
        <is>
          <t>20231101, 20231102</t>
        </is>
      </c>
      <c r="P53" t="inlineStr">
        <is>
          <t>Jawa Barat</t>
        </is>
      </c>
      <c r="Q53" t="inlineStr"/>
    </row>
    <row r="54">
      <c r="A54" t="inlineStr">
        <is>
          <t>DUTA PRIBUMI</t>
        </is>
      </c>
      <c r="B54" t="inlineStr">
        <is>
          <t>Kota Pariaman</t>
        </is>
      </c>
      <c r="C54" t="inlineStr">
        <is>
          <t>085274846522</t>
        </is>
      </c>
      <c r="D54" t="inlineStr">
        <is>
          <t>dutap23@gmail.com</t>
        </is>
      </c>
      <c r="E54" t="inlineStr">
        <is>
          <t>https://lpjk.pu.go.id/search-badan-usaha-detail/Rng2YTBFV0lYT2kvMm1RdUI4bHE4UT09</t>
        </is>
      </c>
      <c r="F54" t="n">
        <v>1</v>
      </c>
      <c r="G54" t="inlineStr">
        <is>
          <t>BG001</t>
        </is>
      </c>
      <c r="H54" t="inlineStr">
        <is>
          <t>27 September 1994</t>
        </is>
      </c>
      <c r="I54" s="2" t="n">
        <v>46328</v>
      </c>
      <c r="J54" t="inlineStr">
        <is>
          <t>Disetujui</t>
        </is>
      </c>
      <c r="K54" t="n">
        <v>90</v>
      </c>
      <c r="L54" t="inlineStr">
        <is>
          <t>2 November 2026</t>
        </is>
      </c>
      <c r="M54" t="inlineStr">
        <is>
          <t>Konstruksi Gedung Hunian</t>
        </is>
      </c>
      <c r="N54" t="inlineStr">
        <is>
          <t>K</t>
        </is>
      </c>
      <c r="O54" t="inlineStr">
        <is>
          <t>20231030</t>
        </is>
      </c>
      <c r="P54" t="inlineStr">
        <is>
          <t>Sumatera Barat</t>
        </is>
      </c>
      <c r="Q54" t="inlineStr"/>
    </row>
    <row r="55">
      <c r="A55" t="inlineStr">
        <is>
          <t>DWIRATNA</t>
        </is>
      </c>
      <c r="B55" t="inlineStr">
        <is>
          <t>Kota Tangerang</t>
        </is>
      </c>
      <c r="C55" t="inlineStr">
        <is>
          <t>0215520317</t>
        </is>
      </c>
      <c r="D55" t="inlineStr">
        <is>
          <t>dwiratna@masapajak.com</t>
        </is>
      </c>
      <c r="E55" t="inlineStr">
        <is>
          <t>https://lpjk.pu.go.id/search-badan-usaha-detail/N0JOU2RsT2pRQmp3N0tqTGY0Njg4UT09</t>
        </is>
      </c>
      <c r="F55" t="n">
        <v>1</v>
      </c>
      <c r="G55" t="inlineStr">
        <is>
          <t>BG002</t>
        </is>
      </c>
      <c r="H55" t="inlineStr">
        <is>
          <t>30 September 2015</t>
        </is>
      </c>
      <c r="I55" s="2" t="n">
        <v>46328</v>
      </c>
      <c r="J55" t="inlineStr">
        <is>
          <t>Disetujui</t>
        </is>
      </c>
      <c r="K55" t="n">
        <v>90</v>
      </c>
      <c r="L55" t="inlineStr">
        <is>
          <t>2 November 2026</t>
        </is>
      </c>
      <c r="M55" t="inlineStr">
        <is>
          <t>Konstruksi Gedung Perkantoran</t>
        </is>
      </c>
      <c r="N55" t="inlineStr">
        <is>
          <t>K</t>
        </is>
      </c>
      <c r="O55" t="inlineStr">
        <is>
          <t>20230619</t>
        </is>
      </c>
      <c r="P55" t="inlineStr">
        <is>
          <t>Banten</t>
        </is>
      </c>
      <c r="Q55" t="inlineStr"/>
    </row>
    <row r="56">
      <c r="A56" t="inlineStr">
        <is>
          <t>EVANIA SEJAHTERA</t>
        </is>
      </c>
      <c r="B56" t="inlineStr">
        <is>
          <t>Kota Ambon</t>
        </is>
      </c>
      <c r="C56" t="inlineStr">
        <is>
          <t>082198967878</t>
        </is>
      </c>
      <c r="D56" t="inlineStr">
        <is>
          <t>evania_sejahtera@yahoo.com</t>
        </is>
      </c>
      <c r="E56" t="inlineStr">
        <is>
          <t>https://lpjk.pu.go.id/search-badan-usaha-detail/SXJRWEd6a1pNeHdOZk9YNXoxYmx2Zz09</t>
        </is>
      </c>
      <c r="F56" t="n">
        <v>2</v>
      </c>
      <c r="G56" t="inlineStr">
        <is>
          <t>BG002, BG009</t>
        </is>
      </c>
      <c r="H56" t="inlineStr">
        <is>
          <t>31 Januari 2008</t>
        </is>
      </c>
      <c r="I56" s="2" t="n">
        <v>46328</v>
      </c>
      <c r="J56" t="inlineStr">
        <is>
          <t>Disetujui</t>
        </is>
      </c>
      <c r="K56" t="n">
        <v>90</v>
      </c>
      <c r="L56" t="inlineStr">
        <is>
          <t>2 November 2026</t>
        </is>
      </c>
      <c r="M56" t="inlineStr">
        <is>
          <t>Konstruksi Gedung Lainnya, Konstruksi Gedung Perkantoran</t>
        </is>
      </c>
      <c r="N56" t="inlineStr">
        <is>
          <t>K</t>
        </is>
      </c>
      <c r="O56" t="inlineStr">
        <is>
          <t>20231013, 20231023</t>
        </is>
      </c>
      <c r="P56" t="inlineStr">
        <is>
          <t>Maluku</t>
        </is>
      </c>
      <c r="Q56" t="inlineStr"/>
    </row>
    <row r="57">
      <c r="A57" t="inlineStr">
        <is>
          <t>GATRI PYRAMID INOVASI</t>
        </is>
      </c>
      <c r="B57" t="inlineStr">
        <is>
          <t>Kota Adm. Jakarta Selatan</t>
        </is>
      </c>
      <c r="C57" t="inlineStr">
        <is>
          <t>081210376778</t>
        </is>
      </c>
      <c r="D57" t="inlineStr">
        <is>
          <t>gpinovasi@gmail.com</t>
        </is>
      </c>
      <c r="E57" t="inlineStr">
        <is>
          <t>https://lpjk.pu.go.id/search-badan-usaha-detail/eWRYUTlUNU54Ni9NQXdhd0ZkTmVsUT09</t>
        </is>
      </c>
      <c r="F57" t="n">
        <v>3</v>
      </c>
      <c r="G57" t="inlineStr">
        <is>
          <t>RK001, RK002, RK003</t>
        </is>
      </c>
      <c r="H57" t="inlineStr">
        <is>
          <t>25 Juli 2023</t>
        </is>
      </c>
      <c r="I57" s="2" t="n">
        <v>46328</v>
      </c>
      <c r="J57" t="inlineStr">
        <is>
          <t>Disetujui</t>
        </is>
      </c>
      <c r="K57" t="n">
        <v>90</v>
      </c>
      <c r="L57" t="inlineStr">
        <is>
          <t>2 November 2026</t>
        </is>
      </c>
      <c r="M57" t="inlineStr">
        <is>
          <t>Jasa Rekayasa Konstruksi Bangunan Gedung Hunian dan Non Hunian, Jasa Rekayasa Pekerjaan Teknik Sipil Sumber Daya Air, Jasa Rekayasa Pekerjaan Teknik Sipil Transportasi</t>
        </is>
      </c>
      <c r="N57" t="inlineStr">
        <is>
          <t>K</t>
        </is>
      </c>
      <c r="O57" t="inlineStr">
        <is>
          <t>20231004, 20231005, 20231027</t>
        </is>
      </c>
      <c r="P57" t="inlineStr">
        <is>
          <t>DKI Jakarta</t>
        </is>
      </c>
      <c r="Q57" t="inlineStr"/>
    </row>
    <row r="58">
      <c r="A58" t="inlineStr">
        <is>
          <t>GEMILANG CIPTA PERSADA</t>
        </is>
      </c>
      <c r="B58" t="inlineStr">
        <is>
          <t>Kab. Malang</t>
        </is>
      </c>
      <c r="C58" t="inlineStr">
        <is>
          <t>081331397784</t>
        </is>
      </c>
      <c r="D58" t="inlineStr">
        <is>
          <t>gemilangciptapersada@gmail.com</t>
        </is>
      </c>
      <c r="E58" t="inlineStr">
        <is>
          <t>https://lpjk.pu.go.id/search-badan-usaha-detail/N0pxOGVJODYrbTBzZXZzeUpOR2RLQT09</t>
        </is>
      </c>
      <c r="F58" t="n">
        <v>3</v>
      </c>
      <c r="G58" t="inlineStr">
        <is>
          <t>RK001, RK002, RK003</t>
        </is>
      </c>
      <c r="H58" t="inlineStr">
        <is>
          <t>19 November 2020</t>
        </is>
      </c>
      <c r="I58" s="2" t="n">
        <v>46328</v>
      </c>
      <c r="J58" t="inlineStr">
        <is>
          <t>Disetujui</t>
        </is>
      </c>
      <c r="K58" t="n">
        <v>90</v>
      </c>
      <c r="L58" t="inlineStr">
        <is>
          <t>2 November 2026</t>
        </is>
      </c>
      <c r="M58" t="inlineStr">
        <is>
          <t>Jasa Rekayasa Konstruksi Bangunan Gedung Hunian dan Non Hunian, Jasa Rekayasa Pekerjaan Teknik Sipil Sumber Daya Air, Jasa Rekayasa Pekerjaan Teknik Sipil Transportasi</t>
        </is>
      </c>
      <c r="N58" t="inlineStr">
        <is>
          <t>K</t>
        </is>
      </c>
      <c r="O58" t="inlineStr">
        <is>
          <t>20231026</t>
        </is>
      </c>
      <c r="P58" t="inlineStr">
        <is>
          <t>Jawa Timur</t>
        </is>
      </c>
      <c r="Q58" t="inlineStr"/>
    </row>
    <row r="59">
      <c r="A59" t="inlineStr">
        <is>
          <t>GENTA MULTI JAYYA</t>
        </is>
      </c>
      <c r="B59" t="inlineStr">
        <is>
          <t>Kota Semarang</t>
        </is>
      </c>
      <c r="C59" t="inlineStr">
        <is>
          <t>0243588766</t>
        </is>
      </c>
      <c r="D59" t="inlineStr">
        <is>
          <t>pt.gentamultijaya@gmail.com</t>
        </is>
      </c>
      <c r="E59" t="inlineStr">
        <is>
          <t>https://lpjk.pu.go.id/search-badan-usaha-detail/S2lrR1FtMk9qZEYxcWxEYnhBcXh6QT09</t>
        </is>
      </c>
      <c r="F59" t="n">
        <v>4</v>
      </c>
      <c r="G59" t="inlineStr">
        <is>
          <t>BG001, BG002, BG003, BG009</t>
        </is>
      </c>
      <c r="H59" t="inlineStr">
        <is>
          <t>5 November 2018</t>
        </is>
      </c>
      <c r="I59" s="2" t="n">
        <v>46328</v>
      </c>
      <c r="J59" t="inlineStr">
        <is>
          <t>Disetujui</t>
        </is>
      </c>
      <c r="K59" t="n">
        <v>90</v>
      </c>
      <c r="L59" t="inlineStr">
        <is>
          <t>2 November 2026</t>
        </is>
      </c>
      <c r="M59" t="inlineStr">
        <is>
          <t>Konstruksi Gedung Hunian, Konstruksi Gedung Industri, Konstruksi Gedung Lainnya, Konstruksi Gedung Perkantoran</t>
        </is>
      </c>
      <c r="N59" t="inlineStr">
        <is>
          <t>K, M</t>
        </is>
      </c>
      <c r="O59" t="inlineStr">
        <is>
          <t>20231017, 20231026, 20231027</t>
        </is>
      </c>
      <c r="P59" t="inlineStr">
        <is>
          <t>Jawa Tengah</t>
        </is>
      </c>
      <c r="Q59" t="inlineStr"/>
    </row>
    <row r="60">
      <c r="A60" t="inlineStr">
        <is>
          <t>GIRI MAKMUR</t>
        </is>
      </c>
      <c r="B60" t="inlineStr">
        <is>
          <t>Kab. Banyuwangi</t>
        </is>
      </c>
      <c r="C60" t="inlineStr">
        <is>
          <t>081233106985</t>
        </is>
      </c>
      <c r="D60" t="inlineStr">
        <is>
          <t>girimakmu.cv@gmail.com</t>
        </is>
      </c>
      <c r="E60" t="inlineStr">
        <is>
          <t>https://lpjk.pu.go.id/search-badan-usaha-detail/Y0IxYWpjN1h4a0J6OEUyVkpIR0VpZz09</t>
        </is>
      </c>
      <c r="F60" t="n">
        <v>1</v>
      </c>
      <c r="G60" t="inlineStr">
        <is>
          <t>BS004</t>
        </is>
      </c>
      <c r="H60" t="inlineStr">
        <is>
          <t>31 Maret 2016</t>
        </is>
      </c>
      <c r="I60" s="2" t="n">
        <v>46328</v>
      </c>
      <c r="J60" t="inlineStr">
        <is>
          <t>Disetujui</t>
        </is>
      </c>
      <c r="K60" t="n">
        <v>90</v>
      </c>
      <c r="L60" t="inlineStr">
        <is>
          <t>2 November 2026</t>
        </is>
      </c>
      <c r="M60" t="inlineStr">
        <is>
          <t>Konstruksi Jaringan Irigasi dan Drainase</t>
        </is>
      </c>
      <c r="N60" t="inlineStr">
        <is>
          <t>K</t>
        </is>
      </c>
      <c r="O60" t="inlineStr">
        <is>
          <t>20231101</t>
        </is>
      </c>
      <c r="P60" t="inlineStr">
        <is>
          <t>Jawa Timur</t>
        </is>
      </c>
      <c r="Q60" t="inlineStr"/>
    </row>
    <row r="61">
      <c r="A61" t="inlineStr">
        <is>
          <t>GLOBAL KARYA SEJAHTERA RAYA</t>
        </is>
      </c>
      <c r="B61" t="inlineStr">
        <is>
          <t>Kab. Bantul</t>
        </is>
      </c>
      <c r="C61" t="inlineStr">
        <is>
          <t>02742824193</t>
        </is>
      </c>
      <c r="D61" t="inlineStr">
        <is>
          <t>gks.office@yahoo.com</t>
        </is>
      </c>
      <c r="E61" t="inlineStr">
        <is>
          <t>https://lpjk.pu.go.id/search-badan-usaha-detail/eGJsRVl5MWxza1pBejh4aXFXTmdRZz09</t>
        </is>
      </c>
      <c r="F61" t="n">
        <v>1</v>
      </c>
      <c r="G61" t="inlineStr">
        <is>
          <t>BG001</t>
        </is>
      </c>
      <c r="H61" t="inlineStr">
        <is>
          <t>28 Maret 2011</t>
        </is>
      </c>
      <c r="I61" s="2" t="n">
        <v>46328</v>
      </c>
      <c r="J61" t="inlineStr">
        <is>
          <t>Pencabutan</t>
        </is>
      </c>
      <c r="K61" t="n">
        <v>90</v>
      </c>
      <c r="L61" t="inlineStr">
        <is>
          <t>2 November 2026</t>
        </is>
      </c>
      <c r="M61" t="inlineStr">
        <is>
          <t>Konstruksi Gedung Hunian</t>
        </is>
      </c>
      <c r="N61" t="inlineStr">
        <is>
          <t>B</t>
        </is>
      </c>
      <c r="O61" t="inlineStr">
        <is>
          <t>20231031</t>
        </is>
      </c>
      <c r="P61" t="inlineStr">
        <is>
          <t>DI Yogyakarta</t>
        </is>
      </c>
      <c r="Q61" t="inlineStr"/>
    </row>
    <row r="62">
      <c r="A62" t="inlineStr">
        <is>
          <t>GLORIA JASA MANDIRI</t>
        </is>
      </c>
      <c r="B62" t="inlineStr">
        <is>
          <t>Kota Adm. Jakarta Selatan</t>
        </is>
      </c>
      <c r="C62" t="inlineStr">
        <is>
          <t>02127534458</t>
        </is>
      </c>
      <c r="D62" t="inlineStr">
        <is>
          <t>gloriajasamandiri@gmail.com</t>
        </is>
      </c>
      <c r="E62" t="inlineStr">
        <is>
          <t>https://lpjk.pu.go.id/search-badan-usaha-detail/MFkrb1BFRy8xT2VHN0FYUVNTYitvdz09</t>
        </is>
      </c>
      <c r="F62" t="n">
        <v>1</v>
      </c>
      <c r="G62" t="inlineStr">
        <is>
          <t>IN002</t>
        </is>
      </c>
      <c r="H62" t="inlineStr">
        <is>
          <t>6 April 2018</t>
        </is>
      </c>
      <c r="I62" s="2" t="n">
        <v>46328</v>
      </c>
      <c r="J62" t="inlineStr">
        <is>
          <t>Pembekuan</t>
        </is>
      </c>
      <c r="K62" t="n">
        <v>90</v>
      </c>
      <c r="L62" t="inlineStr">
        <is>
          <t>2 November 2026</t>
        </is>
      </c>
      <c r="M62" t="inlineStr">
        <is>
          <t>Instalasi Telekomunikasi</t>
        </is>
      </c>
      <c r="N62" t="inlineStr">
        <is>
          <t>Spesialis</t>
        </is>
      </c>
      <c r="O62" t="inlineStr">
        <is>
          <t>20231103</t>
        </is>
      </c>
      <c r="P62" t="inlineStr">
        <is>
          <t>DKI Jakarta</t>
        </is>
      </c>
      <c r="Q62" t="inlineStr"/>
    </row>
    <row r="63">
      <c r="A63" t="inlineStr">
        <is>
          <t>GRAFIKA MULTI MANDIRI</t>
        </is>
      </c>
      <c r="B63" t="inlineStr">
        <is>
          <t>Kota Tasikmalaya</t>
        </is>
      </c>
      <c r="C63" t="inlineStr">
        <is>
          <t>081394240711</t>
        </is>
      </c>
      <c r="D63" t="inlineStr">
        <is>
          <t>grafikamandiri9@gmail.com</t>
        </is>
      </c>
      <c r="E63" t="inlineStr">
        <is>
          <t>https://lpjk.pu.go.id/search-badan-usaha-detail/a1h5YzhuVC92Q0lpU01PSC9selduZz09</t>
        </is>
      </c>
      <c r="F63" t="n">
        <v>1</v>
      </c>
      <c r="G63" t="inlineStr">
        <is>
          <t>BG002</t>
        </is>
      </c>
      <c r="H63" t="inlineStr">
        <is>
          <t>13 Juni 2017</t>
        </is>
      </c>
      <c r="I63" s="2" t="n">
        <v>46328</v>
      </c>
      <c r="J63" t="inlineStr">
        <is>
          <t>Pencabutan</t>
        </is>
      </c>
      <c r="K63" t="n">
        <v>90</v>
      </c>
      <c r="L63" t="inlineStr">
        <is>
          <t>2 November 2026</t>
        </is>
      </c>
      <c r="M63" t="inlineStr">
        <is>
          <t>Konstruksi Gedung Perkantoran</t>
        </is>
      </c>
      <c r="N63" t="inlineStr">
        <is>
          <t>K</t>
        </is>
      </c>
      <c r="O63" t="inlineStr">
        <is>
          <t>20230914</t>
        </is>
      </c>
      <c r="P63" t="inlineStr">
        <is>
          <t>Jawa Barat</t>
        </is>
      </c>
      <c r="Q63" t="inlineStr"/>
    </row>
    <row r="64">
      <c r="A64" t="inlineStr">
        <is>
          <t>GRAFINDO MEDIATAMA LESTARI</t>
        </is>
      </c>
      <c r="B64" t="inlineStr">
        <is>
          <t>Kab. Sukoharjo</t>
        </is>
      </c>
      <c r="C64" t="inlineStr">
        <is>
          <t>0271 6594 555_</t>
        </is>
      </c>
      <c r="D64" t="inlineStr">
        <is>
          <t>grafindomediatama@gmail.com</t>
        </is>
      </c>
      <c r="E64" t="inlineStr">
        <is>
          <t>https://lpjk.pu.go.id/search-badan-usaha-detail/Yks0Rlh5MzBLa2hsNzJmNG1WUVZkQT09</t>
        </is>
      </c>
      <c r="F64" t="n">
        <v>1</v>
      </c>
      <c r="G64" t="inlineStr">
        <is>
          <t>BG009</t>
        </is>
      </c>
      <c r="H64" t="inlineStr">
        <is>
          <t>28 Juni 2010</t>
        </is>
      </c>
      <c r="I64" s="2" t="n">
        <v>46328</v>
      </c>
      <c r="J64" t="inlineStr">
        <is>
          <t>Disetujui</t>
        </is>
      </c>
      <c r="K64" t="n">
        <v>90</v>
      </c>
      <c r="L64" t="inlineStr">
        <is>
          <t>2 November 2026</t>
        </is>
      </c>
      <c r="M64" t="inlineStr">
        <is>
          <t>Konstruksi Gedung Lainnya</t>
        </is>
      </c>
      <c r="N64" t="inlineStr">
        <is>
          <t>K</t>
        </is>
      </c>
      <c r="O64" t="inlineStr">
        <is>
          <t>20231028</t>
        </is>
      </c>
      <c r="P64" t="inlineStr">
        <is>
          <t>Jawa Tengah</t>
        </is>
      </c>
      <c r="Q64" t="inlineStr"/>
    </row>
    <row r="65">
      <c r="A65" t="inlineStr">
        <is>
          <t>GRAHA KHARISMA</t>
        </is>
      </c>
      <c r="B65" t="inlineStr">
        <is>
          <t>Kota Surabaya</t>
        </is>
      </c>
      <c r="C65" t="inlineStr">
        <is>
          <t>0318298841</t>
        </is>
      </c>
      <c r="D65" t="inlineStr">
        <is>
          <t>grahakharisma.pt@gmail.com</t>
        </is>
      </c>
      <c r="E65" t="inlineStr">
        <is>
          <t>https://lpjk.pu.go.id/search-badan-usaha-detail/SkhDVmtvM04rekFpdkwwUG44cDgrZz09</t>
        </is>
      </c>
      <c r="F65" t="n">
        <v>1</v>
      </c>
      <c r="G65" t="inlineStr">
        <is>
          <t>IN004</t>
        </is>
      </c>
      <c r="H65" t="inlineStr">
        <is>
          <t>20 April 2004</t>
        </is>
      </c>
      <c r="I65" s="2" t="n">
        <v>46328</v>
      </c>
      <c r="J65" t="inlineStr">
        <is>
          <t>Pencabutan</t>
        </is>
      </c>
      <c r="K65" t="n">
        <v>90</v>
      </c>
      <c r="L65" t="inlineStr">
        <is>
          <t>2 November 2026</t>
        </is>
      </c>
      <c r="M65" t="inlineStr">
        <is>
          <t>Instalasi Minyak dan Gas</t>
        </is>
      </c>
      <c r="N65" t="inlineStr">
        <is>
          <t>Spesialis</t>
        </is>
      </c>
      <c r="O65" t="inlineStr">
        <is>
          <t>20231102</t>
        </is>
      </c>
      <c r="P65" t="inlineStr">
        <is>
          <t>Jawa Timur</t>
        </is>
      </c>
      <c r="Q65" t="inlineStr"/>
    </row>
    <row r="66">
      <c r="A66" t="inlineStr">
        <is>
          <t>GRAHA TEKNIK</t>
        </is>
      </c>
      <c r="B66" t="inlineStr">
        <is>
          <t>Kab. Cianjur</t>
        </is>
      </c>
      <c r="C66" t="inlineStr">
        <is>
          <t>085797306040</t>
        </is>
      </c>
      <c r="D66" t="inlineStr">
        <is>
          <t>grahateknikconsultan@yahoo.co.id</t>
        </is>
      </c>
      <c r="E66" t="inlineStr">
        <is>
          <t>https://lpjk.pu.go.id/search-badan-usaha-detail/ZlZaenRHZXJWZkl3bm1BbGp0NjNJZz09</t>
        </is>
      </c>
      <c r="F66" t="n">
        <v>3</v>
      </c>
      <c r="G66" t="inlineStr">
        <is>
          <t>RK001, RK002, RK003</t>
        </is>
      </c>
      <c r="H66" t="inlineStr">
        <is>
          <t>15 April 2010</t>
        </is>
      </c>
      <c r="I66" s="2" t="n">
        <v>46328</v>
      </c>
      <c r="J66" t="inlineStr">
        <is>
          <t>Disetujui</t>
        </is>
      </c>
      <c r="K66" t="n">
        <v>90</v>
      </c>
      <c r="L66" t="inlineStr">
        <is>
          <t>2 November 2026</t>
        </is>
      </c>
      <c r="M66" t="inlineStr">
        <is>
          <t>Jasa Rekayasa Konstruksi Bangunan Gedung Hunian dan Non Hunian, Jasa Rekayasa Pekerjaan Teknik Sipil Sumber Daya Air, Jasa Rekayasa Pekerjaan Teknik Sipil Transportasi</t>
        </is>
      </c>
      <c r="N66" t="inlineStr">
        <is>
          <t>K</t>
        </is>
      </c>
      <c r="O66" t="inlineStr">
        <is>
          <t>20231026</t>
        </is>
      </c>
      <c r="P66" t="inlineStr">
        <is>
          <t>Jawa Barat</t>
        </is>
      </c>
      <c r="Q66" t="inlineStr"/>
    </row>
    <row r="67">
      <c r="A67" t="inlineStr">
        <is>
          <t>GUNTUR WIJAYA PUTRA</t>
        </is>
      </c>
      <c r="B67" t="inlineStr">
        <is>
          <t>Kota Surabaya</t>
        </is>
      </c>
      <c r="C67" t="inlineStr">
        <is>
          <t>081331946984</t>
        </is>
      </c>
      <c r="D67" t="inlineStr">
        <is>
          <t>haripurwanto878@yahoo.co.id</t>
        </is>
      </c>
      <c r="E67" t="inlineStr">
        <is>
          <t>https://lpjk.pu.go.id/search-badan-usaha-detail/bWJNR3lsMkcrVW5DeENEVzdhV3VBUT09</t>
        </is>
      </c>
      <c r="F67" t="n">
        <v>1</v>
      </c>
      <c r="G67" t="inlineStr">
        <is>
          <t>BG009</t>
        </is>
      </c>
      <c r="H67" t="inlineStr">
        <is>
          <t>22 Juni 1990</t>
        </is>
      </c>
      <c r="I67" s="2" t="n">
        <v>46328</v>
      </c>
      <c r="J67" t="inlineStr">
        <is>
          <t>Disetujui</t>
        </is>
      </c>
      <c r="K67" t="n">
        <v>90</v>
      </c>
      <c r="L67" t="inlineStr">
        <is>
          <t>2 November 2026</t>
        </is>
      </c>
      <c r="M67" t="inlineStr">
        <is>
          <t>Konstruksi Gedung Lainnya</t>
        </is>
      </c>
      <c r="N67" t="inlineStr">
        <is>
          <t>K</t>
        </is>
      </c>
      <c r="O67" t="inlineStr">
        <is>
          <t>20231013</t>
        </is>
      </c>
      <c r="P67" t="inlineStr">
        <is>
          <t>Jawa Timur</t>
        </is>
      </c>
      <c r="Q67" t="inlineStr"/>
    </row>
    <row r="68">
      <c r="A68" t="inlineStr">
        <is>
          <t>GUNUNG SAHID</t>
        </is>
      </c>
      <c r="B68" t="inlineStr">
        <is>
          <t>Kota Adm. Jakarta Pusat</t>
        </is>
      </c>
      <c r="C68" t="inlineStr">
        <is>
          <t>02142882459</t>
        </is>
      </c>
      <c r="D68" t="inlineStr">
        <is>
          <t>gunungsahid@yahoo.co.id</t>
        </is>
      </c>
      <c r="E68" t="inlineStr">
        <is>
          <t>https://lpjk.pu.go.id/search-badan-usaha-detail/UjF6SUEyZHlDYUY1bUViajY2RHM3Zz09</t>
        </is>
      </c>
      <c r="F68" t="n">
        <v>1</v>
      </c>
      <c r="G68" t="inlineStr">
        <is>
          <t>BS006</t>
        </is>
      </c>
      <c r="H68" t="inlineStr">
        <is>
          <t>30 Januari 2003</t>
        </is>
      </c>
      <c r="I68" s="2" t="n">
        <v>46328</v>
      </c>
      <c r="J68" t="inlineStr">
        <is>
          <t>Pencabutan</t>
        </is>
      </c>
      <c r="K68" t="n">
        <v>90</v>
      </c>
      <c r="L68" t="inlineStr">
        <is>
          <t>2 November 2026</t>
        </is>
      </c>
      <c r="M68" t="inlineStr">
        <is>
          <t>Konstruksi Bangunan Sipil Prasarana dan Sarana Sistem Pengolahan Limbah Padat, Cair, dan Gas</t>
        </is>
      </c>
      <c r="N68" t="inlineStr">
        <is>
          <t>K</t>
        </is>
      </c>
      <c r="O68" t="inlineStr">
        <is>
          <t>20230327</t>
        </is>
      </c>
      <c r="P68" t="inlineStr">
        <is>
          <t>DKI Jakarta</t>
        </is>
      </c>
      <c r="Q68" t="inlineStr"/>
    </row>
    <row r="69">
      <c r="A69" t="inlineStr">
        <is>
          <t>GUNUNG TERANG ABADI</t>
        </is>
      </c>
      <c r="B69" t="inlineStr">
        <is>
          <t>Kab. Barito Selatan</t>
        </is>
      </c>
      <c r="C69" t="inlineStr">
        <is>
          <t>081248561088</t>
        </is>
      </c>
      <c r="D69" t="inlineStr">
        <is>
          <t>cv.gunungterangabadi@gmail.com</t>
        </is>
      </c>
      <c r="E69" t="inlineStr">
        <is>
          <t>https://lpjk.pu.go.id/search-badan-usaha-detail/MHg1dFFGRUErQUV5UHBLMytySDFiUT09</t>
        </is>
      </c>
      <c r="F69" t="n">
        <v>1</v>
      </c>
      <c r="G69" t="inlineStr">
        <is>
          <t>BG006</t>
        </is>
      </c>
      <c r="H69" t="inlineStr">
        <is>
          <t>29 September 2023</t>
        </is>
      </c>
      <c r="I69" s="2" t="n">
        <v>46328</v>
      </c>
      <c r="J69" t="inlineStr">
        <is>
          <t>Disetujui</t>
        </is>
      </c>
      <c r="K69" t="n">
        <v>90</v>
      </c>
      <c r="L69" t="inlineStr">
        <is>
          <t>2 November 2026</t>
        </is>
      </c>
      <c r="M69" t="inlineStr">
        <is>
          <t>Konstruksi Gedung Pendidikan</t>
        </is>
      </c>
      <c r="N69" t="inlineStr">
        <is>
          <t>K</t>
        </is>
      </c>
      <c r="O69" t="inlineStr">
        <is>
          <t>20231101</t>
        </is>
      </c>
      <c r="P69" t="inlineStr">
        <is>
          <t>Kalimantan Tengah</t>
        </is>
      </c>
      <c r="Q69" t="inlineStr"/>
    </row>
    <row r="70">
      <c r="A70" t="inlineStr">
        <is>
          <t>HANAN RUSDI MANDIRI</t>
        </is>
      </c>
      <c r="B70" t="inlineStr">
        <is>
          <t>Kota Sawahlunto</t>
        </is>
      </c>
      <c r="C70" t="inlineStr">
        <is>
          <t>081374665081</t>
        </is>
      </c>
      <c r="D70" t="inlineStr">
        <is>
          <t>frenzyalvilarusdi@gmail.com</t>
        </is>
      </c>
      <c r="E70" t="inlineStr">
        <is>
          <t>https://lpjk.pu.go.id/search-badan-usaha-detail/Y1Mrd29qNkRMQ3JSa0dLcjNySk9TUT09</t>
        </is>
      </c>
      <c r="F70" t="n">
        <v>1</v>
      </c>
      <c r="G70" t="inlineStr">
        <is>
          <t>BS016</t>
        </is>
      </c>
      <c r="H70" t="inlineStr">
        <is>
          <t>18 Januari 2016</t>
        </is>
      </c>
      <c r="I70" s="2" t="n">
        <v>46328</v>
      </c>
      <c r="J70" t="inlineStr">
        <is>
          <t>Disetujui</t>
        </is>
      </c>
      <c r="K70" t="n">
        <v>90</v>
      </c>
      <c r="L70" t="inlineStr">
        <is>
          <t>2 November 2026</t>
        </is>
      </c>
      <c r="M70" t="inlineStr">
        <is>
          <t>Konstruksi Bangunan Sipil Fasilitas Olah Raga</t>
        </is>
      </c>
      <c r="N70" t="inlineStr">
        <is>
          <t>K</t>
        </is>
      </c>
      <c r="O70" t="inlineStr">
        <is>
          <t>20231103</t>
        </is>
      </c>
      <c r="P70" t="inlineStr">
        <is>
          <t>Sumatera Barat</t>
        </is>
      </c>
      <c r="Q70" t="inlineStr"/>
    </row>
    <row r="71">
      <c r="A71" t="inlineStr">
        <is>
          <t>HANDAL MANDIRI PERKASA</t>
        </is>
      </c>
      <c r="B71" t="inlineStr">
        <is>
          <t>Kota Pekanbaru</t>
        </is>
      </c>
      <c r="C71" t="inlineStr">
        <is>
          <t>08127557712</t>
        </is>
      </c>
      <c r="D71" t="inlineStr">
        <is>
          <t>pt.handalmandiriperkasa@yahoo.com</t>
        </is>
      </c>
      <c r="E71" t="inlineStr">
        <is>
          <t>https://lpjk.pu.go.id/search-badan-usaha-detail/aUdNNUZpS0FucmdnZDM3RnlkYVlPdz09</t>
        </is>
      </c>
      <c r="F71" t="n">
        <v>2</v>
      </c>
      <c r="G71" t="inlineStr">
        <is>
          <t>IN001</t>
        </is>
      </c>
      <c r="H71" t="inlineStr">
        <is>
          <t>2 Oktober 2001</t>
        </is>
      </c>
      <c r="I71" s="2" t="n">
        <v>46328</v>
      </c>
      <c r="J71" t="inlineStr">
        <is>
          <t>Pembekuan</t>
        </is>
      </c>
      <c r="K71" t="n">
        <v>90</v>
      </c>
      <c r="L71" t="inlineStr">
        <is>
          <t>2 November 2026</t>
        </is>
      </c>
      <c r="M71" t="inlineStr">
        <is>
          <t>Instalasi Mekanikal</t>
        </is>
      </c>
      <c r="N71" t="inlineStr">
        <is>
          <t>Spesialis</t>
        </is>
      </c>
      <c r="O71" t="inlineStr">
        <is>
          <t>20231102</t>
        </is>
      </c>
      <c r="P71" t="inlineStr">
        <is>
          <t>Riau</t>
        </is>
      </c>
      <c r="Q71" t="inlineStr"/>
    </row>
    <row r="72">
      <c r="A72" t="inlineStr">
        <is>
          <t>INSAN CAHAYA KEHIDUPAN</t>
        </is>
      </c>
      <c r="B72" t="inlineStr">
        <is>
          <t>Kota Tangerang</t>
        </is>
      </c>
      <c r="C72" t="inlineStr">
        <is>
          <t>08118600256</t>
        </is>
      </c>
      <c r="D72" t="inlineStr">
        <is>
          <t>cahayainsankehidupan@gmail.com</t>
        </is>
      </c>
      <c r="E72" t="inlineStr">
        <is>
          <t>https://lpjk.pu.go.id/search-badan-usaha-detail/SWIrdGdpUDROSEJHcXdVYnlod08rUT09</t>
        </is>
      </c>
      <c r="F72" t="n">
        <v>1</v>
      </c>
      <c r="G72" t="inlineStr">
        <is>
          <t>BG002</t>
        </is>
      </c>
      <c r="H72" t="inlineStr">
        <is>
          <t>21 Desember 2022</t>
        </is>
      </c>
      <c r="I72" s="2" t="n">
        <v>46328</v>
      </c>
      <c r="J72" t="inlineStr">
        <is>
          <t>Disetujui</t>
        </is>
      </c>
      <c r="K72" t="n">
        <v>90</v>
      </c>
      <c r="L72" t="inlineStr">
        <is>
          <t>2 November 2026</t>
        </is>
      </c>
      <c r="M72" t="inlineStr">
        <is>
          <t>Konstruksi Gedung Perkantoran</t>
        </is>
      </c>
      <c r="N72" t="inlineStr">
        <is>
          <t>K</t>
        </is>
      </c>
      <c r="O72" t="inlineStr">
        <is>
          <t>20231102</t>
        </is>
      </c>
      <c r="P72" t="inlineStr">
        <is>
          <t>Banten</t>
        </is>
      </c>
      <c r="Q72" t="inlineStr"/>
    </row>
    <row r="73">
      <c r="A73" t="inlineStr">
        <is>
          <t>INTAN BARU</t>
        </is>
      </c>
      <c r="B73" t="inlineStr">
        <is>
          <t>Kota Kupang</t>
        </is>
      </c>
      <c r="C73" t="inlineStr">
        <is>
          <t>081339136972</t>
        </is>
      </c>
      <c r="D73" t="inlineStr">
        <is>
          <t>intanbr99@gmail.com</t>
        </is>
      </c>
      <c r="E73" t="inlineStr">
        <is>
          <t>https://lpjk.pu.go.id/search-badan-usaha-detail/SFJSamt6dVZ1eTlJT3pVS2dNMTNXZz09</t>
        </is>
      </c>
      <c r="F73" t="n">
        <v>1</v>
      </c>
      <c r="G73" t="inlineStr">
        <is>
          <t>PL005</t>
        </is>
      </c>
      <c r="H73" t="inlineStr">
        <is>
          <t>21 Agustus 2023</t>
        </is>
      </c>
      <c r="I73" s="2" t="n">
        <v>46328</v>
      </c>
      <c r="J73" t="inlineStr">
        <is>
          <t>Pembekuan</t>
        </is>
      </c>
      <c r="K73" t="n">
        <v>90</v>
      </c>
      <c r="L73" t="inlineStr">
        <is>
          <t>2 November 2026</t>
        </is>
      </c>
      <c r="M73" t="inlineStr">
        <is>
          <t>Pembuatan/Pengeboran Sumur Air Tanah</t>
        </is>
      </c>
      <c r="N73" t="inlineStr">
        <is>
          <t>Spesialis</t>
        </is>
      </c>
      <c r="O73" t="inlineStr">
        <is>
          <t>20231017</t>
        </is>
      </c>
      <c r="P73" t="inlineStr">
        <is>
          <t>Nusa Tenggara Timur</t>
        </is>
      </c>
      <c r="Q73" t="inlineStr"/>
    </row>
    <row r="74">
      <c r="A74" t="inlineStr">
        <is>
          <t>JAGAT WARNA WANUA</t>
        </is>
      </c>
      <c r="B74" t="inlineStr">
        <is>
          <t>Kota Adm. Jakarta Pusat</t>
        </is>
      </c>
      <c r="C74" t="inlineStr">
        <is>
          <t>0818853381</t>
        </is>
      </c>
      <c r="D74" t="inlineStr">
        <is>
          <t>jagatwarnawanua@gmail.com</t>
        </is>
      </c>
      <c r="E74" t="inlineStr">
        <is>
          <t>https://lpjk.pu.go.id/search-badan-usaha-detail/UVRDK1hMM09QNEhmd0tzcjUvd2tZQT09</t>
        </is>
      </c>
      <c r="F74" t="n">
        <v>2</v>
      </c>
      <c r="G74" t="inlineStr">
        <is>
          <t>AR001, RK002</t>
        </is>
      </c>
      <c r="H74" t="inlineStr">
        <is>
          <t>11 Juli 2023</t>
        </is>
      </c>
      <c r="I74" s="2" t="n">
        <v>46328</v>
      </c>
      <c r="J74" t="inlineStr">
        <is>
          <t>Pencabutan</t>
        </is>
      </c>
      <c r="K74" t="n">
        <v>90</v>
      </c>
      <c r="L74" t="inlineStr">
        <is>
          <t>2 November 2026</t>
        </is>
      </c>
      <c r="M74" t="inlineStr">
        <is>
          <t>Jasa Arsitektural Bangunan Gedung Hunian dan Non Hunian, Jasa Rekayasa Pekerjaan Teknik Sipil Sumber Daya Air</t>
        </is>
      </c>
      <c r="N74" t="inlineStr">
        <is>
          <t>K</t>
        </is>
      </c>
      <c r="O74" t="inlineStr">
        <is>
          <t>20231027</t>
        </is>
      </c>
      <c r="P74" t="inlineStr">
        <is>
          <t>DKI Jakarta</t>
        </is>
      </c>
      <c r="Q74" t="inlineStr"/>
    </row>
    <row r="75">
      <c r="A75" t="inlineStr">
        <is>
          <t>JANUR EMAS</t>
        </is>
      </c>
      <c r="B75" t="inlineStr">
        <is>
          <t>Kota Mataram</t>
        </is>
      </c>
      <c r="C75" t="inlineStr">
        <is>
          <t>081933142261</t>
        </is>
      </c>
      <c r="D75" t="inlineStr">
        <is>
          <t>jayawiro75@gmail.com</t>
        </is>
      </c>
      <c r="E75" t="inlineStr">
        <is>
          <t>https://lpjk.pu.go.id/search-badan-usaha-detail/QkViLzZzaDhtSnhQZW9WbWhSNTg5SG5UNFdpOU5SS2FzR0lva0R6c3lmdz0</t>
        </is>
      </c>
      <c r="F75" t="n">
        <v>1</v>
      </c>
      <c r="G75" t="inlineStr">
        <is>
          <t>BS004</t>
        </is>
      </c>
      <c r="H75" t="inlineStr">
        <is>
          <t>29 Agustus 2025</t>
        </is>
      </c>
      <c r="I75" s="2" t="n">
        <v>46328</v>
      </c>
      <c r="J75" t="inlineStr">
        <is>
          <t>Disetujui</t>
        </is>
      </c>
      <c r="K75" t="n">
        <v>90</v>
      </c>
      <c r="L75" t="inlineStr">
        <is>
          <t>2 November 2026</t>
        </is>
      </c>
      <c r="M75" t="inlineStr">
        <is>
          <t>Konstruksi Jaringan Irigasi dan Drainase</t>
        </is>
      </c>
      <c r="N75" t="inlineStr">
        <is>
          <t>K</t>
        </is>
      </c>
      <c r="O75" t="inlineStr">
        <is>
          <t>20231102</t>
        </is>
      </c>
      <c r="P75" t="inlineStr">
        <is>
          <t>Nusa Tenggara Barat</t>
        </is>
      </c>
      <c r="Q75" t="inlineStr"/>
    </row>
    <row r="76">
      <c r="A76" t="inlineStr">
        <is>
          <t>JAVA PERDANA</t>
        </is>
      </c>
      <c r="B76" t="inlineStr">
        <is>
          <t>Kab. Langkat</t>
        </is>
      </c>
      <c r="C76" t="inlineStr">
        <is>
          <t>081263595588</t>
        </is>
      </c>
      <c r="D76" t="inlineStr">
        <is>
          <t>javaperdana@yahoo.com</t>
        </is>
      </c>
      <c r="E76" t="inlineStr">
        <is>
          <t>https://lpjk.pu.go.id/search-badan-usaha-detail/OGJraXV2WXl6NEtPd3AxRW1YSkdxdz09</t>
        </is>
      </c>
      <c r="F76" t="n">
        <v>3</v>
      </c>
      <c r="G76" t="inlineStr">
        <is>
          <t>BG005, BG006, BG009</t>
        </is>
      </c>
      <c r="H76" t="inlineStr">
        <is>
          <t>14 Februari 2007</t>
        </is>
      </c>
      <c r="I76" s="2" t="n">
        <v>46328</v>
      </c>
      <c r="J76" t="inlineStr">
        <is>
          <t>Disetujui</t>
        </is>
      </c>
      <c r="K76" t="n">
        <v>90</v>
      </c>
      <c r="L76" t="inlineStr">
        <is>
          <t>2 November 2026</t>
        </is>
      </c>
      <c r="M76" t="inlineStr">
        <is>
          <t>Konstruksi Gedung Kesehatan, Konstruksi Gedung Lainnya, Konstruksi Gedung Pendidikan</t>
        </is>
      </c>
      <c r="N76" t="inlineStr">
        <is>
          <t>K</t>
        </is>
      </c>
      <c r="O76" t="inlineStr">
        <is>
          <t>20231102</t>
        </is>
      </c>
      <c r="P76" t="inlineStr">
        <is>
          <t>Sumatera Utara</t>
        </is>
      </c>
      <c r="Q76" t="inlineStr"/>
    </row>
    <row r="77">
      <c r="A77" t="inlineStr">
        <is>
          <t>JAVANA STAR</t>
        </is>
      </c>
      <c r="B77" t="inlineStr">
        <is>
          <t>Kab. Gorontalo Utara</t>
        </is>
      </c>
      <c r="C77" t="inlineStr">
        <is>
          <t>081244544537</t>
        </is>
      </c>
      <c r="D77" t="inlineStr">
        <is>
          <t>zavanastar@gmail.com</t>
        </is>
      </c>
      <c r="E77" t="inlineStr">
        <is>
          <t>https://lpjk.pu.go.id/search-badan-usaha-detail/WTBoNlRkbjlnc3g5dHg5UDlvaXBGZz09</t>
        </is>
      </c>
      <c r="F77" t="n">
        <v>1</v>
      </c>
      <c r="G77" t="inlineStr">
        <is>
          <t>BS010</t>
        </is>
      </c>
      <c r="H77" t="inlineStr">
        <is>
          <t>29 Mei 2020</t>
        </is>
      </c>
      <c r="I77" s="2" t="n">
        <v>46328</v>
      </c>
      <c r="J77" t="inlineStr">
        <is>
          <t>Disetujui</t>
        </is>
      </c>
      <c r="K77" t="n">
        <v>90</v>
      </c>
      <c r="L77" t="inlineStr">
        <is>
          <t>2 November 2026</t>
        </is>
      </c>
      <c r="M77" t="inlineStr">
        <is>
          <t>Konstruksi Bangunan Prasarana Sumber Daya Air</t>
        </is>
      </c>
      <c r="N77" t="inlineStr">
        <is>
          <t>K</t>
        </is>
      </c>
      <c r="O77" t="inlineStr">
        <is>
          <t>20231101</t>
        </is>
      </c>
      <c r="P77" t="inlineStr">
        <is>
          <t>Gorontalo</t>
        </is>
      </c>
      <c r="Q77" t="inlineStr"/>
    </row>
    <row r="78">
      <c r="A78" t="inlineStr">
        <is>
          <t>JAYA MANDIRI</t>
        </is>
      </c>
      <c r="B78" t="inlineStr">
        <is>
          <t>Kab. Bintan</t>
        </is>
      </c>
      <c r="C78" t="inlineStr">
        <is>
          <t>081279327978</t>
        </is>
      </c>
      <c r="D78" t="inlineStr">
        <is>
          <t>argacece@gmail.com</t>
        </is>
      </c>
      <c r="E78" t="inlineStr">
        <is>
          <t>https://lpjk.pu.go.id/search-badan-usaha-detail/M2twK0dCNnpwNkxZWUJNeUVzOTFrUT09</t>
        </is>
      </c>
      <c r="F78" t="n">
        <v>1</v>
      </c>
      <c r="G78" t="inlineStr">
        <is>
          <t>BG006</t>
        </is>
      </c>
      <c r="H78" t="inlineStr">
        <is>
          <t>26 Agustus 2015</t>
        </is>
      </c>
      <c r="I78" s="2" t="n">
        <v>46328</v>
      </c>
      <c r="J78" t="inlineStr">
        <is>
          <t>Disetujui</t>
        </is>
      </c>
      <c r="K78" t="n">
        <v>90</v>
      </c>
      <c r="L78" t="inlineStr">
        <is>
          <t>2 November 2026</t>
        </is>
      </c>
      <c r="M78" t="inlineStr">
        <is>
          <t>Konstruksi Gedung Pendidikan</t>
        </is>
      </c>
      <c r="N78" t="inlineStr">
        <is>
          <t>K</t>
        </is>
      </c>
      <c r="O78" t="inlineStr">
        <is>
          <t>20231102</t>
        </is>
      </c>
      <c r="P78" t="inlineStr">
        <is>
          <t>Kepulauan Riau</t>
        </is>
      </c>
      <c r="Q78" t="inlineStr"/>
    </row>
    <row r="79">
      <c r="A79" t="inlineStr">
        <is>
          <t>JAYA USAHA</t>
        </is>
      </c>
      <c r="B79" t="inlineStr">
        <is>
          <t>Kab. Barito Kuala</t>
        </is>
      </c>
      <c r="C79" t="inlineStr">
        <is>
          <t>082250322299</t>
        </is>
      </c>
      <c r="D79" t="inlineStr">
        <is>
          <t>CV.JAYAUSAHA1483@GMAIL.COM</t>
        </is>
      </c>
      <c r="E79" t="inlineStr">
        <is>
          <t>https://lpjk.pu.go.id/search-badan-usaha-detail/ZGVPR0cyVFh6STlHSGFGTXdzeFJldz09</t>
        </is>
      </c>
      <c r="F79" t="n">
        <v>1</v>
      </c>
      <c r="G79" t="inlineStr">
        <is>
          <t>BG009</t>
        </is>
      </c>
      <c r="H79" t="inlineStr">
        <is>
          <t>1 Juli 2004</t>
        </is>
      </c>
      <c r="I79" s="2" t="n">
        <v>46328</v>
      </c>
      <c r="J79" t="inlineStr">
        <is>
          <t>Disetujui</t>
        </is>
      </c>
      <c r="K79" t="n">
        <v>90</v>
      </c>
      <c r="L79" t="inlineStr">
        <is>
          <t>2 November 2026</t>
        </is>
      </c>
      <c r="M79" t="inlineStr">
        <is>
          <t>Konstruksi Gedung Lainnya</t>
        </is>
      </c>
      <c r="N79" t="inlineStr">
        <is>
          <t>K</t>
        </is>
      </c>
      <c r="O79" t="inlineStr">
        <is>
          <t>20231031</t>
        </is>
      </c>
      <c r="P79" t="inlineStr">
        <is>
          <t>Kalimantan Selatan</t>
        </is>
      </c>
      <c r="Q79" t="inlineStr"/>
    </row>
    <row r="80">
      <c r="A80" t="inlineStr">
        <is>
          <t>JEMPOL IBU PERKASA</t>
        </is>
      </c>
      <c r="B80" t="inlineStr">
        <is>
          <t>Kab. Trenggalek</t>
        </is>
      </c>
      <c r="C80" t="inlineStr">
        <is>
          <t>082137624395</t>
        </is>
      </c>
      <c r="D80" t="inlineStr">
        <is>
          <t>cvjempolibuperkasa@gmail.com</t>
        </is>
      </c>
      <c r="E80" t="inlineStr">
        <is>
          <t>https://lpjk.pu.go.id/search-badan-usaha-detail/K3N6MWczYjBLVnZUcEdVZTVVem1xZz09</t>
        </is>
      </c>
      <c r="F80" t="n">
        <v>1</v>
      </c>
      <c r="G80" t="inlineStr">
        <is>
          <t>BS001</t>
        </is>
      </c>
      <c r="H80" t="inlineStr">
        <is>
          <t>13 Oktober 2023</t>
        </is>
      </c>
      <c r="I80" s="2" t="n">
        <v>46328</v>
      </c>
      <c r="J80" t="inlineStr">
        <is>
          <t>Pencabutan</t>
        </is>
      </c>
      <c r="K80" t="n">
        <v>90</v>
      </c>
      <c r="L80" t="inlineStr">
        <is>
          <t>2 November 2026</t>
        </is>
      </c>
      <c r="M80" t="inlineStr">
        <is>
          <t>Konstruksi Bangunan Sipil Jalan</t>
        </is>
      </c>
      <c r="N80" t="inlineStr">
        <is>
          <t>K</t>
        </is>
      </c>
      <c r="O80" t="inlineStr">
        <is>
          <t>20231102</t>
        </is>
      </c>
      <c r="P80" t="inlineStr">
        <is>
          <t>Jawa Timur</t>
        </is>
      </c>
      <c r="Q80" t="inlineStr"/>
    </row>
    <row r="81">
      <c r="A81" t="inlineStr">
        <is>
          <t>KAISAR</t>
        </is>
      </c>
      <c r="B81" t="inlineStr">
        <is>
          <t>Kota Serang</t>
        </is>
      </c>
      <c r="C81" t="inlineStr">
        <is>
          <t>087876512349</t>
        </is>
      </c>
      <c r="D81" t="inlineStr">
        <is>
          <t>kaisarcv034@gmail.com</t>
        </is>
      </c>
      <c r="E81" t="inlineStr">
        <is>
          <t>https://lpjk.pu.go.id/search-badan-usaha-detail/NW9Fc1pPL0hqRFFzajB6aUpidnBkZz09</t>
        </is>
      </c>
      <c r="F81" t="n">
        <v>8</v>
      </c>
      <c r="G81" t="inlineStr">
        <is>
          <t>BG002, BG006, BS001, BS004</t>
        </is>
      </c>
      <c r="H81" t="inlineStr">
        <is>
          <t>11 Januari 2011</t>
        </is>
      </c>
      <c r="I81" s="2" t="n">
        <v>46328</v>
      </c>
      <c r="J81" t="inlineStr">
        <is>
          <t>Disetujui</t>
        </is>
      </c>
      <c r="K81" t="n">
        <v>90</v>
      </c>
      <c r="L81" t="inlineStr">
        <is>
          <t>2 November 2026</t>
        </is>
      </c>
      <c r="M81" t="inlineStr">
        <is>
          <t>Konstruksi Bangunan Sipil Jalan, Konstruksi Gedung Pendidikan, Konstruksi Gedung Perkantoran, Konstruksi Jaringan Irigasi dan Drainase</t>
        </is>
      </c>
      <c r="N81" t="inlineStr">
        <is>
          <t>K</t>
        </is>
      </c>
      <c r="O81" t="inlineStr">
        <is>
          <t>20231029</t>
        </is>
      </c>
      <c r="P81" t="inlineStr">
        <is>
          <t>Banten</t>
        </is>
      </c>
      <c r="Q81" t="inlineStr"/>
    </row>
    <row r="82">
      <c r="A82" t="inlineStr">
        <is>
          <t>KARISMA CIPTATUNGGAL</t>
        </is>
      </c>
      <c r="B82" t="inlineStr">
        <is>
          <t>Kota Semarang</t>
        </is>
      </c>
      <c r="C82" t="inlineStr">
        <is>
          <t>0247617187</t>
        </is>
      </c>
      <c r="D82" t="inlineStr">
        <is>
          <t>pt.karismaciptatunggalgroup@gmail.com</t>
        </is>
      </c>
      <c r="E82" t="inlineStr">
        <is>
          <t>https://lpjk.pu.go.id/search-badan-usaha-detail/a1JtamlOdDVuNUtJQTYvTkF2ZEo3Zz09</t>
        </is>
      </c>
      <c r="F82" t="n">
        <v>1</v>
      </c>
      <c r="G82" t="inlineStr">
        <is>
          <t>BG002</t>
        </is>
      </c>
      <c r="H82" t="inlineStr">
        <is>
          <t>14 September 1990</t>
        </is>
      </c>
      <c r="I82" s="2" t="n">
        <v>46328</v>
      </c>
      <c r="J82" t="inlineStr">
        <is>
          <t>Disetujui</t>
        </is>
      </c>
      <c r="K82" t="n">
        <v>90</v>
      </c>
      <c r="L82" t="inlineStr">
        <is>
          <t>2 November 2026</t>
        </is>
      </c>
      <c r="M82" t="inlineStr">
        <is>
          <t>Konstruksi Gedung Perkantoran</t>
        </is>
      </c>
      <c r="N82" t="inlineStr">
        <is>
          <t>M</t>
        </is>
      </c>
      <c r="O82" t="inlineStr">
        <is>
          <t>20231013</t>
        </is>
      </c>
      <c r="P82" t="inlineStr">
        <is>
          <t>Jawa Tengah</t>
        </is>
      </c>
      <c r="Q82" t="inlineStr"/>
    </row>
    <row r="83">
      <c r="A83" t="inlineStr">
        <is>
          <t>KARUNIA SAFARI</t>
        </is>
      </c>
      <c r="B83" t="inlineStr">
        <is>
          <t>Kab. Lombok Tengah</t>
        </is>
      </c>
      <c r="C83" t="inlineStr">
        <is>
          <t>087859200345</t>
        </is>
      </c>
      <c r="D83" t="inlineStr">
        <is>
          <t>cvkaruniasafari@gmail.com</t>
        </is>
      </c>
      <c r="E83" t="inlineStr">
        <is>
          <t>https://lpjk.pu.go.id/search-badan-usaha-detail/RklwN3VUWVR0SkorNVNnWXN6QkF3Zz09</t>
        </is>
      </c>
      <c r="F83" t="n">
        <v>2</v>
      </c>
      <c r="G83" t="inlineStr">
        <is>
          <t>BS001, BS010</t>
        </is>
      </c>
      <c r="H83" t="inlineStr">
        <is>
          <t>16 September 2020</t>
        </is>
      </c>
      <c r="I83" s="2" t="n">
        <v>46328</v>
      </c>
      <c r="J83" t="inlineStr">
        <is>
          <t>Disetujui</t>
        </is>
      </c>
      <c r="K83" t="n">
        <v>90</v>
      </c>
      <c r="L83" t="inlineStr">
        <is>
          <t>2 November 2026</t>
        </is>
      </c>
      <c r="M83" t="inlineStr">
        <is>
          <t>Konstruksi Bangunan Prasarana Sumber Daya Air, Konstruksi Bangunan Sipil Jalan</t>
        </is>
      </c>
      <c r="N83" t="inlineStr">
        <is>
          <t>K</t>
        </is>
      </c>
      <c r="O83" t="inlineStr">
        <is>
          <t>20231102</t>
        </is>
      </c>
      <c r="P83" t="inlineStr">
        <is>
          <t>Nusa Tenggara Barat</t>
        </is>
      </c>
      <c r="Q83" t="inlineStr"/>
    </row>
    <row r="84">
      <c r="A84" t="inlineStr">
        <is>
          <t>KARYA CINTA BIMA</t>
        </is>
      </c>
      <c r="B84" t="inlineStr">
        <is>
          <t>Kota Medan</t>
        </is>
      </c>
      <c r="C84" t="inlineStr">
        <is>
          <t>081361758839</t>
        </is>
      </c>
      <c r="D84" t="inlineStr">
        <is>
          <t>karya_cintabima@yahoo.com</t>
        </is>
      </c>
      <c r="E84" t="inlineStr">
        <is>
          <t>https://lpjk.pu.go.id/search-badan-usaha-detail/QUtxcWZwbWpDeGhUVFhSOHd1QloxUT09</t>
        </is>
      </c>
      <c r="F84" t="n">
        <v>2</v>
      </c>
      <c r="G84" t="inlineStr">
        <is>
          <t>BG005, BG006</t>
        </is>
      </c>
      <c r="H84" t="inlineStr">
        <is>
          <t>11 Juli 2006</t>
        </is>
      </c>
      <c r="I84" s="2" t="n">
        <v>46328</v>
      </c>
      <c r="J84" t="inlineStr">
        <is>
          <t>Disetujui</t>
        </is>
      </c>
      <c r="K84" t="n">
        <v>90</v>
      </c>
      <c r="L84" t="inlineStr">
        <is>
          <t>2 November 2026</t>
        </is>
      </c>
      <c r="M84" t="inlineStr">
        <is>
          <t>Konstruksi Gedung Kesehatan, Konstruksi Gedung Pendidikan</t>
        </is>
      </c>
      <c r="N84" t="inlineStr">
        <is>
          <t>K</t>
        </is>
      </c>
      <c r="O84" t="inlineStr">
        <is>
          <t>20231024</t>
        </is>
      </c>
      <c r="P84" t="inlineStr">
        <is>
          <t>Sumatera Utara</t>
        </is>
      </c>
      <c r="Q84" t="inlineStr"/>
    </row>
    <row r="85">
      <c r="A85" t="inlineStr">
        <is>
          <t>KARYA DESIMBA</t>
        </is>
      </c>
      <c r="B85" t="inlineStr">
        <is>
          <t>Kab. Bojonegoro</t>
        </is>
      </c>
      <c r="C85" t="inlineStr">
        <is>
          <t>085233845758</t>
        </is>
      </c>
      <c r="D85" t="inlineStr">
        <is>
          <t>cvkaryadesimba23@gmail.com</t>
        </is>
      </c>
      <c r="E85" t="inlineStr">
        <is>
          <t>https://lpjk.pu.go.id/search-badan-usaha-detail/SURrNWdDSlpPcXZSYjZBcDNQa3ZQdz09</t>
        </is>
      </c>
      <c r="F85" t="n">
        <v>1</v>
      </c>
      <c r="G85" t="inlineStr">
        <is>
          <t>BS001</t>
        </is>
      </c>
      <c r="H85" t="inlineStr">
        <is>
          <t>5 Januari 2023</t>
        </is>
      </c>
      <c r="I85" s="2" t="n">
        <v>46328</v>
      </c>
      <c r="J85" t="inlineStr">
        <is>
          <t>Disetujui</t>
        </is>
      </c>
      <c r="K85" t="n">
        <v>90</v>
      </c>
      <c r="L85" t="inlineStr">
        <is>
          <t>2 November 2026</t>
        </is>
      </c>
      <c r="M85" t="inlineStr">
        <is>
          <t>Konstruksi Bangunan Sipil Jalan</t>
        </is>
      </c>
      <c r="N85" t="inlineStr">
        <is>
          <t>K</t>
        </is>
      </c>
      <c r="O85" t="inlineStr">
        <is>
          <t>20231030</t>
        </is>
      </c>
      <c r="P85" t="inlineStr">
        <is>
          <t>Jawa Timur</t>
        </is>
      </c>
      <c r="Q85" t="inlineStr"/>
    </row>
    <row r="86">
      <c r="A86" t="inlineStr">
        <is>
          <t>KARYA SATRIA</t>
        </is>
      </c>
      <c r="B86" t="inlineStr">
        <is>
          <t>Kab. Pemalang</t>
        </is>
      </c>
      <c r="C86" t="inlineStr">
        <is>
          <t>085292957354</t>
        </is>
      </c>
      <c r="D86" t="inlineStr">
        <is>
          <t>karyasatria2019@gmail.com</t>
        </is>
      </c>
      <c r="E86" t="inlineStr">
        <is>
          <t>https://lpjk.pu.go.id/search-badan-usaha-detail/d2w1Y2IxamloR08yaThER2NxRy96Zz09</t>
        </is>
      </c>
      <c r="F86" t="n">
        <v>3</v>
      </c>
      <c r="G86" t="inlineStr">
        <is>
          <t>BG006, BG009, BS001</t>
        </is>
      </c>
      <c r="H86" t="inlineStr">
        <is>
          <t>2 Januari 1995</t>
        </is>
      </c>
      <c r="I86" s="2" t="n">
        <v>46328</v>
      </c>
      <c r="J86" t="inlineStr">
        <is>
          <t>Disetujui</t>
        </is>
      </c>
      <c r="K86" t="n">
        <v>90</v>
      </c>
      <c r="L86" t="inlineStr">
        <is>
          <t>2 November 2026</t>
        </is>
      </c>
      <c r="M86" t="inlineStr">
        <is>
          <t>Konstruksi Bangunan Sipil Jalan, Konstruksi Gedung Lainnya, Konstruksi Gedung Pendidikan</t>
        </is>
      </c>
      <c r="N86" t="inlineStr">
        <is>
          <t>K</t>
        </is>
      </c>
      <c r="O86" t="inlineStr">
        <is>
          <t>20231025, 20231030</t>
        </is>
      </c>
      <c r="P86" t="inlineStr">
        <is>
          <t>Jawa Tengah</t>
        </is>
      </c>
      <c r="Q86" t="inlineStr"/>
    </row>
    <row r="87">
      <c r="A87" t="inlineStr">
        <is>
          <t>KARYASINDO MULTIKREASI UTAMA</t>
        </is>
      </c>
      <c r="B87" t="inlineStr">
        <is>
          <t>Kota Adm. Jakarta Pusat</t>
        </is>
      </c>
      <c r="C87" t="inlineStr">
        <is>
          <t>087782233996</t>
        </is>
      </c>
      <c r="D87" t="inlineStr">
        <is>
          <t>pt.karyasindomultikreasiu@gmail.com</t>
        </is>
      </c>
      <c r="E87" t="inlineStr">
        <is>
          <t>https://lpjk.pu.go.id/search-badan-usaha-detail/UnRaNVkwSjVka1BNRmQ5Mlo0dTNZdz09</t>
        </is>
      </c>
      <c r="F87" t="n">
        <v>1</v>
      </c>
      <c r="G87" t="inlineStr">
        <is>
          <t>BS001</t>
        </is>
      </c>
      <c r="H87" t="inlineStr">
        <is>
          <t>6 Januari 2021</t>
        </is>
      </c>
      <c r="I87" s="2" t="n">
        <v>46328</v>
      </c>
      <c r="J87" t="inlineStr">
        <is>
          <t>Disetujui</t>
        </is>
      </c>
      <c r="K87" t="n">
        <v>90</v>
      </c>
      <c r="L87" t="inlineStr">
        <is>
          <t>2 November 2026</t>
        </is>
      </c>
      <c r="M87" t="inlineStr">
        <is>
          <t>Konstruksi Bangunan Sipil Jalan</t>
        </is>
      </c>
      <c r="N87" t="inlineStr">
        <is>
          <t>K</t>
        </is>
      </c>
      <c r="O87" t="inlineStr">
        <is>
          <t>20231031</t>
        </is>
      </c>
      <c r="P87" t="inlineStr">
        <is>
          <t>DKI Jakarta</t>
        </is>
      </c>
      <c r="Q87" t="inlineStr"/>
    </row>
    <row r="88">
      <c r="A88" t="inlineStr">
        <is>
          <t>KREASI BARAHA UTAMA</t>
        </is>
      </c>
      <c r="B88" t="inlineStr">
        <is>
          <t>Kab. Tanah Bumbu</t>
        </is>
      </c>
      <c r="C88" t="inlineStr">
        <is>
          <t>085349994755</t>
        </is>
      </c>
      <c r="D88" t="inlineStr">
        <is>
          <t>kreasibarahautama@yahoo.co.id</t>
        </is>
      </c>
      <c r="E88" t="inlineStr">
        <is>
          <t>https://lpjk.pu.go.id/search-badan-usaha-detail/TGozNzZxZUpvYktYMDkzU1VsTlFIZz09</t>
        </is>
      </c>
      <c r="F88" t="n">
        <v>1</v>
      </c>
      <c r="G88" t="inlineStr">
        <is>
          <t>BS010</t>
        </is>
      </c>
      <c r="H88" t="inlineStr">
        <is>
          <t>18 Januari 2014</t>
        </is>
      </c>
      <c r="I88" s="2" t="n">
        <v>46328</v>
      </c>
      <c r="J88" t="inlineStr">
        <is>
          <t>Disetujui</t>
        </is>
      </c>
      <c r="K88" t="n">
        <v>90</v>
      </c>
      <c r="L88" t="inlineStr">
        <is>
          <t>2 November 2026</t>
        </is>
      </c>
      <c r="M88" t="inlineStr">
        <is>
          <t>Konstruksi Bangunan Prasarana Sumber Daya Air</t>
        </is>
      </c>
      <c r="N88" t="inlineStr">
        <is>
          <t>K</t>
        </is>
      </c>
      <c r="O88" t="inlineStr">
        <is>
          <t>20231017</t>
        </is>
      </c>
      <c r="P88" t="inlineStr">
        <is>
          <t>Kalimantan Selatan</t>
        </is>
      </c>
      <c r="Q88" t="inlineStr"/>
    </row>
    <row r="89">
      <c r="A89" t="inlineStr">
        <is>
          <t>KUSUMA</t>
        </is>
      </c>
      <c r="B89" t="inlineStr">
        <is>
          <t>Kab. Cilacap</t>
        </is>
      </c>
      <c r="C89" t="inlineStr">
        <is>
          <t>082322888666</t>
        </is>
      </c>
      <c r="D89" t="inlineStr">
        <is>
          <t>cvkusuma3@gmail.com</t>
        </is>
      </c>
      <c r="E89" t="inlineStr">
        <is>
          <t>https://lpjk.pu.go.id/search-badan-usaha-detail/a3lDNSt0NmdiVzUzVHRsU0JSSGlDdz09</t>
        </is>
      </c>
      <c r="F89" t="n">
        <v>1</v>
      </c>
      <c r="G89" t="inlineStr">
        <is>
          <t>BS001</t>
        </is>
      </c>
      <c r="H89" t="inlineStr">
        <is>
          <t>25 September 2017</t>
        </is>
      </c>
      <c r="I89" s="2" t="n">
        <v>46328</v>
      </c>
      <c r="J89" t="inlineStr">
        <is>
          <t>Pencabutan</t>
        </is>
      </c>
      <c r="K89" t="n">
        <v>90</v>
      </c>
      <c r="L89" t="inlineStr">
        <is>
          <t>2 November 2026</t>
        </is>
      </c>
      <c r="M89" t="inlineStr">
        <is>
          <t>Konstruksi Bangunan Sipil Jalan</t>
        </is>
      </c>
      <c r="N89" t="inlineStr">
        <is>
          <t>K</t>
        </is>
      </c>
      <c r="O89" t="inlineStr">
        <is>
          <t>20231031</t>
        </is>
      </c>
      <c r="P89" t="inlineStr">
        <is>
          <t>Jawa Tengah</t>
        </is>
      </c>
      <c r="Q89" t="inlineStr"/>
    </row>
    <row r="90">
      <c r="A90" t="inlineStr">
        <is>
          <t>MAKMUR ALFA LESTARI</t>
        </is>
      </c>
      <c r="B90" t="inlineStr">
        <is>
          <t>Kota Bandung</t>
        </is>
      </c>
      <c r="C90" t="inlineStr">
        <is>
          <t>022</t>
        </is>
      </c>
      <c r="D90" t="inlineStr">
        <is>
          <t>makmur.alfa.lestari@gmail.com</t>
        </is>
      </c>
      <c r="E90" t="inlineStr">
        <is>
          <t>https://lpjk.pu.go.id/search-badan-usaha-detail/TlhqeEZwZU16QnU1ZDdqMFAzL0xIQT09</t>
        </is>
      </c>
      <c r="F90" t="n">
        <v>1</v>
      </c>
      <c r="G90" t="inlineStr">
        <is>
          <t>BG003</t>
        </is>
      </c>
      <c r="H90" t="inlineStr">
        <is>
          <t>28 Maret 2016</t>
        </is>
      </c>
      <c r="I90" s="2" t="n">
        <v>46328</v>
      </c>
      <c r="J90" t="inlineStr">
        <is>
          <t>Disetujui</t>
        </is>
      </c>
      <c r="K90" t="n">
        <v>90</v>
      </c>
      <c r="L90" t="inlineStr">
        <is>
          <t>2 November 2026</t>
        </is>
      </c>
      <c r="M90" t="inlineStr">
        <is>
          <t>Konstruksi Gedung Industri</t>
        </is>
      </c>
      <c r="N90" t="inlineStr">
        <is>
          <t>K</t>
        </is>
      </c>
      <c r="O90" t="inlineStr">
        <is>
          <t>20231101</t>
        </is>
      </c>
      <c r="P90" t="inlineStr">
        <is>
          <t>Jawa Barat</t>
        </is>
      </c>
      <c r="Q90" t="inlineStr"/>
    </row>
    <row r="91">
      <c r="A91" t="inlineStr">
        <is>
          <t>MANDIRI PAPUA</t>
        </is>
      </c>
      <c r="B91" t="inlineStr">
        <is>
          <t>Kab. Nabire</t>
        </is>
      </c>
      <c r="C91" t="inlineStr">
        <is>
          <t>082377668598</t>
        </is>
      </c>
      <c r="D91" t="inlineStr">
        <is>
          <t>mandiripapua56@gmail.com</t>
        </is>
      </c>
      <c r="E91" t="inlineStr">
        <is>
          <t>https://lpjk.pu.go.id/search-badan-usaha-detail/Sk1mVzhMbEdtR3NGV3RuM1Ixc0VRZz09</t>
        </is>
      </c>
      <c r="F91" t="n">
        <v>1</v>
      </c>
      <c r="G91" t="inlineStr">
        <is>
          <t>BG002</t>
        </is>
      </c>
      <c r="H91" t="inlineStr">
        <is>
          <t>20 Mei 2020</t>
        </is>
      </c>
      <c r="I91" s="2" t="n">
        <v>46328</v>
      </c>
      <c r="J91" t="inlineStr">
        <is>
          <t>Pencabutan</t>
        </is>
      </c>
      <c r="K91" t="n">
        <v>90</v>
      </c>
      <c r="L91" t="inlineStr">
        <is>
          <t>2 November 2026</t>
        </is>
      </c>
      <c r="M91" t="inlineStr">
        <is>
          <t>Konstruksi Gedung Perkantoran</t>
        </is>
      </c>
      <c r="N91" t="inlineStr">
        <is>
          <t>K</t>
        </is>
      </c>
      <c r="O91" t="inlineStr">
        <is>
          <t>20231101</t>
        </is>
      </c>
      <c r="P91" t="inlineStr">
        <is>
          <t>Papua</t>
        </is>
      </c>
      <c r="Q91" t="inlineStr"/>
    </row>
    <row r="92">
      <c r="A92" t="inlineStr">
        <is>
          <t>MITRA DUTA SELARAS</t>
        </is>
      </c>
      <c r="B92" t="inlineStr">
        <is>
          <t>Kota Batam</t>
        </is>
      </c>
      <c r="C92" t="inlineStr">
        <is>
          <t>0778469702</t>
        </is>
      </c>
      <c r="D92" t="inlineStr">
        <is>
          <t>cvmitradutaselaras@gmail.com</t>
        </is>
      </c>
      <c r="E92" t="inlineStr">
        <is>
          <t>https://lpjk.pu.go.id/search-badan-usaha-detail/QjdYd1RpTFFMOTJOWlhxb3dYaWZUQT09</t>
        </is>
      </c>
      <c r="F92" t="n">
        <v>2</v>
      </c>
      <c r="G92" t="inlineStr">
        <is>
          <t>BG002, BG009</t>
        </is>
      </c>
      <c r="H92" t="inlineStr">
        <is>
          <t>13 Juni 2011</t>
        </is>
      </c>
      <c r="I92" s="2" t="n">
        <v>46328</v>
      </c>
      <c r="J92" t="inlineStr">
        <is>
          <t>Disetujui</t>
        </is>
      </c>
      <c r="K92" t="n">
        <v>90</v>
      </c>
      <c r="L92" t="inlineStr">
        <is>
          <t>2 November 2026</t>
        </is>
      </c>
      <c r="M92" t="inlineStr">
        <is>
          <t>Konstruksi Gedung Lainnya, Konstruksi Gedung Perkantoran</t>
        </is>
      </c>
      <c r="N92" t="inlineStr">
        <is>
          <t>K</t>
        </is>
      </c>
      <c r="O92" t="inlineStr">
        <is>
          <t>20231102</t>
        </is>
      </c>
      <c r="P92" t="inlineStr">
        <is>
          <t>Kepulauan Riau</t>
        </is>
      </c>
      <c r="Q92" t="inlineStr"/>
    </row>
    <row r="93">
      <c r="A93" t="inlineStr">
        <is>
          <t>NARASAVA CONSTRUCTION</t>
        </is>
      </c>
      <c r="B93" t="inlineStr">
        <is>
          <t>Kota Tangerang</t>
        </is>
      </c>
      <c r="C93" t="inlineStr">
        <is>
          <t>081386521434</t>
        </is>
      </c>
      <c r="D93" t="inlineStr">
        <is>
          <t>cv.narasava.construction@gmail.com</t>
        </is>
      </c>
      <c r="E93" t="inlineStr">
        <is>
          <t>https://lpjk.pu.go.id/search-badan-usaha-detail/TVQzQnU1Q3JFODkyemhWU090djE0QT09</t>
        </is>
      </c>
      <c r="F93" t="n">
        <v>2</v>
      </c>
      <c r="G93" t="inlineStr">
        <is>
          <t>BS007, PB003</t>
        </is>
      </c>
      <c r="H93" t="inlineStr">
        <is>
          <t>17 Mei 2023</t>
        </is>
      </c>
      <c r="I93" s="2" t="n">
        <v>46328</v>
      </c>
      <c r="J93" t="inlineStr">
        <is>
          <t>Pencabutan</t>
        </is>
      </c>
      <c r="K93" t="n">
        <v>90</v>
      </c>
      <c r="L93" t="inlineStr">
        <is>
          <t>2 November 2026</t>
        </is>
      </c>
      <c r="M93" t="inlineStr">
        <is>
          <t>Konstruksi Bangunan Sipil Elektrikal, Pengerjaan Lantai, Dinding, Peralatan Saniter dan Plafon</t>
        </is>
      </c>
      <c r="N93" t="inlineStr">
        <is>
          <t>K, Spesialis</t>
        </is>
      </c>
      <c r="O93" t="inlineStr">
        <is>
          <t>20230718, 20231027</t>
        </is>
      </c>
      <c r="P93" t="inlineStr">
        <is>
          <t>Banten</t>
        </is>
      </c>
      <c r="Q93" t="inlineStr"/>
    </row>
    <row r="94">
      <c r="A94" t="inlineStr">
        <is>
          <t>NAZWA BERKAH TEKNIK</t>
        </is>
      </c>
      <c r="B94" t="inlineStr">
        <is>
          <t>Kota Banjarmasin</t>
        </is>
      </c>
      <c r="C94" t="inlineStr">
        <is>
          <t>085251332223</t>
        </is>
      </c>
      <c r="D94" t="inlineStr">
        <is>
          <t>nazwaberkahteknik17@gmail.com</t>
        </is>
      </c>
      <c r="E94" t="inlineStr">
        <is>
          <t>https://lpjk.pu.go.id/search-badan-usaha-detail/VDZVaGt1UEsxaURUaHlCMmpjU0tEdz09</t>
        </is>
      </c>
      <c r="F94" t="n">
        <v>1</v>
      </c>
      <c r="G94" t="inlineStr">
        <is>
          <t>RK001</t>
        </is>
      </c>
      <c r="H94" t="inlineStr">
        <is>
          <t>8 Oktober 2015</t>
        </is>
      </c>
      <c r="I94" s="2" t="n">
        <v>46328</v>
      </c>
      <c r="J94" t="inlineStr">
        <is>
          <t>Disetujui</t>
        </is>
      </c>
      <c r="K94" t="n">
        <v>90</v>
      </c>
      <c r="L94" t="inlineStr">
        <is>
          <t>2 November 2026</t>
        </is>
      </c>
      <c r="M94" t="inlineStr">
        <is>
          <t>Jasa Rekayasa Konstruksi Bangunan Gedung Hunian dan Non Hunian</t>
        </is>
      </c>
      <c r="N94" t="inlineStr">
        <is>
          <t>K</t>
        </is>
      </c>
      <c r="O94" t="inlineStr">
        <is>
          <t>20230729</t>
        </is>
      </c>
      <c r="P94" t="inlineStr">
        <is>
          <t>Kalimantan Selatan</t>
        </is>
      </c>
      <c r="Q94" t="inlineStr"/>
    </row>
    <row r="95">
      <c r="A95" t="inlineStr">
        <is>
          <t>PANCASONA</t>
        </is>
      </c>
      <c r="B95" t="inlineStr">
        <is>
          <t>Kota Semarang</t>
        </is>
      </c>
      <c r="C95" t="inlineStr">
        <is>
          <t>0818451234</t>
        </is>
      </c>
      <c r="D95" t="inlineStr">
        <is>
          <t>pancasona.smg@gmail.com</t>
        </is>
      </c>
      <c r="E95" t="inlineStr">
        <is>
          <t>https://lpjk.pu.go.id/search-badan-usaha-detail/Wk5aMkVVMUpibWNtVERMbk9XVVlQUT09</t>
        </is>
      </c>
      <c r="F95" t="n">
        <v>4</v>
      </c>
      <c r="G95" t="inlineStr">
        <is>
          <t>BS004, BS005</t>
        </is>
      </c>
      <c r="H95" t="inlineStr">
        <is>
          <t>14 Januari 2020</t>
        </is>
      </c>
      <c r="I95" s="2" t="n">
        <v>46328</v>
      </c>
      <c r="J95" t="inlineStr">
        <is>
          <t>Disetujui</t>
        </is>
      </c>
      <c r="K95" t="n">
        <v>90</v>
      </c>
      <c r="L95" t="inlineStr">
        <is>
          <t>2 November 2026</t>
        </is>
      </c>
      <c r="M95" t="inlineStr">
        <is>
          <t>Konstruksi Bangunan Sipil Pengolahan Air Bersih, Konstruksi Jaringan Irigasi dan Drainase</t>
        </is>
      </c>
      <c r="N95" t="inlineStr">
        <is>
          <t>K</t>
        </is>
      </c>
      <c r="O95" t="inlineStr">
        <is>
          <t>20231103</t>
        </is>
      </c>
      <c r="P95" t="inlineStr">
        <is>
          <t>Jawa Tengah</t>
        </is>
      </c>
      <c r="Q95" t="inlineStr"/>
    </row>
    <row r="96">
      <c r="A96" t="inlineStr">
        <is>
          <t>PANDAWA</t>
        </is>
      </c>
      <c r="B96" t="inlineStr">
        <is>
          <t>Kab. Wonogiri</t>
        </is>
      </c>
      <c r="C96" t="inlineStr">
        <is>
          <t>085229343000</t>
        </is>
      </c>
      <c r="D96" t="inlineStr">
        <is>
          <t>bapakyanto1903@gmail.com</t>
        </is>
      </c>
      <c r="E96" t="inlineStr">
        <is>
          <t>https://lpjk.pu.go.id/search-badan-usaha-detail/cVhveG9VbDIyWVllYmszZ1hYLy9MQT09</t>
        </is>
      </c>
      <c r="F96" t="n">
        <v>2</v>
      </c>
      <c r="G96" t="inlineStr">
        <is>
          <t>BS001</t>
        </is>
      </c>
      <c r="H96" t="inlineStr">
        <is>
          <t>30 Desember 2002</t>
        </is>
      </c>
      <c r="I96" s="2" t="n">
        <v>46328</v>
      </c>
      <c r="J96" t="inlineStr">
        <is>
          <t>Disetujui</t>
        </is>
      </c>
      <c r="K96" t="n">
        <v>90</v>
      </c>
      <c r="L96" t="inlineStr">
        <is>
          <t>2 November 2026</t>
        </is>
      </c>
      <c r="M96" t="inlineStr">
        <is>
          <t>Konstruksi Bangunan Sipil Jalan</t>
        </is>
      </c>
      <c r="N96" t="inlineStr">
        <is>
          <t>K</t>
        </is>
      </c>
      <c r="O96" t="inlineStr">
        <is>
          <t>20231028</t>
        </is>
      </c>
      <c r="P96" t="inlineStr">
        <is>
          <t>Jawa Tengah</t>
        </is>
      </c>
      <c r="Q96" t="inlineStr"/>
    </row>
    <row r="97">
      <c r="A97" t="inlineStr">
        <is>
          <t>PRAKASA PURBA</t>
        </is>
      </c>
      <c r="B97" t="inlineStr">
        <is>
          <t>Kab. Garut</t>
        </is>
      </c>
      <c r="C97" t="inlineStr">
        <is>
          <t>0</t>
        </is>
      </c>
      <c r="D97" t="inlineStr">
        <is>
          <t>prakasapurba@gmail.com</t>
        </is>
      </c>
      <c r="E97" t="inlineStr">
        <is>
          <t>https://lpjk.pu.go.id/search-badan-usaha-detail/Sk1JNVQ5YU9NNEdlemFwS2x3b1FQdz09</t>
        </is>
      </c>
      <c r="F97" t="n">
        <v>1</v>
      </c>
      <c r="G97" t="inlineStr">
        <is>
          <t>IN001</t>
        </is>
      </c>
      <c r="H97" t="inlineStr">
        <is>
          <t>31 Juli 2012</t>
        </is>
      </c>
      <c r="I97" s="2" t="n">
        <v>46328</v>
      </c>
      <c r="J97" t="inlineStr">
        <is>
          <t>Pencabutan</t>
        </is>
      </c>
      <c r="K97" t="n">
        <v>90</v>
      </c>
      <c r="L97" t="inlineStr">
        <is>
          <t>2 November 2026</t>
        </is>
      </c>
      <c r="M97" t="inlineStr">
        <is>
          <t>Instalasi Mekanikal</t>
        </is>
      </c>
      <c r="N97" t="inlineStr">
        <is>
          <t>Spesialis</t>
        </is>
      </c>
      <c r="O97" t="inlineStr">
        <is>
          <t>20231030</t>
        </is>
      </c>
      <c r="P97" t="inlineStr">
        <is>
          <t>Jawa Barat</t>
        </is>
      </c>
      <c r="Q97" t="inlineStr"/>
    </row>
    <row r="98">
      <c r="A98" t="inlineStr">
        <is>
          <t>PRIMA MANDIRI</t>
        </is>
      </c>
      <c r="B98" t="inlineStr">
        <is>
          <t>Kab. Banyuwangi</t>
        </is>
      </c>
      <c r="C98" t="inlineStr">
        <is>
          <t>082244071878</t>
        </is>
      </c>
      <c r="D98" t="inlineStr">
        <is>
          <t>hendrik.hariyanto@yahoo.com</t>
        </is>
      </c>
      <c r="E98" t="inlineStr">
        <is>
          <t>https://lpjk.pu.go.id/search-badan-usaha-detail/blFmMUN3aFlyQVM4WWVwSTR5VUVqdz09</t>
        </is>
      </c>
      <c r="F98" t="n">
        <v>3</v>
      </c>
      <c r="G98" t="inlineStr">
        <is>
          <t>BG005, BG006, BG009</t>
        </is>
      </c>
      <c r="H98" t="inlineStr">
        <is>
          <t>13 Maret 2017</t>
        </is>
      </c>
      <c r="I98" s="2" t="n">
        <v>46328</v>
      </c>
      <c r="J98" t="inlineStr">
        <is>
          <t>Disetujui</t>
        </is>
      </c>
      <c r="K98" t="n">
        <v>90</v>
      </c>
      <c r="L98" t="inlineStr">
        <is>
          <t>2 November 2026</t>
        </is>
      </c>
      <c r="M98" t="inlineStr">
        <is>
          <t>Konstruksi Gedung Kesehatan, Konstruksi Gedung Lainnya, Konstruksi Gedung Pendidikan</t>
        </is>
      </c>
      <c r="N98" t="inlineStr">
        <is>
          <t>K</t>
        </is>
      </c>
      <c r="O98" t="inlineStr">
        <is>
          <t>20231027</t>
        </is>
      </c>
      <c r="P98" t="inlineStr">
        <is>
          <t>Jawa Timur</t>
        </is>
      </c>
      <c r="Q98" t="inlineStr"/>
    </row>
    <row r="99">
      <c r="A99" t="inlineStr">
        <is>
          <t>PUNCAK SORIBO</t>
        </is>
      </c>
      <c r="B99" t="inlineStr">
        <is>
          <t>Kab. Manokwari</t>
        </is>
      </c>
      <c r="C99" t="inlineStr">
        <is>
          <t>082242178980</t>
        </is>
      </c>
      <c r="D99" t="inlineStr">
        <is>
          <t>wondiwoyderek@gmail.com</t>
        </is>
      </c>
      <c r="E99" t="inlineStr">
        <is>
          <t>https://lpjk.pu.go.id/search-badan-usaha-detail/d203cURiSFMraFM5cU1LYThEcXE1QT09</t>
        </is>
      </c>
      <c r="F99" t="n">
        <v>1</v>
      </c>
      <c r="G99" t="inlineStr">
        <is>
          <t>BG009</t>
        </is>
      </c>
      <c r="H99" t="inlineStr">
        <is>
          <t>14 Januari 2021</t>
        </is>
      </c>
      <c r="I99" s="2" t="n">
        <v>46328</v>
      </c>
      <c r="J99" t="inlineStr">
        <is>
          <t>Pencabutan</t>
        </is>
      </c>
      <c r="K99" t="n">
        <v>90</v>
      </c>
      <c r="L99" t="inlineStr">
        <is>
          <t>2 November 2026</t>
        </is>
      </c>
      <c r="M99" t="inlineStr">
        <is>
          <t>Konstruksi Gedung Lainnya</t>
        </is>
      </c>
      <c r="N99" t="inlineStr">
        <is>
          <t>K</t>
        </is>
      </c>
      <c r="O99" t="inlineStr">
        <is>
          <t>20231030</t>
        </is>
      </c>
      <c r="P99" t="inlineStr">
        <is>
          <t>Papua Barat</t>
        </is>
      </c>
      <c r="Q99" t="inlineStr"/>
    </row>
    <row r="100">
      <c r="A100" t="inlineStr">
        <is>
          <t>PURBA JAYA ABADI</t>
        </is>
      </c>
      <c r="B100" t="inlineStr">
        <is>
          <t>Kota Medan</t>
        </is>
      </c>
      <c r="C100" t="inlineStr">
        <is>
          <t>08126509467</t>
        </is>
      </c>
      <c r="D100" t="inlineStr">
        <is>
          <t>cv.purbajayaabadi@gmail.com</t>
        </is>
      </c>
      <c r="E100" t="inlineStr">
        <is>
          <t>https://lpjk.pu.go.id/search-badan-usaha-detail/MklVeUs0ZWpNR2tCaXhZUi9wUXFBdz09</t>
        </is>
      </c>
      <c r="F100" t="n">
        <v>4</v>
      </c>
      <c r="G100" t="inlineStr">
        <is>
          <t>BG009, BS001, BS002, BS004</t>
        </is>
      </c>
      <c r="H100" t="inlineStr">
        <is>
          <t>17 Desember 2011</t>
        </is>
      </c>
      <c r="I100" s="2" t="n">
        <v>46328</v>
      </c>
      <c r="J100" t="inlineStr">
        <is>
          <t>Disetujui</t>
        </is>
      </c>
      <c r="K100" t="n">
        <v>90</v>
      </c>
      <c r="L100" t="inlineStr">
        <is>
          <t>2 November 2026</t>
        </is>
      </c>
      <c r="M100" t="inlineStr">
        <is>
          <t>Bangunan Sipil Jembatan, Jalan Layang, Fly Over, dan Underpass, Konstruksi Bangunan Sipil Jalan, Konstruksi Gedung Lainnya, Konstruksi Jaringan Irigasi dan Drainase</t>
        </is>
      </c>
      <c r="N100" t="inlineStr">
        <is>
          <t>K</t>
        </is>
      </c>
      <c r="O100" t="inlineStr">
        <is>
          <t>20231030, 20231031</t>
        </is>
      </c>
      <c r="P100" t="inlineStr">
        <is>
          <t>Sumatera Utara</t>
        </is>
      </c>
      <c r="Q100" t="inlineStr"/>
    </row>
    <row r="101">
      <c r="A101" t="inlineStr">
        <is>
          <t>PUSAKA PERDANA</t>
        </is>
      </c>
      <c r="B101" t="inlineStr">
        <is>
          <t>Kota Bandung</t>
        </is>
      </c>
      <c r="C101" t="inlineStr">
        <is>
          <t>082118020344</t>
        </is>
      </c>
      <c r="D101" t="inlineStr">
        <is>
          <t>pusakaperdanacv@gmail.com</t>
        </is>
      </c>
      <c r="E101" t="inlineStr">
        <is>
          <t>https://lpjk.pu.go.id/search-badan-usaha-detail/bXEzcS9oTWJYbWpLakI2c0k1UE9QUT09</t>
        </is>
      </c>
      <c r="F101" t="n">
        <v>1</v>
      </c>
      <c r="G101" t="inlineStr">
        <is>
          <t>BG005</t>
        </is>
      </c>
      <c r="H101" t="inlineStr">
        <is>
          <t>17 Februari 2013</t>
        </is>
      </c>
      <c r="I101" s="2" t="n">
        <v>46328</v>
      </c>
      <c r="J101" t="inlineStr">
        <is>
          <t>Disetujui</t>
        </is>
      </c>
      <c r="K101" t="n">
        <v>90</v>
      </c>
      <c r="L101" t="inlineStr">
        <is>
          <t>2 November 2026</t>
        </is>
      </c>
      <c r="M101" t="inlineStr">
        <is>
          <t>Konstruksi Gedung Kesehatan</t>
        </is>
      </c>
      <c r="N101" t="inlineStr">
        <is>
          <t>K</t>
        </is>
      </c>
      <c r="O101" t="inlineStr">
        <is>
          <t>20231102</t>
        </is>
      </c>
      <c r="P101" t="inlineStr">
        <is>
          <t>Jawa Barat</t>
        </is>
      </c>
      <c r="Q101" t="inlineStr"/>
    </row>
    <row r="102">
      <c r="A102" t="inlineStr">
        <is>
          <t>PUTRA KALI AMANDIT</t>
        </is>
      </c>
      <c r="B102" t="inlineStr">
        <is>
          <t>Kab. Banjar</t>
        </is>
      </c>
      <c r="C102" t="inlineStr">
        <is>
          <t>081349302025</t>
        </is>
      </c>
      <c r="D102" t="inlineStr">
        <is>
          <t>cvputrakaliamandit@gmail.com</t>
        </is>
      </c>
      <c r="E102" t="inlineStr">
        <is>
          <t>https://lpjk.pu.go.id/search-badan-usaha-detail/VUJJY2Y5QUtUQXdPZTR1WGw1Q2VPdz09</t>
        </is>
      </c>
      <c r="F102" t="n">
        <v>1</v>
      </c>
      <c r="G102" t="inlineStr">
        <is>
          <t>BG009</t>
        </is>
      </c>
      <c r="H102" t="inlineStr">
        <is>
          <t>19 Oktober 2012</t>
        </is>
      </c>
      <c r="I102" s="2" t="n">
        <v>46328</v>
      </c>
      <c r="J102" t="inlineStr">
        <is>
          <t>Disetujui</t>
        </is>
      </c>
      <c r="K102" t="n">
        <v>90</v>
      </c>
      <c r="L102" t="inlineStr">
        <is>
          <t>2 November 2026</t>
        </is>
      </c>
      <c r="M102" t="inlineStr">
        <is>
          <t>Konstruksi Gedung Lainnya</t>
        </is>
      </c>
      <c r="N102" t="inlineStr">
        <is>
          <t>K</t>
        </is>
      </c>
      <c r="O102" t="inlineStr">
        <is>
          <t>20231101</t>
        </is>
      </c>
      <c r="P102" t="inlineStr">
        <is>
          <t>Kalimantan Selatan</t>
        </is>
      </c>
      <c r="Q102" t="inlineStr"/>
    </row>
    <row r="103">
      <c r="A103" t="inlineStr">
        <is>
          <t>PUTRA MANGGALA</t>
        </is>
      </c>
      <c r="B103" t="inlineStr">
        <is>
          <t>Kab. Karawang</t>
        </is>
      </c>
      <c r="C103" t="inlineStr">
        <is>
          <t>081295497771</t>
        </is>
      </c>
      <c r="D103" t="inlineStr">
        <is>
          <t>putra_manggala71@yahoo.com</t>
        </is>
      </c>
      <c r="E103" t="inlineStr">
        <is>
          <t>https://lpjk.pu.go.id/search-badan-usaha-detail/Y2NocEZhMVdWNWl6Tms2ZWhzbUVwZz09</t>
        </is>
      </c>
      <c r="F103" t="n">
        <v>2</v>
      </c>
      <c r="G103" t="inlineStr">
        <is>
          <t>BG003, BS001</t>
        </is>
      </c>
      <c r="H103" t="inlineStr">
        <is>
          <t>24 September 2012</t>
        </is>
      </c>
      <c r="I103" s="2" t="n">
        <v>46328</v>
      </c>
      <c r="J103" t="inlineStr">
        <is>
          <t>Disetujui</t>
        </is>
      </c>
      <c r="K103" t="n">
        <v>90</v>
      </c>
      <c r="L103" t="inlineStr">
        <is>
          <t>2 November 2026</t>
        </is>
      </c>
      <c r="M103" t="inlineStr">
        <is>
          <t>Konstruksi Bangunan Sipil Jalan, Konstruksi Gedung Industri</t>
        </is>
      </c>
      <c r="N103" t="inlineStr">
        <is>
          <t>K</t>
        </is>
      </c>
      <c r="O103" t="inlineStr">
        <is>
          <t>20231023</t>
        </is>
      </c>
      <c r="P103" t="inlineStr">
        <is>
          <t>Jawa Barat</t>
        </is>
      </c>
      <c r="Q103" t="inlineStr"/>
    </row>
    <row r="104">
      <c r="A104" t="inlineStr">
        <is>
          <t>PUTRA TIGA SAUDARA BERSAMA</t>
        </is>
      </c>
      <c r="B104" t="inlineStr">
        <is>
          <t>Kota Bandar Lampung</t>
        </is>
      </c>
      <c r="C104" t="inlineStr">
        <is>
          <t>083173168815</t>
        </is>
      </c>
      <c r="D104" t="inlineStr">
        <is>
          <t>putra3sauber@gmail.com</t>
        </is>
      </c>
      <c r="E104" t="inlineStr">
        <is>
          <t>https://lpjk.pu.go.id/search-badan-usaha-detail/YStlNnc0M1gvZlVST2VqYm5wdDlTUT09</t>
        </is>
      </c>
      <c r="F104" t="n">
        <v>2</v>
      </c>
      <c r="G104" t="inlineStr">
        <is>
          <t>BG002, BG009</t>
        </is>
      </c>
      <c r="H104" t="inlineStr">
        <is>
          <t>15 April 2023</t>
        </is>
      </c>
      <c r="I104" s="2" t="n">
        <v>46328</v>
      </c>
      <c r="J104" t="inlineStr">
        <is>
          <t>Pencabutan</t>
        </is>
      </c>
      <c r="K104" t="n">
        <v>90</v>
      </c>
      <c r="L104" t="inlineStr">
        <is>
          <t>2 November 2026</t>
        </is>
      </c>
      <c r="M104" t="inlineStr">
        <is>
          <t>Konstruksi Gedung Lainnya, Konstruksi Gedung Perkantoran</t>
        </is>
      </c>
      <c r="N104" t="inlineStr">
        <is>
          <t>K</t>
        </is>
      </c>
      <c r="O104" t="inlineStr">
        <is>
          <t>20231102</t>
        </is>
      </c>
      <c r="P104" t="inlineStr">
        <is>
          <t>Lampung</t>
        </is>
      </c>
      <c r="Q104" t="inlineStr"/>
    </row>
    <row r="105">
      <c r="A105" t="inlineStr">
        <is>
          <t>RAIH DAYA PERSADA</t>
        </is>
      </c>
      <c r="B105" t="inlineStr">
        <is>
          <t>Kota Tangerang Selatan</t>
        </is>
      </c>
      <c r="C105" t="inlineStr">
        <is>
          <t>02122703910</t>
        </is>
      </c>
      <c r="D105" t="inlineStr">
        <is>
          <t>rdpx@ymail.com</t>
        </is>
      </c>
      <c r="E105" t="inlineStr">
        <is>
          <t>https://lpjk.pu.go.id/search-badan-usaha-detail/aEZ6M0VEWnFBdkdkL21IbnVDYmJMdz09</t>
        </is>
      </c>
      <c r="F105" t="n">
        <v>2</v>
      </c>
      <c r="G105" t="inlineStr">
        <is>
          <t>BG001, BG002</t>
        </is>
      </c>
      <c r="H105" t="inlineStr">
        <is>
          <t>21 Juni 2013</t>
        </is>
      </c>
      <c r="I105" s="2" t="n">
        <v>46328</v>
      </c>
      <c r="J105" t="inlineStr">
        <is>
          <t>Disetujui</t>
        </is>
      </c>
      <c r="K105" t="n">
        <v>90</v>
      </c>
      <c r="L105" t="inlineStr">
        <is>
          <t>2 November 2026</t>
        </is>
      </c>
      <c r="M105" t="inlineStr">
        <is>
          <t>Konstruksi Gedung Hunian, Konstruksi Gedung Perkantoran</t>
        </is>
      </c>
      <c r="N105" t="inlineStr">
        <is>
          <t>K</t>
        </is>
      </c>
      <c r="O105" t="inlineStr">
        <is>
          <t>20231027</t>
        </is>
      </c>
      <c r="P105" t="inlineStr">
        <is>
          <t>Banten</t>
        </is>
      </c>
      <c r="Q105" t="inlineStr"/>
    </row>
    <row r="106">
      <c r="A106" t="inlineStr">
        <is>
          <t>RANCAGE KARYA SAMAKTA</t>
        </is>
      </c>
      <c r="B106" t="inlineStr">
        <is>
          <t>Kota Tangerang Selatan</t>
        </is>
      </c>
      <c r="C106" t="inlineStr">
        <is>
          <t>087771555297</t>
        </is>
      </c>
      <c r="D106" t="inlineStr">
        <is>
          <t>pt.rancagekaryasamakta@gmail.com</t>
        </is>
      </c>
      <c r="E106" t="inlineStr">
        <is>
          <t>https://lpjk.pu.go.id/search-badan-usaha-detail/Y05RN3UrdFI0OVdib2RDZzVXekN5QT09</t>
        </is>
      </c>
      <c r="F106" t="n">
        <v>6</v>
      </c>
      <c r="G106" t="inlineStr">
        <is>
          <t>AR001, AR002, AR003</t>
        </is>
      </c>
      <c r="H106" t="inlineStr">
        <is>
          <t>8 September 2023</t>
        </is>
      </c>
      <c r="I106" s="2" t="n">
        <v>46328</v>
      </c>
      <c r="J106" t="inlineStr">
        <is>
          <t>Disetujui</t>
        </is>
      </c>
      <c r="K106" t="n">
        <v>90</v>
      </c>
      <c r="L106" t="inlineStr">
        <is>
          <t>2 November 2026</t>
        </is>
      </c>
      <c r="M106" t="inlineStr">
        <is>
          <t>Jasa Arsitektural Bangunan Gedung Hunian dan Non Hunian, Jasa Arsitektural Lainnya, Jasa Desain Interior pada Bangunan Gedung dan Bangunan Sipil</t>
        </is>
      </c>
      <c r="N106" t="inlineStr">
        <is>
          <t>K</t>
        </is>
      </c>
      <c r="O106" t="inlineStr">
        <is>
          <t>20230930, 20231009</t>
        </is>
      </c>
      <c r="P106" t="inlineStr">
        <is>
          <t>Banten</t>
        </is>
      </c>
      <c r="Q106" t="inlineStr"/>
    </row>
    <row r="107">
      <c r="A107" t="inlineStr">
        <is>
          <t>REZKY IQBAL MANDIRI</t>
        </is>
      </c>
      <c r="B107" t="inlineStr">
        <is>
          <t>Kab. Hulu Sungai Selatan</t>
        </is>
      </c>
      <c r="C107" t="inlineStr">
        <is>
          <t>0816977559</t>
        </is>
      </c>
      <c r="D107" t="inlineStr">
        <is>
          <t>rezkyiqbalmandiri@gmail.com</t>
        </is>
      </c>
      <c r="E107" t="inlineStr">
        <is>
          <t>https://lpjk.pu.go.id/search-badan-usaha-detail/elVheks3Z2U0V2paVHAvRm9nc0xRUT09</t>
        </is>
      </c>
      <c r="F107" t="n">
        <v>2</v>
      </c>
      <c r="G107" t="inlineStr">
        <is>
          <t>BG006, BG009</t>
        </is>
      </c>
      <c r="H107" t="inlineStr">
        <is>
          <t>11 Februari 2016</t>
        </is>
      </c>
      <c r="I107" s="2" t="n">
        <v>46328</v>
      </c>
      <c r="J107" t="inlineStr">
        <is>
          <t>Disetujui</t>
        </is>
      </c>
      <c r="K107" t="n">
        <v>90</v>
      </c>
      <c r="L107" t="inlineStr">
        <is>
          <t>2 November 2026</t>
        </is>
      </c>
      <c r="M107" t="inlineStr">
        <is>
          <t>Konstruksi Gedung Lainnya, Konstruksi Gedung Pendidikan</t>
        </is>
      </c>
      <c r="N107" t="inlineStr">
        <is>
          <t>K</t>
        </is>
      </c>
      <c r="O107" t="inlineStr">
        <is>
          <t>20231102</t>
        </is>
      </c>
      <c r="P107" t="inlineStr">
        <is>
          <t>Kalimantan Selatan</t>
        </is>
      </c>
      <c r="Q107" t="inlineStr"/>
    </row>
    <row r="108">
      <c r="A108" t="inlineStr">
        <is>
          <t>RIZKY MARAJA</t>
        </is>
      </c>
      <c r="B108" t="inlineStr">
        <is>
          <t>Kab. Soppeng</t>
        </is>
      </c>
      <c r="C108" t="inlineStr">
        <is>
          <t>81343479583</t>
        </is>
      </c>
      <c r="D108" t="inlineStr">
        <is>
          <t>pajak.masa-rizkimaraja@yahoo.com</t>
        </is>
      </c>
      <c r="E108" t="inlineStr">
        <is>
          <t>https://lpjk.pu.go.id/search-badan-usaha-detail/MllDSkE3ZUpOUDk5VUhCTGtoazU5Zz09</t>
        </is>
      </c>
      <c r="F108" t="n">
        <v>1</v>
      </c>
      <c r="G108" t="inlineStr">
        <is>
          <t>BG009</t>
        </is>
      </c>
      <c r="H108" t="inlineStr">
        <is>
          <t>20 Juni 2016</t>
        </is>
      </c>
      <c r="I108" s="2" t="n">
        <v>46328</v>
      </c>
      <c r="J108" t="inlineStr">
        <is>
          <t>Pencabutan</t>
        </is>
      </c>
      <c r="K108" t="n">
        <v>90</v>
      </c>
      <c r="L108" t="inlineStr">
        <is>
          <t>2 November 2026</t>
        </is>
      </c>
      <c r="M108" t="inlineStr">
        <is>
          <t>Konstruksi Gedung Lainnya</t>
        </is>
      </c>
      <c r="N108" t="inlineStr">
        <is>
          <t>K</t>
        </is>
      </c>
      <c r="O108" t="inlineStr">
        <is>
          <t>20231030</t>
        </is>
      </c>
      <c r="P108" t="inlineStr">
        <is>
          <t>Sulawesi Selatan</t>
        </is>
      </c>
      <c r="Q108" t="inlineStr"/>
    </row>
    <row r="109">
      <c r="A109" t="inlineStr">
        <is>
          <t>ROYAL FLUSH</t>
        </is>
      </c>
      <c r="B109" t="inlineStr">
        <is>
          <t>Kab. Lampung Barat</t>
        </is>
      </c>
      <c r="C109" t="inlineStr">
        <is>
          <t>085211172019</t>
        </is>
      </c>
      <c r="D109" t="inlineStr">
        <is>
          <t>cvroyalflush99@gmail.com</t>
        </is>
      </c>
      <c r="E109" t="inlineStr">
        <is>
          <t>https://lpjk.pu.go.id/search-badan-usaha-detail/QXRRQTNVU0JCYkh2d1FYSG5ENUNDZz09</t>
        </is>
      </c>
      <c r="F109" t="n">
        <v>1</v>
      </c>
      <c r="G109" t="inlineStr">
        <is>
          <t>BG001</t>
        </is>
      </c>
      <c r="H109" t="inlineStr">
        <is>
          <t>23 Oktober 2020</t>
        </is>
      </c>
      <c r="I109" s="2" t="n">
        <v>46328</v>
      </c>
      <c r="J109" t="inlineStr">
        <is>
          <t>Pencabutan</t>
        </is>
      </c>
      <c r="K109" t="n">
        <v>90</v>
      </c>
      <c r="L109" t="inlineStr">
        <is>
          <t>2 November 2026</t>
        </is>
      </c>
      <c r="M109" t="inlineStr">
        <is>
          <t>Konstruksi Gedung Hunian</t>
        </is>
      </c>
      <c r="N109" t="inlineStr">
        <is>
          <t>K</t>
        </is>
      </c>
      <c r="O109" t="inlineStr">
        <is>
          <t>20231031</t>
        </is>
      </c>
      <c r="P109" t="inlineStr">
        <is>
          <t>Lampung</t>
        </is>
      </c>
      <c r="Q109" t="inlineStr"/>
    </row>
    <row r="110">
      <c r="A110" t="inlineStr">
        <is>
          <t>SAGARA AGUNG PERSADA UTAMA</t>
        </is>
      </c>
      <c r="B110" t="inlineStr">
        <is>
          <t>Kota Tangerang</t>
        </is>
      </c>
      <c r="C110" t="inlineStr">
        <is>
          <t>02129433311</t>
        </is>
      </c>
      <c r="D110" t="inlineStr">
        <is>
          <t>sap_utama@yahoo.com</t>
        </is>
      </c>
      <c r="E110" t="inlineStr">
        <is>
          <t>https://lpjk.pu.go.id/search-badan-usaha-detail/bW1HUVFBZDdSYW1JTWtTN0NtZlBOdz09</t>
        </is>
      </c>
      <c r="F110" t="n">
        <v>1</v>
      </c>
      <c r="G110" t="inlineStr">
        <is>
          <t>BG006</t>
        </is>
      </c>
      <c r="H110" t="inlineStr">
        <is>
          <t>1 September 2016</t>
        </is>
      </c>
      <c r="I110" s="2" t="n">
        <v>46328</v>
      </c>
      <c r="J110" t="inlineStr">
        <is>
          <t>Disetujui</t>
        </is>
      </c>
      <c r="K110" t="n">
        <v>90</v>
      </c>
      <c r="L110" t="inlineStr">
        <is>
          <t>2 November 2026</t>
        </is>
      </c>
      <c r="M110" t="inlineStr">
        <is>
          <t>Konstruksi Gedung Pendidikan</t>
        </is>
      </c>
      <c r="N110" t="inlineStr">
        <is>
          <t>K</t>
        </is>
      </c>
      <c r="O110" t="inlineStr">
        <is>
          <t>20231101</t>
        </is>
      </c>
      <c r="P110" t="inlineStr">
        <is>
          <t>Banten</t>
        </is>
      </c>
      <c r="Q110" t="inlineStr"/>
    </row>
    <row r="111">
      <c r="A111" t="inlineStr">
        <is>
          <t>SAKA GRAHA INDONESIA</t>
        </is>
      </c>
      <c r="B111" t="inlineStr">
        <is>
          <t>Kota Surabaya</t>
        </is>
      </c>
      <c r="C111" t="inlineStr">
        <is>
          <t>0313731273</t>
        </is>
      </c>
      <c r="D111" t="inlineStr">
        <is>
          <t>ptsgi_sby@yahoo.co.id</t>
        </is>
      </c>
      <c r="E111" t="inlineStr">
        <is>
          <t>https://lpjk.pu.go.id/search-badan-usaha-detail/ZWxHbExscHJZanlkckpSTi80NThEdz09</t>
        </is>
      </c>
      <c r="F111" t="n">
        <v>1</v>
      </c>
      <c r="G111" t="inlineStr">
        <is>
          <t>BG006</t>
        </is>
      </c>
      <c r="H111" t="inlineStr">
        <is>
          <t>8 Mei 2010</t>
        </is>
      </c>
      <c r="I111" s="2" t="n">
        <v>46328</v>
      </c>
      <c r="J111" t="inlineStr">
        <is>
          <t>Disetujui</t>
        </is>
      </c>
      <c r="K111" t="n">
        <v>90</v>
      </c>
      <c r="L111" t="inlineStr">
        <is>
          <t>2 November 2026</t>
        </is>
      </c>
      <c r="M111" t="inlineStr">
        <is>
          <t>Konstruksi Gedung Pendidikan</t>
        </is>
      </c>
      <c r="N111" t="inlineStr">
        <is>
          <t>M</t>
        </is>
      </c>
      <c r="O111" t="inlineStr">
        <is>
          <t>20231101</t>
        </is>
      </c>
      <c r="P111" t="inlineStr">
        <is>
          <t>Jawa Timur</t>
        </is>
      </c>
      <c r="Q111" t="inlineStr"/>
    </row>
    <row r="112">
      <c r="A112" t="inlineStr">
        <is>
          <t>SANGKAROPI MANDIRI</t>
        </is>
      </c>
      <c r="B112" t="inlineStr">
        <is>
          <t>Kota Kendari</t>
        </is>
      </c>
      <c r="C112" t="inlineStr">
        <is>
          <t>085340427609</t>
        </is>
      </c>
      <c r="D112" t="inlineStr">
        <is>
          <t>sangkaropimandiri@gmail.com</t>
        </is>
      </c>
      <c r="E112" t="inlineStr">
        <is>
          <t>https://lpjk.pu.go.id/search-badan-usaha-detail/WWFGeG5iMkFLZzg4L1VLR3lYMGppdz09</t>
        </is>
      </c>
      <c r="F112" t="n">
        <v>1</v>
      </c>
      <c r="G112" t="inlineStr">
        <is>
          <t>BS004</t>
        </is>
      </c>
      <c r="H112" t="inlineStr">
        <is>
          <t>16 Agustus 2021</t>
        </is>
      </c>
      <c r="I112" s="2" t="n">
        <v>46328</v>
      </c>
      <c r="J112" t="inlineStr">
        <is>
          <t>Disetujui</t>
        </is>
      </c>
      <c r="K112" t="n">
        <v>90</v>
      </c>
      <c r="L112" t="inlineStr">
        <is>
          <t>2 November 2026</t>
        </is>
      </c>
      <c r="M112" t="inlineStr">
        <is>
          <t>Konstruksi Jaringan Irigasi dan Drainase</t>
        </is>
      </c>
      <c r="N112" t="inlineStr">
        <is>
          <t>K</t>
        </is>
      </c>
      <c r="O112" t="inlineStr">
        <is>
          <t>20231102</t>
        </is>
      </c>
      <c r="P112" t="inlineStr">
        <is>
          <t>Sulawesi Tenggara</t>
        </is>
      </c>
      <c r="Q112" t="inlineStr"/>
    </row>
    <row r="113">
      <c r="A113" t="inlineStr">
        <is>
          <t>SEKARIMA</t>
        </is>
      </c>
      <c r="B113" t="inlineStr">
        <is>
          <t>Kota Banjarbaru</t>
        </is>
      </c>
      <c r="C113" t="inlineStr">
        <is>
          <t>081351838642</t>
        </is>
      </c>
      <c r="D113" t="inlineStr">
        <is>
          <t>cv.sekarima@yahoo.com</t>
        </is>
      </c>
      <c r="E113" t="inlineStr">
        <is>
          <t>https://lpjk.pu.go.id/search-badan-usaha-detail/N1hQS2xDdEVmS3QwaVVZVTlMYk9lZz09</t>
        </is>
      </c>
      <c r="F113" t="n">
        <v>10</v>
      </c>
      <c r="G113" t="inlineStr">
        <is>
          <t>BG002, BG005, BG009, BS001, BS004</t>
        </is>
      </c>
      <c r="H113" t="inlineStr">
        <is>
          <t>18 Februari 2005</t>
        </is>
      </c>
      <c r="I113" s="2" t="n">
        <v>46328</v>
      </c>
      <c r="J113" t="inlineStr">
        <is>
          <t>Disetujui</t>
        </is>
      </c>
      <c r="K113" t="n">
        <v>90</v>
      </c>
      <c r="L113" t="inlineStr">
        <is>
          <t>2 November 2026</t>
        </is>
      </c>
      <c r="M113" t="inlineStr">
        <is>
          <t>Konstruksi Bangunan Sipil Jalan, Konstruksi Gedung Kesehatan, Konstruksi Gedung Lainnya, Konstruksi Gedung Perkantoran, Konstruksi Jaringan Irigasi dan Drainase</t>
        </is>
      </c>
      <c r="N113" t="inlineStr">
        <is>
          <t>K</t>
        </is>
      </c>
      <c r="O113" t="inlineStr">
        <is>
          <t>20231101</t>
        </is>
      </c>
      <c r="P113" t="inlineStr">
        <is>
          <t>Kalimantan Selatan</t>
        </is>
      </c>
      <c r="Q113" t="inlineStr"/>
    </row>
    <row r="114">
      <c r="A114" t="inlineStr">
        <is>
          <t>SELAT AIR HITAM</t>
        </is>
      </c>
      <c r="B114" t="inlineStr">
        <is>
          <t>Kab. Kepulauan Meranti</t>
        </is>
      </c>
      <c r="C114" t="inlineStr">
        <is>
          <t>082129009649</t>
        </is>
      </c>
      <c r="D114" t="inlineStr">
        <is>
          <t>cvselatairhitam@gmail.com</t>
        </is>
      </c>
      <c r="E114" t="inlineStr">
        <is>
          <t>https://lpjk.pu.go.id/search-badan-usaha-detail/SlA2WFNpMHFFTUQzTlEzdklPUXY5Zz09</t>
        </is>
      </c>
      <c r="F114" t="n">
        <v>1</v>
      </c>
      <c r="G114" t="inlineStr">
        <is>
          <t>BG006</t>
        </is>
      </c>
      <c r="H114" t="inlineStr">
        <is>
          <t>22 Februari 2021</t>
        </is>
      </c>
      <c r="I114" s="2" t="n">
        <v>46328</v>
      </c>
      <c r="J114" t="inlineStr">
        <is>
          <t>Pencabutan</t>
        </is>
      </c>
      <c r="K114" t="n">
        <v>90</v>
      </c>
      <c r="L114" t="inlineStr">
        <is>
          <t>2 November 2026</t>
        </is>
      </c>
      <c r="M114" t="inlineStr">
        <is>
          <t>Konstruksi Gedung Pendidikan</t>
        </is>
      </c>
      <c r="N114" t="inlineStr">
        <is>
          <t>K</t>
        </is>
      </c>
      <c r="O114" t="inlineStr">
        <is>
          <t>20231103</t>
        </is>
      </c>
      <c r="P114" t="inlineStr">
        <is>
          <t>Riau</t>
        </is>
      </c>
      <c r="Q114" t="inlineStr"/>
    </row>
    <row r="115">
      <c r="A115" t="inlineStr">
        <is>
          <t>SELO AJI</t>
        </is>
      </c>
      <c r="B115" t="inlineStr">
        <is>
          <t>Kab. Ngawi</t>
        </is>
      </c>
      <c r="C115" t="inlineStr">
        <is>
          <t>0881026006986</t>
        </is>
      </c>
      <c r="D115" t="inlineStr">
        <is>
          <t>cv.seloaji.ngawi@gmail.com</t>
        </is>
      </c>
      <c r="E115" t="inlineStr">
        <is>
          <t>https://lpjk.pu.go.id/search-badan-usaha-detail/dVF3cUd3OGcvdUlZbzBtZzVXajd2dz09</t>
        </is>
      </c>
      <c r="F115" t="n">
        <v>2</v>
      </c>
      <c r="G115" t="inlineStr">
        <is>
          <t>BG006, BS006</t>
        </is>
      </c>
      <c r="H115" t="inlineStr">
        <is>
          <t>4 September 2017</t>
        </is>
      </c>
      <c r="I115" s="2" t="n">
        <v>46328</v>
      </c>
      <c r="J115" t="inlineStr">
        <is>
          <t>Disetujui, Pencabutan</t>
        </is>
      </c>
      <c r="K115" t="n">
        <v>90</v>
      </c>
      <c r="L115" t="inlineStr">
        <is>
          <t>2 November 2026</t>
        </is>
      </c>
      <c r="M115" t="inlineStr">
        <is>
          <t>Konstruksi Bangunan Sipil Prasarana dan Sarana Sistem Pengolahan Limbah Padat, Cair, dan Gas, Konstruksi Gedung Pendidikan</t>
        </is>
      </c>
      <c r="N115" t="inlineStr">
        <is>
          <t>K</t>
        </is>
      </c>
      <c r="O115" t="inlineStr">
        <is>
          <t>20231102</t>
        </is>
      </c>
      <c r="P115" t="inlineStr">
        <is>
          <t>Jawa Timur</t>
        </is>
      </c>
      <c r="Q115" t="inlineStr"/>
    </row>
    <row r="116">
      <c r="A116" t="inlineStr">
        <is>
          <t>SINAR HARAPAN</t>
        </is>
      </c>
      <c r="B116" t="inlineStr">
        <is>
          <t>Kab. Sukoharjo</t>
        </is>
      </c>
      <c r="C116" t="inlineStr">
        <is>
          <t>081329040311</t>
        </is>
      </c>
      <c r="D116" t="inlineStr">
        <is>
          <t>sinarharapancv@yahoo.co.id</t>
        </is>
      </c>
      <c r="E116" t="inlineStr">
        <is>
          <t>https://lpjk.pu.go.id/search-badan-usaha-detail/STY4Q0pzNjAwY0t3dGJlalhNUzZKUT09</t>
        </is>
      </c>
      <c r="F116" t="n">
        <v>3</v>
      </c>
      <c r="G116" t="inlineStr">
        <is>
          <t>BG002, BG005, BG006</t>
        </is>
      </c>
      <c r="H116" t="inlineStr">
        <is>
          <t>15 Januari 2008</t>
        </is>
      </c>
      <c r="I116" s="2" t="n">
        <v>46328</v>
      </c>
      <c r="J116" t="inlineStr">
        <is>
          <t>Disetujui</t>
        </is>
      </c>
      <c r="K116" t="n">
        <v>90</v>
      </c>
      <c r="L116" t="inlineStr">
        <is>
          <t>2 November 2026</t>
        </is>
      </c>
      <c r="M116" t="inlineStr">
        <is>
          <t>Konstruksi Gedung Kesehatan, Konstruksi Gedung Pendidikan, Konstruksi Gedung Perkantoran</t>
        </is>
      </c>
      <c r="N116" t="inlineStr">
        <is>
          <t>K</t>
        </is>
      </c>
      <c r="O116" t="inlineStr">
        <is>
          <t>20231031</t>
        </is>
      </c>
      <c r="P116" t="inlineStr">
        <is>
          <t>Jawa Tengah</t>
        </is>
      </c>
      <c r="Q116" t="inlineStr"/>
    </row>
    <row r="117">
      <c r="A117" t="inlineStr">
        <is>
          <t>SINAR MANDIRI SENTOSA</t>
        </is>
      </c>
      <c r="B117" t="inlineStr">
        <is>
          <t>Kab. Sidoarjo</t>
        </is>
      </c>
      <c r="C117" t="inlineStr">
        <is>
          <t>085730741063</t>
        </is>
      </c>
      <c r="D117" t="inlineStr">
        <is>
          <t>sinarmandirisentosa@gmail.com</t>
        </is>
      </c>
      <c r="E117" t="inlineStr">
        <is>
          <t>https://lpjk.pu.go.id/search-badan-usaha-detail/ajhzazkwbUFYU2Q4cnBZLzg5UGtWUT09</t>
        </is>
      </c>
      <c r="F117" t="n">
        <v>2</v>
      </c>
      <c r="G117" t="inlineStr">
        <is>
          <t>BG002, BS004</t>
        </is>
      </c>
      <c r="H117" t="inlineStr">
        <is>
          <t>29 Agustus 2009</t>
        </is>
      </c>
      <c r="I117" s="2" t="n">
        <v>46328</v>
      </c>
      <c r="J117" t="inlineStr">
        <is>
          <t>Disetujui, Pencabutan</t>
        </is>
      </c>
      <c r="K117" t="n">
        <v>90</v>
      </c>
      <c r="L117" t="inlineStr">
        <is>
          <t>2 November 2026</t>
        </is>
      </c>
      <c r="M117" t="inlineStr">
        <is>
          <t>Konstruksi Gedung Perkantoran, Konstruksi Jaringan Irigasi dan Drainase</t>
        </is>
      </c>
      <c r="N117" t="inlineStr">
        <is>
          <t>K</t>
        </is>
      </c>
      <c r="O117" t="inlineStr">
        <is>
          <t>20230815, 20231102</t>
        </is>
      </c>
      <c r="P117" t="inlineStr">
        <is>
          <t>Jawa Timur</t>
        </is>
      </c>
      <c r="Q117" t="inlineStr"/>
    </row>
    <row r="118">
      <c r="A118" t="inlineStr">
        <is>
          <t>SIPANDE BOSI</t>
        </is>
      </c>
      <c r="B118" t="inlineStr">
        <is>
          <t>Kota Padang Sidempuan</t>
        </is>
      </c>
      <c r="C118" t="inlineStr">
        <is>
          <t>082164830504</t>
        </is>
      </c>
      <c r="D118" t="inlineStr">
        <is>
          <t>cvsipandebosi@gmail.com</t>
        </is>
      </c>
      <c r="E118" t="inlineStr">
        <is>
          <t>https://lpjk.pu.go.id/search-badan-usaha-detail/alAvQ0RjZDdKSWg5RFlhTmpuWENCUT09</t>
        </is>
      </c>
      <c r="F118" t="n">
        <v>4</v>
      </c>
      <c r="G118" t="inlineStr">
        <is>
          <t>BG006, BS001, BS004, BS007</t>
        </is>
      </c>
      <c r="H118" t="inlineStr">
        <is>
          <t>31 Oktober 2023</t>
        </is>
      </c>
      <c r="I118" s="2" t="n">
        <v>46328</v>
      </c>
      <c r="J118" t="inlineStr">
        <is>
          <t>Disetujui</t>
        </is>
      </c>
      <c r="K118" t="n">
        <v>90</v>
      </c>
      <c r="L118" t="inlineStr">
        <is>
          <t>2 November 2026</t>
        </is>
      </c>
      <c r="M118" t="inlineStr">
        <is>
          <t>Konstruksi Bangunan Sipil Elektrikal, Konstruksi Bangunan Sipil Jalan, Konstruksi Gedung Pendidikan, Konstruksi Jaringan Irigasi dan Drainase</t>
        </is>
      </c>
      <c r="N118" t="inlineStr">
        <is>
          <t>K</t>
        </is>
      </c>
      <c r="O118" t="inlineStr">
        <is>
          <t>20231102, 20231103</t>
        </is>
      </c>
      <c r="P118" t="inlineStr">
        <is>
          <t>Sumatera Utara</t>
        </is>
      </c>
      <c r="Q118" t="inlineStr"/>
    </row>
    <row r="119">
      <c r="A119" t="inlineStr">
        <is>
          <t>SURAYA MEGAHCEMERLANG</t>
        </is>
      </c>
      <c r="B119" t="inlineStr">
        <is>
          <t>Kota Surabaya</t>
        </is>
      </c>
      <c r="C119" t="inlineStr">
        <is>
          <t>03199248142</t>
        </is>
      </c>
      <c r="D119" t="inlineStr">
        <is>
          <t>surayamegahcemerlang@gmail.com</t>
        </is>
      </c>
      <c r="E119" t="inlineStr">
        <is>
          <t>https://lpjk.pu.go.id/search-badan-usaha-detail/bEh6aCs2UjZ5N1JMdXMrZVNwQ1l1dz09</t>
        </is>
      </c>
      <c r="F119" t="n">
        <v>2</v>
      </c>
      <c r="G119" t="inlineStr">
        <is>
          <t>BS005, BS006</t>
        </is>
      </c>
      <c r="H119" t="inlineStr">
        <is>
          <t>15 November 1993</t>
        </is>
      </c>
      <c r="I119" s="2" t="n">
        <v>46328</v>
      </c>
      <c r="J119" t="inlineStr">
        <is>
          <t>Pencabutan</t>
        </is>
      </c>
      <c r="K119" t="n">
        <v>90</v>
      </c>
      <c r="L119" t="inlineStr">
        <is>
          <t>2 November 2026</t>
        </is>
      </c>
      <c r="M119" t="inlineStr">
        <is>
          <t>Konstruksi Bangunan Sipil Pengolahan Air Bersih, Konstruksi Bangunan Sipil Prasarana dan Sarana Sistem Pengolahan Limbah Padat, Cair, dan Gas</t>
        </is>
      </c>
      <c r="N119" t="inlineStr">
        <is>
          <t>K</t>
        </is>
      </c>
      <c r="O119" t="inlineStr">
        <is>
          <t>20231103</t>
        </is>
      </c>
      <c r="P119" t="inlineStr">
        <is>
          <t>Jawa Timur</t>
        </is>
      </c>
      <c r="Q119" t="inlineStr"/>
    </row>
    <row r="120">
      <c r="A120" t="inlineStr">
        <is>
          <t>SURYA ABDI PRATAMA</t>
        </is>
      </c>
      <c r="B120" t="inlineStr">
        <is>
          <t>Kab. Tangerang</t>
        </is>
      </c>
      <c r="C120" t="inlineStr">
        <is>
          <t>081806305701</t>
        </is>
      </c>
      <c r="D120" t="inlineStr">
        <is>
          <t>suryaabdipratama81@gmail.com</t>
        </is>
      </c>
      <c r="E120" t="inlineStr">
        <is>
          <t>https://lpjk.pu.go.id/search-badan-usaha-detail/M3dFKzRTT25XczhxV2dVSjZNanlndz09</t>
        </is>
      </c>
      <c r="F120" t="n">
        <v>6</v>
      </c>
      <c r="G120" t="inlineStr">
        <is>
          <t>BG009, BS001, BS004, BS005</t>
        </is>
      </c>
      <c r="H120" t="inlineStr">
        <is>
          <t>13 Maret 2006</t>
        </is>
      </c>
      <c r="I120" s="2" t="n">
        <v>46328</v>
      </c>
      <c r="J120" t="inlineStr">
        <is>
          <t>Disetujui</t>
        </is>
      </c>
      <c r="K120" t="n">
        <v>90</v>
      </c>
      <c r="L120" t="inlineStr">
        <is>
          <t>2 November 2026</t>
        </is>
      </c>
      <c r="M120" t="inlineStr">
        <is>
          <t>Konstruksi Bangunan Sipil Jalan, Konstruksi Bangunan Sipil Pengolahan Air Bersih, Konstruksi Gedung Lainnya, Konstruksi Jaringan Irigasi dan Drainase</t>
        </is>
      </c>
      <c r="N120" t="inlineStr">
        <is>
          <t>K</t>
        </is>
      </c>
      <c r="O120" t="inlineStr">
        <is>
          <t>20231031, 20231101</t>
        </is>
      </c>
      <c r="P120" t="inlineStr">
        <is>
          <t>Banten</t>
        </is>
      </c>
      <c r="Q120" t="inlineStr"/>
    </row>
    <row r="121">
      <c r="A121" t="inlineStr">
        <is>
          <t>SURYA BALI</t>
        </is>
      </c>
      <c r="B121" t="inlineStr">
        <is>
          <t>Kota Denpasar</t>
        </is>
      </c>
      <c r="C121" t="inlineStr">
        <is>
          <t>0361420668</t>
        </is>
      </c>
      <c r="D121" t="inlineStr">
        <is>
          <t>suryabali_denpasar@yahoo.co.id</t>
        </is>
      </c>
      <c r="E121" t="inlineStr">
        <is>
          <t>https://lpjk.pu.go.id/search-badan-usaha-detail/UEVSdFgvUkI5aStVUzlRZzYxcEtBQT09</t>
        </is>
      </c>
      <c r="F121" t="n">
        <v>1</v>
      </c>
      <c r="G121" t="inlineStr">
        <is>
          <t>BG009</t>
        </is>
      </c>
      <c r="H121" t="inlineStr">
        <is>
          <t>27 Maret 1975</t>
        </is>
      </c>
      <c r="I121" s="2" t="n">
        <v>46328</v>
      </c>
      <c r="J121" t="inlineStr">
        <is>
          <t>Disetujui</t>
        </is>
      </c>
      <c r="K121" t="n">
        <v>90</v>
      </c>
      <c r="L121" t="inlineStr">
        <is>
          <t>2 November 2026</t>
        </is>
      </c>
      <c r="M121" t="inlineStr">
        <is>
          <t>Konstruksi Gedung Lainnya</t>
        </is>
      </c>
      <c r="N121" t="inlineStr">
        <is>
          <t>K</t>
        </is>
      </c>
      <c r="O121" t="inlineStr">
        <is>
          <t>20231103</t>
        </is>
      </c>
      <c r="P121" t="inlineStr">
        <is>
          <t>Bali</t>
        </is>
      </c>
      <c r="Q121" t="inlineStr"/>
    </row>
    <row r="122">
      <c r="A122" t="inlineStr">
        <is>
          <t>SURYA GELORA</t>
        </is>
      </c>
      <c r="B122" t="inlineStr">
        <is>
          <t>Kab. Ogan Ilir</t>
        </is>
      </c>
      <c r="C122" t="inlineStr">
        <is>
          <t>082280405463</t>
        </is>
      </c>
      <c r="D122" t="inlineStr">
        <is>
          <t>cv.suryagelora@gmail.com</t>
        </is>
      </c>
      <c r="E122" t="inlineStr">
        <is>
          <t>https://lpjk.pu.go.id/search-badan-usaha-detail/QkwvMVFUbjI0MDF6V3pHUkdMTVhEdz09</t>
        </is>
      </c>
      <c r="F122" t="n">
        <v>3</v>
      </c>
      <c r="G122" t="inlineStr">
        <is>
          <t>BG005, BG006, BG009</t>
        </is>
      </c>
      <c r="H122" t="inlineStr">
        <is>
          <t>5 Januari 2022</t>
        </is>
      </c>
      <c r="I122" s="2" t="n">
        <v>46328</v>
      </c>
      <c r="J122" t="inlineStr">
        <is>
          <t>Disetujui</t>
        </is>
      </c>
      <c r="K122" t="n">
        <v>90</v>
      </c>
      <c r="L122" t="inlineStr">
        <is>
          <t>2 November 2026</t>
        </is>
      </c>
      <c r="M122" t="inlineStr">
        <is>
          <t>Konstruksi Gedung Kesehatan, Konstruksi Gedung Lainnya, Konstruksi Gedung Pendidikan</t>
        </is>
      </c>
      <c r="N122" t="inlineStr">
        <is>
          <t>K</t>
        </is>
      </c>
      <c r="O122" t="inlineStr">
        <is>
          <t>20231024, 20231025</t>
        </is>
      </c>
      <c r="P122" t="inlineStr">
        <is>
          <t>Sumatera Selatan</t>
        </is>
      </c>
      <c r="Q122" t="inlineStr"/>
    </row>
    <row r="123">
      <c r="A123" t="inlineStr">
        <is>
          <t>TIARA DANA</t>
        </is>
      </c>
      <c r="B123" t="inlineStr">
        <is>
          <t>Kab. Kolaka</t>
        </is>
      </c>
      <c r="C123" t="inlineStr">
        <is>
          <t>085241454890</t>
        </is>
      </c>
      <c r="D123" t="inlineStr">
        <is>
          <t>surachmatskc@gmail.com</t>
        </is>
      </c>
      <c r="E123" t="inlineStr">
        <is>
          <t>https://lpjk.pu.go.id/search-badan-usaha-detail/bHRVL3lUeExVYlozZGxXSlo1WTg1UT09</t>
        </is>
      </c>
      <c r="F123" t="n">
        <v>2</v>
      </c>
      <c r="G123" t="inlineStr">
        <is>
          <t>BS001, BS004</t>
        </is>
      </c>
      <c r="H123" t="inlineStr">
        <is>
          <t>26 April 1995</t>
        </is>
      </c>
      <c r="I123" s="2" t="n">
        <v>46328</v>
      </c>
      <c r="J123" t="inlineStr">
        <is>
          <t>Disetujui</t>
        </is>
      </c>
      <c r="K123" t="n">
        <v>90</v>
      </c>
      <c r="L123" t="inlineStr">
        <is>
          <t>2 November 2026</t>
        </is>
      </c>
      <c r="M123" t="inlineStr">
        <is>
          <t>Konstruksi Bangunan Sipil Jalan, Konstruksi Jaringan Irigasi dan Drainase</t>
        </is>
      </c>
      <c r="N123" t="inlineStr">
        <is>
          <t>K</t>
        </is>
      </c>
      <c r="O123" t="inlineStr">
        <is>
          <t>20231010</t>
        </is>
      </c>
      <c r="P123" t="inlineStr">
        <is>
          <t>Sulawesi Tenggara</t>
        </is>
      </c>
      <c r="Q123" t="inlineStr"/>
    </row>
    <row r="124">
      <c r="A124" t="inlineStr">
        <is>
          <t>TIGA ELEKTRIK UTAMA</t>
        </is>
      </c>
      <c r="B124" t="inlineStr">
        <is>
          <t>Kota Makassar</t>
        </is>
      </c>
      <c r="C124" t="inlineStr">
        <is>
          <t>081241048318</t>
        </is>
      </c>
      <c r="D124" t="inlineStr">
        <is>
          <t>tigaelektrik.utama@gmail.com</t>
        </is>
      </c>
      <c r="E124" t="inlineStr">
        <is>
          <t>https://lpjk.pu.go.id/search-badan-usaha-detail/ZkFsK1RScnhLWG9lekhwdHA3dXJUdz09</t>
        </is>
      </c>
      <c r="F124" t="n">
        <v>1</v>
      </c>
      <c r="G124" t="inlineStr">
        <is>
          <t>BS008</t>
        </is>
      </c>
      <c r="H124" t="inlineStr">
        <is>
          <t>23 Juni 2020</t>
        </is>
      </c>
      <c r="I124" s="2" t="n">
        <v>46328</v>
      </c>
      <c r="J124" t="inlineStr">
        <is>
          <t>Disetujui</t>
        </is>
      </c>
      <c r="K124" t="n">
        <v>90</v>
      </c>
      <c r="L124" t="inlineStr">
        <is>
          <t>2 November 2026</t>
        </is>
      </c>
      <c r="M124" t="inlineStr">
        <is>
          <t>Konstruksi Bangunan Sipil Telekomunikasi untuk Prasarana Transportasi</t>
        </is>
      </c>
      <c r="N124" t="inlineStr">
        <is>
          <t>K</t>
        </is>
      </c>
      <c r="O124" t="inlineStr">
        <is>
          <t>20231030</t>
        </is>
      </c>
      <c r="P124" t="inlineStr">
        <is>
          <t>Sulawesi Selatan</t>
        </is>
      </c>
      <c r="Q124" t="inlineStr"/>
    </row>
    <row r="125">
      <c r="A125" t="inlineStr">
        <is>
          <t>TIGA MANUNGGAL ABADI</t>
        </is>
      </c>
      <c r="B125" t="inlineStr">
        <is>
          <t>Kota Samarinda</t>
        </is>
      </c>
      <c r="C125" t="inlineStr">
        <is>
          <t>082318081969</t>
        </is>
      </c>
      <c r="D125" t="inlineStr">
        <is>
          <t>tma.smd.1@gmail.com</t>
        </is>
      </c>
      <c r="E125" t="inlineStr">
        <is>
          <t>https://lpjk.pu.go.id/search-badan-usaha-detail/WEtPckRlVjZaNWUrN1VGWDcxUW0xdz09</t>
        </is>
      </c>
      <c r="F125" t="n">
        <v>2</v>
      </c>
      <c r="G125" t="inlineStr">
        <is>
          <t>AR001, AR002</t>
        </is>
      </c>
      <c r="H125" t="inlineStr">
        <is>
          <t>26 Februari 2001</t>
        </is>
      </c>
      <c r="I125" s="2" t="n">
        <v>46328</v>
      </c>
      <c r="J125" t="inlineStr">
        <is>
          <t>Disetujui</t>
        </is>
      </c>
      <c r="K125" t="n">
        <v>90</v>
      </c>
      <c r="L125" t="inlineStr">
        <is>
          <t>2 November 2026</t>
        </is>
      </c>
      <c r="M125" t="inlineStr">
        <is>
          <t>Jasa Arsitektural Bangunan Gedung Hunian dan Non Hunian, Jasa Arsitektural Lainnya</t>
        </is>
      </c>
      <c r="N125" t="inlineStr">
        <is>
          <t>K</t>
        </is>
      </c>
      <c r="O125" t="inlineStr">
        <is>
          <t>20231021</t>
        </is>
      </c>
      <c r="P125" t="inlineStr">
        <is>
          <t>Kalimantan Timur</t>
        </is>
      </c>
      <c r="Q125" t="inlineStr"/>
    </row>
    <row r="126">
      <c r="A126" t="inlineStr">
        <is>
          <t>TIRTA MAS MAKMUR</t>
        </is>
      </c>
      <c r="B126" t="inlineStr">
        <is>
          <t>Kab. Tuban</t>
        </is>
      </c>
      <c r="C126" t="inlineStr">
        <is>
          <t>081235071758</t>
        </is>
      </c>
      <c r="D126" t="inlineStr">
        <is>
          <t>cvtirtamasmakmur@yahoo.com</t>
        </is>
      </c>
      <c r="E126" t="inlineStr">
        <is>
          <t>https://lpjk.pu.go.id/search-badan-usaha-detail/SDF3c3J3RmZ1eWpBYXZkaEJadHlqdz09</t>
        </is>
      </c>
      <c r="F126" t="n">
        <v>3</v>
      </c>
      <c r="G126" t="inlineStr">
        <is>
          <t>BG006, BS001, BS004</t>
        </is>
      </c>
      <c r="H126" t="inlineStr">
        <is>
          <t>26 Februari 2018</t>
        </is>
      </c>
      <c r="I126" s="2" t="n">
        <v>46328</v>
      </c>
      <c r="J126" t="inlineStr">
        <is>
          <t>Disetujui</t>
        </is>
      </c>
      <c r="K126" t="n">
        <v>90</v>
      </c>
      <c r="L126" t="inlineStr">
        <is>
          <t>2 November 2026</t>
        </is>
      </c>
      <c r="M126" t="inlineStr">
        <is>
          <t>Konstruksi Bangunan Sipil Jalan, Konstruksi Gedung Pendidikan, Konstruksi Jaringan Irigasi dan Drainase</t>
        </is>
      </c>
      <c r="N126" t="inlineStr">
        <is>
          <t>K</t>
        </is>
      </c>
      <c r="O126" t="inlineStr">
        <is>
          <t>20231027, 20231028</t>
        </is>
      </c>
      <c r="P126" t="inlineStr">
        <is>
          <t>Jawa Timur</t>
        </is>
      </c>
      <c r="Q126" t="inlineStr"/>
    </row>
    <row r="127">
      <c r="A127" t="inlineStr">
        <is>
          <t>TITIAN JATI</t>
        </is>
      </c>
      <c r="B127" t="inlineStr">
        <is>
          <t>Kab. Lombok Barat</t>
        </is>
      </c>
      <c r="C127" t="inlineStr">
        <is>
          <t>081907066440</t>
        </is>
      </c>
      <c r="D127" t="inlineStr">
        <is>
          <t>titianjati.cv@gmail.com</t>
        </is>
      </c>
      <c r="E127" t="inlineStr">
        <is>
          <t>https://lpjk.pu.go.id/search-badan-usaha-detail/K3dieVJrMW53eGdKMFNmY0lZLzQ2dz09</t>
        </is>
      </c>
      <c r="F127" t="n">
        <v>2</v>
      </c>
      <c r="G127" t="inlineStr">
        <is>
          <t>BS004</t>
        </is>
      </c>
      <c r="H127" t="inlineStr">
        <is>
          <t>12 Desember 1998</t>
        </is>
      </c>
      <c r="I127" s="2" t="n">
        <v>46328</v>
      </c>
      <c r="J127" t="inlineStr">
        <is>
          <t>Disetujui</t>
        </is>
      </c>
      <c r="K127" t="n">
        <v>90</v>
      </c>
      <c r="L127" t="inlineStr">
        <is>
          <t>2 November 2026</t>
        </is>
      </c>
      <c r="M127" t="inlineStr">
        <is>
          <t>Konstruksi Jaringan Irigasi dan Drainase</t>
        </is>
      </c>
      <c r="N127" t="inlineStr">
        <is>
          <t>K</t>
        </is>
      </c>
      <c r="O127" t="inlineStr">
        <is>
          <t>20231101</t>
        </is>
      </c>
      <c r="P127" t="inlineStr">
        <is>
          <t>Nusa Tenggara Barat</t>
        </is>
      </c>
      <c r="Q127" t="inlineStr"/>
    </row>
    <row r="128">
      <c r="A128" t="inlineStr">
        <is>
          <t>TJIPTA ARTHA WIRATAMA</t>
        </is>
      </c>
      <c r="B128" t="inlineStr">
        <is>
          <t>Kota Bandung</t>
        </is>
      </c>
      <c r="C128" t="inlineStr">
        <is>
          <t>08971033111</t>
        </is>
      </c>
      <c r="D128" t="inlineStr">
        <is>
          <t>tjiptaartha@gmail.com</t>
        </is>
      </c>
      <c r="E128" t="inlineStr">
        <is>
          <t>https://lpjk.pu.go.id/search-badan-usaha-detail/amwzaHRabkxLTTBDRXVGdkJLbnVYMVpCbkVQSi8xY0xZZEJRUE9vMHRYWT0</t>
        </is>
      </c>
      <c r="F128" t="n">
        <v>4</v>
      </c>
      <c r="G128" t="inlineStr">
        <is>
          <t>AL001, AL002, AL003, AL004</t>
        </is>
      </c>
      <c r="H128" t="inlineStr">
        <is>
          <t>20 Februari 2025</t>
        </is>
      </c>
      <c r="I128" s="2" t="n">
        <v>46328</v>
      </c>
      <c r="J128" t="inlineStr">
        <is>
          <t>Disetujui</t>
        </is>
      </c>
      <c r="K128" t="n">
        <v>90</v>
      </c>
      <c r="L128" t="inlineStr">
        <is>
          <t>2 November 2026</t>
        </is>
      </c>
      <c r="M128" t="inlineStr">
        <is>
          <t>Jasa Pengembangan Lingkungan Bangunan dan Lanskap, Jasa Pengembangan Pemanfaatan Ruang, Jasa Pengembangan Perkotaan, Jasa Pengembangan Wilayah</t>
        </is>
      </c>
      <c r="N128" t="inlineStr">
        <is>
          <t>K</t>
        </is>
      </c>
      <c r="O128" t="inlineStr">
        <is>
          <t>20231026</t>
        </is>
      </c>
      <c r="P128" t="inlineStr">
        <is>
          <t>Jawa Barat</t>
        </is>
      </c>
      <c r="Q128" t="inlineStr"/>
    </row>
    <row r="129">
      <c r="A129" t="inlineStr">
        <is>
          <t>TRIMITRA SENTOSA</t>
        </is>
      </c>
      <c r="B129" t="inlineStr">
        <is>
          <t>Kab. Tulungagung</t>
        </is>
      </c>
      <c r="C129" t="inlineStr">
        <is>
          <t>081359056816</t>
        </is>
      </c>
      <c r="D129" t="inlineStr">
        <is>
          <t>trimitrasentosa25@gmail.com</t>
        </is>
      </c>
      <c r="E129" t="inlineStr">
        <is>
          <t>https://lpjk.pu.go.id/search-badan-usaha-detail/MndJVG9aSDlnbnBQRk40eWVLVUhkZz09</t>
        </is>
      </c>
      <c r="F129" t="n">
        <v>2</v>
      </c>
      <c r="G129" t="inlineStr">
        <is>
          <t>BG005</t>
        </is>
      </c>
      <c r="H129" t="inlineStr">
        <is>
          <t>6 Oktober 2001</t>
        </is>
      </c>
      <c r="I129" s="2" t="n">
        <v>46328</v>
      </c>
      <c r="J129" t="inlineStr">
        <is>
          <t>Disetujui</t>
        </is>
      </c>
      <c r="K129" t="n">
        <v>90</v>
      </c>
      <c r="L129" t="inlineStr">
        <is>
          <t>2 November 2026</t>
        </is>
      </c>
      <c r="M129" t="inlineStr">
        <is>
          <t>Konstruksi Gedung Kesehatan</t>
        </is>
      </c>
      <c r="N129" t="inlineStr">
        <is>
          <t>K</t>
        </is>
      </c>
      <c r="O129" t="inlineStr">
        <is>
          <t>20231030</t>
        </is>
      </c>
      <c r="P129" t="inlineStr">
        <is>
          <t>Jawa Timur</t>
        </is>
      </c>
      <c r="Q129" t="inlineStr"/>
    </row>
    <row r="130">
      <c r="A130" t="inlineStr">
        <is>
          <t>TRINITY CIPTA KARYA</t>
        </is>
      </c>
      <c r="B130" t="inlineStr">
        <is>
          <t>Kota Medan</t>
        </is>
      </c>
      <c r="C130" t="inlineStr">
        <is>
          <t>085275372446</t>
        </is>
      </c>
      <c r="D130" t="inlineStr">
        <is>
          <t>cv.trinityciptakarya@gmail.com</t>
        </is>
      </c>
      <c r="E130" t="inlineStr">
        <is>
          <t>https://lpjk.pu.go.id/search-badan-usaha-detail/STc3WXRQZnJkNjNGQ0k1Q25vdkJLdz09</t>
        </is>
      </c>
      <c r="F130" t="n">
        <v>1</v>
      </c>
      <c r="G130" t="inlineStr">
        <is>
          <t>BG009</t>
        </is>
      </c>
      <c r="H130" t="inlineStr">
        <is>
          <t>26 Februari 2018</t>
        </is>
      </c>
      <c r="I130" s="2" t="n">
        <v>46328</v>
      </c>
      <c r="J130" t="inlineStr">
        <is>
          <t>Pencabutan</t>
        </is>
      </c>
      <c r="K130" t="n">
        <v>90</v>
      </c>
      <c r="L130" t="inlineStr">
        <is>
          <t>2 November 2026</t>
        </is>
      </c>
      <c r="M130" t="inlineStr">
        <is>
          <t>Konstruksi Gedung Lainnya</t>
        </is>
      </c>
      <c r="N130" t="inlineStr">
        <is>
          <t>K</t>
        </is>
      </c>
      <c r="O130" t="inlineStr">
        <is>
          <t>20231101</t>
        </is>
      </c>
      <c r="P130" t="inlineStr">
        <is>
          <t>Sumatera Utara</t>
        </is>
      </c>
      <c r="Q130" t="inlineStr"/>
    </row>
    <row r="131">
      <c r="A131" t="inlineStr">
        <is>
          <t>URBAN SEMBILAN</t>
        </is>
      </c>
      <c r="B131" t="inlineStr">
        <is>
          <t>Kota Pasuruan</t>
        </is>
      </c>
      <c r="C131" t="inlineStr">
        <is>
          <t>081216131668</t>
        </is>
      </c>
      <c r="D131" t="inlineStr">
        <is>
          <t>urbansembilan009@gmail.com</t>
        </is>
      </c>
      <c r="E131" t="inlineStr">
        <is>
          <t>https://lpjk.pu.go.id/search-badan-usaha-detail/SWJlNVBlUzIvOS9IMlhtR3o1K1d0QT09</t>
        </is>
      </c>
      <c r="F131" t="n">
        <v>1</v>
      </c>
      <c r="G131" t="inlineStr">
        <is>
          <t>AR001</t>
        </is>
      </c>
      <c r="H131" t="inlineStr">
        <is>
          <t>3 Oktober 2017</t>
        </is>
      </c>
      <c r="I131" s="2" t="n">
        <v>46328</v>
      </c>
      <c r="J131" t="inlineStr">
        <is>
          <t>Disetujui</t>
        </is>
      </c>
      <c r="K131" t="n">
        <v>90</v>
      </c>
      <c r="L131" t="inlineStr">
        <is>
          <t>2 November 2026</t>
        </is>
      </c>
      <c r="M131" t="inlineStr">
        <is>
          <t>Jasa Arsitektural Bangunan Gedung Hunian dan Non Hunian</t>
        </is>
      </c>
      <c r="N131" t="inlineStr">
        <is>
          <t>K</t>
        </is>
      </c>
      <c r="O131" t="inlineStr">
        <is>
          <t>20231027</t>
        </is>
      </c>
      <c r="P131" t="inlineStr">
        <is>
          <t>Jawa Timur</t>
        </is>
      </c>
      <c r="Q131" t="inlineStr"/>
    </row>
    <row r="132">
      <c r="A132" t="inlineStr">
        <is>
          <t>UTAMA TIGADIHARDJA</t>
        </is>
      </c>
      <c r="B132" t="inlineStr">
        <is>
          <t>Kota Adm. Jakarta Utara</t>
        </is>
      </c>
      <c r="C132" t="inlineStr">
        <is>
          <t>02186901475</t>
        </is>
      </c>
      <c r="D132" t="inlineStr">
        <is>
          <t>pt_utama3diharja@yahoo.co.id</t>
        </is>
      </c>
      <c r="E132" t="inlineStr">
        <is>
          <t>https://lpjk.pu.go.id/search-badan-usaha-detail/TGUrN0JORXRNa21jeVA4QXowcENCdz09</t>
        </is>
      </c>
      <c r="F132" t="n">
        <v>1</v>
      </c>
      <c r="G132" t="inlineStr">
        <is>
          <t>BG001</t>
        </is>
      </c>
      <c r="H132" t="inlineStr">
        <is>
          <t>11 Februari 1987</t>
        </is>
      </c>
      <c r="I132" s="2" t="n">
        <v>46328</v>
      </c>
      <c r="J132" t="inlineStr">
        <is>
          <t>Pencabutan</t>
        </is>
      </c>
      <c r="K132" t="n">
        <v>90</v>
      </c>
      <c r="L132" t="inlineStr">
        <is>
          <t>2 November 2026</t>
        </is>
      </c>
      <c r="M132" t="inlineStr">
        <is>
          <t>Konstruksi Gedung Hunian</t>
        </is>
      </c>
      <c r="N132" t="inlineStr">
        <is>
          <t>K</t>
        </is>
      </c>
      <c r="O132" t="inlineStr">
        <is>
          <t>20230914</t>
        </is>
      </c>
      <c r="P132" t="inlineStr">
        <is>
          <t>DKI Jakarta</t>
        </is>
      </c>
      <c r="Q132" t="inlineStr"/>
    </row>
    <row r="133">
      <c r="A133" t="inlineStr">
        <is>
          <t>WAHANA GRAND SUMATERA</t>
        </is>
      </c>
      <c r="B133" t="inlineStr">
        <is>
          <t>Kota Medan</t>
        </is>
      </c>
      <c r="C133" t="inlineStr">
        <is>
          <t>085261843561</t>
        </is>
      </c>
      <c r="D133" t="inlineStr">
        <is>
          <t>ptwahanagrandsumatera@gmail.com</t>
        </is>
      </c>
      <c r="E133" t="inlineStr">
        <is>
          <t>https://lpjk.pu.go.id/search-badan-usaha-detail/dHVLN2paYVM2Vk5LRVhSZktJL1VDQT09</t>
        </is>
      </c>
      <c r="F133" t="n">
        <v>2</v>
      </c>
      <c r="G133" t="inlineStr">
        <is>
          <t>BG002, BG003</t>
        </is>
      </c>
      <c r="H133" t="inlineStr">
        <is>
          <t>5 Januari 2023</t>
        </is>
      </c>
      <c r="I133" s="2" t="n">
        <v>46328</v>
      </c>
      <c r="J133" t="inlineStr">
        <is>
          <t>Disetujui</t>
        </is>
      </c>
      <c r="K133" t="n">
        <v>90</v>
      </c>
      <c r="L133" t="inlineStr">
        <is>
          <t>2 November 2026</t>
        </is>
      </c>
      <c r="M133" t="inlineStr">
        <is>
          <t>Konstruksi Gedung Industri, Konstruksi Gedung Perkantoran</t>
        </is>
      </c>
      <c r="N133" t="inlineStr">
        <is>
          <t>K</t>
        </is>
      </c>
      <c r="O133" t="inlineStr">
        <is>
          <t>20231101, 20231103</t>
        </is>
      </c>
      <c r="P133" t="inlineStr">
        <is>
          <t>Sumatera Utara</t>
        </is>
      </c>
      <c r="Q133" t="inlineStr"/>
    </row>
    <row r="134">
      <c r="A134" t="inlineStr">
        <is>
          <t>WAHANA IDEA KARYA</t>
        </is>
      </c>
      <c r="B134" t="inlineStr">
        <is>
          <t>Kota Pekalongan</t>
        </is>
      </c>
      <c r="C134" t="inlineStr">
        <is>
          <t>085290066161</t>
        </is>
      </c>
      <c r="D134" t="inlineStr">
        <is>
          <t>wahanaidea.karya@gmail.com</t>
        </is>
      </c>
      <c r="E134" t="inlineStr">
        <is>
          <t>https://lpjk.pu.go.id/search-badan-usaha-detail/WmgvTkh6ZWFEVm5IQ0xGTVpsUFR1Zz09</t>
        </is>
      </c>
      <c r="F134" t="n">
        <v>1</v>
      </c>
      <c r="G134" t="inlineStr">
        <is>
          <t>RK003</t>
        </is>
      </c>
      <c r="H134" t="inlineStr">
        <is>
          <t>18 Oktober 2019</t>
        </is>
      </c>
      <c r="I134" s="2" t="n">
        <v>46328</v>
      </c>
      <c r="J134" t="inlineStr">
        <is>
          <t>Disetujui</t>
        </is>
      </c>
      <c r="K134" t="n">
        <v>90</v>
      </c>
      <c r="L134" t="inlineStr">
        <is>
          <t>2 November 2026</t>
        </is>
      </c>
      <c r="M134" t="inlineStr">
        <is>
          <t>Jasa Rekayasa Pekerjaan Teknik Sipil Transportasi</t>
        </is>
      </c>
      <c r="N134" t="inlineStr">
        <is>
          <t>K</t>
        </is>
      </c>
      <c r="O134" t="inlineStr">
        <is>
          <t>20231025</t>
        </is>
      </c>
      <c r="P134" t="inlineStr">
        <is>
          <t>Jawa Tengah</t>
        </is>
      </c>
      <c r="Q134" t="inlineStr"/>
    </row>
    <row r="135">
      <c r="A135" t="inlineStr">
        <is>
          <t>WAHYU SEJATI</t>
        </is>
      </c>
      <c r="B135" t="inlineStr">
        <is>
          <t>Kab. Ngawi</t>
        </is>
      </c>
      <c r="C135" t="inlineStr">
        <is>
          <t>082133111934</t>
        </is>
      </c>
      <c r="D135" t="inlineStr">
        <is>
          <t>cv.wahyu.sejati86@gmail.com</t>
        </is>
      </c>
      <c r="E135" t="inlineStr">
        <is>
          <t>https://lpjk.pu.go.id/search-badan-usaha-detail/Z0xQYm81VDYvV000R2wraWFWZWlTUT09</t>
        </is>
      </c>
      <c r="F135" t="n">
        <v>1</v>
      </c>
      <c r="G135" t="inlineStr">
        <is>
          <t>BG006</t>
        </is>
      </c>
      <c r="H135" t="inlineStr">
        <is>
          <t>17 Januari 1997</t>
        </is>
      </c>
      <c r="I135" s="2" t="n">
        <v>46328</v>
      </c>
      <c r="J135" t="inlineStr">
        <is>
          <t>Disetujui</t>
        </is>
      </c>
      <c r="K135" t="n">
        <v>90</v>
      </c>
      <c r="L135" t="inlineStr">
        <is>
          <t>2 November 2026</t>
        </is>
      </c>
      <c r="M135" t="inlineStr">
        <is>
          <t>Konstruksi Gedung Pendidikan</t>
        </is>
      </c>
      <c r="N135" t="inlineStr">
        <is>
          <t>K</t>
        </is>
      </c>
      <c r="O135" t="inlineStr">
        <is>
          <t>20231031</t>
        </is>
      </c>
      <c r="P135" t="inlineStr">
        <is>
          <t>Jawa Timur</t>
        </is>
      </c>
      <c r="Q135" t="inlineStr"/>
    </row>
    <row r="136">
      <c r="A136" t="inlineStr">
        <is>
          <t>WASKITA WISESA KARKASA</t>
        </is>
      </c>
      <c r="B136" t="inlineStr">
        <is>
          <t>Kab. Bondowoso</t>
        </is>
      </c>
      <c r="C136" t="inlineStr">
        <is>
          <t>082335558418</t>
        </is>
      </c>
      <c r="D136" t="inlineStr">
        <is>
          <t>waskitawisesa20@gmail.com</t>
        </is>
      </c>
      <c r="E136" t="inlineStr">
        <is>
          <t>https://lpjk.pu.go.id/search-badan-usaha-detail/TGV2OVFHVklkMnZRS2dSWFhqQjQ0UT09</t>
        </is>
      </c>
      <c r="F136" t="n">
        <v>1</v>
      </c>
      <c r="G136" t="inlineStr">
        <is>
          <t>BS004</t>
        </is>
      </c>
      <c r="H136" t="inlineStr">
        <is>
          <t>8 Januari 2016</t>
        </is>
      </c>
      <c r="I136" s="2" t="n">
        <v>46328</v>
      </c>
      <c r="J136" t="inlineStr">
        <is>
          <t>Pencabutan</t>
        </is>
      </c>
      <c r="K136" t="n">
        <v>90</v>
      </c>
      <c r="L136" t="inlineStr">
        <is>
          <t>2 November 2026</t>
        </is>
      </c>
      <c r="M136" t="inlineStr">
        <is>
          <t>Konstruksi Jaringan Irigasi dan Drainase</t>
        </is>
      </c>
      <c r="N136" t="inlineStr">
        <is>
          <t>K</t>
        </is>
      </c>
      <c r="O136" t="inlineStr">
        <is>
          <t>N/A</t>
        </is>
      </c>
      <c r="P136" t="inlineStr">
        <is>
          <t>Jawa Timur</t>
        </is>
      </c>
      <c r="Q1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4"/>
  <sheetViews>
    <sheetView workbookViewId="0">
      <selection activeCell="A1" sqref="A1"/>
    </sheetView>
  </sheetViews>
  <sheetFormatPr baseColWidth="8" defaultRowHeight="15"/>
  <cols>
    <col width="35"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MULYA ABADI</t>
        </is>
      </c>
      <c r="B2" t="inlineStr">
        <is>
          <t>Kota Depok</t>
        </is>
      </c>
      <c r="C2" t="inlineStr">
        <is>
          <t>085811589004</t>
        </is>
      </c>
      <c r="D2" t="inlineStr">
        <is>
          <t>abdimulyaabadi2023@gmail.com</t>
        </is>
      </c>
      <c r="E2" t="inlineStr">
        <is>
          <t>https://lpjk.pu.go.id/search-badan-usaha-detail/ZU5WdmR0M21tNlJOSVhhc3BKK0N6QT09</t>
        </is>
      </c>
      <c r="F2" t="n">
        <v>1</v>
      </c>
      <c r="G2" t="inlineStr">
        <is>
          <t>BG002</t>
        </is>
      </c>
      <c r="H2" t="inlineStr">
        <is>
          <t>6 September 2023</t>
        </is>
      </c>
      <c r="I2" s="2" t="n">
        <v>46298</v>
      </c>
      <c r="J2" t="inlineStr">
        <is>
          <t>Disetujui</t>
        </is>
      </c>
      <c r="K2" t="n">
        <v>60</v>
      </c>
      <c r="L2" t="inlineStr">
        <is>
          <t>3 Oktober 2026</t>
        </is>
      </c>
      <c r="M2" t="inlineStr">
        <is>
          <t>Konstruksi Gedung Perkantoran</t>
        </is>
      </c>
      <c r="N2" t="inlineStr">
        <is>
          <t>K</t>
        </is>
      </c>
      <c r="O2" t="inlineStr">
        <is>
          <t>20231003</t>
        </is>
      </c>
      <c r="P2" t="inlineStr">
        <is>
          <t>Jawa Barat</t>
        </is>
      </c>
      <c r="Q2" s="3">
        <f>HYPERLINK("https://wa.me/6285811589004?text=*[PENGINGAT MASA BERLAKU SBU ABDI MULYA ABADI]*%0A%0AYth. Pimpinan ABDI MULYA ABADI,%0AMohon izin menginformasikan status SBU Anda di sistem LPJK:%0A%0A📄 SBU: BG002%0A📅 Expired: 3 Oktober 2026 (60 Hari Lagi)%0A%0AKami tim PT. ESDEA Assistance Management siap men-support proses perpanjangan segera agar administrasi proyek tidak terhambat%0A%0AApakah boleh saya bantu siapkan estimasi biaya dan waktu pengerjaannya?.", "Hubungi")</f>
        <v/>
      </c>
    </row>
    <row r="3">
      <c r="A3" t="inlineStr">
        <is>
          <t>AGUNG JAYA MAKMUR</t>
        </is>
      </c>
      <c r="B3" t="inlineStr">
        <is>
          <t>Kota Depok</t>
        </is>
      </c>
      <c r="C3" t="inlineStr">
        <is>
          <t>02187701210</t>
        </is>
      </c>
      <c r="D3" t="inlineStr">
        <is>
          <t>540qi.66@gmail.com</t>
        </is>
      </c>
      <c r="E3" t="inlineStr">
        <is>
          <t>https://lpjk.pu.go.id/search-badan-usaha-detail/VUVXMEZBajB6SkNueXNVZHVJbUlYUT09</t>
        </is>
      </c>
      <c r="F3" t="n">
        <v>10</v>
      </c>
      <c r="G3" t="inlineStr">
        <is>
          <t>BG004, BG005, BG006, BG008, BG009</t>
        </is>
      </c>
      <c r="H3" t="inlineStr">
        <is>
          <t>24 Januari 2006</t>
        </is>
      </c>
      <c r="I3" s="2" t="n">
        <v>46298</v>
      </c>
      <c r="J3" t="inlineStr">
        <is>
          <t>Disetujui</t>
        </is>
      </c>
      <c r="K3" t="n">
        <v>60</v>
      </c>
      <c r="L3" t="inlineStr">
        <is>
          <t>3 Oktober 2026</t>
        </is>
      </c>
      <c r="M3" t="inlineStr">
        <is>
          <t>Konstruksi Gedung Kesehatan, Konstruksi Gedung Lainnya, Konstruksi Gedung Pendidikan, Konstruksi Gedung Perbelanjaan, Konstruksi Gedung Tempat Hiburan dan Olahraga</t>
        </is>
      </c>
      <c r="N3" t="inlineStr">
        <is>
          <t>K</t>
        </is>
      </c>
      <c r="O3" t="inlineStr">
        <is>
          <t>20231003, 20231004</t>
        </is>
      </c>
      <c r="P3" t="inlineStr">
        <is>
          <t>Jawa Barat</t>
        </is>
      </c>
      <c r="Q3" t="inlineStr"/>
    </row>
    <row r="4">
      <c r="A4" t="inlineStr">
        <is>
          <t>BANGUN PERSADA BENUA</t>
        </is>
      </c>
      <c r="B4" t="inlineStr">
        <is>
          <t>Kota Adm. Jakarta Timur</t>
        </is>
      </c>
      <c r="C4" t="inlineStr">
        <is>
          <t>0218563542</t>
        </is>
      </c>
      <c r="D4" t="inlineStr">
        <is>
          <t>bpbenua@yahoo.co.id</t>
        </is>
      </c>
      <c r="E4" t="inlineStr">
        <is>
          <t>https://lpjk.pu.go.id/search-badan-usaha-detail/VVFxWnh3Y0NhRVB5SlRsdnd2QXd6UT09</t>
        </is>
      </c>
      <c r="F4" t="n">
        <v>1</v>
      </c>
      <c r="G4" t="inlineStr">
        <is>
          <t>BG009</t>
        </is>
      </c>
      <c r="H4" t="inlineStr">
        <is>
          <t>3 September 1982</t>
        </is>
      </c>
      <c r="I4" s="2" t="n">
        <v>46298</v>
      </c>
      <c r="J4" t="inlineStr">
        <is>
          <t>Pembekuan</t>
        </is>
      </c>
      <c r="K4" t="n">
        <v>60</v>
      </c>
      <c r="L4" t="inlineStr">
        <is>
          <t>3 Oktober 2026</t>
        </is>
      </c>
      <c r="M4" t="inlineStr">
        <is>
          <t>Konstruksi Gedung Lainnya</t>
        </is>
      </c>
      <c r="N4" t="inlineStr">
        <is>
          <t>M</t>
        </is>
      </c>
      <c r="O4" t="inlineStr">
        <is>
          <t>20231002</t>
        </is>
      </c>
      <c r="P4" t="inlineStr">
        <is>
          <t>DKI Jakarta</t>
        </is>
      </c>
      <c r="Q4" t="inlineStr"/>
    </row>
    <row r="5">
      <c r="A5" t="inlineStr">
        <is>
          <t>HANJAYA BUANA</t>
        </is>
      </c>
      <c r="B5" t="inlineStr">
        <is>
          <t>Kab. Bekasi</t>
        </is>
      </c>
      <c r="C5" t="inlineStr">
        <is>
          <t>081399830774</t>
        </is>
      </c>
      <c r="D5" t="inlineStr">
        <is>
          <t>hanjayabuana@gmail.com</t>
        </is>
      </c>
      <c r="E5" t="inlineStr">
        <is>
          <t>https://lpjk.pu.go.id/search-badan-usaha-detail/dUpBSWZEK0ppcFNkN01ZRXhxd0hDdz09</t>
        </is>
      </c>
      <c r="F5" t="n">
        <v>3</v>
      </c>
      <c r="G5" t="inlineStr">
        <is>
          <t>BG005, BG006, BG009</t>
        </is>
      </c>
      <c r="H5" t="inlineStr">
        <is>
          <t>4 Agustus 2022</t>
        </is>
      </c>
      <c r="I5" s="2" t="n">
        <v>46298</v>
      </c>
      <c r="J5" t="inlineStr">
        <is>
          <t>Disetujui</t>
        </is>
      </c>
      <c r="K5" t="n">
        <v>60</v>
      </c>
      <c r="L5" t="inlineStr">
        <is>
          <t>3 Oktober 2026</t>
        </is>
      </c>
      <c r="M5" t="inlineStr">
        <is>
          <t>Konstruksi Gedung Kesehatan, Konstruksi Gedung Lainnya, Konstruksi Gedung Pendidikan</t>
        </is>
      </c>
      <c r="N5" t="inlineStr">
        <is>
          <t>K</t>
        </is>
      </c>
      <c r="O5" t="inlineStr">
        <is>
          <t>20230110, 20230929</t>
        </is>
      </c>
      <c r="P5" t="inlineStr">
        <is>
          <t>Jawa Barat</t>
        </is>
      </c>
      <c r="Q5" s="3">
        <f>HYPERLINK("https://wa.me/6281399830774?text=*[PENGINGAT MASA BERLAKU SBU HANJAYA BUANA]*%0A%0AYth. Pimpinan HANJAYA BUANA,%0AMohon izin menginformasikan status SBU Anda di sistem LPJK:%0A%0A📄 SBU: BG005, BG006, BG009%0A📅 Expired: 3 Oktober 2026 (60 Hari Lagi)%0A%0AKami tim PT. ESDEA Assistance Management siap men-support proses perpanjangan segera agar administrasi proyek tidak terhambat%0A%0AApakah boleh saya bantu siapkan estimasi biaya dan waktu pengerjaannya?.", "Hubungi")</f>
        <v/>
      </c>
    </row>
    <row r="6">
      <c r="A6" t="inlineStr">
        <is>
          <t>INDONESIA XIN HAI STEEL STRUCTURE</t>
        </is>
      </c>
      <c r="B6" t="inlineStr">
        <is>
          <t>Kab. Bekasi</t>
        </is>
      </c>
      <c r="C6" t="inlineStr">
        <is>
          <t>082173125120</t>
        </is>
      </c>
      <c r="D6" t="inlineStr">
        <is>
          <t>indonesiaxinhai.hrd@gmail.com</t>
        </is>
      </c>
      <c r="E6" t="inlineStr">
        <is>
          <t>https://lpjk.pu.go.id/search-badan-usaha-detail/dnNhemJ1WnJTL3RRdE9PdFhmbUM3UT09</t>
        </is>
      </c>
      <c r="F6" t="n">
        <v>4</v>
      </c>
      <c r="G6" t="inlineStr">
        <is>
          <t>IN001, IN007</t>
        </is>
      </c>
      <c r="H6" t="inlineStr">
        <is>
          <t>2 September 2013</t>
        </is>
      </c>
      <c r="I6" s="2" t="n">
        <v>46298</v>
      </c>
      <c r="J6" t="inlineStr">
        <is>
          <t>Pencabutan</t>
        </is>
      </c>
      <c r="K6" t="n">
        <v>60</v>
      </c>
      <c r="L6" t="inlineStr">
        <is>
          <t>3 Oktober 2026</t>
        </is>
      </c>
      <c r="M6" t="inlineStr">
        <is>
          <t>Instalasi Mekanikal, Instalasi Saluran Air (Plambing)</t>
        </is>
      </c>
      <c r="N6" t="inlineStr">
        <is>
          <t>Spesialis</t>
        </is>
      </c>
      <c r="O6" t="inlineStr">
        <is>
          <t>20231002</t>
        </is>
      </c>
      <c r="P6" t="inlineStr">
        <is>
          <t>Jawa Barat</t>
        </is>
      </c>
      <c r="Q6" s="3">
        <f>HYPERLINK("https://wa.me/6282173125120?text=*[PENGINGAT MASA BERLAKU SBU INDONESIA XIN HAI STEEL STRUCTURE]*%0A%0AYth. Pimpinan INDONESIA XIN HAI STEEL STRUCTURE,%0AMohon izin menginformasikan status SBU Anda di sistem LPJK:%0A%0A📄 SBU: IN001, IN007%0A📅 Expired: 3 Oktober 2026 (60 Hari Lagi)%0A%0AKami tim PT. ESDEA Assistance Management siap men-support proses perpanjangan segera agar administrasi proyek tidak terhambat%0A%0AApakah boleh saya bantu siapkan estimasi biaya dan waktu pengerjaannya?.", "Hubungi")</f>
        <v/>
      </c>
    </row>
    <row r="7">
      <c r="A7" t="inlineStr">
        <is>
          <t>MADUMASAKTI LESTARI</t>
        </is>
      </c>
      <c r="B7" t="inlineStr">
        <is>
          <t>Kota Adm. Jakarta Timur</t>
        </is>
      </c>
      <c r="C7" t="inlineStr">
        <is>
          <t>08129093729</t>
        </is>
      </c>
      <c r="D7" t="inlineStr">
        <is>
          <t>ptmadumasaktilestari@yahoo.co.id</t>
        </is>
      </c>
      <c r="E7" t="inlineStr">
        <is>
          <t>https://lpjk.pu.go.id/search-badan-usaha-detail/MEpvVDlrbEY4SzZQNVFESjU2cXg2Zz09</t>
        </is>
      </c>
      <c r="F7" t="n">
        <v>4</v>
      </c>
      <c r="G7" t="inlineStr">
        <is>
          <t>BG006, BG009</t>
        </is>
      </c>
      <c r="H7" t="inlineStr">
        <is>
          <t>4 Maret 1989</t>
        </is>
      </c>
      <c r="I7" s="2" t="n">
        <v>46298</v>
      </c>
      <c r="J7" t="inlineStr">
        <is>
          <t>Disetujui</t>
        </is>
      </c>
      <c r="K7" t="n">
        <v>60</v>
      </c>
      <c r="L7" t="inlineStr">
        <is>
          <t>3 Oktober 2026</t>
        </is>
      </c>
      <c r="M7" t="inlineStr">
        <is>
          <t>Konstruksi Gedung Lainnya, Konstruksi Gedung Pendidikan</t>
        </is>
      </c>
      <c r="N7" t="inlineStr">
        <is>
          <t>K</t>
        </is>
      </c>
      <c r="O7" t="inlineStr">
        <is>
          <t>20231003</t>
        </is>
      </c>
      <c r="P7" t="inlineStr">
        <is>
          <t>DKI Jakarta</t>
        </is>
      </c>
      <c r="Q7" s="3">
        <f>HYPERLINK("https://wa.me/628129093729?text=*[PENGINGAT MASA BERLAKU SBU MADUMASAKTI LESTARI]*%0A%0AYth. Pimpinan MADUMASAKTI LESTARI,%0AMohon izin menginformasikan status SBU Anda di sistem LPJK:%0A%0A📄 SBU: BG006, BG009%0A📅 Expired: 3 Oktober 2026 (60 Hari Lagi)%0A%0AKami tim PT. ESDEA Assistance Management siap men-support proses perpanjangan segera agar administrasi proyek tidak terhambat%0A%0AApakah boleh saya bantu siapkan estimasi biaya dan waktu pengerjaannya?.", "Hubungi")</f>
        <v/>
      </c>
    </row>
    <row r="8">
      <c r="A8" t="inlineStr">
        <is>
          <t>REKAKOVA</t>
        </is>
      </c>
      <c r="B8" t="inlineStr">
        <is>
          <t>Kab. Bogor</t>
        </is>
      </c>
      <c r="C8" t="inlineStr">
        <is>
          <t>082124825653</t>
        </is>
      </c>
      <c r="D8" t="inlineStr">
        <is>
          <t>cvrekakova@gmail.com</t>
        </is>
      </c>
      <c r="E8" t="inlineStr">
        <is>
          <t>https://lpjk.pu.go.id/search-badan-usaha-detail/eDdhVTVTQWdCclNucFRkMm0wZ0EvQT09</t>
        </is>
      </c>
      <c r="F8" t="n">
        <v>2</v>
      </c>
      <c r="G8" t="inlineStr">
        <is>
          <t>BS006</t>
        </is>
      </c>
      <c r="H8" t="inlineStr">
        <is>
          <t>23 April 2016</t>
        </is>
      </c>
      <c r="I8" s="2" t="n">
        <v>46298</v>
      </c>
      <c r="J8" t="inlineStr">
        <is>
          <t>Pencabutan</t>
        </is>
      </c>
      <c r="K8" t="n">
        <v>60</v>
      </c>
      <c r="L8" t="inlineStr">
        <is>
          <t>3 Oktober 2026</t>
        </is>
      </c>
      <c r="M8" t="inlineStr">
        <is>
          <t>Konstruksi Bangunan Sipil Prasarana dan Sarana Sistem Pengolahan Limbah Padat, Cair, dan Gas</t>
        </is>
      </c>
      <c r="N8" t="inlineStr">
        <is>
          <t>K</t>
        </is>
      </c>
      <c r="O8" t="inlineStr">
        <is>
          <t>20231002</t>
        </is>
      </c>
      <c r="P8" t="inlineStr">
        <is>
          <t>Jawa Barat</t>
        </is>
      </c>
      <c r="Q8" s="3">
        <f>HYPERLINK("https://wa.me/6282124825653?text=*[PENGINGAT MASA BERLAKU SBU REKAKOVA]*%0A%0AYth. Pimpinan REKAKOVA,%0AMohon izin menginformasikan status SBU Anda di sistem LPJK:%0A%0A📄 SBU: BS006%0A📅 Expired: 3 Oktober 2026 (60 Hari Lagi)%0A%0AKami tim PT. ESDEA Assistance Management siap men-support proses perpanjangan segera agar administrasi proyek tidak terhambat%0A%0AApakah boleh saya bantu siapkan estimasi biaya dan waktu pengerjaannya?.", "Hubungi")</f>
        <v/>
      </c>
    </row>
    <row r="9">
      <c r="A9" t="inlineStr">
        <is>
          <t>TITIK INDAH PERMAI</t>
        </is>
      </c>
      <c r="B9" t="inlineStr">
        <is>
          <t>Kota Depok</t>
        </is>
      </c>
      <c r="C9" t="inlineStr">
        <is>
          <t>0217544082</t>
        </is>
      </c>
      <c r="D9" t="inlineStr">
        <is>
          <t>titik_indahpermai@yahoo.com</t>
        </is>
      </c>
      <c r="E9" t="inlineStr">
        <is>
          <t>https://lpjk.pu.go.id/search-badan-usaha-detail/LzBlYWgyei9LK2dUcWRGM0JVYTZXR3JUdVVxTEtDeHN1emJuNUlBUE1xcz0</t>
        </is>
      </c>
      <c r="F9" t="n">
        <v>1</v>
      </c>
      <c r="G9" t="inlineStr">
        <is>
          <t>BS001</t>
        </is>
      </c>
      <c r="H9" t="inlineStr">
        <is>
          <t>27 Februari 2020</t>
        </is>
      </c>
      <c r="I9" s="2" t="n">
        <v>46298</v>
      </c>
      <c r="J9" t="inlineStr">
        <is>
          <t>Disetujui</t>
        </is>
      </c>
      <c r="K9" t="n">
        <v>60</v>
      </c>
      <c r="L9" t="inlineStr">
        <is>
          <t>3 Oktober 2026</t>
        </is>
      </c>
      <c r="M9" t="inlineStr">
        <is>
          <t>Konstruksi Bangunan Sipil Jalan</t>
        </is>
      </c>
      <c r="N9" t="inlineStr">
        <is>
          <t>K</t>
        </is>
      </c>
      <c r="O9" t="inlineStr">
        <is>
          <t>20230914</t>
        </is>
      </c>
      <c r="P9" t="inlineStr">
        <is>
          <t>Jawa Barat</t>
        </is>
      </c>
      <c r="Q9" t="inlineStr"/>
    </row>
    <row r="10">
      <c r="A10" t="inlineStr">
        <is>
          <t>TRIGUNA SOLUSI CONTROL</t>
        </is>
      </c>
      <c r="B10" t="inlineStr">
        <is>
          <t>Kota Bekasi</t>
        </is>
      </c>
      <c r="C10" t="inlineStr">
        <is>
          <t>081266152967</t>
        </is>
      </c>
      <c r="D10" t="inlineStr">
        <is>
          <t>andrizal_chandra@trigunaeng-tc.com</t>
        </is>
      </c>
      <c r="E10" t="inlineStr">
        <is>
          <t>https://lpjk.pu.go.id/search-badan-usaha-detail/RDB1WWtPK3FwZGE3SnNwbGNmNHY0Zz09</t>
        </is>
      </c>
      <c r="F10" t="n">
        <v>1</v>
      </c>
      <c r="G10" t="inlineStr">
        <is>
          <t>BS007</t>
        </is>
      </c>
      <c r="H10" t="inlineStr">
        <is>
          <t>29 Juni 2009</t>
        </is>
      </c>
      <c r="I10" s="2" t="n">
        <v>46298</v>
      </c>
      <c r="J10" t="inlineStr">
        <is>
          <t>Disetujui</t>
        </is>
      </c>
      <c r="K10" t="n">
        <v>60</v>
      </c>
      <c r="L10" t="inlineStr">
        <is>
          <t>3 Oktober 2026</t>
        </is>
      </c>
      <c r="M10" t="inlineStr">
        <is>
          <t>Konstruksi Bangunan Sipil Elektrikal</t>
        </is>
      </c>
      <c r="N10" t="inlineStr">
        <is>
          <t>M</t>
        </is>
      </c>
      <c r="O10" t="inlineStr">
        <is>
          <t>20230925</t>
        </is>
      </c>
      <c r="P10" t="inlineStr">
        <is>
          <t>Jawa Barat</t>
        </is>
      </c>
      <c r="Q10" s="3">
        <f>HYPERLINK("https://wa.me/6281266152967?text=*[PENGINGAT MASA BERLAKU SBU TRIGUNA SOLUSI CONTROL]*%0A%0AYth. Pimpinan TRIGUNA SOLUSI CONTROL,%0AMohon izin menginformasikan status SBU Anda di sistem LPJK:%0A%0A📄 SBU: BS007%0A📅 Expired: 3 Oktober 2026 (60 Hari Lagi)%0A%0AKami tim PT. ESDEA Assistance Management siap men-support proses perpanjangan segera agar administrasi proyek tidak terhambat%0A%0AApakah boleh saya bantu siapkan estimasi biaya dan waktu pengerjaannya?.", "Hubungi")</f>
        <v/>
      </c>
    </row>
    <row r="11">
      <c r="A11" t="inlineStr">
        <is>
          <t>WULAN AKBAR KONSTRUKSI</t>
        </is>
      </c>
      <c r="B11" t="inlineStr">
        <is>
          <t>Kota Depok</t>
        </is>
      </c>
      <c r="C11" t="inlineStr">
        <is>
          <t>081315685855</t>
        </is>
      </c>
      <c r="D11" t="inlineStr">
        <is>
          <t>wulanakbarkonstruksi@gmail.com</t>
        </is>
      </c>
      <c r="E11" t="inlineStr">
        <is>
          <t>https://lpjk.pu.go.id/search-badan-usaha-detail/WWRSTFBidGFYT090eGdzNmhmMEp3UT09</t>
        </is>
      </c>
      <c r="F11" t="n">
        <v>1</v>
      </c>
      <c r="G11" t="inlineStr">
        <is>
          <t>BS002</t>
        </is>
      </c>
      <c r="H11" t="inlineStr">
        <is>
          <t>18 Juni 2021</t>
        </is>
      </c>
      <c r="I11" s="2" t="n">
        <v>46298</v>
      </c>
      <c r="J11" t="inlineStr">
        <is>
          <t>Disetujui</t>
        </is>
      </c>
      <c r="K11" t="n">
        <v>60</v>
      </c>
      <c r="L11" t="inlineStr">
        <is>
          <t>3 Oktober 2026</t>
        </is>
      </c>
      <c r="M11" t="inlineStr">
        <is>
          <t>Bangunan Sipil Jembatan, Jalan Layang, Fly Over, dan Underpass</t>
        </is>
      </c>
      <c r="N11" t="inlineStr">
        <is>
          <t>K</t>
        </is>
      </c>
      <c r="O11" t="inlineStr">
        <is>
          <t>20231003</t>
        </is>
      </c>
      <c r="P11" t="inlineStr">
        <is>
          <t>Jawa Barat</t>
        </is>
      </c>
      <c r="Q11" s="3">
        <f>HYPERLINK("https://wa.me/6281315685855?text=*[PENGINGAT MASA BERLAKU SBU WULAN AKBAR KONSTRUKSI]*%0A%0AYth. Pimpinan WULAN AKBAR KONSTRUKSI,%0AMohon izin menginformasikan status SBU Anda di sistem LPJK:%0A%0A📄 SBU: BS002%0A📅 Expired: 3 Oktober 2026 (60 Hari Lagi)%0A%0AKami tim PT. ESDEA Assistance Management siap men-support proses perpanjangan segera agar administrasi proyek tidak terhambat%0A%0AApakah boleh saya bantu siapkan estimasi biaya dan waktu pengerjaannya?.", "Hubungi")</f>
        <v/>
      </c>
    </row>
    <row r="12">
      <c r="A12" t="inlineStr">
        <is>
          <t>ADHITAMA KARYA MANDIRI</t>
        </is>
      </c>
      <c r="B12" t="inlineStr">
        <is>
          <t>Kab. Sidoarjo</t>
        </is>
      </c>
      <c r="C12" t="inlineStr">
        <is>
          <t>081280847658</t>
        </is>
      </c>
      <c r="D12" t="inlineStr">
        <is>
          <t>adhitamakaryamandiri9@gmail.com</t>
        </is>
      </c>
      <c r="E12" t="inlineStr">
        <is>
          <t>https://lpjk.pu.go.id/search-badan-usaha-detail/M2ZFTEx4aUxzKzMrd2FIUkZ3cDJWUT09</t>
        </is>
      </c>
      <c r="F12" t="n">
        <v>2</v>
      </c>
      <c r="G12" t="inlineStr">
        <is>
          <t>BG002</t>
        </is>
      </c>
      <c r="H12" t="inlineStr">
        <is>
          <t>8 Agustus 2016</t>
        </is>
      </c>
      <c r="I12" s="2" t="n">
        <v>46298</v>
      </c>
      <c r="J12" t="inlineStr">
        <is>
          <t>Disetujui</t>
        </is>
      </c>
      <c r="K12" t="n">
        <v>60</v>
      </c>
      <c r="L12" t="inlineStr">
        <is>
          <t>3 Oktober 2026</t>
        </is>
      </c>
      <c r="M12" t="inlineStr">
        <is>
          <t>Konstruksi Gedung Perkantoran</t>
        </is>
      </c>
      <c r="N12" t="inlineStr">
        <is>
          <t>K</t>
        </is>
      </c>
      <c r="O12" t="inlineStr">
        <is>
          <t>20230927</t>
        </is>
      </c>
      <c r="P12" t="inlineStr">
        <is>
          <t>Jawa Timur</t>
        </is>
      </c>
      <c r="Q12" t="inlineStr"/>
    </row>
    <row r="13">
      <c r="A13" t="inlineStr">
        <is>
          <t>ADIDAYA GLOBAL ABADI</t>
        </is>
      </c>
      <c r="B13" t="inlineStr">
        <is>
          <t>Kab. Majalengka</t>
        </is>
      </c>
      <c r="C13" t="inlineStr">
        <is>
          <t>085523553526</t>
        </is>
      </c>
      <c r="D13" t="inlineStr">
        <is>
          <t>adidayaglobalabadi@gmail.com</t>
        </is>
      </c>
      <c r="E13" t="inlineStr">
        <is>
          <t>https://lpjk.pu.go.id/search-badan-usaha-detail/d0RWOGVNVDFGY2lERzZ4VnhKcVpDQT09</t>
        </is>
      </c>
      <c r="F13" t="n">
        <v>1</v>
      </c>
      <c r="G13" t="inlineStr">
        <is>
          <t>BG005</t>
        </is>
      </c>
      <c r="H13" t="inlineStr">
        <is>
          <t>3 Oktober 2019</t>
        </is>
      </c>
      <c r="I13" s="2" t="n">
        <v>46298</v>
      </c>
      <c r="J13" t="inlineStr">
        <is>
          <t>Disetujui</t>
        </is>
      </c>
      <c r="K13" t="n">
        <v>60</v>
      </c>
      <c r="L13" t="inlineStr">
        <is>
          <t>3 Oktober 2026</t>
        </is>
      </c>
      <c r="M13" t="inlineStr">
        <is>
          <t>Konstruksi Gedung Kesehatan</t>
        </is>
      </c>
      <c r="N13" t="inlineStr">
        <is>
          <t>K</t>
        </is>
      </c>
      <c r="O13" t="inlineStr">
        <is>
          <t>20230930</t>
        </is>
      </c>
      <c r="P13" t="inlineStr">
        <is>
          <t>Jawa Barat</t>
        </is>
      </c>
      <c r="Q13" t="inlineStr"/>
    </row>
    <row r="14">
      <c r="A14" t="inlineStr">
        <is>
          <t>ADIDAYA PRATAMA JOMANTARA</t>
        </is>
      </c>
      <c r="B14" t="inlineStr">
        <is>
          <t>Kab. Purwakarta</t>
        </is>
      </c>
      <c r="C14" t="inlineStr">
        <is>
          <t>081289158754</t>
        </is>
      </c>
      <c r="D14" t="inlineStr">
        <is>
          <t>pt.adidayapratamajomantara@gmail.com</t>
        </is>
      </c>
      <c r="E14" t="inlineStr">
        <is>
          <t>https://lpjk.pu.go.id/search-badan-usaha-detail/Yk9sbm44UnhNaUlOQjBmMnprQTBzcytxYTVDbGRWNmlrWHloVUFCdnEvND0</t>
        </is>
      </c>
      <c r="F14" t="n">
        <v>3</v>
      </c>
      <c r="G14" t="inlineStr">
        <is>
          <t>BS001, BS002, BS004</t>
        </is>
      </c>
      <c r="H14" t="inlineStr">
        <is>
          <t>21 April 2025</t>
        </is>
      </c>
      <c r="I14" s="2" t="n">
        <v>46298</v>
      </c>
      <c r="J14" t="inlineStr">
        <is>
          <t>Disetujui</t>
        </is>
      </c>
      <c r="K14" t="n">
        <v>60</v>
      </c>
      <c r="L14" t="inlineStr">
        <is>
          <t>3 Oktober 2026</t>
        </is>
      </c>
      <c r="M14" t="inlineStr">
        <is>
          <t>Bangunan Sipil Jembatan, Jalan Layang, Fly Over, dan Underpass, Konstruksi Bangunan Sipil Jalan, Konstruksi Jaringan Irigasi dan Drainase</t>
        </is>
      </c>
      <c r="N14" t="inlineStr">
        <is>
          <t>K</t>
        </is>
      </c>
      <c r="O14" t="inlineStr">
        <is>
          <t>20230925</t>
        </is>
      </c>
      <c r="P14" t="inlineStr">
        <is>
          <t>Jawa Barat</t>
        </is>
      </c>
      <c r="Q14" t="inlineStr"/>
    </row>
    <row r="15">
      <c r="A15" t="inlineStr">
        <is>
          <t>ADIGUNA PRATAMA</t>
        </is>
      </c>
      <c r="B15" t="inlineStr">
        <is>
          <t>Kab. Malang</t>
        </is>
      </c>
      <c r="C15" t="inlineStr">
        <is>
          <t>0859106983439</t>
        </is>
      </c>
      <c r="D15" t="inlineStr">
        <is>
          <t>adigunapratamacv@gmail.com</t>
        </is>
      </c>
      <c r="E15" t="inlineStr">
        <is>
          <t>https://lpjk.pu.go.id/search-badan-usaha-detail/bW13VzU3azAvclZiLzJ2cEJ4bFZwQT09</t>
        </is>
      </c>
      <c r="F15" t="n">
        <v>7</v>
      </c>
      <c r="G15" t="inlineStr">
        <is>
          <t>BG001, BG002, BG005, BG006, BG009, BS001, BS004</t>
        </is>
      </c>
      <c r="H15" t="inlineStr">
        <is>
          <t>8 September 2023</t>
        </is>
      </c>
      <c r="I15" s="2" t="n">
        <v>46298</v>
      </c>
      <c r="J15" t="inlineStr">
        <is>
          <t>Disetujui</t>
        </is>
      </c>
      <c r="K15" t="n">
        <v>60</v>
      </c>
      <c r="L15" t="inlineStr">
        <is>
          <t>3 Oktober 2026</t>
        </is>
      </c>
      <c r="M15" t="inlineStr">
        <is>
          <t>Konstruksi Bangunan Sipil Jalan, Konstruksi Gedung Hunian, Konstruksi Gedung Kesehatan, Konstruksi Gedung Lainnya, Konstruksi Gedung Pendidikan, Konstruksi Gedung Perkantoran, Konstruksi Jaringan Irigasi dan Drainase</t>
        </is>
      </c>
      <c r="N15" t="inlineStr">
        <is>
          <t>K</t>
        </is>
      </c>
      <c r="O15" t="inlineStr">
        <is>
          <t>20230927</t>
        </is>
      </c>
      <c r="P15" t="inlineStr">
        <is>
          <t>Jawa Timur</t>
        </is>
      </c>
      <c r="Q15" t="inlineStr"/>
    </row>
    <row r="16">
      <c r="A16" t="inlineStr">
        <is>
          <t>ADY JAYA MUKTI</t>
        </is>
      </c>
      <c r="B16" t="inlineStr">
        <is>
          <t>Kab. Tasikmalaya</t>
        </is>
      </c>
      <c r="C16" t="inlineStr">
        <is>
          <t>082115272392</t>
        </is>
      </c>
      <c r="D16" t="inlineStr">
        <is>
          <t>adyjayamukti2021@gmail.com</t>
        </is>
      </c>
      <c r="E16" t="inlineStr">
        <is>
          <t>https://lpjk.pu.go.id/search-badan-usaha-detail/c2tDU3pXSndvQ1hpdXF1RUpnOHZNUT09</t>
        </is>
      </c>
      <c r="F16" t="n">
        <v>1</v>
      </c>
      <c r="G16" t="inlineStr">
        <is>
          <t>BS004</t>
        </is>
      </c>
      <c r="H16" t="inlineStr">
        <is>
          <t>2 Maret 2009</t>
        </is>
      </c>
      <c r="I16" s="2" t="n">
        <v>46298</v>
      </c>
      <c r="J16" t="inlineStr">
        <is>
          <t>Disetujui</t>
        </is>
      </c>
      <c r="K16" t="n">
        <v>60</v>
      </c>
      <c r="L16" t="inlineStr">
        <is>
          <t>3 Oktober 2026</t>
        </is>
      </c>
      <c r="M16" t="inlineStr">
        <is>
          <t>Konstruksi Jaringan Irigasi dan Drainase</t>
        </is>
      </c>
      <c r="N16" t="inlineStr">
        <is>
          <t>K</t>
        </is>
      </c>
      <c r="O16" t="inlineStr">
        <is>
          <t>20231003</t>
        </is>
      </c>
      <c r="P16" t="inlineStr">
        <is>
          <t>Jawa Barat</t>
        </is>
      </c>
      <c r="Q16" t="inlineStr"/>
    </row>
    <row r="17">
      <c r="A17" t="inlineStr">
        <is>
          <t>AKBAR BERSAUDARA GROUP</t>
        </is>
      </c>
      <c r="B17" t="inlineStr">
        <is>
          <t>Kota Makassar</t>
        </is>
      </c>
      <c r="C17" t="inlineStr">
        <is>
          <t>081241962242</t>
        </is>
      </c>
      <c r="D17" t="inlineStr">
        <is>
          <t>akbarbersaudara@aol.com</t>
        </is>
      </c>
      <c r="E17" t="inlineStr">
        <is>
          <t>https://lpjk.pu.go.id/search-badan-usaha-detail/VXJBNWxrajArVllEZHVsL0tPem14UT09</t>
        </is>
      </c>
      <c r="F17" t="n">
        <v>1</v>
      </c>
      <c r="G17" t="inlineStr">
        <is>
          <t>BS009</t>
        </is>
      </c>
      <c r="H17" t="inlineStr">
        <is>
          <t>24 April 2018</t>
        </is>
      </c>
      <c r="I17" s="2" t="n">
        <v>46298</v>
      </c>
      <c r="J17" t="inlineStr">
        <is>
          <t>Disetujui</t>
        </is>
      </c>
      <c r="K17" t="n">
        <v>60</v>
      </c>
      <c r="L17" t="inlineStr">
        <is>
          <t>3 Oktober 2026</t>
        </is>
      </c>
      <c r="M17" t="inlineStr">
        <is>
          <t>Konstruksi Sentral Telekomunikasi</t>
        </is>
      </c>
      <c r="N17" t="inlineStr">
        <is>
          <t>K</t>
        </is>
      </c>
      <c r="O17" t="inlineStr">
        <is>
          <t>20231003</t>
        </is>
      </c>
      <c r="P17" t="inlineStr">
        <is>
          <t>Sulawesi Selatan</t>
        </is>
      </c>
      <c r="Q17" t="inlineStr"/>
    </row>
    <row r="18">
      <c r="A18" t="inlineStr">
        <is>
          <t>AKBAR JAYA KONSULTAN</t>
        </is>
      </c>
      <c r="B18" t="inlineStr">
        <is>
          <t>Kota Bandar Lampung</t>
        </is>
      </c>
      <c r="C18" t="inlineStr">
        <is>
          <t>081278308307</t>
        </is>
      </c>
      <c r="D18" t="inlineStr">
        <is>
          <t>akbarjayaconsultant@yahoo.co.id</t>
        </is>
      </c>
      <c r="E18" t="inlineStr">
        <is>
          <t>https://lpjk.pu.go.id/search-badan-usaha-detail/TlVGTHYyci9DWHFNQkJaWU5YRE5Hdz09</t>
        </is>
      </c>
      <c r="F18" t="n">
        <v>1</v>
      </c>
      <c r="G18" t="inlineStr">
        <is>
          <t>RK003</t>
        </is>
      </c>
      <c r="H18" t="inlineStr">
        <is>
          <t>22 September 1998</t>
        </is>
      </c>
      <c r="I18" s="2" t="n">
        <v>46298</v>
      </c>
      <c r="J18" t="inlineStr">
        <is>
          <t>Disetujui</t>
        </is>
      </c>
      <c r="K18" t="n">
        <v>60</v>
      </c>
      <c r="L18" t="inlineStr">
        <is>
          <t>3 Oktober 2026</t>
        </is>
      </c>
      <c r="M18" t="inlineStr">
        <is>
          <t>Jasa Rekayasa Pekerjaan Teknik Sipil Transportasi</t>
        </is>
      </c>
      <c r="N18" t="inlineStr">
        <is>
          <t>M</t>
        </is>
      </c>
      <c r="O18" t="inlineStr">
        <is>
          <t>20230915</t>
        </is>
      </c>
      <c r="P18" t="inlineStr">
        <is>
          <t>Lampung</t>
        </is>
      </c>
      <c r="Q18" t="inlineStr"/>
    </row>
    <row r="19">
      <c r="A19" t="inlineStr">
        <is>
          <t>ALFALAH DS</t>
        </is>
      </c>
      <c r="B19" t="inlineStr">
        <is>
          <t>Kab. Konawe Selatan</t>
        </is>
      </c>
      <c r="C19" t="inlineStr">
        <is>
          <t>081230038716</t>
        </is>
      </c>
      <c r="D19" t="inlineStr">
        <is>
          <t>osssardiman@gmail.com</t>
        </is>
      </c>
      <c r="E19" t="inlineStr">
        <is>
          <t>https://lpjk.pu.go.id/search-badan-usaha-detail/REtiT0VzRElvckVpb1YwbFNOdm1vZz09</t>
        </is>
      </c>
      <c r="F19" t="n">
        <v>1</v>
      </c>
      <c r="G19" t="inlineStr">
        <is>
          <t>BG009</t>
        </is>
      </c>
      <c r="H19" t="inlineStr">
        <is>
          <t>23 Januari 2020</t>
        </is>
      </c>
      <c r="I19" s="2" t="n">
        <v>46298</v>
      </c>
      <c r="J19" t="inlineStr">
        <is>
          <t>Disetujui</t>
        </is>
      </c>
      <c r="K19" t="n">
        <v>60</v>
      </c>
      <c r="L19" t="inlineStr">
        <is>
          <t>3 Oktober 2026</t>
        </is>
      </c>
      <c r="M19" t="inlineStr">
        <is>
          <t>Konstruksi Gedung Lainnya</t>
        </is>
      </c>
      <c r="N19" t="inlineStr">
        <is>
          <t>K</t>
        </is>
      </c>
      <c r="O19" t="inlineStr">
        <is>
          <t>20231003</t>
        </is>
      </c>
      <c r="P19" t="inlineStr">
        <is>
          <t>Sulawesi Tenggara</t>
        </is>
      </c>
      <c r="Q19" t="inlineStr"/>
    </row>
    <row r="20">
      <c r="A20" t="inlineStr">
        <is>
          <t>ALMEGA JAYA</t>
        </is>
      </c>
      <c r="B20" t="inlineStr">
        <is>
          <t>Kab. Bandung</t>
        </is>
      </c>
      <c r="C20" t="inlineStr">
        <is>
          <t>02285447780</t>
        </is>
      </c>
      <c r="D20" t="inlineStr">
        <is>
          <t>almega.jaya.nib@gmail.com</t>
        </is>
      </c>
      <c r="E20" t="inlineStr">
        <is>
          <t>https://lpjk.pu.go.id/search-badan-usaha-detail/NC8yMnM4OWZLU3VXaStkaVB1dXZNZz09</t>
        </is>
      </c>
      <c r="F20" t="n">
        <v>2</v>
      </c>
      <c r="G20" t="inlineStr">
        <is>
          <t>BG009</t>
        </is>
      </c>
      <c r="H20" t="inlineStr">
        <is>
          <t>4 Agustus 2019</t>
        </is>
      </c>
      <c r="I20" s="2" t="n">
        <v>46298</v>
      </c>
      <c r="J20" t="inlineStr">
        <is>
          <t>Disetujui</t>
        </is>
      </c>
      <c r="K20" t="n">
        <v>60</v>
      </c>
      <c r="L20" t="inlineStr">
        <is>
          <t>3 Oktober 2026</t>
        </is>
      </c>
      <c r="M20" t="inlineStr">
        <is>
          <t>Konstruksi Gedung Lainnya</t>
        </is>
      </c>
      <c r="N20" t="inlineStr">
        <is>
          <t>K</t>
        </is>
      </c>
      <c r="O20" t="inlineStr">
        <is>
          <t>20231003</t>
        </is>
      </c>
      <c r="P20" t="inlineStr">
        <is>
          <t>Jawa Barat</t>
        </is>
      </c>
      <c r="Q20" t="inlineStr"/>
    </row>
    <row r="21">
      <c r="A21" t="inlineStr">
        <is>
          <t>AMBARA KARYA</t>
        </is>
      </c>
      <c r="B21" t="inlineStr">
        <is>
          <t>Kab. Kutai Kartanegara</t>
        </is>
      </c>
      <c r="C21" t="inlineStr">
        <is>
          <t>081347490071</t>
        </is>
      </c>
      <c r="D21" t="inlineStr">
        <is>
          <t>cv.ambarakarya.samboja@gmail.com</t>
        </is>
      </c>
      <c r="E21" t="inlineStr">
        <is>
          <t>https://lpjk.pu.go.id/search-badan-usaha-detail/dXkvQ1NsZFpLRU5tQ2Yvd0dQdklvUT09</t>
        </is>
      </c>
      <c r="F21" t="n">
        <v>1</v>
      </c>
      <c r="G21" t="inlineStr">
        <is>
          <t>BG009</t>
        </is>
      </c>
      <c r="H21" t="inlineStr">
        <is>
          <t>14 Februari 2008</t>
        </is>
      </c>
      <c r="I21" s="2" t="n">
        <v>46298</v>
      </c>
      <c r="J21" t="inlineStr">
        <is>
          <t>Pencabutan</t>
        </is>
      </c>
      <c r="K21" t="n">
        <v>60</v>
      </c>
      <c r="L21" t="inlineStr">
        <is>
          <t>3 Oktober 2026</t>
        </is>
      </c>
      <c r="M21" t="inlineStr">
        <is>
          <t>Konstruksi Gedung Lainnya</t>
        </is>
      </c>
      <c r="N21" t="inlineStr">
        <is>
          <t>K</t>
        </is>
      </c>
      <c r="O21" t="inlineStr">
        <is>
          <t>20231003</t>
        </is>
      </c>
      <c r="P21" t="inlineStr">
        <is>
          <t>Kalimantan Timur</t>
        </is>
      </c>
      <c r="Q21" t="inlineStr"/>
    </row>
    <row r="22">
      <c r="A22" t="inlineStr">
        <is>
          <t>ANDALAN MULTI CONTRACTOR</t>
        </is>
      </c>
      <c r="B22" t="inlineStr">
        <is>
          <t>Kab. Pacitan</t>
        </is>
      </c>
      <c r="C22" t="inlineStr">
        <is>
          <t>08883418127</t>
        </is>
      </c>
      <c r="D22" t="inlineStr">
        <is>
          <t>andalanmulticontractor@gmail.com</t>
        </is>
      </c>
      <c r="E22" t="inlineStr">
        <is>
          <t>https://lpjk.pu.go.id/search-badan-usaha-detail/K2krODdqR0E5WmVNbTNYbWUzWTVndz09</t>
        </is>
      </c>
      <c r="F22" t="n">
        <v>4</v>
      </c>
      <c r="G22" t="inlineStr">
        <is>
          <t>BG005, BG006</t>
        </is>
      </c>
      <c r="H22" t="inlineStr">
        <is>
          <t>24 Januari 2020</t>
        </is>
      </c>
      <c r="I22" s="2" t="n">
        <v>46298</v>
      </c>
      <c r="J22" t="inlineStr">
        <is>
          <t>Disetujui</t>
        </is>
      </c>
      <c r="K22" t="n">
        <v>60</v>
      </c>
      <c r="L22" t="inlineStr">
        <is>
          <t>3 Oktober 2026</t>
        </is>
      </c>
      <c r="M22" t="inlineStr">
        <is>
          <t>Konstruksi Gedung Kesehatan, Konstruksi Gedung Pendidikan</t>
        </is>
      </c>
      <c r="N22" t="inlineStr">
        <is>
          <t>K</t>
        </is>
      </c>
      <c r="O22" t="inlineStr">
        <is>
          <t>20230823, 20230926</t>
        </is>
      </c>
      <c r="P22" t="inlineStr">
        <is>
          <t>Jawa Timur</t>
        </is>
      </c>
      <c r="Q22" t="inlineStr"/>
    </row>
    <row r="23">
      <c r="A23" t="inlineStr">
        <is>
          <t>ANDI WHINATA</t>
        </is>
      </c>
      <c r="B23" t="inlineStr">
        <is>
          <t>Kab. Jember</t>
        </is>
      </c>
      <c r="C23" t="inlineStr">
        <is>
          <t>082330201171</t>
        </is>
      </c>
      <c r="D23" t="inlineStr">
        <is>
          <t>cvandiwhinata@yahoo.co.id</t>
        </is>
      </c>
      <c r="E23" t="inlineStr">
        <is>
          <t>https://lpjk.pu.go.id/search-badan-usaha-detail/R1B0Wk41enFDN01IVkgxRGFyMStCZz09</t>
        </is>
      </c>
      <c r="F23" t="n">
        <v>1</v>
      </c>
      <c r="G23" t="inlineStr">
        <is>
          <t>BG009</t>
        </is>
      </c>
      <c r="H23" t="inlineStr">
        <is>
          <t>29 Juli 1996</t>
        </is>
      </c>
      <c r="I23" s="2" t="n">
        <v>46298</v>
      </c>
      <c r="J23" t="inlineStr">
        <is>
          <t>Disetujui</t>
        </is>
      </c>
      <c r="K23" t="n">
        <v>60</v>
      </c>
      <c r="L23" t="inlineStr">
        <is>
          <t>3 Oktober 2026</t>
        </is>
      </c>
      <c r="M23" t="inlineStr">
        <is>
          <t>Konstruksi Gedung Lainnya</t>
        </is>
      </c>
      <c r="N23" t="inlineStr">
        <is>
          <t>K</t>
        </is>
      </c>
      <c r="O23" t="inlineStr">
        <is>
          <t>20230825</t>
        </is>
      </c>
      <c r="P23" t="inlineStr">
        <is>
          <t>Jawa Timur</t>
        </is>
      </c>
      <c r="Q23" t="inlineStr"/>
    </row>
    <row r="24">
      <c r="A24" t="inlineStr">
        <is>
          <t>ANHAR JAYA LESTARI</t>
        </is>
      </c>
      <c r="B24" t="inlineStr">
        <is>
          <t>Kota Medan</t>
        </is>
      </c>
      <c r="C24" t="inlineStr">
        <is>
          <t>081263998081</t>
        </is>
      </c>
      <c r="D24" t="inlineStr">
        <is>
          <t>flamboyan047@gmail.com</t>
        </is>
      </c>
      <c r="E24" t="inlineStr">
        <is>
          <t>https://lpjk.pu.go.id/search-badan-usaha-detail/ZDVpbW52SDhlbXVZanY1dDNWNDFIdz09</t>
        </is>
      </c>
      <c r="F24" t="n">
        <v>1</v>
      </c>
      <c r="G24" t="inlineStr">
        <is>
          <t>BG001</t>
        </is>
      </c>
      <c r="H24" t="inlineStr">
        <is>
          <t>7 Juni 2022</t>
        </is>
      </c>
      <c r="I24" s="2" t="n">
        <v>46298</v>
      </c>
      <c r="J24" t="inlineStr">
        <is>
          <t>Pencabutan</t>
        </is>
      </c>
      <c r="K24" t="n">
        <v>60</v>
      </c>
      <c r="L24" t="inlineStr">
        <is>
          <t>3 Oktober 2026</t>
        </is>
      </c>
      <c r="M24" t="inlineStr">
        <is>
          <t>Konstruksi Gedung Hunian</t>
        </is>
      </c>
      <c r="N24" t="inlineStr">
        <is>
          <t>K</t>
        </is>
      </c>
      <c r="O24" t="inlineStr">
        <is>
          <t>20230926</t>
        </is>
      </c>
      <c r="P24" t="inlineStr">
        <is>
          <t>Sumatera Utara</t>
        </is>
      </c>
      <c r="Q24" t="inlineStr"/>
    </row>
    <row r="25">
      <c r="A25" t="inlineStr">
        <is>
          <t>ANINDO KARYA</t>
        </is>
      </c>
      <c r="B25" t="inlineStr">
        <is>
          <t>Kota Palu</t>
        </is>
      </c>
      <c r="C25" t="inlineStr">
        <is>
          <t>082110474396</t>
        </is>
      </c>
      <c r="D25" t="inlineStr">
        <is>
          <t>anindo.karya@gmail.com</t>
        </is>
      </c>
      <c r="E25" t="inlineStr">
        <is>
          <t>https://lpjk.pu.go.id/search-badan-usaha-detail/Mm9xL3ppUFB4NVhZTnVEQVhadVd1dz09</t>
        </is>
      </c>
      <c r="F25" t="n">
        <v>1</v>
      </c>
      <c r="G25" t="inlineStr">
        <is>
          <t>BG002</t>
        </is>
      </c>
      <c r="H25" t="inlineStr">
        <is>
          <t>30 Desember 2019</t>
        </is>
      </c>
      <c r="I25" s="2" t="n">
        <v>46298</v>
      </c>
      <c r="J25" t="inlineStr">
        <is>
          <t>Disetujui</t>
        </is>
      </c>
      <c r="K25" t="n">
        <v>60</v>
      </c>
      <c r="L25" t="inlineStr">
        <is>
          <t>3 Oktober 2026</t>
        </is>
      </c>
      <c r="M25" t="inlineStr">
        <is>
          <t>Konstruksi Gedung Perkantoran</t>
        </is>
      </c>
      <c r="N25" t="inlineStr">
        <is>
          <t>K</t>
        </is>
      </c>
      <c r="O25" t="inlineStr">
        <is>
          <t>20231002</t>
        </is>
      </c>
      <c r="P25" t="inlineStr">
        <is>
          <t>Sulawesi Tengah</t>
        </is>
      </c>
      <c r="Q25" t="inlineStr"/>
    </row>
    <row r="26">
      <c r="A26" t="inlineStr">
        <is>
          <t>ANUGERAH JAYA REJEKI</t>
        </is>
      </c>
      <c r="B26" t="inlineStr">
        <is>
          <t>Kota Cirebon</t>
        </is>
      </c>
      <c r="C26" t="inlineStr">
        <is>
          <t>081223460995</t>
        </is>
      </c>
      <c r="D26" t="inlineStr">
        <is>
          <t>Jayawongz@yahoo.com</t>
        </is>
      </c>
      <c r="E26" t="inlineStr">
        <is>
          <t>https://lpjk.pu.go.id/search-badan-usaha-detail/N1hTQ3I2VUlVQVJSNlNWaFd1UlFQQT09</t>
        </is>
      </c>
      <c r="F26" t="n">
        <v>1</v>
      </c>
      <c r="G26" t="inlineStr">
        <is>
          <t>BS001</t>
        </is>
      </c>
      <c r="H26" t="inlineStr">
        <is>
          <t>18 Februari 2021</t>
        </is>
      </c>
      <c r="I26" s="2" t="n">
        <v>46298</v>
      </c>
      <c r="J26" t="inlineStr">
        <is>
          <t>Pencabutan</t>
        </is>
      </c>
      <c r="K26" t="n">
        <v>60</v>
      </c>
      <c r="L26" t="inlineStr">
        <is>
          <t>3 Oktober 2026</t>
        </is>
      </c>
      <c r="M26" t="inlineStr">
        <is>
          <t>Konstruksi Bangunan Sipil Jalan</t>
        </is>
      </c>
      <c r="N26" t="inlineStr">
        <is>
          <t>K</t>
        </is>
      </c>
      <c r="O26" t="inlineStr">
        <is>
          <t>20230927</t>
        </is>
      </c>
      <c r="P26" t="inlineStr">
        <is>
          <t>Jawa Barat</t>
        </is>
      </c>
      <c r="Q26" t="inlineStr"/>
    </row>
    <row r="27">
      <c r="A27" t="inlineStr">
        <is>
          <t>ANUGERAH PINANG</t>
        </is>
      </c>
      <c r="B27" t="inlineStr">
        <is>
          <t>Kota Pekanbaru</t>
        </is>
      </c>
      <c r="C27" t="inlineStr">
        <is>
          <t>081358787873</t>
        </is>
      </c>
      <c r="D27" t="inlineStr">
        <is>
          <t>anugerah_pinang@yahoo.co.id</t>
        </is>
      </c>
      <c r="E27" t="inlineStr">
        <is>
          <t>https://lpjk.pu.go.id/search-badan-usaha-detail/YjBmSHVwNGVCTk1zb1pQU3hVVXRqZz09</t>
        </is>
      </c>
      <c r="F27" t="n">
        <v>2</v>
      </c>
      <c r="G27" t="inlineStr">
        <is>
          <t>BS001, BS002</t>
        </is>
      </c>
      <c r="H27" t="inlineStr">
        <is>
          <t>7 September 2006</t>
        </is>
      </c>
      <c r="I27" s="2" t="n">
        <v>46298</v>
      </c>
      <c r="J27" t="inlineStr">
        <is>
          <t>Disetujui</t>
        </is>
      </c>
      <c r="K27" t="n">
        <v>60</v>
      </c>
      <c r="L27" t="inlineStr">
        <is>
          <t>3 Oktober 2026</t>
        </is>
      </c>
      <c r="M27" t="inlineStr">
        <is>
          <t>Bangunan Sipil Jembatan, Jalan Layang, Fly Over, dan Underpass, Konstruksi Bangunan Sipil Jalan</t>
        </is>
      </c>
      <c r="N27" t="inlineStr">
        <is>
          <t>K</t>
        </is>
      </c>
      <c r="O27" t="inlineStr">
        <is>
          <t>20230920</t>
        </is>
      </c>
      <c r="P27" t="inlineStr">
        <is>
          <t>Riau</t>
        </is>
      </c>
      <c r="Q27" t="inlineStr"/>
    </row>
    <row r="28">
      <c r="A28" t="inlineStr">
        <is>
          <t>ANUGRAH FAJAR</t>
        </is>
      </c>
      <c r="B28" t="inlineStr">
        <is>
          <t>Kab. Deli Serdang</t>
        </is>
      </c>
      <c r="C28" t="inlineStr">
        <is>
          <t>08116001167</t>
        </is>
      </c>
      <c r="D28" t="inlineStr">
        <is>
          <t>anugrahfajar.pt02@gmail.com</t>
        </is>
      </c>
      <c r="E28" t="inlineStr">
        <is>
          <t>https://lpjk.pu.go.id/search-badan-usaha-detail/NzlPbzFPNzJMR0tla3YvV1NRUWZXZz09</t>
        </is>
      </c>
      <c r="F28" t="n">
        <v>6</v>
      </c>
      <c r="G28" t="inlineStr">
        <is>
          <t>BG009, BS002, BS003</t>
        </is>
      </c>
      <c r="H28" t="inlineStr">
        <is>
          <t>12 November 2008</t>
        </is>
      </c>
      <c r="I28" s="2" t="n">
        <v>46298</v>
      </c>
      <c r="J28" t="inlineStr">
        <is>
          <t>Disetujui</t>
        </is>
      </c>
      <c r="K28" t="n">
        <v>60</v>
      </c>
      <c r="L28" t="inlineStr">
        <is>
          <t>3 Oktober 2026</t>
        </is>
      </c>
      <c r="M28" t="inlineStr">
        <is>
          <t>Bangunan Sipil Jembatan, Jalan Layang, Fly Over, dan Underpass, Konstruksi Gedung Lainnya, Konstruksi Jalan Rel</t>
        </is>
      </c>
      <c r="N28" t="inlineStr">
        <is>
          <t>K</t>
        </is>
      </c>
      <c r="O28" t="inlineStr">
        <is>
          <t>20230930</t>
        </is>
      </c>
      <c r="P28" t="inlineStr">
        <is>
          <t>Sumatera Utara</t>
        </is>
      </c>
      <c r="Q28" t="inlineStr"/>
    </row>
    <row r="29">
      <c r="A29" t="inlineStr">
        <is>
          <t>AREABANGUN PUTRA SEJATI</t>
        </is>
      </c>
      <c r="B29" t="inlineStr">
        <is>
          <t>Kota Bandung</t>
        </is>
      </c>
      <c r="C29" t="inlineStr">
        <is>
          <t>0227831989</t>
        </is>
      </c>
      <c r="D29" t="inlineStr">
        <is>
          <t>areabps@yahoo.com.sg</t>
        </is>
      </c>
      <c r="E29" t="inlineStr">
        <is>
          <t>https://lpjk.pu.go.id/search-badan-usaha-detail/bU5vM0ptU1dIZ0F5ZDJzblZ3aTNUUT09</t>
        </is>
      </c>
      <c r="F29" t="n">
        <v>1</v>
      </c>
      <c r="G29" t="inlineStr">
        <is>
          <t>BS010</t>
        </is>
      </c>
      <c r="H29" t="inlineStr">
        <is>
          <t>15 Februari 1996</t>
        </is>
      </c>
      <c r="I29" s="2" t="n">
        <v>46298</v>
      </c>
      <c r="J29" t="inlineStr">
        <is>
          <t>Disetujui</t>
        </is>
      </c>
      <c r="K29" t="n">
        <v>60</v>
      </c>
      <c r="L29" t="inlineStr">
        <is>
          <t>3 Oktober 2026</t>
        </is>
      </c>
      <c r="M29" t="inlineStr">
        <is>
          <t>Konstruksi Bangunan Prasarana Sumber Daya Air</t>
        </is>
      </c>
      <c r="N29" t="inlineStr">
        <is>
          <t>M</t>
        </is>
      </c>
      <c r="O29" t="inlineStr">
        <is>
          <t>20230921</t>
        </is>
      </c>
      <c r="P29" t="inlineStr">
        <is>
          <t>Jawa Barat</t>
        </is>
      </c>
      <c r="Q29" t="inlineStr"/>
    </row>
    <row r="30">
      <c r="A30" t="inlineStr">
        <is>
          <t>ARIESTA KENCANA</t>
        </is>
      </c>
      <c r="B30" t="inlineStr">
        <is>
          <t>Kab. Halmahera Tengah</t>
        </is>
      </c>
      <c r="C30" t="inlineStr">
        <is>
          <t>08114323822</t>
        </is>
      </c>
      <c r="D30" t="inlineStr">
        <is>
          <t>kencanaariesta@gmail.com</t>
        </is>
      </c>
      <c r="E30" t="inlineStr">
        <is>
          <t>https://lpjk.pu.go.id/search-badan-usaha-detail/N2UraGE5T1BlTzB4K2ZxU2xscGdOZz09</t>
        </is>
      </c>
      <c r="F30" t="n">
        <v>6</v>
      </c>
      <c r="G30" t="inlineStr">
        <is>
          <t>BG005, BG006</t>
        </is>
      </c>
      <c r="H30" t="inlineStr">
        <is>
          <t>2 November 2000</t>
        </is>
      </c>
      <c r="I30" s="2" t="n">
        <v>46298</v>
      </c>
      <c r="J30" t="inlineStr">
        <is>
          <t>Disetujui</t>
        </is>
      </c>
      <c r="K30" t="n">
        <v>60</v>
      </c>
      <c r="L30" t="inlineStr">
        <is>
          <t>3 Oktober 2026</t>
        </is>
      </c>
      <c r="M30" t="inlineStr">
        <is>
          <t>Konstruksi Gedung Kesehatan, Konstruksi Gedung Pendidikan</t>
        </is>
      </c>
      <c r="N30" t="inlineStr">
        <is>
          <t>K</t>
        </is>
      </c>
      <c r="O30" t="inlineStr">
        <is>
          <t>20230926</t>
        </is>
      </c>
      <c r="P30" t="inlineStr">
        <is>
          <t>Maluku Utara</t>
        </is>
      </c>
      <c r="Q30" t="inlineStr"/>
    </row>
    <row r="31">
      <c r="A31" t="inlineStr">
        <is>
          <t>ASRI PRIMA</t>
        </is>
      </c>
      <c r="B31" t="inlineStr">
        <is>
          <t>Kota Malang</t>
        </is>
      </c>
      <c r="C31" t="inlineStr">
        <is>
          <t>085233321368</t>
        </is>
      </c>
      <c r="D31" t="inlineStr">
        <is>
          <t>sindiohsindioh@yahoo.com</t>
        </is>
      </c>
      <c r="E31" t="inlineStr">
        <is>
          <t>https://lpjk.pu.go.id/search-badan-usaha-detail/L1Mwam5UMjRQNlRxNkFUb3NTdkM3Zz09</t>
        </is>
      </c>
      <c r="F31" t="n">
        <v>1</v>
      </c>
      <c r="G31" t="inlineStr">
        <is>
          <t>BG009</t>
        </is>
      </c>
      <c r="H31" t="inlineStr">
        <is>
          <t>24 April 2013</t>
        </is>
      </c>
      <c r="I31" s="2" t="n">
        <v>46298</v>
      </c>
      <c r="J31" t="inlineStr">
        <is>
          <t>Disetujui</t>
        </is>
      </c>
      <c r="K31" t="n">
        <v>60</v>
      </c>
      <c r="L31" t="inlineStr">
        <is>
          <t>3 Oktober 2026</t>
        </is>
      </c>
      <c r="M31" t="inlineStr">
        <is>
          <t>Konstruksi Gedung Lainnya</t>
        </is>
      </c>
      <c r="N31" t="inlineStr">
        <is>
          <t>K</t>
        </is>
      </c>
      <c r="O31" t="inlineStr">
        <is>
          <t>20230921</t>
        </is>
      </c>
      <c r="P31" t="inlineStr">
        <is>
          <t>Jawa Timur</t>
        </is>
      </c>
      <c r="Q31" t="inlineStr"/>
    </row>
    <row r="32">
      <c r="A32" t="inlineStr">
        <is>
          <t>AZKIA BERKATAMA</t>
        </is>
      </c>
      <c r="B32" t="inlineStr">
        <is>
          <t>Kab. Banyumas</t>
        </is>
      </c>
      <c r="C32" t="inlineStr">
        <is>
          <t>08157979181</t>
        </is>
      </c>
      <c r="D32" t="inlineStr">
        <is>
          <t>cvazkiaberkatama@gmail.com</t>
        </is>
      </c>
      <c r="E32" t="inlineStr">
        <is>
          <t>https://lpjk.pu.go.id/search-badan-usaha-detail/ZVZpVzNGMHFsKzRreGNMR3dmZ3NoZz09</t>
        </is>
      </c>
      <c r="F32" t="n">
        <v>2</v>
      </c>
      <c r="G32" t="inlineStr">
        <is>
          <t>BG005, BS001</t>
        </is>
      </c>
      <c r="H32" t="inlineStr">
        <is>
          <t>9 Oktober 2014</t>
        </is>
      </c>
      <c r="I32" s="2" t="n">
        <v>46298</v>
      </c>
      <c r="J32" t="inlineStr">
        <is>
          <t>Disetujui</t>
        </is>
      </c>
      <c r="K32" t="n">
        <v>60</v>
      </c>
      <c r="L32" t="inlineStr">
        <is>
          <t>3 Oktober 2026</t>
        </is>
      </c>
      <c r="M32" t="inlineStr">
        <is>
          <t>Konstruksi Bangunan Sipil Jalan, Konstruksi Gedung Kesehatan</t>
        </is>
      </c>
      <c r="N32" t="inlineStr">
        <is>
          <t>K</t>
        </is>
      </c>
      <c r="O32" t="inlineStr">
        <is>
          <t>20230927</t>
        </is>
      </c>
      <c r="P32" t="inlineStr">
        <is>
          <t>Jawa Tengah</t>
        </is>
      </c>
      <c r="Q32" t="inlineStr"/>
    </row>
    <row r="33">
      <c r="A33" t="inlineStr">
        <is>
          <t>BAMA PERKASA</t>
        </is>
      </c>
      <c r="B33" t="inlineStr">
        <is>
          <t>Kab. Magetan</t>
        </is>
      </c>
      <c r="C33" t="inlineStr">
        <is>
          <t>08983441169</t>
        </is>
      </c>
      <c r="D33" t="inlineStr">
        <is>
          <t>bama_perkasa@yahoo.com</t>
        </is>
      </c>
      <c r="E33" t="inlineStr">
        <is>
          <t>https://lpjk.pu.go.id/search-badan-usaha-detail/eExhUmFrajdwMndnZ0liT2lucENhUT09</t>
        </is>
      </c>
      <c r="F33" t="n">
        <v>1</v>
      </c>
      <c r="G33" t="inlineStr">
        <is>
          <t>BG009</t>
        </is>
      </c>
      <c r="H33" t="inlineStr">
        <is>
          <t>11 Juni 1997</t>
        </is>
      </c>
      <c r="I33" s="2" t="n">
        <v>46298</v>
      </c>
      <c r="J33" t="inlineStr">
        <is>
          <t>Disetujui</t>
        </is>
      </c>
      <c r="K33" t="n">
        <v>60</v>
      </c>
      <c r="L33" t="inlineStr">
        <is>
          <t>3 Oktober 2026</t>
        </is>
      </c>
      <c r="M33" t="inlineStr">
        <is>
          <t>Konstruksi Gedung Lainnya</t>
        </is>
      </c>
      <c r="N33" t="inlineStr">
        <is>
          <t>K</t>
        </is>
      </c>
      <c r="O33" t="inlineStr">
        <is>
          <t>20231002</t>
        </is>
      </c>
      <c r="P33" t="inlineStr">
        <is>
          <t>Jawa Timur</t>
        </is>
      </c>
      <c r="Q33" t="inlineStr"/>
    </row>
    <row r="34">
      <c r="A34" t="inlineStr">
        <is>
          <t>BARA BERKAH KONSTRUKSI</t>
        </is>
      </c>
      <c r="B34" t="inlineStr">
        <is>
          <t>Kab. Banjarnegara</t>
        </is>
      </c>
      <c r="C34" t="inlineStr">
        <is>
          <t>085327078104</t>
        </is>
      </c>
      <c r="D34" t="inlineStr">
        <is>
          <t>cvbaraberkahkonstruksi@gmail.com</t>
        </is>
      </c>
      <c r="E34" t="inlineStr">
        <is>
          <t>https://lpjk.pu.go.id/search-badan-usaha-detail/OVdIZGZmWUxPRlFhemZRQmJxL3hVQT09</t>
        </is>
      </c>
      <c r="F34" t="n">
        <v>2</v>
      </c>
      <c r="G34" t="inlineStr">
        <is>
          <t>BG009</t>
        </is>
      </c>
      <c r="H34" t="inlineStr">
        <is>
          <t>28 Oktober 2022</t>
        </is>
      </c>
      <c r="I34" s="2" t="n">
        <v>46298</v>
      </c>
      <c r="J34" t="inlineStr">
        <is>
          <t>Disetujui</t>
        </is>
      </c>
      <c r="K34" t="n">
        <v>60</v>
      </c>
      <c r="L34" t="inlineStr">
        <is>
          <t>3 Oktober 2026</t>
        </is>
      </c>
      <c r="M34" t="inlineStr">
        <is>
          <t>Konstruksi Gedung Lainnya</t>
        </is>
      </c>
      <c r="N34" t="inlineStr">
        <is>
          <t>K</t>
        </is>
      </c>
      <c r="O34" t="inlineStr">
        <is>
          <t>20231002</t>
        </is>
      </c>
      <c r="P34" t="inlineStr">
        <is>
          <t>Jawa Tengah</t>
        </is>
      </c>
      <c r="Q34" t="inlineStr"/>
    </row>
    <row r="35">
      <c r="A35" t="inlineStr">
        <is>
          <t>BERKAH PUTERA BAHRAN</t>
        </is>
      </c>
      <c r="B35" t="inlineStr">
        <is>
          <t>Kota Balikpapan</t>
        </is>
      </c>
      <c r="C35" t="inlineStr">
        <is>
          <t>081256662388</t>
        </is>
      </c>
      <c r="D35" t="inlineStr">
        <is>
          <t>bpb_borneo@yahoo.com</t>
        </is>
      </c>
      <c r="E35" t="inlineStr">
        <is>
          <t>https://lpjk.pu.go.id/search-badan-usaha-detail/ZWpITGk0dTh4cFJrMUM5TXN5N1E3UT09</t>
        </is>
      </c>
      <c r="F35" t="n">
        <v>2</v>
      </c>
      <c r="G35" t="inlineStr">
        <is>
          <t>BS004</t>
        </is>
      </c>
      <c r="H35" t="inlineStr">
        <is>
          <t>12 Mei 2014</t>
        </is>
      </c>
      <c r="I35" s="2" t="n">
        <v>46298</v>
      </c>
      <c r="J35" t="inlineStr">
        <is>
          <t>Disetujui</t>
        </is>
      </c>
      <c r="K35" t="n">
        <v>60</v>
      </c>
      <c r="L35" t="inlineStr">
        <is>
          <t>3 Oktober 2026</t>
        </is>
      </c>
      <c r="M35" t="inlineStr">
        <is>
          <t>Konstruksi Jaringan Irigasi dan Drainase</t>
        </is>
      </c>
      <c r="N35" t="inlineStr">
        <is>
          <t>K</t>
        </is>
      </c>
      <c r="O35" t="inlineStr">
        <is>
          <t>20230927</t>
        </is>
      </c>
      <c r="P35" t="inlineStr">
        <is>
          <t>Kalimantan Timur</t>
        </is>
      </c>
      <c r="Q35" t="inlineStr"/>
    </row>
    <row r="36">
      <c r="A36" t="inlineStr">
        <is>
          <t>BERKAT ABAH BERKAT MAMA</t>
        </is>
      </c>
      <c r="B36" t="inlineStr">
        <is>
          <t>Kota Banjarbaru</t>
        </is>
      </c>
      <c r="C36" t="inlineStr">
        <is>
          <t>081257048989</t>
        </is>
      </c>
      <c r="D36" t="inlineStr">
        <is>
          <t>cv.berkatabahmama@gmal.com</t>
        </is>
      </c>
      <c r="E36" t="inlineStr">
        <is>
          <t>https://lpjk.pu.go.id/search-badan-usaha-detail/TVNEOFE4SVJDRm4zNHNDaXFRTE1pdz09</t>
        </is>
      </c>
      <c r="F36" t="n">
        <v>6</v>
      </c>
      <c r="G36" t="inlineStr">
        <is>
          <t>BG005, BG006, BG009</t>
        </is>
      </c>
      <c r="H36" t="inlineStr">
        <is>
          <t>21 September 2023</t>
        </is>
      </c>
      <c r="I36" s="2" t="n">
        <v>46298</v>
      </c>
      <c r="J36" t="inlineStr">
        <is>
          <t>Disetujui</t>
        </is>
      </c>
      <c r="K36" t="n">
        <v>60</v>
      </c>
      <c r="L36" t="inlineStr">
        <is>
          <t>3 Oktober 2026</t>
        </is>
      </c>
      <c r="M36" t="inlineStr">
        <is>
          <t>Konstruksi Gedung Kesehatan, Konstruksi Gedung Lainnya, Konstruksi Gedung Pendidikan</t>
        </is>
      </c>
      <c r="N36" t="inlineStr">
        <is>
          <t>K</t>
        </is>
      </c>
      <c r="O36" t="inlineStr">
        <is>
          <t>20231003, 20231004</t>
        </is>
      </c>
      <c r="P36" t="inlineStr">
        <is>
          <t>Kalimantan Selatan</t>
        </is>
      </c>
      <c r="Q36" t="inlineStr"/>
    </row>
    <row r="37">
      <c r="A37" t="inlineStr">
        <is>
          <t>BERLIAN BERKAH MANDIRI</t>
        </is>
      </c>
      <c r="B37" t="inlineStr">
        <is>
          <t>Kota Bandung</t>
        </is>
      </c>
      <c r="C37" t="inlineStr">
        <is>
          <t>081321438617</t>
        </is>
      </c>
      <c r="D37" t="inlineStr">
        <is>
          <t>berlianberkahmandiri@gmail.com</t>
        </is>
      </c>
      <c r="E37" t="inlineStr">
        <is>
          <t>https://lpjk.pu.go.id/search-badan-usaha-detail/dVRycVFOeW92UlRZY0xXdmp3a3VxQT09</t>
        </is>
      </c>
      <c r="F37" t="n">
        <v>4</v>
      </c>
      <c r="G37" t="inlineStr">
        <is>
          <t>BG002, BG005, BG006, BG009</t>
        </is>
      </c>
      <c r="H37" t="inlineStr">
        <is>
          <t>20 Desember 2018</t>
        </is>
      </c>
      <c r="I37" s="2" t="n">
        <v>46298</v>
      </c>
      <c r="J37" t="inlineStr">
        <is>
          <t>Disetujui</t>
        </is>
      </c>
      <c r="K37" t="n">
        <v>60</v>
      </c>
      <c r="L37" t="inlineStr">
        <is>
          <t>3 Oktober 2026</t>
        </is>
      </c>
      <c r="M37" t="inlineStr">
        <is>
          <t>Konstruksi Gedung Kesehatan, Konstruksi Gedung Lainnya, Konstruksi Gedung Pendidikan, Konstruksi Gedung Perkantoran</t>
        </is>
      </c>
      <c r="N37" t="inlineStr">
        <is>
          <t>K</t>
        </is>
      </c>
      <c r="O37" t="inlineStr">
        <is>
          <t>20230930</t>
        </is>
      </c>
      <c r="P37" t="inlineStr">
        <is>
          <t>Jawa Barat</t>
        </is>
      </c>
      <c r="Q37" t="inlineStr"/>
    </row>
    <row r="38">
      <c r="A38" t="inlineStr">
        <is>
          <t>BIMA MADIUN</t>
        </is>
      </c>
      <c r="B38" t="inlineStr">
        <is>
          <t>Kab. Madiun</t>
        </is>
      </c>
      <c r="C38" t="inlineStr">
        <is>
          <t>-</t>
        </is>
      </c>
      <c r="D38" t="inlineStr">
        <is>
          <t>cv.bimamadiun@yahoo.co.id</t>
        </is>
      </c>
      <c r="E38" t="inlineStr">
        <is>
          <t>https://lpjk.pu.go.id/search-badan-usaha-detail/a3BYTTFscGZjT1pLUkk4ZVNUdnI1UT09</t>
        </is>
      </c>
      <c r="F38" t="n">
        <v>3</v>
      </c>
      <c r="G38" t="inlineStr">
        <is>
          <t>BG004, BG005, BS003</t>
        </is>
      </c>
      <c r="H38" t="inlineStr">
        <is>
          <t>19 April 2000</t>
        </is>
      </c>
      <c r="I38" s="2" t="n">
        <v>46298</v>
      </c>
      <c r="J38" t="inlineStr">
        <is>
          <t>Disetujui</t>
        </is>
      </c>
      <c r="K38" t="n">
        <v>60</v>
      </c>
      <c r="L38" t="inlineStr">
        <is>
          <t>3 Oktober 2026</t>
        </is>
      </c>
      <c r="M38" t="inlineStr">
        <is>
          <t>Konstruksi Gedung Kesehatan, Konstruksi Gedung Perbelanjaan, Konstruksi Jalan Rel</t>
        </is>
      </c>
      <c r="N38" t="inlineStr">
        <is>
          <t>K</t>
        </is>
      </c>
      <c r="O38" t="inlineStr">
        <is>
          <t>20230928, 20230930, 20231001</t>
        </is>
      </c>
      <c r="P38" t="inlineStr">
        <is>
          <t>Jawa Timur</t>
        </is>
      </c>
      <c r="Q38" t="inlineStr"/>
    </row>
    <row r="39">
      <c r="A39" t="inlineStr">
        <is>
          <t>BIMA SAKTI</t>
        </is>
      </c>
      <c r="B39" t="inlineStr">
        <is>
          <t>Kab. Tuban</t>
        </is>
      </c>
      <c r="C39" t="inlineStr">
        <is>
          <t>0356320123</t>
        </is>
      </c>
      <c r="D39" t="inlineStr">
        <is>
          <t>cv_bimasakti_tuban@yahoo.com</t>
        </is>
      </c>
      <c r="E39" t="inlineStr">
        <is>
          <t>https://lpjk.pu.go.id/search-badan-usaha-detail/MHVNanlWKzdvS2Z1UnNCdE5xMmtjUT09</t>
        </is>
      </c>
      <c r="F39" t="n">
        <v>1</v>
      </c>
      <c r="G39" t="inlineStr">
        <is>
          <t>BS005</t>
        </is>
      </c>
      <c r="H39" t="inlineStr">
        <is>
          <t>14 September 1991</t>
        </is>
      </c>
      <c r="I39" s="2" t="n">
        <v>46298</v>
      </c>
      <c r="J39" t="inlineStr">
        <is>
          <t>Disetujui</t>
        </is>
      </c>
      <c r="K39" t="n">
        <v>60</v>
      </c>
      <c r="L39" t="inlineStr">
        <is>
          <t>3 Oktober 2026</t>
        </is>
      </c>
      <c r="M39" t="inlineStr">
        <is>
          <t>Konstruksi Bangunan Sipil Pengolahan Air Bersih</t>
        </is>
      </c>
      <c r="N39" t="inlineStr">
        <is>
          <t>K</t>
        </is>
      </c>
      <c r="O39" t="inlineStr">
        <is>
          <t>20230929</t>
        </is>
      </c>
      <c r="P39" t="inlineStr">
        <is>
          <t>Jawa Timur</t>
        </is>
      </c>
      <c r="Q39" t="inlineStr"/>
    </row>
    <row r="40">
      <c r="A40" t="inlineStr">
        <is>
          <t>BINA KARYA</t>
        </is>
      </c>
      <c r="B40" t="inlineStr">
        <is>
          <t>Kab. Jember</t>
        </is>
      </c>
      <c r="C40" t="inlineStr">
        <is>
          <t>03314350125</t>
        </is>
      </c>
      <c r="D40" t="inlineStr">
        <is>
          <t>kbina20.cv@gmail.com</t>
        </is>
      </c>
      <c r="E40" t="inlineStr">
        <is>
          <t>https://lpjk.pu.go.id/search-badan-usaha-detail/WWdWclhkdFBTcTR3dGpPZ0VlTDFqZz09</t>
        </is>
      </c>
      <c r="F40" t="n">
        <v>1</v>
      </c>
      <c r="G40" t="inlineStr">
        <is>
          <t>BS004</t>
        </is>
      </c>
      <c r="H40" t="inlineStr">
        <is>
          <t>19 Oktober 1971</t>
        </is>
      </c>
      <c r="I40" s="2" t="n">
        <v>46298</v>
      </c>
      <c r="J40" t="inlineStr">
        <is>
          <t>Disetujui</t>
        </is>
      </c>
      <c r="K40" t="n">
        <v>60</v>
      </c>
      <c r="L40" t="inlineStr">
        <is>
          <t>3 Oktober 2026</t>
        </is>
      </c>
      <c r="M40" t="inlineStr">
        <is>
          <t>Konstruksi Jaringan Irigasi dan Drainase</t>
        </is>
      </c>
      <c r="N40" t="inlineStr">
        <is>
          <t>K</t>
        </is>
      </c>
      <c r="O40" t="inlineStr">
        <is>
          <t>20230926</t>
        </is>
      </c>
      <c r="P40" t="inlineStr">
        <is>
          <t>Jawa Timur</t>
        </is>
      </c>
      <c r="Q40" t="inlineStr"/>
    </row>
    <row r="41">
      <c r="A41" t="inlineStr">
        <is>
          <t>BINA TEKNIK INDONESIA</t>
        </is>
      </c>
      <c r="B41" t="inlineStr">
        <is>
          <t>Kota Denpasar</t>
        </is>
      </c>
      <c r="C41" t="inlineStr">
        <is>
          <t>081246592205</t>
        </is>
      </c>
      <c r="D41" t="inlineStr">
        <is>
          <t>binateknikindonesia@gmail.com</t>
        </is>
      </c>
      <c r="E41" t="inlineStr">
        <is>
          <t>https://lpjk.pu.go.id/search-badan-usaha-detail/a3g3NnlRNC9LdzR6TDk3TDZ1WW85QT09</t>
        </is>
      </c>
      <c r="F41" t="n">
        <v>1</v>
      </c>
      <c r="G41" t="inlineStr">
        <is>
          <t>BG009</t>
        </is>
      </c>
      <c r="H41" t="inlineStr">
        <is>
          <t>1 Januari 2018</t>
        </is>
      </c>
      <c r="I41" s="2" t="n">
        <v>46298</v>
      </c>
      <c r="J41" t="inlineStr">
        <is>
          <t>Disetujui</t>
        </is>
      </c>
      <c r="K41" t="n">
        <v>60</v>
      </c>
      <c r="L41" t="inlineStr">
        <is>
          <t>3 Oktober 2026</t>
        </is>
      </c>
      <c r="M41" t="inlineStr">
        <is>
          <t>Konstruksi Gedung Lainnya</t>
        </is>
      </c>
      <c r="N41" t="inlineStr">
        <is>
          <t>K</t>
        </is>
      </c>
      <c r="O41" t="inlineStr">
        <is>
          <t>20230920</t>
        </is>
      </c>
      <c r="P41" t="inlineStr">
        <is>
          <t>Bali</t>
        </is>
      </c>
      <c r="Q41" t="inlineStr"/>
    </row>
    <row r="42">
      <c r="A42" t="inlineStr">
        <is>
          <t>BINA USAHA ABADI</t>
        </is>
      </c>
      <c r="B42" t="inlineStr">
        <is>
          <t>Kab. Ketapang</t>
        </is>
      </c>
      <c r="C42" t="inlineStr">
        <is>
          <t>08125731663</t>
        </is>
      </c>
      <c r="D42" t="inlineStr">
        <is>
          <t>pt.binausahaabadi@yahoo.co.id</t>
        </is>
      </c>
      <c r="E42" t="inlineStr">
        <is>
          <t>https://lpjk.pu.go.id/search-badan-usaha-detail/dVUrTk1LYUcvYzllaWl5bjRrd2pFZz09</t>
        </is>
      </c>
      <c r="F42" t="n">
        <v>1</v>
      </c>
      <c r="G42" t="inlineStr">
        <is>
          <t>BG003</t>
        </is>
      </c>
      <c r="H42" t="inlineStr">
        <is>
          <t>25 September 2008</t>
        </is>
      </c>
      <c r="I42" s="2" t="n">
        <v>46298</v>
      </c>
      <c r="J42" t="inlineStr">
        <is>
          <t>Disetujui</t>
        </is>
      </c>
      <c r="K42" t="n">
        <v>60</v>
      </c>
      <c r="L42" t="inlineStr">
        <is>
          <t>3 Oktober 2026</t>
        </is>
      </c>
      <c r="M42" t="inlineStr">
        <is>
          <t>Konstruksi Gedung Industri</t>
        </is>
      </c>
      <c r="N42" t="inlineStr">
        <is>
          <t>K</t>
        </is>
      </c>
      <c r="O42" t="inlineStr">
        <is>
          <t>20230919</t>
        </is>
      </c>
      <c r="P42" t="inlineStr">
        <is>
          <t>Kalimantan Barat</t>
        </is>
      </c>
      <c r="Q42" t="inlineStr"/>
    </row>
    <row r="43">
      <c r="A43" t="inlineStr">
        <is>
          <t>BUDI INDAH INTI PERKASA</t>
        </is>
      </c>
      <c r="B43" t="inlineStr">
        <is>
          <t>Kab. Siak</t>
        </is>
      </c>
      <c r="C43" t="inlineStr">
        <is>
          <t>085363366121</t>
        </is>
      </c>
      <c r="D43" t="inlineStr">
        <is>
          <t>pt.biip@yahoo.com</t>
        </is>
      </c>
      <c r="E43" t="inlineStr">
        <is>
          <t>https://lpjk.pu.go.id/search-badan-usaha-detail/RThqamlDMHY0Y1Z1aGJweWxrY21rZz09</t>
        </is>
      </c>
      <c r="F43" t="n">
        <v>1</v>
      </c>
      <c r="G43" t="inlineStr">
        <is>
          <t>BS004</t>
        </is>
      </c>
      <c r="H43" t="inlineStr">
        <is>
          <t>15 September 2022</t>
        </is>
      </c>
      <c r="I43" s="2" t="n">
        <v>46298</v>
      </c>
      <c r="J43" t="inlineStr">
        <is>
          <t>Disetujui</t>
        </is>
      </c>
      <c r="K43" t="n">
        <v>60</v>
      </c>
      <c r="L43" t="inlineStr">
        <is>
          <t>3 Oktober 2026</t>
        </is>
      </c>
      <c r="M43" t="inlineStr">
        <is>
          <t>Konstruksi Jaringan Irigasi dan Drainase</t>
        </is>
      </c>
      <c r="N43" t="inlineStr">
        <is>
          <t>K</t>
        </is>
      </c>
      <c r="O43" t="inlineStr">
        <is>
          <t>20231004</t>
        </is>
      </c>
      <c r="P43" t="inlineStr">
        <is>
          <t>Riau</t>
        </is>
      </c>
      <c r="Q43" t="inlineStr"/>
    </row>
    <row r="44">
      <c r="A44" t="inlineStr">
        <is>
          <t>BUDI MULIA</t>
        </is>
      </c>
      <c r="B44" t="inlineStr">
        <is>
          <t>Kab. Merangin</t>
        </is>
      </c>
      <c r="C44" t="inlineStr">
        <is>
          <t>085320700049</t>
        </is>
      </c>
      <c r="D44" t="inlineStr">
        <is>
          <t>sehsamad1@gmail.com</t>
        </is>
      </c>
      <c r="E44" t="inlineStr">
        <is>
          <t>https://lpjk.pu.go.id/search-badan-usaha-detail/K1hiajhPTzRYTFNnZ2c3ZlNzckRUZz09</t>
        </is>
      </c>
      <c r="F44" t="n">
        <v>1</v>
      </c>
      <c r="G44" t="inlineStr">
        <is>
          <t>BG009</t>
        </is>
      </c>
      <c r="H44" t="inlineStr">
        <is>
          <t>30 Juni 2001</t>
        </is>
      </c>
      <c r="I44" s="2" t="n">
        <v>46298</v>
      </c>
      <c r="J44" t="inlineStr">
        <is>
          <t>Disetujui</t>
        </is>
      </c>
      <c r="K44" t="n">
        <v>60</v>
      </c>
      <c r="L44" t="inlineStr">
        <is>
          <t>3 Oktober 2026</t>
        </is>
      </c>
      <c r="M44" t="inlineStr">
        <is>
          <t>Konstruksi Gedung Lainnya</t>
        </is>
      </c>
      <c r="N44" t="inlineStr">
        <is>
          <t>K</t>
        </is>
      </c>
      <c r="O44" t="inlineStr">
        <is>
          <t>20230930</t>
        </is>
      </c>
      <c r="P44" t="inlineStr">
        <is>
          <t>Jambi</t>
        </is>
      </c>
      <c r="Q44" t="inlineStr"/>
    </row>
    <row r="45">
      <c r="A45" t="inlineStr">
        <is>
          <t>BUKIT MAS INDONESIA</t>
        </is>
      </c>
      <c r="B45" t="inlineStr">
        <is>
          <t>Kota Adm. Jakarta Selatan</t>
        </is>
      </c>
      <c r="C45" t="inlineStr">
        <is>
          <t>0215393142</t>
        </is>
      </c>
      <c r="D45" t="inlineStr">
        <is>
          <t>ptbukitmasindonesia@gmail.com</t>
        </is>
      </c>
      <c r="E45" t="inlineStr">
        <is>
          <t>https://lpjk.pu.go.id/search-badan-usaha-detail/ZldnMFJycDY5czcyKzlDN3ZucXg1UT09</t>
        </is>
      </c>
      <c r="F45" t="n">
        <v>1</v>
      </c>
      <c r="G45" t="inlineStr">
        <is>
          <t>BG003</t>
        </is>
      </c>
      <c r="H45" t="inlineStr">
        <is>
          <t>12 Februari 2016</t>
        </is>
      </c>
      <c r="I45" s="2" t="n">
        <v>46298</v>
      </c>
      <c r="J45" t="inlineStr">
        <is>
          <t>Pembekuan</t>
        </is>
      </c>
      <c r="K45" t="n">
        <v>60</v>
      </c>
      <c r="L45" t="inlineStr">
        <is>
          <t>3 Oktober 2026</t>
        </is>
      </c>
      <c r="M45" t="inlineStr">
        <is>
          <t>Konstruksi Gedung Industri</t>
        </is>
      </c>
      <c r="N45" t="inlineStr">
        <is>
          <t>B</t>
        </is>
      </c>
      <c r="O45" t="inlineStr">
        <is>
          <t>20230927</t>
        </is>
      </c>
      <c r="P45" t="inlineStr">
        <is>
          <t>DKI Jakarta</t>
        </is>
      </c>
      <c r="Q45" t="inlineStr"/>
    </row>
    <row r="46">
      <c r="A46" t="inlineStr">
        <is>
          <t>BUMI ANUGRAH</t>
        </is>
      </c>
      <c r="B46" t="inlineStr">
        <is>
          <t>Kab. Purwakarta</t>
        </is>
      </c>
      <c r="C46" t="inlineStr">
        <is>
          <t>08128047352</t>
        </is>
      </c>
      <c r="D46" t="inlineStr">
        <is>
          <t>cv.bumianugrahpwk@gmail.com</t>
        </is>
      </c>
      <c r="E46" t="inlineStr">
        <is>
          <t>https://lpjk.pu.go.id/search-badan-usaha-detail/Yzh5NXN2enhDdkxxNEI5NWFQSDZMUT09</t>
        </is>
      </c>
      <c r="F46" t="n">
        <v>2</v>
      </c>
      <c r="G46" t="inlineStr">
        <is>
          <t>BG001, BG006</t>
        </is>
      </c>
      <c r="H46" t="inlineStr">
        <is>
          <t>10 Oktober 2018</t>
        </is>
      </c>
      <c r="I46" s="2" t="n">
        <v>46298</v>
      </c>
      <c r="J46" t="inlineStr">
        <is>
          <t>Disetujui</t>
        </is>
      </c>
      <c r="K46" t="n">
        <v>60</v>
      </c>
      <c r="L46" t="inlineStr">
        <is>
          <t>3 Oktober 2026</t>
        </is>
      </c>
      <c r="M46" t="inlineStr">
        <is>
          <t>Konstruksi Gedung Hunian, Konstruksi Gedung Pendidikan</t>
        </is>
      </c>
      <c r="N46" t="inlineStr">
        <is>
          <t>K</t>
        </is>
      </c>
      <c r="O46" t="inlineStr">
        <is>
          <t>20230929</t>
        </is>
      </c>
      <c r="P46" t="inlineStr">
        <is>
          <t>Jawa Barat</t>
        </is>
      </c>
      <c r="Q46" t="inlineStr"/>
    </row>
    <row r="47">
      <c r="A47" t="inlineStr">
        <is>
          <t>BUMI PASUNDAN</t>
        </is>
      </c>
      <c r="B47" t="inlineStr">
        <is>
          <t>Kota Sukabumi</t>
        </is>
      </c>
      <c r="C47" t="inlineStr">
        <is>
          <t>085214039550</t>
        </is>
      </c>
      <c r="D47" t="inlineStr">
        <is>
          <t>cvbumipasundan@gmail.com</t>
        </is>
      </c>
      <c r="E47" t="inlineStr">
        <is>
          <t>https://lpjk.pu.go.id/search-badan-usaha-detail/dzZzMXZ0bDR0cWhTdlRLOGJXa295QT09</t>
        </is>
      </c>
      <c r="F47" t="n">
        <v>4</v>
      </c>
      <c r="G47" t="inlineStr">
        <is>
          <t>BG002, BG005, BG008, BS001</t>
        </is>
      </c>
      <c r="H47" t="inlineStr">
        <is>
          <t>27 April 2009</t>
        </is>
      </c>
      <c r="I47" s="2" t="n">
        <v>46298</v>
      </c>
      <c r="J47" t="inlineStr">
        <is>
          <t>Disetujui</t>
        </is>
      </c>
      <c r="K47" t="n">
        <v>60</v>
      </c>
      <c r="L47" t="inlineStr">
        <is>
          <t>3 Oktober 2026</t>
        </is>
      </c>
      <c r="M47" t="inlineStr">
        <is>
          <t>Konstruksi Bangunan Sipil Jalan, Konstruksi Gedung Kesehatan, Konstruksi Gedung Perkantoran, Konstruksi Gedung Tempat Hiburan dan Olahraga</t>
        </is>
      </c>
      <c r="N47" t="inlineStr">
        <is>
          <t>K</t>
        </is>
      </c>
      <c r="O47" t="inlineStr">
        <is>
          <t>20230904, 20230928</t>
        </is>
      </c>
      <c r="P47" t="inlineStr">
        <is>
          <t>Jawa Barat</t>
        </is>
      </c>
      <c r="Q47" t="inlineStr"/>
    </row>
    <row r="48">
      <c r="A48" t="inlineStr">
        <is>
          <t>BUMI RAHAYU</t>
        </is>
      </c>
      <c r="B48" t="inlineStr">
        <is>
          <t>Kab. Blitar</t>
        </is>
      </c>
      <c r="C48" t="inlineStr">
        <is>
          <t>082231313945</t>
        </is>
      </c>
      <c r="D48" t="inlineStr">
        <is>
          <t>bumirahayu.cv01@gmail.com</t>
        </is>
      </c>
      <c r="E48" t="inlineStr">
        <is>
          <t>https://lpjk.pu.go.id/search-badan-usaha-detail/eHQzbjFKclB6dGFra2ViZURFNVhtdz09</t>
        </is>
      </c>
      <c r="F48" t="n">
        <v>1</v>
      </c>
      <c r="G48" t="inlineStr">
        <is>
          <t>BS005</t>
        </is>
      </c>
      <c r="H48" t="inlineStr">
        <is>
          <t>1 Agustus 2017</t>
        </is>
      </c>
      <c r="I48" s="2" t="n">
        <v>46298</v>
      </c>
      <c r="J48" t="inlineStr">
        <is>
          <t>Disetujui</t>
        </is>
      </c>
      <c r="K48" t="n">
        <v>60</v>
      </c>
      <c r="L48" t="inlineStr">
        <is>
          <t>3 Oktober 2026</t>
        </is>
      </c>
      <c r="M48" t="inlineStr">
        <is>
          <t>Konstruksi Bangunan Sipil Pengolahan Air Bersih</t>
        </is>
      </c>
      <c r="N48" t="inlineStr">
        <is>
          <t>K</t>
        </is>
      </c>
      <c r="O48" t="inlineStr">
        <is>
          <t>20231004</t>
        </is>
      </c>
      <c r="P48" t="inlineStr">
        <is>
          <t>Jawa Timur</t>
        </is>
      </c>
      <c r="Q48" t="inlineStr"/>
    </row>
    <row r="49">
      <c r="A49" t="inlineStr">
        <is>
          <t>CAHAYA GEMILANG</t>
        </is>
      </c>
      <c r="B49" t="inlineStr">
        <is>
          <t>Kab. Lombok Barat</t>
        </is>
      </c>
      <c r="C49" t="inlineStr">
        <is>
          <t>081933151274</t>
        </is>
      </c>
      <c r="D49" t="inlineStr">
        <is>
          <t>cvcahayagemilang09@gmail.com</t>
        </is>
      </c>
      <c r="E49" t="inlineStr">
        <is>
          <t>https://lpjk.pu.go.id/search-badan-usaha-detail/U0h2WXZZQlhHR1pkQzR3QlIzM1F5dz09</t>
        </is>
      </c>
      <c r="F49" t="n">
        <v>1</v>
      </c>
      <c r="G49" t="inlineStr">
        <is>
          <t>BG006</t>
        </is>
      </c>
      <c r="H49" t="inlineStr">
        <is>
          <t>6 September 2023</t>
        </is>
      </c>
      <c r="I49" s="2" t="n">
        <v>46298</v>
      </c>
      <c r="J49" t="inlineStr">
        <is>
          <t>Disetujui</t>
        </is>
      </c>
      <c r="K49" t="n">
        <v>60</v>
      </c>
      <c r="L49" t="inlineStr">
        <is>
          <t>3 Oktober 2026</t>
        </is>
      </c>
      <c r="M49" t="inlineStr">
        <is>
          <t>Konstruksi Gedung Pendidikan</t>
        </is>
      </c>
      <c r="N49" t="inlineStr">
        <is>
          <t>K</t>
        </is>
      </c>
      <c r="O49" t="inlineStr">
        <is>
          <t>20230925</t>
        </is>
      </c>
      <c r="P49" t="inlineStr">
        <is>
          <t>Nusa Tenggara Barat</t>
        </is>
      </c>
      <c r="Q49" t="inlineStr"/>
    </row>
    <row r="50">
      <c r="A50" t="inlineStr">
        <is>
          <t>CAKRAWALA</t>
        </is>
      </c>
      <c r="B50" t="inlineStr">
        <is>
          <t>Kab. Tuban</t>
        </is>
      </c>
      <c r="C50" t="inlineStr">
        <is>
          <t>N/A</t>
        </is>
      </c>
      <c r="D50" t="inlineStr">
        <is>
          <t>N/A</t>
        </is>
      </c>
      <c r="E50" t="inlineStr">
        <is>
          <t>https://lpjk.pu.go.id/search-badan-usaha-detail/QTVXckNCOTlNY0VIWk5jTUgyYXg3QT09</t>
        </is>
      </c>
      <c r="F50" t="n">
        <v>1</v>
      </c>
      <c r="G50" t="inlineStr">
        <is>
          <t>BS004</t>
        </is>
      </c>
      <c r="H50" t="inlineStr"/>
      <c r="I50" s="2" t="n">
        <v>46298</v>
      </c>
      <c r="J50" t="inlineStr">
        <is>
          <t>Disetujui</t>
        </is>
      </c>
      <c r="K50" t="n">
        <v>60</v>
      </c>
      <c r="L50" t="inlineStr">
        <is>
          <t>3 Oktober 2026</t>
        </is>
      </c>
      <c r="M50" t="inlineStr">
        <is>
          <t>Konstruksi Jaringan Irigasi dan Drainase</t>
        </is>
      </c>
      <c r="N50" t="inlineStr">
        <is>
          <t>K</t>
        </is>
      </c>
      <c r="O50" t="inlineStr">
        <is>
          <t>20230927</t>
        </is>
      </c>
      <c r="P50" t="inlineStr">
        <is>
          <t>Jawa Timur</t>
        </is>
      </c>
      <c r="Q50" t="inlineStr"/>
    </row>
    <row r="51">
      <c r="A51" t="inlineStr">
        <is>
          <t>CANDI BENTAR KARYA</t>
        </is>
      </c>
      <c r="B51" t="inlineStr">
        <is>
          <t>Kota Denpasar</t>
        </is>
      </c>
      <c r="C51" t="inlineStr">
        <is>
          <t>081238823209</t>
        </is>
      </c>
      <c r="D51" t="inlineStr">
        <is>
          <t>Candibentarkarya8@yahoo.com</t>
        </is>
      </c>
      <c r="E51" t="inlineStr">
        <is>
          <t>https://lpjk.pu.go.id/search-badan-usaha-detail/R1U2azhXZDJLTHBidDdKMERtVy82QT09</t>
        </is>
      </c>
      <c r="F51" t="n">
        <v>6</v>
      </c>
      <c r="G51" t="inlineStr">
        <is>
          <t>BG002, BG005, BG006</t>
        </is>
      </c>
      <c r="H51" t="inlineStr">
        <is>
          <t>23 Agustus 2023</t>
        </is>
      </c>
      <c r="I51" s="2" t="n">
        <v>46298</v>
      </c>
      <c r="J51" t="inlineStr">
        <is>
          <t>Pencabutan</t>
        </is>
      </c>
      <c r="K51" t="n">
        <v>60</v>
      </c>
      <c r="L51" t="inlineStr">
        <is>
          <t>3 Oktober 2026</t>
        </is>
      </c>
      <c r="M51" t="inlineStr">
        <is>
          <t>Konstruksi Gedung Kesehatan, Konstruksi Gedung Pendidikan, Konstruksi Gedung Perkantoran</t>
        </is>
      </c>
      <c r="N51" t="inlineStr">
        <is>
          <t>K</t>
        </is>
      </c>
      <c r="O51" t="inlineStr">
        <is>
          <t>20231003</t>
        </is>
      </c>
      <c r="P51" t="inlineStr">
        <is>
          <t>Bali</t>
        </is>
      </c>
      <c r="Q51" t="inlineStr"/>
    </row>
    <row r="52">
      <c r="A52" t="inlineStr">
        <is>
          <t>CATUR GUNA KARYA</t>
        </is>
      </c>
      <c r="B52" t="inlineStr">
        <is>
          <t>Kab. Cilacap</t>
        </is>
      </c>
      <c r="C52" t="inlineStr">
        <is>
          <t>0282 546634</t>
        </is>
      </c>
      <c r="D52" t="inlineStr">
        <is>
          <t>cv.caturgunakarya@gmail.com</t>
        </is>
      </c>
      <c r="E52" t="inlineStr">
        <is>
          <t>https://lpjk.pu.go.id/search-badan-usaha-detail/VDVBaFE5U0cxbTJVWjlFaWFIbVdNQT09</t>
        </is>
      </c>
      <c r="F52" t="n">
        <v>1</v>
      </c>
      <c r="G52" t="inlineStr">
        <is>
          <t>BG005</t>
        </is>
      </c>
      <c r="H52" t="inlineStr">
        <is>
          <t>7 Februari 1990</t>
        </is>
      </c>
      <c r="I52" s="2" t="n">
        <v>46298</v>
      </c>
      <c r="J52" t="inlineStr">
        <is>
          <t>Disetujui</t>
        </is>
      </c>
      <c r="K52" t="n">
        <v>60</v>
      </c>
      <c r="L52" t="inlineStr">
        <is>
          <t>3 Oktober 2026</t>
        </is>
      </c>
      <c r="M52" t="inlineStr">
        <is>
          <t>Konstruksi Gedung Kesehatan</t>
        </is>
      </c>
      <c r="N52" t="inlineStr">
        <is>
          <t>K</t>
        </is>
      </c>
      <c r="O52" t="inlineStr">
        <is>
          <t>20230906</t>
        </is>
      </c>
      <c r="P52" t="inlineStr">
        <is>
          <t>Jawa Tengah</t>
        </is>
      </c>
      <c r="Q52" t="inlineStr"/>
    </row>
    <row r="53">
      <c r="A53" t="inlineStr">
        <is>
          <t>CIPTA HANDAL</t>
        </is>
      </c>
      <c r="B53" t="inlineStr">
        <is>
          <t>Kota Palembang</t>
        </is>
      </c>
      <c r="C53" t="inlineStr">
        <is>
          <t>085380821279</t>
        </is>
      </c>
      <c r="D53" t="inlineStr">
        <is>
          <t>cvciptahandal@gmail.com</t>
        </is>
      </c>
      <c r="E53" t="inlineStr">
        <is>
          <t>https://lpjk.pu.go.id/search-badan-usaha-detail/b2w5NW1tbU1raGlxZTJwYUllQnVkZz09</t>
        </is>
      </c>
      <c r="F53" t="n">
        <v>15</v>
      </c>
      <c r="G53" t="inlineStr">
        <is>
          <t>BG006, BG009</t>
        </is>
      </c>
      <c r="H53" t="inlineStr">
        <is>
          <t>1 September 2022</t>
        </is>
      </c>
      <c r="I53" s="2" t="n">
        <v>46298</v>
      </c>
      <c r="J53" t="inlineStr">
        <is>
          <t>Disetujui</t>
        </is>
      </c>
      <c r="K53" t="n">
        <v>60</v>
      </c>
      <c r="L53" t="inlineStr">
        <is>
          <t>3 Oktober 2026</t>
        </is>
      </c>
      <c r="M53" t="inlineStr">
        <is>
          <t>Konstruksi Gedung Lainnya, Konstruksi Gedung Pendidikan</t>
        </is>
      </c>
      <c r="N53" t="inlineStr">
        <is>
          <t>K</t>
        </is>
      </c>
      <c r="O53" t="inlineStr">
        <is>
          <t>20230927, 20231002</t>
        </is>
      </c>
      <c r="P53" t="inlineStr">
        <is>
          <t>Sumatera Selatan</t>
        </is>
      </c>
      <c r="Q53" t="inlineStr"/>
    </row>
    <row r="54">
      <c r="A54" t="inlineStr">
        <is>
          <t>CIPTA KARYA MANDIRI</t>
        </is>
      </c>
      <c r="B54" t="inlineStr">
        <is>
          <t>Kota Surabaya</t>
        </is>
      </c>
      <c r="C54" t="inlineStr">
        <is>
          <t>0318275181</t>
        </is>
      </c>
      <c r="D54" t="inlineStr">
        <is>
          <t>meisunarko@rocketmail.com</t>
        </is>
      </c>
      <c r="E54" t="inlineStr">
        <is>
          <t>https://lpjk.pu.go.id/search-badan-usaha-detail/MlpvR1RJYklqWWRaU296UFM5bDMrZz09</t>
        </is>
      </c>
      <c r="F54" t="n">
        <v>2</v>
      </c>
      <c r="G54" t="inlineStr">
        <is>
          <t>BS012</t>
        </is>
      </c>
      <c r="H54" t="inlineStr">
        <is>
          <t>8 Januari 2003</t>
        </is>
      </c>
      <c r="I54" s="2" t="n">
        <v>46298</v>
      </c>
      <c r="J54" t="inlineStr">
        <is>
          <t>Disetujui</t>
        </is>
      </c>
      <c r="K54" t="n">
        <v>60</v>
      </c>
      <c r="L54" t="inlineStr">
        <is>
          <t>3 Oktober 2026</t>
        </is>
      </c>
      <c r="M54" t="inlineStr">
        <is>
          <t>Konstruksi Bangunan Pelabuhan Perikanan</t>
        </is>
      </c>
      <c r="N54" t="inlineStr">
        <is>
          <t>K</t>
        </is>
      </c>
      <c r="O54" t="inlineStr">
        <is>
          <t>20231004</t>
        </is>
      </c>
      <c r="P54" t="inlineStr">
        <is>
          <t>Jawa Timur</t>
        </is>
      </c>
      <c r="Q54" t="inlineStr"/>
    </row>
    <row r="55">
      <c r="A55" t="inlineStr">
        <is>
          <t>CIPTA PURNAMA KONSTRUKSINDO</t>
        </is>
      </c>
      <c r="B55" t="inlineStr">
        <is>
          <t>Kab. Sragen</t>
        </is>
      </c>
      <c r="C55" t="inlineStr">
        <is>
          <t>085642085761</t>
        </is>
      </c>
      <c r="D55" t="inlineStr">
        <is>
          <t>cipurnakontruksindo@gmail.com</t>
        </is>
      </c>
      <c r="E55" t="inlineStr">
        <is>
          <t>https://lpjk.pu.go.id/search-badan-usaha-detail/SzlEc1gzUk5KVU1GV2FiYVIraTVFZz09</t>
        </is>
      </c>
      <c r="F55" t="n">
        <v>3</v>
      </c>
      <c r="G55" t="inlineStr">
        <is>
          <t>BG001</t>
        </is>
      </c>
      <c r="H55" t="inlineStr">
        <is>
          <t>19 Desember 2022</t>
        </is>
      </c>
      <c r="I55" s="2" t="n">
        <v>46298</v>
      </c>
      <c r="J55" t="inlineStr">
        <is>
          <t>Disetujui</t>
        </is>
      </c>
      <c r="K55" t="n">
        <v>60</v>
      </c>
      <c r="L55" t="inlineStr">
        <is>
          <t>3 Oktober 2026</t>
        </is>
      </c>
      <c r="M55" t="inlineStr">
        <is>
          <t>Konstruksi Gedung Hunian</t>
        </is>
      </c>
      <c r="N55" t="inlineStr">
        <is>
          <t>K</t>
        </is>
      </c>
      <c r="O55" t="inlineStr">
        <is>
          <t>20230106</t>
        </is>
      </c>
      <c r="P55" t="inlineStr">
        <is>
          <t>Jawa Tengah</t>
        </is>
      </c>
      <c r="Q55" t="inlineStr"/>
    </row>
    <row r="56">
      <c r="A56" t="inlineStr">
        <is>
          <t>CITRA MANDIRI</t>
        </is>
      </c>
      <c r="B56" t="inlineStr">
        <is>
          <t>Kota Palembang</t>
        </is>
      </c>
      <c r="C56" t="inlineStr">
        <is>
          <t>0895336704812</t>
        </is>
      </c>
      <c r="D56" t="inlineStr">
        <is>
          <t>cvcitram@gmail.com</t>
        </is>
      </c>
      <c r="E56" t="inlineStr">
        <is>
          <t>https://lpjk.pu.go.id/search-badan-usaha-detail/RjZ4WDZKek9CRmxhM1piQ21lMDRVQT09</t>
        </is>
      </c>
      <c r="F56" t="n">
        <v>1</v>
      </c>
      <c r="G56" t="inlineStr">
        <is>
          <t>BS001</t>
        </is>
      </c>
      <c r="H56" t="inlineStr">
        <is>
          <t>17 Desember 2010</t>
        </is>
      </c>
      <c r="I56" s="2" t="n">
        <v>46298</v>
      </c>
      <c r="J56" t="inlineStr">
        <is>
          <t>Disetujui</t>
        </is>
      </c>
      <c r="K56" t="n">
        <v>60</v>
      </c>
      <c r="L56" t="inlineStr">
        <is>
          <t>3 Oktober 2026</t>
        </is>
      </c>
      <c r="M56" t="inlineStr">
        <is>
          <t>Konstruksi Bangunan Sipil Jalan</t>
        </is>
      </c>
      <c r="N56" t="inlineStr">
        <is>
          <t>K</t>
        </is>
      </c>
      <c r="O56" t="inlineStr">
        <is>
          <t>20231004</t>
        </is>
      </c>
      <c r="P56" t="inlineStr">
        <is>
          <t>Sumatera Selatan</t>
        </is>
      </c>
      <c r="Q56" t="inlineStr"/>
    </row>
    <row r="57">
      <c r="A57" t="inlineStr">
        <is>
          <t>CITRA MANDIRI KARYA</t>
        </is>
      </c>
      <c r="B57" t="inlineStr">
        <is>
          <t>Kab. Klaten</t>
        </is>
      </c>
      <c r="C57" t="inlineStr">
        <is>
          <t>081329173876</t>
        </is>
      </c>
      <c r="D57" t="inlineStr">
        <is>
          <t>cvcitramandiri99@gmail.com</t>
        </is>
      </c>
      <c r="E57" t="inlineStr">
        <is>
          <t>https://lpjk.pu.go.id/search-badan-usaha-detail/b2tMVDluWHd1SWE5WHFOTEtnZXNHZz09</t>
        </is>
      </c>
      <c r="F57" t="n">
        <v>1</v>
      </c>
      <c r="G57" t="inlineStr">
        <is>
          <t>BG006</t>
        </is>
      </c>
      <c r="H57" t="inlineStr">
        <is>
          <t>31 Juli 2007</t>
        </is>
      </c>
      <c r="I57" s="2" t="n">
        <v>46298</v>
      </c>
      <c r="J57" t="inlineStr">
        <is>
          <t>Disetujui</t>
        </is>
      </c>
      <c r="K57" t="n">
        <v>60</v>
      </c>
      <c r="L57" t="inlineStr">
        <is>
          <t>3 Oktober 2026</t>
        </is>
      </c>
      <c r="M57" t="inlineStr">
        <is>
          <t>Konstruksi Gedung Pendidikan</t>
        </is>
      </c>
      <c r="N57" t="inlineStr">
        <is>
          <t>K</t>
        </is>
      </c>
      <c r="O57" t="inlineStr">
        <is>
          <t>20231003</t>
        </is>
      </c>
      <c r="P57" t="inlineStr">
        <is>
          <t>Jawa Tengah</t>
        </is>
      </c>
      <c r="Q57" t="inlineStr"/>
    </row>
    <row r="58">
      <c r="A58" t="inlineStr">
        <is>
          <t>CITRA PERKASA</t>
        </is>
      </c>
      <c r="B58" t="inlineStr">
        <is>
          <t>Kab. Kulon Progo</t>
        </is>
      </c>
      <c r="C58" t="inlineStr">
        <is>
          <t>081215540298</t>
        </is>
      </c>
      <c r="D58" t="inlineStr">
        <is>
          <t>ervinsofiana77@gmail.com</t>
        </is>
      </c>
      <c r="E58" t="inlineStr">
        <is>
          <t>https://lpjk.pu.go.id/search-badan-usaha-detail/UHo2VlkwazIvRkJCTFBNclpjOFYwQT09</t>
        </is>
      </c>
      <c r="F58" t="n">
        <v>2</v>
      </c>
      <c r="G58" t="inlineStr">
        <is>
          <t>BG006, BG009</t>
        </is>
      </c>
      <c r="H58" t="inlineStr">
        <is>
          <t>22 Juni 2011</t>
        </is>
      </c>
      <c r="I58" s="2" t="n">
        <v>46298</v>
      </c>
      <c r="J58" t="inlineStr">
        <is>
          <t>Disetujui</t>
        </is>
      </c>
      <c r="K58" t="n">
        <v>60</v>
      </c>
      <c r="L58" t="inlineStr">
        <is>
          <t>3 Oktober 2026</t>
        </is>
      </c>
      <c r="M58" t="inlineStr">
        <is>
          <t>Konstruksi Gedung Lainnya, Konstruksi Gedung Pendidikan</t>
        </is>
      </c>
      <c r="N58" t="inlineStr">
        <is>
          <t>K</t>
        </is>
      </c>
      <c r="O58" t="inlineStr">
        <is>
          <t>20230803, 20231003</t>
        </is>
      </c>
      <c r="P58" t="inlineStr">
        <is>
          <t>DI Yogyakarta</t>
        </is>
      </c>
      <c r="Q58" t="inlineStr"/>
    </row>
    <row r="59">
      <c r="A59" t="inlineStr">
        <is>
          <t>DANIAL RAKHIS KONTRAKTOR</t>
        </is>
      </c>
      <c r="B59" t="inlineStr">
        <is>
          <t>Kab. Purwakarta</t>
        </is>
      </c>
      <c r="C59" t="inlineStr">
        <is>
          <t>0</t>
        </is>
      </c>
      <c r="D59" t="inlineStr">
        <is>
          <t>danialrakhis.akbar@gmail.com</t>
        </is>
      </c>
      <c r="E59" t="inlineStr">
        <is>
          <t>https://lpjk.pu.go.id/search-badan-usaha-detail/V0JITzI5NVBqcVVRWFVwREVacHJVdz09</t>
        </is>
      </c>
      <c r="F59" t="n">
        <v>1</v>
      </c>
      <c r="G59" t="inlineStr">
        <is>
          <t>BS005</t>
        </is>
      </c>
      <c r="H59" t="inlineStr">
        <is>
          <t>7 Oktober 2020</t>
        </is>
      </c>
      <c r="I59" s="2" t="n">
        <v>46298</v>
      </c>
      <c r="J59" t="inlineStr">
        <is>
          <t>Disetujui</t>
        </is>
      </c>
      <c r="K59" t="n">
        <v>60</v>
      </c>
      <c r="L59" t="inlineStr">
        <is>
          <t>3 Oktober 2026</t>
        </is>
      </c>
      <c r="M59" t="inlineStr">
        <is>
          <t>Konstruksi Bangunan Sipil Pengolahan Air Bersih</t>
        </is>
      </c>
      <c r="N59" t="inlineStr">
        <is>
          <t>K</t>
        </is>
      </c>
      <c r="O59" t="inlineStr">
        <is>
          <t>20230929</t>
        </is>
      </c>
      <c r="P59" t="inlineStr">
        <is>
          <t>Jawa Barat</t>
        </is>
      </c>
      <c r="Q59" t="inlineStr"/>
    </row>
    <row r="60">
      <c r="A60" t="inlineStr">
        <is>
          <t>DANISWARA KARYA</t>
        </is>
      </c>
      <c r="B60" t="inlineStr">
        <is>
          <t>Kab. Gowa</t>
        </is>
      </c>
      <c r="C60" t="inlineStr">
        <is>
          <t>N/A</t>
        </is>
      </c>
      <c r="D60" t="inlineStr">
        <is>
          <t>N/A</t>
        </is>
      </c>
      <c r="E60" t="inlineStr">
        <is>
          <t>https://lpjk.pu.go.id/search-badan-usaha-detail/MDJ5elNWLy9vRUlEL1RKMUNhTjRHZz09</t>
        </is>
      </c>
      <c r="F60" t="n">
        <v>3</v>
      </c>
      <c r="G60" t="inlineStr">
        <is>
          <t>BG001, BG002, BG009</t>
        </is>
      </c>
      <c r="H60" t="inlineStr"/>
      <c r="I60" s="2" t="n">
        <v>46298</v>
      </c>
      <c r="J60" t="inlineStr">
        <is>
          <t>Disetujui</t>
        </is>
      </c>
      <c r="K60" t="n">
        <v>60</v>
      </c>
      <c r="L60" t="inlineStr">
        <is>
          <t>3 Oktober 2026</t>
        </is>
      </c>
      <c r="M60" t="inlineStr">
        <is>
          <t>Konstruksi Gedung Hunian, Konstruksi Gedung Lainnya, Konstruksi Gedung Perkantoran</t>
        </is>
      </c>
      <c r="N60" t="inlineStr">
        <is>
          <t>K</t>
        </is>
      </c>
      <c r="O60" t="inlineStr">
        <is>
          <t>20231003</t>
        </is>
      </c>
      <c r="P60" t="inlineStr">
        <is>
          <t>Sulawesi Selatan</t>
        </is>
      </c>
      <c r="Q60" t="inlineStr"/>
    </row>
    <row r="61">
      <c r="A61" t="inlineStr">
        <is>
          <t>DAYA CIPTA IDAMAN</t>
        </is>
      </c>
      <c r="B61" t="inlineStr">
        <is>
          <t>Kota Adm. Jakarta Utara</t>
        </is>
      </c>
      <c r="C61" t="inlineStr">
        <is>
          <t>02164715001</t>
        </is>
      </c>
      <c r="D61" t="inlineStr">
        <is>
          <t>pt_dayaciptaidaman@yahoo.co.id</t>
        </is>
      </c>
      <c r="E61" t="inlineStr">
        <is>
          <t>https://lpjk.pu.go.id/search-badan-usaha-detail/QmZIVjFBa2hEMFVhV3ZjTEprRFRTUT09</t>
        </is>
      </c>
      <c r="F61" t="n">
        <v>1</v>
      </c>
      <c r="G61" t="inlineStr">
        <is>
          <t>BG001</t>
        </is>
      </c>
      <c r="H61" t="inlineStr">
        <is>
          <t>2 Oktober 1985</t>
        </is>
      </c>
      <c r="I61" s="2" t="n">
        <v>46298</v>
      </c>
      <c r="J61" t="inlineStr">
        <is>
          <t>Disetujui</t>
        </is>
      </c>
      <c r="K61" t="n">
        <v>60</v>
      </c>
      <c r="L61" t="inlineStr">
        <is>
          <t>3 Oktober 2026</t>
        </is>
      </c>
      <c r="M61" t="inlineStr">
        <is>
          <t>Konstruksi Gedung Hunian</t>
        </is>
      </c>
      <c r="N61" t="inlineStr">
        <is>
          <t>K</t>
        </is>
      </c>
      <c r="O61" t="inlineStr">
        <is>
          <t>20230926</t>
        </is>
      </c>
      <c r="P61" t="inlineStr">
        <is>
          <t>DKI Jakarta</t>
        </is>
      </c>
      <c r="Q61" t="inlineStr"/>
    </row>
    <row r="62">
      <c r="A62" t="inlineStr">
        <is>
          <t>DIKA S.A.E KONSULTAN</t>
        </is>
      </c>
      <c r="B62" t="inlineStr">
        <is>
          <t>Kota Pekanbaru</t>
        </is>
      </c>
      <c r="C62" t="inlineStr">
        <is>
          <t>085275470890</t>
        </is>
      </c>
      <c r="D62" t="inlineStr">
        <is>
          <t>cvdikasae1410@gmail.com</t>
        </is>
      </c>
      <c r="E62" t="inlineStr">
        <is>
          <t>https://lpjk.pu.go.id/search-badan-usaha-detail/TEloZk1xMVFNMG90QitWdGdKNnJvdz09</t>
        </is>
      </c>
      <c r="F62" t="n">
        <v>1</v>
      </c>
      <c r="G62" t="inlineStr">
        <is>
          <t>RK003</t>
        </is>
      </c>
      <c r="H62" t="inlineStr">
        <is>
          <t>22 Juni 2012</t>
        </is>
      </c>
      <c r="I62" s="2" t="n">
        <v>46298</v>
      </c>
      <c r="J62" t="inlineStr">
        <is>
          <t>Pencabutan</t>
        </is>
      </c>
      <c r="K62" t="n">
        <v>60</v>
      </c>
      <c r="L62" t="inlineStr">
        <is>
          <t>3 Oktober 2026</t>
        </is>
      </c>
      <c r="M62" t="inlineStr">
        <is>
          <t>Jasa Rekayasa Pekerjaan Teknik Sipil Transportasi</t>
        </is>
      </c>
      <c r="N62" t="inlineStr">
        <is>
          <t>K</t>
        </is>
      </c>
      <c r="O62" t="inlineStr">
        <is>
          <t>20230925</t>
        </is>
      </c>
      <c r="P62" t="inlineStr">
        <is>
          <t>Riau</t>
        </is>
      </c>
      <c r="Q62" t="inlineStr"/>
    </row>
    <row r="63">
      <c r="A63" t="inlineStr">
        <is>
          <t>DINAMIKA NUSANTARA</t>
        </is>
      </c>
      <c r="B63" t="inlineStr">
        <is>
          <t>Kab. Lombok Tengah</t>
        </is>
      </c>
      <c r="C63" t="inlineStr">
        <is>
          <t>081809238312</t>
        </is>
      </c>
      <c r="D63" t="inlineStr">
        <is>
          <t>dinamikanusantara.cv@gmail.com</t>
        </is>
      </c>
      <c r="E63" t="inlineStr">
        <is>
          <t>https://lpjk.pu.go.id/search-badan-usaha-detail/bTF5TjgwNGprZ0NkUU55U2JxTGxxdz09</t>
        </is>
      </c>
      <c r="F63" t="n">
        <v>6</v>
      </c>
      <c r="G63" t="inlineStr">
        <is>
          <t>BS004</t>
        </is>
      </c>
      <c r="H63" t="inlineStr">
        <is>
          <t>2 Juli 2014</t>
        </is>
      </c>
      <c r="I63" s="2" t="n">
        <v>46298</v>
      </c>
      <c r="J63" t="inlineStr">
        <is>
          <t>Disetujui</t>
        </is>
      </c>
      <c r="K63" t="n">
        <v>60</v>
      </c>
      <c r="L63" t="inlineStr">
        <is>
          <t>3 Oktober 2026</t>
        </is>
      </c>
      <c r="M63" t="inlineStr">
        <is>
          <t>Konstruksi Jaringan Irigasi dan Drainase</t>
        </is>
      </c>
      <c r="N63" t="inlineStr">
        <is>
          <t>K</t>
        </is>
      </c>
      <c r="O63" t="inlineStr">
        <is>
          <t>20230928</t>
        </is>
      </c>
      <c r="P63" t="inlineStr">
        <is>
          <t>Nusa Tenggara Barat</t>
        </is>
      </c>
      <c r="Q63" t="inlineStr"/>
    </row>
    <row r="64">
      <c r="A64" t="inlineStr">
        <is>
          <t>DUA PUTRI</t>
        </is>
      </c>
      <c r="B64" t="inlineStr">
        <is>
          <t>Kab. Lombok Timur</t>
        </is>
      </c>
      <c r="C64" t="inlineStr">
        <is>
          <t>087763060130</t>
        </is>
      </c>
      <c r="D64" t="inlineStr">
        <is>
          <t>duaputri257@yahoo.com</t>
        </is>
      </c>
      <c r="E64" t="inlineStr">
        <is>
          <t>https://lpjk.pu.go.id/search-badan-usaha-detail/Q3l1YzhraExTaElNd1JNUDdKRXBGQT09</t>
        </is>
      </c>
      <c r="F64" t="n">
        <v>1</v>
      </c>
      <c r="G64" t="inlineStr">
        <is>
          <t>BG009</t>
        </is>
      </c>
      <c r="H64" t="inlineStr">
        <is>
          <t>14 Februari 2013</t>
        </is>
      </c>
      <c r="I64" s="2" t="n">
        <v>46298</v>
      </c>
      <c r="J64" t="inlineStr">
        <is>
          <t>Disetujui</t>
        </is>
      </c>
      <c r="K64" t="n">
        <v>60</v>
      </c>
      <c r="L64" t="inlineStr">
        <is>
          <t>3 Oktober 2026</t>
        </is>
      </c>
      <c r="M64" t="inlineStr">
        <is>
          <t>Konstruksi Gedung Lainnya</t>
        </is>
      </c>
      <c r="N64" t="inlineStr">
        <is>
          <t>K</t>
        </is>
      </c>
      <c r="O64" t="inlineStr">
        <is>
          <t>20230912</t>
        </is>
      </c>
      <c r="P64" t="inlineStr">
        <is>
          <t>Nusa Tenggara Barat</t>
        </is>
      </c>
      <c r="Q64" t="inlineStr"/>
    </row>
    <row r="65">
      <c r="A65" t="inlineStr">
        <is>
          <t>DUA SATU PRATAMA</t>
        </is>
      </c>
      <c r="B65" t="inlineStr">
        <is>
          <t>Kab. Hulu Sungai Selatan</t>
        </is>
      </c>
      <c r="C65" t="inlineStr">
        <is>
          <t>051721341</t>
        </is>
      </c>
      <c r="D65" t="inlineStr">
        <is>
          <t>duasatupratama1@gmail.com</t>
        </is>
      </c>
      <c r="E65" t="inlineStr">
        <is>
          <t>https://lpjk.pu.go.id/search-badan-usaha-detail/Q0ptQlovSStKbWp5c2czTkVyUTJhUT09</t>
        </is>
      </c>
      <c r="F65" t="n">
        <v>3</v>
      </c>
      <c r="G65" t="inlineStr">
        <is>
          <t>BS001, BS002, BS004</t>
        </is>
      </c>
      <c r="H65" t="inlineStr">
        <is>
          <t>9 Maret 2023</t>
        </is>
      </c>
      <c r="I65" s="2" t="n">
        <v>46298</v>
      </c>
      <c r="J65" t="inlineStr">
        <is>
          <t>Disetujui</t>
        </is>
      </c>
      <c r="K65" t="n">
        <v>60</v>
      </c>
      <c r="L65" t="inlineStr">
        <is>
          <t>3 Oktober 2026</t>
        </is>
      </c>
      <c r="M65" t="inlineStr">
        <is>
          <t>Bangunan Sipil Jembatan, Jalan Layang, Fly Over, dan Underpass, Konstruksi Bangunan Sipil Jalan, Konstruksi Jaringan Irigasi dan Drainase</t>
        </is>
      </c>
      <c r="N65" t="inlineStr">
        <is>
          <t>K</t>
        </is>
      </c>
      <c r="O65" t="inlineStr">
        <is>
          <t>20231001, 20231002</t>
        </is>
      </c>
      <c r="P65" t="inlineStr">
        <is>
          <t>Kalimantan Selatan</t>
        </is>
      </c>
      <c r="Q65" t="inlineStr"/>
    </row>
    <row r="66">
      <c r="A66" t="inlineStr">
        <is>
          <t>DUTA BANGUN CIPTA</t>
        </is>
      </c>
      <c r="B66" t="inlineStr">
        <is>
          <t>Kota Surabaya</t>
        </is>
      </c>
      <c r="C66" t="inlineStr">
        <is>
          <t>081703458088</t>
        </is>
      </c>
      <c r="D66" t="inlineStr">
        <is>
          <t>dbc.projectsby@gmail.com</t>
        </is>
      </c>
      <c r="E66" t="inlineStr">
        <is>
          <t>https://lpjk.pu.go.id/search-badan-usaha-detail/M1pzZzBVd3R3b0hxaHoxN25MNUFjdz09</t>
        </is>
      </c>
      <c r="F66" t="n">
        <v>2</v>
      </c>
      <c r="G66" t="inlineStr">
        <is>
          <t>BG003, BG007</t>
        </is>
      </c>
      <c r="H66" t="inlineStr">
        <is>
          <t>11 Januari 2018</t>
        </is>
      </c>
      <c r="I66" s="2" t="n">
        <v>46298</v>
      </c>
      <c r="J66" t="inlineStr">
        <is>
          <t>Disetujui</t>
        </is>
      </c>
      <c r="K66" t="n">
        <v>60</v>
      </c>
      <c r="L66" t="inlineStr">
        <is>
          <t>3 Oktober 2026</t>
        </is>
      </c>
      <c r="M66" t="inlineStr">
        <is>
          <t>Konstruksi Gedung Industri, Konstruksi Gedung Penginapan</t>
        </is>
      </c>
      <c r="N66" t="inlineStr">
        <is>
          <t>K</t>
        </is>
      </c>
      <c r="O66" t="inlineStr">
        <is>
          <t>20230926, 20231003</t>
        </is>
      </c>
      <c r="P66" t="inlineStr">
        <is>
          <t>Jawa Timur</t>
        </is>
      </c>
      <c r="Q66" t="inlineStr"/>
    </row>
    <row r="67">
      <c r="A67" t="inlineStr">
        <is>
          <t>DWIKARYA MANDIRI</t>
        </is>
      </c>
      <c r="B67" t="inlineStr">
        <is>
          <t>Kab. Maluku Tengah</t>
        </is>
      </c>
      <c r="C67" t="inlineStr">
        <is>
          <t>081295733919</t>
        </is>
      </c>
      <c r="D67" t="inlineStr">
        <is>
          <t>dwikaryamandiri7@gmail.com</t>
        </is>
      </c>
      <c r="E67" t="inlineStr">
        <is>
          <t>https://lpjk.pu.go.id/search-badan-usaha-detail/VzVvNGVkdE10ZUdmM3puQWY2M29iQT09</t>
        </is>
      </c>
      <c r="F67" t="n">
        <v>2</v>
      </c>
      <c r="G67" t="inlineStr">
        <is>
          <t>BS010</t>
        </is>
      </c>
      <c r="H67" t="inlineStr">
        <is>
          <t>20 Oktober 2013</t>
        </is>
      </c>
      <c r="I67" s="2" t="n">
        <v>46298</v>
      </c>
      <c r="J67" t="inlineStr">
        <is>
          <t>Disetujui</t>
        </is>
      </c>
      <c r="K67" t="n">
        <v>60</v>
      </c>
      <c r="L67" t="inlineStr">
        <is>
          <t>3 Oktober 2026</t>
        </is>
      </c>
      <c r="M67" t="inlineStr">
        <is>
          <t>Konstruksi Bangunan Prasarana Sumber Daya Air</t>
        </is>
      </c>
      <c r="N67" t="inlineStr">
        <is>
          <t>K</t>
        </is>
      </c>
      <c r="O67" t="inlineStr">
        <is>
          <t>20231002</t>
        </is>
      </c>
      <c r="P67" t="inlineStr">
        <is>
          <t>Maluku</t>
        </is>
      </c>
      <c r="Q67" t="inlineStr"/>
    </row>
    <row r="68">
      <c r="A68" t="inlineStr">
        <is>
          <t>EKA JAYA BAROKAH</t>
        </is>
      </c>
      <c r="B68" t="inlineStr">
        <is>
          <t>Kab. Klaten</t>
        </is>
      </c>
      <c r="C68" t="inlineStr">
        <is>
          <t>085842788879</t>
        </is>
      </c>
      <c r="D68" t="inlineStr">
        <is>
          <t>haribrijo123@gmail.com</t>
        </is>
      </c>
      <c r="E68" t="inlineStr">
        <is>
          <t>https://lpjk.pu.go.id/search-badan-usaha-detail/elkveC9BRUQzdXNvbFkvRHFVdXI3QT09</t>
        </is>
      </c>
      <c r="F68" t="n">
        <v>2</v>
      </c>
      <c r="G68" t="inlineStr">
        <is>
          <t>BG009, BS004</t>
        </is>
      </c>
      <c r="H68" t="inlineStr">
        <is>
          <t>31 Juli 2007</t>
        </is>
      </c>
      <c r="I68" s="2" t="n">
        <v>46298</v>
      </c>
      <c r="J68" t="inlineStr">
        <is>
          <t>Disetujui</t>
        </is>
      </c>
      <c r="K68" t="n">
        <v>60</v>
      </c>
      <c r="L68" t="inlineStr">
        <is>
          <t>3 Oktober 2026</t>
        </is>
      </c>
      <c r="M68" t="inlineStr">
        <is>
          <t>Konstruksi Gedung Lainnya, Konstruksi Jaringan Irigasi dan Drainase</t>
        </is>
      </c>
      <c r="N68" t="inlineStr">
        <is>
          <t>K</t>
        </is>
      </c>
      <c r="O68" t="inlineStr">
        <is>
          <t>20230929, 20231002</t>
        </is>
      </c>
      <c r="P68" t="inlineStr">
        <is>
          <t>Jawa Tengah</t>
        </is>
      </c>
      <c r="Q68" t="inlineStr"/>
    </row>
    <row r="69">
      <c r="A69" t="inlineStr">
        <is>
          <t>FAJAR BARU MANDIRI</t>
        </is>
      </c>
      <c r="B69" t="inlineStr">
        <is>
          <t>Kota Lubuk Linggau</t>
        </is>
      </c>
      <c r="C69" t="inlineStr">
        <is>
          <t>082180099704</t>
        </is>
      </c>
      <c r="D69" t="inlineStr">
        <is>
          <t>cv.fajarbaru2020@gmail.com</t>
        </is>
      </c>
      <c r="E69" t="inlineStr">
        <is>
          <t>https://lpjk.pu.go.id/search-badan-usaha-detail/K0x6cXlLaFVNUWFUa24vREFlSUpuQT09</t>
        </is>
      </c>
      <c r="F69" t="n">
        <v>1</v>
      </c>
      <c r="G69" t="inlineStr">
        <is>
          <t>BG006</t>
        </is>
      </c>
      <c r="H69" t="inlineStr">
        <is>
          <t>19 Maret 2020</t>
        </is>
      </c>
      <c r="I69" s="2" t="n">
        <v>46298</v>
      </c>
      <c r="J69" t="inlineStr">
        <is>
          <t>Disetujui</t>
        </is>
      </c>
      <c r="K69" t="n">
        <v>60</v>
      </c>
      <c r="L69" t="inlineStr">
        <is>
          <t>3 Oktober 2026</t>
        </is>
      </c>
      <c r="M69" t="inlineStr">
        <is>
          <t>Konstruksi Gedung Pendidikan</t>
        </is>
      </c>
      <c r="N69" t="inlineStr">
        <is>
          <t>K</t>
        </is>
      </c>
      <c r="O69" t="inlineStr">
        <is>
          <t>20230929</t>
        </is>
      </c>
      <c r="P69" t="inlineStr">
        <is>
          <t>Sumatera Selatan</t>
        </is>
      </c>
      <c r="Q69" t="inlineStr"/>
    </row>
    <row r="70">
      <c r="A70" t="inlineStr">
        <is>
          <t>GANJARAN SAYUTO PUTERA</t>
        </is>
      </c>
      <c r="B70" t="inlineStr">
        <is>
          <t>Kota Banjarmasin</t>
        </is>
      </c>
      <c r="C70" t="inlineStr">
        <is>
          <t>05113273896</t>
        </is>
      </c>
      <c r="D70" t="inlineStr">
        <is>
          <t>ganjaransayutoputera@gmail.com</t>
        </is>
      </c>
      <c r="E70" t="inlineStr">
        <is>
          <t>https://lpjk.pu.go.id/search-badan-usaha-detail/VHV3QjhkR2lhMkdDNHd3SmdwbjQxdz09</t>
        </is>
      </c>
      <c r="F70" t="n">
        <v>1</v>
      </c>
      <c r="G70" t="inlineStr">
        <is>
          <t>BS010</t>
        </is>
      </c>
      <c r="H70" t="inlineStr">
        <is>
          <t>1 Maret 2007</t>
        </is>
      </c>
      <c r="I70" s="2" t="n">
        <v>46298</v>
      </c>
      <c r="J70" t="inlineStr">
        <is>
          <t>Pembekuan</t>
        </is>
      </c>
      <c r="K70" t="n">
        <v>60</v>
      </c>
      <c r="L70" t="inlineStr">
        <is>
          <t>3 Oktober 2026</t>
        </is>
      </c>
      <c r="M70" t="inlineStr">
        <is>
          <t>Konstruksi Bangunan Prasarana Sumber Daya Air</t>
        </is>
      </c>
      <c r="N70" t="inlineStr">
        <is>
          <t>M</t>
        </is>
      </c>
      <c r="O70" t="inlineStr">
        <is>
          <t>20230922</t>
        </is>
      </c>
      <c r="P70" t="inlineStr">
        <is>
          <t>Kalimantan Selatan</t>
        </is>
      </c>
      <c r="Q70" t="inlineStr"/>
    </row>
    <row r="71">
      <c r="A71" t="inlineStr">
        <is>
          <t>GARDA PERDANA SECURITY</t>
        </is>
      </c>
      <c r="B71" t="inlineStr">
        <is>
          <t>Kota Adm. Jakarta Barat</t>
        </is>
      </c>
      <c r="C71" t="inlineStr">
        <is>
          <t>02153651566</t>
        </is>
      </c>
      <c r="D71" t="inlineStr">
        <is>
          <t>mue_jkt@yahoo.com</t>
        </is>
      </c>
      <c r="E71" t="inlineStr">
        <is>
          <t>https://lpjk.pu.go.id/search-badan-usaha-detail/cEt1OHJvdFFmWnJDaUlyY0hvUG1vUT09</t>
        </is>
      </c>
      <c r="F71" t="n">
        <v>1</v>
      </c>
      <c r="G71" t="inlineStr">
        <is>
          <t>BG009</t>
        </is>
      </c>
      <c r="H71" t="inlineStr">
        <is>
          <t>11 Juni 2004</t>
        </is>
      </c>
      <c r="I71" s="2" t="n">
        <v>46298</v>
      </c>
      <c r="J71" t="inlineStr">
        <is>
          <t>Pembekuan</t>
        </is>
      </c>
      <c r="K71" t="n">
        <v>60</v>
      </c>
      <c r="L71" t="inlineStr">
        <is>
          <t>3 Oktober 2026</t>
        </is>
      </c>
      <c r="M71" t="inlineStr">
        <is>
          <t>Konstruksi Gedung Lainnya</t>
        </is>
      </c>
      <c r="N71" t="inlineStr">
        <is>
          <t>M</t>
        </is>
      </c>
      <c r="O71" t="inlineStr">
        <is>
          <t>20231003</t>
        </is>
      </c>
      <c r="P71" t="inlineStr">
        <is>
          <t>DKI Jakarta</t>
        </is>
      </c>
      <c r="Q71" t="inlineStr"/>
    </row>
    <row r="72">
      <c r="A72" t="inlineStr">
        <is>
          <t>GARUDA PRIMATAMA</t>
        </is>
      </c>
      <c r="B72" t="inlineStr">
        <is>
          <t>Kota Jambi</t>
        </is>
      </c>
      <c r="C72" t="inlineStr">
        <is>
          <t>08127103571</t>
        </is>
      </c>
      <c r="D72" t="inlineStr">
        <is>
          <t>garudaprimatama@gmail.com</t>
        </is>
      </c>
      <c r="E72" t="inlineStr">
        <is>
          <t>https://lpjk.pu.go.id/search-badan-usaha-detail/c054NFVZSHpEYmllWjB0QW00WEQyUT09</t>
        </is>
      </c>
      <c r="F72" t="n">
        <v>5</v>
      </c>
      <c r="G72" t="inlineStr">
        <is>
          <t>BG001, BG002, BG006, BG009, BS005</t>
        </is>
      </c>
      <c r="H72" t="inlineStr">
        <is>
          <t>29 Juli 2022</t>
        </is>
      </c>
      <c r="I72" s="2" t="n">
        <v>46298</v>
      </c>
      <c r="J72" t="inlineStr">
        <is>
          <t>Disetujui</t>
        </is>
      </c>
      <c r="K72" t="n">
        <v>60</v>
      </c>
      <c r="L72" t="inlineStr">
        <is>
          <t>3 Oktober 2026</t>
        </is>
      </c>
      <c r="M72" t="inlineStr">
        <is>
          <t>Konstruksi Bangunan Sipil Pengolahan Air Bersih, Konstruksi Gedung Hunian, Konstruksi Gedung Lainnya, Konstruksi Gedung Pendidikan, Konstruksi Gedung Perkantoran</t>
        </is>
      </c>
      <c r="N72" t="inlineStr">
        <is>
          <t>K</t>
        </is>
      </c>
      <c r="O72" t="inlineStr">
        <is>
          <t>20230927, 20231002</t>
        </is>
      </c>
      <c r="P72" t="inlineStr">
        <is>
          <t>Jambi</t>
        </is>
      </c>
      <c r="Q72" t="inlineStr"/>
    </row>
    <row r="73">
      <c r="A73" t="inlineStr">
        <is>
          <t>GEMILANG KONSULTAN</t>
        </is>
      </c>
      <c r="B73" t="inlineStr">
        <is>
          <t>Kab. Bulungan</t>
        </is>
      </c>
      <c r="C73" t="inlineStr">
        <is>
          <t>0822 5597 1216</t>
        </is>
      </c>
      <c r="D73" t="inlineStr">
        <is>
          <t>gemilang_konsultan@rocketmail.com</t>
        </is>
      </c>
      <c r="E73" t="inlineStr">
        <is>
          <t>https://lpjk.pu.go.id/search-badan-usaha-detail/cnBBVVQrR0MrbmY4NGJTRVlRWG50Zz09</t>
        </is>
      </c>
      <c r="F73" t="n">
        <v>1</v>
      </c>
      <c r="G73" t="inlineStr">
        <is>
          <t>AR001</t>
        </is>
      </c>
      <c r="H73" t="inlineStr">
        <is>
          <t>5 April 2002</t>
        </is>
      </c>
      <c r="I73" s="2" t="n">
        <v>46298</v>
      </c>
      <c r="J73" t="inlineStr">
        <is>
          <t>Disetujui</t>
        </is>
      </c>
      <c r="K73" t="n">
        <v>60</v>
      </c>
      <c r="L73" t="inlineStr">
        <is>
          <t>3 Oktober 2026</t>
        </is>
      </c>
      <c r="M73" t="inlineStr">
        <is>
          <t>Jasa Arsitektural Bangunan Gedung Hunian dan Non Hunian</t>
        </is>
      </c>
      <c r="N73" t="inlineStr">
        <is>
          <t>K</t>
        </is>
      </c>
      <c r="O73" t="inlineStr">
        <is>
          <t>20230919</t>
        </is>
      </c>
      <c r="P73" t="inlineStr">
        <is>
          <t>Kalimantan Utara</t>
        </is>
      </c>
      <c r="Q73" t="inlineStr"/>
    </row>
    <row r="74">
      <c r="A74" t="inlineStr">
        <is>
          <t>GENTA WIJAYA</t>
        </is>
      </c>
      <c r="B74" t="inlineStr">
        <is>
          <t>Kab. Gresik</t>
        </is>
      </c>
      <c r="C74" t="inlineStr">
        <is>
          <t>082234431617</t>
        </is>
      </c>
      <c r="D74" t="inlineStr">
        <is>
          <t>genta_wijaya@ymail.com</t>
        </is>
      </c>
      <c r="E74" t="inlineStr">
        <is>
          <t>https://lpjk.pu.go.id/search-badan-usaha-detail/ZDhiWXRlUThORXJ5dkpCMW1CZW5ndz09</t>
        </is>
      </c>
      <c r="F74" t="n">
        <v>1</v>
      </c>
      <c r="G74" t="inlineStr">
        <is>
          <t>BG009</t>
        </is>
      </c>
      <c r="H74" t="inlineStr">
        <is>
          <t>20 Februari 2003</t>
        </is>
      </c>
      <c r="I74" s="2" t="n">
        <v>46298</v>
      </c>
      <c r="J74" t="inlineStr">
        <is>
          <t>Pencabutan</t>
        </is>
      </c>
      <c r="K74" t="n">
        <v>60</v>
      </c>
      <c r="L74" t="inlineStr">
        <is>
          <t>3 Oktober 2026</t>
        </is>
      </c>
      <c r="M74" t="inlineStr">
        <is>
          <t>Konstruksi Gedung Lainnya</t>
        </is>
      </c>
      <c r="N74" t="inlineStr">
        <is>
          <t>K</t>
        </is>
      </c>
      <c r="O74" t="inlineStr">
        <is>
          <t>20230925</t>
        </is>
      </c>
      <c r="P74" t="inlineStr">
        <is>
          <t>Jawa Timur</t>
        </is>
      </c>
      <c r="Q74" t="inlineStr"/>
    </row>
    <row r="75">
      <c r="A75" t="inlineStr">
        <is>
          <t>GIGANTARA SUKSES MANDIRI RAHARJA</t>
        </is>
      </c>
      <c r="B75" t="inlineStr">
        <is>
          <t>Kab. Sidoarjo</t>
        </is>
      </c>
      <c r="C75" t="inlineStr">
        <is>
          <t>0816521971</t>
        </is>
      </c>
      <c r="D75" t="inlineStr">
        <is>
          <t>gigantara.raharja@gmail.com</t>
        </is>
      </c>
      <c r="E75" t="inlineStr">
        <is>
          <t>https://lpjk.pu.go.id/search-badan-usaha-detail/Q2c3c1QxYS9ZMTNCZG1FNWtHSEtRQT09</t>
        </is>
      </c>
      <c r="F75" t="n">
        <v>1</v>
      </c>
      <c r="G75" t="inlineStr">
        <is>
          <t>BG009</t>
        </is>
      </c>
      <c r="H75" t="inlineStr">
        <is>
          <t>22 November 2018</t>
        </is>
      </c>
      <c r="I75" s="2" t="n">
        <v>46298</v>
      </c>
      <c r="J75" t="inlineStr">
        <is>
          <t>Pencabutan</t>
        </is>
      </c>
      <c r="K75" t="n">
        <v>60</v>
      </c>
      <c r="L75" t="inlineStr">
        <is>
          <t>3 Oktober 2026</t>
        </is>
      </c>
      <c r="M75" t="inlineStr">
        <is>
          <t>Konstruksi Gedung Lainnya</t>
        </is>
      </c>
      <c r="N75" t="inlineStr">
        <is>
          <t>M</t>
        </is>
      </c>
      <c r="O75" t="inlineStr">
        <is>
          <t>20230915</t>
        </is>
      </c>
      <c r="P75" t="inlineStr">
        <is>
          <t>Jawa Timur</t>
        </is>
      </c>
      <c r="Q75" t="inlineStr"/>
    </row>
    <row r="76">
      <c r="A76" t="inlineStr">
        <is>
          <t>GIRI UTAMA</t>
        </is>
      </c>
      <c r="B76" t="inlineStr">
        <is>
          <t>Kab. Purbalingga</t>
        </is>
      </c>
      <c r="C76" t="inlineStr">
        <is>
          <t>081325566553</t>
        </is>
      </c>
      <c r="D76" t="inlineStr">
        <is>
          <t>budi_girut2008@yahoo.co.id</t>
        </is>
      </c>
      <c r="E76" t="inlineStr">
        <is>
          <t>https://lpjk.pu.go.id/search-badan-usaha-detail/WFFXUnNIL2xaUjRSQUMvdlkrUHRMZz09</t>
        </is>
      </c>
      <c r="F76" t="n">
        <v>1</v>
      </c>
      <c r="G76" t="inlineStr">
        <is>
          <t>BG005</t>
        </is>
      </c>
      <c r="H76" t="inlineStr">
        <is>
          <t>30 November 2002</t>
        </is>
      </c>
      <c r="I76" s="2" t="n">
        <v>46298</v>
      </c>
      <c r="J76" t="inlineStr">
        <is>
          <t>Disetujui</t>
        </is>
      </c>
      <c r="K76" t="n">
        <v>60</v>
      </c>
      <c r="L76" t="inlineStr">
        <is>
          <t>3 Oktober 2026</t>
        </is>
      </c>
      <c r="M76" t="inlineStr">
        <is>
          <t>Konstruksi Gedung Kesehatan</t>
        </is>
      </c>
      <c r="N76" t="inlineStr">
        <is>
          <t>K</t>
        </is>
      </c>
      <c r="O76" t="inlineStr">
        <is>
          <t>20230726</t>
        </is>
      </c>
      <c r="P76" t="inlineStr">
        <is>
          <t>Jawa Tengah</t>
        </is>
      </c>
      <c r="Q76" t="inlineStr"/>
    </row>
    <row r="77">
      <c r="A77" t="inlineStr">
        <is>
          <t>GUNUNGSARI KAWIMAS</t>
        </is>
      </c>
      <c r="B77" t="inlineStr">
        <is>
          <t>Kota Jambi</t>
        </is>
      </c>
      <c r="C77" t="inlineStr">
        <is>
          <t>085266688899</t>
        </is>
      </c>
      <c r="D77" t="inlineStr">
        <is>
          <t>gunungsarikawimas@yahoo.co.id</t>
        </is>
      </c>
      <c r="E77" t="inlineStr">
        <is>
          <t>https://lpjk.pu.go.id/search-badan-usaha-detail/QXZsZ2dwWHdwQlRXWU9iMVcybWlmUT09</t>
        </is>
      </c>
      <c r="F77" t="n">
        <v>1</v>
      </c>
      <c r="G77" t="inlineStr">
        <is>
          <t>BS001</t>
        </is>
      </c>
      <c r="H77" t="inlineStr">
        <is>
          <t>26 Maret 1992</t>
        </is>
      </c>
      <c r="I77" s="2" t="n">
        <v>46298</v>
      </c>
      <c r="J77" t="inlineStr">
        <is>
          <t>Disetujui</t>
        </is>
      </c>
      <c r="K77" t="n">
        <v>60</v>
      </c>
      <c r="L77" t="inlineStr">
        <is>
          <t>3 Oktober 2026</t>
        </is>
      </c>
      <c r="M77" t="inlineStr">
        <is>
          <t>Konstruksi Bangunan Sipil Jalan</t>
        </is>
      </c>
      <c r="N77" t="inlineStr">
        <is>
          <t>M</t>
        </is>
      </c>
      <c r="O77" t="inlineStr">
        <is>
          <t>20230926</t>
        </is>
      </c>
      <c r="P77" t="inlineStr">
        <is>
          <t>Jambi</t>
        </is>
      </c>
      <c r="Q77" t="inlineStr"/>
    </row>
    <row r="78">
      <c r="A78" t="inlineStr">
        <is>
          <t>HADI KARYA WISESA</t>
        </is>
      </c>
      <c r="B78" t="inlineStr">
        <is>
          <t>Kab. Karawang</t>
        </is>
      </c>
      <c r="C78" t="inlineStr">
        <is>
          <t>081584484778</t>
        </is>
      </c>
      <c r="D78" t="inlineStr">
        <is>
          <t>cv.hadikarya123@gmail.com</t>
        </is>
      </c>
      <c r="E78" t="inlineStr">
        <is>
          <t>https://lpjk.pu.go.id/search-badan-usaha-detail/TlJ3SW9QdVAvejl3Q2RRdUxkZzlZdz09</t>
        </is>
      </c>
      <c r="F78" t="n">
        <v>1</v>
      </c>
      <c r="G78" t="inlineStr">
        <is>
          <t>BG009</t>
        </is>
      </c>
      <c r="H78" t="inlineStr">
        <is>
          <t>25 Januari 2016</t>
        </is>
      </c>
      <c r="I78" s="2" t="n">
        <v>46298</v>
      </c>
      <c r="J78" t="inlineStr">
        <is>
          <t>Disetujui</t>
        </is>
      </c>
      <c r="K78" t="n">
        <v>60</v>
      </c>
      <c r="L78" t="inlineStr">
        <is>
          <t>3 Oktober 2026</t>
        </is>
      </c>
      <c r="M78" t="inlineStr">
        <is>
          <t>Konstruksi Gedung Lainnya</t>
        </is>
      </c>
      <c r="N78" t="inlineStr">
        <is>
          <t>K</t>
        </is>
      </c>
      <c r="O78" t="inlineStr">
        <is>
          <t>20230927</t>
        </is>
      </c>
      <c r="P78" t="inlineStr">
        <is>
          <t>Jawa Barat</t>
        </is>
      </c>
      <c r="Q78" t="inlineStr"/>
    </row>
    <row r="79">
      <c r="A79" t="inlineStr">
        <is>
          <t>HAMARAYA</t>
        </is>
      </c>
      <c r="B79" t="inlineStr">
        <is>
          <t>Kab. Bandung</t>
        </is>
      </c>
      <c r="C79" t="inlineStr">
        <is>
          <t>081214945339</t>
        </is>
      </c>
      <c r="D79" t="inlineStr">
        <is>
          <t>hamaraya@yahoo.com</t>
        </is>
      </c>
      <c r="E79" t="inlineStr">
        <is>
          <t>https://lpjk.pu.go.id/search-badan-usaha-detail/aTNjWDBrWEpEdU5nRVJUSmxEZ202QT09</t>
        </is>
      </c>
      <c r="F79" t="n">
        <v>1</v>
      </c>
      <c r="G79" t="inlineStr">
        <is>
          <t>BG009</t>
        </is>
      </c>
      <c r="H79" t="inlineStr">
        <is>
          <t>24 Januari 2020</t>
        </is>
      </c>
      <c r="I79" s="2" t="n">
        <v>46298</v>
      </c>
      <c r="J79" t="inlineStr">
        <is>
          <t>Disetujui</t>
        </is>
      </c>
      <c r="K79" t="n">
        <v>60</v>
      </c>
      <c r="L79" t="inlineStr">
        <is>
          <t>3 Oktober 2026</t>
        </is>
      </c>
      <c r="M79" t="inlineStr">
        <is>
          <t>Konstruksi Gedung Lainnya</t>
        </is>
      </c>
      <c r="N79" t="inlineStr">
        <is>
          <t>K</t>
        </is>
      </c>
      <c r="O79" t="inlineStr">
        <is>
          <t>20231003</t>
        </is>
      </c>
      <c r="P79" t="inlineStr">
        <is>
          <t>Jawa Barat</t>
        </is>
      </c>
      <c r="Q79" t="inlineStr"/>
    </row>
    <row r="80">
      <c r="A80" t="inlineStr">
        <is>
          <t>HASTA GUNA</t>
        </is>
      </c>
      <c r="B80" t="inlineStr">
        <is>
          <t>Kab. Magetan</t>
        </is>
      </c>
      <c r="C80" t="inlineStr">
        <is>
          <t>081335700910</t>
        </is>
      </c>
      <c r="D80" t="inlineStr">
        <is>
          <t>hastagunakonsultan@gmail.com</t>
        </is>
      </c>
      <c r="E80" t="inlineStr">
        <is>
          <t>https://lpjk.pu.go.id/search-badan-usaha-detail/MHBYbDNVVlRyZkltN3lZYjFSN1VHQT09</t>
        </is>
      </c>
      <c r="F80" t="n">
        <v>1</v>
      </c>
      <c r="G80" t="inlineStr">
        <is>
          <t>RK003</t>
        </is>
      </c>
      <c r="H80" t="inlineStr">
        <is>
          <t>29 Agustus 2002</t>
        </is>
      </c>
      <c r="I80" s="2" t="n">
        <v>46298</v>
      </c>
      <c r="J80" t="inlineStr">
        <is>
          <t>Disetujui</t>
        </is>
      </c>
      <c r="K80" t="n">
        <v>60</v>
      </c>
      <c r="L80" t="inlineStr">
        <is>
          <t>3 Oktober 2026</t>
        </is>
      </c>
      <c r="M80" t="inlineStr">
        <is>
          <t>Jasa Rekayasa Pekerjaan Teknik Sipil Transportasi</t>
        </is>
      </c>
      <c r="N80" t="inlineStr">
        <is>
          <t>K</t>
        </is>
      </c>
      <c r="O80" t="inlineStr">
        <is>
          <t>20230921</t>
        </is>
      </c>
      <c r="P80" t="inlineStr">
        <is>
          <t>Jawa Timur</t>
        </is>
      </c>
      <c r="Q80" t="inlineStr"/>
    </row>
    <row r="81">
      <c r="A81" t="inlineStr">
        <is>
          <t>INDOTAMA JAYA</t>
        </is>
      </c>
      <c r="B81" t="inlineStr">
        <is>
          <t>Kab. Sukabumi</t>
        </is>
      </c>
      <c r="C81" t="inlineStr">
        <is>
          <t>085281276076</t>
        </is>
      </c>
      <c r="D81" t="inlineStr">
        <is>
          <t>cv.indotamajaya@gmail.com</t>
        </is>
      </c>
      <c r="E81" t="inlineStr">
        <is>
          <t>https://lpjk.pu.go.id/search-badan-usaha-detail/c29vcjNmWGVFL2NXejRaTmNuakVVdz09</t>
        </is>
      </c>
      <c r="F81" t="n">
        <v>10</v>
      </c>
      <c r="G81" t="inlineStr">
        <is>
          <t>BG005, BG006, BG009, BS001, BS004</t>
        </is>
      </c>
      <c r="H81" t="inlineStr">
        <is>
          <t>7 Januari 2019</t>
        </is>
      </c>
      <c r="I81" s="2" t="n">
        <v>46298</v>
      </c>
      <c r="J81" t="inlineStr">
        <is>
          <t>Disetujui</t>
        </is>
      </c>
      <c r="K81" t="n">
        <v>60</v>
      </c>
      <c r="L81" t="inlineStr">
        <is>
          <t>3 Oktober 2026</t>
        </is>
      </c>
      <c r="M81" t="inlineStr">
        <is>
          <t>Konstruksi Bangunan Sipil Jalan, Konstruksi Gedung Kesehatan, Konstruksi Gedung Lainnya, Konstruksi Gedung Pendidikan, Konstruksi Jaringan Irigasi dan Drainase</t>
        </is>
      </c>
      <c r="N81" t="inlineStr">
        <is>
          <t>K</t>
        </is>
      </c>
      <c r="O81" t="inlineStr">
        <is>
          <t>20230918</t>
        </is>
      </c>
      <c r="P81" t="inlineStr">
        <is>
          <t>Jawa Barat</t>
        </is>
      </c>
      <c r="Q81" t="inlineStr"/>
    </row>
    <row r="82">
      <c r="A82" t="inlineStr">
        <is>
          <t>INTAN KARYA UTAMA</t>
        </is>
      </c>
      <c r="B82" t="inlineStr">
        <is>
          <t>Kota Pekalongan</t>
        </is>
      </c>
      <c r="C82" t="inlineStr">
        <is>
          <t>085773798818</t>
        </is>
      </c>
      <c r="D82" t="inlineStr">
        <is>
          <t>intankautama@gmail.com</t>
        </is>
      </c>
      <c r="E82" t="inlineStr">
        <is>
          <t>https://lpjk.pu.go.id/search-badan-usaha-detail/UmswYVV5Z09xOVdxN29mOHNwa1Q3QT09</t>
        </is>
      </c>
      <c r="F82" t="n">
        <v>3</v>
      </c>
      <c r="G82" t="inlineStr">
        <is>
          <t>RK001, RK002, RK003</t>
        </is>
      </c>
      <c r="H82" t="inlineStr">
        <is>
          <t>17 April 2007</t>
        </is>
      </c>
      <c r="I82" s="2" t="n">
        <v>46298</v>
      </c>
      <c r="J82" t="inlineStr">
        <is>
          <t>Disetujui</t>
        </is>
      </c>
      <c r="K82" t="n">
        <v>60</v>
      </c>
      <c r="L82" t="inlineStr">
        <is>
          <t>3 Oktober 2026</t>
        </is>
      </c>
      <c r="M82" t="inlineStr">
        <is>
          <t>Jasa Rekayasa Konstruksi Bangunan Gedung Hunian dan Non Hunian, Jasa Rekayasa Pekerjaan Teknik Sipil Sumber Daya Air, Jasa Rekayasa Pekerjaan Teknik Sipil Transportasi</t>
        </is>
      </c>
      <c r="N82" t="inlineStr">
        <is>
          <t>K</t>
        </is>
      </c>
      <c r="O82" t="inlineStr">
        <is>
          <t>20230927</t>
        </is>
      </c>
      <c r="P82" t="inlineStr">
        <is>
          <t>Jawa Tengah</t>
        </is>
      </c>
      <c r="Q82" t="inlineStr"/>
    </row>
    <row r="83">
      <c r="A83" t="inlineStr">
        <is>
          <t>JAFAR JAYA KONSTRUKSI</t>
        </is>
      </c>
      <c r="B83" t="inlineStr">
        <is>
          <t>Kab. Ogan Komering Ulu</t>
        </is>
      </c>
      <c r="C83" t="inlineStr">
        <is>
          <t>081368163245</t>
        </is>
      </c>
      <c r="D83" t="inlineStr">
        <is>
          <t>ibeni9164@gmail.com</t>
        </is>
      </c>
      <c r="E83" t="inlineStr">
        <is>
          <t>https://lpjk.pu.go.id/search-badan-usaha-detail/NnRsU1lTcm10MlJjS2pFYXZzZTVDZz09</t>
        </is>
      </c>
      <c r="F83" t="n">
        <v>3</v>
      </c>
      <c r="G83" t="inlineStr">
        <is>
          <t>BG002, BG006, BS001</t>
        </is>
      </c>
      <c r="H83" t="inlineStr">
        <is>
          <t>12 September 2020</t>
        </is>
      </c>
      <c r="I83" s="2" t="n">
        <v>46298</v>
      </c>
      <c r="J83" t="inlineStr">
        <is>
          <t>Disetujui</t>
        </is>
      </c>
      <c r="K83" t="n">
        <v>60</v>
      </c>
      <c r="L83" t="inlineStr">
        <is>
          <t>3 Oktober 2026</t>
        </is>
      </c>
      <c r="M83" t="inlineStr">
        <is>
          <t>Konstruksi Bangunan Sipil Jalan, Konstruksi Gedung Pendidikan, Konstruksi Gedung Perkantoran</t>
        </is>
      </c>
      <c r="N83" t="inlineStr">
        <is>
          <t>K</t>
        </is>
      </c>
      <c r="O83" t="inlineStr">
        <is>
          <t>20231002, 20231003</t>
        </is>
      </c>
      <c r="P83" t="inlineStr">
        <is>
          <t>Sumatera Selatan</t>
        </is>
      </c>
      <c r="Q83" t="inlineStr"/>
    </row>
    <row r="84">
      <c r="A84" t="inlineStr">
        <is>
          <t>JATINANGOR INDAH</t>
        </is>
      </c>
      <c r="B84" t="inlineStr">
        <is>
          <t>Kab. Sumedang</t>
        </is>
      </c>
      <c r="C84" t="inlineStr">
        <is>
          <t>0227781651</t>
        </is>
      </c>
      <c r="D84" t="inlineStr">
        <is>
          <t>nengekasondariah12@gmail.com</t>
        </is>
      </c>
      <c r="E84" t="inlineStr">
        <is>
          <t>https://lpjk.pu.go.id/search-badan-usaha-detail/TG1rZUR0TytWckVML0h4R3lCQkg2Zz09</t>
        </is>
      </c>
      <c r="F84" t="n">
        <v>8</v>
      </c>
      <c r="G84" t="inlineStr">
        <is>
          <t>BG002, BG005, BG006, BG009</t>
        </is>
      </c>
      <c r="H84" t="inlineStr">
        <is>
          <t>30 Juli 1994</t>
        </is>
      </c>
      <c r="I84" s="2" t="n">
        <v>46298</v>
      </c>
      <c r="J84" t="inlineStr">
        <is>
          <t>Disetujui</t>
        </is>
      </c>
      <c r="K84" t="n">
        <v>60</v>
      </c>
      <c r="L84" t="inlineStr">
        <is>
          <t>3 Oktober 2026</t>
        </is>
      </c>
      <c r="M84" t="inlineStr">
        <is>
          <t>Konstruksi Gedung Kesehatan, Konstruksi Gedung Lainnya, Konstruksi Gedung Pendidikan, Konstruksi Gedung Perkantoran</t>
        </is>
      </c>
      <c r="N84" t="inlineStr">
        <is>
          <t>K</t>
        </is>
      </c>
      <c r="O84" t="inlineStr">
        <is>
          <t>20231002</t>
        </is>
      </c>
      <c r="P84" t="inlineStr">
        <is>
          <t>Jawa Barat</t>
        </is>
      </c>
      <c r="Q84" t="inlineStr"/>
    </row>
    <row r="85">
      <c r="A85" t="inlineStr">
        <is>
          <t>JAYABAYA</t>
        </is>
      </c>
      <c r="B85" t="inlineStr">
        <is>
          <t>Kab. Kudus</t>
        </is>
      </c>
      <c r="C85" t="inlineStr">
        <is>
          <t>085225273088</t>
        </is>
      </c>
      <c r="D85" t="inlineStr">
        <is>
          <t>jayabaya.cv14@gmail.com</t>
        </is>
      </c>
      <c r="E85" t="inlineStr">
        <is>
          <t>https://lpjk.pu.go.id/search-badan-usaha-detail/OTYzM29nVExzM0NDMGFES0lnaHp6dz09</t>
        </is>
      </c>
      <c r="F85" t="n">
        <v>1</v>
      </c>
      <c r="G85" t="inlineStr">
        <is>
          <t>BS001</t>
        </is>
      </c>
      <c r="H85" t="inlineStr">
        <is>
          <t>26 Maret 2014</t>
        </is>
      </c>
      <c r="I85" s="2" t="n">
        <v>46298</v>
      </c>
      <c r="J85" t="inlineStr">
        <is>
          <t>Disetujui</t>
        </is>
      </c>
      <c r="K85" t="n">
        <v>60</v>
      </c>
      <c r="L85" t="inlineStr">
        <is>
          <t>3 Oktober 2026</t>
        </is>
      </c>
      <c r="M85" t="inlineStr">
        <is>
          <t>Konstruksi Bangunan Sipil Jalan</t>
        </is>
      </c>
      <c r="N85" t="inlineStr">
        <is>
          <t>K</t>
        </is>
      </c>
      <c r="O85" t="inlineStr">
        <is>
          <t>20231003</t>
        </is>
      </c>
      <c r="P85" t="inlineStr">
        <is>
          <t>Jawa Tengah</t>
        </is>
      </c>
      <c r="Q85" t="inlineStr"/>
    </row>
    <row r="86">
      <c r="A86" t="inlineStr">
        <is>
          <t>KALIJAGA</t>
        </is>
      </c>
      <c r="B86" t="inlineStr">
        <is>
          <t>Kab. Pacitan</t>
        </is>
      </c>
      <c r="C86" t="inlineStr">
        <is>
          <t>082334733999</t>
        </is>
      </c>
      <c r="D86" t="inlineStr">
        <is>
          <t>cv_kalijaga@yahoo.com</t>
        </is>
      </c>
      <c r="E86" t="inlineStr">
        <is>
          <t>https://lpjk.pu.go.id/search-badan-usaha-detail/TUhCOUFOSVlTNGZnZlZ3VW91RzE4dz09</t>
        </is>
      </c>
      <c r="F86" t="n">
        <v>1</v>
      </c>
      <c r="G86" t="inlineStr">
        <is>
          <t>BG006</t>
        </is>
      </c>
      <c r="H86" t="inlineStr">
        <is>
          <t>12 Oktober 2012</t>
        </is>
      </c>
      <c r="I86" s="2" t="n">
        <v>46298</v>
      </c>
      <c r="J86" t="inlineStr">
        <is>
          <t>Disetujui</t>
        </is>
      </c>
      <c r="K86" t="n">
        <v>60</v>
      </c>
      <c r="L86" t="inlineStr">
        <is>
          <t>3 Oktober 2026</t>
        </is>
      </c>
      <c r="M86" t="inlineStr">
        <is>
          <t>Konstruksi Gedung Pendidikan</t>
        </is>
      </c>
      <c r="N86" t="inlineStr">
        <is>
          <t>K</t>
        </is>
      </c>
      <c r="O86" t="inlineStr">
        <is>
          <t>20230929</t>
        </is>
      </c>
      <c r="P86" t="inlineStr">
        <is>
          <t>Jawa Timur</t>
        </is>
      </c>
      <c r="Q86" t="inlineStr"/>
    </row>
    <row r="87">
      <c r="A87" t="inlineStr">
        <is>
          <t>KARYA ANDALAN STUDIO</t>
        </is>
      </c>
      <c r="B87" t="inlineStr">
        <is>
          <t>Kota Bandar Lampung</t>
        </is>
      </c>
      <c r="C87" t="inlineStr">
        <is>
          <t>081377783831</t>
        </is>
      </c>
      <c r="D87" t="inlineStr">
        <is>
          <t>karyaandalanstudio@gmail.com</t>
        </is>
      </c>
      <c r="E87" t="inlineStr">
        <is>
          <t>https://lpjk.pu.go.id/search-badan-usaha-detail/Zkd1MTlySWxvRXpNdTlmVFBBS1RiUT09</t>
        </is>
      </c>
      <c r="F87" t="n">
        <v>1</v>
      </c>
      <c r="G87" t="inlineStr">
        <is>
          <t>RK002</t>
        </is>
      </c>
      <c r="H87" t="inlineStr">
        <is>
          <t>13 Maret 2017</t>
        </is>
      </c>
      <c r="I87" s="2" t="n">
        <v>46298</v>
      </c>
      <c r="J87" t="inlineStr">
        <is>
          <t>Disetujui</t>
        </is>
      </c>
      <c r="K87" t="n">
        <v>60</v>
      </c>
      <c r="L87" t="inlineStr">
        <is>
          <t>3 Oktober 2026</t>
        </is>
      </c>
      <c r="M87" t="inlineStr">
        <is>
          <t>Jasa Rekayasa Pekerjaan Teknik Sipil Sumber Daya Air</t>
        </is>
      </c>
      <c r="N87" t="inlineStr">
        <is>
          <t>K</t>
        </is>
      </c>
      <c r="O87" t="inlineStr">
        <is>
          <t>20230926</t>
        </is>
      </c>
      <c r="P87" t="inlineStr">
        <is>
          <t>Lampung</t>
        </is>
      </c>
      <c r="Q87" t="inlineStr"/>
    </row>
    <row r="88">
      <c r="A88" t="inlineStr">
        <is>
          <t>KARYA GADING</t>
        </is>
      </c>
      <c r="B88" t="inlineStr">
        <is>
          <t>Kab. Hulu Sungai Utara</t>
        </is>
      </c>
      <c r="C88" t="inlineStr">
        <is>
          <t>085215401255</t>
        </is>
      </c>
      <c r="D88" t="inlineStr">
        <is>
          <t>Karyagading.Amt@Gmail.com</t>
        </is>
      </c>
      <c r="E88" t="inlineStr">
        <is>
          <t>https://lpjk.pu.go.id/search-badan-usaha-detail/eFZEc082cWJNTzk3eGdBckZML0lBZz09</t>
        </is>
      </c>
      <c r="F88" t="n">
        <v>1</v>
      </c>
      <c r="G88" t="inlineStr">
        <is>
          <t>BS001</t>
        </is>
      </c>
      <c r="H88" t="inlineStr">
        <is>
          <t>6 Januari 2022</t>
        </is>
      </c>
      <c r="I88" s="2" t="n">
        <v>46298</v>
      </c>
      <c r="J88" t="inlineStr">
        <is>
          <t>Disetujui</t>
        </is>
      </c>
      <c r="K88" t="n">
        <v>60</v>
      </c>
      <c r="L88" t="inlineStr">
        <is>
          <t>3 Oktober 2026</t>
        </is>
      </c>
      <c r="M88" t="inlineStr">
        <is>
          <t>Konstruksi Bangunan Sipil Jalan</t>
        </is>
      </c>
      <c r="N88" t="inlineStr">
        <is>
          <t>K</t>
        </is>
      </c>
      <c r="O88" t="inlineStr">
        <is>
          <t>20230915</t>
        </is>
      </c>
      <c r="P88" t="inlineStr">
        <is>
          <t>Kalimantan Selatan</t>
        </is>
      </c>
      <c r="Q88" t="inlineStr"/>
    </row>
    <row r="89">
      <c r="A89" t="inlineStr">
        <is>
          <t>KARYA INOVASI TERPADU</t>
        </is>
      </c>
      <c r="B89" t="inlineStr">
        <is>
          <t>Kab. Bandung</t>
        </is>
      </c>
      <c r="C89" t="inlineStr">
        <is>
          <t>081324200234</t>
        </is>
      </c>
      <c r="D89" t="inlineStr">
        <is>
          <t>karyainovasi101@gmail.com</t>
        </is>
      </c>
      <c r="E89" t="inlineStr">
        <is>
          <t>https://lpjk.pu.go.id/search-badan-usaha-detail/Nk1XeWdXTGdscHJqR3dJb0Q1K255QT09</t>
        </is>
      </c>
      <c r="F89" t="n">
        <v>2</v>
      </c>
      <c r="G89" t="inlineStr">
        <is>
          <t>BG002, BG009</t>
        </is>
      </c>
      <c r="H89" t="inlineStr">
        <is>
          <t>7 Maret 2023</t>
        </is>
      </c>
      <c r="I89" s="2" t="n">
        <v>46298</v>
      </c>
      <c r="J89" t="inlineStr">
        <is>
          <t>Disetujui</t>
        </is>
      </c>
      <c r="K89" t="n">
        <v>60</v>
      </c>
      <c r="L89" t="inlineStr">
        <is>
          <t>3 Oktober 2026</t>
        </is>
      </c>
      <c r="M89" t="inlineStr">
        <is>
          <t>Konstruksi Gedung Lainnya, Konstruksi Gedung Perkantoran</t>
        </is>
      </c>
      <c r="N89" t="inlineStr">
        <is>
          <t>K</t>
        </is>
      </c>
      <c r="O89" t="inlineStr">
        <is>
          <t>20230926</t>
        </is>
      </c>
      <c r="P89" t="inlineStr">
        <is>
          <t>Jawa Barat</t>
        </is>
      </c>
      <c r="Q89" t="inlineStr"/>
    </row>
    <row r="90">
      <c r="A90" t="inlineStr">
        <is>
          <t>KAUTSAR KARYA BERSAMA</t>
        </is>
      </c>
      <c r="B90" t="inlineStr">
        <is>
          <t>Kab. Sidoarjo</t>
        </is>
      </c>
      <c r="C90" t="inlineStr">
        <is>
          <t>03199039918</t>
        </is>
      </c>
      <c r="D90" t="inlineStr">
        <is>
          <t>kautsarkaryabersama@yahoo.com</t>
        </is>
      </c>
      <c r="E90" t="inlineStr">
        <is>
          <t>https://lpjk.pu.go.id/search-badan-usaha-detail/R0ZlZnJYbXlnL0M1RXd1cmhhdFlIZz09</t>
        </is>
      </c>
      <c r="F90" t="n">
        <v>1</v>
      </c>
      <c r="G90" t="inlineStr">
        <is>
          <t>BG002</t>
        </is>
      </c>
      <c r="H90" t="inlineStr">
        <is>
          <t>14 November 2012</t>
        </is>
      </c>
      <c r="I90" s="2" t="n">
        <v>46298</v>
      </c>
      <c r="J90" t="inlineStr">
        <is>
          <t>Disetujui</t>
        </is>
      </c>
      <c r="K90" t="n">
        <v>60</v>
      </c>
      <c r="L90" t="inlineStr">
        <is>
          <t>3 Oktober 2026</t>
        </is>
      </c>
      <c r="M90" t="inlineStr">
        <is>
          <t>Konstruksi Gedung Perkantoran</t>
        </is>
      </c>
      <c r="N90" t="inlineStr">
        <is>
          <t>K</t>
        </is>
      </c>
      <c r="O90" t="inlineStr">
        <is>
          <t>20230930</t>
        </is>
      </c>
      <c r="P90" t="inlineStr">
        <is>
          <t>Jawa Timur</t>
        </is>
      </c>
      <c r="Q90" t="inlineStr"/>
    </row>
    <row r="91">
      <c r="A91" t="inlineStr">
        <is>
          <t>KOLEGA EKSTERIOR INTERIOR</t>
        </is>
      </c>
      <c r="B91" t="inlineStr">
        <is>
          <t>Kab. Paser</t>
        </is>
      </c>
      <c r="C91" t="inlineStr">
        <is>
          <t>085248841018</t>
        </is>
      </c>
      <c r="D91" t="inlineStr">
        <is>
          <t>kolegaeksteriorinterior@gmail.com</t>
        </is>
      </c>
      <c r="E91" t="inlineStr">
        <is>
          <t>https://lpjk.pu.go.id/search-badan-usaha-detail/NFI5UHNERjdwUDg2ZG1oQzNOc1RxUT09</t>
        </is>
      </c>
      <c r="F91" t="n">
        <v>3</v>
      </c>
      <c r="G91" t="inlineStr">
        <is>
          <t>BG008, BG009, BS001</t>
        </is>
      </c>
      <c r="H91" t="inlineStr">
        <is>
          <t>15 September 2023</t>
        </is>
      </c>
      <c r="I91" s="2" t="n">
        <v>46298</v>
      </c>
      <c r="J91" t="inlineStr">
        <is>
          <t>Disetujui</t>
        </is>
      </c>
      <c r="K91" t="n">
        <v>60</v>
      </c>
      <c r="L91" t="inlineStr">
        <is>
          <t>3 Oktober 2026</t>
        </is>
      </c>
      <c r="M91" t="inlineStr">
        <is>
          <t>Konstruksi Bangunan Sipil Jalan, Konstruksi Gedung Lainnya, Konstruksi Gedung Tempat Hiburan dan Olahraga</t>
        </is>
      </c>
      <c r="N91" t="inlineStr">
        <is>
          <t>K</t>
        </is>
      </c>
      <c r="O91" t="inlineStr">
        <is>
          <t>20231003</t>
        </is>
      </c>
      <c r="P91" t="inlineStr">
        <is>
          <t>Kalimantan Timur</t>
        </is>
      </c>
      <c r="Q91" t="inlineStr"/>
    </row>
    <row r="92">
      <c r="A92" t="inlineStr">
        <is>
          <t>LANGGENG JAYA</t>
        </is>
      </c>
      <c r="B92" t="inlineStr">
        <is>
          <t>Kota Magelang</t>
        </is>
      </c>
      <c r="C92" t="inlineStr">
        <is>
          <t>N/A</t>
        </is>
      </c>
      <c r="D92" t="inlineStr">
        <is>
          <t>N/A</t>
        </is>
      </c>
      <c r="E92" t="inlineStr">
        <is>
          <t>https://lpjk.pu.go.id/search-badan-usaha-detail/eWtIODgvYmltOHpodUQyalN4SGhpZz09</t>
        </is>
      </c>
      <c r="F92" t="n">
        <v>2</v>
      </c>
      <c r="G92" t="inlineStr">
        <is>
          <t>BG004, BG005</t>
        </is>
      </c>
      <c r="H92" t="inlineStr"/>
      <c r="I92" s="2" t="n">
        <v>46298</v>
      </c>
      <c r="J92" t="inlineStr">
        <is>
          <t>Disetujui</t>
        </is>
      </c>
      <c r="K92" t="n">
        <v>60</v>
      </c>
      <c r="L92" t="inlineStr">
        <is>
          <t>3 Oktober 2026</t>
        </is>
      </c>
      <c r="M92" t="inlineStr">
        <is>
          <t>Konstruksi Gedung Kesehatan, Konstruksi Gedung Perbelanjaan</t>
        </is>
      </c>
      <c r="N92" t="inlineStr">
        <is>
          <t>K</t>
        </is>
      </c>
      <c r="O92" t="inlineStr">
        <is>
          <t>20231002, 20231003</t>
        </is>
      </c>
      <c r="P92" t="inlineStr">
        <is>
          <t>Jawa Tengah</t>
        </is>
      </c>
      <c r="Q92" t="inlineStr"/>
    </row>
    <row r="93">
      <c r="A93" t="inlineStr">
        <is>
          <t>LARAS CIPTA</t>
        </is>
      </c>
      <c r="B93" t="inlineStr">
        <is>
          <t>Kota Bandar Lampung</t>
        </is>
      </c>
      <c r="C93" t="inlineStr">
        <is>
          <t>082278887486</t>
        </is>
      </c>
      <c r="D93" t="inlineStr">
        <is>
          <t>larascipta2@gmail.com</t>
        </is>
      </c>
      <c r="E93" t="inlineStr">
        <is>
          <t>https://lpjk.pu.go.id/search-badan-usaha-detail/YlU4VDU3U2t1NktpbW1GbGt0bnk4ZkFNM2xXSVFzbU1CQ1ZBL0htdEhIMD0</t>
        </is>
      </c>
      <c r="F93" t="n">
        <v>1</v>
      </c>
      <c r="G93" t="inlineStr">
        <is>
          <t>RK001</t>
        </is>
      </c>
      <c r="H93" t="inlineStr">
        <is>
          <t>31 Mei 2025</t>
        </is>
      </c>
      <c r="I93" s="2" t="n">
        <v>46298</v>
      </c>
      <c r="J93" t="inlineStr">
        <is>
          <t>Disetujui</t>
        </is>
      </c>
      <c r="K93" t="n">
        <v>60</v>
      </c>
      <c r="L93" t="inlineStr">
        <is>
          <t>3 Oktober 2026</t>
        </is>
      </c>
      <c r="M93" t="inlineStr">
        <is>
          <t>Jasa Rekayasa Konstruksi Bangunan Gedung Hunian dan Non Hunian</t>
        </is>
      </c>
      <c r="N93" t="inlineStr">
        <is>
          <t>K</t>
        </is>
      </c>
      <c r="O93" t="inlineStr">
        <is>
          <t>20230922</t>
        </is>
      </c>
      <c r="P93" t="inlineStr">
        <is>
          <t>Lampung</t>
        </is>
      </c>
      <c r="Q93" t="inlineStr"/>
    </row>
    <row r="94">
      <c r="A94" t="inlineStr">
        <is>
          <t>LATIFA ANDALAN NUSA</t>
        </is>
      </c>
      <c r="B94" t="inlineStr">
        <is>
          <t>Kota Sawahlunto</t>
        </is>
      </c>
      <c r="C94" t="inlineStr">
        <is>
          <t>0811 6619 46__</t>
        </is>
      </c>
      <c r="D94" t="inlineStr">
        <is>
          <t>cvlatifaandalannusa@gmail.com</t>
        </is>
      </c>
      <c r="E94" t="inlineStr">
        <is>
          <t>https://lpjk.pu.go.id/search-badan-usaha-detail/ajdIbDI4Y25ldWNLdkZvSHhzbWdkQT09</t>
        </is>
      </c>
      <c r="F94" t="n">
        <v>1</v>
      </c>
      <c r="G94" t="inlineStr">
        <is>
          <t>BS001</t>
        </is>
      </c>
      <c r="H94" t="inlineStr">
        <is>
          <t>6 September 2019</t>
        </is>
      </c>
      <c r="I94" s="2" t="n">
        <v>46298</v>
      </c>
      <c r="J94" t="inlineStr">
        <is>
          <t>Pencabutan</t>
        </is>
      </c>
      <c r="K94" t="n">
        <v>60</v>
      </c>
      <c r="L94" t="inlineStr">
        <is>
          <t>3 Oktober 2026</t>
        </is>
      </c>
      <c r="M94" t="inlineStr">
        <is>
          <t>Konstruksi Bangunan Sipil Jalan</t>
        </is>
      </c>
      <c r="N94" t="inlineStr">
        <is>
          <t>K</t>
        </is>
      </c>
      <c r="O94" t="inlineStr">
        <is>
          <t>20230909</t>
        </is>
      </c>
      <c r="P94" t="inlineStr">
        <is>
          <t>Sumatera Barat</t>
        </is>
      </c>
      <c r="Q94" t="inlineStr"/>
    </row>
    <row r="95">
      <c r="A95" t="inlineStr">
        <is>
          <t>LAWU BAROKAH GROUP</t>
        </is>
      </c>
      <c r="B95" t="inlineStr">
        <is>
          <t>Kab. Karanganyar</t>
        </is>
      </c>
      <c r="C95" t="inlineStr">
        <is>
          <t>081246142807</t>
        </is>
      </c>
      <c r="D95" t="inlineStr">
        <is>
          <t>lawu.barokah.group@gmail.com</t>
        </is>
      </c>
      <c r="E95" t="inlineStr">
        <is>
          <t>https://lpjk.pu.go.id/search-badan-usaha-detail/RlZUNXZLTFZvbDQ3SWxxWVgvTWxtZz09</t>
        </is>
      </c>
      <c r="F95" t="n">
        <v>3</v>
      </c>
      <c r="G95" t="inlineStr">
        <is>
          <t>AR001, AR002, AR003</t>
        </is>
      </c>
      <c r="H95" t="inlineStr">
        <is>
          <t>18 April 2022</t>
        </is>
      </c>
      <c r="I95" s="2" t="n">
        <v>46298</v>
      </c>
      <c r="J95" t="inlineStr">
        <is>
          <t>Disetujui</t>
        </is>
      </c>
      <c r="K95" t="n">
        <v>60</v>
      </c>
      <c r="L95" t="inlineStr">
        <is>
          <t>3 Oktober 2026</t>
        </is>
      </c>
      <c r="M95" t="inlineStr">
        <is>
          <t>Jasa Arsitektural Bangunan Gedung Hunian dan Non Hunian, Jasa Arsitektural Lainnya, Jasa Desain Interior pada Bangunan Gedung dan Bangunan Sipil</t>
        </is>
      </c>
      <c r="N95" t="inlineStr">
        <is>
          <t>K</t>
        </is>
      </c>
      <c r="O95" t="inlineStr">
        <is>
          <t>20230926</t>
        </is>
      </c>
      <c r="P95" t="inlineStr">
        <is>
          <t>Jawa Tengah</t>
        </is>
      </c>
      <c r="Q95" t="inlineStr"/>
    </row>
    <row r="96">
      <c r="A96" t="inlineStr">
        <is>
          <t>LEO PRATAMA ENERGI</t>
        </is>
      </c>
      <c r="B96" t="inlineStr">
        <is>
          <t>Kota Bandung</t>
        </is>
      </c>
      <c r="C96" t="inlineStr">
        <is>
          <t>08562211992</t>
        </is>
      </c>
      <c r="D96" t="inlineStr">
        <is>
          <t>leopratamaenergi@gmail.com</t>
        </is>
      </c>
      <c r="E96" t="inlineStr">
        <is>
          <t>https://lpjk.pu.go.id/search-badan-usaha-detail/eGoxK2dmb1k5UU5pWUtQSGN5WDF4dz09</t>
        </is>
      </c>
      <c r="F96" t="n">
        <v>1</v>
      </c>
      <c r="G96" t="inlineStr">
        <is>
          <t>BG009</t>
        </is>
      </c>
      <c r="H96" t="inlineStr">
        <is>
          <t>10 September 2021</t>
        </is>
      </c>
      <c r="I96" s="2" t="n">
        <v>46298</v>
      </c>
      <c r="J96" t="inlineStr">
        <is>
          <t>Disetujui</t>
        </is>
      </c>
      <c r="K96" t="n">
        <v>60</v>
      </c>
      <c r="L96" t="inlineStr">
        <is>
          <t>3 Oktober 2026</t>
        </is>
      </c>
      <c r="M96" t="inlineStr">
        <is>
          <t>Konstruksi Gedung Lainnya</t>
        </is>
      </c>
      <c r="N96" t="inlineStr">
        <is>
          <t>K</t>
        </is>
      </c>
      <c r="O96" t="inlineStr">
        <is>
          <t>20231004</t>
        </is>
      </c>
      <c r="P96" t="inlineStr">
        <is>
          <t>Jawa Barat</t>
        </is>
      </c>
      <c r="Q96" t="inlineStr"/>
    </row>
    <row r="97">
      <c r="A97" t="inlineStr">
        <is>
          <t>LINTANG MADA CAKRAWALA</t>
        </is>
      </c>
      <c r="B97" t="inlineStr">
        <is>
          <t>Kota Adm. Jakarta Pusat</t>
        </is>
      </c>
      <c r="C97" t="inlineStr">
        <is>
          <t>02189239370</t>
        </is>
      </c>
      <c r="D97" t="inlineStr">
        <is>
          <t>lintangmadacakrawala@gmail.com</t>
        </is>
      </c>
      <c r="E97" t="inlineStr">
        <is>
          <t>https://lpjk.pu.go.id/search-badan-usaha-detail/REtUR0JyT0JTZHh5bE8xVXZBWnZUUT09</t>
        </is>
      </c>
      <c r="F97" t="n">
        <v>4</v>
      </c>
      <c r="G97" t="inlineStr">
        <is>
          <t>BG002, BG003</t>
        </is>
      </c>
      <c r="H97" t="inlineStr">
        <is>
          <t>8 Juni 2022</t>
        </is>
      </c>
      <c r="I97" s="2" t="n">
        <v>46298</v>
      </c>
      <c r="J97" t="inlineStr">
        <is>
          <t>Disetujui</t>
        </is>
      </c>
      <c r="K97" t="n">
        <v>60</v>
      </c>
      <c r="L97" t="inlineStr">
        <is>
          <t>3 Oktober 2026</t>
        </is>
      </c>
      <c r="M97" t="inlineStr">
        <is>
          <t>Konstruksi Gedung Industri, Konstruksi Gedung Perkantoran</t>
        </is>
      </c>
      <c r="N97" t="inlineStr">
        <is>
          <t>K</t>
        </is>
      </c>
      <c r="O97" t="inlineStr">
        <is>
          <t>20230925, 20230927</t>
        </is>
      </c>
      <c r="P97" t="inlineStr">
        <is>
          <t>DKI Jakarta</t>
        </is>
      </c>
      <c r="Q97" t="inlineStr"/>
    </row>
    <row r="98">
      <c r="A98" t="inlineStr">
        <is>
          <t>LINTAS BUPOLO MANDIRI</t>
        </is>
      </c>
      <c r="B98" t="inlineStr">
        <is>
          <t>Kab. Buru</t>
        </is>
      </c>
      <c r="C98" t="inlineStr">
        <is>
          <t>0811478123</t>
        </is>
      </c>
      <c r="D98" t="inlineStr">
        <is>
          <t>lintasbupolomandiri@gmail.com</t>
        </is>
      </c>
      <c r="E98" t="inlineStr">
        <is>
          <t>https://lpjk.pu.go.id/search-badan-usaha-detail/WFZSRW5nb3REcWRlNVhmRjdDb3lrQT09</t>
        </is>
      </c>
      <c r="F98" t="n">
        <v>3</v>
      </c>
      <c r="G98" t="inlineStr">
        <is>
          <t>BG001, BG006, BS001</t>
        </is>
      </c>
      <c r="H98" t="inlineStr">
        <is>
          <t>29 Juli 2019</t>
        </is>
      </c>
      <c r="I98" s="2" t="n">
        <v>46298</v>
      </c>
      <c r="J98" t="inlineStr">
        <is>
          <t>Disetujui</t>
        </is>
      </c>
      <c r="K98" t="n">
        <v>60</v>
      </c>
      <c r="L98" t="inlineStr">
        <is>
          <t>3 Oktober 2026</t>
        </is>
      </c>
      <c r="M98" t="inlineStr">
        <is>
          <t>Konstruksi Bangunan Sipil Jalan, Konstruksi Gedung Hunian, Konstruksi Gedung Pendidikan</t>
        </is>
      </c>
      <c r="N98" t="inlineStr">
        <is>
          <t>K</t>
        </is>
      </c>
      <c r="O98" t="inlineStr">
        <is>
          <t>20230930</t>
        </is>
      </c>
      <c r="P98" t="inlineStr">
        <is>
          <t>Maluku</t>
        </is>
      </c>
      <c r="Q98" t="inlineStr"/>
    </row>
    <row r="99">
      <c r="A99" t="inlineStr">
        <is>
          <t>MAHAKAAM JAYA SEJAHTERA</t>
        </is>
      </c>
      <c r="B99" t="inlineStr">
        <is>
          <t>Kota Surabaya</t>
        </is>
      </c>
      <c r="C99" t="inlineStr">
        <is>
          <t>08813326009</t>
        </is>
      </c>
      <c r="D99" t="inlineStr">
        <is>
          <t>info@mahakaam.com</t>
        </is>
      </c>
      <c r="E99" t="inlineStr">
        <is>
          <t>https://lpjk.pu.go.id/search-badan-usaha-detail/L1BHSk1nQlRFOXJMTUJiN2I0bU5udz09</t>
        </is>
      </c>
      <c r="F99" t="n">
        <v>2</v>
      </c>
      <c r="G99" t="inlineStr">
        <is>
          <t>BG009</t>
        </is>
      </c>
      <c r="H99" t="inlineStr">
        <is>
          <t>24 Desember 2009</t>
        </is>
      </c>
      <c r="I99" s="2" t="n">
        <v>46298</v>
      </c>
      <c r="J99" t="inlineStr">
        <is>
          <t>Pencabutan</t>
        </is>
      </c>
      <c r="K99" t="n">
        <v>60</v>
      </c>
      <c r="L99" t="inlineStr">
        <is>
          <t>3 Oktober 2026</t>
        </is>
      </c>
      <c r="M99" t="inlineStr">
        <is>
          <t>Konstruksi Gedung Lainnya</t>
        </is>
      </c>
      <c r="N99" t="inlineStr">
        <is>
          <t>M</t>
        </is>
      </c>
      <c r="O99" t="inlineStr">
        <is>
          <t>20230925</t>
        </is>
      </c>
      <c r="P99" t="inlineStr">
        <is>
          <t>Jawa Timur</t>
        </is>
      </c>
      <c r="Q99" t="inlineStr"/>
    </row>
    <row r="100">
      <c r="A100" t="inlineStr">
        <is>
          <t>MAHER KARYA UTAMA</t>
        </is>
      </c>
      <c r="B100" t="inlineStr">
        <is>
          <t>Kota Bandung</t>
        </is>
      </c>
      <c r="C100" t="inlineStr">
        <is>
          <t>0811223813</t>
        </is>
      </c>
      <c r="D100" t="inlineStr">
        <is>
          <t>maherkaryautama.cv@gmail.com</t>
        </is>
      </c>
      <c r="E100" t="inlineStr">
        <is>
          <t>https://lpjk.pu.go.id/search-badan-usaha-detail/cUVyaXpXSkZVSFozSy93ZENTUW5SUT09</t>
        </is>
      </c>
      <c r="F100" t="n">
        <v>3</v>
      </c>
      <c r="G100" t="inlineStr">
        <is>
          <t>BG002, BG003, BG007</t>
        </is>
      </c>
      <c r="H100" t="inlineStr">
        <is>
          <t>3 Mei 2023</t>
        </is>
      </c>
      <c r="I100" s="2" t="n">
        <v>46298</v>
      </c>
      <c r="J100" t="inlineStr">
        <is>
          <t>Disetujui</t>
        </is>
      </c>
      <c r="K100" t="n">
        <v>60</v>
      </c>
      <c r="L100" t="inlineStr">
        <is>
          <t>3 Oktober 2026</t>
        </is>
      </c>
      <c r="M100" t="inlineStr">
        <is>
          <t>Konstruksi Gedung Industri, Konstruksi Gedung Penginapan, Konstruksi Gedung Perkantoran</t>
        </is>
      </c>
      <c r="N100" t="inlineStr">
        <is>
          <t>K</t>
        </is>
      </c>
      <c r="O100" t="inlineStr">
        <is>
          <t>20230928, 20231002</t>
        </is>
      </c>
      <c r="P100" t="inlineStr">
        <is>
          <t>Jawa Barat</t>
        </is>
      </c>
      <c r="Q100" t="inlineStr"/>
    </row>
    <row r="101">
      <c r="A101" t="inlineStr">
        <is>
          <t>MAHIRA</t>
        </is>
      </c>
      <c r="B101" t="inlineStr">
        <is>
          <t>Kota Medan</t>
        </is>
      </c>
      <c r="C101" t="inlineStr">
        <is>
          <t>081361243512</t>
        </is>
      </c>
      <c r="D101" t="inlineStr">
        <is>
          <t>cvmahirasutopo@gmail.com</t>
        </is>
      </c>
      <c r="E101" t="inlineStr">
        <is>
          <t>https://lpjk.pu.go.id/search-badan-usaha-detail/U0ZlbTFTdEtDY0oxaGdtRGUxTjlzQT09</t>
        </is>
      </c>
      <c r="F101" t="n">
        <v>1</v>
      </c>
      <c r="G101" t="inlineStr">
        <is>
          <t>BG003</t>
        </is>
      </c>
      <c r="H101" t="inlineStr">
        <is>
          <t>11 Desember 2014</t>
        </is>
      </c>
      <c r="I101" s="2" t="n">
        <v>46298</v>
      </c>
      <c r="J101" t="inlineStr">
        <is>
          <t>Disetujui</t>
        </is>
      </c>
      <c r="K101" t="n">
        <v>60</v>
      </c>
      <c r="L101" t="inlineStr">
        <is>
          <t>3 Oktober 2026</t>
        </is>
      </c>
      <c r="M101" t="inlineStr">
        <is>
          <t>Konstruksi Gedung Industri</t>
        </is>
      </c>
      <c r="N101" t="inlineStr">
        <is>
          <t>K</t>
        </is>
      </c>
      <c r="O101" t="inlineStr">
        <is>
          <t>20230711</t>
        </is>
      </c>
      <c r="P101" t="inlineStr">
        <is>
          <t>Sumatera Utara</t>
        </is>
      </c>
      <c r="Q101" t="inlineStr"/>
    </row>
    <row r="102">
      <c r="A102" t="inlineStr">
        <is>
          <t>MAJU TAMBAH SUKSES</t>
        </is>
      </c>
      <c r="B102" t="inlineStr">
        <is>
          <t>Kota Batu</t>
        </is>
      </c>
      <c r="C102" t="inlineStr">
        <is>
          <t>08113172017</t>
        </is>
      </c>
      <c r="D102" t="inlineStr">
        <is>
          <t>pamujiwidodocompany@gmail.com</t>
        </is>
      </c>
      <c r="E102" t="inlineStr">
        <is>
          <t>https://lpjk.pu.go.id/search-badan-usaha-detail/Nm42dEZsa1crZTRJQTZxUXRQeEJ0UT09</t>
        </is>
      </c>
      <c r="F102" t="n">
        <v>1</v>
      </c>
      <c r="G102" t="inlineStr">
        <is>
          <t>BS004</t>
        </is>
      </c>
      <c r="H102" t="inlineStr">
        <is>
          <t>14 Agustus 2019</t>
        </is>
      </c>
      <c r="I102" s="2" t="n">
        <v>46298</v>
      </c>
      <c r="J102" t="inlineStr">
        <is>
          <t>Disetujui</t>
        </is>
      </c>
      <c r="K102" t="n">
        <v>60</v>
      </c>
      <c r="L102" t="inlineStr">
        <is>
          <t>3 Oktober 2026</t>
        </is>
      </c>
      <c r="M102" t="inlineStr">
        <is>
          <t>Konstruksi Jaringan Irigasi dan Drainase</t>
        </is>
      </c>
      <c r="N102" t="inlineStr">
        <is>
          <t>K</t>
        </is>
      </c>
      <c r="O102" t="inlineStr">
        <is>
          <t>20231003</t>
        </is>
      </c>
      <c r="P102" t="inlineStr">
        <is>
          <t>Jawa Timur</t>
        </is>
      </c>
      <c r="Q102" t="inlineStr"/>
    </row>
    <row r="103">
      <c r="A103" t="inlineStr">
        <is>
          <t>MANDALA BAKTI UTAMA</t>
        </is>
      </c>
      <c r="B103" t="inlineStr">
        <is>
          <t>Kota Bandung</t>
        </is>
      </c>
      <c r="C103" t="inlineStr">
        <is>
          <t>0227208385</t>
        </is>
      </c>
      <c r="D103" t="inlineStr">
        <is>
          <t>mbu_group@yahoo.co.id</t>
        </is>
      </c>
      <c r="E103" t="inlineStr">
        <is>
          <t>https://lpjk.pu.go.id/search-badan-usaha-detail/eUQxMGkyVmlSTWI3cjVRZmlhbW92UT09</t>
        </is>
      </c>
      <c r="F103" t="n">
        <v>2</v>
      </c>
      <c r="G103" t="inlineStr">
        <is>
          <t>BS005</t>
        </is>
      </c>
      <c r="H103" t="inlineStr">
        <is>
          <t>11 April 1983</t>
        </is>
      </c>
      <c r="I103" s="2" t="n">
        <v>46298</v>
      </c>
      <c r="J103" t="inlineStr">
        <is>
          <t>Pembekuan</t>
        </is>
      </c>
      <c r="K103" t="n">
        <v>60</v>
      </c>
      <c r="L103" t="inlineStr">
        <is>
          <t>3 Oktober 2026</t>
        </is>
      </c>
      <c r="M103" t="inlineStr">
        <is>
          <t>Konstruksi Bangunan Sipil Pengolahan Air Bersih</t>
        </is>
      </c>
      <c r="N103" t="inlineStr">
        <is>
          <t>M</t>
        </is>
      </c>
      <c r="O103" t="inlineStr">
        <is>
          <t>20231004</t>
        </is>
      </c>
      <c r="P103" t="inlineStr">
        <is>
          <t>Jawa Barat</t>
        </is>
      </c>
      <c r="Q103" t="inlineStr"/>
    </row>
    <row r="104">
      <c r="A104" t="inlineStr">
        <is>
          <t>MANDIRI SEJAHTERA SENTOSA</t>
        </is>
      </c>
      <c r="B104" t="inlineStr">
        <is>
          <t>Kab. Cirebon</t>
        </is>
      </c>
      <c r="C104" t="inlineStr">
        <is>
          <t>081395946664</t>
        </is>
      </c>
      <c r="D104" t="inlineStr">
        <is>
          <t>mandirisejahtera0808@gmail.com</t>
        </is>
      </c>
      <c r="E104" t="inlineStr">
        <is>
          <t>https://lpjk.pu.go.id/search-badan-usaha-detail/QTgyQktydnJCOTNBbXlEL2djSXU0QT09</t>
        </is>
      </c>
      <c r="F104" t="n">
        <v>1</v>
      </c>
      <c r="G104" t="inlineStr">
        <is>
          <t>BG002</t>
        </is>
      </c>
      <c r="H104" t="inlineStr">
        <is>
          <t>8 November 2013</t>
        </is>
      </c>
      <c r="I104" s="2" t="n">
        <v>46298</v>
      </c>
      <c r="J104" t="inlineStr">
        <is>
          <t>Pembekuan</t>
        </is>
      </c>
      <c r="K104" t="n">
        <v>60</v>
      </c>
      <c r="L104" t="inlineStr">
        <is>
          <t>3 Oktober 2026</t>
        </is>
      </c>
      <c r="M104" t="inlineStr">
        <is>
          <t>Konstruksi Gedung Perkantoran</t>
        </is>
      </c>
      <c r="N104" t="inlineStr">
        <is>
          <t>M</t>
        </is>
      </c>
      <c r="O104" t="inlineStr">
        <is>
          <t>20230915</t>
        </is>
      </c>
      <c r="P104" t="inlineStr">
        <is>
          <t>Jawa Barat</t>
        </is>
      </c>
      <c r="Q104" t="inlineStr"/>
    </row>
    <row r="105">
      <c r="A105" t="inlineStr">
        <is>
          <t>MANUNGGAL ABADI PERKASA</t>
        </is>
      </c>
      <c r="B105" t="inlineStr">
        <is>
          <t>Kab. Ogan Komering Ulu</t>
        </is>
      </c>
      <c r="C105" t="inlineStr">
        <is>
          <t>082278039329</t>
        </is>
      </c>
      <c r="D105" t="inlineStr">
        <is>
          <t>ekozunikusnadi@gmail.com</t>
        </is>
      </c>
      <c r="E105" t="inlineStr">
        <is>
          <t>https://lpjk.pu.go.id/search-badan-usaha-detail/Uk5RYXNFYzNzQ2lUTmNSd1BJQ1M3UT09</t>
        </is>
      </c>
      <c r="F105" t="n">
        <v>10</v>
      </c>
      <c r="G105" t="inlineStr">
        <is>
          <t>BG002, BG006, BS001, BS004</t>
        </is>
      </c>
      <c r="H105" t="inlineStr">
        <is>
          <t>9 Februari 2019</t>
        </is>
      </c>
      <c r="I105" s="2" t="n">
        <v>46298</v>
      </c>
      <c r="J105" t="inlineStr">
        <is>
          <t>Disetujui</t>
        </is>
      </c>
      <c r="K105" t="n">
        <v>60</v>
      </c>
      <c r="L105" t="inlineStr">
        <is>
          <t>3 Oktober 2026</t>
        </is>
      </c>
      <c r="M105" t="inlineStr">
        <is>
          <t>Konstruksi Bangunan Sipil Jalan, Konstruksi Gedung Pendidikan, Konstruksi Gedung Perkantoran, Konstruksi Jaringan Irigasi dan Drainase</t>
        </is>
      </c>
      <c r="N105" t="inlineStr">
        <is>
          <t>K</t>
        </is>
      </c>
      <c r="O105" t="inlineStr">
        <is>
          <t>20230911</t>
        </is>
      </c>
      <c r="P105" t="inlineStr">
        <is>
          <t>Sumatera Selatan</t>
        </is>
      </c>
      <c r="Q105" t="inlineStr"/>
    </row>
    <row r="106">
      <c r="A106" t="inlineStr">
        <is>
          <t>MANUNGGAL JAYA TEKNIK</t>
        </is>
      </c>
      <c r="B106" t="inlineStr">
        <is>
          <t>Kota Samarinda</t>
        </is>
      </c>
      <c r="C106" t="inlineStr">
        <is>
          <t>081258608880</t>
        </is>
      </c>
      <c r="D106" t="inlineStr">
        <is>
          <t>mjtprawoto25@gmail.com</t>
        </is>
      </c>
      <c r="E106" t="inlineStr">
        <is>
          <t>https://lpjk.pu.go.id/search-badan-usaha-detail/aXhLeFdUdklOMlRYaXhVUHJ2eGExdz09</t>
        </is>
      </c>
      <c r="F106" t="n">
        <v>6</v>
      </c>
      <c r="G106" t="inlineStr">
        <is>
          <t>RK001, RK002, RK003</t>
        </is>
      </c>
      <c r="H106" t="inlineStr">
        <is>
          <t>15 Desember 2008</t>
        </is>
      </c>
      <c r="I106" s="2" t="n">
        <v>46298</v>
      </c>
      <c r="J106" t="inlineStr">
        <is>
          <t>Disetujui</t>
        </is>
      </c>
      <c r="K106" t="n">
        <v>60</v>
      </c>
      <c r="L106" t="inlineStr">
        <is>
          <t>3 Oktober 2026</t>
        </is>
      </c>
      <c r="M106" t="inlineStr">
        <is>
          <t>Jasa Rekayasa Konstruksi Bangunan Gedung Hunian dan Non Hunian, Jasa Rekayasa Pekerjaan Teknik Sipil Sumber Daya Air, Jasa Rekayasa Pekerjaan Teknik Sipil Transportasi</t>
        </is>
      </c>
      <c r="N106" t="inlineStr">
        <is>
          <t>K</t>
        </is>
      </c>
      <c r="O106" t="inlineStr">
        <is>
          <t>20230926</t>
        </is>
      </c>
      <c r="P106" t="inlineStr">
        <is>
          <t>Kalimantan Timur</t>
        </is>
      </c>
      <c r="Q106" t="inlineStr"/>
    </row>
    <row r="107">
      <c r="A107" t="inlineStr">
        <is>
          <t>MEDINA KARYA CIPTA</t>
        </is>
      </c>
      <c r="B107" t="inlineStr">
        <is>
          <t>Kab. Pekalongan</t>
        </is>
      </c>
      <c r="C107" t="inlineStr">
        <is>
          <t>085742339440</t>
        </is>
      </c>
      <c r="D107" t="inlineStr">
        <is>
          <t>ptmedinakaryacipta@gmail.com</t>
        </is>
      </c>
      <c r="E107" t="inlineStr">
        <is>
          <t>https://lpjk.pu.go.id/search-badan-usaha-detail/Mk1ZYks2NkJONm5reEZYaGptV0YwQT09</t>
        </is>
      </c>
      <c r="F107" t="n">
        <v>1</v>
      </c>
      <c r="G107" t="inlineStr">
        <is>
          <t>BG002</t>
        </is>
      </c>
      <c r="H107" t="inlineStr">
        <is>
          <t>3 Agustus 2023</t>
        </is>
      </c>
      <c r="I107" s="2" t="n">
        <v>46298</v>
      </c>
      <c r="J107" t="inlineStr">
        <is>
          <t>Disetujui</t>
        </is>
      </c>
      <c r="K107" t="n">
        <v>60</v>
      </c>
      <c r="L107" t="inlineStr">
        <is>
          <t>3 Oktober 2026</t>
        </is>
      </c>
      <c r="M107" t="inlineStr">
        <is>
          <t>Konstruksi Gedung Perkantoran</t>
        </is>
      </c>
      <c r="N107" t="inlineStr">
        <is>
          <t>K</t>
        </is>
      </c>
      <c r="O107" t="inlineStr">
        <is>
          <t>20231003</t>
        </is>
      </c>
      <c r="P107" t="inlineStr">
        <is>
          <t>Jawa Tengah</t>
        </is>
      </c>
      <c r="Q107" t="inlineStr"/>
    </row>
    <row r="108">
      <c r="A108" t="inlineStr">
        <is>
          <t>MEKAR RAYA SEJATI</t>
        </is>
      </c>
      <c r="B108" t="inlineStr">
        <is>
          <t>Kab. Sukabumi</t>
        </is>
      </c>
      <c r="C108" t="inlineStr">
        <is>
          <t>081573801117</t>
        </is>
      </c>
      <c r="D108" t="inlineStr">
        <is>
          <t>mekaraya09@gmail.com</t>
        </is>
      </c>
      <c r="E108" t="inlineStr">
        <is>
          <t>https://lpjk.pu.go.id/search-badan-usaha-detail/Zllub29WdEt4VEtDQlEyRG9JeGJvUT09</t>
        </is>
      </c>
      <c r="F108" t="n">
        <v>4</v>
      </c>
      <c r="G108" t="inlineStr">
        <is>
          <t>BG004, BG006</t>
        </is>
      </c>
      <c r="H108" t="inlineStr">
        <is>
          <t>1 Juli 2008</t>
        </is>
      </c>
      <c r="I108" s="2" t="n">
        <v>46298</v>
      </c>
      <c r="J108" t="inlineStr">
        <is>
          <t>Pencabutan</t>
        </is>
      </c>
      <c r="K108" t="n">
        <v>60</v>
      </c>
      <c r="L108" t="inlineStr">
        <is>
          <t>3 Oktober 2026</t>
        </is>
      </c>
      <c r="M108" t="inlineStr">
        <is>
          <t>Konstruksi Gedung Pendidikan, Konstruksi Gedung Perbelanjaan</t>
        </is>
      </c>
      <c r="N108" t="inlineStr">
        <is>
          <t>K</t>
        </is>
      </c>
      <c r="O108" t="inlineStr">
        <is>
          <t>20231003</t>
        </is>
      </c>
      <c r="P108" t="inlineStr">
        <is>
          <t>Jawa Barat</t>
        </is>
      </c>
      <c r="Q108" t="inlineStr"/>
    </row>
    <row r="109">
      <c r="A109" t="inlineStr">
        <is>
          <t>MITRA PERKASA BERSAMA</t>
        </is>
      </c>
      <c r="B109" t="inlineStr">
        <is>
          <t>Kota Jambi</t>
        </is>
      </c>
      <c r="C109" t="inlineStr">
        <is>
          <t>082371116464</t>
        </is>
      </c>
      <c r="D109" t="inlineStr">
        <is>
          <t>mitraabadiperkasa012@gmail.com</t>
        </is>
      </c>
      <c r="E109" t="inlineStr">
        <is>
          <t>https://lpjk.pu.go.id/search-badan-usaha-detail/dVFIVnZGR1kvV0R4aFdzMFk5MUVYUT09</t>
        </is>
      </c>
      <c r="F109" t="n">
        <v>1</v>
      </c>
      <c r="G109" t="inlineStr">
        <is>
          <t>BS001</t>
        </is>
      </c>
      <c r="H109" t="inlineStr">
        <is>
          <t>12 Juni 2023</t>
        </is>
      </c>
      <c r="I109" s="2" t="n">
        <v>46298</v>
      </c>
      <c r="J109" t="inlineStr">
        <is>
          <t>Pencabutan</t>
        </is>
      </c>
      <c r="K109" t="n">
        <v>60</v>
      </c>
      <c r="L109" t="inlineStr">
        <is>
          <t>3 Oktober 2026</t>
        </is>
      </c>
      <c r="M109" t="inlineStr">
        <is>
          <t>Konstruksi Bangunan Sipil Jalan</t>
        </is>
      </c>
      <c r="N109" t="inlineStr">
        <is>
          <t>K</t>
        </is>
      </c>
      <c r="O109" t="inlineStr">
        <is>
          <t>20230926</t>
        </is>
      </c>
      <c r="P109" t="inlineStr">
        <is>
          <t>Jambi</t>
        </is>
      </c>
      <c r="Q109" t="inlineStr"/>
    </row>
    <row r="110">
      <c r="A110" t="inlineStr">
        <is>
          <t>MITRA PRATAMA &amp; CO</t>
        </is>
      </c>
      <c r="B110" t="inlineStr">
        <is>
          <t>Kota Padang</t>
        </is>
      </c>
      <c r="C110" t="inlineStr">
        <is>
          <t>08126604654</t>
        </is>
      </c>
      <c r="D110" t="inlineStr">
        <is>
          <t>mitrapratamapadang@gmail.com</t>
        </is>
      </c>
      <c r="E110" t="inlineStr">
        <is>
          <t>https://lpjk.pu.go.id/search-badan-usaha-detail/ZFRsTXVxbE03VmNmU2RZSVc0VzhPZz09</t>
        </is>
      </c>
      <c r="F110" t="n">
        <v>1</v>
      </c>
      <c r="G110" t="inlineStr">
        <is>
          <t>BG009</t>
        </is>
      </c>
      <c r="H110" t="inlineStr">
        <is>
          <t>11 Juni 1999</t>
        </is>
      </c>
      <c r="I110" s="2" t="n">
        <v>46298</v>
      </c>
      <c r="J110" t="inlineStr">
        <is>
          <t>Disetujui</t>
        </is>
      </c>
      <c r="K110" t="n">
        <v>60</v>
      </c>
      <c r="L110" t="inlineStr">
        <is>
          <t>3 Oktober 2026</t>
        </is>
      </c>
      <c r="M110" t="inlineStr">
        <is>
          <t>Konstruksi Gedung Lainnya</t>
        </is>
      </c>
      <c r="N110" t="inlineStr">
        <is>
          <t>K</t>
        </is>
      </c>
      <c r="O110" t="inlineStr">
        <is>
          <t>20231002</t>
        </is>
      </c>
      <c r="P110" t="inlineStr">
        <is>
          <t>Sumatera Barat</t>
        </is>
      </c>
      <c r="Q110" t="inlineStr"/>
    </row>
    <row r="111">
      <c r="A111" t="inlineStr">
        <is>
          <t>MITRA UTAMA</t>
        </is>
      </c>
      <c r="B111" t="inlineStr">
        <is>
          <t>Kab. Barito Selatan</t>
        </is>
      </c>
      <c r="C111" t="inlineStr">
        <is>
          <t>081348037447</t>
        </is>
      </c>
      <c r="D111" t="inlineStr">
        <is>
          <t>mitrautama.cv23@gmail.com</t>
        </is>
      </c>
      <c r="E111" t="inlineStr">
        <is>
          <t>https://lpjk.pu.go.id/search-badan-usaha-detail/dFI4SzBmRGRwekNYa1dReXJhTC9OQT09</t>
        </is>
      </c>
      <c r="F111" t="n">
        <v>1</v>
      </c>
      <c r="G111" t="inlineStr">
        <is>
          <t>BG006</t>
        </is>
      </c>
      <c r="H111" t="inlineStr">
        <is>
          <t>26 Maret 1990</t>
        </is>
      </c>
      <c r="I111" s="2" t="n">
        <v>46298</v>
      </c>
      <c r="J111" t="inlineStr">
        <is>
          <t>Disetujui</t>
        </is>
      </c>
      <c r="K111" t="n">
        <v>60</v>
      </c>
      <c r="L111" t="inlineStr">
        <is>
          <t>3 Oktober 2026</t>
        </is>
      </c>
      <c r="M111" t="inlineStr">
        <is>
          <t>Konstruksi Gedung Pendidikan</t>
        </is>
      </c>
      <c r="N111" t="inlineStr">
        <is>
          <t>K</t>
        </is>
      </c>
      <c r="O111" t="inlineStr">
        <is>
          <t>20230929</t>
        </is>
      </c>
      <c r="P111" t="inlineStr">
        <is>
          <t>Kalimantan Tengah</t>
        </is>
      </c>
      <c r="Q111" t="inlineStr"/>
    </row>
    <row r="112">
      <c r="A112" t="inlineStr">
        <is>
          <t>MULTI USAHA TUBAN</t>
        </is>
      </c>
      <c r="B112" t="inlineStr">
        <is>
          <t>Kab. Tuban</t>
        </is>
      </c>
      <c r="C112" t="inlineStr">
        <is>
          <t>082331410900</t>
        </is>
      </c>
      <c r="D112" t="inlineStr">
        <is>
          <t>multiusahatuban01@gmail.com</t>
        </is>
      </c>
      <c r="E112" t="inlineStr">
        <is>
          <t>https://lpjk.pu.go.id/search-badan-usaha-detail/MUQwbnVtZmVVQVg4V0NPOFNoQ2dhZz09</t>
        </is>
      </c>
      <c r="F112" t="n">
        <v>4</v>
      </c>
      <c r="G112" t="inlineStr">
        <is>
          <t>BG002, BG005, BG006, BG009</t>
        </is>
      </c>
      <c r="H112" t="inlineStr">
        <is>
          <t>3 Juni 2021</t>
        </is>
      </c>
      <c r="I112" s="2" t="n">
        <v>46298</v>
      </c>
      <c r="J112" t="inlineStr">
        <is>
          <t>Disetujui</t>
        </is>
      </c>
      <c r="K112" t="n">
        <v>60</v>
      </c>
      <c r="L112" t="inlineStr">
        <is>
          <t>3 Oktober 2026</t>
        </is>
      </c>
      <c r="M112" t="inlineStr">
        <is>
          <t>Konstruksi Gedung Kesehatan, Konstruksi Gedung Lainnya, Konstruksi Gedung Pendidikan, Konstruksi Gedung Perkantoran</t>
        </is>
      </c>
      <c r="N112" t="inlineStr">
        <is>
          <t>K</t>
        </is>
      </c>
      <c r="O112" t="inlineStr">
        <is>
          <t>20230928</t>
        </is>
      </c>
      <c r="P112" t="inlineStr">
        <is>
          <t>Jawa Timur</t>
        </is>
      </c>
      <c r="Q112" t="inlineStr"/>
    </row>
    <row r="113">
      <c r="A113" t="inlineStr">
        <is>
          <t>MUTIARA SINAR PAPUA</t>
        </is>
      </c>
      <c r="B113" t="inlineStr">
        <is>
          <t>Kab. Mimika</t>
        </is>
      </c>
      <c r="C113" t="inlineStr">
        <is>
          <t>081248902020</t>
        </is>
      </c>
      <c r="D113" t="inlineStr">
        <is>
          <t>cvmutiarasinarpapua@gmail.com</t>
        </is>
      </c>
      <c r="E113" t="inlineStr">
        <is>
          <t>https://lpjk.pu.go.id/search-badan-usaha-detail/dU4vN09HbENMNlprU1J0bjQzQ0RHdz09</t>
        </is>
      </c>
      <c r="F113" t="n">
        <v>6</v>
      </c>
      <c r="G113" t="inlineStr">
        <is>
          <t>BG001, BG006, BG009</t>
        </is>
      </c>
      <c r="H113" t="inlineStr">
        <is>
          <t>22 September 2023</t>
        </is>
      </c>
      <c r="I113" s="2" t="n">
        <v>46298</v>
      </c>
      <c r="J113" t="inlineStr">
        <is>
          <t>Pencabutan</t>
        </is>
      </c>
      <c r="K113" t="n">
        <v>60</v>
      </c>
      <c r="L113" t="inlineStr">
        <is>
          <t>3 Oktober 2026</t>
        </is>
      </c>
      <c r="M113" t="inlineStr">
        <is>
          <t>Konstruksi Gedung Hunian, Konstruksi Gedung Lainnya, Konstruksi Gedung Pendidikan</t>
        </is>
      </c>
      <c r="N113" t="inlineStr">
        <is>
          <t>K</t>
        </is>
      </c>
      <c r="O113" t="inlineStr">
        <is>
          <t>20231004</t>
        </is>
      </c>
      <c r="P113" t="inlineStr">
        <is>
          <t>Papua</t>
        </is>
      </c>
      <c r="Q113" t="inlineStr"/>
    </row>
    <row r="114">
      <c r="A114" t="inlineStr">
        <is>
          <t>PRADANA MUTIARA PERKASA</t>
        </is>
      </c>
      <c r="B114" t="inlineStr">
        <is>
          <t>Kota Cilegon</t>
        </is>
      </c>
      <c r="C114" t="inlineStr">
        <is>
          <t>083192333904</t>
        </is>
      </c>
      <c r="D114" t="inlineStr">
        <is>
          <t>pradanamutiaraperkasa@gmail.com</t>
        </is>
      </c>
      <c r="E114" t="inlineStr">
        <is>
          <t>https://lpjk.pu.go.id/search-badan-usaha-detail/c0dUL1JYdDFORFd6TUpud2hBeEloUT09</t>
        </is>
      </c>
      <c r="F114" t="n">
        <v>1</v>
      </c>
      <c r="G114" t="inlineStr">
        <is>
          <t>BG003</t>
        </is>
      </c>
      <c r="H114" t="inlineStr">
        <is>
          <t>9 September 2016</t>
        </is>
      </c>
      <c r="I114" s="2" t="n">
        <v>46298</v>
      </c>
      <c r="J114" t="inlineStr">
        <is>
          <t>Disetujui</t>
        </is>
      </c>
      <c r="K114" t="n">
        <v>60</v>
      </c>
      <c r="L114" t="inlineStr">
        <is>
          <t>3 Oktober 2026</t>
        </is>
      </c>
      <c r="M114" t="inlineStr">
        <is>
          <t>Konstruksi Gedung Industri</t>
        </is>
      </c>
      <c r="N114" t="inlineStr">
        <is>
          <t>K</t>
        </is>
      </c>
      <c r="O114" t="inlineStr">
        <is>
          <t>20231001</t>
        </is>
      </c>
      <c r="P114" t="inlineStr">
        <is>
          <t>Banten</t>
        </is>
      </c>
      <c r="Q114" t="inlineStr"/>
    </row>
    <row r="115">
      <c r="A115" t="inlineStr">
        <is>
          <t>PRIMA MANDIRI</t>
        </is>
      </c>
      <c r="B115" t="inlineStr">
        <is>
          <t>Kab. Kediri</t>
        </is>
      </c>
      <c r="C115" t="inlineStr">
        <is>
          <t>0822 1326 1120</t>
        </is>
      </c>
      <c r="D115" t="inlineStr">
        <is>
          <t>cv.pmkdr@yahoo.com</t>
        </is>
      </c>
      <c r="E115" t="inlineStr">
        <is>
          <t>https://lpjk.pu.go.id/search-badan-usaha-detail/UUl2YUxHQU5yODVFNURTMzZpY1BSdz09</t>
        </is>
      </c>
      <c r="F115" t="n">
        <v>3</v>
      </c>
      <c r="G115" t="inlineStr">
        <is>
          <t>BG006, BS001</t>
        </is>
      </c>
      <c r="H115" t="inlineStr">
        <is>
          <t>16 Januari 2014</t>
        </is>
      </c>
      <c r="I115" s="2" t="n">
        <v>46298</v>
      </c>
      <c r="J115" t="inlineStr">
        <is>
          <t>Pencabutan</t>
        </is>
      </c>
      <c r="K115" t="n">
        <v>60</v>
      </c>
      <c r="L115" t="inlineStr">
        <is>
          <t>3 Oktober 2026</t>
        </is>
      </c>
      <c r="M115" t="inlineStr">
        <is>
          <t>Konstruksi Bangunan Sipil Jalan, Konstruksi Gedung Pendidikan</t>
        </is>
      </c>
      <c r="N115" t="inlineStr">
        <is>
          <t>K</t>
        </is>
      </c>
      <c r="O115" t="inlineStr">
        <is>
          <t>20230927</t>
        </is>
      </c>
      <c r="P115" t="inlineStr">
        <is>
          <t>Jawa Timur</t>
        </is>
      </c>
      <c r="Q115" t="inlineStr"/>
    </row>
    <row r="116">
      <c r="A116" t="inlineStr">
        <is>
          <t>PT. TATHA GROUP</t>
        </is>
      </c>
      <c r="B116" t="inlineStr">
        <is>
          <t>Kab. Deli Serdang</t>
        </is>
      </c>
      <c r="C116" t="inlineStr">
        <is>
          <t>0618461411</t>
        </is>
      </c>
      <c r="D116" t="inlineStr">
        <is>
          <t>grouptatha@gmail.com</t>
        </is>
      </c>
      <c r="E116" t="inlineStr">
        <is>
          <t>https://lpjk.pu.go.id/search-badan-usaha-detail/N1Z0azJKNkFYSStOR1IwMnhRQ09XQT09</t>
        </is>
      </c>
      <c r="F116" t="n">
        <v>1</v>
      </c>
      <c r="G116" t="inlineStr">
        <is>
          <t>BG005</t>
        </is>
      </c>
      <c r="H116" t="inlineStr">
        <is>
          <t>30 September 2004</t>
        </is>
      </c>
      <c r="I116" s="2" t="n">
        <v>46298</v>
      </c>
      <c r="J116" t="inlineStr">
        <is>
          <t>Pencabutan</t>
        </is>
      </c>
      <c r="K116" t="n">
        <v>60</v>
      </c>
      <c r="L116" t="inlineStr">
        <is>
          <t>3 Oktober 2026</t>
        </is>
      </c>
      <c r="M116" t="inlineStr">
        <is>
          <t>Konstruksi Gedung Kesehatan</t>
        </is>
      </c>
      <c r="N116" t="inlineStr">
        <is>
          <t>K</t>
        </is>
      </c>
      <c r="O116" t="inlineStr">
        <is>
          <t>20230916</t>
        </is>
      </c>
      <c r="P116" t="inlineStr">
        <is>
          <t>Sumatera Utara</t>
        </is>
      </c>
      <c r="Q116" t="inlineStr"/>
    </row>
    <row r="117">
      <c r="A117" t="inlineStr">
        <is>
          <t>PUTRA AGUNG</t>
        </is>
      </c>
      <c r="B117" t="inlineStr">
        <is>
          <t>Kab. Subang</t>
        </is>
      </c>
      <c r="C117" t="inlineStr">
        <is>
          <t>081394815809</t>
        </is>
      </c>
      <c r="D117" t="inlineStr">
        <is>
          <t>putraagungcv51@gmail.com</t>
        </is>
      </c>
      <c r="E117" t="inlineStr">
        <is>
          <t>https://lpjk.pu.go.id/search-badan-usaha-detail/TGR5ekdBd0VoTEp2Q2RoOVdWTlVVQT09</t>
        </is>
      </c>
      <c r="F117" t="n">
        <v>1</v>
      </c>
      <c r="G117" t="inlineStr">
        <is>
          <t>BS001</t>
        </is>
      </c>
      <c r="H117" t="inlineStr">
        <is>
          <t>1 Juni 1979</t>
        </is>
      </c>
      <c r="I117" s="2" t="n">
        <v>46298</v>
      </c>
      <c r="J117" t="inlineStr">
        <is>
          <t>Disetujui</t>
        </is>
      </c>
      <c r="K117" t="n">
        <v>60</v>
      </c>
      <c r="L117" t="inlineStr">
        <is>
          <t>3 Oktober 2026</t>
        </is>
      </c>
      <c r="M117" t="inlineStr">
        <is>
          <t>Konstruksi Bangunan Sipil Jalan</t>
        </is>
      </c>
      <c r="N117" t="inlineStr">
        <is>
          <t>K</t>
        </is>
      </c>
      <c r="O117" t="inlineStr">
        <is>
          <t>20231002</t>
        </is>
      </c>
      <c r="P117" t="inlineStr">
        <is>
          <t>Jawa Barat</t>
        </is>
      </c>
      <c r="Q117" t="inlineStr"/>
    </row>
    <row r="118">
      <c r="A118" t="inlineStr">
        <is>
          <t>PUTRA KEMBAR</t>
        </is>
      </c>
      <c r="B118" t="inlineStr">
        <is>
          <t>Kab. Bangka</t>
        </is>
      </c>
      <c r="C118" t="inlineStr">
        <is>
          <t>085268042467</t>
        </is>
      </c>
      <c r="D118" t="inlineStr">
        <is>
          <t>pk_putrakembar@yahoo.com</t>
        </is>
      </c>
      <c r="E118" t="inlineStr">
        <is>
          <t>https://lpjk.pu.go.id/search-badan-usaha-detail/UW1xeFFMZmo1OE44b3NTZW4vVWRqUT09</t>
        </is>
      </c>
      <c r="F118" t="n">
        <v>1</v>
      </c>
      <c r="G118" t="inlineStr">
        <is>
          <t>BS004</t>
        </is>
      </c>
      <c r="H118" t="inlineStr">
        <is>
          <t>9 Juni 2015</t>
        </is>
      </c>
      <c r="I118" s="2" t="n">
        <v>46298</v>
      </c>
      <c r="J118" t="inlineStr">
        <is>
          <t>Disetujui</t>
        </is>
      </c>
      <c r="K118" t="n">
        <v>60</v>
      </c>
      <c r="L118" t="inlineStr">
        <is>
          <t>3 Oktober 2026</t>
        </is>
      </c>
      <c r="M118" t="inlineStr">
        <is>
          <t>Konstruksi Jaringan Irigasi dan Drainase</t>
        </is>
      </c>
      <c r="N118" t="inlineStr">
        <is>
          <t>K</t>
        </is>
      </c>
      <c r="O118" t="inlineStr">
        <is>
          <t>20230920</t>
        </is>
      </c>
      <c r="P118" t="inlineStr">
        <is>
          <t>Kepulauan Bangka Belitung</t>
        </is>
      </c>
      <c r="Q118" t="inlineStr"/>
    </row>
    <row r="119">
      <c r="A119" t="inlineStr">
        <is>
          <t>PUTRA PURNAWARMAN SELATAN</t>
        </is>
      </c>
      <c r="B119" t="inlineStr">
        <is>
          <t>Kab. Purwakarta</t>
        </is>
      </c>
      <c r="C119" t="inlineStr">
        <is>
          <t>081804072473</t>
        </is>
      </c>
      <c r="D119" t="inlineStr">
        <is>
          <t>cv.putrapurnawarmanselatan@gmail.com</t>
        </is>
      </c>
      <c r="E119" t="inlineStr">
        <is>
          <t>https://lpjk.pu.go.id/search-badan-usaha-detail/SkpTRmJQd1M4UnR5dlNpTnhsTDJDUT09</t>
        </is>
      </c>
      <c r="F119" t="n">
        <v>1</v>
      </c>
      <c r="G119" t="inlineStr">
        <is>
          <t>BS001</t>
        </is>
      </c>
      <c r="H119" t="inlineStr">
        <is>
          <t>21 Agustus 2023</t>
        </is>
      </c>
      <c r="I119" s="2" t="n">
        <v>46298</v>
      </c>
      <c r="J119" t="inlineStr">
        <is>
          <t>Disetujui</t>
        </is>
      </c>
      <c r="K119" t="n">
        <v>60</v>
      </c>
      <c r="L119" t="inlineStr">
        <is>
          <t>3 Oktober 2026</t>
        </is>
      </c>
      <c r="M119" t="inlineStr">
        <is>
          <t>Konstruksi Bangunan Sipil Jalan</t>
        </is>
      </c>
      <c r="N119" t="inlineStr">
        <is>
          <t>K</t>
        </is>
      </c>
      <c r="O119" t="inlineStr">
        <is>
          <t>20230925</t>
        </is>
      </c>
      <c r="P119" t="inlineStr">
        <is>
          <t>Jawa Barat</t>
        </is>
      </c>
      <c r="Q119" t="inlineStr"/>
    </row>
    <row r="120">
      <c r="A120" t="inlineStr">
        <is>
          <t>PUTRA VICTORY CONSULTANT</t>
        </is>
      </c>
      <c r="B120" t="inlineStr">
        <is>
          <t>Kota Pematangsiantar</t>
        </is>
      </c>
      <c r="C120" t="inlineStr">
        <is>
          <t>085275362518</t>
        </is>
      </c>
      <c r="D120" t="inlineStr">
        <is>
          <t>cvputravictoryconsultant@yahoo.com</t>
        </is>
      </c>
      <c r="E120" t="inlineStr">
        <is>
          <t>https://lpjk.pu.go.id/search-badan-usaha-detail/Q2NVaHhRUUtBNkFUUXpUdnQzcGsrZz09</t>
        </is>
      </c>
      <c r="F120" t="n">
        <v>1</v>
      </c>
      <c r="G120" t="inlineStr">
        <is>
          <t>RK001</t>
        </is>
      </c>
      <c r="H120" t="inlineStr">
        <is>
          <t>4 Januari 2010</t>
        </is>
      </c>
      <c r="I120" s="2" t="n">
        <v>46298</v>
      </c>
      <c r="J120" t="inlineStr">
        <is>
          <t>Disetujui</t>
        </is>
      </c>
      <c r="K120" t="n">
        <v>60</v>
      </c>
      <c r="L120" t="inlineStr">
        <is>
          <t>3 Oktober 2026</t>
        </is>
      </c>
      <c r="M120" t="inlineStr">
        <is>
          <t>Jasa Rekayasa Konstruksi Bangunan Gedung Hunian dan Non Hunian</t>
        </is>
      </c>
      <c r="N120" t="inlineStr">
        <is>
          <t>K</t>
        </is>
      </c>
      <c r="O120" t="inlineStr">
        <is>
          <t>20230912</t>
        </is>
      </c>
      <c r="P120" t="inlineStr">
        <is>
          <t>Sumatera Utara</t>
        </is>
      </c>
      <c r="Q120" t="inlineStr"/>
    </row>
    <row r="121">
      <c r="A121" t="inlineStr">
        <is>
          <t>PUTRI DALILAH</t>
        </is>
      </c>
      <c r="B121" t="inlineStr">
        <is>
          <t>Kota Bima</t>
        </is>
      </c>
      <c r="C121" t="inlineStr">
        <is>
          <t>085337997838</t>
        </is>
      </c>
      <c r="D121" t="inlineStr">
        <is>
          <t>putridalilah93@yahoo.com</t>
        </is>
      </c>
      <c r="E121" t="inlineStr">
        <is>
          <t>https://lpjk.pu.go.id/search-badan-usaha-detail/K1lmb2ZnQW43UmF1SFJ1ekk0QXR6Zz09</t>
        </is>
      </c>
      <c r="F121" t="n">
        <v>2</v>
      </c>
      <c r="G121" t="inlineStr">
        <is>
          <t>BG006, BS005</t>
        </is>
      </c>
      <c r="H121" t="inlineStr">
        <is>
          <t>22 Desember 2001</t>
        </is>
      </c>
      <c r="I121" s="2" t="n">
        <v>46298</v>
      </c>
      <c r="J121" t="inlineStr">
        <is>
          <t>Disetujui</t>
        </is>
      </c>
      <c r="K121" t="n">
        <v>60</v>
      </c>
      <c r="L121" t="inlineStr">
        <is>
          <t>3 Oktober 2026</t>
        </is>
      </c>
      <c r="M121" t="inlineStr">
        <is>
          <t>Konstruksi Bangunan Sipil Pengolahan Air Bersih, Konstruksi Gedung Pendidikan</t>
        </is>
      </c>
      <c r="N121" t="inlineStr">
        <is>
          <t>K</t>
        </is>
      </c>
      <c r="O121" t="inlineStr">
        <is>
          <t>20231002</t>
        </is>
      </c>
      <c r="P121" t="inlineStr">
        <is>
          <t>Nusa Tenggara Barat</t>
        </is>
      </c>
      <c r="Q121" t="inlineStr"/>
    </row>
    <row r="122">
      <c r="A122" t="inlineStr">
        <is>
          <t>RAFFA HELICAL BRONZE</t>
        </is>
      </c>
      <c r="B122" t="inlineStr">
        <is>
          <t>Kota Cilegon</t>
        </is>
      </c>
      <c r="C122" t="inlineStr">
        <is>
          <t>0254398388</t>
        </is>
      </c>
      <c r="D122" t="inlineStr">
        <is>
          <t>pt.raffahelical@yahoo.co.id</t>
        </is>
      </c>
      <c r="E122" t="inlineStr">
        <is>
          <t>https://lpjk.pu.go.id/search-badan-usaha-detail/cGZZSE9lTUxuNW5FMk9SRWI0cldBUT09</t>
        </is>
      </c>
      <c r="F122" t="n">
        <v>2</v>
      </c>
      <c r="G122" t="inlineStr">
        <is>
          <t>BG003</t>
        </is>
      </c>
      <c r="H122" t="inlineStr">
        <is>
          <t>19 Mei 2010</t>
        </is>
      </c>
      <c r="I122" s="2" t="n">
        <v>46298</v>
      </c>
      <c r="J122" t="inlineStr">
        <is>
          <t>Disetujui</t>
        </is>
      </c>
      <c r="K122" t="n">
        <v>60</v>
      </c>
      <c r="L122" t="inlineStr">
        <is>
          <t>3 Oktober 2026</t>
        </is>
      </c>
      <c r="M122" t="inlineStr">
        <is>
          <t>Konstruksi Gedung Industri</t>
        </is>
      </c>
      <c r="N122" t="inlineStr">
        <is>
          <t>K</t>
        </is>
      </c>
      <c r="O122" t="inlineStr">
        <is>
          <t>20231003</t>
        </is>
      </c>
      <c r="P122" t="inlineStr">
        <is>
          <t>Banten</t>
        </is>
      </c>
      <c r="Q122" t="inlineStr"/>
    </row>
    <row r="123">
      <c r="A123" t="inlineStr">
        <is>
          <t>RAFFASYA</t>
        </is>
      </c>
      <c r="B123" t="inlineStr">
        <is>
          <t>Kab. Tanjung Jabung Barat</t>
        </is>
      </c>
      <c r="C123" t="inlineStr">
        <is>
          <t>082281042835</t>
        </is>
      </c>
      <c r="D123" t="inlineStr">
        <is>
          <t>raffasyacv@gmail.com</t>
        </is>
      </c>
      <c r="E123" t="inlineStr">
        <is>
          <t>https://lpjk.pu.go.id/search-badan-usaha-detail/Y0ZCdHNtOXFWRmRUWXQ0UHZya21HUT09</t>
        </is>
      </c>
      <c r="F123" t="n">
        <v>8</v>
      </c>
      <c r="G123" t="inlineStr">
        <is>
          <t>BG005, BG006, BG009, BS004</t>
        </is>
      </c>
      <c r="H123" t="inlineStr">
        <is>
          <t>26 Januari 2022</t>
        </is>
      </c>
      <c r="I123" s="2" t="n">
        <v>46298</v>
      </c>
      <c r="J123" t="inlineStr">
        <is>
          <t>Disetujui</t>
        </is>
      </c>
      <c r="K123" t="n">
        <v>60</v>
      </c>
      <c r="L123" t="inlineStr">
        <is>
          <t>3 Oktober 2026</t>
        </is>
      </c>
      <c r="M123" t="inlineStr">
        <is>
          <t>Konstruksi Gedung Kesehatan, Konstruksi Gedung Lainnya, Konstruksi Gedung Pendidikan, Konstruksi Jaringan Irigasi dan Drainase</t>
        </is>
      </c>
      <c r="N123" t="inlineStr">
        <is>
          <t>K</t>
        </is>
      </c>
      <c r="O123" t="inlineStr">
        <is>
          <t>20230911, 20230922</t>
        </is>
      </c>
      <c r="P123" t="inlineStr">
        <is>
          <t>Jambi</t>
        </is>
      </c>
      <c r="Q123" t="inlineStr"/>
    </row>
    <row r="124">
      <c r="A124" t="inlineStr">
        <is>
          <t>RAHAAYU PUTRA MANDIRI</t>
        </is>
      </c>
      <c r="B124" t="inlineStr">
        <is>
          <t>Kota Tasikmalaya</t>
        </is>
      </c>
      <c r="C124" t="inlineStr">
        <is>
          <t>082219436963</t>
        </is>
      </c>
      <c r="D124" t="inlineStr">
        <is>
          <t>rahaayuputramandiri@gmail.com</t>
        </is>
      </c>
      <c r="E124" t="inlineStr">
        <is>
          <t>https://lpjk.pu.go.id/search-badan-usaha-detail/SW5KK1JMRjlVV1BLNzBPQXp1UENDUT09</t>
        </is>
      </c>
      <c r="F124" t="n">
        <v>1</v>
      </c>
      <c r="G124" t="inlineStr">
        <is>
          <t>BS004</t>
        </is>
      </c>
      <c r="H124" t="inlineStr">
        <is>
          <t>8 Mei 2023</t>
        </is>
      </c>
      <c r="I124" s="2" t="n">
        <v>46298</v>
      </c>
      <c r="J124" t="inlineStr">
        <is>
          <t>Disetujui</t>
        </is>
      </c>
      <c r="K124" t="n">
        <v>60</v>
      </c>
      <c r="L124" t="inlineStr">
        <is>
          <t>3 Oktober 2026</t>
        </is>
      </c>
      <c r="M124" t="inlineStr">
        <is>
          <t>Konstruksi Jaringan Irigasi dan Drainase</t>
        </is>
      </c>
      <c r="N124" t="inlineStr">
        <is>
          <t>K</t>
        </is>
      </c>
      <c r="O124" t="inlineStr">
        <is>
          <t>20230926</t>
        </is>
      </c>
      <c r="P124" t="inlineStr">
        <is>
          <t>Jawa Barat</t>
        </is>
      </c>
      <c r="Q124" t="inlineStr"/>
    </row>
    <row r="125">
      <c r="A125" t="inlineStr">
        <is>
          <t>RAMA SUKSES MANDIRI</t>
        </is>
      </c>
      <c r="B125" t="inlineStr">
        <is>
          <t>Kota Semarang</t>
        </is>
      </c>
      <c r="C125" t="inlineStr">
        <is>
          <t>0248508134</t>
        </is>
      </c>
      <c r="D125" t="inlineStr">
        <is>
          <t>ptrama.sm@gmail.com</t>
        </is>
      </c>
      <c r="E125" t="inlineStr">
        <is>
          <t>https://lpjk.pu.go.id/search-badan-usaha-detail/WE81NUVDZGxacU9yQ3RGdGRBR1F3dz09</t>
        </is>
      </c>
      <c r="F125" t="n">
        <v>2</v>
      </c>
      <c r="G125" t="inlineStr">
        <is>
          <t>BG005, BG008</t>
        </is>
      </c>
      <c r="H125" t="inlineStr">
        <is>
          <t>22 Maret 2010</t>
        </is>
      </c>
      <c r="I125" s="2" t="n">
        <v>46298</v>
      </c>
      <c r="J125" t="inlineStr">
        <is>
          <t>Disetujui</t>
        </is>
      </c>
      <c r="K125" t="n">
        <v>60</v>
      </c>
      <c r="L125" t="inlineStr">
        <is>
          <t>3 Oktober 2026</t>
        </is>
      </c>
      <c r="M125" t="inlineStr">
        <is>
          <t>Konstruksi Gedung Kesehatan, Konstruksi Gedung Tempat Hiburan dan Olahraga</t>
        </is>
      </c>
      <c r="N125" t="inlineStr">
        <is>
          <t>K</t>
        </is>
      </c>
      <c r="O125" t="inlineStr">
        <is>
          <t>20231002</t>
        </is>
      </c>
      <c r="P125" t="inlineStr">
        <is>
          <t>Jawa Tengah</t>
        </is>
      </c>
      <c r="Q125" t="inlineStr"/>
    </row>
    <row r="126">
      <c r="A126" t="inlineStr">
        <is>
          <t>RANGGA MAKAZZA</t>
        </is>
      </c>
      <c r="B126" t="inlineStr">
        <is>
          <t>Kab. Dompu</t>
        </is>
      </c>
      <c r="C126" t="inlineStr">
        <is>
          <t>0818541378</t>
        </is>
      </c>
      <c r="D126" t="inlineStr">
        <is>
          <t>cv.ranggakazza@gmail.com</t>
        </is>
      </c>
      <c r="E126" t="inlineStr">
        <is>
          <t>https://lpjk.pu.go.id/search-badan-usaha-detail/Z0huWUE2SGJETDVJNEc1RDZjZ2ZWUT09</t>
        </is>
      </c>
      <c r="F126" t="n">
        <v>5</v>
      </c>
      <c r="G126" t="inlineStr">
        <is>
          <t>BG001, BG004, BG005, BG006, BG009</t>
        </is>
      </c>
      <c r="H126" t="inlineStr">
        <is>
          <t>19 November 2005</t>
        </is>
      </c>
      <c r="I126" s="2" t="n">
        <v>46298</v>
      </c>
      <c r="J126" t="inlineStr">
        <is>
          <t>Disetujui</t>
        </is>
      </c>
      <c r="K126" t="n">
        <v>60</v>
      </c>
      <c r="L126" t="inlineStr">
        <is>
          <t>3 Oktober 2026</t>
        </is>
      </c>
      <c r="M126" t="inlineStr">
        <is>
          <t>Konstruksi Gedung Hunian, Konstruksi Gedung Kesehatan, Konstruksi Gedung Lainnya, Konstruksi Gedung Pendidikan, Konstruksi Gedung Perbelanjaan</t>
        </is>
      </c>
      <c r="N126" t="inlineStr">
        <is>
          <t>K</t>
        </is>
      </c>
      <c r="O126" t="inlineStr">
        <is>
          <t>20231004</t>
        </is>
      </c>
      <c r="P126" t="inlineStr">
        <is>
          <t>Nusa Tenggara Barat</t>
        </is>
      </c>
      <c r="Q126" t="inlineStr"/>
    </row>
    <row r="127">
      <c r="A127" t="inlineStr">
        <is>
          <t>RAPIH MULIA</t>
        </is>
      </c>
      <c r="B127" t="inlineStr">
        <is>
          <t>Kab. Cirebon</t>
        </is>
      </c>
      <c r="C127" t="inlineStr">
        <is>
          <t>085315399600</t>
        </is>
      </c>
      <c r="D127" t="inlineStr">
        <is>
          <t>mrapih@yahoo.com</t>
        </is>
      </c>
      <c r="E127" t="inlineStr">
        <is>
          <t>https://lpjk.pu.go.id/search-badan-usaha-detail/ZG03b1dZQmZNbnlvaFliR0hSdEtFdz09</t>
        </is>
      </c>
      <c r="F127" t="n">
        <v>2</v>
      </c>
      <c r="G127" t="inlineStr">
        <is>
          <t>BS010</t>
        </is>
      </c>
      <c r="H127" t="inlineStr">
        <is>
          <t>31 Oktober 2002</t>
        </is>
      </c>
      <c r="I127" s="2" t="n">
        <v>46298</v>
      </c>
      <c r="J127" t="inlineStr">
        <is>
          <t>Disetujui</t>
        </is>
      </c>
      <c r="K127" t="n">
        <v>60</v>
      </c>
      <c r="L127" t="inlineStr">
        <is>
          <t>3 Oktober 2026</t>
        </is>
      </c>
      <c r="M127" t="inlineStr">
        <is>
          <t>Konstruksi Bangunan Prasarana Sumber Daya Air</t>
        </is>
      </c>
      <c r="N127" t="inlineStr">
        <is>
          <t>K</t>
        </is>
      </c>
      <c r="O127" t="inlineStr">
        <is>
          <t>20231003</t>
        </is>
      </c>
      <c r="P127" t="inlineStr">
        <is>
          <t>Jawa Barat</t>
        </is>
      </c>
      <c r="Q127" t="inlineStr"/>
    </row>
    <row r="128">
      <c r="A128" t="inlineStr">
        <is>
          <t>RATRA GLOBAL MANDIRI</t>
        </is>
      </c>
      <c r="B128" t="inlineStr">
        <is>
          <t>Kota Bandung</t>
        </is>
      </c>
      <c r="C128" t="inlineStr">
        <is>
          <t>087821206535</t>
        </is>
      </c>
      <c r="D128" t="inlineStr">
        <is>
          <t>ratraglobalmandiri@gmail.com</t>
        </is>
      </c>
      <c r="E128" t="inlineStr">
        <is>
          <t>https://lpjk.pu.go.id/search-badan-usaha-detail/RTh6YksrMkdnZ1pFcTJrendObGl5dz09</t>
        </is>
      </c>
      <c r="F128" t="n">
        <v>3</v>
      </c>
      <c r="G128" t="inlineStr">
        <is>
          <t>BG002, BG003, BG004</t>
        </is>
      </c>
      <c r="H128" t="inlineStr">
        <is>
          <t>23 Maret 2016</t>
        </is>
      </c>
      <c r="I128" s="2" t="n">
        <v>46298</v>
      </c>
      <c r="J128" t="inlineStr">
        <is>
          <t>Pencabutan</t>
        </is>
      </c>
      <c r="K128" t="n">
        <v>60</v>
      </c>
      <c r="L128" t="inlineStr">
        <is>
          <t>3 Oktober 2026</t>
        </is>
      </c>
      <c r="M128" t="inlineStr">
        <is>
          <t>Konstruksi Gedung Industri, Konstruksi Gedung Perbelanjaan, Konstruksi Gedung Perkantoran</t>
        </is>
      </c>
      <c r="N128" t="inlineStr">
        <is>
          <t>K</t>
        </is>
      </c>
      <c r="O128" t="inlineStr">
        <is>
          <t>20231003, 20231004</t>
        </is>
      </c>
      <c r="P128" t="inlineStr">
        <is>
          <t>Jawa Barat</t>
        </is>
      </c>
      <c r="Q128" t="inlineStr"/>
    </row>
    <row r="129">
      <c r="A129" t="inlineStr">
        <is>
          <t>REKAYASA UTAMA</t>
        </is>
      </c>
      <c r="B129" t="inlineStr">
        <is>
          <t>Kab. Tabanan</t>
        </is>
      </c>
      <c r="C129" t="inlineStr">
        <is>
          <t>0361814164</t>
        </is>
      </c>
      <c r="D129" t="inlineStr">
        <is>
          <t>rekayasautamautama@yahoo.co.id</t>
        </is>
      </c>
      <c r="E129" t="inlineStr">
        <is>
          <t>https://lpjk.pu.go.id/search-badan-usaha-detail/ci9sQWlnTjBHUGo1aGI0bFN5Z0VOZz09</t>
        </is>
      </c>
      <c r="F129" t="n">
        <v>2</v>
      </c>
      <c r="G129" t="inlineStr">
        <is>
          <t>BG001</t>
        </is>
      </c>
      <c r="H129" t="inlineStr">
        <is>
          <t>23 Juni 1994</t>
        </is>
      </c>
      <c r="I129" s="2" t="n">
        <v>46298</v>
      </c>
      <c r="J129" t="inlineStr">
        <is>
          <t>Disetujui</t>
        </is>
      </c>
      <c r="K129" t="n">
        <v>60</v>
      </c>
      <c r="L129" t="inlineStr">
        <is>
          <t>3 Oktober 2026</t>
        </is>
      </c>
      <c r="M129" t="inlineStr">
        <is>
          <t>Konstruksi Gedung Hunian</t>
        </is>
      </c>
      <c r="N129" t="inlineStr">
        <is>
          <t>K</t>
        </is>
      </c>
      <c r="O129" t="inlineStr">
        <is>
          <t>20230929</t>
        </is>
      </c>
      <c r="P129" t="inlineStr">
        <is>
          <t>Bali</t>
        </is>
      </c>
      <c r="Q129" t="inlineStr"/>
    </row>
    <row r="130">
      <c r="A130" t="inlineStr">
        <is>
          <t>REYRAKA DINASTY</t>
        </is>
      </c>
      <c r="B130" t="inlineStr">
        <is>
          <t>Kota Bandung</t>
        </is>
      </c>
      <c r="C130" t="inlineStr">
        <is>
          <t>0226027753</t>
        </is>
      </c>
      <c r="D130" t="inlineStr">
        <is>
          <t>pt.reyraka_dinasty@yahoo.com</t>
        </is>
      </c>
      <c r="E130" t="inlineStr">
        <is>
          <t>https://lpjk.pu.go.id/search-badan-usaha-detail/MVdwaUlGd1dqcEhnVEZWd3BRb0FlZz09</t>
        </is>
      </c>
      <c r="F130" t="n">
        <v>3</v>
      </c>
      <c r="G130" t="inlineStr">
        <is>
          <t>BG005, BG006, BG009</t>
        </is>
      </c>
      <c r="H130" t="inlineStr">
        <is>
          <t>29 Mei 2010</t>
        </is>
      </c>
      <c r="I130" s="2" t="n">
        <v>46298</v>
      </c>
      <c r="J130" t="inlineStr">
        <is>
          <t>Disetujui</t>
        </is>
      </c>
      <c r="K130" t="n">
        <v>60</v>
      </c>
      <c r="L130" t="inlineStr">
        <is>
          <t>3 Oktober 2026</t>
        </is>
      </c>
      <c r="M130" t="inlineStr">
        <is>
          <t>Konstruksi Gedung Kesehatan, Konstruksi Gedung Lainnya, Konstruksi Gedung Pendidikan</t>
        </is>
      </c>
      <c r="N130" t="inlineStr">
        <is>
          <t>K</t>
        </is>
      </c>
      <c r="O130" t="inlineStr">
        <is>
          <t>20230928</t>
        </is>
      </c>
      <c r="P130" t="inlineStr">
        <is>
          <t>Jawa Barat</t>
        </is>
      </c>
      <c r="Q130" t="inlineStr"/>
    </row>
    <row r="131">
      <c r="A131" t="inlineStr">
        <is>
          <t>RIDHO KARYA</t>
        </is>
      </c>
      <c r="B131" t="inlineStr">
        <is>
          <t>Kab. Sampang</t>
        </is>
      </c>
      <c r="C131" t="inlineStr">
        <is>
          <t>081703288748</t>
        </is>
      </c>
      <c r="D131" t="inlineStr">
        <is>
          <t>ridho_karya@yahoo.co.id</t>
        </is>
      </c>
      <c r="E131" t="inlineStr">
        <is>
          <t>https://lpjk.pu.go.id/search-badan-usaha-detail/cEpzU21KZ2JoUFdyMXhFUWRIc1U5dz09</t>
        </is>
      </c>
      <c r="F131" t="n">
        <v>1</v>
      </c>
      <c r="G131" t="inlineStr">
        <is>
          <t>BS012</t>
        </is>
      </c>
      <c r="H131" t="inlineStr">
        <is>
          <t>7 Januari 2008</t>
        </is>
      </c>
      <c r="I131" s="2" t="n">
        <v>46298</v>
      </c>
      <c r="J131" t="inlineStr">
        <is>
          <t>Disetujui</t>
        </is>
      </c>
      <c r="K131" t="n">
        <v>60</v>
      </c>
      <c r="L131" t="inlineStr">
        <is>
          <t>3 Oktober 2026</t>
        </is>
      </c>
      <c r="M131" t="inlineStr">
        <is>
          <t>Konstruksi Bangunan Pelabuhan Perikanan</t>
        </is>
      </c>
      <c r="N131" t="inlineStr">
        <is>
          <t>K</t>
        </is>
      </c>
      <c r="O131" t="inlineStr">
        <is>
          <t>20231004</t>
        </is>
      </c>
      <c r="P131" t="inlineStr">
        <is>
          <t>Jawa Timur</t>
        </is>
      </c>
      <c r="Q131" t="inlineStr"/>
    </row>
    <row r="132">
      <c r="A132" t="inlineStr">
        <is>
          <t>SAHAT ALIKAYA</t>
        </is>
      </c>
      <c r="B132" t="inlineStr">
        <is>
          <t>Kab. Tuban</t>
        </is>
      </c>
      <c r="C132" t="inlineStr">
        <is>
          <t>081216738376</t>
        </is>
      </c>
      <c r="D132" t="inlineStr">
        <is>
          <t>cvsahatalikaya@gmail.com</t>
        </is>
      </c>
      <c r="E132" t="inlineStr">
        <is>
          <t>https://lpjk.pu.go.id/search-badan-usaha-detail/MkhVYTNRSklaeCtBWm5kb0g0UVRqUT09</t>
        </is>
      </c>
      <c r="F132" t="n">
        <v>1</v>
      </c>
      <c r="G132" t="inlineStr">
        <is>
          <t>BS004</t>
        </is>
      </c>
      <c r="H132" t="inlineStr">
        <is>
          <t>29 Juli 2023</t>
        </is>
      </c>
      <c r="I132" s="2" t="n">
        <v>46298</v>
      </c>
      <c r="J132" t="inlineStr">
        <is>
          <t>Disetujui</t>
        </is>
      </c>
      <c r="K132" t="n">
        <v>60</v>
      </c>
      <c r="L132" t="inlineStr">
        <is>
          <t>3 Oktober 2026</t>
        </is>
      </c>
      <c r="M132" t="inlineStr">
        <is>
          <t>Konstruksi Jaringan Irigasi dan Drainase</t>
        </is>
      </c>
      <c r="N132" t="inlineStr">
        <is>
          <t>K</t>
        </is>
      </c>
      <c r="O132" t="inlineStr">
        <is>
          <t>20231003</t>
        </is>
      </c>
      <c r="P132" t="inlineStr">
        <is>
          <t>Jawa Timur</t>
        </is>
      </c>
      <c r="Q132" t="inlineStr"/>
    </row>
    <row r="133">
      <c r="A133" t="inlineStr">
        <is>
          <t>SALSABILA USAHA BERSAMA</t>
        </is>
      </c>
      <c r="B133" t="inlineStr">
        <is>
          <t>Kota Jambi</t>
        </is>
      </c>
      <c r="C133" t="inlineStr">
        <is>
          <t>085355539123</t>
        </is>
      </c>
      <c r="D133" t="inlineStr">
        <is>
          <t>cv.salsabilausahabersama@gmail.com</t>
        </is>
      </c>
      <c r="E133" t="inlineStr">
        <is>
          <t>https://lpjk.pu.go.id/search-badan-usaha-detail/d25mMXVlVGppVzlKYzRqZzBjRE9Ddz09</t>
        </is>
      </c>
      <c r="F133" t="n">
        <v>3</v>
      </c>
      <c r="G133" t="inlineStr">
        <is>
          <t>BG002, BG005</t>
        </is>
      </c>
      <c r="H133" t="inlineStr">
        <is>
          <t>2 Agustus 2023</t>
        </is>
      </c>
      <c r="I133" s="2" t="n">
        <v>46298</v>
      </c>
      <c r="J133" t="inlineStr">
        <is>
          <t>Disetujui</t>
        </is>
      </c>
      <c r="K133" t="n">
        <v>60</v>
      </c>
      <c r="L133" t="inlineStr">
        <is>
          <t>3 Oktober 2026</t>
        </is>
      </c>
      <c r="M133" t="inlineStr">
        <is>
          <t>Konstruksi Gedung Kesehatan, Konstruksi Gedung Perkantoran</t>
        </is>
      </c>
      <c r="N133" t="inlineStr">
        <is>
          <t>K</t>
        </is>
      </c>
      <c r="O133" t="inlineStr">
        <is>
          <t>20231002</t>
        </is>
      </c>
      <c r="P133" t="inlineStr">
        <is>
          <t>Jambi</t>
        </is>
      </c>
      <c r="Q133" t="inlineStr"/>
    </row>
    <row r="134">
      <c r="A134" t="inlineStr">
        <is>
          <t>SANCITA</t>
        </is>
      </c>
      <c r="B134" t="inlineStr">
        <is>
          <t>Kab. Kuningan</t>
        </is>
      </c>
      <c r="C134" t="inlineStr">
        <is>
          <t>082318758881</t>
        </is>
      </c>
      <c r="D134" t="inlineStr">
        <is>
          <t>sancitacv@gmail.com</t>
        </is>
      </c>
      <c r="E134" t="inlineStr">
        <is>
          <t>https://lpjk.pu.go.id/search-badan-usaha-detail/V1J3MXRiNUl0Ym5pMHA4Z0Rad1hyQT09</t>
        </is>
      </c>
      <c r="F134" t="n">
        <v>1</v>
      </c>
      <c r="G134" t="inlineStr">
        <is>
          <t>BG002</t>
        </is>
      </c>
      <c r="H134" t="inlineStr">
        <is>
          <t>14 Juni 2006</t>
        </is>
      </c>
      <c r="I134" s="2" t="n">
        <v>46298</v>
      </c>
      <c r="J134" t="inlineStr">
        <is>
          <t>Disetujui</t>
        </is>
      </c>
      <c r="K134" t="n">
        <v>60</v>
      </c>
      <c r="L134" t="inlineStr">
        <is>
          <t>3 Oktober 2026</t>
        </is>
      </c>
      <c r="M134" t="inlineStr">
        <is>
          <t>Konstruksi Gedung Perkantoran</t>
        </is>
      </c>
      <c r="N134" t="inlineStr">
        <is>
          <t>K</t>
        </is>
      </c>
      <c r="O134" t="inlineStr">
        <is>
          <t>20230929</t>
        </is>
      </c>
      <c r="P134" t="inlineStr">
        <is>
          <t>Jawa Barat</t>
        </is>
      </c>
      <c r="Q134" t="inlineStr"/>
    </row>
    <row r="135">
      <c r="A135" t="inlineStr">
        <is>
          <t>SARANA SEKAWAN SEJAHTERA</t>
        </is>
      </c>
      <c r="B135" t="inlineStr">
        <is>
          <t>Kab. Banyuwangi</t>
        </is>
      </c>
      <c r="C135" t="inlineStr">
        <is>
          <t>082257070414</t>
        </is>
      </c>
      <c r="D135" t="inlineStr">
        <is>
          <t>cvsaranasekawansejahtera@gmail.com</t>
        </is>
      </c>
      <c r="E135" t="inlineStr">
        <is>
          <t>https://lpjk.pu.go.id/search-badan-usaha-detail/amxpNXZDSXhQa09nWklyWkswMlhCZz09</t>
        </is>
      </c>
      <c r="F135" t="n">
        <v>1</v>
      </c>
      <c r="G135" t="inlineStr">
        <is>
          <t>BG009</t>
        </is>
      </c>
      <c r="H135" t="inlineStr">
        <is>
          <t>14 Maret 2023</t>
        </is>
      </c>
      <c r="I135" s="2" t="n">
        <v>46298</v>
      </c>
      <c r="J135" t="inlineStr">
        <is>
          <t>Disetujui</t>
        </is>
      </c>
      <c r="K135" t="n">
        <v>60</v>
      </c>
      <c r="L135" t="inlineStr">
        <is>
          <t>3 Oktober 2026</t>
        </is>
      </c>
      <c r="M135" t="inlineStr">
        <is>
          <t>Konstruksi Gedung Lainnya</t>
        </is>
      </c>
      <c r="N135" t="inlineStr">
        <is>
          <t>K</t>
        </is>
      </c>
      <c r="O135" t="inlineStr">
        <is>
          <t>20231003</t>
        </is>
      </c>
      <c r="P135" t="inlineStr">
        <is>
          <t>Jawa Timur</t>
        </is>
      </c>
      <c r="Q135" t="inlineStr"/>
    </row>
    <row r="136">
      <c r="A136" t="inlineStr">
        <is>
          <t>SHAKILA JAYA ABADI</t>
        </is>
      </c>
      <c r="B136" t="inlineStr">
        <is>
          <t>Kab. Majalengka</t>
        </is>
      </c>
      <c r="C136" t="inlineStr">
        <is>
          <t>0</t>
        </is>
      </c>
      <c r="D136" t="inlineStr">
        <is>
          <t>asepjokosutirto.8282@yahoo.com</t>
        </is>
      </c>
      <c r="E136" t="inlineStr">
        <is>
          <t>https://lpjk.pu.go.id/search-badan-usaha-detail/cmoxL21ucE5hUlh1OVBKdkVqZzJhZz09</t>
        </is>
      </c>
      <c r="F136" t="n">
        <v>1</v>
      </c>
      <c r="G136" t="inlineStr">
        <is>
          <t>BS001</t>
        </is>
      </c>
      <c r="H136" t="inlineStr">
        <is>
          <t>1 Agustus 2013</t>
        </is>
      </c>
      <c r="I136" s="2" t="n">
        <v>46298</v>
      </c>
      <c r="J136" t="inlineStr">
        <is>
          <t>Disetujui</t>
        </is>
      </c>
      <c r="K136" t="n">
        <v>60</v>
      </c>
      <c r="L136" t="inlineStr">
        <is>
          <t>3 Oktober 2026</t>
        </is>
      </c>
      <c r="M136" t="inlineStr">
        <is>
          <t>Konstruksi Bangunan Sipil Jalan</t>
        </is>
      </c>
      <c r="N136" t="inlineStr">
        <is>
          <t>K</t>
        </is>
      </c>
      <c r="O136" t="inlineStr">
        <is>
          <t>20231004</t>
        </is>
      </c>
      <c r="P136" t="inlineStr">
        <is>
          <t>Jawa Barat</t>
        </is>
      </c>
      <c r="Q136" t="inlineStr"/>
    </row>
    <row r="137">
      <c r="A137" t="inlineStr">
        <is>
          <t>SINAR KAKAP JAYA</t>
        </is>
      </c>
      <c r="B137" t="inlineStr">
        <is>
          <t>Kab. Kubu Raya</t>
        </is>
      </c>
      <c r="C137" t="inlineStr">
        <is>
          <t>081258594929</t>
        </is>
      </c>
      <c r="D137" t="inlineStr">
        <is>
          <t>sinarkakapjaya65@gmail.com</t>
        </is>
      </c>
      <c r="E137" t="inlineStr">
        <is>
          <t>https://lpjk.pu.go.id/search-badan-usaha-detail/eENNMTFsejZvZy9sRDBlYlgyZWNOZz09</t>
        </is>
      </c>
      <c r="F137" t="n">
        <v>1</v>
      </c>
      <c r="G137" t="inlineStr">
        <is>
          <t>BS001</t>
        </is>
      </c>
      <c r="H137" t="inlineStr">
        <is>
          <t>12 Juni 2006</t>
        </is>
      </c>
      <c r="I137" s="2" t="n">
        <v>46298</v>
      </c>
      <c r="J137" t="inlineStr">
        <is>
          <t>Disetujui</t>
        </is>
      </c>
      <c r="K137" t="n">
        <v>60</v>
      </c>
      <c r="L137" t="inlineStr">
        <is>
          <t>3 Oktober 2026</t>
        </is>
      </c>
      <c r="M137" t="inlineStr">
        <is>
          <t>Konstruksi Bangunan Sipil Jalan</t>
        </is>
      </c>
      <c r="N137" t="inlineStr">
        <is>
          <t>K</t>
        </is>
      </c>
      <c r="O137" t="inlineStr">
        <is>
          <t>20230929</t>
        </is>
      </c>
      <c r="P137" t="inlineStr">
        <is>
          <t>Kalimantan Barat</t>
        </is>
      </c>
      <c r="Q137" t="inlineStr"/>
    </row>
    <row r="138">
      <c r="A138" t="inlineStr">
        <is>
          <t>SINAR TIMU</t>
        </is>
      </c>
      <c r="B138" t="inlineStr">
        <is>
          <t>Kota Kendari</t>
        </is>
      </c>
      <c r="C138" t="inlineStr">
        <is>
          <t>085215207884</t>
        </is>
      </c>
      <c r="D138" t="inlineStr">
        <is>
          <t>cvtimusinar@gmail.com</t>
        </is>
      </c>
      <c r="E138" t="inlineStr">
        <is>
          <t>https://lpjk.pu.go.id/search-badan-usaha-detail/bGppUkh5S1ROMjJiYXgwSWt1cXNvZz09</t>
        </is>
      </c>
      <c r="F138" t="n">
        <v>1</v>
      </c>
      <c r="G138" t="inlineStr">
        <is>
          <t>BS004</t>
        </is>
      </c>
      <c r="H138" t="inlineStr">
        <is>
          <t>4 Desember 2003</t>
        </is>
      </c>
      <c r="I138" s="2" t="n">
        <v>46298</v>
      </c>
      <c r="J138" t="inlineStr">
        <is>
          <t>Disetujui</t>
        </is>
      </c>
      <c r="K138" t="n">
        <v>60</v>
      </c>
      <c r="L138" t="inlineStr">
        <is>
          <t>3 Oktober 2026</t>
        </is>
      </c>
      <c r="M138" t="inlineStr">
        <is>
          <t>Konstruksi Jaringan Irigasi dan Drainase</t>
        </is>
      </c>
      <c r="N138" t="inlineStr">
        <is>
          <t>K</t>
        </is>
      </c>
      <c r="O138" t="inlineStr">
        <is>
          <t>20230313</t>
        </is>
      </c>
      <c r="P138" t="inlineStr">
        <is>
          <t>Sulawesi Tenggara</t>
        </is>
      </c>
      <c r="Q138" t="inlineStr"/>
    </row>
    <row r="139">
      <c r="A139" t="inlineStr">
        <is>
          <t>SONI ELKA BERSAUDARA</t>
        </is>
      </c>
      <c r="B139" t="inlineStr">
        <is>
          <t>Kota Kendari</t>
        </is>
      </c>
      <c r="C139" t="inlineStr">
        <is>
          <t>085256462929</t>
        </is>
      </c>
      <c r="D139" t="inlineStr">
        <is>
          <t>sonielkabersaudara@gmail.com</t>
        </is>
      </c>
      <c r="E139" t="inlineStr">
        <is>
          <t>https://lpjk.pu.go.id/search-badan-usaha-detail/RWgxSTJkaVBseFkyQ2IyQzAzeFQ2QT09</t>
        </is>
      </c>
      <c r="F139" t="n">
        <v>2</v>
      </c>
      <c r="G139" t="inlineStr">
        <is>
          <t>BG006, BG009</t>
        </is>
      </c>
      <c r="H139" t="inlineStr">
        <is>
          <t>7 September 2023</t>
        </is>
      </c>
      <c r="I139" s="2" t="n">
        <v>46298</v>
      </c>
      <c r="J139" t="inlineStr">
        <is>
          <t>Disetujui</t>
        </is>
      </c>
      <c r="K139" t="n">
        <v>60</v>
      </c>
      <c r="L139" t="inlineStr">
        <is>
          <t>3 Oktober 2026</t>
        </is>
      </c>
      <c r="M139" t="inlineStr">
        <is>
          <t>Konstruksi Gedung Lainnya, Konstruksi Gedung Pendidikan</t>
        </is>
      </c>
      <c r="N139" t="inlineStr">
        <is>
          <t>K</t>
        </is>
      </c>
      <c r="O139" t="inlineStr">
        <is>
          <t>20230919, 20230929</t>
        </is>
      </c>
      <c r="P139" t="inlineStr">
        <is>
          <t>Sulawesi Tenggara</t>
        </is>
      </c>
      <c r="Q139" t="inlineStr"/>
    </row>
    <row r="140">
      <c r="A140" t="inlineStr">
        <is>
          <t>SRIKANDI SAKTI</t>
        </is>
      </c>
      <c r="B140" t="inlineStr">
        <is>
          <t>Kab. Bangka</t>
        </is>
      </c>
      <c r="C140" t="inlineStr">
        <is>
          <t>085777404943</t>
        </is>
      </c>
      <c r="D140" t="inlineStr">
        <is>
          <t>srikandisakti@rocketmail.com</t>
        </is>
      </c>
      <c r="E140" t="inlineStr">
        <is>
          <t>https://lpjk.pu.go.id/search-badan-usaha-detail/VWh1Nzl4aENtVFpiTW9HUTByVElzZz09</t>
        </is>
      </c>
      <c r="F140" t="n">
        <v>1</v>
      </c>
      <c r="G140" t="inlineStr">
        <is>
          <t>BG005</t>
        </is>
      </c>
      <c r="H140" t="inlineStr">
        <is>
          <t>21 Maret 2012</t>
        </is>
      </c>
      <c r="I140" s="2" t="n">
        <v>46298</v>
      </c>
      <c r="J140" t="inlineStr">
        <is>
          <t>Disetujui</t>
        </is>
      </c>
      <c r="K140" t="n">
        <v>60</v>
      </c>
      <c r="L140" t="inlineStr">
        <is>
          <t>3 Oktober 2026</t>
        </is>
      </c>
      <c r="M140" t="inlineStr">
        <is>
          <t>Konstruksi Gedung Kesehatan</t>
        </is>
      </c>
      <c r="N140" t="inlineStr">
        <is>
          <t>K</t>
        </is>
      </c>
      <c r="O140" t="inlineStr">
        <is>
          <t>20230301</t>
        </is>
      </c>
      <c r="P140" t="inlineStr">
        <is>
          <t>Kepulauan Bangka Belitung</t>
        </is>
      </c>
      <c r="Q140" t="inlineStr"/>
    </row>
    <row r="141">
      <c r="A141" t="inlineStr">
        <is>
          <t>SUBUR BANGUN MAKMUR</t>
        </is>
      </c>
      <c r="B141" t="inlineStr">
        <is>
          <t>Kab. Deli Serdang</t>
        </is>
      </c>
      <c r="C141" t="inlineStr">
        <is>
          <t>082162785088</t>
        </is>
      </c>
      <c r="D141" t="inlineStr">
        <is>
          <t>ptsuburbangunmakmur23@gmail.com</t>
        </is>
      </c>
      <c r="E141" t="inlineStr">
        <is>
          <t>https://lpjk.pu.go.id/search-badan-usaha-detail/Z0ovNVRDUGlsak5mU3I2NVQ4WEpiQT09</t>
        </is>
      </c>
      <c r="F141" t="n">
        <v>1</v>
      </c>
      <c r="G141" t="inlineStr">
        <is>
          <t>BG003</t>
        </is>
      </c>
      <c r="H141" t="inlineStr">
        <is>
          <t>22 Februari 2013</t>
        </is>
      </c>
      <c r="I141" s="2" t="n">
        <v>46298</v>
      </c>
      <c r="J141" t="inlineStr">
        <is>
          <t>Pencabutan</t>
        </is>
      </c>
      <c r="K141" t="n">
        <v>60</v>
      </c>
      <c r="L141" t="inlineStr">
        <is>
          <t>3 Oktober 2026</t>
        </is>
      </c>
      <c r="M141" t="inlineStr">
        <is>
          <t>Konstruksi Gedung Industri</t>
        </is>
      </c>
      <c r="N141" t="inlineStr">
        <is>
          <t>K</t>
        </is>
      </c>
      <c r="O141" t="inlineStr">
        <is>
          <t>20231003</t>
        </is>
      </c>
      <c r="P141" t="inlineStr">
        <is>
          <t>Sumatera Utara</t>
        </is>
      </c>
      <c r="Q141" t="inlineStr"/>
    </row>
    <row r="142">
      <c r="A142" t="inlineStr">
        <is>
          <t>SUMBER ANUGRAH MANDIRI</t>
        </is>
      </c>
      <c r="B142" t="inlineStr">
        <is>
          <t>Kab. Magetan</t>
        </is>
      </c>
      <c r="C142" t="inlineStr">
        <is>
          <t>081235598057</t>
        </is>
      </c>
      <c r="D142" t="inlineStr">
        <is>
          <t>cv.sumberanugrahmandiri@gmail.com</t>
        </is>
      </c>
      <c r="E142" t="inlineStr">
        <is>
          <t>https://lpjk.pu.go.id/search-badan-usaha-detail/SXhnOWFNVnByeXFqWXMrYllsbE90QT09</t>
        </is>
      </c>
      <c r="F142" t="n">
        <v>1</v>
      </c>
      <c r="G142" t="inlineStr">
        <is>
          <t>BS010</t>
        </is>
      </c>
      <c r="H142" t="inlineStr">
        <is>
          <t>15 Juli 2011</t>
        </is>
      </c>
      <c r="I142" s="2" t="n">
        <v>46298</v>
      </c>
      <c r="J142" t="inlineStr">
        <is>
          <t>Pencabutan</t>
        </is>
      </c>
      <c r="K142" t="n">
        <v>60</v>
      </c>
      <c r="L142" t="inlineStr">
        <is>
          <t>3 Oktober 2026</t>
        </is>
      </c>
      <c r="M142" t="inlineStr">
        <is>
          <t>Konstruksi Bangunan Prasarana Sumber Daya Air</t>
        </is>
      </c>
      <c r="N142" t="inlineStr">
        <is>
          <t>K</t>
        </is>
      </c>
      <c r="O142" t="inlineStr">
        <is>
          <t>20231004</t>
        </is>
      </c>
      <c r="P142" t="inlineStr">
        <is>
          <t>Jawa Timur</t>
        </is>
      </c>
      <c r="Q142" t="inlineStr"/>
    </row>
    <row r="143">
      <c r="A143" t="inlineStr">
        <is>
          <t>SUMBER DATA</t>
        </is>
      </c>
      <c r="B143" t="inlineStr">
        <is>
          <t>Kab. Cirebon</t>
        </is>
      </c>
      <c r="C143" t="inlineStr">
        <is>
          <t>081222170643</t>
        </is>
      </c>
      <c r="D143" t="inlineStr">
        <is>
          <t>nicomartianoakbar@yahoo.co.id</t>
        </is>
      </c>
      <c r="E143" t="inlineStr">
        <is>
          <t>https://lpjk.pu.go.id/search-badan-usaha-detail/WTRNVjhLTXcveC9TZlNGaUxuWnc0UT09</t>
        </is>
      </c>
      <c r="F143" t="n">
        <v>1</v>
      </c>
      <c r="G143" t="inlineStr">
        <is>
          <t>BG006</t>
        </is>
      </c>
      <c r="H143" t="inlineStr">
        <is>
          <t>23 Oktober 2002</t>
        </is>
      </c>
      <c r="I143" s="2" t="n">
        <v>46298</v>
      </c>
      <c r="J143" t="inlineStr">
        <is>
          <t>Disetujui</t>
        </is>
      </c>
      <c r="K143" t="n">
        <v>60</v>
      </c>
      <c r="L143" t="inlineStr">
        <is>
          <t>3 Oktober 2026</t>
        </is>
      </c>
      <c r="M143" t="inlineStr">
        <is>
          <t>Konstruksi Gedung Pendidikan</t>
        </is>
      </c>
      <c r="N143" t="inlineStr">
        <is>
          <t>K</t>
        </is>
      </c>
      <c r="O143" t="inlineStr">
        <is>
          <t>20231003</t>
        </is>
      </c>
      <c r="P143" t="inlineStr">
        <is>
          <t>Jawa Barat</t>
        </is>
      </c>
      <c r="Q143" t="inlineStr"/>
    </row>
    <row r="144">
      <c r="A144" t="inlineStr">
        <is>
          <t>TABINA JAYA MANDIRI</t>
        </is>
      </c>
      <c r="B144" t="inlineStr">
        <is>
          <t>Kota Banda Aceh</t>
        </is>
      </c>
      <c r="C144" t="inlineStr">
        <is>
          <t>082363848767</t>
        </is>
      </c>
      <c r="D144" t="inlineStr">
        <is>
          <t>tabinajayamandiri@gmail.com</t>
        </is>
      </c>
      <c r="E144" t="inlineStr">
        <is>
          <t>https://lpjk.pu.go.id/search-badan-usaha-detail/SEdRamlTeHdkRmJNenM2eTNPeEo5QT09</t>
        </is>
      </c>
      <c r="F144" t="n">
        <v>1</v>
      </c>
      <c r="G144" t="inlineStr">
        <is>
          <t>PL005</t>
        </is>
      </c>
      <c r="H144" t="inlineStr">
        <is>
          <t>7 September 2023</t>
        </is>
      </c>
      <c r="I144" s="2" t="n">
        <v>46298</v>
      </c>
      <c r="J144" t="inlineStr">
        <is>
          <t>Disetujui</t>
        </is>
      </c>
      <c r="K144" t="n">
        <v>60</v>
      </c>
      <c r="L144" t="inlineStr">
        <is>
          <t>3 Oktober 2026</t>
        </is>
      </c>
      <c r="M144" t="inlineStr">
        <is>
          <t>Pembuatan/Pengeboran Sumur Air Tanah</t>
        </is>
      </c>
      <c r="N144" t="inlineStr">
        <is>
          <t>Spesialis</t>
        </is>
      </c>
      <c r="O144" t="inlineStr">
        <is>
          <t>20230922</t>
        </is>
      </c>
      <c r="P144" t="inlineStr">
        <is>
          <t>Aceh</t>
        </is>
      </c>
      <c r="Q144" t="inlineStr"/>
    </row>
    <row r="145">
      <c r="A145" t="inlineStr">
        <is>
          <t>TIANG SEBATANG</t>
        </is>
      </c>
      <c r="B145" t="inlineStr">
        <is>
          <t>Kab. Tanjung Jabung Barat</t>
        </is>
      </c>
      <c r="C145" t="inlineStr">
        <is>
          <t>1210000332422</t>
        </is>
      </c>
      <c r="D145" t="inlineStr">
        <is>
          <t>nusi1507@gmail.com</t>
        </is>
      </c>
      <c r="E145" t="inlineStr">
        <is>
          <t>https://lpjk.pu.go.id/search-badan-usaha-detail/a2VrOU1NTzNaQzFSa3ZxcU5Jb1FEUT09</t>
        </is>
      </c>
      <c r="F145" t="n">
        <v>5</v>
      </c>
      <c r="G145" t="inlineStr">
        <is>
          <t>BG005, BG006, BG008</t>
        </is>
      </c>
      <c r="H145" t="inlineStr">
        <is>
          <t>8 Januari 2013</t>
        </is>
      </c>
      <c r="I145" s="2" t="n">
        <v>46298</v>
      </c>
      <c r="J145" t="inlineStr">
        <is>
          <t>Disetujui</t>
        </is>
      </c>
      <c r="K145" t="n">
        <v>60</v>
      </c>
      <c r="L145" t="inlineStr">
        <is>
          <t>3 Oktober 2026</t>
        </is>
      </c>
      <c r="M145" t="inlineStr">
        <is>
          <t>Konstruksi Gedung Kesehatan, Konstruksi Gedung Pendidikan, Konstruksi Gedung Tempat Hiburan dan Olahraga</t>
        </is>
      </c>
      <c r="N145" t="inlineStr">
        <is>
          <t>K</t>
        </is>
      </c>
      <c r="O145" t="inlineStr">
        <is>
          <t>20230927</t>
        </is>
      </c>
      <c r="P145" t="inlineStr">
        <is>
          <t>Jambi</t>
        </is>
      </c>
      <c r="Q145" t="inlineStr"/>
    </row>
    <row r="146">
      <c r="A146" t="inlineStr">
        <is>
          <t>TIARA CONTRAKTOR</t>
        </is>
      </c>
      <c r="B146" t="inlineStr">
        <is>
          <t>Kota Tangerang</t>
        </is>
      </c>
      <c r="C146" t="inlineStr">
        <is>
          <t>081398180107</t>
        </is>
      </c>
      <c r="D146" t="inlineStr">
        <is>
          <t>office.tiaracontraktor@gmail.com</t>
        </is>
      </c>
      <c r="E146" t="inlineStr">
        <is>
          <t>https://lpjk.pu.go.id/search-badan-usaha-detail/SkVTYTBYTUhnS0h0NlZXd2Z3K3FpQT09</t>
        </is>
      </c>
      <c r="F146" t="n">
        <v>2</v>
      </c>
      <c r="G146" t="inlineStr">
        <is>
          <t>BG006, BG008</t>
        </is>
      </c>
      <c r="H146" t="inlineStr">
        <is>
          <t>18 Juli 2019</t>
        </is>
      </c>
      <c r="I146" s="2" t="n">
        <v>46298</v>
      </c>
      <c r="J146" t="inlineStr">
        <is>
          <t>Disetujui</t>
        </is>
      </c>
      <c r="K146" t="n">
        <v>60</v>
      </c>
      <c r="L146" t="inlineStr">
        <is>
          <t>3 Oktober 2026</t>
        </is>
      </c>
      <c r="M146" t="inlineStr">
        <is>
          <t>Konstruksi Gedung Pendidikan, Konstruksi Gedung Tempat Hiburan dan Olahraga</t>
        </is>
      </c>
      <c r="N146" t="inlineStr">
        <is>
          <t>K</t>
        </is>
      </c>
      <c r="O146" t="inlineStr">
        <is>
          <t>20230914</t>
        </is>
      </c>
      <c r="P146" t="inlineStr">
        <is>
          <t>Banten</t>
        </is>
      </c>
      <c r="Q146" t="inlineStr"/>
    </row>
    <row r="147">
      <c r="A147" t="inlineStr">
        <is>
          <t>TIGARODA RUMAH SEJAHTERA</t>
        </is>
      </c>
      <c r="B147" t="inlineStr">
        <is>
          <t>Kota Adm. Jakarta Selatan</t>
        </is>
      </c>
      <c r="C147" t="inlineStr">
        <is>
          <t>0212512121</t>
        </is>
      </c>
      <c r="D147" t="inlineStr">
        <is>
          <t>pttigarodarumahsejahetra@gmail.com</t>
        </is>
      </c>
      <c r="E147" t="inlineStr">
        <is>
          <t>https://lpjk.pu.go.id/search-badan-usaha-detail/WnFpRmRhME5yRGhQWXc2S2tLeVVJdz09</t>
        </is>
      </c>
      <c r="F147" t="n">
        <v>3</v>
      </c>
      <c r="G147" t="inlineStr">
        <is>
          <t>BG001</t>
        </is>
      </c>
      <c r="H147" t="inlineStr">
        <is>
          <t>10 April 2017</t>
        </is>
      </c>
      <c r="I147" s="2" t="n">
        <v>46298</v>
      </c>
      <c r="J147" t="inlineStr">
        <is>
          <t>Disetujui</t>
        </is>
      </c>
      <c r="K147" t="n">
        <v>60</v>
      </c>
      <c r="L147" t="inlineStr">
        <is>
          <t>3 Oktober 2026</t>
        </is>
      </c>
      <c r="M147" t="inlineStr">
        <is>
          <t>Konstruksi Gedung Hunian</t>
        </is>
      </c>
      <c r="N147" t="inlineStr">
        <is>
          <t>K</t>
        </is>
      </c>
      <c r="O147" t="inlineStr">
        <is>
          <t>20230930</t>
        </is>
      </c>
      <c r="P147" t="inlineStr">
        <is>
          <t>DKI Jakarta</t>
        </is>
      </c>
      <c r="Q147" t="inlineStr"/>
    </row>
    <row r="148">
      <c r="A148" t="inlineStr">
        <is>
          <t>TIRTA KARYA KITA</t>
        </is>
      </c>
      <c r="B148" t="inlineStr">
        <is>
          <t>Kab. Cianjur</t>
        </is>
      </c>
      <c r="C148" t="inlineStr">
        <is>
          <t>087714540788</t>
        </is>
      </c>
      <c r="D148" t="inlineStr">
        <is>
          <t>tirtakaryakita@gmail.com</t>
        </is>
      </c>
      <c r="E148" t="inlineStr">
        <is>
          <t>https://lpjk.pu.go.id/search-badan-usaha-detail/Mll3TW9sVlZ3QUx1cHpEOHpIT1VLQT09</t>
        </is>
      </c>
      <c r="F148" t="n">
        <v>1</v>
      </c>
      <c r="G148" t="inlineStr">
        <is>
          <t>PL005</t>
        </is>
      </c>
      <c r="H148" t="inlineStr">
        <is>
          <t>15 September 2022</t>
        </is>
      </c>
      <c r="I148" s="2" t="n">
        <v>46298</v>
      </c>
      <c r="J148" t="inlineStr">
        <is>
          <t>Pencabutan</t>
        </is>
      </c>
      <c r="K148" t="n">
        <v>60</v>
      </c>
      <c r="L148" t="inlineStr">
        <is>
          <t>3 Oktober 2026</t>
        </is>
      </c>
      <c r="M148" t="inlineStr">
        <is>
          <t>Pembuatan/Pengeboran Sumur Air Tanah</t>
        </is>
      </c>
      <c r="N148" t="inlineStr">
        <is>
          <t>Spesialis</t>
        </is>
      </c>
      <c r="O148" t="inlineStr">
        <is>
          <t>20230808</t>
        </is>
      </c>
      <c r="P148" t="inlineStr">
        <is>
          <t>Jawa Barat</t>
        </is>
      </c>
      <c r="Q148" t="inlineStr"/>
    </row>
    <row r="149">
      <c r="A149" t="inlineStr">
        <is>
          <t>TRI BARAKAT JAYA</t>
        </is>
      </c>
      <c r="B149" t="inlineStr">
        <is>
          <t>Kota Adm. Jakarta Selatan</t>
        </is>
      </c>
      <c r="C149" t="inlineStr">
        <is>
          <t>08111874860</t>
        </is>
      </c>
      <c r="D149" t="inlineStr">
        <is>
          <t>tribarakatjaya@gmail.com</t>
        </is>
      </c>
      <c r="E149" t="inlineStr">
        <is>
          <t>https://lpjk.pu.go.id/search-badan-usaha-detail/amdneTZnZ2hmMkNsL2hnZXd2SWtCdz09</t>
        </is>
      </c>
      <c r="F149" t="n">
        <v>1</v>
      </c>
      <c r="G149" t="inlineStr">
        <is>
          <t>BG003</t>
        </is>
      </c>
      <c r="H149" t="inlineStr">
        <is>
          <t>13 September 2023</t>
        </is>
      </c>
      <c r="I149" s="2" t="n">
        <v>46298</v>
      </c>
      <c r="J149" t="inlineStr">
        <is>
          <t>Disetujui</t>
        </is>
      </c>
      <c r="K149" t="n">
        <v>60</v>
      </c>
      <c r="L149" t="inlineStr">
        <is>
          <t>3 Oktober 2026</t>
        </is>
      </c>
      <c r="M149" t="inlineStr">
        <is>
          <t>Konstruksi Gedung Industri</t>
        </is>
      </c>
      <c r="N149" t="inlineStr">
        <is>
          <t>K</t>
        </is>
      </c>
      <c r="O149" t="inlineStr">
        <is>
          <t>20230929</t>
        </is>
      </c>
      <c r="P149" t="inlineStr">
        <is>
          <t>DKI Jakarta</t>
        </is>
      </c>
      <c r="Q149" t="inlineStr"/>
    </row>
    <row r="150">
      <c r="A150" t="inlineStr">
        <is>
          <t>TRI ELIPS CONSULTANT</t>
        </is>
      </c>
      <c r="B150" t="inlineStr">
        <is>
          <t>Kota Kendari</t>
        </is>
      </c>
      <c r="C150" t="inlineStr">
        <is>
          <t>082313315000</t>
        </is>
      </c>
      <c r="D150" t="inlineStr">
        <is>
          <t>trielipsconsultant.cv@gmail.com</t>
        </is>
      </c>
      <c r="E150" t="inlineStr">
        <is>
          <t>https://lpjk.pu.go.id/search-badan-usaha-detail/anJmVVVTY09FSGx0dndKNWcvdUtvQT09</t>
        </is>
      </c>
      <c r="F150" t="n">
        <v>2</v>
      </c>
      <c r="G150" t="inlineStr">
        <is>
          <t>RK001, RK003</t>
        </is>
      </c>
      <c r="H150" t="inlineStr">
        <is>
          <t>16 Oktober 2013</t>
        </is>
      </c>
      <c r="I150" s="2" t="n">
        <v>46298</v>
      </c>
      <c r="J150" t="inlineStr">
        <is>
          <t>Disetujui</t>
        </is>
      </c>
      <c r="K150" t="n">
        <v>60</v>
      </c>
      <c r="L150" t="inlineStr">
        <is>
          <t>3 Oktober 2026</t>
        </is>
      </c>
      <c r="M150" t="inlineStr">
        <is>
          <t>Jasa Rekayasa Konstruksi Bangunan Gedung Hunian dan Non Hunian, Jasa Rekayasa Pekerjaan Teknik Sipil Transportasi</t>
        </is>
      </c>
      <c r="N150" t="inlineStr">
        <is>
          <t>K</t>
        </is>
      </c>
      <c r="O150" t="inlineStr">
        <is>
          <t>20230921</t>
        </is>
      </c>
      <c r="P150" t="inlineStr">
        <is>
          <t>Sulawesi Tenggara</t>
        </is>
      </c>
      <c r="Q150" t="inlineStr"/>
    </row>
    <row r="151">
      <c r="A151" t="inlineStr">
        <is>
          <t>TRIAS MANUNGGAL</t>
        </is>
      </c>
      <c r="B151" t="inlineStr">
        <is>
          <t>Kota Bandung</t>
        </is>
      </c>
      <c r="C151" t="inlineStr">
        <is>
          <t>0227273832</t>
        </is>
      </c>
      <c r="D151" t="inlineStr">
        <is>
          <t>triasman@yahoo.co.id</t>
        </is>
      </c>
      <c r="E151" t="inlineStr">
        <is>
          <t>https://lpjk.pu.go.id/search-badan-usaha-detail/R2c0a0xKR2RYTzNQTGJGSVQxdEtwQT09</t>
        </is>
      </c>
      <c r="F151" t="n">
        <v>2</v>
      </c>
      <c r="G151" t="inlineStr">
        <is>
          <t>BG009</t>
        </is>
      </c>
      <c r="H151" t="inlineStr">
        <is>
          <t>19 Juli 1999</t>
        </is>
      </c>
      <c r="I151" s="2" t="n">
        <v>46298</v>
      </c>
      <c r="J151" t="inlineStr">
        <is>
          <t>Disetujui</t>
        </is>
      </c>
      <c r="K151" t="n">
        <v>60</v>
      </c>
      <c r="L151" t="inlineStr">
        <is>
          <t>3 Oktober 2026</t>
        </is>
      </c>
      <c r="M151" t="inlineStr">
        <is>
          <t>Konstruksi Gedung Lainnya</t>
        </is>
      </c>
      <c r="N151" t="inlineStr">
        <is>
          <t>K</t>
        </is>
      </c>
      <c r="O151" t="inlineStr">
        <is>
          <t>20230930</t>
        </is>
      </c>
      <c r="P151" t="inlineStr">
        <is>
          <t>Jawa Barat</t>
        </is>
      </c>
      <c r="Q151" t="inlineStr"/>
    </row>
    <row r="152">
      <c r="A152" t="inlineStr">
        <is>
          <t>TRIMITRA MANDIRI</t>
        </is>
      </c>
      <c r="B152" t="inlineStr">
        <is>
          <t>Kota Semarang</t>
        </is>
      </c>
      <c r="C152" t="inlineStr">
        <is>
          <t>089677225521</t>
        </is>
      </c>
      <c r="D152" t="inlineStr">
        <is>
          <t>trimitramandiri4442@gmail.com</t>
        </is>
      </c>
      <c r="E152" t="inlineStr">
        <is>
          <t>https://lpjk.pu.go.id/search-badan-usaha-detail/bFE3dmhVbFJwNGZGUnpnR2JaN2FXUT09</t>
        </is>
      </c>
      <c r="F152" t="n">
        <v>2</v>
      </c>
      <c r="G152" t="inlineStr">
        <is>
          <t>BG009</t>
        </is>
      </c>
      <c r="H152" t="inlineStr">
        <is>
          <t>24 Mei 2014</t>
        </is>
      </c>
      <c r="I152" s="2" t="n">
        <v>46298</v>
      </c>
      <c r="J152" t="inlineStr">
        <is>
          <t>Disetujui</t>
        </is>
      </c>
      <c r="K152" t="n">
        <v>60</v>
      </c>
      <c r="L152" t="inlineStr">
        <is>
          <t>3 Oktober 2026</t>
        </is>
      </c>
      <c r="M152" t="inlineStr">
        <is>
          <t>Konstruksi Gedung Lainnya</t>
        </is>
      </c>
      <c r="N152" t="inlineStr">
        <is>
          <t>K</t>
        </is>
      </c>
      <c r="O152" t="inlineStr">
        <is>
          <t>20231003</t>
        </is>
      </c>
      <c r="P152" t="inlineStr">
        <is>
          <t>Jawa Tengah</t>
        </is>
      </c>
      <c r="Q152" t="inlineStr"/>
    </row>
    <row r="153">
      <c r="A153" t="inlineStr">
        <is>
          <t>TRINUSA ZUHUD UTAMA</t>
        </is>
      </c>
      <c r="B153" t="inlineStr">
        <is>
          <t>Kota Bandung</t>
        </is>
      </c>
      <c r="C153" t="inlineStr">
        <is>
          <t>08122465872</t>
        </is>
      </c>
      <c r="D153" t="inlineStr">
        <is>
          <t>pt.trinusazuhudutama@gmail.com</t>
        </is>
      </c>
      <c r="E153" t="inlineStr">
        <is>
          <t>https://lpjk.pu.go.id/search-badan-usaha-detail/djgxbHl4WWt5anV6SkN6c2doUUQ0QT09</t>
        </is>
      </c>
      <c r="F153" t="n">
        <v>7</v>
      </c>
      <c r="G153" t="inlineStr">
        <is>
          <t>BG001, BG002, BG003, BG006, BG009</t>
        </is>
      </c>
      <c r="H153" t="inlineStr">
        <is>
          <t>28 Juni 2022</t>
        </is>
      </c>
      <c r="I153" s="2" t="n">
        <v>46298</v>
      </c>
      <c r="J153" t="inlineStr">
        <is>
          <t>Disetujui</t>
        </is>
      </c>
      <c r="K153" t="n">
        <v>60</v>
      </c>
      <c r="L153" t="inlineStr">
        <is>
          <t>3 Oktober 2026</t>
        </is>
      </c>
      <c r="M153" t="inlineStr">
        <is>
          <t>Konstruksi Gedung Hunian, Konstruksi Gedung Industri, Konstruksi Gedung Lainnya, Konstruksi Gedung Pendidikan, Konstruksi Gedung Perkantoran</t>
        </is>
      </c>
      <c r="N153" t="inlineStr">
        <is>
          <t>K</t>
        </is>
      </c>
      <c r="O153" t="inlineStr">
        <is>
          <t>20231003, 20231004</t>
        </is>
      </c>
      <c r="P153" t="inlineStr">
        <is>
          <t>Jawa Barat</t>
        </is>
      </c>
      <c r="Q153" t="inlineStr"/>
    </row>
    <row r="154">
      <c r="A154" t="inlineStr">
        <is>
          <t>TUJUH PULUH KENDALI</t>
        </is>
      </c>
      <c r="B154" t="inlineStr">
        <is>
          <t>Kota Adm. Jakarta Pusat</t>
        </is>
      </c>
      <c r="C154" t="inlineStr">
        <is>
          <t>081290000265</t>
        </is>
      </c>
      <c r="D154" t="inlineStr">
        <is>
          <t>70kendali@gmail.com</t>
        </is>
      </c>
      <c r="E154" t="inlineStr">
        <is>
          <t>https://lpjk.pu.go.id/search-badan-usaha-detail/WUFZQnhIUkFnZmFMQ3JxVnNKTXg3QT09</t>
        </is>
      </c>
      <c r="F154" t="n">
        <v>1</v>
      </c>
      <c r="G154" t="inlineStr">
        <is>
          <t>RK003</t>
        </is>
      </c>
      <c r="H154" t="inlineStr">
        <is>
          <t>13 April 2022</t>
        </is>
      </c>
      <c r="I154" s="2" t="n">
        <v>46298</v>
      </c>
      <c r="J154" t="inlineStr">
        <is>
          <t>Disetujui</t>
        </is>
      </c>
      <c r="K154" t="n">
        <v>60</v>
      </c>
      <c r="L154" t="inlineStr">
        <is>
          <t>3 Oktober 2026</t>
        </is>
      </c>
      <c r="M154" t="inlineStr">
        <is>
          <t>Jasa Rekayasa Pekerjaan Teknik Sipil Transportasi</t>
        </is>
      </c>
      <c r="N154" t="inlineStr">
        <is>
          <t>K</t>
        </is>
      </c>
      <c r="O154" t="inlineStr">
        <is>
          <t>20230920</t>
        </is>
      </c>
      <c r="P154" t="inlineStr">
        <is>
          <t>DKI Jakarta</t>
        </is>
      </c>
      <c r="Q154" t="inlineStr"/>
    </row>
    <row r="155">
      <c r="A155" t="inlineStr">
        <is>
          <t>TUNAS KARYA</t>
        </is>
      </c>
      <c r="B155" t="inlineStr">
        <is>
          <t>Kab. Padang Lawas</t>
        </is>
      </c>
      <c r="C155" t="inlineStr">
        <is>
          <t>082273802830</t>
        </is>
      </c>
      <c r="D155" t="inlineStr">
        <is>
          <t>tunaskaryacv39@gmail.com</t>
        </is>
      </c>
      <c r="E155" t="inlineStr">
        <is>
          <t>https://lpjk.pu.go.id/search-badan-usaha-detail/bk1EZnJralFPbi9iK0UvcHM4VUJsdz09</t>
        </is>
      </c>
      <c r="F155" t="n">
        <v>1</v>
      </c>
      <c r="G155" t="inlineStr">
        <is>
          <t>BS001</t>
        </is>
      </c>
      <c r="H155" t="inlineStr">
        <is>
          <t>23 Juni 2014</t>
        </is>
      </c>
      <c r="I155" s="2" t="n">
        <v>46298</v>
      </c>
      <c r="J155" t="inlineStr">
        <is>
          <t>Disetujui</t>
        </is>
      </c>
      <c r="K155" t="n">
        <v>60</v>
      </c>
      <c r="L155" t="inlineStr">
        <is>
          <t>3 Oktober 2026</t>
        </is>
      </c>
      <c r="M155" t="inlineStr">
        <is>
          <t>Konstruksi Bangunan Sipil Jalan</t>
        </is>
      </c>
      <c r="N155" t="inlineStr">
        <is>
          <t>K</t>
        </is>
      </c>
      <c r="O155" t="inlineStr">
        <is>
          <t>20230922</t>
        </is>
      </c>
      <c r="P155" t="inlineStr">
        <is>
          <t>Sumatera Utara</t>
        </is>
      </c>
      <c r="Q155" t="inlineStr"/>
    </row>
    <row r="156">
      <c r="A156" t="inlineStr">
        <is>
          <t>USAHA JAYA ANUGERAH</t>
        </is>
      </c>
      <c r="B156" t="inlineStr">
        <is>
          <t>Kab. Ogan Komering Ulu</t>
        </is>
      </c>
      <c r="C156" t="inlineStr">
        <is>
          <t>085366002355</t>
        </is>
      </c>
      <c r="D156" t="inlineStr">
        <is>
          <t>usahajayaanugerah2023@gmail.com</t>
        </is>
      </c>
      <c r="E156" t="inlineStr">
        <is>
          <t>https://lpjk.pu.go.id/search-badan-usaha-detail/MnF5Q3cva01NVVI5bkRjem5GUnJ5dz09</t>
        </is>
      </c>
      <c r="F156" t="n">
        <v>1</v>
      </c>
      <c r="G156" t="inlineStr">
        <is>
          <t>BG006</t>
        </is>
      </c>
      <c r="H156" t="inlineStr">
        <is>
          <t>9 September 2023</t>
        </is>
      </c>
      <c r="I156" s="2" t="n">
        <v>46298</v>
      </c>
      <c r="J156" t="inlineStr">
        <is>
          <t>Disetujui</t>
        </is>
      </c>
      <c r="K156" t="n">
        <v>60</v>
      </c>
      <c r="L156" t="inlineStr">
        <is>
          <t>3 Oktober 2026</t>
        </is>
      </c>
      <c r="M156" t="inlineStr">
        <is>
          <t>Konstruksi Gedung Pendidikan</t>
        </is>
      </c>
      <c r="N156" t="inlineStr">
        <is>
          <t>K</t>
        </is>
      </c>
      <c r="O156" t="inlineStr">
        <is>
          <t>20230929</t>
        </is>
      </c>
      <c r="P156" t="inlineStr">
        <is>
          <t>Sumatera Selatan</t>
        </is>
      </c>
      <c r="Q156" t="inlineStr"/>
    </row>
    <row r="157">
      <c r="A157" t="inlineStr">
        <is>
          <t>VIDI OMAWI PAPUA</t>
        </is>
      </c>
      <c r="B157" t="inlineStr">
        <is>
          <t>Kab. Mimika</t>
        </is>
      </c>
      <c r="C157" t="inlineStr">
        <is>
          <t>0813-3136-0373</t>
        </is>
      </c>
      <c r="D157" t="inlineStr">
        <is>
          <t>cvvidiomawipapua@gmail.com</t>
        </is>
      </c>
      <c r="E157" t="inlineStr">
        <is>
          <t>https://lpjk.pu.go.id/search-badan-usaha-detail/NExKNWdQS2R6enZmRVBmQk5vclBEQT09</t>
        </is>
      </c>
      <c r="F157" t="n">
        <v>2</v>
      </c>
      <c r="G157" t="inlineStr">
        <is>
          <t>BG001</t>
        </is>
      </c>
      <c r="H157" t="inlineStr">
        <is>
          <t>17 September 2021</t>
        </is>
      </c>
      <c r="I157" s="2" t="n">
        <v>46298</v>
      </c>
      <c r="J157" t="inlineStr">
        <is>
          <t>Disetujui</t>
        </is>
      </c>
      <c r="K157" t="n">
        <v>60</v>
      </c>
      <c r="L157" t="inlineStr">
        <is>
          <t>3 Oktober 2026</t>
        </is>
      </c>
      <c r="M157" t="inlineStr">
        <is>
          <t>Konstruksi Gedung Hunian</t>
        </is>
      </c>
      <c r="N157" t="inlineStr">
        <is>
          <t>K</t>
        </is>
      </c>
      <c r="O157" t="inlineStr">
        <is>
          <t>20231002</t>
        </is>
      </c>
      <c r="P157" t="inlineStr">
        <is>
          <t>Papua</t>
        </is>
      </c>
      <c r="Q157" t="inlineStr"/>
    </row>
    <row r="158">
      <c r="A158" t="inlineStr">
        <is>
          <t>WADAH DIRHAM KONSULTAN</t>
        </is>
      </c>
      <c r="B158" t="inlineStr">
        <is>
          <t>Kota Jayapura</t>
        </is>
      </c>
      <c r="C158" t="inlineStr">
        <is>
          <t>082199195377</t>
        </is>
      </c>
      <c r="D158" t="inlineStr">
        <is>
          <t>wadahdirham@yahoo.co.id</t>
        </is>
      </c>
      <c r="E158" t="inlineStr">
        <is>
          <t>https://lpjk.pu.go.id/search-badan-usaha-detail/Q0tXUkVKRGN3anJudVdHbXJQem1WQT09</t>
        </is>
      </c>
      <c r="F158" t="n">
        <v>1</v>
      </c>
      <c r="G158" t="inlineStr">
        <is>
          <t>RK003</t>
        </is>
      </c>
      <c r="H158" t="inlineStr">
        <is>
          <t>2 Mei 2001</t>
        </is>
      </c>
      <c r="I158" s="2" t="n">
        <v>46298</v>
      </c>
      <c r="J158" t="inlineStr">
        <is>
          <t>Disetujui</t>
        </is>
      </c>
      <c r="K158" t="n">
        <v>60</v>
      </c>
      <c r="L158" t="inlineStr">
        <is>
          <t>3 Oktober 2026</t>
        </is>
      </c>
      <c r="M158" t="inlineStr">
        <is>
          <t>Jasa Rekayasa Pekerjaan Teknik Sipil Transportasi</t>
        </is>
      </c>
      <c r="N158" t="inlineStr">
        <is>
          <t>M</t>
        </is>
      </c>
      <c r="O158" t="inlineStr">
        <is>
          <t>20230724</t>
        </is>
      </c>
      <c r="P158" t="inlineStr">
        <is>
          <t>Papua</t>
        </is>
      </c>
      <c r="Q158" t="inlineStr"/>
    </row>
    <row r="159">
      <c r="A159" t="inlineStr">
        <is>
          <t>WAHANA CAKRA JAYA</t>
        </is>
      </c>
      <c r="B159" t="inlineStr">
        <is>
          <t>Kota Cimahi</t>
        </is>
      </c>
      <c r="C159" t="inlineStr">
        <is>
          <t>0226641269</t>
        </is>
      </c>
      <c r="D159" t="inlineStr">
        <is>
          <t>wahana.cakra.jaya@gmail.com</t>
        </is>
      </c>
      <c r="E159" t="inlineStr">
        <is>
          <t>https://lpjk.pu.go.id/search-badan-usaha-detail/N2Roa1FuOTRHOFRqVjBvNUp4aTAxQT09</t>
        </is>
      </c>
      <c r="F159" t="n">
        <v>1</v>
      </c>
      <c r="G159" t="inlineStr">
        <is>
          <t>BG002</t>
        </is>
      </c>
      <c r="H159" t="inlineStr">
        <is>
          <t>23 November 2006</t>
        </is>
      </c>
      <c r="I159" s="2" t="n">
        <v>46298</v>
      </c>
      <c r="J159" t="inlineStr">
        <is>
          <t>Disetujui</t>
        </is>
      </c>
      <c r="K159" t="n">
        <v>60</v>
      </c>
      <c r="L159" t="inlineStr">
        <is>
          <t>3 Oktober 2026</t>
        </is>
      </c>
      <c r="M159" t="inlineStr">
        <is>
          <t>Konstruksi Gedung Perkantoran</t>
        </is>
      </c>
      <c r="N159" t="inlineStr">
        <is>
          <t>K</t>
        </is>
      </c>
      <c r="O159" t="inlineStr">
        <is>
          <t>20230822</t>
        </is>
      </c>
      <c r="P159" t="inlineStr">
        <is>
          <t>Jawa Barat</t>
        </is>
      </c>
      <c r="Q159" t="inlineStr"/>
    </row>
    <row r="160">
      <c r="A160" t="inlineStr">
        <is>
          <t>WAHYU RIZKI</t>
        </is>
      </c>
      <c r="B160" t="inlineStr">
        <is>
          <t>Kab. Banyumas</t>
        </is>
      </c>
      <c r="C160" t="inlineStr">
        <is>
          <t>081392533998</t>
        </is>
      </c>
      <c r="D160" t="inlineStr">
        <is>
          <t>wahyurizki.cv@gmail.com</t>
        </is>
      </c>
      <c r="E160" t="inlineStr">
        <is>
          <t>https://lpjk.pu.go.id/search-badan-usaha-detail/aVBXc0x3U3QyZGwzNGROYkVIOU10Zz09</t>
        </is>
      </c>
      <c r="F160" t="n">
        <v>1</v>
      </c>
      <c r="G160" t="inlineStr">
        <is>
          <t>BG009</t>
        </is>
      </c>
      <c r="H160" t="inlineStr">
        <is>
          <t>27 Juli 2022</t>
        </is>
      </c>
      <c r="I160" s="2" t="n">
        <v>46298</v>
      </c>
      <c r="J160" t="inlineStr">
        <is>
          <t>Disetujui</t>
        </is>
      </c>
      <c r="K160" t="n">
        <v>60</v>
      </c>
      <c r="L160" t="inlineStr">
        <is>
          <t>3 Oktober 2026</t>
        </is>
      </c>
      <c r="M160" t="inlineStr">
        <is>
          <t>Konstruksi Gedung Lainnya</t>
        </is>
      </c>
      <c r="N160" t="inlineStr">
        <is>
          <t>K</t>
        </is>
      </c>
      <c r="O160" t="inlineStr">
        <is>
          <t>20230930</t>
        </is>
      </c>
      <c r="P160" t="inlineStr">
        <is>
          <t>Jawa Tengah</t>
        </is>
      </c>
      <c r="Q160" t="inlineStr"/>
    </row>
    <row r="161">
      <c r="A161" t="inlineStr">
        <is>
          <t>WANGKANG JAYA</t>
        </is>
      </c>
      <c r="B161" t="inlineStr">
        <is>
          <t>Kab. Barito Kuala</t>
        </is>
      </c>
      <c r="C161" t="inlineStr">
        <is>
          <t>081271797680</t>
        </is>
      </c>
      <c r="D161" t="inlineStr">
        <is>
          <t>cv.wangkangjaya@gmail.com</t>
        </is>
      </c>
      <c r="E161" t="inlineStr">
        <is>
          <t>https://lpjk.pu.go.id/search-badan-usaha-detail/OS9pWWo0bE5NNm5MSEY0SFBpMGFPUT09</t>
        </is>
      </c>
      <c r="F161" t="n">
        <v>2</v>
      </c>
      <c r="G161" t="inlineStr">
        <is>
          <t>BS002, BS004</t>
        </is>
      </c>
      <c r="H161" t="inlineStr">
        <is>
          <t>11 Januari 1982</t>
        </is>
      </c>
      <c r="I161" s="2" t="n">
        <v>46298</v>
      </c>
      <c r="J161" t="inlineStr">
        <is>
          <t>Disetujui</t>
        </is>
      </c>
      <c r="K161" t="n">
        <v>60</v>
      </c>
      <c r="L161" t="inlineStr">
        <is>
          <t>3 Oktober 2026</t>
        </is>
      </c>
      <c r="M161" t="inlineStr">
        <is>
          <t>Bangunan Sipil Jembatan, Jalan Layang, Fly Over, dan Underpass, Konstruksi Jaringan Irigasi dan Drainase</t>
        </is>
      </c>
      <c r="N161" t="inlineStr">
        <is>
          <t>K</t>
        </is>
      </c>
      <c r="O161" t="inlineStr">
        <is>
          <t>20230924</t>
        </is>
      </c>
      <c r="P161" t="inlineStr">
        <is>
          <t>Kalimantan Selatan</t>
        </is>
      </c>
      <c r="Q161" t="inlineStr"/>
    </row>
    <row r="162">
      <c r="A162" t="inlineStr">
        <is>
          <t>WIDYA KARYA GATERA UTAMA</t>
        </is>
      </c>
      <c r="B162" t="inlineStr">
        <is>
          <t>Kota Samarinda</t>
        </is>
      </c>
      <c r="C162" t="inlineStr">
        <is>
          <t>085246370553</t>
        </is>
      </c>
      <c r="D162" t="inlineStr">
        <is>
          <t>widya.wkgu@gmail.com</t>
        </is>
      </c>
      <c r="E162" t="inlineStr">
        <is>
          <t>https://lpjk.pu.go.id/search-badan-usaha-detail/aFJkZjIydGtmUWZnajJ5TE92blZLQT09</t>
        </is>
      </c>
      <c r="F162" t="n">
        <v>1</v>
      </c>
      <c r="G162" t="inlineStr">
        <is>
          <t>BS001</t>
        </is>
      </c>
      <c r="H162" t="inlineStr">
        <is>
          <t>2 Desember 1995</t>
        </is>
      </c>
      <c r="I162" s="2" t="n">
        <v>46298</v>
      </c>
      <c r="J162" t="inlineStr">
        <is>
          <t>Disetujui</t>
        </is>
      </c>
      <c r="K162" t="n">
        <v>60</v>
      </c>
      <c r="L162" t="inlineStr">
        <is>
          <t>3 Oktober 2026</t>
        </is>
      </c>
      <c r="M162" t="inlineStr">
        <is>
          <t>Konstruksi Bangunan Sipil Jalan</t>
        </is>
      </c>
      <c r="N162" t="inlineStr">
        <is>
          <t>M</t>
        </is>
      </c>
      <c r="O162" t="inlineStr">
        <is>
          <t>20230906</t>
        </is>
      </c>
      <c r="P162" t="inlineStr">
        <is>
          <t>Kalimantan Timur</t>
        </is>
      </c>
      <c r="Q162" t="inlineStr"/>
    </row>
    <row r="163">
      <c r="A163" t="inlineStr">
        <is>
          <t>YUDA PRATAMA MANDIRI</t>
        </is>
      </c>
      <c r="B163" t="inlineStr">
        <is>
          <t>Kab. Hulu Sungai Utara</t>
        </is>
      </c>
      <c r="C163" t="inlineStr">
        <is>
          <t>087815698328</t>
        </is>
      </c>
      <c r="D163" t="inlineStr">
        <is>
          <t>CV.YUDAPRATAMAMANDIRI@GMAIL.COM</t>
        </is>
      </c>
      <c r="E163" t="inlineStr">
        <is>
          <t>https://lpjk.pu.go.id/search-badan-usaha-detail/dXlpWjV6YXppMjFZaVhhQ2lZdmxHUT09</t>
        </is>
      </c>
      <c r="F163" t="n">
        <v>1</v>
      </c>
      <c r="G163" t="inlineStr">
        <is>
          <t>BS002</t>
        </is>
      </c>
      <c r="H163" t="inlineStr">
        <is>
          <t>5 September 2023</t>
        </is>
      </c>
      <c r="I163" s="2" t="n">
        <v>46298</v>
      </c>
      <c r="J163" t="inlineStr">
        <is>
          <t>Disetujui</t>
        </is>
      </c>
      <c r="K163" t="n">
        <v>60</v>
      </c>
      <c r="L163" t="inlineStr">
        <is>
          <t>3 Oktober 2026</t>
        </is>
      </c>
      <c r="M163" t="inlineStr">
        <is>
          <t>Bangunan Sipil Jembatan, Jalan Layang, Fly Over, dan Underpass</t>
        </is>
      </c>
      <c r="N163" t="inlineStr">
        <is>
          <t>K</t>
        </is>
      </c>
      <c r="O163" t="inlineStr">
        <is>
          <t>20230930</t>
        </is>
      </c>
      <c r="P163" t="inlineStr">
        <is>
          <t>Kalimantan Selatan</t>
        </is>
      </c>
      <c r="Q163" t="inlineStr"/>
    </row>
    <row r="164">
      <c r="A164" t="inlineStr">
        <is>
          <t>ZIFADA SEJAHTERA</t>
        </is>
      </c>
      <c r="B164" t="inlineStr">
        <is>
          <t>Kab. Malang</t>
        </is>
      </c>
      <c r="C164" t="inlineStr">
        <is>
          <t>085100427133</t>
        </is>
      </c>
      <c r="D164" t="inlineStr">
        <is>
          <t>zifadasejahtera@yahoo.com</t>
        </is>
      </c>
      <c r="E164" t="inlineStr">
        <is>
          <t>https://lpjk.pu.go.id/search-badan-usaha-detail/MjlsSEs1RC81MFl0Y2hJQXNjSEF0QT09</t>
        </is>
      </c>
      <c r="F164" t="n">
        <v>2</v>
      </c>
      <c r="G164" t="inlineStr">
        <is>
          <t>BG009</t>
        </is>
      </c>
      <c r="H164" t="inlineStr">
        <is>
          <t>13 Januari 2010</t>
        </is>
      </c>
      <c r="I164" s="2" t="n">
        <v>46298</v>
      </c>
      <c r="J164" t="inlineStr">
        <is>
          <t>Disetujui</t>
        </is>
      </c>
      <c r="K164" t="n">
        <v>60</v>
      </c>
      <c r="L164" t="inlineStr">
        <is>
          <t>3 Oktober 2026</t>
        </is>
      </c>
      <c r="M164" t="inlineStr">
        <is>
          <t>Konstruksi Gedung Lainnya</t>
        </is>
      </c>
      <c r="N164" t="inlineStr">
        <is>
          <t>K</t>
        </is>
      </c>
      <c r="O164" t="inlineStr">
        <is>
          <t>20231004</t>
        </is>
      </c>
      <c r="P164" t="inlineStr">
        <is>
          <t>Jawa Timur</t>
        </is>
      </c>
      <c r="Q16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3"/>
  <sheetViews>
    <sheetView workbookViewId="0">
      <selection activeCell="A1" sqref="A1"/>
    </sheetView>
  </sheetViews>
  <sheetFormatPr baseColWidth="8" defaultRowHeight="15"/>
  <cols>
    <col width="39" customWidth="1" min="1" max="1"/>
    <col width="30" customWidth="1" min="2" max="2"/>
    <col width="15" customWidth="1" min="3" max="3"/>
    <col width="42" customWidth="1" min="4" max="4"/>
    <col width="50" customWidth="1" min="5" max="5"/>
    <col width="18" customWidth="1" min="6" max="6"/>
    <col width="42" customWidth="1" min="7" max="7"/>
    <col width="20" customWidth="1" min="8" max="8"/>
    <col width="28" customWidth="1" min="9" max="9"/>
    <col width="45"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ANGKASA SURYA DUTA</t>
        </is>
      </c>
      <c r="B2" t="inlineStr">
        <is>
          <t>Kab. Bogor</t>
        </is>
      </c>
      <c r="C2" t="inlineStr">
        <is>
          <t>081284823701</t>
        </is>
      </c>
      <c r="D2" t="inlineStr">
        <is>
          <t>angkasasuryaduta@gmail.com</t>
        </is>
      </c>
      <c r="E2" t="inlineStr">
        <is>
          <t>https://lpjk.pu.go.id/search-badan-usaha-detail/UlFpKzFTUW0zc214Z1VkNUROZlhRZz09</t>
        </is>
      </c>
      <c r="F2" t="n">
        <v>2</v>
      </c>
      <c r="G2" t="inlineStr">
        <is>
          <t>BS001</t>
        </is>
      </c>
      <c r="H2" t="inlineStr">
        <is>
          <t>28 November 2022</t>
        </is>
      </c>
      <c r="I2" s="2" t="n">
        <v>46268</v>
      </c>
      <c r="J2" t="inlineStr">
        <is>
          <t>Disetujui</t>
        </is>
      </c>
      <c r="K2" t="n">
        <v>30</v>
      </c>
      <c r="L2" t="inlineStr">
        <is>
          <t>3 September 2026</t>
        </is>
      </c>
      <c r="M2" t="inlineStr">
        <is>
          <t>Konstruksi Bangunan Sipil Jalan</t>
        </is>
      </c>
      <c r="N2" t="inlineStr">
        <is>
          <t>K</t>
        </is>
      </c>
      <c r="O2" t="inlineStr">
        <is>
          <t>20230902</t>
        </is>
      </c>
      <c r="P2" t="inlineStr">
        <is>
          <t>Jawa Barat</t>
        </is>
      </c>
      <c r="Q2" s="3">
        <f>HYPERLINK("https://wa.me/6281284823701?text=*[Pengingat Masa Berlaku SBU ANGKASA SURYA DUTA]*%0A%0AYth. Pimpinan ANGKASA SURYA DUTA,%0AMohon izin menginformasikan status SBU Anda:%0A%0A📄 SBU: BS001%0A📅 Expired: 3 September 2026 (30 Hari Lagi)%0A%0AKami tim PT. ESDEA Assistance Management siap men-support proses perpanjangan segera agar administrasi proyek tidak terhambat%0A%0AApakah boleh saya bantu siapkan estimasi biaya dan waktu pengerjaannya?.", "Hubungi")</f>
        <v/>
      </c>
    </row>
    <row r="3">
      <c r="A3" t="inlineStr">
        <is>
          <t>BINSAR OLIVIA LAMDASIP ABADI</t>
        </is>
      </c>
      <c r="B3" t="inlineStr">
        <is>
          <t>Kota Bekasi</t>
        </is>
      </c>
      <c r="C3" t="inlineStr">
        <is>
          <t>082211277767</t>
        </is>
      </c>
      <c r="D3" t="inlineStr">
        <is>
          <t>binsarolivialamdasipabadi@gmail.com</t>
        </is>
      </c>
      <c r="E3" t="inlineStr">
        <is>
          <t>https://lpjk.pu.go.id/search-badan-usaha-detail/WE1XTC9JckovMW1GWUlnWEcwZ1Rwdz09</t>
        </is>
      </c>
      <c r="F3" t="n">
        <v>1</v>
      </c>
      <c r="G3" t="inlineStr">
        <is>
          <t>BS004</t>
        </is>
      </c>
      <c r="H3" t="inlineStr">
        <is>
          <t>20 Februari 2023</t>
        </is>
      </c>
      <c r="I3" s="2" t="n">
        <v>46268</v>
      </c>
      <c r="J3" t="inlineStr">
        <is>
          <t>Disetujui</t>
        </is>
      </c>
      <c r="K3" t="n">
        <v>30</v>
      </c>
      <c r="L3" t="inlineStr">
        <is>
          <t>3 September 2026</t>
        </is>
      </c>
      <c r="M3" t="inlineStr">
        <is>
          <t>Konstruksi Jaringan Irigasi dan Drainase</t>
        </is>
      </c>
      <c r="N3" t="inlineStr">
        <is>
          <t>K</t>
        </is>
      </c>
      <c r="O3" t="inlineStr">
        <is>
          <t>20230829</t>
        </is>
      </c>
      <c r="P3" t="inlineStr">
        <is>
          <t>Jawa Barat</t>
        </is>
      </c>
      <c r="Q3" s="3">
        <f>HYPERLINK("https://wa.me/6282211277767?text=*[Pengingat Masa Berlaku SBU BINSAR OLIVIA LAMDASIP ABADI]*%0A%0AYth. Pimpinan BINSAR OLIVIA LAMDASIP ABADI,%0AMohon izin menginformasikan status SBU Anda:%0A%0A📄 SBU: BS004%0A📅 Expired: 3 September 2026 (30 Hari Lagi)%0A%0AKami tim PT. ESDEA Assistance Management siap men-support proses perpanjangan segera agar administrasi proyek tidak terhambat%0A%0AApakah boleh saya bantu siapkan estimasi biaya dan waktu pengerjaannya?.", "Hubungi")</f>
        <v/>
      </c>
    </row>
    <row r="4">
      <c r="A4" t="inlineStr">
        <is>
          <t>GRIYA KREASINDO SEJAHTERA</t>
        </is>
      </c>
      <c r="B4" t="inlineStr">
        <is>
          <t>Kota Bekasi</t>
        </is>
      </c>
      <c r="C4" t="inlineStr">
        <is>
          <t>081808298898</t>
        </is>
      </c>
      <c r="D4" t="inlineStr">
        <is>
          <t>ptgriyakreasindosejahtera@gmail.com</t>
        </is>
      </c>
      <c r="E4" t="inlineStr">
        <is>
          <t>https://lpjk.pu.go.id/search-badan-usaha-detail/elRoMk0vWWMwWml6V2cwakVSRU1Ydz09</t>
        </is>
      </c>
      <c r="F4" t="n">
        <v>1</v>
      </c>
      <c r="G4" t="inlineStr">
        <is>
          <t>BG002</t>
        </is>
      </c>
      <c r="H4" t="inlineStr">
        <is>
          <t>2 November 2015</t>
        </is>
      </c>
      <c r="I4" s="2" t="n">
        <v>46268</v>
      </c>
      <c r="J4" t="inlineStr">
        <is>
          <t>Disetujui</t>
        </is>
      </c>
      <c r="K4" t="n">
        <v>30</v>
      </c>
      <c r="L4" t="inlineStr">
        <is>
          <t>3 September 2026</t>
        </is>
      </c>
      <c r="M4" t="inlineStr">
        <is>
          <t>Konstruksi Gedung Perkantoran</t>
        </is>
      </c>
      <c r="N4" t="inlineStr">
        <is>
          <t>K</t>
        </is>
      </c>
      <c r="O4" t="inlineStr">
        <is>
          <t>20230901</t>
        </is>
      </c>
      <c r="P4" t="inlineStr">
        <is>
          <t>Jawa Barat</t>
        </is>
      </c>
      <c r="Q4" s="3">
        <f>HYPERLINK("https://wa.me/6281808298898?text=*[Pengingat Masa Berlaku SBU GRIYA KREASINDO SEJAHTERA]*%0A%0AYth. Pimpinan GRIYA KREASINDO SEJAHTERA,%0AMohon izin menginformasikan status SBU Anda:%0A%0A📄 SBU: BG002%0A📅 Expired: 3 September 2026 (30 Hari Lagi)%0A%0AKami tim PT. ESDEA Assistance Management siap men-support proses perpanjangan segera agar administrasi proyek tidak terhambat%0A%0AApakah boleh saya bantu siapkan estimasi biaya dan waktu pengerjaannya?.", "Hubungi")</f>
        <v/>
      </c>
    </row>
    <row r="5">
      <c r="A5" t="inlineStr">
        <is>
          <t>JAKARTASPEED TEKNIK UTAMA</t>
        </is>
      </c>
      <c r="B5" t="inlineStr">
        <is>
          <t>Kab. Bekasi</t>
        </is>
      </c>
      <c r="C5" t="inlineStr">
        <is>
          <t>02129566163</t>
        </is>
      </c>
      <c r="D5" t="inlineStr">
        <is>
          <t>financejstu@gmail.com</t>
        </is>
      </c>
      <c r="E5" t="inlineStr">
        <is>
          <t>https://lpjk.pu.go.id/search-badan-usaha-detail/c0w4YTVjb0lTR3ZINUVGVURNT1lSQT09</t>
        </is>
      </c>
      <c r="F5" t="n">
        <v>3</v>
      </c>
      <c r="G5" t="inlineStr">
        <is>
          <t>BS002</t>
        </is>
      </c>
      <c r="H5" t="inlineStr">
        <is>
          <t>4 Juli 2022</t>
        </is>
      </c>
      <c r="I5" s="2" t="n">
        <v>46268</v>
      </c>
      <c r="J5" t="inlineStr">
        <is>
          <t>Disetujui</t>
        </is>
      </c>
      <c r="K5" t="n">
        <v>30</v>
      </c>
      <c r="L5" t="inlineStr">
        <is>
          <t>3 September 2026</t>
        </is>
      </c>
      <c r="M5" t="inlineStr">
        <is>
          <t>Bangunan Sipil Jembatan, Jalan Layang, Fly Over, dan Underpass</t>
        </is>
      </c>
      <c r="N5" t="inlineStr">
        <is>
          <t>K</t>
        </is>
      </c>
      <c r="O5" t="inlineStr">
        <is>
          <t>20230830</t>
        </is>
      </c>
      <c r="P5" t="inlineStr">
        <is>
          <t>Jawa Barat</t>
        </is>
      </c>
      <c r="Q5" t="inlineStr"/>
    </row>
    <row r="6">
      <c r="A6" t="inlineStr">
        <is>
          <t>PUTRA MENARA PRATAMA</t>
        </is>
      </c>
      <c r="B6" t="inlineStr">
        <is>
          <t>Kab. Bogor</t>
        </is>
      </c>
      <c r="C6" t="inlineStr">
        <is>
          <t>08174923168</t>
        </is>
      </c>
      <c r="D6" t="inlineStr">
        <is>
          <t>putramenarapratama@gmail.com</t>
        </is>
      </c>
      <c r="E6" t="inlineStr">
        <is>
          <t>https://lpjk.pu.go.id/search-badan-usaha-detail/Z1kvVTcwTVZZRE1LQzZDNVJYUVVOQT09</t>
        </is>
      </c>
      <c r="F6" t="n">
        <v>1</v>
      </c>
      <c r="G6" t="inlineStr">
        <is>
          <t>BG001</t>
        </is>
      </c>
      <c r="H6" t="inlineStr">
        <is>
          <t>13 Februari 2017</t>
        </is>
      </c>
      <c r="I6" s="2" t="n">
        <v>46268</v>
      </c>
      <c r="J6" t="inlineStr">
        <is>
          <t>Disetujui</t>
        </is>
      </c>
      <c r="K6" t="n">
        <v>30</v>
      </c>
      <c r="L6" t="inlineStr">
        <is>
          <t>3 September 2026</t>
        </is>
      </c>
      <c r="M6" t="inlineStr">
        <is>
          <t>Konstruksi Gedung Hunian</t>
        </is>
      </c>
      <c r="N6" t="inlineStr">
        <is>
          <t>K</t>
        </is>
      </c>
      <c r="O6" t="inlineStr">
        <is>
          <t>20230904</t>
        </is>
      </c>
      <c r="P6" t="inlineStr">
        <is>
          <t>Jawa Barat</t>
        </is>
      </c>
      <c r="Q6" s="3">
        <f>HYPERLINK("https://wa.me/628174923168?text=*[Pengingat Masa Berlaku SBU PUTRA MENARA PRATAMA]*%0A%0AYth. Pimpinan PUTRA MENARA PRATAMA,%0AMohon izin menginformasikan status SBU Anda:%0A%0A📄 SBU: BG001%0A📅 Expired: 3 September 2026 (30 Hari Lagi)%0A%0AKami tim PT. ESDEA Assistance Management siap men-support proses perpanjangan segera agar administrasi proyek tidak terhambat%0A%0AApakah boleh saya bantu siapkan estimasi biaya dan waktu pengerjaannya?.", "Hubungi")</f>
        <v/>
      </c>
    </row>
    <row r="7">
      <c r="A7" t="inlineStr">
        <is>
          <t>SINAR MAS ALAM RAYA</t>
        </is>
      </c>
      <c r="B7" t="inlineStr">
        <is>
          <t>Kab. Bekasi</t>
        </is>
      </c>
      <c r="C7" t="inlineStr">
        <is>
          <t>085600000442</t>
        </is>
      </c>
      <c r="D7" t="inlineStr">
        <is>
          <t>smar@tabasagroup.com</t>
        </is>
      </c>
      <c r="E7" t="inlineStr">
        <is>
          <t>https://lpjk.pu.go.id/search-badan-usaha-detail/b29FaUVKOEdmeWI2b1ZNMWRtMHdKdz09</t>
        </is>
      </c>
      <c r="F7" t="n">
        <v>4</v>
      </c>
      <c r="G7" t="inlineStr">
        <is>
          <t>BG003</t>
        </is>
      </c>
      <c r="H7" t="inlineStr">
        <is>
          <t>14 Juli 2023</t>
        </is>
      </c>
      <c r="I7" s="2" t="n">
        <v>46268</v>
      </c>
      <c r="J7" t="inlineStr">
        <is>
          <t>Pencabutan</t>
        </is>
      </c>
      <c r="K7" t="n">
        <v>30</v>
      </c>
      <c r="L7" t="inlineStr">
        <is>
          <t>3 September 2026</t>
        </is>
      </c>
      <c r="M7" t="inlineStr">
        <is>
          <t>Konstruksi Gedung Industri</t>
        </is>
      </c>
      <c r="N7" t="inlineStr">
        <is>
          <t>K</t>
        </is>
      </c>
      <c r="O7" t="inlineStr">
        <is>
          <t>20230830</t>
        </is>
      </c>
      <c r="P7" t="inlineStr">
        <is>
          <t>Jawa Barat</t>
        </is>
      </c>
      <c r="Q7" s="3">
        <f>HYPERLINK("https://wa.me/6285600000442?text=*[Pengingat Masa Berlaku SBU SINAR MAS ALAM RAYA]*%0A%0AYth. Pimpinan SINAR MAS ALAM RAYA,%0AMohon izin menginformasikan status SBU Anda:%0A%0A📄 SBU: BG003%0A📅 Expired: 3 September 2026 (30 Hari Lagi)%0A%0AKami tim PT. ESDEA Assistance Management siap men-support proses perpanjangan segera agar administrasi proyek tidak terhambat%0A%0AApakah boleh saya bantu siapkan estimasi biaya dan waktu pengerjaannya?.", "Hubungi")</f>
        <v/>
      </c>
    </row>
    <row r="8">
      <c r="A8" t="inlineStr">
        <is>
          <t>SUMBER DAYA MITRAINTI</t>
        </is>
      </c>
      <c r="B8" t="inlineStr">
        <is>
          <t>Kota Bekasi</t>
        </is>
      </c>
      <c r="C8" t="inlineStr">
        <is>
          <t>08128897581</t>
        </is>
      </c>
      <c r="D8" t="inlineStr">
        <is>
          <t>ekowirabayuirawan@gmail.com</t>
        </is>
      </c>
      <c r="E8" t="inlineStr">
        <is>
          <t>https://lpjk.pu.go.id/search-badan-usaha-detail/L3M3QnZuRWtqK0V1TGpJSjJqdVhqZz09</t>
        </is>
      </c>
      <c r="F8" t="n">
        <v>1</v>
      </c>
      <c r="G8" t="inlineStr">
        <is>
          <t>BG005</t>
        </is>
      </c>
      <c r="H8" t="inlineStr">
        <is>
          <t>6 September 2018</t>
        </is>
      </c>
      <c r="I8" s="2" t="n">
        <v>46268</v>
      </c>
      <c r="J8" t="inlineStr">
        <is>
          <t>Disetujui</t>
        </is>
      </c>
      <c r="K8" t="n">
        <v>30</v>
      </c>
      <c r="L8" t="inlineStr">
        <is>
          <t>3 September 2026</t>
        </is>
      </c>
      <c r="M8" t="inlineStr">
        <is>
          <t>Konstruksi Gedung Kesehatan</t>
        </is>
      </c>
      <c r="N8" t="inlineStr">
        <is>
          <t>K</t>
        </is>
      </c>
      <c r="O8" t="inlineStr">
        <is>
          <t>20230902</t>
        </is>
      </c>
      <c r="P8" t="inlineStr">
        <is>
          <t>Jawa Barat</t>
        </is>
      </c>
      <c r="Q8" s="3">
        <f>HYPERLINK("https://wa.me/628128897581?text=*[Pengingat Masa Berlaku SBU SUMBER DAYA MITRAINTI]*%0A%0AYth. Pimpinan SUMBER DAYA MITRAINTI,%0AMohon izin menginformasikan status SBU Anda:%0A%0A📄 SBU: BG005%0A📅 Expired: 3 September 2026 (30 Hari Lagi)%0A%0AKami tim PT. ESDEA Assistance Management siap men-support proses perpanjangan segera agar administrasi proyek tidak terhambat%0A%0AApakah boleh saya bantu siapkan estimasi biaya dan waktu pengerjaannya?.", "Hubungi")</f>
        <v/>
      </c>
    </row>
    <row r="9">
      <c r="A9" t="inlineStr">
        <is>
          <t>TELAGA INSAN MULIA</t>
        </is>
      </c>
      <c r="B9" t="inlineStr">
        <is>
          <t>Kota Adm. Jakarta Timur</t>
        </is>
      </c>
      <c r="C9" t="inlineStr">
        <is>
          <t>081295083550</t>
        </is>
      </c>
      <c r="D9" t="inlineStr">
        <is>
          <t>telagainsanmulia@gmail.com</t>
        </is>
      </c>
      <c r="E9" t="inlineStr">
        <is>
          <t>https://lpjk.pu.go.id/search-badan-usaha-detail/VVRPNmV5M01XZUUydzFQNnp4Rzg3Zz09</t>
        </is>
      </c>
      <c r="F9" t="n">
        <v>1</v>
      </c>
      <c r="G9" t="inlineStr">
        <is>
          <t>BG002</t>
        </is>
      </c>
      <c r="H9" t="inlineStr">
        <is>
          <t>4 Mei 2023</t>
        </is>
      </c>
      <c r="I9" s="2" t="n">
        <v>46268</v>
      </c>
      <c r="J9" t="inlineStr">
        <is>
          <t>Disetujui</t>
        </is>
      </c>
      <c r="K9" t="n">
        <v>30</v>
      </c>
      <c r="L9" t="inlineStr">
        <is>
          <t>3 September 2026</t>
        </is>
      </c>
      <c r="M9" t="inlineStr">
        <is>
          <t>Konstruksi Gedung Perkantoran</t>
        </is>
      </c>
      <c r="N9" t="inlineStr">
        <is>
          <t>K</t>
        </is>
      </c>
      <c r="O9" t="inlineStr">
        <is>
          <t>20230904</t>
        </is>
      </c>
      <c r="P9" t="inlineStr">
        <is>
          <t>DKI Jakarta</t>
        </is>
      </c>
      <c r="Q9" s="3">
        <f>HYPERLINK("https://wa.me/6281295083550?text=*[Pengingat Masa Berlaku SBU TELAGA INSAN MULIA]*%0A%0AYth. Pimpinan TELAGA INSAN MULIA,%0AMohon izin menginformasikan status SBU Anda:%0A%0A📄 SBU: BG002%0A📅 Expired: 3 September 2026 (30 Hari Lagi)%0A%0AKami tim PT. ESDEA Assistance Management siap men-support proses perpanjangan segera agar administrasi proyek tidak terhambat%0A%0AApakah boleh saya bantu siapkan estimasi biaya dan waktu pengerjaannya?.", "Hubungi")</f>
        <v/>
      </c>
    </row>
    <row r="10">
      <c r="A10" t="inlineStr">
        <is>
          <t>ABHIMATA CITRA ABADI</t>
        </is>
      </c>
      <c r="B10" t="inlineStr">
        <is>
          <t>Kota Adm. Jakarta Pusat</t>
        </is>
      </c>
      <c r="C10" t="inlineStr">
        <is>
          <t>02157930304</t>
        </is>
      </c>
      <c r="D10" t="inlineStr">
        <is>
          <t>christina.loho@abhimata.co.id</t>
        </is>
      </c>
      <c r="E10" t="inlineStr">
        <is>
          <t>https://lpjk.pu.go.id/search-badan-usaha-detail/bUhtb0doWG9xVTVpWFZtUGdpancxUT09</t>
        </is>
      </c>
      <c r="F10" t="n">
        <v>1</v>
      </c>
      <c r="G10" t="inlineStr">
        <is>
          <t>BS009</t>
        </is>
      </c>
      <c r="H10" t="inlineStr">
        <is>
          <t>19 Desember 1989</t>
        </is>
      </c>
      <c r="I10" s="2" t="n">
        <v>46268</v>
      </c>
      <c r="J10" t="inlineStr">
        <is>
          <t>Disetujui</t>
        </is>
      </c>
      <c r="K10" t="n">
        <v>30</v>
      </c>
      <c r="L10" t="inlineStr">
        <is>
          <t>3 September 2026</t>
        </is>
      </c>
      <c r="M10" t="inlineStr">
        <is>
          <t>Konstruksi Sentral Telekomunikasi</t>
        </is>
      </c>
      <c r="N10" t="inlineStr">
        <is>
          <t>B</t>
        </is>
      </c>
      <c r="O10" t="inlineStr">
        <is>
          <t>20230814</t>
        </is>
      </c>
      <c r="P10" t="inlineStr">
        <is>
          <t>DKI Jakarta</t>
        </is>
      </c>
      <c r="Q10" t="inlineStr"/>
    </row>
    <row r="11">
      <c r="A11" t="inlineStr">
        <is>
          <t>AGRA JAYA KONSTRUKSI</t>
        </is>
      </c>
      <c r="B11" t="inlineStr">
        <is>
          <t>Kab. Kapuas Hulu</t>
        </is>
      </c>
      <c r="C11" t="inlineStr">
        <is>
          <t>081345593350</t>
        </is>
      </c>
      <c r="D11" t="inlineStr">
        <is>
          <t>cv.agrajayakonstruksi@gmail.com</t>
        </is>
      </c>
      <c r="E11" t="inlineStr">
        <is>
          <t>https://lpjk.pu.go.id/search-badan-usaha-detail/MEtIR0dzSncvajlEdEpZdEphSzlLUT09</t>
        </is>
      </c>
      <c r="F11" t="n">
        <v>1</v>
      </c>
      <c r="G11" t="inlineStr">
        <is>
          <t>BS001</t>
        </is>
      </c>
      <c r="H11" t="inlineStr">
        <is>
          <t>9 Januari 2016</t>
        </is>
      </c>
      <c r="I11" s="2" t="n">
        <v>46268</v>
      </c>
      <c r="J11" t="inlineStr">
        <is>
          <t>Disetujui</t>
        </is>
      </c>
      <c r="K11" t="n">
        <v>30</v>
      </c>
      <c r="L11" t="inlineStr">
        <is>
          <t>3 September 2026</t>
        </is>
      </c>
      <c r="M11" t="inlineStr">
        <is>
          <t>Konstruksi Bangunan Sipil Jalan</t>
        </is>
      </c>
      <c r="N11" t="inlineStr">
        <is>
          <t>K</t>
        </is>
      </c>
      <c r="O11" t="inlineStr">
        <is>
          <t>20230829</t>
        </is>
      </c>
      <c r="P11" t="inlineStr">
        <is>
          <t>Kalimantan Barat</t>
        </is>
      </c>
      <c r="Q11" t="inlineStr"/>
    </row>
    <row r="12">
      <c r="A12" t="inlineStr">
        <is>
          <t>AKITA GEMILANG</t>
        </is>
      </c>
      <c r="B12" t="inlineStr">
        <is>
          <t>Kab. Bantul</t>
        </is>
      </c>
      <c r="C12" t="inlineStr">
        <is>
          <t>081326214489</t>
        </is>
      </c>
      <c r="D12" t="inlineStr">
        <is>
          <t>akita.gemilang123@gmail.com</t>
        </is>
      </c>
      <c r="E12" t="inlineStr">
        <is>
          <t>https://lpjk.pu.go.id/search-badan-usaha-detail/SFY1TCs5b3VROUIvdkFWbnVlK2JIQT09</t>
        </is>
      </c>
      <c r="F12" t="n">
        <v>1</v>
      </c>
      <c r="G12" t="inlineStr">
        <is>
          <t>BS001</t>
        </is>
      </c>
      <c r="H12" t="inlineStr">
        <is>
          <t>22 Juni 2012</t>
        </is>
      </c>
      <c r="I12" s="2" t="n">
        <v>46268</v>
      </c>
      <c r="J12" t="inlineStr">
        <is>
          <t>Disetujui</t>
        </is>
      </c>
      <c r="K12" t="n">
        <v>30</v>
      </c>
      <c r="L12" t="inlineStr">
        <is>
          <t>3 September 2026</t>
        </is>
      </c>
      <c r="M12" t="inlineStr">
        <is>
          <t>Konstruksi Bangunan Sipil Jalan</t>
        </is>
      </c>
      <c r="N12" t="inlineStr">
        <is>
          <t>K</t>
        </is>
      </c>
      <c r="O12" t="inlineStr">
        <is>
          <t>20230902</t>
        </is>
      </c>
      <c r="P12" t="inlineStr">
        <is>
          <t>DI Yogyakarta</t>
        </is>
      </c>
      <c r="Q12" t="inlineStr"/>
    </row>
    <row r="13">
      <c r="A13" t="inlineStr">
        <is>
          <t>ALFARIZZI</t>
        </is>
      </c>
      <c r="B13" t="inlineStr">
        <is>
          <t>Kota Banda Aceh</t>
        </is>
      </c>
      <c r="C13" t="inlineStr">
        <is>
          <t>081269188223</t>
        </is>
      </c>
      <c r="D13" t="inlineStr">
        <is>
          <t>cv.alfarizzi@gmail.com</t>
        </is>
      </c>
      <c r="E13" t="inlineStr">
        <is>
          <t>https://lpjk.pu.go.id/search-badan-usaha-detail/bWpFVzRYbXBxUTBhd3U1TS9XclVPQT09</t>
        </is>
      </c>
      <c r="F13" t="n">
        <v>4</v>
      </c>
      <c r="G13" t="inlineStr">
        <is>
          <t>BG008, BG009</t>
        </is>
      </c>
      <c r="H13" t="inlineStr">
        <is>
          <t>22 Juni 2012</t>
        </is>
      </c>
      <c r="I13" s="2" t="n">
        <v>46268</v>
      </c>
      <c r="J13" t="inlineStr">
        <is>
          <t>Disetujui</t>
        </is>
      </c>
      <c r="K13" t="n">
        <v>30</v>
      </c>
      <c r="L13" t="inlineStr">
        <is>
          <t>3 September 2026</t>
        </is>
      </c>
      <c r="M13" t="inlineStr">
        <is>
          <t>Konstruksi Gedung Lainnya, Konstruksi Gedung Tempat Hiburan dan Olahraga</t>
        </is>
      </c>
      <c r="N13" t="inlineStr">
        <is>
          <t>K</t>
        </is>
      </c>
      <c r="O13" t="inlineStr">
        <is>
          <t>20230901</t>
        </is>
      </c>
      <c r="P13" t="inlineStr">
        <is>
          <t>Aceh</t>
        </is>
      </c>
      <c r="Q13" t="inlineStr"/>
    </row>
    <row r="14">
      <c r="A14" t="inlineStr">
        <is>
          <t>ALINA MANDIRI</t>
        </is>
      </c>
      <c r="B14" t="inlineStr">
        <is>
          <t>Kab. Sanggau</t>
        </is>
      </c>
      <c r="C14" t="inlineStr">
        <is>
          <t>0</t>
        </is>
      </c>
      <c r="D14" t="inlineStr">
        <is>
          <t>alinamandiri88@gmail.com</t>
        </is>
      </c>
      <c r="E14" t="inlineStr">
        <is>
          <t>https://lpjk.pu.go.id/search-badan-usaha-detail/bVN3U3lFWlFDaUp3bW5RQkxTaXp2dz09</t>
        </is>
      </c>
      <c r="F14" t="n">
        <v>2</v>
      </c>
      <c r="G14" t="inlineStr">
        <is>
          <t>BG006, BG009</t>
        </is>
      </c>
      <c r="H14" t="inlineStr">
        <is>
          <t>10 Mei 2017</t>
        </is>
      </c>
      <c r="I14" s="2" t="n">
        <v>46268</v>
      </c>
      <c r="J14" t="inlineStr">
        <is>
          <t>Disetujui</t>
        </is>
      </c>
      <c r="K14" t="n">
        <v>30</v>
      </c>
      <c r="L14" t="inlineStr">
        <is>
          <t>3 September 2026</t>
        </is>
      </c>
      <c r="M14" t="inlineStr">
        <is>
          <t>Konstruksi Gedung Lainnya, Konstruksi Gedung Pendidikan</t>
        </is>
      </c>
      <c r="N14" t="inlineStr">
        <is>
          <t>K</t>
        </is>
      </c>
      <c r="O14" t="inlineStr">
        <is>
          <t>20230830</t>
        </is>
      </c>
      <c r="P14" t="inlineStr">
        <is>
          <t>Kalimantan Barat</t>
        </is>
      </c>
      <c r="Q14" t="inlineStr"/>
    </row>
    <row r="15">
      <c r="A15" t="inlineStr">
        <is>
          <t>ANEKA BANGUN SARANA</t>
        </is>
      </c>
      <c r="B15" t="inlineStr">
        <is>
          <t>Kab. Kebumen</t>
        </is>
      </c>
      <c r="C15" t="inlineStr">
        <is>
          <t>0287471667</t>
        </is>
      </c>
      <c r="D15" t="inlineStr">
        <is>
          <t>aneka_bangun_sarana@yahoo.co.id</t>
        </is>
      </c>
      <c r="E15" t="inlineStr">
        <is>
          <t>https://lpjk.pu.go.id/search-badan-usaha-detail/ZU5udFEveE03Q2gya1VGaC9TTGZJdz09</t>
        </is>
      </c>
      <c r="F15" t="n">
        <v>4</v>
      </c>
      <c r="G15" t="inlineStr">
        <is>
          <t>BG005, BS001</t>
        </is>
      </c>
      <c r="H15" t="inlineStr">
        <is>
          <t>22 Desember 2003</t>
        </is>
      </c>
      <c r="I15" s="2" t="n">
        <v>46268</v>
      </c>
      <c r="J15" t="inlineStr">
        <is>
          <t>Disetujui</t>
        </is>
      </c>
      <c r="K15" t="n">
        <v>30</v>
      </c>
      <c r="L15" t="inlineStr">
        <is>
          <t>3 September 2026</t>
        </is>
      </c>
      <c r="M15" t="inlineStr">
        <is>
          <t>Konstruksi Bangunan Sipil Jalan, Konstruksi Gedung Kesehatan</t>
        </is>
      </c>
      <c r="N15" t="inlineStr">
        <is>
          <t>M</t>
        </is>
      </c>
      <c r="O15" t="inlineStr">
        <is>
          <t>20230728</t>
        </is>
      </c>
      <c r="P15" t="inlineStr">
        <is>
          <t>Jawa Tengah</t>
        </is>
      </c>
      <c r="Q15" t="inlineStr"/>
    </row>
    <row r="16">
      <c r="A16" t="inlineStr">
        <is>
          <t>ANNA DOHAWU PAPUA</t>
        </is>
      </c>
      <c r="B16" t="inlineStr">
        <is>
          <t>Kota Jayapura</t>
        </is>
      </c>
      <c r="C16" t="inlineStr">
        <is>
          <t>082238956999</t>
        </is>
      </c>
      <c r="D16" t="inlineStr">
        <is>
          <t>anadop.jyp@gmail.com</t>
        </is>
      </c>
      <c r="E16" t="inlineStr">
        <is>
          <t>https://lpjk.pu.go.id/search-badan-usaha-detail/UVMwTU9qWFgwcWZtN2prM3crTWtGZz09</t>
        </is>
      </c>
      <c r="F16" t="n">
        <v>1</v>
      </c>
      <c r="G16" t="inlineStr">
        <is>
          <t>BS001</t>
        </is>
      </c>
      <c r="H16" t="inlineStr">
        <is>
          <t>8 Desember 2014</t>
        </is>
      </c>
      <c r="I16" s="2" t="n">
        <v>46268</v>
      </c>
      <c r="J16" t="inlineStr">
        <is>
          <t>Disetujui</t>
        </is>
      </c>
      <c r="K16" t="n">
        <v>30</v>
      </c>
      <c r="L16" t="inlineStr">
        <is>
          <t>3 September 2026</t>
        </is>
      </c>
      <c r="M16" t="inlineStr">
        <is>
          <t>Konstruksi Bangunan Sipil Jalan</t>
        </is>
      </c>
      <c r="N16" t="inlineStr">
        <is>
          <t>K</t>
        </is>
      </c>
      <c r="O16" t="inlineStr">
        <is>
          <t>20230829</t>
        </is>
      </c>
      <c r="P16" t="inlineStr">
        <is>
          <t>Papua</t>
        </is>
      </c>
      <c r="Q16" t="inlineStr"/>
    </row>
    <row r="17">
      <c r="A17" t="inlineStr">
        <is>
          <t>ANTARES CHIATA KONSTRUKSI</t>
        </is>
      </c>
      <c r="B17" t="inlineStr">
        <is>
          <t>Kab. Kutai Kartanegara</t>
        </is>
      </c>
      <c r="C17" t="inlineStr">
        <is>
          <t>082129009102</t>
        </is>
      </c>
      <c r="D17" t="inlineStr">
        <is>
          <t>antareschiatakonstruksi@gmail.com</t>
        </is>
      </c>
      <c r="E17" t="inlineStr">
        <is>
          <t>https://lpjk.pu.go.id/search-badan-usaha-detail/N1BlVG42Ykw5MDloTjROeUdqT1htdz09</t>
        </is>
      </c>
      <c r="F17" t="n">
        <v>1</v>
      </c>
      <c r="G17" t="inlineStr">
        <is>
          <t>BS001</t>
        </is>
      </c>
      <c r="H17" t="inlineStr">
        <is>
          <t>24 Agustus 2023</t>
        </is>
      </c>
      <c r="I17" s="2" t="n">
        <v>46268</v>
      </c>
      <c r="J17" t="inlineStr">
        <is>
          <t>Disetujui</t>
        </is>
      </c>
      <c r="K17" t="n">
        <v>30</v>
      </c>
      <c r="L17" t="inlineStr">
        <is>
          <t>3 September 2026</t>
        </is>
      </c>
      <c r="M17" t="inlineStr">
        <is>
          <t>Konstruksi Bangunan Sipil Jalan</t>
        </is>
      </c>
      <c r="N17" t="inlineStr">
        <is>
          <t>K</t>
        </is>
      </c>
      <c r="O17" t="inlineStr">
        <is>
          <t>20230902</t>
        </is>
      </c>
      <c r="P17" t="inlineStr">
        <is>
          <t>Kalimantan Timur</t>
        </is>
      </c>
      <c r="Q17" t="inlineStr"/>
    </row>
    <row r="18">
      <c r="A18" t="inlineStr">
        <is>
          <t>ANUGERAH ABADI</t>
        </is>
      </c>
      <c r="B18" t="inlineStr">
        <is>
          <t>Kab. Mamuju</t>
        </is>
      </c>
      <c r="C18" t="inlineStr">
        <is>
          <t>082290899992</t>
        </is>
      </c>
      <c r="D18" t="inlineStr">
        <is>
          <t>cvanugrahabadi009@gmail.com</t>
        </is>
      </c>
      <c r="E18" t="inlineStr">
        <is>
          <t>https://lpjk.pu.go.id/search-badan-usaha-detail/cXFSdGF0ZWd5bUx4QmxpNWJ6TStHZz09</t>
        </is>
      </c>
      <c r="F18" t="n">
        <v>2</v>
      </c>
      <c r="G18" t="inlineStr">
        <is>
          <t>BG006, BG009</t>
        </is>
      </c>
      <c r="H18" t="inlineStr">
        <is>
          <t>8 Maret 2013</t>
        </is>
      </c>
      <c r="I18" s="2" t="n">
        <v>46268</v>
      </c>
      <c r="J18" t="inlineStr">
        <is>
          <t>Pencabutan</t>
        </is>
      </c>
      <c r="K18" t="n">
        <v>30</v>
      </c>
      <c r="L18" t="inlineStr">
        <is>
          <t>3 September 2026</t>
        </is>
      </c>
      <c r="M18" t="inlineStr">
        <is>
          <t>Konstruksi Gedung Lainnya, Konstruksi Gedung Pendidikan</t>
        </is>
      </c>
      <c r="N18" t="inlineStr">
        <is>
          <t>K</t>
        </is>
      </c>
      <c r="O18" t="inlineStr">
        <is>
          <t>20230902</t>
        </is>
      </c>
      <c r="P18" t="inlineStr">
        <is>
          <t>Sulawesi Barat</t>
        </is>
      </c>
      <c r="Q18" t="inlineStr"/>
    </row>
    <row r="19">
      <c r="A19" t="inlineStr">
        <is>
          <t>ANUGERAH PAPUA CONSULTAN</t>
        </is>
      </c>
      <c r="B19" t="inlineStr">
        <is>
          <t>Kab. Teluk Wondama</t>
        </is>
      </c>
      <c r="C19" t="inlineStr">
        <is>
          <t>081248760934</t>
        </is>
      </c>
      <c r="D19" t="inlineStr">
        <is>
          <t>anugerahpapua02@gmail.com</t>
        </is>
      </c>
      <c r="E19" t="inlineStr">
        <is>
          <t>https://lpjk.pu.go.id/search-badan-usaha-detail/WXVJR0xkczBuQlpSRmt0aGhNWjMzUT09</t>
        </is>
      </c>
      <c r="F19" t="n">
        <v>1</v>
      </c>
      <c r="G19" t="inlineStr">
        <is>
          <t>RK005</t>
        </is>
      </c>
      <c r="H19" t="inlineStr">
        <is>
          <t>3 Februari 2020</t>
        </is>
      </c>
      <c r="I19" s="2" t="n">
        <v>46268</v>
      </c>
      <c r="J19" t="inlineStr">
        <is>
          <t>Pencabutan</t>
        </is>
      </c>
      <c r="K19" t="n">
        <v>30</v>
      </c>
      <c r="L19" t="inlineStr">
        <is>
          <t>3 September 2026</t>
        </is>
      </c>
      <c r="M19" t="inlineStr">
        <is>
          <t>Jasa Rekayasa Lainnya</t>
        </is>
      </c>
      <c r="N19" t="inlineStr">
        <is>
          <t>K</t>
        </is>
      </c>
      <c r="O19" t="inlineStr">
        <is>
          <t>20230813</t>
        </is>
      </c>
      <c r="P19" t="inlineStr">
        <is>
          <t>Papua Barat</t>
        </is>
      </c>
      <c r="Q19" t="inlineStr"/>
    </row>
    <row r="20">
      <c r="A20" t="inlineStr">
        <is>
          <t>AZOYA CULASEMESTA PERKASA</t>
        </is>
      </c>
      <c r="B20" t="inlineStr">
        <is>
          <t>Kab. Cirebon</t>
        </is>
      </c>
      <c r="C20" t="inlineStr">
        <is>
          <t>02318401465</t>
        </is>
      </c>
      <c r="D20" t="inlineStr">
        <is>
          <t>pt.azoya@yahoo.co.id</t>
        </is>
      </c>
      <c r="E20" t="inlineStr">
        <is>
          <t>https://lpjk.pu.go.id/search-badan-usaha-detail/bkQzOSs5YmtNOXJzcnhhUUQvSEY1dz09</t>
        </is>
      </c>
      <c r="F20" t="n">
        <v>3</v>
      </c>
      <c r="G20" t="inlineStr">
        <is>
          <t>BG001, BG002, BG009</t>
        </is>
      </c>
      <c r="H20" t="inlineStr">
        <is>
          <t>25 November 2013</t>
        </is>
      </c>
      <c r="I20" s="2" t="n">
        <v>46268</v>
      </c>
      <c r="J20" t="inlineStr">
        <is>
          <t>Pembekuan, Permohonan Perubahan Non Asesmen</t>
        </is>
      </c>
      <c r="K20" t="n">
        <v>30</v>
      </c>
      <c r="L20" t="inlineStr">
        <is>
          <t>3 September 2026</t>
        </is>
      </c>
      <c r="M20" t="inlineStr">
        <is>
          <t>Konstruksi Gedung Hunian, Konstruksi Gedung Lainnya, Konstruksi Gedung Perkantoran</t>
        </is>
      </c>
      <c r="N20" t="inlineStr">
        <is>
          <t>M</t>
        </is>
      </c>
      <c r="O20" t="inlineStr">
        <is>
          <t>20230725</t>
        </is>
      </c>
      <c r="P20" t="inlineStr">
        <is>
          <t>Jawa Barat</t>
        </is>
      </c>
      <c r="Q20" t="inlineStr"/>
    </row>
    <row r="21">
      <c r="A21" t="inlineStr">
        <is>
          <t>AZURA PERKASA</t>
        </is>
      </c>
      <c r="B21" t="inlineStr">
        <is>
          <t>Kota Pontianak</t>
        </is>
      </c>
      <c r="C21" t="inlineStr">
        <is>
          <t>082155545603</t>
        </is>
      </c>
      <c r="D21" t="inlineStr">
        <is>
          <t>azuraperkasa@gmail.com</t>
        </is>
      </c>
      <c r="E21" t="inlineStr">
        <is>
          <t>https://lpjk.pu.go.id/search-badan-usaha-detail/WXdGcTFPNE9yWHl4Z1ZFbkw5RlpCdz09</t>
        </is>
      </c>
      <c r="F21" t="n">
        <v>1</v>
      </c>
      <c r="G21" t="inlineStr">
        <is>
          <t>BS004</t>
        </is>
      </c>
      <c r="H21" t="inlineStr">
        <is>
          <t>3 Mei 2017</t>
        </is>
      </c>
      <c r="I21" s="2" t="n">
        <v>46268</v>
      </c>
      <c r="J21" t="inlineStr">
        <is>
          <t>Disetujui</t>
        </is>
      </c>
      <c r="K21" t="n">
        <v>30</v>
      </c>
      <c r="L21" t="inlineStr">
        <is>
          <t>3 September 2026</t>
        </is>
      </c>
      <c r="M21" t="inlineStr">
        <is>
          <t>Konstruksi Jaringan Irigasi dan Drainase</t>
        </is>
      </c>
      <c r="N21" t="inlineStr">
        <is>
          <t>K</t>
        </is>
      </c>
      <c r="O21" t="inlineStr">
        <is>
          <t>20230904</t>
        </is>
      </c>
      <c r="P21" t="inlineStr">
        <is>
          <t>Kalimantan Barat</t>
        </is>
      </c>
      <c r="Q21" t="inlineStr"/>
    </row>
    <row r="22">
      <c r="A22" t="inlineStr">
        <is>
          <t>BAGOLO RAYA UTAMA</t>
        </is>
      </c>
      <c r="B22" t="inlineStr">
        <is>
          <t>Kab. Pangandaran</t>
        </is>
      </c>
      <c r="C22" t="inlineStr">
        <is>
          <t>08122434712</t>
        </is>
      </c>
      <c r="D22" t="inlineStr">
        <is>
          <t>cv.bagolorayautama77@gmail.com</t>
        </is>
      </c>
      <c r="E22" t="inlineStr">
        <is>
          <t>https://lpjk.pu.go.id/search-badan-usaha-detail/QmR2UjMweS9HSndLd0orbzVOL2FZQT09</t>
        </is>
      </c>
      <c r="F22" t="n">
        <v>1</v>
      </c>
      <c r="G22" t="inlineStr">
        <is>
          <t>BS002</t>
        </is>
      </c>
      <c r="H22" t="inlineStr">
        <is>
          <t>1 November 2010</t>
        </is>
      </c>
      <c r="I22" s="2" t="n">
        <v>46268</v>
      </c>
      <c r="J22" t="inlineStr">
        <is>
          <t>Disetujui</t>
        </is>
      </c>
      <c r="K22" t="n">
        <v>30</v>
      </c>
      <c r="L22" t="inlineStr">
        <is>
          <t>3 September 2026</t>
        </is>
      </c>
      <c r="M22" t="inlineStr">
        <is>
          <t>Bangunan Sipil Jembatan, Jalan Layang, Fly Over, dan Underpass</t>
        </is>
      </c>
      <c r="N22" t="inlineStr">
        <is>
          <t>K</t>
        </is>
      </c>
      <c r="O22" t="inlineStr">
        <is>
          <t>20230830</t>
        </is>
      </c>
      <c r="P22" t="inlineStr">
        <is>
          <t>Jawa Barat</t>
        </is>
      </c>
      <c r="Q22" t="inlineStr"/>
    </row>
    <row r="23">
      <c r="A23" t="inlineStr">
        <is>
          <t>BERKAT CAHAYA GRIME</t>
        </is>
      </c>
      <c r="B23" t="inlineStr">
        <is>
          <t>Kota Jayapura</t>
        </is>
      </c>
      <c r="C23" t="inlineStr">
        <is>
          <t>085244094848</t>
        </is>
      </c>
      <c r="D23" t="inlineStr">
        <is>
          <t>cvcahayaberkatgrime99@gmail.com</t>
        </is>
      </c>
      <c r="E23" t="inlineStr">
        <is>
          <t>https://lpjk.pu.go.id/search-badan-usaha-detail/VjJmSmgzb25jNnoyNGFjaFlZUW9Edz09</t>
        </is>
      </c>
      <c r="F23" t="n">
        <v>2</v>
      </c>
      <c r="G23" t="inlineStr">
        <is>
          <t>BG001</t>
        </is>
      </c>
      <c r="H23" t="inlineStr">
        <is>
          <t>25 Oktober 2018</t>
        </is>
      </c>
      <c r="I23" s="2" t="n">
        <v>46268</v>
      </c>
      <c r="J23" t="inlineStr">
        <is>
          <t>Disetujui</t>
        </is>
      </c>
      <c r="K23" t="n">
        <v>30</v>
      </c>
      <c r="L23" t="inlineStr">
        <is>
          <t>3 September 2026</t>
        </is>
      </c>
      <c r="M23" t="inlineStr">
        <is>
          <t>Konstruksi Gedung Hunian</t>
        </is>
      </c>
      <c r="N23" t="inlineStr">
        <is>
          <t>K</t>
        </is>
      </c>
      <c r="O23" t="inlineStr">
        <is>
          <t>20230904</t>
        </is>
      </c>
      <c r="P23" t="inlineStr">
        <is>
          <t>Papua</t>
        </is>
      </c>
      <c r="Q23" t="inlineStr"/>
    </row>
    <row r="24">
      <c r="A24" t="inlineStr">
        <is>
          <t>BINTANG TERANG JAYA</t>
        </is>
      </c>
      <c r="B24" t="inlineStr">
        <is>
          <t>Kab. Bulungan</t>
        </is>
      </c>
      <c r="C24" t="inlineStr">
        <is>
          <t>082251720884</t>
        </is>
      </c>
      <c r="D24" t="inlineStr">
        <is>
          <t>acay.sn@gmail.com</t>
        </is>
      </c>
      <c r="E24" t="inlineStr">
        <is>
          <t>https://lpjk.pu.go.id/search-badan-usaha-detail/VW4zdUVpQktzSTVuSmRqeFNVUUl5UT09</t>
        </is>
      </c>
      <c r="F24" t="n">
        <v>2</v>
      </c>
      <c r="G24" t="inlineStr">
        <is>
          <t>BG002</t>
        </is>
      </c>
      <c r="H24" t="inlineStr">
        <is>
          <t>27 Juni 2016</t>
        </is>
      </c>
      <c r="I24" s="2" t="n">
        <v>46268</v>
      </c>
      <c r="J24" t="inlineStr">
        <is>
          <t>Disetujui</t>
        </is>
      </c>
      <c r="K24" t="n">
        <v>30</v>
      </c>
      <c r="L24" t="inlineStr">
        <is>
          <t>3 September 2026</t>
        </is>
      </c>
      <c r="M24" t="inlineStr">
        <is>
          <t>Konstruksi Gedung Perkantoran</t>
        </is>
      </c>
      <c r="N24" t="inlineStr">
        <is>
          <t>K</t>
        </is>
      </c>
      <c r="O24" t="inlineStr">
        <is>
          <t>20230902</t>
        </is>
      </c>
      <c r="P24" t="inlineStr">
        <is>
          <t>Kalimantan Utara</t>
        </is>
      </c>
      <c r="Q24" t="inlineStr"/>
    </row>
    <row r="25">
      <c r="A25" t="inlineStr">
        <is>
          <t>BUNGA CANTIKA PERSADA</t>
        </is>
      </c>
      <c r="B25" t="inlineStr">
        <is>
          <t>Kota Mataram</t>
        </is>
      </c>
      <c r="C25" t="inlineStr">
        <is>
          <t>081703532900</t>
        </is>
      </c>
      <c r="D25" t="inlineStr">
        <is>
          <t>cantikab781@gmail.com</t>
        </is>
      </c>
      <c r="E25" t="inlineStr">
        <is>
          <t>https://lpjk.pu.go.id/search-badan-usaha-detail/U1BiWWJHMjdrYUpsYlB1Q2VrMTBVSjRNT0E0aElpT3VYOFZBYStmNFl0TT0</t>
        </is>
      </c>
      <c r="F25" t="n">
        <v>1</v>
      </c>
      <c r="G25" t="inlineStr">
        <is>
          <t>BS004</t>
        </is>
      </c>
      <c r="H25" t="inlineStr">
        <is>
          <t>23 Januari 2020</t>
        </is>
      </c>
      <c r="I25" s="2" t="n">
        <v>46268</v>
      </c>
      <c r="J25" t="inlineStr">
        <is>
          <t>Disetujui</t>
        </is>
      </c>
      <c r="K25" t="n">
        <v>30</v>
      </c>
      <c r="L25" t="inlineStr">
        <is>
          <t>3 September 2026</t>
        </is>
      </c>
      <c r="M25" t="inlineStr">
        <is>
          <t>Konstruksi Jaringan Irigasi dan Drainase</t>
        </is>
      </c>
      <c r="N25" t="inlineStr">
        <is>
          <t>K</t>
        </is>
      </c>
      <c r="O25" t="inlineStr">
        <is>
          <t>20230901</t>
        </is>
      </c>
      <c r="P25" t="inlineStr">
        <is>
          <t>Nusa Tenggara Barat</t>
        </is>
      </c>
      <c r="Q25" t="inlineStr"/>
    </row>
    <row r="26">
      <c r="A26" t="inlineStr">
        <is>
          <t>CAHAYA KELUARGA</t>
        </is>
      </c>
      <c r="B26" t="inlineStr">
        <is>
          <t>Kab. Musi Banyuasin</t>
        </is>
      </c>
      <c r="C26" t="inlineStr">
        <is>
          <t>085213455459</t>
        </is>
      </c>
      <c r="D26" t="inlineStr">
        <is>
          <t>cvcahayakeluarga7@gmail.com</t>
        </is>
      </c>
      <c r="E26" t="inlineStr">
        <is>
          <t>https://lpjk.pu.go.id/search-badan-usaha-detail/cHVURXRIbmRqZ3Z3WjFSTko1QVpPZz09</t>
        </is>
      </c>
      <c r="F26" t="n">
        <v>1</v>
      </c>
      <c r="G26" t="inlineStr">
        <is>
          <t>BS001</t>
        </is>
      </c>
      <c r="H26" t="inlineStr">
        <is>
          <t>18 November 2014</t>
        </is>
      </c>
      <c r="I26" s="2" t="n">
        <v>46268</v>
      </c>
      <c r="J26" t="inlineStr">
        <is>
          <t>Disetujui</t>
        </is>
      </c>
      <c r="K26" t="n">
        <v>30</v>
      </c>
      <c r="L26" t="inlineStr">
        <is>
          <t>3 September 2026</t>
        </is>
      </c>
      <c r="M26" t="inlineStr">
        <is>
          <t>Konstruksi Bangunan Sipil Jalan</t>
        </is>
      </c>
      <c r="N26" t="inlineStr">
        <is>
          <t>K</t>
        </is>
      </c>
      <c r="O26" t="inlineStr">
        <is>
          <t>20230903</t>
        </is>
      </c>
      <c r="P26" t="inlineStr">
        <is>
          <t>Sumatera Selatan</t>
        </is>
      </c>
      <c r="Q26" t="inlineStr"/>
    </row>
    <row r="27">
      <c r="A27" t="inlineStr">
        <is>
          <t>CAHAYA MECCA</t>
        </is>
      </c>
      <c r="B27" t="inlineStr">
        <is>
          <t>Kab. Nduga</t>
        </is>
      </c>
      <c r="C27" t="inlineStr">
        <is>
          <t>6282290848080</t>
        </is>
      </c>
      <c r="D27" t="inlineStr">
        <is>
          <t>cahayalangit782@gmail.com</t>
        </is>
      </c>
      <c r="E27" t="inlineStr">
        <is>
          <t>https://lpjk.pu.go.id/search-badan-usaha-detail/czI0bS81OW9aMkJ3YWVqbGhsd2Zpdz09</t>
        </is>
      </c>
      <c r="F27" t="n">
        <v>1</v>
      </c>
      <c r="G27" t="inlineStr">
        <is>
          <t>BG005</t>
        </is>
      </c>
      <c r="H27" t="inlineStr">
        <is>
          <t>22 April 2020</t>
        </is>
      </c>
      <c r="I27" s="2" t="n">
        <v>46268</v>
      </c>
      <c r="J27" t="inlineStr">
        <is>
          <t>Disetujui</t>
        </is>
      </c>
      <c r="K27" t="n">
        <v>30</v>
      </c>
      <c r="L27" t="inlineStr">
        <is>
          <t>3 September 2026</t>
        </is>
      </c>
      <c r="M27" t="inlineStr">
        <is>
          <t>Konstruksi Gedung Kesehatan</t>
        </is>
      </c>
      <c r="N27" t="inlineStr">
        <is>
          <t>K</t>
        </is>
      </c>
      <c r="O27" t="inlineStr">
        <is>
          <t>20230901</t>
        </is>
      </c>
      <c r="P27" t="inlineStr">
        <is>
          <t>Papua</t>
        </is>
      </c>
      <c r="Q27" t="inlineStr"/>
    </row>
    <row r="28">
      <c r="A28" t="inlineStr">
        <is>
          <t>CALLISTA</t>
        </is>
      </c>
      <c r="B28" t="inlineStr">
        <is>
          <t>Kab. Sumenep</t>
        </is>
      </c>
      <c r="C28" t="inlineStr">
        <is>
          <t>087859272737</t>
        </is>
      </c>
      <c r="D28" t="inlineStr">
        <is>
          <t>callista.sumenep@gmail.com</t>
        </is>
      </c>
      <c r="E28" t="inlineStr">
        <is>
          <t>https://lpjk.pu.go.id/search-badan-usaha-detail/ZGQ4UnNxZkU4MkVMYVJjOFN6T0FsZz09</t>
        </is>
      </c>
      <c r="F28" t="n">
        <v>1</v>
      </c>
      <c r="G28" t="inlineStr">
        <is>
          <t>BG009</t>
        </is>
      </c>
      <c r="H28" t="inlineStr">
        <is>
          <t>26 Januari 2016</t>
        </is>
      </c>
      <c r="I28" s="2" t="n">
        <v>46268</v>
      </c>
      <c r="J28" t="inlineStr">
        <is>
          <t>Disetujui</t>
        </is>
      </c>
      <c r="K28" t="n">
        <v>30</v>
      </c>
      <c r="L28" t="inlineStr">
        <is>
          <t>3 September 2026</t>
        </is>
      </c>
      <c r="M28" t="inlineStr">
        <is>
          <t>Konstruksi Gedung Lainnya</t>
        </is>
      </c>
      <c r="N28" t="inlineStr">
        <is>
          <t>K</t>
        </is>
      </c>
      <c r="O28" t="inlineStr">
        <is>
          <t>20230901</t>
        </is>
      </c>
      <c r="P28" t="inlineStr">
        <is>
          <t>Jawa Timur</t>
        </is>
      </c>
      <c r="Q28" t="inlineStr"/>
    </row>
    <row r="29">
      <c r="A29" t="inlineStr">
        <is>
          <t>CATUR MEGATAMA</t>
        </is>
      </c>
      <c r="B29" t="inlineStr">
        <is>
          <t>Kab. Jember</t>
        </is>
      </c>
      <c r="C29" t="inlineStr">
        <is>
          <t>085101769329</t>
        </is>
      </c>
      <c r="D29" t="inlineStr">
        <is>
          <t>caturmegatamacv@gmail.com</t>
        </is>
      </c>
      <c r="E29" t="inlineStr">
        <is>
          <t>https://lpjk.pu.go.id/search-badan-usaha-detail/c09EdUFET3VQR2krWXFRMmpvS2tNUT09</t>
        </is>
      </c>
      <c r="F29" t="n">
        <v>3</v>
      </c>
      <c r="G29" t="inlineStr">
        <is>
          <t>BG006, BS001, BS004</t>
        </is>
      </c>
      <c r="H29" t="inlineStr">
        <is>
          <t>26 Agustus 2005</t>
        </is>
      </c>
      <c r="I29" s="2" t="n">
        <v>46268</v>
      </c>
      <c r="J29" t="inlineStr">
        <is>
          <t>Disetujui</t>
        </is>
      </c>
      <c r="K29" t="n">
        <v>30</v>
      </c>
      <c r="L29" t="inlineStr">
        <is>
          <t>3 September 2026</t>
        </is>
      </c>
      <c r="M29" t="inlineStr">
        <is>
          <t>Konstruksi Bangunan Sipil Jalan, Konstruksi Gedung Pendidikan, Konstruksi Jaringan Irigasi dan Drainase</t>
        </is>
      </c>
      <c r="N29" t="inlineStr">
        <is>
          <t>K</t>
        </is>
      </c>
      <c r="O29" t="inlineStr">
        <is>
          <t>20230829, 20230901</t>
        </is>
      </c>
      <c r="P29" t="inlineStr">
        <is>
          <t>Jawa Timur</t>
        </is>
      </c>
      <c r="Q29" t="inlineStr"/>
    </row>
    <row r="30">
      <c r="A30" t="inlineStr">
        <is>
          <t>CIPTA DIMENSI</t>
        </is>
      </c>
      <c r="B30" t="inlineStr">
        <is>
          <t>Kab. Jepara</t>
        </is>
      </c>
      <c r="C30" t="inlineStr">
        <is>
          <t>08127791497</t>
        </is>
      </c>
      <c r="D30" t="inlineStr">
        <is>
          <t>ciptadimensi.arct@gmail.com</t>
        </is>
      </c>
      <c r="E30" t="inlineStr">
        <is>
          <t>https://lpjk.pu.go.id/search-badan-usaha-detail/WXBBOG1IQ3NIVkx2eEI4OHBJdCtTQT09</t>
        </is>
      </c>
      <c r="F30" t="n">
        <v>2</v>
      </c>
      <c r="G30" t="inlineStr">
        <is>
          <t>RK002</t>
        </is>
      </c>
      <c r="H30" t="inlineStr">
        <is>
          <t>7 Mei 2014</t>
        </is>
      </c>
      <c r="I30" s="2" t="n">
        <v>46268</v>
      </c>
      <c r="J30" t="inlineStr">
        <is>
          <t>Disetujui</t>
        </is>
      </c>
      <c r="K30" t="n">
        <v>30</v>
      </c>
      <c r="L30" t="inlineStr">
        <is>
          <t>3 September 2026</t>
        </is>
      </c>
      <c r="M30" t="inlineStr">
        <is>
          <t>Jasa Rekayasa Pekerjaan Teknik Sipil Sumber Daya Air</t>
        </is>
      </c>
      <c r="N30" t="inlineStr">
        <is>
          <t>K</t>
        </is>
      </c>
      <c r="O30" t="inlineStr">
        <is>
          <t>20230824</t>
        </is>
      </c>
      <c r="P30" t="inlineStr">
        <is>
          <t>Jawa Tengah</t>
        </is>
      </c>
      <c r="Q30" t="inlineStr"/>
    </row>
    <row r="31">
      <c r="A31" t="inlineStr">
        <is>
          <t>CIPTA INTERNUSA KONSTRUKSI</t>
        </is>
      </c>
      <c r="B31" t="inlineStr">
        <is>
          <t>Kab. Kutai Kartanegara</t>
        </is>
      </c>
      <c r="C31" t="inlineStr">
        <is>
          <t>0818997476</t>
        </is>
      </c>
      <c r="D31" t="inlineStr">
        <is>
          <t>ciko.ik99@gmail.com</t>
        </is>
      </c>
      <c r="E31" t="inlineStr">
        <is>
          <t>https://lpjk.pu.go.id/search-badan-usaha-detail/aFdJak5BRFBicmFTLzMvSjFNRm53QT09</t>
        </is>
      </c>
      <c r="F31" t="n">
        <v>1</v>
      </c>
      <c r="G31" t="inlineStr">
        <is>
          <t>BS001</t>
        </is>
      </c>
      <c r="H31" t="inlineStr">
        <is>
          <t>28 Januari 2014</t>
        </is>
      </c>
      <c r="I31" s="2" t="n">
        <v>46268</v>
      </c>
      <c r="J31" t="inlineStr">
        <is>
          <t>Disetujui</t>
        </is>
      </c>
      <c r="K31" t="n">
        <v>30</v>
      </c>
      <c r="L31" t="inlineStr">
        <is>
          <t>3 September 2026</t>
        </is>
      </c>
      <c r="M31" t="inlineStr">
        <is>
          <t>Konstruksi Bangunan Sipil Jalan</t>
        </is>
      </c>
      <c r="N31" t="inlineStr">
        <is>
          <t>K</t>
        </is>
      </c>
      <c r="O31" t="inlineStr">
        <is>
          <t>20230831</t>
        </is>
      </c>
      <c r="P31" t="inlineStr">
        <is>
          <t>Kalimantan Timur</t>
        </is>
      </c>
      <c r="Q31" t="inlineStr"/>
    </row>
    <row r="32">
      <c r="A32" t="inlineStr">
        <is>
          <t>CIPTA JASA ABADI</t>
        </is>
      </c>
      <c r="B32" t="inlineStr">
        <is>
          <t>Kota Pekanbaru</t>
        </is>
      </c>
      <c r="C32" t="inlineStr">
        <is>
          <t>082171678972</t>
        </is>
      </c>
      <c r="D32" t="inlineStr">
        <is>
          <t>ciptajasaabadi@outlook.com</t>
        </is>
      </c>
      <c r="E32" t="inlineStr">
        <is>
          <t>https://lpjk.pu.go.id/search-badan-usaha-detail/b2ZYS3hibHcwR1JwaUpiUTJIZUp6UT09</t>
        </is>
      </c>
      <c r="F32" t="n">
        <v>2</v>
      </c>
      <c r="G32" t="inlineStr">
        <is>
          <t>PL003</t>
        </is>
      </c>
      <c r="H32" t="inlineStr">
        <is>
          <t>10 April 2017</t>
        </is>
      </c>
      <c r="I32" s="2" t="n">
        <v>46268</v>
      </c>
      <c r="J32" t="inlineStr">
        <is>
          <t>Pembekuan</t>
        </is>
      </c>
      <c r="K32" t="n">
        <v>30</v>
      </c>
      <c r="L32" t="inlineStr">
        <is>
          <t>3 September 2026</t>
        </is>
      </c>
      <c r="M32" t="inlineStr">
        <is>
          <t>Penyiapan Lahan Konstruksi</t>
        </is>
      </c>
      <c r="N32" t="inlineStr">
        <is>
          <t>Spesialis</t>
        </is>
      </c>
      <c r="O32" t="inlineStr">
        <is>
          <t>20230901</t>
        </is>
      </c>
      <c r="P32" t="inlineStr">
        <is>
          <t>Riau</t>
        </is>
      </c>
      <c r="Q32" t="inlineStr"/>
    </row>
    <row r="33">
      <c r="A33" t="inlineStr">
        <is>
          <t>CIPTA POLA PERKASA</t>
        </is>
      </c>
      <c r="B33" t="inlineStr">
        <is>
          <t>Kab. Kulon Progo</t>
        </is>
      </c>
      <c r="C33" t="inlineStr">
        <is>
          <t>02742890685</t>
        </is>
      </c>
      <c r="D33" t="inlineStr">
        <is>
          <t>ciptapolaperkasa@gmail.com</t>
        </is>
      </c>
      <c r="E33" t="inlineStr">
        <is>
          <t>https://lpjk.pu.go.id/search-badan-usaha-detail/b0dUMjFqWHJ1RmxLamVTRjkvajlYUT09</t>
        </is>
      </c>
      <c r="F33" t="n">
        <v>3</v>
      </c>
      <c r="G33" t="inlineStr">
        <is>
          <t>RK001, RK002, RK003</t>
        </is>
      </c>
      <c r="H33" t="inlineStr">
        <is>
          <t>20 Februari 2020</t>
        </is>
      </c>
      <c r="I33" s="2" t="n">
        <v>46268</v>
      </c>
      <c r="J33" t="inlineStr">
        <is>
          <t>Disetujui</t>
        </is>
      </c>
      <c r="K33" t="n">
        <v>30</v>
      </c>
      <c r="L33" t="inlineStr">
        <is>
          <t>3 September 2026</t>
        </is>
      </c>
      <c r="M33" t="inlineStr">
        <is>
          <t>Jasa Rekayasa Konstruksi Bangunan Gedung Hunian dan Non Hunian, Jasa Rekayasa Pekerjaan Teknik Sipil Sumber Daya Air, Jasa Rekayasa Pekerjaan Teknik Sipil Transportasi</t>
        </is>
      </c>
      <c r="N33" t="inlineStr">
        <is>
          <t>K</t>
        </is>
      </c>
      <c r="O33" t="inlineStr">
        <is>
          <t>20230803</t>
        </is>
      </c>
      <c r="P33" t="inlineStr">
        <is>
          <t>DI Yogyakarta</t>
        </is>
      </c>
      <c r="Q33" t="inlineStr"/>
    </row>
    <row r="34">
      <c r="A34" t="inlineStr">
        <is>
          <t>DAKSA KONSTRUKSI</t>
        </is>
      </c>
      <c r="B34" t="inlineStr">
        <is>
          <t>Kab. Jembrana</t>
        </is>
      </c>
      <c r="C34" t="inlineStr">
        <is>
          <t>081338611745</t>
        </is>
      </c>
      <c r="D34" t="inlineStr">
        <is>
          <t>kdiksa77@gmail.com</t>
        </is>
      </c>
      <c r="E34" t="inlineStr">
        <is>
          <t>https://lpjk.pu.go.id/search-badan-usaha-detail/Qk9JNlRIUHRWUzE1bTRMZ0FWM3dWUT09</t>
        </is>
      </c>
      <c r="F34" t="n">
        <v>1</v>
      </c>
      <c r="G34" t="inlineStr">
        <is>
          <t>BG006</t>
        </is>
      </c>
      <c r="H34" t="inlineStr">
        <is>
          <t>30 April 2018</t>
        </is>
      </c>
      <c r="I34" s="2" t="n">
        <v>46268</v>
      </c>
      <c r="J34" t="inlineStr">
        <is>
          <t>Disetujui</t>
        </is>
      </c>
      <c r="K34" t="n">
        <v>30</v>
      </c>
      <c r="L34" t="inlineStr">
        <is>
          <t>3 September 2026</t>
        </is>
      </c>
      <c r="M34" t="inlineStr">
        <is>
          <t>Konstruksi Gedung Pendidikan</t>
        </is>
      </c>
      <c r="N34" t="inlineStr">
        <is>
          <t>K</t>
        </is>
      </c>
      <c r="O34" t="inlineStr">
        <is>
          <t>20230902</t>
        </is>
      </c>
      <c r="P34" t="inlineStr">
        <is>
          <t>Bali</t>
        </is>
      </c>
      <c r="Q34" t="inlineStr"/>
    </row>
    <row r="35">
      <c r="A35" t="inlineStr">
        <is>
          <t>DANA SULARSA CIPTA</t>
        </is>
      </c>
      <c r="B35" t="inlineStr">
        <is>
          <t>Kota Denpasar</t>
        </is>
      </c>
      <c r="C35" t="inlineStr">
        <is>
          <t>-</t>
        </is>
      </c>
      <c r="D35" t="inlineStr">
        <is>
          <t>pt_danasularsa@yahoo.com</t>
        </is>
      </c>
      <c r="E35" t="inlineStr">
        <is>
          <t>https://lpjk.pu.go.id/search-badan-usaha-detail/VVRDMFRlT1FDdWYxbldqR3R4eHRZZz09</t>
        </is>
      </c>
      <c r="F35" t="n">
        <v>2</v>
      </c>
      <c r="G35" t="inlineStr">
        <is>
          <t>RK001, RK003</t>
        </is>
      </c>
      <c r="H35" t="inlineStr">
        <is>
          <t>23 September 1993</t>
        </is>
      </c>
      <c r="I35" s="2" t="n">
        <v>46268</v>
      </c>
      <c r="J35" t="inlineStr">
        <is>
          <t>Disetujui</t>
        </is>
      </c>
      <c r="K35" t="n">
        <v>30</v>
      </c>
      <c r="L35" t="inlineStr">
        <is>
          <t>3 September 2026</t>
        </is>
      </c>
      <c r="M35" t="inlineStr">
        <is>
          <t>Jasa Rekayasa Konstruksi Bangunan Gedung Hunian dan Non Hunian, Jasa Rekayasa Pekerjaan Teknik Sipil Transportasi</t>
        </is>
      </c>
      <c r="N35" t="inlineStr">
        <is>
          <t>K</t>
        </is>
      </c>
      <c r="O35" t="inlineStr">
        <is>
          <t>20230824, 20230825</t>
        </is>
      </c>
      <c r="P35" t="inlineStr">
        <is>
          <t>Bali</t>
        </is>
      </c>
      <c r="Q35" t="inlineStr"/>
    </row>
    <row r="36">
      <c r="A36" t="inlineStr">
        <is>
          <t>DANISWARA</t>
        </is>
      </c>
      <c r="B36" t="inlineStr">
        <is>
          <t>Kab. Ponorogo</t>
        </is>
      </c>
      <c r="C36" t="inlineStr">
        <is>
          <t>N/A</t>
        </is>
      </c>
      <c r="D36" t="inlineStr">
        <is>
          <t>N/A</t>
        </is>
      </c>
      <c r="E36" t="inlineStr">
        <is>
          <t>https://lpjk.pu.go.id/search-badan-usaha-detail/VWt6ZUQyeTRwWGF6K2tqUEE1SVRrQT09</t>
        </is>
      </c>
      <c r="F36" t="n">
        <v>1</v>
      </c>
      <c r="G36" t="inlineStr">
        <is>
          <t>BG009</t>
        </is>
      </c>
      <c r="H36" t="inlineStr"/>
      <c r="I36" s="2" t="n">
        <v>46268</v>
      </c>
      <c r="J36" t="inlineStr">
        <is>
          <t>Disetujui</t>
        </is>
      </c>
      <c r="K36" t="n">
        <v>30</v>
      </c>
      <c r="L36" t="inlineStr">
        <is>
          <t>3 September 2026</t>
        </is>
      </c>
      <c r="M36" t="inlineStr">
        <is>
          <t>Konstruksi Gedung Lainnya</t>
        </is>
      </c>
      <c r="N36" t="inlineStr">
        <is>
          <t>K</t>
        </is>
      </c>
      <c r="O36" t="inlineStr">
        <is>
          <t>20230830</t>
        </is>
      </c>
      <c r="P36" t="inlineStr">
        <is>
          <t>Jawa Timur</t>
        </is>
      </c>
      <c r="Q36" t="inlineStr"/>
    </row>
    <row r="37">
      <c r="A37" t="inlineStr">
        <is>
          <t>DAUN BIRU</t>
        </is>
      </c>
      <c r="B37" t="inlineStr">
        <is>
          <t>Kab. Tulungagung</t>
        </is>
      </c>
      <c r="C37" t="inlineStr">
        <is>
          <t>082336929134</t>
        </is>
      </c>
      <c r="D37" t="inlineStr">
        <is>
          <t>daunbiru_ta@yahoo.co.id</t>
        </is>
      </c>
      <c r="E37" t="inlineStr">
        <is>
          <t>https://lpjk.pu.go.id/search-badan-usaha-detail/MWpCNG5JNU53bkkxdHY0b0xTaUl4QT09</t>
        </is>
      </c>
      <c r="F37" t="n">
        <v>4</v>
      </c>
      <c r="G37" t="inlineStr">
        <is>
          <t>BS001, BS002, BS004, BS005</t>
        </is>
      </c>
      <c r="H37" t="inlineStr">
        <is>
          <t>10 April 2012</t>
        </is>
      </c>
      <c r="I37" s="2" t="n">
        <v>46268</v>
      </c>
      <c r="J37" t="inlineStr">
        <is>
          <t>Disetujui</t>
        </is>
      </c>
      <c r="K37" t="n">
        <v>30</v>
      </c>
      <c r="L37" t="inlineStr">
        <is>
          <t>3 September 2026</t>
        </is>
      </c>
      <c r="M37" t="inlineStr">
        <is>
          <t>Bangunan Sipil Jembatan, Jalan Layang, Fly Over, dan Underpass, Konstruksi Bangunan Sipil Jalan, Konstruksi Bangunan Sipil Pengolahan Air Bersih, Konstruksi Jaringan Irigasi dan Drainase</t>
        </is>
      </c>
      <c r="N37" t="inlineStr">
        <is>
          <t>K</t>
        </is>
      </c>
      <c r="O37" t="inlineStr">
        <is>
          <t>20230902</t>
        </is>
      </c>
      <c r="P37" t="inlineStr">
        <is>
          <t>Jawa Timur</t>
        </is>
      </c>
      <c r="Q37" t="inlineStr"/>
    </row>
    <row r="38">
      <c r="A38" t="inlineStr">
        <is>
          <t>DELAPAN SATU KONSTRUKSI</t>
        </is>
      </c>
      <c r="B38" t="inlineStr">
        <is>
          <t>Kota Metro</t>
        </is>
      </c>
      <c r="C38" t="inlineStr">
        <is>
          <t>08117202266</t>
        </is>
      </c>
      <c r="D38" t="inlineStr">
        <is>
          <t>delapansatukonstruksi@gmail.com</t>
        </is>
      </c>
      <c r="E38" t="inlineStr">
        <is>
          <t>https://lpjk.pu.go.id/search-badan-usaha-detail/b1BzL0xhWWxwclo2NWFKNmNMamhJQT09</t>
        </is>
      </c>
      <c r="F38" t="n">
        <v>4</v>
      </c>
      <c r="G38" t="inlineStr">
        <is>
          <t>BG005, BG009</t>
        </is>
      </c>
      <c r="H38" t="inlineStr">
        <is>
          <t>18 November 2022</t>
        </is>
      </c>
      <c r="I38" s="2" t="n">
        <v>46268</v>
      </c>
      <c r="J38" t="inlineStr">
        <is>
          <t>Pencabutan</t>
        </is>
      </c>
      <c r="K38" t="n">
        <v>30</v>
      </c>
      <c r="L38" t="inlineStr">
        <is>
          <t>3 September 2026</t>
        </is>
      </c>
      <c r="M38" t="inlineStr">
        <is>
          <t>Konstruksi Gedung Kesehatan, Konstruksi Gedung Lainnya</t>
        </is>
      </c>
      <c r="N38" t="inlineStr">
        <is>
          <t>K</t>
        </is>
      </c>
      <c r="O38" t="inlineStr">
        <is>
          <t>20230731, 20230802</t>
        </is>
      </c>
      <c r="P38" t="inlineStr">
        <is>
          <t>Lampung</t>
        </is>
      </c>
      <c r="Q38" t="inlineStr"/>
    </row>
    <row r="39">
      <c r="A39" t="inlineStr">
        <is>
          <t>DIKA MANDIRI</t>
        </is>
      </c>
      <c r="B39" t="inlineStr">
        <is>
          <t>Kab. Tuban</t>
        </is>
      </c>
      <c r="C39" t="inlineStr">
        <is>
          <t>081331502300</t>
        </is>
      </c>
      <c r="D39" t="inlineStr">
        <is>
          <t>cvdikamandiri@gmail.com</t>
        </is>
      </c>
      <c r="E39" t="inlineStr">
        <is>
          <t>https://lpjk.pu.go.id/search-badan-usaha-detail/bkRYWGJFY2VyL1J3Y0V2UGEySmdGQT09</t>
        </is>
      </c>
      <c r="F39" t="n">
        <v>1</v>
      </c>
      <c r="G39" t="inlineStr">
        <is>
          <t>BS005</t>
        </is>
      </c>
      <c r="H39" t="inlineStr">
        <is>
          <t>30 Juli 2001</t>
        </is>
      </c>
      <c r="I39" s="2" t="n">
        <v>46268</v>
      </c>
      <c r="J39" t="inlineStr">
        <is>
          <t>Disetujui</t>
        </is>
      </c>
      <c r="K39" t="n">
        <v>30</v>
      </c>
      <c r="L39" t="inlineStr">
        <is>
          <t>3 September 2026</t>
        </is>
      </c>
      <c r="M39" t="inlineStr">
        <is>
          <t>Konstruksi Bangunan Sipil Pengolahan Air Bersih</t>
        </is>
      </c>
      <c r="N39" t="inlineStr">
        <is>
          <t>K</t>
        </is>
      </c>
      <c r="O39" t="inlineStr">
        <is>
          <t>20230901</t>
        </is>
      </c>
      <c r="P39" t="inlineStr">
        <is>
          <t>Jawa Timur</t>
        </is>
      </c>
      <c r="Q39" t="inlineStr"/>
    </row>
    <row r="40">
      <c r="A40" t="inlineStr">
        <is>
          <t>DUA PUTRI</t>
        </is>
      </c>
      <c r="B40" t="inlineStr">
        <is>
          <t>Kab. Lahat</t>
        </is>
      </c>
      <c r="C40" t="inlineStr">
        <is>
          <t>082176609948</t>
        </is>
      </c>
      <c r="D40" t="inlineStr">
        <is>
          <t>gunawan2311721@gmail.com</t>
        </is>
      </c>
      <c r="E40" t="inlineStr">
        <is>
          <t>https://lpjk.pu.go.id/search-badan-usaha-detail/SlRmVW9JcjBqNkVqVjJZNm5RTnBDUT09</t>
        </is>
      </c>
      <c r="F40" t="n">
        <v>1</v>
      </c>
      <c r="G40" t="inlineStr">
        <is>
          <t>BG009</t>
        </is>
      </c>
      <c r="H40" t="inlineStr">
        <is>
          <t>30 November 1994</t>
        </is>
      </c>
      <c r="I40" s="2" t="n">
        <v>46268</v>
      </c>
      <c r="J40" t="inlineStr">
        <is>
          <t>Disetujui</t>
        </is>
      </c>
      <c r="K40" t="n">
        <v>30</v>
      </c>
      <c r="L40" t="inlineStr">
        <is>
          <t>3 September 2026</t>
        </is>
      </c>
      <c r="M40" t="inlineStr">
        <is>
          <t>Konstruksi Gedung Lainnya</t>
        </is>
      </c>
      <c r="N40" t="inlineStr">
        <is>
          <t>K</t>
        </is>
      </c>
      <c r="O40" t="inlineStr">
        <is>
          <t>20230829</t>
        </is>
      </c>
      <c r="P40" t="inlineStr">
        <is>
          <t>Sumatera Selatan</t>
        </is>
      </c>
      <c r="Q40" t="inlineStr"/>
    </row>
    <row r="41">
      <c r="A41" t="inlineStr">
        <is>
          <t>DUTA GRAHA INTERPLAN</t>
        </is>
      </c>
      <c r="B41" t="inlineStr">
        <is>
          <t>Kota Padang</t>
        </is>
      </c>
      <c r="C41" t="inlineStr">
        <is>
          <t>081363422013</t>
        </is>
      </c>
      <c r="D41" t="inlineStr">
        <is>
          <t>dg.interplan@gmail.com</t>
        </is>
      </c>
      <c r="E41" t="inlineStr">
        <is>
          <t>https://lpjk.pu.go.id/search-badan-usaha-detail/MysxVHR0SWk2NGlrcmJmNmJ0RTl5Zz09</t>
        </is>
      </c>
      <c r="F41" t="n">
        <v>2</v>
      </c>
      <c r="G41" t="inlineStr">
        <is>
          <t>RK001, RK002</t>
        </is>
      </c>
      <c r="H41" t="inlineStr">
        <is>
          <t>2 Juli 2012</t>
        </is>
      </c>
      <c r="I41" s="2" t="n">
        <v>46268</v>
      </c>
      <c r="J41" t="inlineStr">
        <is>
          <t>Disetujui</t>
        </is>
      </c>
      <c r="K41" t="n">
        <v>30</v>
      </c>
      <c r="L41" t="inlineStr">
        <is>
          <t>3 September 2026</t>
        </is>
      </c>
      <c r="M41" t="inlineStr">
        <is>
          <t>Jasa Rekayasa Konstruksi Bangunan Gedung Hunian dan Non Hunian, Jasa Rekayasa Pekerjaan Teknik Sipil Sumber Daya Air</t>
        </is>
      </c>
      <c r="N41" t="inlineStr">
        <is>
          <t>K</t>
        </is>
      </c>
      <c r="O41" t="inlineStr">
        <is>
          <t>20230825, 20230828</t>
        </is>
      </c>
      <c r="P41" t="inlineStr">
        <is>
          <t>Sumatera Barat</t>
        </is>
      </c>
      <c r="Q41" t="inlineStr"/>
    </row>
    <row r="42">
      <c r="A42" t="inlineStr">
        <is>
          <t>DUTA KALTIM PERSADA</t>
        </is>
      </c>
      <c r="B42" t="inlineStr">
        <is>
          <t>Kab. Penajam Paser Utara</t>
        </is>
      </c>
      <c r="C42" t="inlineStr">
        <is>
          <t>081253091517</t>
        </is>
      </c>
      <c r="D42" t="inlineStr">
        <is>
          <t>sahabuddin2707@gmail.com</t>
        </is>
      </c>
      <c r="E42" t="inlineStr">
        <is>
          <t>https://lpjk.pu.go.id/search-badan-usaha-detail/MmNlNWw0MUxNVWhhYmpQVU0vK1lMdz09</t>
        </is>
      </c>
      <c r="F42" t="n">
        <v>2</v>
      </c>
      <c r="G42" t="inlineStr">
        <is>
          <t>BS001, BS004</t>
        </is>
      </c>
      <c r="H42" t="inlineStr">
        <is>
          <t>5 Oktober 2020</t>
        </is>
      </c>
      <c r="I42" s="2" t="n">
        <v>46268</v>
      </c>
      <c r="J42" t="inlineStr">
        <is>
          <t>Disetujui</t>
        </is>
      </c>
      <c r="K42" t="n">
        <v>30</v>
      </c>
      <c r="L42" t="inlineStr">
        <is>
          <t>3 September 2026</t>
        </is>
      </c>
      <c r="M42" t="inlineStr">
        <is>
          <t>Konstruksi Bangunan Sipil Jalan, Konstruksi Jaringan Irigasi dan Drainase</t>
        </is>
      </c>
      <c r="N42" t="inlineStr">
        <is>
          <t>K</t>
        </is>
      </c>
      <c r="O42" t="inlineStr">
        <is>
          <t>20230729, 20230826</t>
        </is>
      </c>
      <c r="P42" t="inlineStr">
        <is>
          <t>Kalimantan Timur</t>
        </is>
      </c>
      <c r="Q42" t="inlineStr"/>
    </row>
    <row r="43">
      <c r="A43" t="inlineStr">
        <is>
          <t>DWIJAYA KONSTRUKSI</t>
        </is>
      </c>
      <c r="B43" t="inlineStr">
        <is>
          <t>Kab. Bangli</t>
        </is>
      </c>
      <c r="C43" t="inlineStr">
        <is>
          <t>0881037030025</t>
        </is>
      </c>
      <c r="D43" t="inlineStr">
        <is>
          <t>DWIJAYAKONSTRUKSI23@GMAIL.COM</t>
        </is>
      </c>
      <c r="E43" t="inlineStr">
        <is>
          <t>https://lpjk.pu.go.id/search-badan-usaha-detail/WU5veDZnT0dPWnY3Yzg5aWZ3Sm0wQT09</t>
        </is>
      </c>
      <c r="F43" t="n">
        <v>1</v>
      </c>
      <c r="G43" t="inlineStr">
        <is>
          <t>BS001</t>
        </is>
      </c>
      <c r="H43" t="inlineStr">
        <is>
          <t>31 Mei 2023</t>
        </is>
      </c>
      <c r="I43" s="2" t="n">
        <v>46268</v>
      </c>
      <c r="J43" t="inlineStr">
        <is>
          <t>Disetujui</t>
        </is>
      </c>
      <c r="K43" t="n">
        <v>30</v>
      </c>
      <c r="L43" t="inlineStr">
        <is>
          <t>3 September 2026</t>
        </is>
      </c>
      <c r="M43" t="inlineStr">
        <is>
          <t>Konstruksi Bangunan Sipil Jalan</t>
        </is>
      </c>
      <c r="N43" t="inlineStr">
        <is>
          <t>K</t>
        </is>
      </c>
      <c r="O43" t="inlineStr">
        <is>
          <t>20230901</t>
        </is>
      </c>
      <c r="P43" t="inlineStr">
        <is>
          <t>Bali</t>
        </is>
      </c>
      <c r="Q43" t="inlineStr"/>
    </row>
    <row r="44">
      <c r="A44" t="inlineStr">
        <is>
          <t>EKA WIJAYA</t>
        </is>
      </c>
      <c r="B44" t="inlineStr">
        <is>
          <t>Kota Metro</t>
        </is>
      </c>
      <c r="C44" t="inlineStr">
        <is>
          <t>-</t>
        </is>
      </c>
      <c r="D44" t="inlineStr">
        <is>
          <t>cv.ekawijaya15a@gmail.com</t>
        </is>
      </c>
      <c r="E44" t="inlineStr">
        <is>
          <t>https://lpjk.pu.go.id/search-badan-usaha-detail/Tmt0QzNaUElXL3RzWDJMTEx3Z25Wdz09</t>
        </is>
      </c>
      <c r="F44" t="n">
        <v>1</v>
      </c>
      <c r="G44" t="inlineStr">
        <is>
          <t>BG005</t>
        </is>
      </c>
      <c r="H44" t="inlineStr">
        <is>
          <t>14 September 1999</t>
        </is>
      </c>
      <c r="I44" s="2" t="n">
        <v>46268</v>
      </c>
      <c r="J44" t="inlineStr">
        <is>
          <t>Disetujui</t>
        </is>
      </c>
      <c r="K44" t="n">
        <v>30</v>
      </c>
      <c r="L44" t="inlineStr">
        <is>
          <t>3 September 2026</t>
        </is>
      </c>
      <c r="M44" t="inlineStr">
        <is>
          <t>Konstruksi Gedung Kesehatan</t>
        </is>
      </c>
      <c r="N44" t="inlineStr">
        <is>
          <t>K</t>
        </is>
      </c>
      <c r="O44" t="inlineStr">
        <is>
          <t>20230824</t>
        </is>
      </c>
      <c r="P44" t="inlineStr">
        <is>
          <t>Lampung</t>
        </is>
      </c>
      <c r="Q44" t="inlineStr"/>
    </row>
    <row r="45">
      <c r="A45" t="inlineStr">
        <is>
          <t>FADILAH RAJA SAKTI</t>
        </is>
      </c>
      <c r="B45" t="inlineStr">
        <is>
          <t>Kota Tangerang Selatan</t>
        </is>
      </c>
      <c r="C45" t="inlineStr">
        <is>
          <t>089682512384</t>
        </is>
      </c>
      <c r="D45" t="inlineStr">
        <is>
          <t>cvfadilahrajasakti@gmail.com</t>
        </is>
      </c>
      <c r="E45" t="inlineStr">
        <is>
          <t>https://lpjk.pu.go.id/search-badan-usaha-detail/TFdTeGgyUVdCckp4OG1wUnlmeGYxdz09</t>
        </is>
      </c>
      <c r="F45" t="n">
        <v>2</v>
      </c>
      <c r="G45" t="inlineStr">
        <is>
          <t>BS001, BS004</t>
        </is>
      </c>
      <c r="H45" t="inlineStr">
        <is>
          <t>23 Juni 2023</t>
        </is>
      </c>
      <c r="I45" s="2" t="n">
        <v>46268</v>
      </c>
      <c r="J45" t="inlineStr">
        <is>
          <t>Disetujui</t>
        </is>
      </c>
      <c r="K45" t="n">
        <v>30</v>
      </c>
      <c r="L45" t="inlineStr">
        <is>
          <t>3 September 2026</t>
        </is>
      </c>
      <c r="M45" t="inlineStr">
        <is>
          <t>Konstruksi Bangunan Sipil Jalan, Konstruksi Jaringan Irigasi dan Drainase</t>
        </is>
      </c>
      <c r="N45" t="inlineStr">
        <is>
          <t>K</t>
        </is>
      </c>
      <c r="O45" t="inlineStr">
        <is>
          <t>20230901</t>
        </is>
      </c>
      <c r="P45" t="inlineStr">
        <is>
          <t>Banten</t>
        </is>
      </c>
      <c r="Q45" t="inlineStr"/>
    </row>
    <row r="46">
      <c r="A46" t="inlineStr">
        <is>
          <t>FAJAR CHRISNA</t>
        </is>
      </c>
      <c r="B46" t="inlineStr">
        <is>
          <t>Kab. Tuban</t>
        </is>
      </c>
      <c r="C46" t="inlineStr">
        <is>
          <t>081335428546</t>
        </is>
      </c>
      <c r="D46" t="inlineStr">
        <is>
          <t>sandyariyanto@yahoo.co.id</t>
        </is>
      </c>
      <c r="E46" t="inlineStr">
        <is>
          <t>https://lpjk.pu.go.id/search-badan-usaha-detail/dkRsc0VES2VuWTUxbUJyWHV3a04yZz09</t>
        </is>
      </c>
      <c r="F46" t="n">
        <v>1</v>
      </c>
      <c r="G46" t="inlineStr">
        <is>
          <t>BS001</t>
        </is>
      </c>
      <c r="H46" t="inlineStr">
        <is>
          <t>19 Januari 2001</t>
        </is>
      </c>
      <c r="I46" s="2" t="n">
        <v>46268</v>
      </c>
      <c r="J46" t="inlineStr">
        <is>
          <t>Pencabutan</t>
        </is>
      </c>
      <c r="K46" t="n">
        <v>30</v>
      </c>
      <c r="L46" t="inlineStr">
        <is>
          <t>3 September 2026</t>
        </is>
      </c>
      <c r="M46" t="inlineStr">
        <is>
          <t>Konstruksi Bangunan Sipil Jalan</t>
        </is>
      </c>
      <c r="N46" t="inlineStr">
        <is>
          <t>K</t>
        </is>
      </c>
      <c r="O46" t="inlineStr">
        <is>
          <t>20230706</t>
        </is>
      </c>
      <c r="P46" t="inlineStr">
        <is>
          <t>Jawa Timur</t>
        </is>
      </c>
      <c r="Q46" t="inlineStr"/>
    </row>
    <row r="47">
      <c r="A47" t="inlineStr">
        <is>
          <t>GANIMAH SAKTI</t>
        </is>
      </c>
      <c r="B47" t="inlineStr">
        <is>
          <t>Kota Padang Sidempuan</t>
        </is>
      </c>
      <c r="C47" t="inlineStr">
        <is>
          <t>081377320500</t>
        </is>
      </c>
      <c r="D47" t="inlineStr">
        <is>
          <t>ganimahsakticv@ymail.com</t>
        </is>
      </c>
      <c r="E47" t="inlineStr">
        <is>
          <t>https://lpjk.pu.go.id/search-badan-usaha-detail/ZE5vS1U3TDE0eExtaGRZdTBtQjJCUT09</t>
        </is>
      </c>
      <c r="F47" t="n">
        <v>1</v>
      </c>
      <c r="G47" t="inlineStr">
        <is>
          <t>BG005</t>
        </is>
      </c>
      <c r="H47" t="inlineStr">
        <is>
          <t>15 Oktober 1994</t>
        </is>
      </c>
      <c r="I47" s="2" t="n">
        <v>46268</v>
      </c>
      <c r="J47" t="inlineStr">
        <is>
          <t>Disetujui</t>
        </is>
      </c>
      <c r="K47" t="n">
        <v>30</v>
      </c>
      <c r="L47" t="inlineStr">
        <is>
          <t>3 September 2026</t>
        </is>
      </c>
      <c r="M47" t="inlineStr">
        <is>
          <t>Konstruksi Gedung Kesehatan</t>
        </is>
      </c>
      <c r="N47" t="inlineStr">
        <is>
          <t>K</t>
        </is>
      </c>
      <c r="O47" t="inlineStr">
        <is>
          <t>20230904</t>
        </is>
      </c>
      <c r="P47" t="inlineStr">
        <is>
          <t>Sumatera Utara</t>
        </is>
      </c>
      <c r="Q47" t="inlineStr"/>
    </row>
    <row r="48">
      <c r="A48" t="inlineStr">
        <is>
          <t>GELADAK WESI</t>
        </is>
      </c>
      <c r="B48" t="inlineStr">
        <is>
          <t>Kota Surabaya</t>
        </is>
      </c>
      <c r="C48" t="inlineStr">
        <is>
          <t>082140440108</t>
        </is>
      </c>
      <c r="D48" t="inlineStr">
        <is>
          <t>iffahelenisah@yahoo.com</t>
        </is>
      </c>
      <c r="E48" t="inlineStr">
        <is>
          <t>https://lpjk.pu.go.id/search-badan-usaha-detail/cVJWbEx2VUxIQTdzWnhWN0JHQk9rZz09</t>
        </is>
      </c>
      <c r="F48" t="n">
        <v>4</v>
      </c>
      <c r="G48" t="inlineStr">
        <is>
          <t>BG006, BG009, BS001, BS004</t>
        </is>
      </c>
      <c r="H48" t="inlineStr">
        <is>
          <t>18 Agustus 2019</t>
        </is>
      </c>
      <c r="I48" s="2" t="n">
        <v>46268</v>
      </c>
      <c r="J48" t="inlineStr">
        <is>
          <t>Disetujui</t>
        </is>
      </c>
      <c r="K48" t="n">
        <v>30</v>
      </c>
      <c r="L48" t="inlineStr">
        <is>
          <t>3 September 2026</t>
        </is>
      </c>
      <c r="M48" t="inlineStr">
        <is>
          <t>Konstruksi Bangunan Sipil Jalan, Konstruksi Gedung Lainnya, Konstruksi Gedung Pendidikan, Konstruksi Jaringan Irigasi dan Drainase</t>
        </is>
      </c>
      <c r="N48" t="inlineStr">
        <is>
          <t>K</t>
        </is>
      </c>
      <c r="O48" t="inlineStr">
        <is>
          <t>20230902</t>
        </is>
      </c>
      <c r="P48" t="inlineStr">
        <is>
          <t>Jawa Timur</t>
        </is>
      </c>
      <c r="Q48" t="inlineStr"/>
    </row>
    <row r="49">
      <c r="A49" t="inlineStr">
        <is>
          <t>GOK PASU JAYA</t>
        </is>
      </c>
      <c r="B49" t="inlineStr">
        <is>
          <t>Kota Medan</t>
        </is>
      </c>
      <c r="C49" t="inlineStr">
        <is>
          <t>08116851588</t>
        </is>
      </c>
      <c r="D49" t="inlineStr">
        <is>
          <t>gokpasujaya@gmail.com</t>
        </is>
      </c>
      <c r="E49" t="inlineStr">
        <is>
          <t>https://lpjk.pu.go.id/search-badan-usaha-detail/dGdkQk5GR0p1SGZibUFRM2tJeWdydz09</t>
        </is>
      </c>
      <c r="F49" t="n">
        <v>1</v>
      </c>
      <c r="G49" t="inlineStr">
        <is>
          <t>RK001</t>
        </is>
      </c>
      <c r="H49" t="inlineStr">
        <is>
          <t>18 Maret 2022</t>
        </is>
      </c>
      <c r="I49" s="2" t="n">
        <v>46268</v>
      </c>
      <c r="J49" t="inlineStr">
        <is>
          <t>Disetujui</t>
        </is>
      </c>
      <c r="K49" t="n">
        <v>30</v>
      </c>
      <c r="L49" t="inlineStr">
        <is>
          <t>3 September 2026</t>
        </is>
      </c>
      <c r="M49" t="inlineStr">
        <is>
          <t>Jasa Rekayasa Konstruksi Bangunan Gedung Hunian dan Non Hunian</t>
        </is>
      </c>
      <c r="N49" t="inlineStr">
        <is>
          <t>K</t>
        </is>
      </c>
      <c r="O49" t="inlineStr">
        <is>
          <t>20230818</t>
        </is>
      </c>
      <c r="P49" t="inlineStr">
        <is>
          <t>Sumatera Utara</t>
        </is>
      </c>
      <c r="Q49" t="inlineStr"/>
    </row>
    <row r="50">
      <c r="A50" t="inlineStr">
        <is>
          <t>GRAHA NUSANTARA GROUP</t>
        </is>
      </c>
      <c r="B50" t="inlineStr">
        <is>
          <t>Kab. Toli Toli</t>
        </is>
      </c>
      <c r="C50" t="inlineStr">
        <is>
          <t>081340309499</t>
        </is>
      </c>
      <c r="D50" t="inlineStr">
        <is>
          <t>graha_nusantara@yahoo.com</t>
        </is>
      </c>
      <c r="E50" t="inlineStr">
        <is>
          <t>https://lpjk.pu.go.id/search-badan-usaha-detail/dytMaXdKblZBNnFIdzJTVnI1a0V1QT09</t>
        </is>
      </c>
      <c r="F50" t="n">
        <v>1</v>
      </c>
      <c r="G50" t="inlineStr">
        <is>
          <t>BG006</t>
        </is>
      </c>
      <c r="H50" t="inlineStr">
        <is>
          <t>19 Januari 2015</t>
        </is>
      </c>
      <c r="I50" s="2" t="n">
        <v>46268</v>
      </c>
      <c r="J50" t="inlineStr">
        <is>
          <t>Disetujui</t>
        </is>
      </c>
      <c r="K50" t="n">
        <v>30</v>
      </c>
      <c r="L50" t="inlineStr">
        <is>
          <t>3 September 2026</t>
        </is>
      </c>
      <c r="M50" t="inlineStr">
        <is>
          <t>Konstruksi Gedung Pendidikan</t>
        </is>
      </c>
      <c r="N50" t="inlineStr">
        <is>
          <t>K</t>
        </is>
      </c>
      <c r="O50" t="inlineStr">
        <is>
          <t>20230904</t>
        </is>
      </c>
      <c r="P50" t="inlineStr">
        <is>
          <t>Sulawesi Tengah</t>
        </is>
      </c>
      <c r="Q50" t="inlineStr"/>
    </row>
    <row r="51">
      <c r="A51" t="inlineStr">
        <is>
          <t>GREEN INDO KARYA</t>
        </is>
      </c>
      <c r="B51" t="inlineStr">
        <is>
          <t>Kota Pangkal Pinang</t>
        </is>
      </c>
      <c r="C51" t="inlineStr">
        <is>
          <t>082331821786</t>
        </is>
      </c>
      <c r="D51" t="inlineStr">
        <is>
          <t>greenindokarya@gmail.com</t>
        </is>
      </c>
      <c r="E51" t="inlineStr">
        <is>
          <t>https://lpjk.pu.go.id/search-badan-usaha-detail/YnErS1NzY29VVnhSTDZJNmZxZGVNZz09</t>
        </is>
      </c>
      <c r="F51" t="n">
        <v>10</v>
      </c>
      <c r="G51" t="inlineStr">
        <is>
          <t>AL002, AR001, AR002, RK005</t>
        </is>
      </c>
      <c r="H51" t="inlineStr">
        <is>
          <t>16 Juni 2021</t>
        </is>
      </c>
      <c r="I51" s="2" t="n">
        <v>46268</v>
      </c>
      <c r="J51" t="inlineStr">
        <is>
          <t>Disetujui</t>
        </is>
      </c>
      <c r="K51" t="n">
        <v>30</v>
      </c>
      <c r="L51" t="inlineStr">
        <is>
          <t>3 September 2026</t>
        </is>
      </c>
      <c r="M51" t="inlineStr">
        <is>
          <t>Jasa Arsitektural Bangunan Gedung Hunian dan Non Hunian, Jasa Arsitektural Lainnya, Jasa Pengembangan Wilayah, Jasa Rekayasa Lainnya</t>
        </is>
      </c>
      <c r="N51" t="inlineStr">
        <is>
          <t>K</t>
        </is>
      </c>
      <c r="O51" t="inlineStr">
        <is>
          <t>20230825, 20230828</t>
        </is>
      </c>
      <c r="P51" t="inlineStr">
        <is>
          <t>Kepulauan Bangka Belitung</t>
        </is>
      </c>
      <c r="Q51" t="inlineStr"/>
    </row>
    <row r="52">
      <c r="A52" t="inlineStr">
        <is>
          <t>HARTA RAYA</t>
        </is>
      </c>
      <c r="B52" t="inlineStr">
        <is>
          <t>Kab. Bandung</t>
        </is>
      </c>
      <c r="C52" t="inlineStr">
        <is>
          <t>081312040415</t>
        </is>
      </c>
      <c r="D52" t="inlineStr">
        <is>
          <t>hartarayacv@gmail.com</t>
        </is>
      </c>
      <c r="E52" t="inlineStr">
        <is>
          <t>https://lpjk.pu.go.id/search-badan-usaha-detail/aUwxOE5IcTZxQTh4R3BFWjg3cS9EUT09</t>
        </is>
      </c>
      <c r="F52" t="n">
        <v>1</v>
      </c>
      <c r="G52" t="inlineStr">
        <is>
          <t>BG001</t>
        </is>
      </c>
      <c r="H52" t="inlineStr">
        <is>
          <t>18 Januari 2018</t>
        </is>
      </c>
      <c r="I52" s="2" t="n">
        <v>46268</v>
      </c>
      <c r="J52" t="inlineStr">
        <is>
          <t>Disetujui</t>
        </is>
      </c>
      <c r="K52" t="n">
        <v>30</v>
      </c>
      <c r="L52" t="inlineStr">
        <is>
          <t>3 September 2026</t>
        </is>
      </c>
      <c r="M52" t="inlineStr">
        <is>
          <t>Konstruksi Gedung Hunian</t>
        </is>
      </c>
      <c r="N52" t="inlineStr">
        <is>
          <t>K</t>
        </is>
      </c>
      <c r="O52" t="inlineStr">
        <is>
          <t>20230901</t>
        </is>
      </c>
      <c r="P52" t="inlineStr">
        <is>
          <t>Jawa Barat</t>
        </is>
      </c>
      <c r="Q52" t="inlineStr"/>
    </row>
    <row r="53">
      <c r="A53" t="inlineStr">
        <is>
          <t>HERA MANDIRI</t>
        </is>
      </c>
      <c r="B53" t="inlineStr">
        <is>
          <t>Kab. Pacitan</t>
        </is>
      </c>
      <c r="C53" t="inlineStr">
        <is>
          <t>085335459887</t>
        </is>
      </c>
      <c r="D53" t="inlineStr">
        <is>
          <t>heramandiricv68@gmail.com</t>
        </is>
      </c>
      <c r="E53" t="inlineStr">
        <is>
          <t>https://lpjk.pu.go.id/search-badan-usaha-detail/TVZMTmovcDg3S2xBaCs1bFowZDdtUT09</t>
        </is>
      </c>
      <c r="F53" t="n">
        <v>2</v>
      </c>
      <c r="G53" t="inlineStr">
        <is>
          <t>RK001</t>
        </is>
      </c>
      <c r="H53" t="inlineStr">
        <is>
          <t>28 September 2011</t>
        </is>
      </c>
      <c r="I53" s="2" t="n">
        <v>46268</v>
      </c>
      <c r="J53" t="inlineStr">
        <is>
          <t>Disetujui</t>
        </is>
      </c>
      <c r="K53" t="n">
        <v>30</v>
      </c>
      <c r="L53" t="inlineStr">
        <is>
          <t>3 September 2026</t>
        </is>
      </c>
      <c r="M53" t="inlineStr">
        <is>
          <t>Jasa Rekayasa Konstruksi Bangunan Gedung Hunian dan Non Hunian</t>
        </is>
      </c>
      <c r="N53" t="inlineStr">
        <is>
          <t>K</t>
        </is>
      </c>
      <c r="O53" t="inlineStr">
        <is>
          <t>20230825</t>
        </is>
      </c>
      <c r="P53" t="inlineStr">
        <is>
          <t>Jawa Timur</t>
        </is>
      </c>
      <c r="Q53" t="inlineStr"/>
    </row>
    <row r="54">
      <c r="A54" t="inlineStr">
        <is>
          <t>HIJRAH MAKMUR ABADI</t>
        </is>
      </c>
      <c r="B54" t="inlineStr">
        <is>
          <t>Kota Palembang</t>
        </is>
      </c>
      <c r="C54" t="inlineStr">
        <is>
          <t>082278051162</t>
        </is>
      </c>
      <c r="D54" t="inlineStr">
        <is>
          <t>cvhijrahmakmur@yahoo.com</t>
        </is>
      </c>
      <c r="E54" t="inlineStr">
        <is>
          <t>https://lpjk.pu.go.id/search-badan-usaha-detail/c1pQcE9CNXd3Uisxb0lEREtBanN3Zz09</t>
        </is>
      </c>
      <c r="F54" t="n">
        <v>2</v>
      </c>
      <c r="G54" t="inlineStr">
        <is>
          <t>BS001</t>
        </is>
      </c>
      <c r="H54" t="inlineStr">
        <is>
          <t>5 April 2022</t>
        </is>
      </c>
      <c r="I54" s="2" t="n">
        <v>46268</v>
      </c>
      <c r="J54" t="inlineStr">
        <is>
          <t>Disetujui</t>
        </is>
      </c>
      <c r="K54" t="n">
        <v>30</v>
      </c>
      <c r="L54" t="inlineStr">
        <is>
          <t>3 September 2026</t>
        </is>
      </c>
      <c r="M54" t="inlineStr">
        <is>
          <t>Konstruksi Bangunan Sipil Jalan</t>
        </is>
      </c>
      <c r="N54" t="inlineStr">
        <is>
          <t>K</t>
        </is>
      </c>
      <c r="O54" t="inlineStr">
        <is>
          <t>20230902</t>
        </is>
      </c>
      <c r="P54" t="inlineStr">
        <is>
          <t>Sumatera Selatan</t>
        </is>
      </c>
      <c r="Q54" t="inlineStr"/>
    </row>
    <row r="55">
      <c r="A55" t="inlineStr">
        <is>
          <t>HIZBA KARYA PERSADA</t>
        </is>
      </c>
      <c r="B55" t="inlineStr">
        <is>
          <t>Kab. Tasikmalaya</t>
        </is>
      </c>
      <c r="C55" t="inlineStr">
        <is>
          <t>085223189992</t>
        </is>
      </c>
      <c r="D55" t="inlineStr">
        <is>
          <t>hizbakaryapersada@gmail.com</t>
        </is>
      </c>
      <c r="E55" t="inlineStr">
        <is>
          <t>https://lpjk.pu.go.id/search-badan-usaha-detail/cUZKMVBGb0NTN1ZSdjhjOEFXNzFxZz09</t>
        </is>
      </c>
      <c r="F55" t="n">
        <v>2</v>
      </c>
      <c r="G55" t="inlineStr">
        <is>
          <t>BG005, BG006</t>
        </is>
      </c>
      <c r="H55" t="inlineStr">
        <is>
          <t>27 Juni 2019</t>
        </is>
      </c>
      <c r="I55" s="2" t="n">
        <v>46268</v>
      </c>
      <c r="J55" t="inlineStr">
        <is>
          <t>Disetujui, Pencabutan</t>
        </is>
      </c>
      <c r="K55" t="n">
        <v>30</v>
      </c>
      <c r="L55" t="inlineStr">
        <is>
          <t>3 September 2026</t>
        </is>
      </c>
      <c r="M55" t="inlineStr">
        <is>
          <t>Konstruksi Gedung Kesehatan, Konstruksi Gedung Pendidikan</t>
        </is>
      </c>
      <c r="N55" t="inlineStr">
        <is>
          <t>K</t>
        </is>
      </c>
      <c r="O55" t="inlineStr">
        <is>
          <t>20230903, 20230904</t>
        </is>
      </c>
      <c r="P55" t="inlineStr">
        <is>
          <t>Jawa Barat</t>
        </is>
      </c>
      <c r="Q55" t="inlineStr"/>
    </row>
    <row r="56">
      <c r="A56" t="inlineStr">
        <is>
          <t>IDE KONSTRUKSI</t>
        </is>
      </c>
      <c r="B56" t="inlineStr">
        <is>
          <t>Kab. Malang</t>
        </is>
      </c>
      <c r="C56" t="inlineStr">
        <is>
          <t>087847077264</t>
        </is>
      </c>
      <c r="D56" t="inlineStr">
        <is>
          <t>cv.idekonstruksi23@gmail.com</t>
        </is>
      </c>
      <c r="E56" t="inlineStr">
        <is>
          <t>https://lpjk.pu.go.id/search-badan-usaha-detail/Yk1hbUE0WkYrRkVxZ1g2cWlCdWdzUT09</t>
        </is>
      </c>
      <c r="F56" t="n">
        <v>3</v>
      </c>
      <c r="G56" t="inlineStr">
        <is>
          <t>BG009, BS002, BS005</t>
        </is>
      </c>
      <c r="H56" t="inlineStr">
        <is>
          <t>16 Agustus 2023</t>
        </is>
      </c>
      <c r="I56" s="2" t="n">
        <v>46268</v>
      </c>
      <c r="J56" t="inlineStr">
        <is>
          <t>Disetujui</t>
        </is>
      </c>
      <c r="K56" t="n">
        <v>30</v>
      </c>
      <c r="L56" t="inlineStr">
        <is>
          <t>3 September 2026</t>
        </is>
      </c>
      <c r="M56" t="inlineStr">
        <is>
          <t>Bangunan Sipil Jembatan, Jalan Layang, Fly Over, dan Underpass, Konstruksi Bangunan Sipil Pengolahan Air Bersih, Konstruksi Gedung Lainnya</t>
        </is>
      </c>
      <c r="N56" t="inlineStr">
        <is>
          <t>K</t>
        </is>
      </c>
      <c r="O56" t="inlineStr">
        <is>
          <t>20230902, 20230904</t>
        </is>
      </c>
      <c r="P56" t="inlineStr">
        <is>
          <t>Jawa Timur</t>
        </is>
      </c>
      <c r="Q56" t="inlineStr"/>
    </row>
    <row r="57">
      <c r="A57" t="inlineStr">
        <is>
          <t>IMAM PALLIRA</t>
        </is>
      </c>
      <c r="B57" t="inlineStr">
        <is>
          <t>Kab. Mamuju</t>
        </is>
      </c>
      <c r="C57" t="inlineStr">
        <is>
          <t>085225648333</t>
        </is>
      </c>
      <c r="D57" t="inlineStr">
        <is>
          <t>cvimampallira@gmail.com</t>
        </is>
      </c>
      <c r="E57" t="inlineStr">
        <is>
          <t>https://lpjk.pu.go.id/search-badan-usaha-detail/RDBxK293SEtZZnFjT0lzRktHUzgwQT09</t>
        </is>
      </c>
      <c r="F57" t="n">
        <v>4</v>
      </c>
      <c r="G57" t="inlineStr">
        <is>
          <t>BG001, BG005, BG008, BG009</t>
        </is>
      </c>
      <c r="H57" t="inlineStr">
        <is>
          <t>20 Desember 2012</t>
        </is>
      </c>
      <c r="I57" s="2" t="n">
        <v>46268</v>
      </c>
      <c r="J57" t="inlineStr">
        <is>
          <t>Disetujui</t>
        </is>
      </c>
      <c r="K57" t="n">
        <v>30</v>
      </c>
      <c r="L57" t="inlineStr">
        <is>
          <t>3 September 2026</t>
        </is>
      </c>
      <c r="M57" t="inlineStr">
        <is>
          <t>Konstruksi Gedung Hunian, Konstruksi Gedung Kesehatan, Konstruksi Gedung Lainnya, Konstruksi Gedung Tempat Hiburan dan Olahraga</t>
        </is>
      </c>
      <c r="N57" t="inlineStr">
        <is>
          <t>K</t>
        </is>
      </c>
      <c r="O57" t="inlineStr">
        <is>
          <t>20230814, 20230903</t>
        </is>
      </c>
      <c r="P57" t="inlineStr">
        <is>
          <t>Sulawesi Barat</t>
        </is>
      </c>
      <c r="Q57" t="inlineStr"/>
    </row>
    <row r="58">
      <c r="A58" t="inlineStr">
        <is>
          <t>INDAH INSANI</t>
        </is>
      </c>
      <c r="B58" t="inlineStr">
        <is>
          <t>Kab. Padang Lawas</t>
        </is>
      </c>
      <c r="C58" t="inlineStr">
        <is>
          <t>082369093344</t>
        </is>
      </c>
      <c r="D58" t="inlineStr">
        <is>
          <t>cvindahinsani23@gmail.com</t>
        </is>
      </c>
      <c r="E58" t="inlineStr">
        <is>
          <t>https://lpjk.pu.go.id/search-badan-usaha-detail/SWwydW1JVTNCZTYvbWxXYXFoL3J0UT09</t>
        </is>
      </c>
      <c r="F58" t="n">
        <v>3</v>
      </c>
      <c r="G58" t="inlineStr">
        <is>
          <t>BG006, BS002, BS005</t>
        </is>
      </c>
      <c r="H58" t="inlineStr">
        <is>
          <t>14 Februari 2019</t>
        </is>
      </c>
      <c r="I58" s="2" t="n">
        <v>46268</v>
      </c>
      <c r="J58" t="inlineStr">
        <is>
          <t>Disetujui</t>
        </is>
      </c>
      <c r="K58" t="n">
        <v>30</v>
      </c>
      <c r="L58" t="inlineStr">
        <is>
          <t>3 September 2026</t>
        </is>
      </c>
      <c r="M58" t="inlineStr">
        <is>
          <t>Bangunan Sipil Jembatan, Jalan Layang, Fly Over, dan Underpass, Konstruksi Bangunan Sipil Pengolahan Air Bersih, Konstruksi Gedung Pendidikan</t>
        </is>
      </c>
      <c r="N58" t="inlineStr">
        <is>
          <t>K</t>
        </is>
      </c>
      <c r="O58" t="inlineStr">
        <is>
          <t>20230831, 20230904</t>
        </is>
      </c>
      <c r="P58" t="inlineStr">
        <is>
          <t>Sumatera Utara</t>
        </is>
      </c>
      <c r="Q58" t="inlineStr"/>
    </row>
    <row r="59">
      <c r="A59" t="inlineStr">
        <is>
          <t>INOVASI KONSULINDO RAYA</t>
        </is>
      </c>
      <c r="B59" t="inlineStr">
        <is>
          <t>Kab. Luwu Utara</t>
        </is>
      </c>
      <c r="C59" t="inlineStr">
        <is>
          <t>08114129797</t>
        </is>
      </c>
      <c r="D59" t="inlineStr">
        <is>
          <t>inovasikonsulindoraya.pt@gmail.com</t>
        </is>
      </c>
      <c r="E59" t="inlineStr">
        <is>
          <t>https://lpjk.pu.go.id/search-badan-usaha-detail/SkRMWENjbG1aZTBPOVpwdHQ2dXJMUT09</t>
        </is>
      </c>
      <c r="F59" t="n">
        <v>4</v>
      </c>
      <c r="G59" t="inlineStr">
        <is>
          <t>RK001, RK002, RK003, RK005</t>
        </is>
      </c>
      <c r="H59" t="inlineStr">
        <is>
          <t>12 September 2007</t>
        </is>
      </c>
      <c r="I59" s="2" t="n">
        <v>46268</v>
      </c>
      <c r="J59" t="inlineStr">
        <is>
          <t>Disetujui</t>
        </is>
      </c>
      <c r="K59" t="n">
        <v>30</v>
      </c>
      <c r="L59" t="inlineStr">
        <is>
          <t>3 September 2026</t>
        </is>
      </c>
      <c r="M59" t="inlineStr">
        <is>
          <t>Jasa Rekayasa Konstruksi Bangunan Gedung Hunian dan Non Hunian, Jasa Rekayasa Lainnya, Jasa Rekayasa Pekerjaan Teknik Sipil Sumber Daya Air, Jasa Rekayasa Pekerjaan Teknik Sipil Transportasi</t>
        </is>
      </c>
      <c r="N59" t="inlineStr">
        <is>
          <t>K</t>
        </is>
      </c>
      <c r="O59" t="inlineStr">
        <is>
          <t>20230815, 20230817</t>
        </is>
      </c>
      <c r="P59" t="inlineStr">
        <is>
          <t>Sulawesi Selatan</t>
        </is>
      </c>
      <c r="Q59" t="inlineStr"/>
    </row>
    <row r="60">
      <c r="A60" t="inlineStr">
        <is>
          <t>INSAN SINAR MANDIRI SITUBONDO</t>
        </is>
      </c>
      <c r="B60" t="inlineStr">
        <is>
          <t>Kab. Situbondo</t>
        </is>
      </c>
      <c r="C60" t="inlineStr">
        <is>
          <t>083892342682</t>
        </is>
      </c>
      <c r="D60" t="inlineStr">
        <is>
          <t>insansinarmandiri@gmail.com</t>
        </is>
      </c>
      <c r="E60" t="inlineStr">
        <is>
          <t>https://lpjk.pu.go.id/search-badan-usaha-detail/dVJJUmNFRVlhMWVWZWhWU0lESUNwZz09</t>
        </is>
      </c>
      <c r="F60" t="n">
        <v>1</v>
      </c>
      <c r="G60" t="inlineStr">
        <is>
          <t>BS010</t>
        </is>
      </c>
      <c r="H60" t="inlineStr">
        <is>
          <t>13 Desember 2022</t>
        </is>
      </c>
      <c r="I60" s="2" t="n">
        <v>46268</v>
      </c>
      <c r="J60" t="inlineStr">
        <is>
          <t>Disetujui</t>
        </is>
      </c>
      <c r="K60" t="n">
        <v>30</v>
      </c>
      <c r="L60" t="inlineStr">
        <is>
          <t>3 September 2026</t>
        </is>
      </c>
      <c r="M60" t="inlineStr">
        <is>
          <t>Konstruksi Bangunan Prasarana Sumber Daya Air</t>
        </is>
      </c>
      <c r="N60" t="inlineStr">
        <is>
          <t>K</t>
        </is>
      </c>
      <c r="O60" t="inlineStr">
        <is>
          <t>20230903</t>
        </is>
      </c>
      <c r="P60" t="inlineStr">
        <is>
          <t>Jawa Timur</t>
        </is>
      </c>
      <c r="Q60" t="inlineStr"/>
    </row>
    <row r="61">
      <c r="A61" t="inlineStr">
        <is>
          <t>JAYA TAKKALASI</t>
        </is>
      </c>
      <c r="B61" t="inlineStr">
        <is>
          <t>Kab. Kutai Timur</t>
        </is>
      </c>
      <c r="C61" t="inlineStr">
        <is>
          <t>081350537999</t>
        </is>
      </c>
      <c r="D61" t="inlineStr">
        <is>
          <t>jayatakkalasi.cv@gmail.com</t>
        </is>
      </c>
      <c r="E61" t="inlineStr">
        <is>
          <t>https://lpjk.pu.go.id/search-badan-usaha-detail/SkxiZXZremdFRU44aUJmZGdHNkowUT09</t>
        </is>
      </c>
      <c r="F61" t="n">
        <v>3</v>
      </c>
      <c r="G61" t="inlineStr">
        <is>
          <t>BG006, BG009, BS004</t>
        </is>
      </c>
      <c r="H61" t="inlineStr">
        <is>
          <t>4 Juni 2020</t>
        </is>
      </c>
      <c r="I61" s="2" t="n">
        <v>46268</v>
      </c>
      <c r="J61" t="inlineStr">
        <is>
          <t>Disetujui</t>
        </is>
      </c>
      <c r="K61" t="n">
        <v>30</v>
      </c>
      <c r="L61" t="inlineStr">
        <is>
          <t>3 September 2026</t>
        </is>
      </c>
      <c r="M61" t="inlineStr">
        <is>
          <t>Konstruksi Gedung Lainnya, Konstruksi Gedung Pendidikan, Konstruksi Jaringan Irigasi dan Drainase</t>
        </is>
      </c>
      <c r="N61" t="inlineStr">
        <is>
          <t>K</t>
        </is>
      </c>
      <c r="O61" t="inlineStr">
        <is>
          <t>20230829, 20230904</t>
        </is>
      </c>
      <c r="P61" t="inlineStr">
        <is>
          <t>Kalimantan Timur</t>
        </is>
      </c>
      <c r="Q61" t="inlineStr"/>
    </row>
    <row r="62">
      <c r="A62" t="inlineStr">
        <is>
          <t>JETEC INDONESIA</t>
        </is>
      </c>
      <c r="B62" t="inlineStr">
        <is>
          <t>Kota Adm. Jakarta Selatan</t>
        </is>
      </c>
      <c r="C62" t="inlineStr">
        <is>
          <t>0811984023</t>
        </is>
      </c>
      <c r="D62" t="inlineStr">
        <is>
          <t>actemiumsystem.id@actemium.com</t>
        </is>
      </c>
      <c r="E62" t="inlineStr">
        <is>
          <t>https://lpjk.pu.go.id/search-badan-usaha-detail/a3FGM3ZyQUZlRG1IVkRLcDFvcEl6dz09</t>
        </is>
      </c>
      <c r="F62" t="n">
        <v>1</v>
      </c>
      <c r="G62" t="inlineStr">
        <is>
          <t>RK004</t>
        </is>
      </c>
      <c r="H62" t="inlineStr">
        <is>
          <t>3 Juni 2005</t>
        </is>
      </c>
      <c r="I62" s="2" t="n">
        <v>46268</v>
      </c>
      <c r="J62" t="inlineStr">
        <is>
          <t>Disetujui</t>
        </is>
      </c>
      <c r="K62" t="n">
        <v>30</v>
      </c>
      <c r="L62" t="inlineStr">
        <is>
          <t>3 September 2026</t>
        </is>
      </c>
      <c r="M62" t="inlineStr">
        <is>
          <t>Jasa Rekayasa Pekerjaan Mekanikal Dalam Bangunan</t>
        </is>
      </c>
      <c r="N62" t="inlineStr">
        <is>
          <t>B</t>
        </is>
      </c>
      <c r="O62" t="inlineStr">
        <is>
          <t>20230807</t>
        </is>
      </c>
      <c r="P62" t="inlineStr">
        <is>
          <t>DKI Jakarta</t>
        </is>
      </c>
      <c r="Q62" t="inlineStr"/>
    </row>
    <row r="63">
      <c r="A63" t="inlineStr">
        <is>
          <t>KARTIKA CAHAYA GEMILANG</t>
        </is>
      </c>
      <c r="B63" t="inlineStr">
        <is>
          <t>Kab. Lamongan</t>
        </is>
      </c>
      <c r="C63" t="inlineStr">
        <is>
          <t>085854896589</t>
        </is>
      </c>
      <c r="D63" t="inlineStr">
        <is>
          <t>kartikacahayagemilang03@gmail.com</t>
        </is>
      </c>
      <c r="E63" t="inlineStr">
        <is>
          <t>https://lpjk.pu.go.id/search-badan-usaha-detail/bGYvRFAvakF1OFFjZWJ6cWs5VjZ1UT09</t>
        </is>
      </c>
      <c r="F63" t="n">
        <v>1</v>
      </c>
      <c r="G63" t="inlineStr">
        <is>
          <t>BS001</t>
        </is>
      </c>
      <c r="H63" t="inlineStr">
        <is>
          <t>27 Desember 2013</t>
        </is>
      </c>
      <c r="I63" s="2" t="n">
        <v>46268</v>
      </c>
      <c r="J63" t="inlineStr">
        <is>
          <t>Disetujui</t>
        </is>
      </c>
      <c r="K63" t="n">
        <v>30</v>
      </c>
      <c r="L63" t="inlineStr">
        <is>
          <t>3 September 2026</t>
        </is>
      </c>
      <c r="M63" t="inlineStr">
        <is>
          <t>Konstruksi Bangunan Sipil Jalan</t>
        </is>
      </c>
      <c r="N63" t="inlineStr">
        <is>
          <t>K</t>
        </is>
      </c>
      <c r="O63" t="inlineStr">
        <is>
          <t>20230829</t>
        </is>
      </c>
      <c r="P63" t="inlineStr">
        <is>
          <t>Jawa Timur</t>
        </is>
      </c>
      <c r="Q63" t="inlineStr"/>
    </row>
    <row r="64">
      <c r="A64" t="inlineStr">
        <is>
          <t>KARUNIA PRIMA SEJAHTERARAYA</t>
        </is>
      </c>
      <c r="B64" t="inlineStr">
        <is>
          <t>Kota Surabaya</t>
        </is>
      </c>
      <c r="C64" t="inlineStr">
        <is>
          <t>08113548938</t>
        </is>
      </c>
      <c r="D64" t="inlineStr">
        <is>
          <t>prima.sejahteraraya@gmail.com</t>
        </is>
      </c>
      <c r="E64" t="inlineStr">
        <is>
          <t>https://lpjk.pu.go.id/search-badan-usaha-detail/RkZubWMzYngrbFdsT21RUDdjSU43UT09</t>
        </is>
      </c>
      <c r="F64" t="n">
        <v>4</v>
      </c>
      <c r="G64" t="inlineStr">
        <is>
          <t>BG001, BG002, BG003, BG004</t>
        </is>
      </c>
      <c r="H64" t="inlineStr">
        <is>
          <t>5 Juni 2023</t>
        </is>
      </c>
      <c r="I64" s="2" t="n">
        <v>46268</v>
      </c>
      <c r="J64" t="inlineStr">
        <is>
          <t>Disetujui</t>
        </is>
      </c>
      <c r="K64" t="n">
        <v>30</v>
      </c>
      <c r="L64" t="inlineStr">
        <is>
          <t>3 September 2026</t>
        </is>
      </c>
      <c r="M64" t="inlineStr">
        <is>
          <t>Konstruksi Gedung Hunian, Konstruksi Gedung Industri, Konstruksi Gedung Perbelanjaan, Konstruksi Gedung Perkantoran</t>
        </is>
      </c>
      <c r="N64" t="inlineStr">
        <is>
          <t>K</t>
        </is>
      </c>
      <c r="O64" t="inlineStr">
        <is>
          <t>20230830</t>
        </is>
      </c>
      <c r="P64" t="inlineStr">
        <is>
          <t>Jawa Timur</t>
        </is>
      </c>
      <c r="Q64" t="inlineStr"/>
    </row>
    <row r="65">
      <c r="A65" t="inlineStr">
        <is>
          <t>KARYA NATAMA</t>
        </is>
      </c>
      <c r="B65" t="inlineStr">
        <is>
          <t>Kota Medan</t>
        </is>
      </c>
      <c r="C65" t="inlineStr">
        <is>
          <t>082279856026</t>
        </is>
      </c>
      <c r="D65" t="inlineStr">
        <is>
          <t>ckaryanatama@gmail.com</t>
        </is>
      </c>
      <c r="E65" t="inlineStr">
        <is>
          <t>https://lpjk.pu.go.id/search-badan-usaha-detail/UUp3TFVQRzRyV3Y1WlJQb29hV2p6QT09</t>
        </is>
      </c>
      <c r="F65" t="n">
        <v>1</v>
      </c>
      <c r="G65" t="inlineStr">
        <is>
          <t>BG009</t>
        </is>
      </c>
      <c r="H65" t="inlineStr">
        <is>
          <t>17 September 2019</t>
        </is>
      </c>
      <c r="I65" s="2" t="n">
        <v>46268</v>
      </c>
      <c r="J65" t="inlineStr">
        <is>
          <t>Disetujui</t>
        </is>
      </c>
      <c r="K65" t="n">
        <v>30</v>
      </c>
      <c r="L65" t="inlineStr">
        <is>
          <t>3 September 2026</t>
        </is>
      </c>
      <c r="M65" t="inlineStr">
        <is>
          <t>Konstruksi Gedung Lainnya</t>
        </is>
      </c>
      <c r="N65" t="inlineStr">
        <is>
          <t>K</t>
        </is>
      </c>
      <c r="O65" t="inlineStr">
        <is>
          <t>20230901</t>
        </is>
      </c>
      <c r="P65" t="inlineStr">
        <is>
          <t>Sumatera Utara</t>
        </is>
      </c>
      <c r="Q65" t="inlineStr"/>
    </row>
    <row r="66">
      <c r="A66" t="inlineStr">
        <is>
          <t>KARYA SEJAHTERA MAKMUR MANDIRI</t>
        </is>
      </c>
      <c r="B66" t="inlineStr">
        <is>
          <t>Kab. Bengkalis</t>
        </is>
      </c>
      <c r="C66" t="inlineStr">
        <is>
          <t>08127507886</t>
        </is>
      </c>
      <c r="D66" t="inlineStr">
        <is>
          <t>karya.sejahtera.makmur.mandiri@gmail.com</t>
        </is>
      </c>
      <c r="E66" t="inlineStr">
        <is>
          <t>https://lpjk.pu.go.id/search-badan-usaha-detail/R3JHQ3ZMRVFOMnVleWZtNHl6dndMUT09</t>
        </is>
      </c>
      <c r="F66" t="n">
        <v>1</v>
      </c>
      <c r="G66" t="inlineStr">
        <is>
          <t>BS002</t>
        </is>
      </c>
      <c r="H66" t="inlineStr">
        <is>
          <t>16 Oktober 2013</t>
        </is>
      </c>
      <c r="I66" s="2" t="n">
        <v>46268</v>
      </c>
      <c r="J66" t="inlineStr">
        <is>
          <t>Disetujui</t>
        </is>
      </c>
      <c r="K66" t="n">
        <v>30</v>
      </c>
      <c r="L66" t="inlineStr">
        <is>
          <t>3 September 2026</t>
        </is>
      </c>
      <c r="M66" t="inlineStr">
        <is>
          <t>Bangunan Sipil Jembatan, Jalan Layang, Fly Over, dan Underpass</t>
        </is>
      </c>
      <c r="N66" t="inlineStr">
        <is>
          <t>K</t>
        </is>
      </c>
      <c r="O66" t="inlineStr">
        <is>
          <t>20230902</t>
        </is>
      </c>
      <c r="P66" t="inlineStr">
        <is>
          <t>Riau</t>
        </is>
      </c>
      <c r="Q66" t="inlineStr"/>
    </row>
    <row r="67">
      <c r="A67" t="inlineStr">
        <is>
          <t>KARYA SEPAKAT CONSULTANT</t>
        </is>
      </c>
      <c r="B67" t="inlineStr">
        <is>
          <t>Kota Makassar</t>
        </is>
      </c>
      <c r="C67" t="inlineStr">
        <is>
          <t>081243333811</t>
        </is>
      </c>
      <c r="D67" t="inlineStr">
        <is>
          <t>karyasepakat80@gmail.com</t>
        </is>
      </c>
      <c r="E67" t="inlineStr">
        <is>
          <t>https://lpjk.pu.go.id/search-badan-usaha-detail/c0hsUmdvL0dYRVV5ektPYWMyMmlidz09</t>
        </is>
      </c>
      <c r="F67" t="n">
        <v>1</v>
      </c>
      <c r="G67" t="inlineStr">
        <is>
          <t>AR001</t>
        </is>
      </c>
      <c r="H67" t="inlineStr">
        <is>
          <t>30 April 2015</t>
        </is>
      </c>
      <c r="I67" s="2" t="n">
        <v>46268</v>
      </c>
      <c r="J67" t="inlineStr">
        <is>
          <t>Disetujui</t>
        </is>
      </c>
      <c r="K67" t="n">
        <v>30</v>
      </c>
      <c r="L67" t="inlineStr">
        <is>
          <t>3 September 2026</t>
        </is>
      </c>
      <c r="M67" t="inlineStr">
        <is>
          <t>Jasa Arsitektural Bangunan Gedung Hunian dan Non Hunian</t>
        </is>
      </c>
      <c r="N67" t="inlineStr">
        <is>
          <t>K</t>
        </is>
      </c>
      <c r="O67" t="inlineStr">
        <is>
          <t>20230321</t>
        </is>
      </c>
      <c r="P67" t="inlineStr">
        <is>
          <t>Sulawesi Selatan</t>
        </is>
      </c>
      <c r="Q67" t="inlineStr"/>
    </row>
    <row r="68">
      <c r="A68" t="inlineStr">
        <is>
          <t>KHATULISTIWA HIJAU SEJATI</t>
        </is>
      </c>
      <c r="B68" t="inlineStr">
        <is>
          <t>Kota Pekanbaru</t>
        </is>
      </c>
      <c r="C68" t="inlineStr">
        <is>
          <t>08127673307</t>
        </is>
      </c>
      <c r="D68" t="inlineStr">
        <is>
          <t>khatulistiwa.ptkhs@gmail.com</t>
        </is>
      </c>
      <c r="E68" t="inlineStr">
        <is>
          <t>https://lpjk.pu.go.id/search-badan-usaha-detail/SWxqMEdFQURrMDkzQmxlMytvMFBKdz09</t>
        </is>
      </c>
      <c r="F68" t="n">
        <v>4</v>
      </c>
      <c r="G68" t="inlineStr">
        <is>
          <t>BG001, BG002, BG009, BS001</t>
        </is>
      </c>
      <c r="H68" t="inlineStr">
        <is>
          <t>28 Februari 2020</t>
        </is>
      </c>
      <c r="I68" s="2" t="n">
        <v>46268</v>
      </c>
      <c r="J68" t="inlineStr">
        <is>
          <t>Disetujui</t>
        </is>
      </c>
      <c r="K68" t="n">
        <v>30</v>
      </c>
      <c r="L68" t="inlineStr">
        <is>
          <t>3 September 2026</t>
        </is>
      </c>
      <c r="M68" t="inlineStr">
        <is>
          <t>Konstruksi Bangunan Sipil Jalan, Konstruksi Gedung Hunian, Konstruksi Gedung Lainnya, Konstruksi Gedung Perkantoran</t>
        </is>
      </c>
      <c r="N68" t="inlineStr">
        <is>
          <t>K</t>
        </is>
      </c>
      <c r="O68" t="inlineStr">
        <is>
          <t>20230831, 20230902</t>
        </is>
      </c>
      <c r="P68" t="inlineStr">
        <is>
          <t>Riau</t>
        </is>
      </c>
      <c r="Q68" t="inlineStr"/>
    </row>
    <row r="69">
      <c r="A69" t="inlineStr">
        <is>
          <t>KHOMSA UTAMA</t>
        </is>
      </c>
      <c r="B69" t="inlineStr">
        <is>
          <t>Kab. Gresik</t>
        </is>
      </c>
      <c r="C69" t="inlineStr">
        <is>
          <t>081216415280</t>
        </is>
      </c>
      <c r="D69" t="inlineStr">
        <is>
          <t>cv.khomsautama15@gmail.com</t>
        </is>
      </c>
      <c r="E69" t="inlineStr">
        <is>
          <t>https://lpjk.pu.go.id/search-badan-usaha-detail/T2dWcXFDOHVKTmFHVWduRCtVTDlhdz09</t>
        </is>
      </c>
      <c r="F69" t="n">
        <v>3</v>
      </c>
      <c r="G69" t="inlineStr">
        <is>
          <t>BS001, BS004, BS005</t>
        </is>
      </c>
      <c r="H69" t="inlineStr">
        <is>
          <t>24 Mei 2022</t>
        </is>
      </c>
      <c r="I69" s="2" t="n">
        <v>46268</v>
      </c>
      <c r="J69" t="inlineStr">
        <is>
          <t>Disetujui</t>
        </is>
      </c>
      <c r="K69" t="n">
        <v>30</v>
      </c>
      <c r="L69" t="inlineStr">
        <is>
          <t>3 September 2026</t>
        </is>
      </c>
      <c r="M69" t="inlineStr">
        <is>
          <t>Konstruksi Bangunan Sipil Jalan, Konstruksi Bangunan Sipil Pengolahan Air Bersih, Konstruksi Jaringan Irigasi dan Drainase</t>
        </is>
      </c>
      <c r="N69" t="inlineStr">
        <is>
          <t>K</t>
        </is>
      </c>
      <c r="O69" t="inlineStr">
        <is>
          <t>20230829</t>
        </is>
      </c>
      <c r="P69" t="inlineStr">
        <is>
          <t>Jawa Timur</t>
        </is>
      </c>
      <c r="Q69" t="inlineStr"/>
    </row>
    <row r="70">
      <c r="A70" t="inlineStr">
        <is>
          <t>KURNIA AKBAR</t>
        </is>
      </c>
      <c r="B70" t="inlineStr">
        <is>
          <t>Kab. Bangka Barat</t>
        </is>
      </c>
      <c r="C70" t="inlineStr">
        <is>
          <t>081994128908</t>
        </is>
      </c>
      <c r="D70" t="inlineStr">
        <is>
          <t>kurniaakbar1717@gmail.com</t>
        </is>
      </c>
      <c r="E70" t="inlineStr">
        <is>
          <t>https://lpjk.pu.go.id/search-badan-usaha-detail/c1NJMlVGSEFvVk55bjVRSGFkL1prdz09</t>
        </is>
      </c>
      <c r="F70" t="n">
        <v>5</v>
      </c>
      <c r="G70" t="inlineStr">
        <is>
          <t>BG002, BG006, BG008, BG009, BS012</t>
        </is>
      </c>
      <c r="H70" t="inlineStr">
        <is>
          <t>22 Oktober 2002</t>
        </is>
      </c>
      <c r="I70" s="2" t="n">
        <v>46268</v>
      </c>
      <c r="J70" t="inlineStr">
        <is>
          <t>Disetujui</t>
        </is>
      </c>
      <c r="K70" t="n">
        <v>30</v>
      </c>
      <c r="L70" t="inlineStr">
        <is>
          <t>3 September 2026</t>
        </is>
      </c>
      <c r="M70" t="inlineStr">
        <is>
          <t>Konstruksi Bangunan Pelabuhan Perikanan, Konstruksi Gedung Lainnya, Konstruksi Gedung Pendidikan, Konstruksi Gedung Perkantoran, Konstruksi Gedung Tempat Hiburan dan Olahraga</t>
        </is>
      </c>
      <c r="N70" t="inlineStr">
        <is>
          <t>K</t>
        </is>
      </c>
      <c r="O70" t="inlineStr">
        <is>
          <t>20230811, 20230814</t>
        </is>
      </c>
      <c r="P70" t="inlineStr">
        <is>
          <t>Kepulauan Bangka Belitung</t>
        </is>
      </c>
      <c r="Q70" t="inlineStr"/>
    </row>
    <row r="71">
      <c r="A71" t="inlineStr">
        <is>
          <t>LENTERA</t>
        </is>
      </c>
      <c r="B71" t="inlineStr">
        <is>
          <t>Kab. Serdang Bedagai</t>
        </is>
      </c>
      <c r="C71" t="inlineStr">
        <is>
          <t>085361240751</t>
        </is>
      </c>
      <c r="D71" t="inlineStr">
        <is>
          <t>cvlentera69@gmail.com</t>
        </is>
      </c>
      <c r="E71" t="inlineStr">
        <is>
          <t>https://lpjk.pu.go.id/search-badan-usaha-detail/Q0ZWOHJ2NVVrZFAvRGZkSlBTQnJHdz09</t>
        </is>
      </c>
      <c r="F71" t="n">
        <v>1</v>
      </c>
      <c r="G71" t="inlineStr">
        <is>
          <t>BS004</t>
        </is>
      </c>
      <c r="H71" t="inlineStr">
        <is>
          <t>10 Januari 2017</t>
        </is>
      </c>
      <c r="I71" s="2" t="n">
        <v>46268</v>
      </c>
      <c r="J71" t="inlineStr">
        <is>
          <t>Pencabutan</t>
        </is>
      </c>
      <c r="K71" t="n">
        <v>30</v>
      </c>
      <c r="L71" t="inlineStr">
        <is>
          <t>3 September 2026</t>
        </is>
      </c>
      <c r="M71" t="inlineStr">
        <is>
          <t>Konstruksi Jaringan Irigasi dan Drainase</t>
        </is>
      </c>
      <c r="N71" t="inlineStr">
        <is>
          <t>K</t>
        </is>
      </c>
      <c r="O71" t="inlineStr">
        <is>
          <t>20230902</t>
        </is>
      </c>
      <c r="P71" t="inlineStr">
        <is>
          <t>Sumatera Utara</t>
        </is>
      </c>
      <c r="Q71" t="inlineStr"/>
    </row>
    <row r="72">
      <c r="A72" t="inlineStr">
        <is>
          <t>LEON PRATAMA</t>
        </is>
      </c>
      <c r="B72" t="inlineStr">
        <is>
          <t>Kota Ternate</t>
        </is>
      </c>
      <c r="C72" t="inlineStr">
        <is>
          <t>081340606413</t>
        </is>
      </c>
      <c r="D72" t="inlineStr">
        <is>
          <t>cvleonpratama@gmail.com</t>
        </is>
      </c>
      <c r="E72" t="inlineStr">
        <is>
          <t>https://lpjk.pu.go.id/search-badan-usaha-detail/aGZpT01aQjR1ZndnTnZzZ2VmcTBzdz09</t>
        </is>
      </c>
      <c r="F72" t="n">
        <v>1</v>
      </c>
      <c r="G72" t="inlineStr">
        <is>
          <t>BG002</t>
        </is>
      </c>
      <c r="H72" t="inlineStr">
        <is>
          <t>17 April 2023</t>
        </is>
      </c>
      <c r="I72" s="2" t="n">
        <v>46268</v>
      </c>
      <c r="J72" t="inlineStr">
        <is>
          <t>Disetujui</t>
        </is>
      </c>
      <c r="K72" t="n">
        <v>30</v>
      </c>
      <c r="L72" t="inlineStr">
        <is>
          <t>3 September 2026</t>
        </is>
      </c>
      <c r="M72" t="inlineStr">
        <is>
          <t>Konstruksi Gedung Perkantoran</t>
        </is>
      </c>
      <c r="N72" t="inlineStr">
        <is>
          <t>K</t>
        </is>
      </c>
      <c r="O72" t="inlineStr">
        <is>
          <t>20230830</t>
        </is>
      </c>
      <c r="P72" t="inlineStr">
        <is>
          <t>Maluku Utara</t>
        </is>
      </c>
      <c r="Q72" t="inlineStr"/>
    </row>
    <row r="73">
      <c r="A73" t="inlineStr">
        <is>
          <t>LINATHA TECH</t>
        </is>
      </c>
      <c r="B73" t="inlineStr">
        <is>
          <t>Kota Manado</t>
        </is>
      </c>
      <c r="C73" t="inlineStr">
        <is>
          <t>081354308505</t>
        </is>
      </c>
      <c r="D73" t="inlineStr">
        <is>
          <t>linathatech@gmail.com</t>
        </is>
      </c>
      <c r="E73" t="inlineStr">
        <is>
          <t>https://lpjk.pu.go.id/search-badan-usaha-detail/c3BlQjNUbG9kWE45a0lMUFNoYXdTQT09</t>
        </is>
      </c>
      <c r="F73" t="n">
        <v>1</v>
      </c>
      <c r="G73" t="inlineStr">
        <is>
          <t>BG001</t>
        </is>
      </c>
      <c r="H73" t="inlineStr">
        <is>
          <t>4 Mei 2023</t>
        </is>
      </c>
      <c r="I73" s="2" t="n">
        <v>46268</v>
      </c>
      <c r="J73" t="inlineStr">
        <is>
          <t>Disetujui</t>
        </is>
      </c>
      <c r="K73" t="n">
        <v>30</v>
      </c>
      <c r="L73" t="inlineStr">
        <is>
          <t>3 September 2026</t>
        </is>
      </c>
      <c r="M73" t="inlineStr">
        <is>
          <t>Konstruksi Gedung Hunian</t>
        </is>
      </c>
      <c r="N73" t="inlineStr">
        <is>
          <t>K</t>
        </is>
      </c>
      <c r="O73" t="inlineStr">
        <is>
          <t>20230904</t>
        </is>
      </c>
      <c r="P73" t="inlineStr">
        <is>
          <t>Sulawesi Utara</t>
        </is>
      </c>
      <c r="Q73" t="inlineStr"/>
    </row>
    <row r="74">
      <c r="A74" t="inlineStr">
        <is>
          <t>LUMINTU INTI PERSADA</t>
        </is>
      </c>
      <c r="B74" t="inlineStr">
        <is>
          <t>Kab. Kutai Timur</t>
        </is>
      </c>
      <c r="C74" t="inlineStr">
        <is>
          <t>082217310151</t>
        </is>
      </c>
      <c r="D74" t="inlineStr">
        <is>
          <t>cv.lumintuintipersada@gmail.com</t>
        </is>
      </c>
      <c r="E74" t="inlineStr">
        <is>
          <t>https://lpjk.pu.go.id/search-badan-usaha-detail/TG5Ec3Q2NHJDa1VKWGNvTFNqOUk3UT09</t>
        </is>
      </c>
      <c r="F74" t="n">
        <v>1</v>
      </c>
      <c r="G74" t="inlineStr">
        <is>
          <t>BG008</t>
        </is>
      </c>
      <c r="H74" t="inlineStr">
        <is>
          <t>29 Juli 2022</t>
        </is>
      </c>
      <c r="I74" s="2" t="n">
        <v>46268</v>
      </c>
      <c r="J74" t="inlineStr">
        <is>
          <t>Pencabutan</t>
        </is>
      </c>
      <c r="K74" t="n">
        <v>30</v>
      </c>
      <c r="L74" t="inlineStr">
        <is>
          <t>3 September 2026</t>
        </is>
      </c>
      <c r="M74" t="inlineStr">
        <is>
          <t>Konstruksi Gedung Tempat Hiburan dan Olahraga</t>
        </is>
      </c>
      <c r="N74" t="inlineStr">
        <is>
          <t>K</t>
        </is>
      </c>
      <c r="O74" t="inlineStr">
        <is>
          <t>20230831</t>
        </is>
      </c>
      <c r="P74" t="inlineStr">
        <is>
          <t>Kalimantan Timur</t>
        </is>
      </c>
      <c r="Q74" t="inlineStr"/>
    </row>
    <row r="75">
      <c r="A75" t="inlineStr">
        <is>
          <t>MAHARI GROUP</t>
        </is>
      </c>
      <c r="B75" t="inlineStr">
        <is>
          <t>Kota Padang Sidempuan</t>
        </is>
      </c>
      <c r="C75" t="inlineStr">
        <is>
          <t>082276990785</t>
        </is>
      </c>
      <c r="D75" t="inlineStr">
        <is>
          <t>cvmaharigroup@gmail.com</t>
        </is>
      </c>
      <c r="E75" t="inlineStr">
        <is>
          <t>https://lpjk.pu.go.id/search-badan-usaha-detail/NjlUaGdxREJua0cvdzNtUGRwYXh2QT09</t>
        </is>
      </c>
      <c r="F75" t="n">
        <v>2</v>
      </c>
      <c r="G75" t="inlineStr">
        <is>
          <t>BS004</t>
        </is>
      </c>
      <c r="H75" t="inlineStr">
        <is>
          <t>11 Agustus 2023</t>
        </is>
      </c>
      <c r="I75" s="2" t="n">
        <v>46268</v>
      </c>
      <c r="J75" t="inlineStr">
        <is>
          <t>Disetujui</t>
        </is>
      </c>
      <c r="K75" t="n">
        <v>30</v>
      </c>
      <c r="L75" t="inlineStr">
        <is>
          <t>3 September 2026</t>
        </is>
      </c>
      <c r="M75" t="inlineStr">
        <is>
          <t>Konstruksi Jaringan Irigasi dan Drainase</t>
        </is>
      </c>
      <c r="N75" t="inlineStr">
        <is>
          <t>K</t>
        </is>
      </c>
      <c r="O75" t="inlineStr">
        <is>
          <t>20230831</t>
        </is>
      </c>
      <c r="P75" t="inlineStr">
        <is>
          <t>Sumatera Utara</t>
        </is>
      </c>
      <c r="Q75" t="inlineStr"/>
    </row>
    <row r="76">
      <c r="A76" t="inlineStr">
        <is>
          <t>MANDIRI KARYA SAKTI</t>
        </is>
      </c>
      <c r="B76" t="inlineStr">
        <is>
          <t>Kab. Ponorogo</t>
        </is>
      </c>
      <c r="C76" t="inlineStr">
        <is>
          <t>082301196343</t>
        </is>
      </c>
      <c r="D76" t="inlineStr">
        <is>
          <t>mandir1.kary4.sakt1@gmail.com</t>
        </is>
      </c>
      <c r="E76" t="inlineStr">
        <is>
          <t>https://lpjk.pu.go.id/search-badan-usaha-detail/ZDNVM2YyQU44aENjamRXZ2xpQ0g3QT09</t>
        </is>
      </c>
      <c r="F76" t="n">
        <v>1</v>
      </c>
      <c r="G76" t="inlineStr">
        <is>
          <t>BS001</t>
        </is>
      </c>
      <c r="H76" t="inlineStr">
        <is>
          <t>26 Juni 2020</t>
        </is>
      </c>
      <c r="I76" s="2" t="n">
        <v>46268</v>
      </c>
      <c r="J76" t="inlineStr">
        <is>
          <t>Disetujui</t>
        </is>
      </c>
      <c r="K76" t="n">
        <v>30</v>
      </c>
      <c r="L76" t="inlineStr">
        <is>
          <t>3 September 2026</t>
        </is>
      </c>
      <c r="M76" t="inlineStr">
        <is>
          <t>Konstruksi Bangunan Sipil Jalan</t>
        </is>
      </c>
      <c r="N76" t="inlineStr">
        <is>
          <t>K</t>
        </is>
      </c>
      <c r="O76" t="inlineStr">
        <is>
          <t>20230829</t>
        </is>
      </c>
      <c r="P76" t="inlineStr">
        <is>
          <t>Jawa Timur</t>
        </is>
      </c>
      <c r="Q76" t="inlineStr"/>
    </row>
    <row r="77">
      <c r="A77" t="inlineStr">
        <is>
          <t>MEDIA WORLD CITRA</t>
        </is>
      </c>
      <c r="B77" t="inlineStr">
        <is>
          <t>Kota Balikpapan</t>
        </is>
      </c>
      <c r="C77" t="inlineStr">
        <is>
          <t>082154961673</t>
        </is>
      </c>
      <c r="D77" t="inlineStr">
        <is>
          <t>mediaworldcitra@gmail.com</t>
        </is>
      </c>
      <c r="E77" t="inlineStr">
        <is>
          <t>https://lpjk.pu.go.id/search-badan-usaha-detail/L2lpMG5qNjhvZklGcitaeHJOZlZWZz09</t>
        </is>
      </c>
      <c r="F77" t="n">
        <v>4</v>
      </c>
      <c r="G77" t="inlineStr">
        <is>
          <t>BG002, BG005, BG006, BG008</t>
        </is>
      </c>
      <c r="H77" t="inlineStr">
        <is>
          <t>22 Juni 2020</t>
        </is>
      </c>
      <c r="I77" s="2" t="n">
        <v>46268</v>
      </c>
      <c r="J77" t="inlineStr">
        <is>
          <t>Disetujui</t>
        </is>
      </c>
      <c r="K77" t="n">
        <v>30</v>
      </c>
      <c r="L77" t="inlineStr">
        <is>
          <t>3 September 2026</t>
        </is>
      </c>
      <c r="M77" t="inlineStr">
        <is>
          <t>Konstruksi Gedung Kesehatan, Konstruksi Gedung Pendidikan, Konstruksi Gedung Perkantoran, Konstruksi Gedung Tempat Hiburan dan Olahraga</t>
        </is>
      </c>
      <c r="N77" t="inlineStr">
        <is>
          <t>K</t>
        </is>
      </c>
      <c r="O77" t="inlineStr">
        <is>
          <t>20230904</t>
        </is>
      </c>
      <c r="P77" t="inlineStr">
        <is>
          <t>Kalimantan Timur</t>
        </is>
      </c>
      <c r="Q77" t="inlineStr"/>
    </row>
    <row r="78">
      <c r="A78" t="inlineStr">
        <is>
          <t>MEGA CAKRA PERSADA</t>
        </is>
      </c>
      <c r="B78" t="inlineStr">
        <is>
          <t>Kota Bandar Lampung</t>
        </is>
      </c>
      <c r="C78" t="inlineStr">
        <is>
          <t>082181180114</t>
        </is>
      </c>
      <c r="D78" t="inlineStr">
        <is>
          <t>cvmegacakrapersada@gmail.com</t>
        </is>
      </c>
      <c r="E78" t="inlineStr">
        <is>
          <t>https://lpjk.pu.go.id/search-badan-usaha-detail/Y1JMakJSajlUb3FHOXF5S2ZCTzZ4UT09</t>
        </is>
      </c>
      <c r="F78" t="n">
        <v>1</v>
      </c>
      <c r="G78" t="inlineStr">
        <is>
          <t>RK001</t>
        </is>
      </c>
      <c r="H78" t="inlineStr">
        <is>
          <t>11 Mei 2022</t>
        </is>
      </c>
      <c r="I78" s="2" t="n">
        <v>46268</v>
      </c>
      <c r="J78" t="inlineStr">
        <is>
          <t>Pencabutan</t>
        </is>
      </c>
      <c r="K78" t="n">
        <v>30</v>
      </c>
      <c r="L78" t="inlineStr">
        <is>
          <t>3 September 2026</t>
        </is>
      </c>
      <c r="M78" t="inlineStr">
        <is>
          <t>Jasa Rekayasa Konstruksi Bangunan Gedung Hunian dan Non Hunian</t>
        </is>
      </c>
      <c r="N78" t="inlineStr">
        <is>
          <t>K</t>
        </is>
      </c>
      <c r="O78" t="inlineStr">
        <is>
          <t>20230823</t>
        </is>
      </c>
      <c r="P78" t="inlineStr">
        <is>
          <t>Lampung</t>
        </is>
      </c>
      <c r="Q78" t="inlineStr"/>
    </row>
    <row r="79">
      <c r="A79" t="inlineStr">
        <is>
          <t>MENARA AGUNG SINTESA</t>
        </is>
      </c>
      <c r="B79" t="inlineStr">
        <is>
          <t>Kota Pekanbaru</t>
        </is>
      </c>
      <c r="C79" t="inlineStr">
        <is>
          <t>082284488007</t>
        </is>
      </c>
      <c r="D79" t="inlineStr">
        <is>
          <t>sintesa.pekanbaru@gmail.com</t>
        </is>
      </c>
      <c r="E79" t="inlineStr">
        <is>
          <t>https://lpjk.pu.go.id/search-badan-usaha-detail/VVhPZWNUeDlOSk1FVjN4MTI0NmJlQT09</t>
        </is>
      </c>
      <c r="F79" t="n">
        <v>2</v>
      </c>
      <c r="G79" t="inlineStr">
        <is>
          <t>BG003, BS001</t>
        </is>
      </c>
      <c r="H79" t="inlineStr">
        <is>
          <t>30 April 2021</t>
        </is>
      </c>
      <c r="I79" s="2" t="n">
        <v>46268</v>
      </c>
      <c r="J79" t="inlineStr">
        <is>
          <t>Disetujui</t>
        </is>
      </c>
      <c r="K79" t="n">
        <v>30</v>
      </c>
      <c r="L79" t="inlineStr">
        <is>
          <t>3 September 2026</t>
        </is>
      </c>
      <c r="M79" t="inlineStr">
        <is>
          <t>Konstruksi Bangunan Sipil Jalan, Konstruksi Gedung Industri</t>
        </is>
      </c>
      <c r="N79" t="inlineStr">
        <is>
          <t>K</t>
        </is>
      </c>
      <c r="O79" t="inlineStr">
        <is>
          <t>20230831</t>
        </is>
      </c>
      <c r="P79" t="inlineStr">
        <is>
          <t>Riau</t>
        </is>
      </c>
      <c r="Q79" t="inlineStr"/>
    </row>
    <row r="80">
      <c r="A80" t="inlineStr">
        <is>
          <t>MENARA PERSADA</t>
        </is>
      </c>
      <c r="B80" t="inlineStr">
        <is>
          <t>Kab. Sidoarjo</t>
        </is>
      </c>
      <c r="C80" t="inlineStr">
        <is>
          <t>081377268768</t>
        </is>
      </c>
      <c r="D80" t="inlineStr">
        <is>
          <t>menarapersada@gmail.com</t>
        </is>
      </c>
      <c r="E80" t="inlineStr">
        <is>
          <t>https://lpjk.pu.go.id/search-badan-usaha-detail/eEVuZktpYkNnY3NKWVNxc2prSGgxUT09</t>
        </is>
      </c>
      <c r="F80" t="n">
        <v>1</v>
      </c>
      <c r="G80" t="inlineStr">
        <is>
          <t>BS004</t>
        </is>
      </c>
      <c r="H80" t="inlineStr">
        <is>
          <t>9 Agustus 2005</t>
        </is>
      </c>
      <c r="I80" s="2" t="n">
        <v>46268</v>
      </c>
      <c r="J80" t="inlineStr">
        <is>
          <t>Disetujui</t>
        </is>
      </c>
      <c r="K80" t="n">
        <v>30</v>
      </c>
      <c r="L80" t="inlineStr">
        <is>
          <t>3 September 2026</t>
        </is>
      </c>
      <c r="M80" t="inlineStr">
        <is>
          <t>Konstruksi Jaringan Irigasi dan Drainase</t>
        </is>
      </c>
      <c r="N80" t="inlineStr">
        <is>
          <t>K</t>
        </is>
      </c>
      <c r="O80" t="inlineStr">
        <is>
          <t>20230830</t>
        </is>
      </c>
      <c r="P80" t="inlineStr">
        <is>
          <t>Jawa Timur</t>
        </is>
      </c>
      <c r="Q80" t="inlineStr"/>
    </row>
    <row r="81">
      <c r="A81" t="inlineStr">
        <is>
          <t>MITRA UTAMA BERDIKARI</t>
        </is>
      </c>
      <c r="B81" t="inlineStr">
        <is>
          <t>Kota Palembang</t>
        </is>
      </c>
      <c r="C81" t="inlineStr">
        <is>
          <t>081379791557</t>
        </is>
      </c>
      <c r="D81" t="inlineStr">
        <is>
          <t>MU.BERDIKARI@GMAIL.COM</t>
        </is>
      </c>
      <c r="E81" t="inlineStr">
        <is>
          <t>https://lpjk.pu.go.id/search-badan-usaha-detail/NGtGS2I4MUNVMGQ4eDVmU2JhODdOUT09</t>
        </is>
      </c>
      <c r="F81" t="n">
        <v>4</v>
      </c>
      <c r="G81" t="inlineStr">
        <is>
          <t>BG009, BS002, BS004, BS010</t>
        </is>
      </c>
      <c r="H81" t="inlineStr">
        <is>
          <t>26 Desember 2008</t>
        </is>
      </c>
      <c r="I81" s="2" t="n">
        <v>46268</v>
      </c>
      <c r="J81" t="inlineStr">
        <is>
          <t>Disetujui</t>
        </is>
      </c>
      <c r="K81" t="n">
        <v>30</v>
      </c>
      <c r="L81" t="inlineStr">
        <is>
          <t>3 September 2026</t>
        </is>
      </c>
      <c r="M81" t="inlineStr">
        <is>
          <t>Bangunan Sipil Jembatan, Jalan Layang, Fly Over, dan Underpass, Konstruksi Bangunan Prasarana Sumber Daya Air, Konstruksi Gedung Lainnya, Konstruksi Jaringan Irigasi dan Drainase</t>
        </is>
      </c>
      <c r="N81" t="inlineStr">
        <is>
          <t>K</t>
        </is>
      </c>
      <c r="O81" t="inlineStr">
        <is>
          <t>20230903</t>
        </is>
      </c>
      <c r="P81" t="inlineStr">
        <is>
          <t>Sumatera Selatan</t>
        </is>
      </c>
      <c r="Q81" t="inlineStr"/>
    </row>
    <row r="82">
      <c r="A82" t="inlineStr">
        <is>
          <t>MULTI KENCANA NIAGATAMA</t>
        </is>
      </c>
      <c r="B82" t="inlineStr">
        <is>
          <t>Kab. Serang</t>
        </is>
      </c>
      <c r="C82" t="inlineStr">
        <is>
          <t>087887667279</t>
        </is>
      </c>
      <c r="D82" t="inlineStr">
        <is>
          <t>import@multi-kabel.com</t>
        </is>
      </c>
      <c r="E82" t="inlineStr">
        <is>
          <t>https://lpjk.pu.go.id/search-badan-usaha-detail/T1dXZ2U5eFM3ZWkvUk9BcitwRUJ2dz09</t>
        </is>
      </c>
      <c r="F82" t="n">
        <v>1</v>
      </c>
      <c r="G82" t="inlineStr">
        <is>
          <t>BS007</t>
        </is>
      </c>
      <c r="H82" t="inlineStr">
        <is>
          <t>23 November 2021</t>
        </is>
      </c>
      <c r="I82" s="2" t="n">
        <v>46268</v>
      </c>
      <c r="J82" t="inlineStr">
        <is>
          <t>Disetujui</t>
        </is>
      </c>
      <c r="K82" t="n">
        <v>30</v>
      </c>
      <c r="L82" t="inlineStr">
        <is>
          <t>3 September 2026</t>
        </is>
      </c>
      <c r="M82" t="inlineStr">
        <is>
          <t>Konstruksi Bangunan Sipil Elektrikal</t>
        </is>
      </c>
      <c r="N82" t="inlineStr">
        <is>
          <t>K</t>
        </is>
      </c>
      <c r="O82" t="inlineStr">
        <is>
          <t>20230901</t>
        </is>
      </c>
      <c r="P82" t="inlineStr">
        <is>
          <t>Banten</t>
        </is>
      </c>
      <c r="Q82" t="inlineStr"/>
    </row>
    <row r="83">
      <c r="A83" t="inlineStr">
        <is>
          <t>MULTI PAINTING INDONESIA</t>
        </is>
      </c>
      <c r="B83" t="inlineStr">
        <is>
          <t>Kota Medan</t>
        </is>
      </c>
      <c r="C83" t="inlineStr">
        <is>
          <t>082277228833</t>
        </is>
      </c>
      <c r="D83" t="inlineStr">
        <is>
          <t>skrdsarmi@gmail.com</t>
        </is>
      </c>
      <c r="E83" t="inlineStr">
        <is>
          <t>https://lpjk.pu.go.id/search-badan-usaha-detail/am5QVmxOdjZMcXp2REpzbVp5WHhIQT09</t>
        </is>
      </c>
      <c r="F83" t="n">
        <v>1</v>
      </c>
      <c r="G83" t="inlineStr">
        <is>
          <t>BG009</t>
        </is>
      </c>
      <c r="H83" t="inlineStr">
        <is>
          <t>8 November 2002</t>
        </is>
      </c>
      <c r="I83" s="2" t="n">
        <v>46268</v>
      </c>
      <c r="J83" t="inlineStr">
        <is>
          <t>Disetujui</t>
        </is>
      </c>
      <c r="K83" t="n">
        <v>30</v>
      </c>
      <c r="L83" t="inlineStr">
        <is>
          <t>3 September 2026</t>
        </is>
      </c>
      <c r="M83" t="inlineStr">
        <is>
          <t>Konstruksi Gedung Lainnya</t>
        </is>
      </c>
      <c r="N83" t="inlineStr">
        <is>
          <t>K</t>
        </is>
      </c>
      <c r="O83" t="inlineStr">
        <is>
          <t>20230814</t>
        </is>
      </c>
      <c r="P83" t="inlineStr">
        <is>
          <t>Sumatera Utara</t>
        </is>
      </c>
      <c r="Q83" t="inlineStr"/>
    </row>
    <row r="84">
      <c r="A84" t="inlineStr">
        <is>
          <t>MUSTIKA BUKIT JAJAR</t>
        </is>
      </c>
      <c r="B84" t="inlineStr">
        <is>
          <t>Kab. Trenggalek</t>
        </is>
      </c>
      <c r="C84" t="inlineStr">
        <is>
          <t>082310127870</t>
        </is>
      </c>
      <c r="D84" t="inlineStr">
        <is>
          <t>mustikajajar23@gmail.com</t>
        </is>
      </c>
      <c r="E84" t="inlineStr">
        <is>
          <t>https://lpjk.pu.go.id/search-badan-usaha-detail/S2xYNjllQ29mR3IzblVLN3h3V0Vnd001UUVDbFd2d3JjZkV5YmVFRU9Hdz0</t>
        </is>
      </c>
      <c r="F84" t="n">
        <v>1</v>
      </c>
      <c r="G84" t="inlineStr">
        <is>
          <t>BS002</t>
        </is>
      </c>
      <c r="H84" t="inlineStr">
        <is>
          <t>30 Oktober 2025</t>
        </is>
      </c>
      <c r="I84" s="2" t="n">
        <v>46268</v>
      </c>
      <c r="J84" t="inlineStr">
        <is>
          <t>Disetujui</t>
        </is>
      </c>
      <c r="K84" t="n">
        <v>30</v>
      </c>
      <c r="L84" t="inlineStr">
        <is>
          <t>3 September 2026</t>
        </is>
      </c>
      <c r="M84" t="inlineStr">
        <is>
          <t>Bangunan Sipil Jembatan, Jalan Layang, Fly Over, dan Underpass</t>
        </is>
      </c>
      <c r="N84" t="inlineStr">
        <is>
          <t>K</t>
        </is>
      </c>
      <c r="O84" t="inlineStr">
        <is>
          <t>20230214</t>
        </is>
      </c>
      <c r="P84" t="inlineStr">
        <is>
          <t>Jawa Timur</t>
        </is>
      </c>
      <c r="Q84" t="inlineStr"/>
    </row>
    <row r="85">
      <c r="A85" t="inlineStr">
        <is>
          <t>NAWASENA ADI PERSADA</t>
        </is>
      </c>
      <c r="B85" t="inlineStr">
        <is>
          <t>Kota Jambi</t>
        </is>
      </c>
      <c r="C85" t="inlineStr">
        <is>
          <t>081332697881</t>
        </is>
      </c>
      <c r="D85" t="inlineStr">
        <is>
          <t>cvnawasenaadipersada@gmail.com</t>
        </is>
      </c>
      <c r="E85" t="inlineStr">
        <is>
          <t>https://lpjk.pu.go.id/search-badan-usaha-detail/NExDWkFZWm9tMkthQnlTZW5oVEVqdz09</t>
        </is>
      </c>
      <c r="F85" t="n">
        <v>2</v>
      </c>
      <c r="G85" t="inlineStr">
        <is>
          <t>BG004</t>
        </is>
      </c>
      <c r="H85" t="inlineStr">
        <is>
          <t>21 November 2022</t>
        </is>
      </c>
      <c r="I85" s="2" t="n">
        <v>46268</v>
      </c>
      <c r="J85" t="inlineStr">
        <is>
          <t>Pencabutan</t>
        </is>
      </c>
      <c r="K85" t="n">
        <v>30</v>
      </c>
      <c r="L85" t="inlineStr">
        <is>
          <t>3 September 2026</t>
        </is>
      </c>
      <c r="M85" t="inlineStr">
        <is>
          <t>Konstruksi Gedung Perbelanjaan</t>
        </is>
      </c>
      <c r="N85" t="inlineStr">
        <is>
          <t>K</t>
        </is>
      </c>
      <c r="O85" t="inlineStr">
        <is>
          <t>20230901</t>
        </is>
      </c>
      <c r="P85" t="inlineStr">
        <is>
          <t>Jambi</t>
        </is>
      </c>
      <c r="Q85" t="inlineStr"/>
    </row>
    <row r="86">
      <c r="A86" t="inlineStr">
        <is>
          <t>NAYAKA BANGUN SINERGI</t>
        </is>
      </c>
      <c r="B86" t="inlineStr">
        <is>
          <t>Kab. Klaten</t>
        </is>
      </c>
      <c r="C86" t="inlineStr">
        <is>
          <t>081281926791</t>
        </is>
      </c>
      <c r="D86" t="inlineStr">
        <is>
          <t>nayakabangunsinergi@gmail.com</t>
        </is>
      </c>
      <c r="E86" t="inlineStr">
        <is>
          <t>https://lpjk.pu.go.id/search-badan-usaha-detail/L0J0eDJJWEZHbHl6T2UraXhaKzEyQT09</t>
        </is>
      </c>
      <c r="F86" t="n">
        <v>3</v>
      </c>
      <c r="G86" t="inlineStr">
        <is>
          <t>BG004, BG006, BG008</t>
        </is>
      </c>
      <c r="H86" t="inlineStr">
        <is>
          <t>30 Mei 2022</t>
        </is>
      </c>
      <c r="I86" s="2" t="n">
        <v>46268</v>
      </c>
      <c r="J86" t="inlineStr">
        <is>
          <t>Disetujui</t>
        </is>
      </c>
      <c r="K86" t="n">
        <v>30</v>
      </c>
      <c r="L86" t="inlineStr">
        <is>
          <t>3 September 2026</t>
        </is>
      </c>
      <c r="M86" t="inlineStr">
        <is>
          <t>Konstruksi Gedung Pendidikan, Konstruksi Gedung Perbelanjaan, Konstruksi Gedung Tempat Hiburan dan Olahraga</t>
        </is>
      </c>
      <c r="N86" t="inlineStr">
        <is>
          <t>K</t>
        </is>
      </c>
      <c r="O86" t="inlineStr">
        <is>
          <t>20230831</t>
        </is>
      </c>
      <c r="P86" t="inlineStr">
        <is>
          <t>Jawa Tengah</t>
        </is>
      </c>
      <c r="Q86" t="inlineStr"/>
    </row>
    <row r="87">
      <c r="A87" t="inlineStr">
        <is>
          <t>OMEGA</t>
        </is>
      </c>
      <c r="B87" t="inlineStr">
        <is>
          <t>Kab. Jayawijaya</t>
        </is>
      </c>
      <c r="C87" t="inlineStr">
        <is>
          <t>08124029977</t>
        </is>
      </c>
      <c r="D87" t="inlineStr">
        <is>
          <t>cv.omega85@gmail.com</t>
        </is>
      </c>
      <c r="E87" t="inlineStr">
        <is>
          <t>https://lpjk.pu.go.id/search-badan-usaha-detail/ZUM5a0lvd2YxbWd0ZFIxRzRFNHVUZz09</t>
        </is>
      </c>
      <c r="F87" t="n">
        <v>2</v>
      </c>
      <c r="G87" t="inlineStr">
        <is>
          <t>BS005</t>
        </is>
      </c>
      <c r="H87" t="inlineStr">
        <is>
          <t>12 Februari 2001</t>
        </is>
      </c>
      <c r="I87" s="2" t="n">
        <v>46268</v>
      </c>
      <c r="J87" t="inlineStr">
        <is>
          <t>Disetujui</t>
        </is>
      </c>
      <c r="K87" t="n">
        <v>30</v>
      </c>
      <c r="L87" t="inlineStr">
        <is>
          <t>3 September 2026</t>
        </is>
      </c>
      <c r="M87" t="inlineStr">
        <is>
          <t>Konstruksi Bangunan Sipil Pengolahan Air Bersih</t>
        </is>
      </c>
      <c r="N87" t="inlineStr">
        <is>
          <t>K</t>
        </is>
      </c>
      <c r="O87" t="inlineStr">
        <is>
          <t>20230904</t>
        </is>
      </c>
      <c r="P87" t="inlineStr">
        <is>
          <t>Papua</t>
        </is>
      </c>
      <c r="Q87" t="inlineStr"/>
    </row>
    <row r="88">
      <c r="A88" t="inlineStr">
        <is>
          <t>PADAT KARYA PERKASA</t>
        </is>
      </c>
      <c r="B88" t="inlineStr">
        <is>
          <t>Kab. Bolaang Mongondow Utara</t>
        </is>
      </c>
      <c r="C88" t="inlineStr">
        <is>
          <t>085332089862</t>
        </is>
      </c>
      <c r="D88" t="inlineStr">
        <is>
          <t>padatkaryaperkasa82@gmail.com</t>
        </is>
      </c>
      <c r="E88" t="inlineStr">
        <is>
          <t>https://lpjk.pu.go.id/search-badan-usaha-detail/OEJJZTFobW9EWVljWHVsU0Nndy83dz09</t>
        </is>
      </c>
      <c r="F88" t="n">
        <v>1</v>
      </c>
      <c r="G88" t="inlineStr">
        <is>
          <t>BG006</t>
        </is>
      </c>
      <c r="H88" t="inlineStr">
        <is>
          <t>25 Mei 2022</t>
        </is>
      </c>
      <c r="I88" s="2" t="n">
        <v>46268</v>
      </c>
      <c r="J88" t="inlineStr">
        <is>
          <t>Disetujui</t>
        </is>
      </c>
      <c r="K88" t="n">
        <v>30</v>
      </c>
      <c r="L88" t="inlineStr">
        <is>
          <t>3 September 2026</t>
        </is>
      </c>
      <c r="M88" t="inlineStr">
        <is>
          <t>Konstruksi Gedung Pendidikan</t>
        </is>
      </c>
      <c r="N88" t="inlineStr">
        <is>
          <t>K</t>
        </is>
      </c>
      <c r="O88" t="inlineStr">
        <is>
          <t>20230831</t>
        </is>
      </c>
      <c r="P88" t="inlineStr">
        <is>
          <t>Sulawesi Utara</t>
        </is>
      </c>
      <c r="Q88" t="inlineStr"/>
    </row>
    <row r="89">
      <c r="A89" t="inlineStr">
        <is>
          <t>PADATI BOLON</t>
        </is>
      </c>
      <c r="B89" t="inlineStr">
        <is>
          <t>Kab. Dairi</t>
        </is>
      </c>
      <c r="C89" t="inlineStr">
        <is>
          <t>081263945665</t>
        </is>
      </c>
      <c r="D89" t="inlineStr">
        <is>
          <t>andreassimbolon820@yahoo.com</t>
        </is>
      </c>
      <c r="E89" t="inlineStr">
        <is>
          <t>https://lpjk.pu.go.id/search-badan-usaha-detail/NHFLbUZuNVNqa3RkU0lJY0hTOU5WQT09</t>
        </is>
      </c>
      <c r="F89" t="n">
        <v>1</v>
      </c>
      <c r="G89" t="inlineStr">
        <is>
          <t>BG006</t>
        </is>
      </c>
      <c r="H89" t="inlineStr">
        <is>
          <t>19 April 2022</t>
        </is>
      </c>
      <c r="I89" s="2" t="n">
        <v>46268</v>
      </c>
      <c r="J89" t="inlineStr">
        <is>
          <t>Disetujui</t>
        </is>
      </c>
      <c r="K89" t="n">
        <v>30</v>
      </c>
      <c r="L89" t="inlineStr">
        <is>
          <t>3 September 2026</t>
        </is>
      </c>
      <c r="M89" t="inlineStr">
        <is>
          <t>Konstruksi Gedung Pendidikan</t>
        </is>
      </c>
      <c r="N89" t="inlineStr">
        <is>
          <t>K</t>
        </is>
      </c>
      <c r="O89" t="inlineStr">
        <is>
          <t>20230901</t>
        </is>
      </c>
      <c r="P89" t="inlineStr">
        <is>
          <t>Sumatera Utara</t>
        </is>
      </c>
      <c r="Q89" t="inlineStr"/>
    </row>
    <row r="90">
      <c r="A90" t="inlineStr">
        <is>
          <t>PANCA SURYA</t>
        </is>
      </c>
      <c r="B90" t="inlineStr">
        <is>
          <t>Kota Yogyakarta</t>
        </is>
      </c>
      <c r="C90" t="inlineStr">
        <is>
          <t>081352728055</t>
        </is>
      </c>
      <c r="D90" t="inlineStr">
        <is>
          <t>pancasurya.cv@gmail.com</t>
        </is>
      </c>
      <c r="E90" t="inlineStr">
        <is>
          <t>https://lpjk.pu.go.id/search-badan-usaha-detail/RW5QbHgzSnlaSlZIN3hHeWtaUGFydz09</t>
        </is>
      </c>
      <c r="F90" t="n">
        <v>1</v>
      </c>
      <c r="G90" t="inlineStr">
        <is>
          <t>BG009</t>
        </is>
      </c>
      <c r="H90" t="inlineStr">
        <is>
          <t>21 Agustus 2000</t>
        </is>
      </c>
      <c r="I90" s="2" t="n">
        <v>46268</v>
      </c>
      <c r="J90" t="inlineStr">
        <is>
          <t>Disetujui</t>
        </is>
      </c>
      <c r="K90" t="n">
        <v>30</v>
      </c>
      <c r="L90" t="inlineStr">
        <is>
          <t>3 September 2026</t>
        </is>
      </c>
      <c r="M90" t="inlineStr">
        <is>
          <t>Konstruksi Gedung Lainnya</t>
        </is>
      </c>
      <c r="N90" t="inlineStr">
        <is>
          <t>K</t>
        </is>
      </c>
      <c r="O90" t="inlineStr">
        <is>
          <t>20230824</t>
        </is>
      </c>
      <c r="P90" t="inlineStr">
        <is>
          <t>DI Yogyakarta</t>
        </is>
      </c>
      <c r="Q90" t="inlineStr"/>
    </row>
    <row r="91">
      <c r="A91" t="inlineStr">
        <is>
          <t>PANEN AGRO PRATAMA</t>
        </is>
      </c>
      <c r="B91" t="inlineStr">
        <is>
          <t>Kab. Solok Selatan</t>
        </is>
      </c>
      <c r="C91" t="inlineStr">
        <is>
          <t>08128664143</t>
        </is>
      </c>
      <c r="D91" t="inlineStr">
        <is>
          <t>panenagropratama@gmail.com</t>
        </is>
      </c>
      <c r="E91" t="inlineStr">
        <is>
          <t>https://lpjk.pu.go.id/search-badan-usaha-detail/YWtFMWRDUEZ0MjF6UGZFT1RWVnpQdz09</t>
        </is>
      </c>
      <c r="F91" t="n">
        <v>1</v>
      </c>
      <c r="G91" t="inlineStr">
        <is>
          <t>BS001</t>
        </is>
      </c>
      <c r="H91" t="inlineStr">
        <is>
          <t>14 Maret 2018</t>
        </is>
      </c>
      <c r="I91" s="2" t="n">
        <v>46268</v>
      </c>
      <c r="J91" t="inlineStr">
        <is>
          <t>Disetujui</t>
        </is>
      </c>
      <c r="K91" t="n">
        <v>30</v>
      </c>
      <c r="L91" t="inlineStr">
        <is>
          <t>3 September 2026</t>
        </is>
      </c>
      <c r="M91" t="inlineStr">
        <is>
          <t>Konstruksi Bangunan Sipil Jalan</t>
        </is>
      </c>
      <c r="N91" t="inlineStr">
        <is>
          <t>K</t>
        </is>
      </c>
      <c r="O91" t="inlineStr">
        <is>
          <t>20230904</t>
        </is>
      </c>
      <c r="P91" t="inlineStr">
        <is>
          <t>Sumatera Barat</t>
        </is>
      </c>
      <c r="Q91" t="inlineStr"/>
    </row>
    <row r="92">
      <c r="A92" t="inlineStr">
        <is>
          <t>PARAMA DHARMA</t>
        </is>
      </c>
      <c r="B92" t="inlineStr">
        <is>
          <t>Kota Adm. Jakarta Selatan</t>
        </is>
      </c>
      <c r="C92" t="inlineStr">
        <is>
          <t>0217253008</t>
        </is>
      </c>
      <c r="D92" t="inlineStr">
        <is>
          <t>construction@paramadharma.co.id</t>
        </is>
      </c>
      <c r="E92" t="inlineStr">
        <is>
          <t>https://lpjk.pu.go.id/search-badan-usaha-detail/MEFuU0I3U0kxQi83UFJqQXFac0xFQT09</t>
        </is>
      </c>
      <c r="F92" t="n">
        <v>1</v>
      </c>
      <c r="G92" t="inlineStr">
        <is>
          <t>BG006</t>
        </is>
      </c>
      <c r="H92" t="inlineStr">
        <is>
          <t>8 November 1982</t>
        </is>
      </c>
      <c r="I92" s="2" t="n">
        <v>46268</v>
      </c>
      <c r="J92" t="inlineStr">
        <is>
          <t>Disetujui</t>
        </is>
      </c>
      <c r="K92" t="n">
        <v>30</v>
      </c>
      <c r="L92" t="inlineStr">
        <is>
          <t>3 September 2026</t>
        </is>
      </c>
      <c r="M92" t="inlineStr">
        <is>
          <t>Konstruksi Gedung Pendidikan</t>
        </is>
      </c>
      <c r="N92" t="inlineStr">
        <is>
          <t>M</t>
        </is>
      </c>
      <c r="O92" t="inlineStr">
        <is>
          <t>20230829</t>
        </is>
      </c>
      <c r="P92" t="inlineStr">
        <is>
          <t>DKI Jakarta</t>
        </is>
      </c>
      <c r="Q92" t="inlineStr"/>
    </row>
    <row r="93">
      <c r="A93" t="inlineStr">
        <is>
          <t>PEMBANGUNAN BUMI CENDRAWASIH</t>
        </is>
      </c>
      <c r="B93" t="inlineStr">
        <is>
          <t>Kota Jayapura</t>
        </is>
      </c>
      <c r="C93" t="inlineStr">
        <is>
          <t>08124801690</t>
        </is>
      </c>
      <c r="D93" t="inlineStr">
        <is>
          <t>ptpembangunanbumicendrawasih@gmail.com</t>
        </is>
      </c>
      <c r="E93" t="inlineStr">
        <is>
          <t>https://lpjk.pu.go.id/search-badan-usaha-detail/dnR3STdqVTNNNnJFTW1Hd1ltMzhOUT09</t>
        </is>
      </c>
      <c r="F93" t="n">
        <v>1</v>
      </c>
      <c r="G93" t="inlineStr">
        <is>
          <t>BG001</t>
        </is>
      </c>
      <c r="H93" t="inlineStr">
        <is>
          <t>15 Mei 1996</t>
        </is>
      </c>
      <c r="I93" s="2" t="n">
        <v>46268</v>
      </c>
      <c r="J93" t="inlineStr">
        <is>
          <t>Pencabutan</t>
        </is>
      </c>
      <c r="K93" t="n">
        <v>30</v>
      </c>
      <c r="L93" t="inlineStr">
        <is>
          <t>3 September 2026</t>
        </is>
      </c>
      <c r="M93" t="inlineStr">
        <is>
          <t>Konstruksi Gedung Hunian</t>
        </is>
      </c>
      <c r="N93" t="inlineStr">
        <is>
          <t>M</t>
        </is>
      </c>
      <c r="O93" t="inlineStr">
        <is>
          <t>20230821</t>
        </is>
      </c>
      <c r="P93" t="inlineStr">
        <is>
          <t>Papua</t>
        </is>
      </c>
      <c r="Q93" t="inlineStr"/>
    </row>
    <row r="94">
      <c r="A94" t="inlineStr">
        <is>
          <t>PERKASA SUKSES JAYA TEKNINDO</t>
        </is>
      </c>
      <c r="B94" t="inlineStr">
        <is>
          <t>Kota Tangerang Selatan</t>
        </is>
      </c>
      <c r="C94" t="inlineStr">
        <is>
          <t>02129313480</t>
        </is>
      </c>
      <c r="D94" t="inlineStr">
        <is>
          <t>pt.perkasasuksesjayateknindo@gmail.com</t>
        </is>
      </c>
      <c r="E94" t="inlineStr">
        <is>
          <t>https://lpjk.pu.go.id/search-badan-usaha-detail/MkVpWGZCMzZuQ1Y0R2h6V3FRblZEZz09</t>
        </is>
      </c>
      <c r="F94" t="n">
        <v>1</v>
      </c>
      <c r="G94" t="inlineStr">
        <is>
          <t>IN001</t>
        </is>
      </c>
      <c r="H94" t="inlineStr">
        <is>
          <t>24 September 2018</t>
        </is>
      </c>
      <c r="I94" s="2" t="n">
        <v>46268</v>
      </c>
      <c r="J94" t="inlineStr">
        <is>
          <t>Pembekuan</t>
        </is>
      </c>
      <c r="K94" t="n">
        <v>30</v>
      </c>
      <c r="L94" t="inlineStr">
        <is>
          <t>3 September 2026</t>
        </is>
      </c>
      <c r="M94" t="inlineStr">
        <is>
          <t>Instalasi Mekanikal</t>
        </is>
      </c>
      <c r="N94" t="inlineStr">
        <is>
          <t>Spesialis</t>
        </is>
      </c>
      <c r="O94" t="inlineStr">
        <is>
          <t>20230809</t>
        </is>
      </c>
      <c r="P94" t="inlineStr">
        <is>
          <t>Banten</t>
        </is>
      </c>
      <c r="Q94" t="inlineStr"/>
    </row>
    <row r="95">
      <c r="A95" t="inlineStr">
        <is>
          <t>PERMATA JAYA KARYA</t>
        </is>
      </c>
      <c r="B95" t="inlineStr">
        <is>
          <t>Kab. Malinau</t>
        </is>
      </c>
      <c r="C95" t="inlineStr">
        <is>
          <t>085250211107</t>
        </is>
      </c>
      <c r="D95" t="inlineStr">
        <is>
          <t>permatajayakarya@gmail.com</t>
        </is>
      </c>
      <c r="E95" t="inlineStr">
        <is>
          <t>https://lpjk.pu.go.id/search-badan-usaha-detail/azAzMjdOTTB1dW13YnlJeFpiMW8wUT09</t>
        </is>
      </c>
      <c r="F95" t="n">
        <v>1</v>
      </c>
      <c r="G95" t="inlineStr">
        <is>
          <t>BS001</t>
        </is>
      </c>
      <c r="H95" t="inlineStr">
        <is>
          <t>31 Januari 2023</t>
        </is>
      </c>
      <c r="I95" s="2" t="n">
        <v>46268</v>
      </c>
      <c r="J95" t="inlineStr">
        <is>
          <t>Disetujui</t>
        </is>
      </c>
      <c r="K95" t="n">
        <v>30</v>
      </c>
      <c r="L95" t="inlineStr">
        <is>
          <t>3 September 2026</t>
        </is>
      </c>
      <c r="M95" t="inlineStr">
        <is>
          <t>Konstruksi Bangunan Sipil Jalan</t>
        </is>
      </c>
      <c r="N95" t="inlineStr">
        <is>
          <t>K</t>
        </is>
      </c>
      <c r="O95" t="inlineStr">
        <is>
          <t>20230902</t>
        </is>
      </c>
      <c r="P95" t="inlineStr">
        <is>
          <t>Kalimantan Utara</t>
        </is>
      </c>
      <c r="Q95" t="inlineStr"/>
    </row>
    <row r="96">
      <c r="A96" t="inlineStr">
        <is>
          <t>PILAR MANDIRI</t>
        </is>
      </c>
      <c r="B96" t="inlineStr">
        <is>
          <t>Kab. Jember</t>
        </is>
      </c>
      <c r="C96" t="inlineStr">
        <is>
          <t>081231708313</t>
        </is>
      </c>
      <c r="D96" t="inlineStr">
        <is>
          <t>dodik3f@gmail.com</t>
        </is>
      </c>
      <c r="E96" t="inlineStr">
        <is>
          <t>https://lpjk.pu.go.id/search-badan-usaha-detail/TEpCUWhMa0MzbThRaFd6NWZQMHI5QT09</t>
        </is>
      </c>
      <c r="F96" t="n">
        <v>1</v>
      </c>
      <c r="G96" t="inlineStr">
        <is>
          <t>BG002</t>
        </is>
      </c>
      <c r="H96" t="inlineStr">
        <is>
          <t>4 April 2016</t>
        </is>
      </c>
      <c r="I96" s="2" t="n">
        <v>46268</v>
      </c>
      <c r="J96" t="inlineStr">
        <is>
          <t>Disetujui</t>
        </is>
      </c>
      <c r="K96" t="n">
        <v>30</v>
      </c>
      <c r="L96" t="inlineStr">
        <is>
          <t>3 September 2026</t>
        </is>
      </c>
      <c r="M96" t="inlineStr">
        <is>
          <t>Konstruksi Gedung Perkantoran</t>
        </is>
      </c>
      <c r="N96" t="inlineStr">
        <is>
          <t>K</t>
        </is>
      </c>
      <c r="O96" t="inlineStr">
        <is>
          <t>20230810</t>
        </is>
      </c>
      <c r="P96" t="inlineStr">
        <is>
          <t>Jawa Timur</t>
        </is>
      </c>
      <c r="Q96" t="inlineStr"/>
    </row>
    <row r="97">
      <c r="A97" t="inlineStr">
        <is>
          <t>POS PROPERTI INDONESIA</t>
        </is>
      </c>
      <c r="B97" t="inlineStr">
        <is>
          <t>Kota Bandung</t>
        </is>
      </c>
      <c r="C97" t="inlineStr">
        <is>
          <t>081229875285</t>
        </is>
      </c>
      <c r="D97" t="inlineStr">
        <is>
          <t>dianfermana@posproperti.co.id</t>
        </is>
      </c>
      <c r="E97" t="inlineStr">
        <is>
          <t>https://lpjk.pu.go.id/search-badan-usaha-detail/MWJySDNWUTBDc2w0ajk0S3l5TGZyZz09</t>
        </is>
      </c>
      <c r="F97" t="n">
        <v>1</v>
      </c>
      <c r="G97" t="inlineStr">
        <is>
          <t>BS001</t>
        </is>
      </c>
      <c r="H97" t="inlineStr">
        <is>
          <t>31 Desember 2013</t>
        </is>
      </c>
      <c r="I97" s="2" t="n">
        <v>46268</v>
      </c>
      <c r="J97" t="inlineStr">
        <is>
          <t>Disetujui</t>
        </is>
      </c>
      <c r="K97" t="n">
        <v>30</v>
      </c>
      <c r="L97" t="inlineStr">
        <is>
          <t>3 September 2026</t>
        </is>
      </c>
      <c r="M97" t="inlineStr">
        <is>
          <t>Konstruksi Bangunan Sipil Jalan</t>
        </is>
      </c>
      <c r="N97" t="inlineStr">
        <is>
          <t>K</t>
        </is>
      </c>
      <c r="O97" t="inlineStr">
        <is>
          <t>20230829</t>
        </is>
      </c>
      <c r="P97" t="inlineStr">
        <is>
          <t>Jawa Barat</t>
        </is>
      </c>
      <c r="Q97" t="inlineStr"/>
    </row>
    <row r="98">
      <c r="A98" t="inlineStr">
        <is>
          <t>PRATIWI CITRA MEDIKA</t>
        </is>
      </c>
      <c r="B98" t="inlineStr">
        <is>
          <t>Kota Samarinda</t>
        </is>
      </c>
      <c r="C98" t="inlineStr">
        <is>
          <t>081253790030</t>
        </is>
      </c>
      <c r="D98" t="inlineStr">
        <is>
          <t>cvpratiwicitramedika@gmail.com</t>
        </is>
      </c>
      <c r="E98" t="inlineStr">
        <is>
          <t>https://lpjk.pu.go.id/search-badan-usaha-detail/dGhaOGNOSEIybVB0Z3N3WFpWM1p3ZmZYTGt2NzArVkFONWVpTlhIS3Uxaz0</t>
        </is>
      </c>
      <c r="F98" t="n">
        <v>1</v>
      </c>
      <c r="G98" t="inlineStr">
        <is>
          <t>BS001</t>
        </is>
      </c>
      <c r="H98" t="inlineStr">
        <is>
          <t>27 Juni 2023</t>
        </is>
      </c>
      <c r="I98" s="2" t="n">
        <v>46268</v>
      </c>
      <c r="J98" t="inlineStr">
        <is>
          <t>Disetujui</t>
        </is>
      </c>
      <c r="K98" t="n">
        <v>30</v>
      </c>
      <c r="L98" t="inlineStr">
        <is>
          <t>3 September 2026</t>
        </is>
      </c>
      <c r="M98" t="inlineStr">
        <is>
          <t>Konstruksi Bangunan Sipil Jalan</t>
        </is>
      </c>
      <c r="N98" t="inlineStr">
        <is>
          <t>K</t>
        </is>
      </c>
      <c r="O98" t="inlineStr">
        <is>
          <t>20230904</t>
        </is>
      </c>
      <c r="P98" t="inlineStr">
        <is>
          <t>Kalimantan Timur</t>
        </is>
      </c>
      <c r="Q98" t="inlineStr"/>
    </row>
    <row r="99">
      <c r="A99" t="inlineStr">
        <is>
          <t>PRIMA DINAMIKA ENGINEERING CONSULTANT</t>
        </is>
      </c>
      <c r="B99" t="inlineStr">
        <is>
          <t>Kota Mataram</t>
        </is>
      </c>
      <c r="C99" t="inlineStr">
        <is>
          <t>081907078658</t>
        </is>
      </c>
      <c r="D99" t="inlineStr">
        <is>
          <t>prima_dinamika17@yahoo.co.id</t>
        </is>
      </c>
      <c r="E99" t="inlineStr">
        <is>
          <t>https://lpjk.pu.go.id/search-badan-usaha-detail/ZnRlc1RIeFlvaU02bjFMNWN0QWl1Zz09</t>
        </is>
      </c>
      <c r="F99" t="n">
        <v>5</v>
      </c>
      <c r="G99" t="inlineStr">
        <is>
          <t>AR001, AR002, RK001, RK003, RK004</t>
        </is>
      </c>
      <c r="H99" t="inlineStr">
        <is>
          <t>17 Januari 2012</t>
        </is>
      </c>
      <c r="I99" s="2" t="n">
        <v>46268</v>
      </c>
      <c r="J99" t="inlineStr">
        <is>
          <t>Disetujui</t>
        </is>
      </c>
      <c r="K99" t="n">
        <v>30</v>
      </c>
      <c r="L99" t="inlineStr">
        <is>
          <t>3 September 2026</t>
        </is>
      </c>
      <c r="M99" t="inlineStr">
        <is>
          <t>Jasa Arsitektural Bangunan Gedung Hunian dan Non Hunian, Jasa Arsitektural Lainnya, Jasa Rekayasa Konstruksi Bangunan Gedung Hunian dan Non Hunian, Jasa Rekayasa Pekerjaan Mekanikal Dalam Bangunan, Jasa Rekayasa Pekerjaan Teknik Sipil Transportasi</t>
        </is>
      </c>
      <c r="N99" t="inlineStr">
        <is>
          <t>K</t>
        </is>
      </c>
      <c r="O99" t="inlineStr">
        <is>
          <t>20230810, 20230814</t>
        </is>
      </c>
      <c r="P99" t="inlineStr">
        <is>
          <t>Nusa Tenggara Barat</t>
        </is>
      </c>
      <c r="Q99" t="inlineStr"/>
    </row>
    <row r="100">
      <c r="A100" t="inlineStr">
        <is>
          <t>PUJI AGUNG</t>
        </is>
      </c>
      <c r="B100" t="inlineStr">
        <is>
          <t>Kab. Bojonegoro</t>
        </is>
      </c>
      <c r="C100" t="inlineStr">
        <is>
          <t>085232132882</t>
        </is>
      </c>
      <c r="D100" t="inlineStr">
        <is>
          <t>cvpujiagung11@gmail.com</t>
        </is>
      </c>
      <c r="E100" t="inlineStr">
        <is>
          <t>https://lpjk.pu.go.id/search-badan-usaha-detail/VDM3OTIyOEVUdHp3QlpEMzU5NzB2dz09</t>
        </is>
      </c>
      <c r="F100" t="n">
        <v>2</v>
      </c>
      <c r="G100" t="inlineStr">
        <is>
          <t>BS004, BS010</t>
        </is>
      </c>
      <c r="H100" t="inlineStr">
        <is>
          <t>20 Juni 2016</t>
        </is>
      </c>
      <c r="I100" s="2" t="n">
        <v>46268</v>
      </c>
      <c r="J100" t="inlineStr">
        <is>
          <t>Disetujui</t>
        </is>
      </c>
      <c r="K100" t="n">
        <v>30</v>
      </c>
      <c r="L100" t="inlineStr">
        <is>
          <t>3 September 2026</t>
        </is>
      </c>
      <c r="M100" t="inlineStr">
        <is>
          <t>Konstruksi Bangunan Prasarana Sumber Daya Air, Konstruksi Jaringan Irigasi dan Drainase</t>
        </is>
      </c>
      <c r="N100" t="inlineStr">
        <is>
          <t>K</t>
        </is>
      </c>
      <c r="O100" t="inlineStr">
        <is>
          <t>20230901</t>
        </is>
      </c>
      <c r="P100" t="inlineStr">
        <is>
          <t>Jawa Timur</t>
        </is>
      </c>
      <c r="Q100" t="inlineStr"/>
    </row>
    <row r="101">
      <c r="A101" t="inlineStr">
        <is>
          <t>PURI GLOBAL SUKSES</t>
        </is>
      </c>
      <c r="B101" t="inlineStr">
        <is>
          <t>Kota Batam</t>
        </is>
      </c>
      <c r="C101" t="inlineStr">
        <is>
          <t>07787890079</t>
        </is>
      </c>
      <c r="D101" t="inlineStr">
        <is>
          <t>puriglobalsukses@gmail.com</t>
        </is>
      </c>
      <c r="E101" t="inlineStr">
        <is>
          <t>https://lpjk.pu.go.id/search-badan-usaha-detail/WlRlU1FvVHk0US9vRUZCUzdDOHAyUT09</t>
        </is>
      </c>
      <c r="F101" t="n">
        <v>3</v>
      </c>
      <c r="G101" t="inlineStr">
        <is>
          <t>BG001, BG002, BG004</t>
        </is>
      </c>
      <c r="H101" t="inlineStr">
        <is>
          <t>20 Januari 2016</t>
        </is>
      </c>
      <c r="I101" s="2" t="n">
        <v>46268</v>
      </c>
      <c r="J101" t="inlineStr">
        <is>
          <t>Disetujui</t>
        </is>
      </c>
      <c r="K101" t="n">
        <v>30</v>
      </c>
      <c r="L101" t="inlineStr">
        <is>
          <t>3 September 2026</t>
        </is>
      </c>
      <c r="M101" t="inlineStr">
        <is>
          <t>Konstruksi Gedung Hunian, Konstruksi Gedung Perbelanjaan, Konstruksi Gedung Perkantoran</t>
        </is>
      </c>
      <c r="N101" t="inlineStr">
        <is>
          <t>K</t>
        </is>
      </c>
      <c r="O101" t="inlineStr">
        <is>
          <t>20230901</t>
        </is>
      </c>
      <c r="P101" t="inlineStr">
        <is>
          <t>Kepulauan Riau</t>
        </is>
      </c>
      <c r="Q101" t="inlineStr"/>
    </row>
    <row r="102">
      <c r="A102" t="inlineStr">
        <is>
          <t>PUTRA PILIANG</t>
        </is>
      </c>
      <c r="B102" t="inlineStr">
        <is>
          <t>Kota Payakumbuh</t>
        </is>
      </c>
      <c r="C102" t="inlineStr">
        <is>
          <t>082385345220</t>
        </is>
      </c>
      <c r="D102" t="inlineStr">
        <is>
          <t>cvputrapiliang@gmail.com</t>
        </is>
      </c>
      <c r="E102" t="inlineStr">
        <is>
          <t>https://lpjk.pu.go.id/search-badan-usaha-detail/Y0xYMGx2WW9kTTJVRjJTeFBKNXdldz09</t>
        </is>
      </c>
      <c r="F102" t="n">
        <v>1</v>
      </c>
      <c r="G102" t="inlineStr">
        <is>
          <t>BG005</t>
        </is>
      </c>
      <c r="H102" t="inlineStr">
        <is>
          <t>3 Desember 2015</t>
        </is>
      </c>
      <c r="I102" s="2" t="n">
        <v>46268</v>
      </c>
      <c r="J102" t="inlineStr">
        <is>
          <t>Disetujui</t>
        </is>
      </c>
      <c r="K102" t="n">
        <v>30</v>
      </c>
      <c r="L102" t="inlineStr">
        <is>
          <t>3 September 2026</t>
        </is>
      </c>
      <c r="M102" t="inlineStr">
        <is>
          <t>Konstruksi Gedung Kesehatan</t>
        </is>
      </c>
      <c r="N102" t="inlineStr">
        <is>
          <t>K</t>
        </is>
      </c>
      <c r="O102" t="inlineStr">
        <is>
          <t>20230901</t>
        </is>
      </c>
      <c r="P102" t="inlineStr">
        <is>
          <t>Sumatera Barat</t>
        </is>
      </c>
      <c r="Q102" t="inlineStr"/>
    </row>
    <row r="103">
      <c r="A103" t="inlineStr">
        <is>
          <t>PUTRA SIMPANG LIMA</t>
        </is>
      </c>
      <c r="B103" t="inlineStr">
        <is>
          <t>Kab. Garut</t>
        </is>
      </c>
      <c r="C103" t="inlineStr">
        <is>
          <t>08983068657</t>
        </is>
      </c>
      <c r="D103" t="inlineStr">
        <is>
          <t>cvputrasimpanglima4@gmail.com</t>
        </is>
      </c>
      <c r="E103" t="inlineStr">
        <is>
          <t>https://lpjk.pu.go.id/search-badan-usaha-detail/L1lOblcwbkJFWnRZUWxlZVRUOGwxZz09</t>
        </is>
      </c>
      <c r="F103" t="n">
        <v>1</v>
      </c>
      <c r="G103" t="inlineStr">
        <is>
          <t>BS004</t>
        </is>
      </c>
      <c r="H103" t="inlineStr">
        <is>
          <t>4 Maret 2020</t>
        </is>
      </c>
      <c r="I103" s="2" t="n">
        <v>46268</v>
      </c>
      <c r="J103" t="inlineStr">
        <is>
          <t>Disetujui</t>
        </is>
      </c>
      <c r="K103" t="n">
        <v>30</v>
      </c>
      <c r="L103" t="inlineStr">
        <is>
          <t>3 September 2026</t>
        </is>
      </c>
      <c r="M103" t="inlineStr">
        <is>
          <t>Konstruksi Jaringan Irigasi dan Drainase</t>
        </is>
      </c>
      <c r="N103" t="inlineStr">
        <is>
          <t>K</t>
        </is>
      </c>
      <c r="O103" t="inlineStr">
        <is>
          <t>20230831</t>
        </is>
      </c>
      <c r="P103" t="inlineStr">
        <is>
          <t>Jawa Barat</t>
        </is>
      </c>
      <c r="Q103" t="inlineStr"/>
    </row>
    <row r="104">
      <c r="A104" t="inlineStr">
        <is>
          <t>QUANTUM ENERGI KHATULISTIWA</t>
        </is>
      </c>
      <c r="B104" t="inlineStr">
        <is>
          <t>Kota Bontang</t>
        </is>
      </c>
      <c r="C104" t="inlineStr">
        <is>
          <t>081345785758</t>
        </is>
      </c>
      <c r="D104" t="inlineStr">
        <is>
          <t>khatulistiwaquantumenergi@gmail.com</t>
        </is>
      </c>
      <c r="E104" t="inlineStr">
        <is>
          <t>https://lpjk.pu.go.id/search-badan-usaha-detail/N1RGL1U1RkRpbzU3c0kyS25zMDZLQT09</t>
        </is>
      </c>
      <c r="F104" t="n">
        <v>1</v>
      </c>
      <c r="G104" t="inlineStr">
        <is>
          <t>BG003</t>
        </is>
      </c>
      <c r="H104" t="inlineStr">
        <is>
          <t>18 Mei 2017</t>
        </is>
      </c>
      <c r="I104" s="2" t="n">
        <v>46268</v>
      </c>
      <c r="J104" t="inlineStr">
        <is>
          <t>Disetujui</t>
        </is>
      </c>
      <c r="K104" t="n">
        <v>30</v>
      </c>
      <c r="L104" t="inlineStr">
        <is>
          <t>3 September 2026</t>
        </is>
      </c>
      <c r="M104" t="inlineStr">
        <is>
          <t>Konstruksi Gedung Industri</t>
        </is>
      </c>
      <c r="N104" t="inlineStr">
        <is>
          <t>K</t>
        </is>
      </c>
      <c r="O104" t="inlineStr">
        <is>
          <t>20230901</t>
        </is>
      </c>
      <c r="P104" t="inlineStr">
        <is>
          <t>Kalimantan Timur</t>
        </is>
      </c>
      <c r="Q104" t="inlineStr"/>
    </row>
    <row r="105">
      <c r="A105" t="inlineStr">
        <is>
          <t>RADEN GALUH</t>
        </is>
      </c>
      <c r="B105" t="inlineStr">
        <is>
          <t>Kota Bandar Lampung</t>
        </is>
      </c>
      <c r="C105" t="inlineStr">
        <is>
          <t>-</t>
        </is>
      </c>
      <c r="D105" t="inlineStr">
        <is>
          <t>-</t>
        </is>
      </c>
      <c r="E105" t="inlineStr">
        <is>
          <t>https://lpjk.pu.go.id/search-badan-usaha-detail/MXBJSG1VemNzQndCRTFsWVJyQklodz09</t>
        </is>
      </c>
      <c r="F105" t="n">
        <v>1</v>
      </c>
      <c r="G105" t="inlineStr">
        <is>
          <t>BG002</t>
        </is>
      </c>
      <c r="H105" t="inlineStr">
        <is>
          <t>27 Desember 2013</t>
        </is>
      </c>
      <c r="I105" s="2" t="n">
        <v>46268</v>
      </c>
      <c r="J105" t="inlineStr">
        <is>
          <t>Disetujui</t>
        </is>
      </c>
      <c r="K105" t="n">
        <v>30</v>
      </c>
      <c r="L105" t="inlineStr">
        <is>
          <t>3 September 2026</t>
        </is>
      </c>
      <c r="M105" t="inlineStr">
        <is>
          <t>Konstruksi Gedung Perkantoran</t>
        </is>
      </c>
      <c r="N105" t="inlineStr">
        <is>
          <t>K</t>
        </is>
      </c>
      <c r="O105" t="inlineStr">
        <is>
          <t>20230903</t>
        </is>
      </c>
      <c r="P105" t="inlineStr">
        <is>
          <t>Lampung</t>
        </is>
      </c>
      <c r="Q105" t="inlineStr"/>
    </row>
    <row r="106">
      <c r="A106" t="inlineStr">
        <is>
          <t>RAHMA AULIA MANDIRI</t>
        </is>
      </c>
      <c r="B106" t="inlineStr">
        <is>
          <t>Kab. Bandung Barat</t>
        </is>
      </c>
      <c r="C106" t="inlineStr">
        <is>
          <t>083822781148</t>
        </is>
      </c>
      <c r="D106" t="inlineStr">
        <is>
          <t>rahma.auliamandirikbb223@gmail.com</t>
        </is>
      </c>
      <c r="E106" t="inlineStr">
        <is>
          <t>https://lpjk.pu.go.id/search-badan-usaha-detail/cGFVQktFUEFOK1NKcWMyZUFxNEpVdz09</t>
        </is>
      </c>
      <c r="F106" t="n">
        <v>2</v>
      </c>
      <c r="G106" t="inlineStr">
        <is>
          <t>BG006, BG009</t>
        </is>
      </c>
      <c r="H106" t="inlineStr">
        <is>
          <t>25 Januari 2019</t>
        </is>
      </c>
      <c r="I106" s="2" t="n">
        <v>46268</v>
      </c>
      <c r="J106" t="inlineStr">
        <is>
          <t>Disetujui</t>
        </is>
      </c>
      <c r="K106" t="n">
        <v>30</v>
      </c>
      <c r="L106" t="inlineStr">
        <is>
          <t>3 September 2026</t>
        </is>
      </c>
      <c r="M106" t="inlineStr">
        <is>
          <t>Konstruksi Gedung Lainnya, Konstruksi Gedung Pendidikan</t>
        </is>
      </c>
      <c r="N106" t="inlineStr">
        <is>
          <t>K</t>
        </is>
      </c>
      <c r="O106" t="inlineStr">
        <is>
          <t>20230830</t>
        </is>
      </c>
      <c r="P106" t="inlineStr">
        <is>
          <t>Jawa Barat</t>
        </is>
      </c>
      <c r="Q106" t="inlineStr"/>
    </row>
    <row r="107">
      <c r="A107" t="inlineStr">
        <is>
          <t>RAJA AKBAR</t>
        </is>
      </c>
      <c r="B107" t="inlineStr">
        <is>
          <t>Kota Padang Sidempuan</t>
        </is>
      </c>
      <c r="C107" t="inlineStr">
        <is>
          <t>082276721177</t>
        </is>
      </c>
      <c r="D107" t="inlineStr">
        <is>
          <t>cv_rajaakbar@yahoo.com</t>
        </is>
      </c>
      <c r="E107" t="inlineStr">
        <is>
          <t>https://lpjk.pu.go.id/search-badan-usaha-detail/RGZPTWVuTHRaWXBhaUdVbE8wYklNQT09</t>
        </is>
      </c>
      <c r="F107" t="n">
        <v>4</v>
      </c>
      <c r="G107" t="inlineStr">
        <is>
          <t>BG006, BG009, BS001, BS004</t>
        </is>
      </c>
      <c r="H107" t="inlineStr">
        <is>
          <t>20 Januari 2016</t>
        </is>
      </c>
      <c r="I107" s="2" t="n">
        <v>46268</v>
      </c>
      <c r="J107" t="inlineStr">
        <is>
          <t>Disetujui</t>
        </is>
      </c>
      <c r="K107" t="n">
        <v>30</v>
      </c>
      <c r="L107" t="inlineStr">
        <is>
          <t>3 September 2026</t>
        </is>
      </c>
      <c r="M107" t="inlineStr">
        <is>
          <t>Konstruksi Bangunan Sipil Jalan, Konstruksi Gedung Lainnya, Konstruksi Gedung Pendidikan, Konstruksi Jaringan Irigasi dan Drainase</t>
        </is>
      </c>
      <c r="N107" t="inlineStr">
        <is>
          <t>K</t>
        </is>
      </c>
      <c r="O107" t="inlineStr">
        <is>
          <t>20230812, 20230813</t>
        </is>
      </c>
      <c r="P107" t="inlineStr">
        <is>
          <t>Sumatera Utara</t>
        </is>
      </c>
      <c r="Q107" t="inlineStr"/>
    </row>
    <row r="108">
      <c r="A108" t="inlineStr">
        <is>
          <t>RAJAWALI DHARMA</t>
        </is>
      </c>
      <c r="B108" t="inlineStr">
        <is>
          <t>Kota Medan</t>
        </is>
      </c>
      <c r="C108" t="inlineStr">
        <is>
          <t>085276989198</t>
        </is>
      </c>
      <c r="D108" t="inlineStr">
        <is>
          <t>cv.rajawalidharma2023@gmail.com</t>
        </is>
      </c>
      <c r="E108" t="inlineStr">
        <is>
          <t>https://lpjk.pu.go.id/search-badan-usaha-detail/ejN0UHFPVFMvWm5JUUxSS3UxeFFSZz09</t>
        </is>
      </c>
      <c r="F108" t="n">
        <v>4</v>
      </c>
      <c r="G108" t="inlineStr">
        <is>
          <t>BS004, BS006</t>
        </is>
      </c>
      <c r="H108" t="inlineStr">
        <is>
          <t>13 Februari 2018</t>
        </is>
      </c>
      <c r="I108" s="2" t="n">
        <v>46268</v>
      </c>
      <c r="J108" t="inlineStr">
        <is>
          <t>Disetujui</t>
        </is>
      </c>
      <c r="K108" t="n">
        <v>30</v>
      </c>
      <c r="L108" t="inlineStr">
        <is>
          <t>3 September 2026</t>
        </is>
      </c>
      <c r="M108" t="inlineStr">
        <is>
          <t>Konstruksi Bangunan Sipil Prasarana dan Sarana Sistem Pengolahan Limbah Padat, Cair, dan Gas, Konstruksi Jaringan Irigasi dan Drainase</t>
        </is>
      </c>
      <c r="N108" t="inlineStr">
        <is>
          <t>K</t>
        </is>
      </c>
      <c r="O108" t="inlineStr">
        <is>
          <t>20230904</t>
        </is>
      </c>
      <c r="P108" t="inlineStr">
        <is>
          <t>Sumatera Utara</t>
        </is>
      </c>
      <c r="Q108" t="inlineStr"/>
    </row>
    <row r="109">
      <c r="A109" t="inlineStr">
        <is>
          <t>RANGGA JAYA</t>
        </is>
      </c>
      <c r="B109" t="inlineStr">
        <is>
          <t>Kab. Tolikara</t>
        </is>
      </c>
      <c r="C109" t="inlineStr">
        <is>
          <t>082198681655</t>
        </is>
      </c>
      <c r="D109" t="inlineStr">
        <is>
          <t>cvranggaj@gmail.com</t>
        </is>
      </c>
      <c r="E109" t="inlineStr">
        <is>
          <t>https://lpjk.pu.go.id/search-badan-usaha-detail/UkJYVVcvZVhYbCs1Mnd0cVlzUEVJdz09</t>
        </is>
      </c>
      <c r="F109" t="n">
        <v>5</v>
      </c>
      <c r="G109" t="inlineStr">
        <is>
          <t>BG001, BG002, BG005, BG006, BG008</t>
        </is>
      </c>
      <c r="H109" t="inlineStr">
        <is>
          <t>9 November 2011</t>
        </is>
      </c>
      <c r="I109" s="2" t="n">
        <v>46268</v>
      </c>
      <c r="J109" t="inlineStr">
        <is>
          <t>Disetujui</t>
        </is>
      </c>
      <c r="K109" t="n">
        <v>30</v>
      </c>
      <c r="L109" t="inlineStr">
        <is>
          <t>3 September 2026</t>
        </is>
      </c>
      <c r="M109" t="inlineStr">
        <is>
          <t>Konstruksi Gedung Hunian, Konstruksi Gedung Kesehatan, Konstruksi Gedung Pendidikan, Konstruksi Gedung Perkantoran, Konstruksi Gedung Tempat Hiburan dan Olahraga</t>
        </is>
      </c>
      <c r="N109" t="inlineStr">
        <is>
          <t>K</t>
        </is>
      </c>
      <c r="O109" t="inlineStr">
        <is>
          <t>20230830, 20230831</t>
        </is>
      </c>
      <c r="P109" t="inlineStr">
        <is>
          <t>Papua</t>
        </is>
      </c>
      <c r="Q109" t="inlineStr"/>
    </row>
    <row r="110">
      <c r="A110" t="inlineStr">
        <is>
          <t>RAYYAN</t>
        </is>
      </c>
      <c r="B110" t="inlineStr">
        <is>
          <t>Kab. Bima</t>
        </is>
      </c>
      <c r="C110" t="inlineStr">
        <is>
          <t>082339621999</t>
        </is>
      </c>
      <c r="D110" t="inlineStr">
        <is>
          <t>mantikarino@gmail.com</t>
        </is>
      </c>
      <c r="E110" t="inlineStr">
        <is>
          <t>https://lpjk.pu.go.id/search-badan-usaha-detail/bmNnODRHbWZCdFBMRzBCb2QzYVppZz09</t>
        </is>
      </c>
      <c r="F110" t="n">
        <v>2</v>
      </c>
      <c r="G110" t="inlineStr">
        <is>
          <t>BS001</t>
        </is>
      </c>
      <c r="H110" t="inlineStr">
        <is>
          <t>29 September 2018</t>
        </is>
      </c>
      <c r="I110" s="2" t="n">
        <v>46268</v>
      </c>
      <c r="J110" t="inlineStr">
        <is>
          <t>Pencabutan</t>
        </is>
      </c>
      <c r="K110" t="n">
        <v>30</v>
      </c>
      <c r="L110" t="inlineStr">
        <is>
          <t>3 September 2026</t>
        </is>
      </c>
      <c r="M110" t="inlineStr">
        <is>
          <t>Konstruksi Bangunan Sipil Jalan</t>
        </is>
      </c>
      <c r="N110" t="inlineStr">
        <is>
          <t>K</t>
        </is>
      </c>
      <c r="O110" t="inlineStr">
        <is>
          <t>20230831</t>
        </is>
      </c>
      <c r="P110" t="inlineStr">
        <is>
          <t>Nusa Tenggara Barat</t>
        </is>
      </c>
      <c r="Q110" t="inlineStr"/>
    </row>
    <row r="111">
      <c r="A111" t="inlineStr">
        <is>
          <t>REYHAN PUTRA MANDIRI</t>
        </is>
      </c>
      <c r="B111" t="inlineStr">
        <is>
          <t>Kab. Indramayu</t>
        </is>
      </c>
      <c r="C111" t="inlineStr">
        <is>
          <t>087835125006</t>
        </is>
      </c>
      <c r="D111" t="inlineStr">
        <is>
          <t>cvrpm1404@gmail.com</t>
        </is>
      </c>
      <c r="E111" t="inlineStr">
        <is>
          <t>https://lpjk.pu.go.id/search-badan-usaha-detail/WW5UMGZhZ0RCWCtSV1RkYVQ4dnJpQT09</t>
        </is>
      </c>
      <c r="F111" t="n">
        <v>1</v>
      </c>
      <c r="G111" t="inlineStr">
        <is>
          <t>BS002</t>
        </is>
      </c>
      <c r="H111" t="inlineStr">
        <is>
          <t>3 Juli 2020</t>
        </is>
      </c>
      <c r="I111" s="2" t="n">
        <v>46268</v>
      </c>
      <c r="J111" t="inlineStr">
        <is>
          <t>Pencabutan</t>
        </is>
      </c>
      <c r="K111" t="n">
        <v>30</v>
      </c>
      <c r="L111" t="inlineStr">
        <is>
          <t>3 September 2026</t>
        </is>
      </c>
      <c r="M111" t="inlineStr">
        <is>
          <t>Bangunan Sipil Jembatan, Jalan Layang, Fly Over, dan Underpass</t>
        </is>
      </c>
      <c r="N111" t="inlineStr">
        <is>
          <t>K</t>
        </is>
      </c>
      <c r="O111" t="inlineStr">
        <is>
          <t>20230322</t>
        </is>
      </c>
      <c r="P111" t="inlineStr">
        <is>
          <t>Jawa Barat</t>
        </is>
      </c>
      <c r="Q111" t="inlineStr"/>
    </row>
    <row r="112">
      <c r="A112" t="inlineStr">
        <is>
          <t>RIHAM</t>
        </is>
      </c>
      <c r="B112" t="inlineStr">
        <is>
          <t>Kab. Probolinggo</t>
        </is>
      </c>
      <c r="C112" t="inlineStr">
        <is>
          <t>082142719411</t>
        </is>
      </c>
      <c r="D112" t="inlineStr">
        <is>
          <t>cvriham@gmail.com</t>
        </is>
      </c>
      <c r="E112" t="inlineStr">
        <is>
          <t>https://lpjk.pu.go.id/search-badan-usaha-detail/Y2JYNTA5aUZKek91NU5sYlhBb3lXQT09</t>
        </is>
      </c>
      <c r="F112" t="n">
        <v>1</v>
      </c>
      <c r="G112" t="inlineStr">
        <is>
          <t>BS005</t>
        </is>
      </c>
      <c r="H112" t="inlineStr">
        <is>
          <t>1 Desember 2022</t>
        </is>
      </c>
      <c r="I112" s="2" t="n">
        <v>46268</v>
      </c>
      <c r="J112" t="inlineStr">
        <is>
          <t>Disetujui</t>
        </is>
      </c>
      <c r="K112" t="n">
        <v>30</v>
      </c>
      <c r="L112" t="inlineStr">
        <is>
          <t>3 September 2026</t>
        </is>
      </c>
      <c r="M112" t="inlineStr">
        <is>
          <t>Konstruksi Bangunan Sipil Pengolahan Air Bersih</t>
        </is>
      </c>
      <c r="N112" t="inlineStr">
        <is>
          <t>K</t>
        </is>
      </c>
      <c r="O112" t="inlineStr">
        <is>
          <t>20230731</t>
        </is>
      </c>
      <c r="P112" t="inlineStr">
        <is>
          <t>Jawa Timur</t>
        </is>
      </c>
      <c r="Q112" t="inlineStr"/>
    </row>
    <row r="113">
      <c r="A113" t="inlineStr">
        <is>
          <t>RISKA FARADILA</t>
        </is>
      </c>
      <c r="B113" t="inlineStr">
        <is>
          <t>Kab. Sekadau</t>
        </is>
      </c>
      <c r="C113" t="inlineStr">
        <is>
          <t>081352309377</t>
        </is>
      </c>
      <c r="D113" t="inlineStr">
        <is>
          <t>riskafaradila715@gmail.com</t>
        </is>
      </c>
      <c r="E113" t="inlineStr">
        <is>
          <t>https://lpjk.pu.go.id/search-badan-usaha-detail/STNabWFZOWtXYkRMS1Q4Z0gzSURDQT09</t>
        </is>
      </c>
      <c r="F113" t="n">
        <v>1</v>
      </c>
      <c r="G113" t="inlineStr">
        <is>
          <t>BG006</t>
        </is>
      </c>
      <c r="H113" t="inlineStr">
        <is>
          <t>9 September 1999</t>
        </is>
      </c>
      <c r="I113" s="2" t="n">
        <v>46268</v>
      </c>
      <c r="J113" t="inlineStr">
        <is>
          <t>Disetujui</t>
        </is>
      </c>
      <c r="K113" t="n">
        <v>30</v>
      </c>
      <c r="L113" t="inlineStr">
        <is>
          <t>3 September 2026</t>
        </is>
      </c>
      <c r="M113" t="inlineStr">
        <is>
          <t>Konstruksi Gedung Pendidikan</t>
        </is>
      </c>
      <c r="N113" t="inlineStr">
        <is>
          <t>K</t>
        </is>
      </c>
      <c r="O113" t="inlineStr">
        <is>
          <t>20230903</t>
        </is>
      </c>
      <c r="P113" t="inlineStr">
        <is>
          <t>Kalimantan Barat</t>
        </is>
      </c>
      <c r="Q113" t="inlineStr"/>
    </row>
    <row r="114">
      <c r="A114" t="inlineStr">
        <is>
          <t>SABILA WARDHANA</t>
        </is>
      </c>
      <c r="B114" t="inlineStr">
        <is>
          <t>Kota Semarang</t>
        </is>
      </c>
      <c r="C114" t="inlineStr">
        <is>
          <t>081329668668</t>
        </is>
      </c>
      <c r="D114" t="inlineStr">
        <is>
          <t>sabila_wardhana@yahoo.com</t>
        </is>
      </c>
      <c r="E114" t="inlineStr">
        <is>
          <t>https://lpjk.pu.go.id/search-badan-usaha-detail/OWFoUXZ1K0tDbisxVmJraFdsQ1hhdz09</t>
        </is>
      </c>
      <c r="F114" t="n">
        <v>1</v>
      </c>
      <c r="G114" t="inlineStr">
        <is>
          <t>BS001</t>
        </is>
      </c>
      <c r="H114" t="inlineStr">
        <is>
          <t>19 September 2005</t>
        </is>
      </c>
      <c r="I114" s="2" t="n">
        <v>46268</v>
      </c>
      <c r="J114" t="inlineStr">
        <is>
          <t>Pencabutan</t>
        </is>
      </c>
      <c r="K114" t="n">
        <v>30</v>
      </c>
      <c r="L114" t="inlineStr">
        <is>
          <t>3 September 2026</t>
        </is>
      </c>
      <c r="M114" t="inlineStr">
        <is>
          <t>Konstruksi Bangunan Sipil Jalan</t>
        </is>
      </c>
      <c r="N114" t="inlineStr">
        <is>
          <t>K</t>
        </is>
      </c>
      <c r="O114" t="inlineStr">
        <is>
          <t>20230825</t>
        </is>
      </c>
      <c r="P114" t="inlineStr">
        <is>
          <t>Jawa Tengah</t>
        </is>
      </c>
      <c r="Q114" t="inlineStr"/>
    </row>
    <row r="115">
      <c r="A115" t="inlineStr">
        <is>
          <t>SAFARI INDAH</t>
        </is>
      </c>
      <c r="B115" t="inlineStr">
        <is>
          <t>Kota Tangerang</t>
        </is>
      </c>
      <c r="C115" t="inlineStr">
        <is>
          <t>085945999778</t>
        </is>
      </c>
      <c r="D115" t="inlineStr">
        <is>
          <t>cv.safariindah@yahoo.co.ic</t>
        </is>
      </c>
      <c r="E115" t="inlineStr">
        <is>
          <t>https://lpjk.pu.go.id/search-badan-usaha-detail/Z2V1MXZ0eWVzaUhUYmFXa3NjZHhCUT09</t>
        </is>
      </c>
      <c r="F115" t="n">
        <v>2</v>
      </c>
      <c r="G115" t="inlineStr">
        <is>
          <t>BG009, BS001</t>
        </is>
      </c>
      <c r="H115" t="inlineStr">
        <is>
          <t>21 November 1988</t>
        </is>
      </c>
      <c r="I115" s="2" t="n">
        <v>46268</v>
      </c>
      <c r="J115" t="inlineStr">
        <is>
          <t>Disetujui</t>
        </is>
      </c>
      <c r="K115" t="n">
        <v>30</v>
      </c>
      <c r="L115" t="inlineStr">
        <is>
          <t>3 September 2026</t>
        </is>
      </c>
      <c r="M115" t="inlineStr">
        <is>
          <t>Konstruksi Bangunan Sipil Jalan, Konstruksi Gedung Lainnya</t>
        </is>
      </c>
      <c r="N115" t="inlineStr">
        <is>
          <t>K</t>
        </is>
      </c>
      <c r="O115" t="inlineStr">
        <is>
          <t>20230903</t>
        </is>
      </c>
      <c r="P115" t="inlineStr">
        <is>
          <t>Banten</t>
        </is>
      </c>
      <c r="Q115" t="inlineStr"/>
    </row>
    <row r="116">
      <c r="A116" t="inlineStr">
        <is>
          <t>SARANA CIPTA KARSA</t>
        </is>
      </c>
      <c r="B116" t="inlineStr">
        <is>
          <t>Kota Bontang</t>
        </is>
      </c>
      <c r="C116" t="inlineStr">
        <is>
          <t>08125497294</t>
        </is>
      </c>
      <c r="D116" t="inlineStr">
        <is>
          <t>saranaciptakarsa@gmail.com</t>
        </is>
      </c>
      <c r="E116" t="inlineStr">
        <is>
          <t>https://lpjk.pu.go.id/search-badan-usaha-detail/M3p3QXRyNlBsQWhFaGR1YlpNUnMzdz09</t>
        </is>
      </c>
      <c r="F116" t="n">
        <v>1</v>
      </c>
      <c r="G116" t="inlineStr">
        <is>
          <t>AR001</t>
        </is>
      </c>
      <c r="H116" t="inlineStr">
        <is>
          <t>19 Desember 2007</t>
        </is>
      </c>
      <c r="I116" s="2" t="n">
        <v>46268</v>
      </c>
      <c r="J116" t="inlineStr">
        <is>
          <t>Disetujui</t>
        </is>
      </c>
      <c r="K116" t="n">
        <v>30</v>
      </c>
      <c r="L116" t="inlineStr">
        <is>
          <t>3 September 2026</t>
        </is>
      </c>
      <c r="M116" t="inlineStr">
        <is>
          <t>Jasa Arsitektural Bangunan Gedung Hunian dan Non Hunian</t>
        </is>
      </c>
      <c r="N116" t="inlineStr">
        <is>
          <t>K</t>
        </is>
      </c>
      <c r="O116" t="inlineStr">
        <is>
          <t>20230825</t>
        </is>
      </c>
      <c r="P116" t="inlineStr">
        <is>
          <t>Kalimantan Timur</t>
        </is>
      </c>
      <c r="Q116" t="inlineStr"/>
    </row>
    <row r="117">
      <c r="A117" t="inlineStr">
        <is>
          <t>SARANA MULIA</t>
        </is>
      </c>
      <c r="B117" t="inlineStr">
        <is>
          <t>Kota Banjarbaru</t>
        </is>
      </c>
      <c r="C117" t="inlineStr">
        <is>
          <t>085248206246</t>
        </is>
      </c>
      <c r="D117" t="inlineStr">
        <is>
          <t>cv.sarana.mulia.2020@gmail.com</t>
        </is>
      </c>
      <c r="E117" t="inlineStr">
        <is>
          <t>https://lpjk.pu.go.id/search-badan-usaha-detail/Z3hNRjVBOWlqSTJhbElOOGM4L1l6QT09</t>
        </is>
      </c>
      <c r="F117" t="n">
        <v>2</v>
      </c>
      <c r="G117" t="inlineStr">
        <is>
          <t>BG006, BS002</t>
        </is>
      </c>
      <c r="H117" t="inlineStr">
        <is>
          <t>10 Februari 2020</t>
        </is>
      </c>
      <c r="I117" s="2" t="n">
        <v>46268</v>
      </c>
      <c r="J117" t="inlineStr">
        <is>
          <t>Disetujui</t>
        </is>
      </c>
      <c r="K117" t="n">
        <v>30</v>
      </c>
      <c r="L117" t="inlineStr">
        <is>
          <t>3 September 2026</t>
        </is>
      </c>
      <c r="M117" t="inlineStr">
        <is>
          <t>Bangunan Sipil Jembatan, Jalan Layang, Fly Over, dan Underpass, Konstruksi Gedung Pendidikan</t>
        </is>
      </c>
      <c r="N117" t="inlineStr">
        <is>
          <t>K</t>
        </is>
      </c>
      <c r="O117" t="inlineStr">
        <is>
          <t>20230901, 20230902</t>
        </is>
      </c>
      <c r="P117" t="inlineStr">
        <is>
          <t>Kalimantan Selatan</t>
        </is>
      </c>
      <c r="Q117" t="inlineStr"/>
    </row>
    <row r="118">
      <c r="A118" t="inlineStr">
        <is>
          <t>SARI RAYA</t>
        </is>
      </c>
      <c r="B118" t="inlineStr">
        <is>
          <t>Kab. Jember</t>
        </is>
      </c>
      <c r="C118" t="inlineStr">
        <is>
          <t>082245060123</t>
        </is>
      </c>
      <c r="D118" t="inlineStr">
        <is>
          <t>sari_raya10@yahoo.co.id</t>
        </is>
      </c>
      <c r="E118" t="inlineStr">
        <is>
          <t>https://lpjk.pu.go.id/search-badan-usaha-detail/K09BeVdxZTRFU2xnZWR6dlhNTmU2QT09</t>
        </is>
      </c>
      <c r="F118" t="n">
        <v>1</v>
      </c>
      <c r="G118" t="inlineStr">
        <is>
          <t>BG001</t>
        </is>
      </c>
      <c r="H118" t="inlineStr">
        <is>
          <t>20 Juli 1989</t>
        </is>
      </c>
      <c r="I118" s="2" t="n">
        <v>46268</v>
      </c>
      <c r="J118" t="inlineStr">
        <is>
          <t>Disetujui</t>
        </is>
      </c>
      <c r="K118" t="n">
        <v>30</v>
      </c>
      <c r="L118" t="inlineStr">
        <is>
          <t>3 September 2026</t>
        </is>
      </c>
      <c r="M118" t="inlineStr">
        <is>
          <t>Konstruksi Gedung Hunian</t>
        </is>
      </c>
      <c r="N118" t="inlineStr">
        <is>
          <t>K</t>
        </is>
      </c>
      <c r="O118" t="inlineStr">
        <is>
          <t>20230830</t>
        </is>
      </c>
      <c r="P118" t="inlineStr">
        <is>
          <t>Jawa Timur</t>
        </is>
      </c>
      <c r="Q118" t="inlineStr"/>
    </row>
    <row r="119">
      <c r="A119" t="inlineStr">
        <is>
          <t>SEJAHTERA JAYA ABADI</t>
        </is>
      </c>
      <c r="B119" t="inlineStr">
        <is>
          <t>Kota Palembang</t>
        </is>
      </c>
      <c r="C119" t="inlineStr">
        <is>
          <t>0711510760</t>
        </is>
      </c>
      <c r="D119" t="inlineStr">
        <is>
          <t>chandra.sejahtera07@gmail.com</t>
        </is>
      </c>
      <c r="E119" t="inlineStr">
        <is>
          <t>https://lpjk.pu.go.id/search-badan-usaha-detail/bEY2TjZLTzE2dFJGN0xFZThEaVlJdz09</t>
        </is>
      </c>
      <c r="F119" t="n">
        <v>3</v>
      </c>
      <c r="G119" t="inlineStr">
        <is>
          <t>BG001, BS001</t>
        </is>
      </c>
      <c r="H119" t="inlineStr">
        <is>
          <t>8 Maret 2004</t>
        </is>
      </c>
      <c r="I119" s="2" t="n">
        <v>46268</v>
      </c>
      <c r="J119" t="inlineStr">
        <is>
          <t>Disetujui</t>
        </is>
      </c>
      <c r="K119" t="n">
        <v>30</v>
      </c>
      <c r="L119" t="inlineStr">
        <is>
          <t>3 September 2026</t>
        </is>
      </c>
      <c r="M119" t="inlineStr">
        <is>
          <t>Konstruksi Bangunan Sipil Jalan, Konstruksi Gedung Hunian</t>
        </is>
      </c>
      <c r="N119" t="inlineStr">
        <is>
          <t>M</t>
        </is>
      </c>
      <c r="O119" t="inlineStr">
        <is>
          <t>20230828</t>
        </is>
      </c>
      <c r="P119" t="inlineStr">
        <is>
          <t>Sumatera Selatan</t>
        </is>
      </c>
      <c r="Q119" t="inlineStr"/>
    </row>
    <row r="120">
      <c r="A120" t="inlineStr">
        <is>
          <t>SEKAWAN CIPTA MULIA</t>
        </is>
      </c>
      <c r="B120" t="inlineStr">
        <is>
          <t>Kota Semarang</t>
        </is>
      </c>
      <c r="C120" t="inlineStr">
        <is>
          <t>0247625468</t>
        </is>
      </c>
      <c r="D120" t="inlineStr">
        <is>
          <t>muliasekawancipta@gmail.com</t>
        </is>
      </c>
      <c r="E120" t="inlineStr">
        <is>
          <t>https://lpjk.pu.go.id/search-badan-usaha-detail/RXJWMDZ5dnJLRm9welBsUmFQVkhmdz09</t>
        </is>
      </c>
      <c r="F120" t="n">
        <v>2</v>
      </c>
      <c r="G120" t="inlineStr">
        <is>
          <t>BG004</t>
        </is>
      </c>
      <c r="H120" t="inlineStr">
        <is>
          <t>27 Juni 2019</t>
        </is>
      </c>
      <c r="I120" s="2" t="n">
        <v>46268</v>
      </c>
      <c r="J120" t="inlineStr">
        <is>
          <t>Disetujui</t>
        </is>
      </c>
      <c r="K120" t="n">
        <v>30</v>
      </c>
      <c r="L120" t="inlineStr">
        <is>
          <t>3 September 2026</t>
        </is>
      </c>
      <c r="M120" t="inlineStr">
        <is>
          <t>Konstruksi Gedung Perbelanjaan</t>
        </is>
      </c>
      <c r="N120" t="inlineStr">
        <is>
          <t>K</t>
        </is>
      </c>
      <c r="O120" t="inlineStr">
        <is>
          <t>20230904</t>
        </is>
      </c>
      <c r="P120" t="inlineStr">
        <is>
          <t>Jawa Tengah</t>
        </is>
      </c>
      <c r="Q120" t="inlineStr"/>
    </row>
    <row r="121">
      <c r="A121" t="inlineStr">
        <is>
          <t>SENDANG DAKARA NUSANTARA</t>
        </is>
      </c>
      <c r="B121" t="inlineStr">
        <is>
          <t>Kab. Badung</t>
        </is>
      </c>
      <c r="C121" t="inlineStr">
        <is>
          <t>081999964805</t>
        </is>
      </c>
      <c r="D121" t="inlineStr">
        <is>
          <t>ptsendangdaksaranusantara@gmail.com</t>
        </is>
      </c>
      <c r="E121" t="inlineStr">
        <is>
          <t>https://lpjk.pu.go.id/search-badan-usaha-detail/ZHQ5SVR2cjFJTllxS3IwM1JGREd3dz09</t>
        </is>
      </c>
      <c r="F121" t="n">
        <v>1</v>
      </c>
      <c r="G121" t="inlineStr">
        <is>
          <t>BG007</t>
        </is>
      </c>
      <c r="H121" t="inlineStr">
        <is>
          <t>11 Oktober 2022</t>
        </is>
      </c>
      <c r="I121" s="2" t="n">
        <v>46268</v>
      </c>
      <c r="J121" t="inlineStr">
        <is>
          <t>Disetujui</t>
        </is>
      </c>
      <c r="K121" t="n">
        <v>30</v>
      </c>
      <c r="L121" t="inlineStr">
        <is>
          <t>3 September 2026</t>
        </is>
      </c>
      <c r="M121" t="inlineStr">
        <is>
          <t>Konstruksi Gedung Penginapan</t>
        </is>
      </c>
      <c r="N121" t="inlineStr">
        <is>
          <t>K</t>
        </is>
      </c>
      <c r="O121" t="inlineStr">
        <is>
          <t>20230823</t>
        </is>
      </c>
      <c r="P121" t="inlineStr">
        <is>
          <t>Bali</t>
        </is>
      </c>
      <c r="Q121" t="inlineStr"/>
    </row>
    <row r="122">
      <c r="A122" t="inlineStr">
        <is>
          <t>SHAKA PRIMA UTAMA</t>
        </is>
      </c>
      <c r="B122" t="inlineStr">
        <is>
          <t>Kota Pangkal Pinang</t>
        </is>
      </c>
      <c r="C122" t="inlineStr">
        <is>
          <t>081271910220</t>
        </is>
      </c>
      <c r="D122" t="inlineStr">
        <is>
          <t>cvshakaprimautama@gmail.com</t>
        </is>
      </c>
      <c r="E122" t="inlineStr">
        <is>
          <t>https://lpjk.pu.go.id/search-badan-usaha-detail/aGJDeHJqazBtZ3dqUnlYZ0o4a0VHZz09</t>
        </is>
      </c>
      <c r="F122" t="n">
        <v>1</v>
      </c>
      <c r="G122" t="inlineStr">
        <is>
          <t>BG009</t>
        </is>
      </c>
      <c r="H122" t="inlineStr">
        <is>
          <t>31 Juli 2023</t>
        </is>
      </c>
      <c r="I122" s="2" t="n">
        <v>46268</v>
      </c>
      <c r="J122" t="inlineStr">
        <is>
          <t>Disetujui</t>
        </is>
      </c>
      <c r="K122" t="n">
        <v>30</v>
      </c>
      <c r="L122" t="inlineStr">
        <is>
          <t>3 September 2026</t>
        </is>
      </c>
      <c r="M122" t="inlineStr">
        <is>
          <t>Konstruksi Gedung Lainnya</t>
        </is>
      </c>
      <c r="N122" t="inlineStr">
        <is>
          <t>K</t>
        </is>
      </c>
      <c r="O122" t="inlineStr">
        <is>
          <t>20230811</t>
        </is>
      </c>
      <c r="P122" t="inlineStr">
        <is>
          <t>Kepulauan Bangka Belitung</t>
        </is>
      </c>
      <c r="Q122" t="inlineStr"/>
    </row>
    <row r="123">
      <c r="A123" t="inlineStr">
        <is>
          <t>SINAR AGUNG MANDIRI</t>
        </is>
      </c>
      <c r="B123" t="inlineStr">
        <is>
          <t>Kota Adm. Jakarta Selatan</t>
        </is>
      </c>
      <c r="C123" t="inlineStr">
        <is>
          <t>08129993402</t>
        </is>
      </c>
      <c r="D123" t="inlineStr">
        <is>
          <t>sinaragung.mandiri17@gmail.com</t>
        </is>
      </c>
      <c r="E123" t="inlineStr">
        <is>
          <t>https://lpjk.pu.go.id/search-badan-usaha-detail/NXE5c2dRNkFHUjdFRXZ1VTB4NVB2QT09</t>
        </is>
      </c>
      <c r="F123" t="n">
        <v>1</v>
      </c>
      <c r="G123" t="inlineStr">
        <is>
          <t>BG001</t>
        </is>
      </c>
      <c r="H123" t="inlineStr">
        <is>
          <t>7 Januari 2002</t>
        </is>
      </c>
      <c r="I123" s="2" t="n">
        <v>46268</v>
      </c>
      <c r="J123" t="inlineStr">
        <is>
          <t>Disetujui</t>
        </is>
      </c>
      <c r="K123" t="n">
        <v>30</v>
      </c>
      <c r="L123" t="inlineStr">
        <is>
          <t>3 September 2026</t>
        </is>
      </c>
      <c r="M123" t="inlineStr">
        <is>
          <t>Konstruksi Gedung Hunian</t>
        </is>
      </c>
      <c r="N123" t="inlineStr">
        <is>
          <t>K</t>
        </is>
      </c>
      <c r="O123" t="inlineStr">
        <is>
          <t>20230824</t>
        </is>
      </c>
      <c r="P123" t="inlineStr">
        <is>
          <t>DKI Jakarta</t>
        </is>
      </c>
      <c r="Q123" t="inlineStr"/>
    </row>
    <row r="124">
      <c r="A124" t="inlineStr">
        <is>
          <t>SINAR INTAN</t>
        </is>
      </c>
      <c r="B124" t="inlineStr">
        <is>
          <t>Kab. Lombok Tengah</t>
        </is>
      </c>
      <c r="C124" t="inlineStr">
        <is>
          <t>087863996150</t>
        </is>
      </c>
      <c r="D124" t="inlineStr">
        <is>
          <t>sinarintan49@gmail.com</t>
        </is>
      </c>
      <c r="E124" t="inlineStr">
        <is>
          <t>https://lpjk.pu.go.id/search-badan-usaha-detail/eFBMais3OG5UeWxZek96QjA5Um5VZz09</t>
        </is>
      </c>
      <c r="F124" t="n">
        <v>1</v>
      </c>
      <c r="G124" t="inlineStr">
        <is>
          <t>BG006</t>
        </is>
      </c>
      <c r="H124" t="inlineStr">
        <is>
          <t>14 Februari 2013</t>
        </is>
      </c>
      <c r="I124" s="2" t="n">
        <v>46268</v>
      </c>
      <c r="J124" t="inlineStr">
        <is>
          <t>Pencabutan</t>
        </is>
      </c>
      <c r="K124" t="n">
        <v>30</v>
      </c>
      <c r="L124" t="inlineStr">
        <is>
          <t>3 September 2026</t>
        </is>
      </c>
      <c r="M124" t="inlineStr">
        <is>
          <t>Konstruksi Gedung Pendidikan</t>
        </is>
      </c>
      <c r="N124" t="inlineStr">
        <is>
          <t>K</t>
        </is>
      </c>
      <c r="O124" t="inlineStr">
        <is>
          <t>20230901</t>
        </is>
      </c>
      <c r="P124" t="inlineStr">
        <is>
          <t>Nusa Tenggara Barat</t>
        </is>
      </c>
      <c r="Q124" t="inlineStr"/>
    </row>
    <row r="125">
      <c r="A125" t="inlineStr">
        <is>
          <t>SINAR MATAHARI</t>
        </is>
      </c>
      <c r="B125" t="inlineStr">
        <is>
          <t>Kab. Bandung</t>
        </is>
      </c>
      <c r="C125" t="inlineStr">
        <is>
          <t>0225942493</t>
        </is>
      </c>
      <c r="D125" t="inlineStr">
        <is>
          <t>sinarmataharipanas@yahoo.com</t>
        </is>
      </c>
      <c r="E125" t="inlineStr">
        <is>
          <t>https://lpjk.pu.go.id/search-badan-usaha-detail/MzdBZnplZFdLYVIyTjJTZ1l6VkE2dz09</t>
        </is>
      </c>
      <c r="F125" t="n">
        <v>1</v>
      </c>
      <c r="G125" t="inlineStr">
        <is>
          <t>BG006</t>
        </is>
      </c>
      <c r="H125" t="inlineStr">
        <is>
          <t>7 Januari 2011</t>
        </is>
      </c>
      <c r="I125" s="2" t="n">
        <v>46268</v>
      </c>
      <c r="J125" t="inlineStr">
        <is>
          <t>Disetujui</t>
        </is>
      </c>
      <c r="K125" t="n">
        <v>30</v>
      </c>
      <c r="L125" t="inlineStr">
        <is>
          <t>3 September 2026</t>
        </is>
      </c>
      <c r="M125" t="inlineStr">
        <is>
          <t>Konstruksi Gedung Pendidikan</t>
        </is>
      </c>
      <c r="N125" t="inlineStr">
        <is>
          <t>K</t>
        </is>
      </c>
      <c r="O125" t="inlineStr">
        <is>
          <t>20230901</t>
        </is>
      </c>
      <c r="P125" t="inlineStr">
        <is>
          <t>Jawa Barat</t>
        </is>
      </c>
      <c r="Q125" t="inlineStr"/>
    </row>
    <row r="126">
      <c r="A126" t="inlineStr">
        <is>
          <t>SINAR TEKNIK</t>
        </is>
      </c>
      <c r="B126" t="inlineStr">
        <is>
          <t>Kab. Kapuas Hulu</t>
        </is>
      </c>
      <c r="C126" t="inlineStr">
        <is>
          <t>082255811518</t>
        </is>
      </c>
      <c r="D126" t="inlineStr">
        <is>
          <t>sinarteknik.pts@gmail.com</t>
        </is>
      </c>
      <c r="E126" t="inlineStr">
        <is>
          <t>https://lpjk.pu.go.id/search-badan-usaha-detail/Q295enNyNzdFNVY1blMvd2FJc29WZz09</t>
        </is>
      </c>
      <c r="F126" t="n">
        <v>1</v>
      </c>
      <c r="G126" t="inlineStr">
        <is>
          <t>BG005</t>
        </is>
      </c>
      <c r="H126" t="inlineStr">
        <is>
          <t>23 April 2008</t>
        </is>
      </c>
      <c r="I126" s="2" t="n">
        <v>46268</v>
      </c>
      <c r="J126" t="inlineStr">
        <is>
          <t>Disetujui</t>
        </is>
      </c>
      <c r="K126" t="n">
        <v>30</v>
      </c>
      <c r="L126" t="inlineStr">
        <is>
          <t>3 September 2026</t>
        </is>
      </c>
      <c r="M126" t="inlineStr">
        <is>
          <t>Konstruksi Gedung Kesehatan</t>
        </is>
      </c>
      <c r="N126" t="inlineStr">
        <is>
          <t>K</t>
        </is>
      </c>
      <c r="O126" t="inlineStr">
        <is>
          <t>20230830</t>
        </is>
      </c>
      <c r="P126" t="inlineStr">
        <is>
          <t>Kalimantan Barat</t>
        </is>
      </c>
      <c r="Q126" t="inlineStr"/>
    </row>
    <row r="127">
      <c r="A127" t="inlineStr">
        <is>
          <t>SINERGI LIMA EMPAT</t>
        </is>
      </c>
      <c r="B127" t="inlineStr">
        <is>
          <t>Kota Surabaya</t>
        </is>
      </c>
      <c r="C127" t="inlineStr">
        <is>
          <t>081216835619</t>
        </is>
      </c>
      <c r="D127" t="inlineStr">
        <is>
          <t>cvsinergilimaempat@gmail.com</t>
        </is>
      </c>
      <c r="E127" t="inlineStr">
        <is>
          <t>https://lpjk.pu.go.id/search-badan-usaha-detail/RGV1Z0pTa1J3WWlzWDhEeHU3RUMwUHJIZldESzQvRW5jeWh5WnpPQ2pXOD0</t>
        </is>
      </c>
      <c r="F127" t="n">
        <v>2</v>
      </c>
      <c r="G127" t="inlineStr">
        <is>
          <t>BG002, BG009</t>
        </is>
      </c>
      <c r="H127" t="inlineStr">
        <is>
          <t>5 Juli 2023</t>
        </is>
      </c>
      <c r="I127" s="2" t="n">
        <v>46268</v>
      </c>
      <c r="J127" t="inlineStr">
        <is>
          <t>Disetujui</t>
        </is>
      </c>
      <c r="K127" t="n">
        <v>30</v>
      </c>
      <c r="L127" t="inlineStr">
        <is>
          <t>3 September 2026</t>
        </is>
      </c>
      <c r="M127" t="inlineStr">
        <is>
          <t>Konstruksi Gedung Lainnya, Konstruksi Gedung Perkantoran</t>
        </is>
      </c>
      <c r="N127" t="inlineStr">
        <is>
          <t>K</t>
        </is>
      </c>
      <c r="O127" t="inlineStr">
        <is>
          <t>20230831</t>
        </is>
      </c>
      <c r="P127" t="inlineStr">
        <is>
          <t>Jawa Timur</t>
        </is>
      </c>
      <c r="Q127" t="inlineStr"/>
    </row>
    <row r="128">
      <c r="A128" t="inlineStr">
        <is>
          <t>STARINDO ACETECH PERKASA</t>
        </is>
      </c>
      <c r="B128" t="inlineStr">
        <is>
          <t>Kota Batam</t>
        </is>
      </c>
      <c r="C128" t="inlineStr">
        <is>
          <t>0778466493</t>
        </is>
      </c>
      <c r="D128" t="inlineStr">
        <is>
          <t>hr.starindoacetech@gmail.com</t>
        </is>
      </c>
      <c r="E128" t="inlineStr">
        <is>
          <t>https://lpjk.pu.go.id/search-badan-usaha-detail/K0V2S3ZNNDVFdk5HTThsUGJqaGd3QT09</t>
        </is>
      </c>
      <c r="F128" t="n">
        <v>1</v>
      </c>
      <c r="G128" t="inlineStr">
        <is>
          <t>BG003</t>
        </is>
      </c>
      <c r="H128" t="inlineStr">
        <is>
          <t>4 Juni 2003</t>
        </is>
      </c>
      <c r="I128" s="2" t="n">
        <v>46268</v>
      </c>
      <c r="J128" t="inlineStr">
        <is>
          <t>Disetujui</t>
        </is>
      </c>
      <c r="K128" t="n">
        <v>30</v>
      </c>
      <c r="L128" t="inlineStr">
        <is>
          <t>3 September 2026</t>
        </is>
      </c>
      <c r="M128" t="inlineStr">
        <is>
          <t>Konstruksi Gedung Industri</t>
        </is>
      </c>
      <c r="N128" t="inlineStr">
        <is>
          <t>M</t>
        </is>
      </c>
      <c r="O128" t="inlineStr">
        <is>
          <t>20230728</t>
        </is>
      </c>
      <c r="P128" t="inlineStr">
        <is>
          <t>Kepulauan Riau</t>
        </is>
      </c>
      <c r="Q128" t="inlineStr"/>
    </row>
    <row r="129">
      <c r="A129" t="inlineStr">
        <is>
          <t>SURYA FAJRI HIDAYAH</t>
        </is>
      </c>
      <c r="B129" t="inlineStr">
        <is>
          <t>Kota Pekanbaru</t>
        </is>
      </c>
      <c r="C129" t="inlineStr">
        <is>
          <t>08117519309</t>
        </is>
      </c>
      <c r="D129" t="inlineStr">
        <is>
          <t>Suryafajrihidayah@yahoo.com</t>
        </is>
      </c>
      <c r="E129" t="inlineStr">
        <is>
          <t>https://lpjk.pu.go.id/search-badan-usaha-detail/VHM0Z1RoUGpUNnFTd2xQNjU0N0F3QT09</t>
        </is>
      </c>
      <c r="F129" t="n">
        <v>1</v>
      </c>
      <c r="G129" t="inlineStr">
        <is>
          <t>BG001</t>
        </is>
      </c>
      <c r="H129" t="inlineStr">
        <is>
          <t>12 Agustus 2015</t>
        </is>
      </c>
      <c r="I129" s="2" t="n">
        <v>46268</v>
      </c>
      <c r="J129" t="inlineStr">
        <is>
          <t>Disetujui</t>
        </is>
      </c>
      <c r="K129" t="n">
        <v>30</v>
      </c>
      <c r="L129" t="inlineStr">
        <is>
          <t>3 September 2026</t>
        </is>
      </c>
      <c r="M129" t="inlineStr">
        <is>
          <t>Konstruksi Gedung Hunian</t>
        </is>
      </c>
      <c r="N129" t="inlineStr">
        <is>
          <t>K</t>
        </is>
      </c>
      <c r="O129" t="inlineStr">
        <is>
          <t>20230802</t>
        </is>
      </c>
      <c r="P129" t="inlineStr">
        <is>
          <t>Riau</t>
        </is>
      </c>
      <c r="Q129" t="inlineStr"/>
    </row>
    <row r="130">
      <c r="A130" t="inlineStr">
        <is>
          <t>SURYA SARI PUTRA</t>
        </is>
      </c>
      <c r="B130" t="inlineStr">
        <is>
          <t>Kab. Pandeglang</t>
        </is>
      </c>
      <c r="C130" t="inlineStr">
        <is>
          <t>081911123411</t>
        </is>
      </c>
      <c r="D130" t="inlineStr">
        <is>
          <t>lsbubanten@gmail.com</t>
        </is>
      </c>
      <c r="E130" t="inlineStr">
        <is>
          <t>https://lpjk.pu.go.id/search-badan-usaha-detail/MFBGRHV1b0JpVDg5azEwcXphSTFzQT09</t>
        </is>
      </c>
      <c r="F130" t="n">
        <v>1</v>
      </c>
      <c r="G130" t="inlineStr">
        <is>
          <t>BS004</t>
        </is>
      </c>
      <c r="H130" t="inlineStr">
        <is>
          <t>27 Januari 2016</t>
        </is>
      </c>
      <c r="I130" s="2" t="n">
        <v>46268</v>
      </c>
      <c r="J130" t="inlineStr">
        <is>
          <t>Pencabutan</t>
        </is>
      </c>
      <c r="K130" t="n">
        <v>30</v>
      </c>
      <c r="L130" t="inlineStr">
        <is>
          <t>3 September 2026</t>
        </is>
      </c>
      <c r="M130" t="inlineStr">
        <is>
          <t>Konstruksi Jaringan Irigasi dan Drainase</t>
        </is>
      </c>
      <c r="N130" t="inlineStr">
        <is>
          <t>K</t>
        </is>
      </c>
      <c r="O130" t="inlineStr">
        <is>
          <t>20230801</t>
        </is>
      </c>
      <c r="P130" t="inlineStr">
        <is>
          <t>Banten</t>
        </is>
      </c>
      <c r="Q130" t="inlineStr"/>
    </row>
    <row r="131">
      <c r="A131" t="inlineStr">
        <is>
          <t>THREE DIMENSI CONSULTANT</t>
        </is>
      </c>
      <c r="B131" t="inlineStr">
        <is>
          <t>Kab. Kolaka Utara</t>
        </is>
      </c>
      <c r="C131" t="inlineStr">
        <is>
          <t>082238880063</t>
        </is>
      </c>
      <c r="D131" t="inlineStr">
        <is>
          <t>tigadimensi170382@gmail.com</t>
        </is>
      </c>
      <c r="E131" t="inlineStr">
        <is>
          <t>https://lpjk.pu.go.id/search-badan-usaha-detail/UEd3cU91Uk1sUXdrdU4wVU9LZk52dz09</t>
        </is>
      </c>
      <c r="F131" t="n">
        <v>1</v>
      </c>
      <c r="G131" t="inlineStr">
        <is>
          <t>RK002</t>
        </is>
      </c>
      <c r="H131" t="inlineStr">
        <is>
          <t>22 Februari 2021</t>
        </is>
      </c>
      <c r="I131" s="2" t="n">
        <v>46268</v>
      </c>
      <c r="J131" t="inlineStr">
        <is>
          <t>Disetujui</t>
        </is>
      </c>
      <c r="K131" t="n">
        <v>30</v>
      </c>
      <c r="L131" t="inlineStr">
        <is>
          <t>3 September 2026</t>
        </is>
      </c>
      <c r="M131" t="inlineStr">
        <is>
          <t>Jasa Rekayasa Pekerjaan Teknik Sipil Sumber Daya Air</t>
        </is>
      </c>
      <c r="N131" t="inlineStr">
        <is>
          <t>K</t>
        </is>
      </c>
      <c r="O131" t="inlineStr">
        <is>
          <t>20230829</t>
        </is>
      </c>
      <c r="P131" t="inlineStr">
        <is>
          <t>Sulawesi Tenggara</t>
        </is>
      </c>
      <c r="Q131" t="inlineStr"/>
    </row>
    <row r="132">
      <c r="A132" t="inlineStr">
        <is>
          <t>TIARA AGUNG</t>
        </is>
      </c>
      <c r="B132" t="inlineStr">
        <is>
          <t>Kab. Sumbawa</t>
        </is>
      </c>
      <c r="C132" t="inlineStr">
        <is>
          <t>085293778854</t>
        </is>
      </c>
      <c r="D132" t="inlineStr">
        <is>
          <t>tiaraagungcv@gmail.com</t>
        </is>
      </c>
      <c r="E132" t="inlineStr">
        <is>
          <t>https://lpjk.pu.go.id/search-badan-usaha-detail/Q012bExyZHB1SC9yYU9hWkV5dStWZz09</t>
        </is>
      </c>
      <c r="F132" t="n">
        <v>1</v>
      </c>
      <c r="G132" t="inlineStr">
        <is>
          <t>BG006</t>
        </is>
      </c>
      <c r="H132" t="inlineStr">
        <is>
          <t>13 November 2001</t>
        </is>
      </c>
      <c r="I132" s="2" t="n">
        <v>46268</v>
      </c>
      <c r="J132" t="inlineStr">
        <is>
          <t>Disetujui</t>
        </is>
      </c>
      <c r="K132" t="n">
        <v>30</v>
      </c>
      <c r="L132" t="inlineStr">
        <is>
          <t>3 September 2026</t>
        </is>
      </c>
      <c r="M132" t="inlineStr">
        <is>
          <t>Konstruksi Gedung Pendidikan</t>
        </is>
      </c>
      <c r="N132" t="inlineStr">
        <is>
          <t>K</t>
        </is>
      </c>
      <c r="O132" t="inlineStr">
        <is>
          <t>20230830</t>
        </is>
      </c>
      <c r="P132" t="inlineStr">
        <is>
          <t>Nusa Tenggara Barat</t>
        </is>
      </c>
      <c r="Q132" t="inlineStr"/>
    </row>
    <row r="133">
      <c r="A133" t="inlineStr">
        <is>
          <t>TIGA CAHAYA</t>
        </is>
      </c>
      <c r="B133" t="inlineStr">
        <is>
          <t>Kota Semarang</t>
        </is>
      </c>
      <c r="C133" t="inlineStr">
        <is>
          <t>081226446352</t>
        </is>
      </c>
      <c r="D133" t="inlineStr">
        <is>
          <t>tigacahaya03@gmail.com</t>
        </is>
      </c>
      <c r="E133" t="inlineStr">
        <is>
          <t>https://lpjk.pu.go.id/search-badan-usaha-detail/NHhBY1lFTG95aVNlVU54SDJ1Z05RZz09</t>
        </is>
      </c>
      <c r="F133" t="n">
        <v>2</v>
      </c>
      <c r="G133" t="inlineStr">
        <is>
          <t>BG006, BS001</t>
        </is>
      </c>
      <c r="H133" t="inlineStr">
        <is>
          <t>28 Januari 2015</t>
        </is>
      </c>
      <c r="I133" s="2" t="n">
        <v>46268</v>
      </c>
      <c r="J133" t="inlineStr">
        <is>
          <t>Disetujui</t>
        </is>
      </c>
      <c r="K133" t="n">
        <v>30</v>
      </c>
      <c r="L133" t="inlineStr">
        <is>
          <t>3 September 2026</t>
        </is>
      </c>
      <c r="M133" t="inlineStr">
        <is>
          <t>Konstruksi Bangunan Sipil Jalan, Konstruksi Gedung Pendidikan</t>
        </is>
      </c>
      <c r="N133" t="inlineStr">
        <is>
          <t>K</t>
        </is>
      </c>
      <c r="O133" t="inlineStr">
        <is>
          <t>20230825, 20230830</t>
        </is>
      </c>
      <c r="P133" t="inlineStr">
        <is>
          <t>Jawa Tengah</t>
        </is>
      </c>
      <c r="Q133" t="inlineStr"/>
    </row>
    <row r="134">
      <c r="A134" t="inlineStr">
        <is>
          <t>TRANS INDO NUSA</t>
        </is>
      </c>
      <c r="B134" t="inlineStr">
        <is>
          <t>Kab. Sumenep</t>
        </is>
      </c>
      <c r="C134" t="inlineStr">
        <is>
          <t>082148383883</t>
        </is>
      </c>
      <c r="D134" t="inlineStr">
        <is>
          <t>putraandikaprasetya@gmail.com</t>
        </is>
      </c>
      <c r="E134" t="inlineStr">
        <is>
          <t>https://lpjk.pu.go.id/search-badan-usaha-detail/N1FqcXJ1WkswbVh4Y2NSNXVMY0JrQT09</t>
        </is>
      </c>
      <c r="F134" t="n">
        <v>2</v>
      </c>
      <c r="G134" t="inlineStr">
        <is>
          <t>BG002</t>
        </is>
      </c>
      <c r="H134" t="inlineStr">
        <is>
          <t>28 Juli 2023</t>
        </is>
      </c>
      <c r="I134" s="2" t="n">
        <v>46268</v>
      </c>
      <c r="J134" t="inlineStr">
        <is>
          <t>Disetujui</t>
        </is>
      </c>
      <c r="K134" t="n">
        <v>30</v>
      </c>
      <c r="L134" t="inlineStr">
        <is>
          <t>3 September 2026</t>
        </is>
      </c>
      <c r="M134" t="inlineStr">
        <is>
          <t>Konstruksi Gedung Perkantoran</t>
        </is>
      </c>
      <c r="N134" t="inlineStr">
        <is>
          <t>K</t>
        </is>
      </c>
      <c r="O134" t="inlineStr">
        <is>
          <t>20230901</t>
        </is>
      </c>
      <c r="P134" t="inlineStr">
        <is>
          <t>Jawa Timur</t>
        </is>
      </c>
      <c r="Q134" t="inlineStr"/>
    </row>
    <row r="135">
      <c r="A135" t="inlineStr">
        <is>
          <t>TRI TECH DESIGN</t>
        </is>
      </c>
      <c r="B135" t="inlineStr">
        <is>
          <t>Kab. Pandeglang</t>
        </is>
      </c>
      <c r="C135" t="inlineStr">
        <is>
          <t>081905001818</t>
        </is>
      </c>
      <c r="D135" t="inlineStr">
        <is>
          <t>tritechdesign99@gmail.com</t>
        </is>
      </c>
      <c r="E135" t="inlineStr">
        <is>
          <t>https://lpjk.pu.go.id/search-badan-usaha-detail/cjJXQkxsYjNmZHh1SEFRQ3dlbjVNQT09</t>
        </is>
      </c>
      <c r="F135" t="n">
        <v>1</v>
      </c>
      <c r="G135" t="inlineStr">
        <is>
          <t>RK001</t>
        </is>
      </c>
      <c r="H135" t="inlineStr">
        <is>
          <t>22 Januari 2021</t>
        </is>
      </c>
      <c r="I135" s="2" t="n">
        <v>46268</v>
      </c>
      <c r="J135" t="inlineStr">
        <is>
          <t>Disetujui</t>
        </is>
      </c>
      <c r="K135" t="n">
        <v>30</v>
      </c>
      <c r="L135" t="inlineStr">
        <is>
          <t>3 September 2026</t>
        </is>
      </c>
      <c r="M135" t="inlineStr">
        <is>
          <t>Jasa Rekayasa Konstruksi Bangunan Gedung Hunian dan Non Hunian</t>
        </is>
      </c>
      <c r="N135" t="inlineStr">
        <is>
          <t>K</t>
        </is>
      </c>
      <c r="O135" t="inlineStr">
        <is>
          <t>20230818</t>
        </is>
      </c>
      <c r="P135" t="inlineStr">
        <is>
          <t>Banten</t>
        </is>
      </c>
      <c r="Q135" t="inlineStr"/>
    </row>
    <row r="136">
      <c r="A136" t="inlineStr">
        <is>
          <t>TUAH TAMAGON</t>
        </is>
      </c>
      <c r="B136" t="inlineStr">
        <is>
          <t>Kab. Bengkayang</t>
        </is>
      </c>
      <c r="C136" t="inlineStr">
        <is>
          <t>081290263249</t>
        </is>
      </c>
      <c r="D136" t="inlineStr">
        <is>
          <t>tuahtamagon.cv@gmail.com</t>
        </is>
      </c>
      <c r="E136" t="inlineStr">
        <is>
          <t>https://lpjk.pu.go.id/search-badan-usaha-detail/RjMwK2pRczNBTHBBU3RkRitKNUh3QT09</t>
        </is>
      </c>
      <c r="F136" t="n">
        <v>3</v>
      </c>
      <c r="G136" t="inlineStr">
        <is>
          <t>BS001, BS002, BS004</t>
        </is>
      </c>
      <c r="H136" t="inlineStr">
        <is>
          <t>31 Agustus 2015</t>
        </is>
      </c>
      <c r="I136" s="2" t="n">
        <v>46268</v>
      </c>
      <c r="J136" t="inlineStr">
        <is>
          <t>Disetujui</t>
        </is>
      </c>
      <c r="K136" t="n">
        <v>30</v>
      </c>
      <c r="L136" t="inlineStr">
        <is>
          <t>3 September 2026</t>
        </is>
      </c>
      <c r="M136" t="inlineStr">
        <is>
          <t>Bangunan Sipil Jembatan, Jalan Layang, Fly Over, dan Underpass, Konstruksi Bangunan Sipil Jalan, Konstruksi Jaringan Irigasi dan Drainase</t>
        </is>
      </c>
      <c r="N136" t="inlineStr">
        <is>
          <t>K</t>
        </is>
      </c>
      <c r="O136" t="inlineStr">
        <is>
          <t>20230903</t>
        </is>
      </c>
      <c r="P136" t="inlineStr">
        <is>
          <t>Kalimantan Barat</t>
        </is>
      </c>
      <c r="Q136" t="inlineStr"/>
    </row>
    <row r="137">
      <c r="A137" t="inlineStr">
        <is>
          <t>TUNAS INTI ABADI</t>
        </is>
      </c>
      <c r="B137" t="inlineStr">
        <is>
          <t>Kab. Tanah Datar</t>
        </is>
      </c>
      <c r="C137" t="inlineStr">
        <is>
          <t>081276194938</t>
        </is>
      </c>
      <c r="D137" t="inlineStr">
        <is>
          <t>tunasintiabadi.cv@gmail.com</t>
        </is>
      </c>
      <c r="E137" t="inlineStr">
        <is>
          <t>https://lpjk.pu.go.id/search-badan-usaha-detail/UUZpcUdPdUhPQ0dDbXE3YkRMKys5Zz09</t>
        </is>
      </c>
      <c r="F137" t="n">
        <v>2</v>
      </c>
      <c r="G137" t="inlineStr">
        <is>
          <t>BS001, BS004</t>
        </is>
      </c>
      <c r="H137" t="inlineStr">
        <is>
          <t>20 Januari 2015</t>
        </is>
      </c>
      <c r="I137" s="2" t="n">
        <v>46268</v>
      </c>
      <c r="J137" t="inlineStr">
        <is>
          <t>Disetujui</t>
        </is>
      </c>
      <c r="K137" t="n">
        <v>30</v>
      </c>
      <c r="L137" t="inlineStr">
        <is>
          <t>3 September 2026</t>
        </is>
      </c>
      <c r="M137" t="inlineStr">
        <is>
          <t>Konstruksi Bangunan Sipil Jalan, Konstruksi Jaringan Irigasi dan Drainase</t>
        </is>
      </c>
      <c r="N137" t="inlineStr">
        <is>
          <t>K</t>
        </is>
      </c>
      <c r="O137" t="inlineStr">
        <is>
          <t>20230830</t>
        </is>
      </c>
      <c r="P137" t="inlineStr">
        <is>
          <t>Sumatera Barat</t>
        </is>
      </c>
      <c r="Q137" t="inlineStr"/>
    </row>
    <row r="138">
      <c r="A138" t="inlineStr">
        <is>
          <t>UNITED 07 CONSULTANT</t>
        </is>
      </c>
      <c r="B138" t="inlineStr">
        <is>
          <t>Kota Samarinda</t>
        </is>
      </c>
      <c r="C138" t="inlineStr">
        <is>
          <t>081258945433</t>
        </is>
      </c>
      <c r="D138" t="inlineStr">
        <is>
          <t>unitedconsultant07@gmail.com</t>
        </is>
      </c>
      <c r="E138" t="inlineStr">
        <is>
          <t>https://lpjk.pu.go.id/search-badan-usaha-detail/VDBsdm5BV1p3R0lHMUw3TGRJcTNxdz09</t>
        </is>
      </c>
      <c r="F138" t="n">
        <v>12</v>
      </c>
      <c r="G138" t="inlineStr">
        <is>
          <t>AR001, AR002, RK001, RK002, RK003, RK005</t>
        </is>
      </c>
      <c r="H138" t="inlineStr">
        <is>
          <t>7 Desember 2007</t>
        </is>
      </c>
      <c r="I138" s="2" t="n">
        <v>46268</v>
      </c>
      <c r="J138" t="inlineStr">
        <is>
          <t>Disetujui</t>
        </is>
      </c>
      <c r="K138" t="n">
        <v>30</v>
      </c>
      <c r="L138" t="inlineStr">
        <is>
          <t>3 September 2026</t>
        </is>
      </c>
      <c r="M138"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138" t="inlineStr">
        <is>
          <t>K</t>
        </is>
      </c>
      <c r="O138" t="inlineStr">
        <is>
          <t>20230824, 20230825</t>
        </is>
      </c>
      <c r="P138" t="inlineStr">
        <is>
          <t>Kalimantan Timur</t>
        </is>
      </c>
      <c r="Q138" t="inlineStr"/>
    </row>
    <row r="139">
      <c r="A139" t="inlineStr">
        <is>
          <t>UPAYA KARYA MALAQBIQ</t>
        </is>
      </c>
      <c r="B139" t="inlineStr">
        <is>
          <t>Kab. Kotabaru</t>
        </is>
      </c>
      <c r="C139" t="inlineStr">
        <is>
          <t>081348683528</t>
        </is>
      </c>
      <c r="D139" t="inlineStr">
        <is>
          <t>cvupayakaryamalaqbiq@gmail.com</t>
        </is>
      </c>
      <c r="E139" t="inlineStr">
        <is>
          <t>https://lpjk.pu.go.id/search-badan-usaha-detail/REFBSnFndUg2MmZGcHRIWXgvamQ5dz09</t>
        </is>
      </c>
      <c r="F139" t="n">
        <v>1</v>
      </c>
      <c r="G139" t="inlineStr">
        <is>
          <t>BG009</t>
        </is>
      </c>
      <c r="H139" t="inlineStr">
        <is>
          <t>3 Mei 2023</t>
        </is>
      </c>
      <c r="I139" s="2" t="n">
        <v>46268</v>
      </c>
      <c r="J139" t="inlineStr">
        <is>
          <t>Disetujui</t>
        </is>
      </c>
      <c r="K139" t="n">
        <v>30</v>
      </c>
      <c r="L139" t="inlineStr">
        <is>
          <t>3 September 2026</t>
        </is>
      </c>
      <c r="M139" t="inlineStr">
        <is>
          <t>Konstruksi Gedung Lainnya</t>
        </is>
      </c>
      <c r="N139" t="inlineStr">
        <is>
          <t>K</t>
        </is>
      </c>
      <c r="O139" t="inlineStr">
        <is>
          <t>20230703</t>
        </is>
      </c>
      <c r="P139" t="inlineStr">
        <is>
          <t>Kalimantan Selatan</t>
        </is>
      </c>
      <c r="Q139" t="inlineStr"/>
    </row>
    <row r="140">
      <c r="A140" t="inlineStr">
        <is>
          <t>WAHANA TATA KONSULTAN</t>
        </is>
      </c>
      <c r="B140" t="inlineStr">
        <is>
          <t>Kab. Ngawi</t>
        </is>
      </c>
      <c r="C140" t="inlineStr">
        <is>
          <t>082131003343</t>
        </is>
      </c>
      <c r="D140" t="inlineStr">
        <is>
          <t>wahanawtkngw@yahoo.com</t>
        </is>
      </c>
      <c r="E140" t="inlineStr">
        <is>
          <t>https://lpjk.pu.go.id/search-badan-usaha-detail/ZkhZdThBd1ZXeVY3RXMvcDBwbjVhdz09</t>
        </is>
      </c>
      <c r="F140" t="n">
        <v>3</v>
      </c>
      <c r="G140" t="inlineStr">
        <is>
          <t>RK001, RK002, RK003</t>
        </is>
      </c>
      <c r="H140" t="inlineStr">
        <is>
          <t>30 April 2003</t>
        </is>
      </c>
      <c r="I140" s="2" t="n">
        <v>46268</v>
      </c>
      <c r="J140" t="inlineStr">
        <is>
          <t>Disetujui, Pencabutan</t>
        </is>
      </c>
      <c r="K140" t="n">
        <v>30</v>
      </c>
      <c r="L140" t="inlineStr">
        <is>
          <t>3 September 2026</t>
        </is>
      </c>
      <c r="M140" t="inlineStr">
        <is>
          <t>Jasa Rekayasa Konstruksi Bangunan Gedung Hunian dan Non Hunian, Jasa Rekayasa Pekerjaan Teknik Sipil Sumber Daya Air, Jasa Rekayasa Pekerjaan Teknik Sipil Transportasi</t>
        </is>
      </c>
      <c r="N140" t="inlineStr">
        <is>
          <t>K</t>
        </is>
      </c>
      <c r="O140" t="inlineStr">
        <is>
          <t>20230804</t>
        </is>
      </c>
      <c r="P140" t="inlineStr">
        <is>
          <t>Jawa Timur</t>
        </is>
      </c>
      <c r="Q140" t="inlineStr"/>
    </row>
    <row r="141">
      <c r="A141" t="inlineStr">
        <is>
          <t>WAHYU LESTARI</t>
        </is>
      </c>
      <c r="B141" t="inlineStr">
        <is>
          <t>Kab. Belitung</t>
        </is>
      </c>
      <c r="C141" t="inlineStr">
        <is>
          <t>081927789868</t>
        </is>
      </c>
      <c r="D141" t="inlineStr">
        <is>
          <t>cvwahyulestari@yahoo.co.id</t>
        </is>
      </c>
      <c r="E141" t="inlineStr">
        <is>
          <t>https://lpjk.pu.go.id/search-badan-usaha-detail/SnY4d1piazZBOE9mc1hEUVp4dDhOZz09</t>
        </is>
      </c>
      <c r="F141" t="n">
        <v>4</v>
      </c>
      <c r="G141" t="inlineStr">
        <is>
          <t>BG004, BG006, BG009, BS005</t>
        </is>
      </c>
      <c r="H141" t="inlineStr">
        <is>
          <t>29 Mei 2002</t>
        </is>
      </c>
      <c r="I141" s="2" t="n">
        <v>46268</v>
      </c>
      <c r="J141" t="inlineStr">
        <is>
          <t>Disetujui</t>
        </is>
      </c>
      <c r="K141" t="n">
        <v>30</v>
      </c>
      <c r="L141" t="inlineStr">
        <is>
          <t>3 September 2026</t>
        </is>
      </c>
      <c r="M141" t="inlineStr">
        <is>
          <t>Konstruksi Bangunan Sipil Pengolahan Air Bersih, Konstruksi Gedung Lainnya, Konstruksi Gedung Pendidikan, Konstruksi Gedung Perbelanjaan</t>
        </is>
      </c>
      <c r="N141" t="inlineStr">
        <is>
          <t>K</t>
        </is>
      </c>
      <c r="O141" t="inlineStr">
        <is>
          <t>20230829</t>
        </is>
      </c>
      <c r="P141" t="inlineStr">
        <is>
          <t>Kepulauan Bangka Belitung</t>
        </is>
      </c>
      <c r="Q141" t="inlineStr"/>
    </row>
    <row r="142">
      <c r="A142" t="inlineStr">
        <is>
          <t>WIJAYA RAYA PERKASA</t>
        </is>
      </c>
      <c r="B142" t="inlineStr">
        <is>
          <t>Kab. Cirebon</t>
        </is>
      </c>
      <c r="C142" t="inlineStr">
        <is>
          <t>0231220994</t>
        </is>
      </c>
      <c r="D142" t="inlineStr">
        <is>
          <t>sbnwrp@gmail.com</t>
        </is>
      </c>
      <c r="E142" t="inlineStr">
        <is>
          <t>https://lpjk.pu.go.id/search-badan-usaha-detail/UWcveEZlODhXbXFVajhvUW5GU0NFdz09</t>
        </is>
      </c>
      <c r="F142" t="n">
        <v>2</v>
      </c>
      <c r="G142" t="inlineStr">
        <is>
          <t>IN007</t>
        </is>
      </c>
      <c r="H142" t="inlineStr">
        <is>
          <t>7 Juni 2007</t>
        </is>
      </c>
      <c r="I142" s="2" t="n">
        <v>46268</v>
      </c>
      <c r="J142" t="inlineStr">
        <is>
          <t>Pencabutan</t>
        </is>
      </c>
      <c r="K142" t="n">
        <v>30</v>
      </c>
      <c r="L142" t="inlineStr">
        <is>
          <t>3 September 2026</t>
        </is>
      </c>
      <c r="M142" t="inlineStr">
        <is>
          <t>Instalasi Saluran Air (Plambing)</t>
        </is>
      </c>
      <c r="N142" t="inlineStr">
        <is>
          <t>Spesialis</t>
        </is>
      </c>
      <c r="O142" t="inlineStr">
        <is>
          <t>20230824</t>
        </is>
      </c>
      <c r="P142" t="inlineStr">
        <is>
          <t>Jawa Barat</t>
        </is>
      </c>
      <c r="Q142" t="inlineStr"/>
    </row>
    <row r="143">
      <c r="A143" t="inlineStr">
        <is>
          <t>ZONA TATA PERSADA</t>
        </is>
      </c>
      <c r="B143" t="inlineStr">
        <is>
          <t>Kab. Tegal</t>
        </is>
      </c>
      <c r="C143" t="inlineStr">
        <is>
          <t>081575058009</t>
        </is>
      </c>
      <c r="D143" t="inlineStr">
        <is>
          <t>zonatatarba@gmail.com</t>
        </is>
      </c>
      <c r="E143" t="inlineStr">
        <is>
          <t>https://lpjk.pu.go.id/search-badan-usaha-detail/eU1Qa05hWU9CZkJuNDZaQkNBeHJKUT09</t>
        </is>
      </c>
      <c r="F143" t="n">
        <v>4</v>
      </c>
      <c r="G143" t="inlineStr">
        <is>
          <t>BG002, BG005, BS001</t>
        </is>
      </c>
      <c r="H143" t="inlineStr">
        <is>
          <t>16 Juli 2009</t>
        </is>
      </c>
      <c r="I143" s="2" t="n">
        <v>46268</v>
      </c>
      <c r="J143" t="inlineStr">
        <is>
          <t>Disetujui</t>
        </is>
      </c>
      <c r="K143" t="n">
        <v>30</v>
      </c>
      <c r="L143" t="inlineStr">
        <is>
          <t>3 September 2026</t>
        </is>
      </c>
      <c r="M143" t="inlineStr">
        <is>
          <t>Konstruksi Bangunan Sipil Jalan, Konstruksi Gedung Kesehatan, Konstruksi Gedung Perkantoran</t>
        </is>
      </c>
      <c r="N143" t="inlineStr">
        <is>
          <t>K</t>
        </is>
      </c>
      <c r="O143" t="inlineStr">
        <is>
          <t>20220908, 20230831, 20230901</t>
        </is>
      </c>
      <c r="P143" t="inlineStr">
        <is>
          <t>Jawa Tengah</t>
        </is>
      </c>
      <c r="Q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2026-08-04T09:14:48Z</dcterms:created>
  <dcterms:modified xsi:type="dcterms:W3CDTF">2026-08-04T09:14:48Z</dcterms:modified>
</cp:coreProperties>
</file>