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1" customWidth="1" min="1" max="1"/>
    <col width="25" customWidth="1" min="2" max="2"/>
    <col width="16" customWidth="1" min="3" max="3"/>
    <col width="39" customWidth="1" min="4" max="4"/>
    <col width="50" customWidth="1" min="5" max="5"/>
    <col width="18" customWidth="1" min="6" max="6"/>
    <col width="28"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2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RIZKY LIMA SAUDARA</t>
        </is>
      </c>
      <c r="B2" t="inlineStr">
        <is>
          <t>Kota Depok</t>
        </is>
      </c>
      <c r="C2" t="inlineStr">
        <is>
          <t>081318291229</t>
        </is>
      </c>
      <c r="D2" t="inlineStr">
        <is>
          <t>rizky5saudara@gmail.com</t>
        </is>
      </c>
      <c r="E2" t="inlineStr">
        <is>
          <t>https://lpjk.pu.go.id/search-badan-usaha-detail/Ykw4ekpHS2FiTjVVVEtLUDZFTHMxUT09</t>
        </is>
      </c>
      <c r="F2" t="n">
        <v>1</v>
      </c>
      <c r="G2" t="inlineStr">
        <is>
          <t>BS004</t>
        </is>
      </c>
      <c r="H2" t="inlineStr">
        <is>
          <t>3 Maret 2016</t>
        </is>
      </c>
      <c r="I2" s="2" t="n">
        <v>46254</v>
      </c>
      <c r="J2" t="inlineStr">
        <is>
          <t>Disetujui</t>
        </is>
      </c>
      <c r="K2" t="n">
        <v>90</v>
      </c>
      <c r="L2" t="inlineStr">
        <is>
          <t>20 Agustus 2026</t>
        </is>
      </c>
      <c r="M2" t="inlineStr">
        <is>
          <t>Konstruksi Jaringan Irigasi dan Drainase</t>
        </is>
      </c>
      <c r="N2" t="inlineStr">
        <is>
          <t>K</t>
        </is>
      </c>
      <c r="O2" t="inlineStr">
        <is>
          <t>20230816</t>
        </is>
      </c>
      <c r="P2" t="inlineStr">
        <is>
          <t>Jawa Barat</t>
        </is>
      </c>
      <c r="Q2" s="3">
        <f>HYPERLINK("https://wa.me/6281318291229?text=Selamat siang Bapak/Ibu pimpinan RIZKY LIMA SAUDARA,%0A%0ASemoga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
      <c r="A3" t="inlineStr">
        <is>
          <t>TARA BINTANG PERMAI</t>
        </is>
      </c>
      <c r="B3" t="inlineStr">
        <is>
          <t>Kota Adm. Jakarta Timur</t>
        </is>
      </c>
      <c r="C3" t="inlineStr">
        <is>
          <t>081383123631</t>
        </is>
      </c>
      <c r="D3" t="inlineStr">
        <is>
          <t>pt.tarabintangpermai@gmail.com</t>
        </is>
      </c>
      <c r="E3" t="inlineStr">
        <is>
          <t>https://lpjk.pu.go.id/search-badan-usaha-detail/UkhJbldJREM3Y0REZjFQZm1UVCsvdz09</t>
        </is>
      </c>
      <c r="F3" t="n">
        <v>1</v>
      </c>
      <c r="G3" t="inlineStr">
        <is>
          <t>BS010</t>
        </is>
      </c>
      <c r="H3" t="inlineStr">
        <is>
          <t>9 Februari 2016</t>
        </is>
      </c>
      <c r="I3" s="2" t="n">
        <v>46254</v>
      </c>
      <c r="J3" t="inlineStr">
        <is>
          <t>Disetujui</t>
        </is>
      </c>
      <c r="K3" t="n">
        <v>90</v>
      </c>
      <c r="L3" t="inlineStr">
        <is>
          <t>20 Agustus 2026</t>
        </is>
      </c>
      <c r="M3" t="inlineStr">
        <is>
          <t>Konstruksi Bangunan Prasarana Sumber Daya Air</t>
        </is>
      </c>
      <c r="N3" t="inlineStr">
        <is>
          <t>K</t>
        </is>
      </c>
      <c r="O3" t="inlineStr">
        <is>
          <t>20230609</t>
        </is>
      </c>
      <c r="P3" t="inlineStr">
        <is>
          <t>DKI Jakarta</t>
        </is>
      </c>
      <c r="Q3" s="3">
        <f>HYPERLINK("https://wa.me/6281383123631?text=Selamat siang Bapak/Ibu pimpinan TARA BINTANG PERMAI,%0A%0ASemoga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4">
      <c r="A4" t="inlineStr">
        <is>
          <t>ALAM ANGESTA</t>
        </is>
      </c>
      <c r="B4" t="inlineStr">
        <is>
          <t>Kota Bandung</t>
        </is>
      </c>
      <c r="C4" t="inlineStr">
        <is>
          <t>081220012288</t>
        </is>
      </c>
      <c r="D4" t="inlineStr">
        <is>
          <t>alamangesta@gmail.com</t>
        </is>
      </c>
      <c r="E4" t="inlineStr">
        <is>
          <t>https://lpjk.pu.go.id/search-badan-usaha-detail/eXkxVHYxV2JyRHVoN2VaVFNsTkxidz09</t>
        </is>
      </c>
      <c r="F4" t="n">
        <v>2</v>
      </c>
      <c r="G4" t="inlineStr">
        <is>
          <t>BS001, BS004</t>
        </is>
      </c>
      <c r="H4" t="inlineStr">
        <is>
          <t>4 Februari 2025</t>
        </is>
      </c>
      <c r="I4" s="2" t="n">
        <v>46254</v>
      </c>
      <c r="J4" t="inlineStr">
        <is>
          <t>Disetujui</t>
        </is>
      </c>
      <c r="K4" t="n">
        <v>90</v>
      </c>
      <c r="L4" t="inlineStr">
        <is>
          <t>20 Agustus 2026</t>
        </is>
      </c>
      <c r="M4" t="inlineStr">
        <is>
          <t>Konstruksi Bangunan Sipil Jalan, Konstruksi Jaringan Irigasi dan Drainase</t>
        </is>
      </c>
      <c r="N4" t="inlineStr">
        <is>
          <t>K</t>
        </is>
      </c>
      <c r="O4" t="inlineStr">
        <is>
          <t>20230814</t>
        </is>
      </c>
      <c r="P4" t="inlineStr">
        <is>
          <t>Jawa Barat</t>
        </is>
      </c>
      <c r="Q4" s="3">
        <f>HYPERLINK("https://wa.me/6281220012288?text=Selamat siang Bapak/Ibu pimpinan ALAM ANGESTA,%0A%0ASemoga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5">
      <c r="A5" t="inlineStr">
        <is>
          <t>BADIA KARYA</t>
        </is>
      </c>
      <c r="B5" t="inlineStr">
        <is>
          <t>Kab. Pangandaran</t>
        </is>
      </c>
      <c r="C5" t="inlineStr">
        <is>
          <t>085280391199</t>
        </is>
      </c>
      <c r="D5" t="inlineStr">
        <is>
          <t>cv.badiakarya91@gmail.com</t>
        </is>
      </c>
      <c r="E5" t="inlineStr">
        <is>
          <t>https://lpjk.pu.go.id/search-badan-usaha-detail/c1Jwc25tY2dzempEREthUjFOMzIrdz09</t>
        </is>
      </c>
      <c r="F5" t="n">
        <v>1</v>
      </c>
      <c r="G5" t="inlineStr">
        <is>
          <t>BS012</t>
        </is>
      </c>
      <c r="H5" t="inlineStr">
        <is>
          <t>10 Februari 2012</t>
        </is>
      </c>
      <c r="I5" s="2" t="n">
        <v>46254</v>
      </c>
      <c r="J5" t="inlineStr">
        <is>
          <t>Disetujui</t>
        </is>
      </c>
      <c r="K5" t="n">
        <v>90</v>
      </c>
      <c r="L5" t="inlineStr">
        <is>
          <t>20 Agustus 2026</t>
        </is>
      </c>
      <c r="M5" t="inlineStr">
        <is>
          <t>Konstruksi Bangunan Pelabuhan Perikanan</t>
        </is>
      </c>
      <c r="N5" t="inlineStr">
        <is>
          <t>K</t>
        </is>
      </c>
      <c r="O5" t="inlineStr">
        <is>
          <t>20230814</t>
        </is>
      </c>
      <c r="P5" t="inlineStr">
        <is>
          <t>Jawa Barat</t>
        </is>
      </c>
      <c r="Q5" s="3">
        <f>HYPERLINK("https://wa.me/6285280391199?text=Selamat siang Bapak/Ibu pimpinan BADIA KARYA,%0A%0ASemoga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6">
      <c r="A6" t="inlineStr">
        <is>
          <t>BHAKTI NUSA DEVELOPMENT</t>
        </is>
      </c>
      <c r="B6" t="inlineStr">
        <is>
          <t>Kota Bengkulu</t>
        </is>
      </c>
      <c r="C6" t="inlineStr">
        <is>
          <t>0</t>
        </is>
      </c>
      <c r="D6" t="inlineStr">
        <is>
          <t>bnd.050107@gmail.com</t>
        </is>
      </c>
      <c r="E6" t="inlineStr">
        <is>
          <t>https://lpjk.pu.go.id/search-badan-usaha-detail/c2xCWXprR0VBQzBIbkhLV0V6MEV3dz09</t>
        </is>
      </c>
      <c r="F6" t="n">
        <v>1</v>
      </c>
      <c r="G6" t="inlineStr">
        <is>
          <t>BG001</t>
        </is>
      </c>
      <c r="H6" t="inlineStr">
        <is>
          <t>5 Januari 2007</t>
        </is>
      </c>
      <c r="I6" s="2" t="n">
        <v>46254</v>
      </c>
      <c r="J6" t="inlineStr">
        <is>
          <t>Disetujui</t>
        </is>
      </c>
      <c r="K6" t="n">
        <v>90</v>
      </c>
      <c r="L6" t="inlineStr">
        <is>
          <t>20 Agustus 2026</t>
        </is>
      </c>
      <c r="M6" t="inlineStr">
        <is>
          <t>Konstruksi Gedung Hunian</t>
        </is>
      </c>
      <c r="N6" t="inlineStr">
        <is>
          <t>K</t>
        </is>
      </c>
      <c r="O6" t="inlineStr">
        <is>
          <t>20230613</t>
        </is>
      </c>
      <c r="P6" t="inlineStr">
        <is>
          <t>Bengkulu</t>
        </is>
      </c>
      <c r="Q6" s="3">
        <f>HYPERLINK("https://wa.me/62?text=Selamat siang Bapak/Ibu pimpinan BHAKTI NUSA DEVELOPMENT,%0A%0ASemoga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7">
      <c r="A7" t="inlineStr">
        <is>
          <t>CAHAYA CENDRAWASIH MANDIRI</t>
        </is>
      </c>
      <c r="B7" t="inlineStr">
        <is>
          <t>Kota Sorong</t>
        </is>
      </c>
      <c r="C7" t="inlineStr">
        <is>
          <t>081344996666</t>
        </is>
      </c>
      <c r="D7" t="inlineStr">
        <is>
          <t>cvcahayacendrawasihmandiri@gmail.coM</t>
        </is>
      </c>
      <c r="E7" t="inlineStr">
        <is>
          <t>https://lpjk.pu.go.id/search-badan-usaha-detail/UTdwRzlGZnh4cldRQkNnSEZBR3g3QT09</t>
        </is>
      </c>
      <c r="F7" t="n">
        <v>1</v>
      </c>
      <c r="G7" t="inlineStr">
        <is>
          <t>BS001</t>
        </is>
      </c>
      <c r="H7" t="inlineStr">
        <is>
          <t>13 Juni 2023</t>
        </is>
      </c>
      <c r="I7" s="2" t="n">
        <v>46254</v>
      </c>
      <c r="J7" t="inlineStr">
        <is>
          <t>Pencabutan</t>
        </is>
      </c>
      <c r="K7" t="n">
        <v>90</v>
      </c>
      <c r="L7" t="inlineStr">
        <is>
          <t>20 Agustus 2026</t>
        </is>
      </c>
      <c r="M7" t="inlineStr">
        <is>
          <t>Konstruksi Bangunan Sipil Jalan</t>
        </is>
      </c>
      <c r="N7" t="inlineStr">
        <is>
          <t>K</t>
        </is>
      </c>
      <c r="O7" t="inlineStr">
        <is>
          <t>20230815</t>
        </is>
      </c>
      <c r="P7" t="inlineStr">
        <is>
          <t>Papua Barat</t>
        </is>
      </c>
      <c r="Q7" s="3">
        <f>HYPERLINK("https://wa.me/6281344996666?text=Selamat siang Bapak/Ibu pimpinan CAHAYA CENDRAWASIH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8">
      <c r="A8" t="inlineStr">
        <is>
          <t>CENDANA INDAH</t>
        </is>
      </c>
      <c r="B8" t="inlineStr">
        <is>
          <t>Kab. Sampang</t>
        </is>
      </c>
      <c r="C8" t="inlineStr">
        <is>
          <t>081949862346</t>
        </is>
      </c>
      <c r="D8" t="inlineStr">
        <is>
          <t>cendana.indah_cv@yahoo.com</t>
        </is>
      </c>
      <c r="E8" t="inlineStr">
        <is>
          <t>https://lpjk.pu.go.id/search-badan-usaha-detail/SDRHY2l0VDZLMXN0L1BNZUxXMWdpTENGM2x6Z0lEZXovblVzTmlDZFUxbz0</t>
        </is>
      </c>
      <c r="F8" t="n">
        <v>2</v>
      </c>
      <c r="G8" t="inlineStr">
        <is>
          <t>BG005, BG009</t>
        </is>
      </c>
      <c r="H8" t="inlineStr">
        <is>
          <t>2 April 2026</t>
        </is>
      </c>
      <c r="I8" s="2" t="n">
        <v>46254</v>
      </c>
      <c r="J8" t="inlineStr">
        <is>
          <t>Disetujui</t>
        </is>
      </c>
      <c r="K8" t="n">
        <v>90</v>
      </c>
      <c r="L8" t="inlineStr">
        <is>
          <t>20 Agustus 2026</t>
        </is>
      </c>
      <c r="M8" t="inlineStr">
        <is>
          <t>Konstruksi Gedung Kesehatan, Konstruksi Gedung Lainnya</t>
        </is>
      </c>
      <c r="N8" t="inlineStr">
        <is>
          <t>K</t>
        </is>
      </c>
      <c r="O8" t="inlineStr">
        <is>
          <t>20230814, 20230815</t>
        </is>
      </c>
      <c r="P8" t="inlineStr">
        <is>
          <t>Jawa Timur</t>
        </is>
      </c>
      <c r="Q8" s="3">
        <f>HYPERLINK("https://wa.me/6281949862346?text=Selamat siang Bapak/Ibu pimpinan CENDANA INDAH,%0A%0ASemoga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9">
      <c r="A9" t="inlineStr">
        <is>
          <t>CITRA TRIDAYA</t>
        </is>
      </c>
      <c r="B9" t="inlineStr">
        <is>
          <t>Kab. Purworejo</t>
        </is>
      </c>
      <c r="C9" t="inlineStr">
        <is>
          <t>085292288999</t>
        </is>
      </c>
      <c r="D9" t="inlineStr">
        <is>
          <t>citratridaya@gmail.com</t>
        </is>
      </c>
      <c r="E9" t="inlineStr">
        <is>
          <t>https://lpjk.pu.go.id/search-badan-usaha-detail/MzVpdTc4WkxubXNRN25CR05VVlVNQT09</t>
        </is>
      </c>
      <c r="F9" t="n">
        <v>1</v>
      </c>
      <c r="G9" t="inlineStr">
        <is>
          <t>BG009</t>
        </is>
      </c>
      <c r="H9" t="inlineStr">
        <is>
          <t>7 Agustus 2008</t>
        </is>
      </c>
      <c r="I9" s="2" t="n">
        <v>46254</v>
      </c>
      <c r="J9" t="inlineStr">
        <is>
          <t>Disetujui</t>
        </is>
      </c>
      <c r="K9" t="n">
        <v>90</v>
      </c>
      <c r="L9" t="inlineStr">
        <is>
          <t>20 Agustus 2026</t>
        </is>
      </c>
      <c r="M9" t="inlineStr">
        <is>
          <t>Konstruksi Gedung Lainnya</t>
        </is>
      </c>
      <c r="N9" t="inlineStr">
        <is>
          <t>K</t>
        </is>
      </c>
      <c r="O9" t="inlineStr">
        <is>
          <t>20230817</t>
        </is>
      </c>
      <c r="P9" t="inlineStr">
        <is>
          <t>Jawa Tengah</t>
        </is>
      </c>
      <c r="Q9" s="3">
        <f>HYPERLINK("https://wa.me/6285292288999?text=Selamat siang Bapak/Ibu pimpinan CITRA TRIDAYA,%0A%0ASemoga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0">
      <c r="A10" t="inlineStr">
        <is>
          <t>DEVINA ANUGERAH SUMBERTAMA</t>
        </is>
      </c>
      <c r="B10" t="inlineStr">
        <is>
          <t>Kab. Sumbawa Barat</t>
        </is>
      </c>
      <c r="C10" t="inlineStr">
        <is>
          <t>087847379056</t>
        </is>
      </c>
      <c r="D10" t="inlineStr">
        <is>
          <t>pt.devinaanugerahsumbertama@gmail.com</t>
        </is>
      </c>
      <c r="E10" t="inlineStr">
        <is>
          <t>https://lpjk.pu.go.id/search-badan-usaha-detail/Nkd0blVOUHU5bmVhSVU3a1ZNaDdLQT09</t>
        </is>
      </c>
      <c r="F10" t="n">
        <v>1</v>
      </c>
      <c r="G10" t="inlineStr">
        <is>
          <t>BG004</t>
        </is>
      </c>
      <c r="H10" t="inlineStr">
        <is>
          <t>9 November 2022</t>
        </is>
      </c>
      <c r="I10" s="2" t="n">
        <v>46254</v>
      </c>
      <c r="J10" t="inlineStr">
        <is>
          <t>Disetujui</t>
        </is>
      </c>
      <c r="K10" t="n">
        <v>90</v>
      </c>
      <c r="L10" t="inlineStr">
        <is>
          <t>20 Agustus 2026</t>
        </is>
      </c>
      <c r="M10" t="inlineStr">
        <is>
          <t>Konstruksi Gedung Perbelanjaan</t>
        </is>
      </c>
      <c r="N10" t="inlineStr">
        <is>
          <t>K</t>
        </is>
      </c>
      <c r="O10" t="inlineStr">
        <is>
          <t>20230814</t>
        </is>
      </c>
      <c r="P10" t="inlineStr">
        <is>
          <t>Nusa Tenggara Barat</t>
        </is>
      </c>
      <c r="Q10" s="3">
        <f>HYPERLINK("https://wa.me/6287847379056?text=Selamat siang Bapak/Ibu pimpinan DEVINA ANUGERAH SUMBERTAMA,%0A%0ASemoga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1">
      <c r="A11" t="inlineStr">
        <is>
          <t>DUNIA INDAH JAYA</t>
        </is>
      </c>
      <c r="B11" t="inlineStr">
        <is>
          <t>Kab. Sukoharjo</t>
        </is>
      </c>
      <c r="C11" t="inlineStr">
        <is>
          <t>085725061175</t>
        </is>
      </c>
      <c r="D11" t="inlineStr">
        <is>
          <t>duniaindahjaya1@gmail.com</t>
        </is>
      </c>
      <c r="E11" t="inlineStr">
        <is>
          <t>https://lpjk.pu.go.id/search-badan-usaha-detail/c2JCNStLSVNtZjV4MERwZThBNU9qUT09</t>
        </is>
      </c>
      <c r="F11" t="n">
        <v>1</v>
      </c>
      <c r="G11" t="inlineStr">
        <is>
          <t>BS001</t>
        </is>
      </c>
      <c r="H11" t="inlineStr">
        <is>
          <t>18 Januari 2023</t>
        </is>
      </c>
      <c r="I11" s="2" t="n">
        <v>46254</v>
      </c>
      <c r="J11" t="inlineStr">
        <is>
          <t>Disetujui</t>
        </is>
      </c>
      <c r="K11" t="n">
        <v>90</v>
      </c>
      <c r="L11" t="inlineStr">
        <is>
          <t>20 Agustus 2026</t>
        </is>
      </c>
      <c r="M11" t="inlineStr">
        <is>
          <t>Konstruksi Bangunan Sipil Jalan</t>
        </is>
      </c>
      <c r="N11" t="inlineStr">
        <is>
          <t>K</t>
        </is>
      </c>
      <c r="O11" t="inlineStr">
        <is>
          <t>20230813</t>
        </is>
      </c>
      <c r="P11" t="inlineStr">
        <is>
          <t>Jawa Tengah</t>
        </is>
      </c>
      <c r="Q11" s="3">
        <f>HYPERLINK("https://wa.me/6285725061175?text=Selamat siang Bapak/Ibu pimpinan DUNIA INDAH JAYA,%0A%0ASemoga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2">
      <c r="A12" t="inlineStr">
        <is>
          <t>ERINA JAYA 1</t>
        </is>
      </c>
      <c r="B12" t="inlineStr">
        <is>
          <t>Kab. Sukabumi</t>
        </is>
      </c>
      <c r="C12" t="inlineStr">
        <is>
          <t>0266229641</t>
        </is>
      </c>
      <c r="D12" t="inlineStr">
        <is>
          <t>erinajaya1@gmail.com</t>
        </is>
      </c>
      <c r="E12" t="inlineStr">
        <is>
          <t>https://lpjk.pu.go.id/search-badan-usaha-detail/QWFsS1h5VTRybzczblllYWw3WHNNQT09</t>
        </is>
      </c>
      <c r="F12" t="n">
        <v>2</v>
      </c>
      <c r="G12" t="inlineStr">
        <is>
          <t>BG005, BS004</t>
        </is>
      </c>
      <c r="H12" t="inlineStr">
        <is>
          <t>11 Juli 1978</t>
        </is>
      </c>
      <c r="I12" s="2" t="n">
        <v>46254</v>
      </c>
      <c r="J12" t="inlineStr">
        <is>
          <t>Pencabutan</t>
        </is>
      </c>
      <c r="K12" t="n">
        <v>90</v>
      </c>
      <c r="L12" t="inlineStr">
        <is>
          <t>20 Agustus 2026</t>
        </is>
      </c>
      <c r="M12" t="inlineStr">
        <is>
          <t>Konstruksi Gedung Kesehatan, Konstruksi Jaringan Irigasi dan Drainase</t>
        </is>
      </c>
      <c r="N12" t="inlineStr">
        <is>
          <t>K</t>
        </is>
      </c>
      <c r="O12" t="inlineStr">
        <is>
          <t>20230810, 20230818</t>
        </is>
      </c>
      <c r="P12" t="inlineStr">
        <is>
          <t>Jawa Barat</t>
        </is>
      </c>
      <c r="Q12" s="3">
        <f>HYPERLINK("https://wa.me/62266229641?text=Selamat siang Bapak/Ibu pimpinan ERINA JAYA 1,%0A%0ASemoga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3">
      <c r="A13" t="inlineStr">
        <is>
          <t>FAJAR RAFANDA CONSTRUCTION</t>
        </is>
      </c>
      <c r="B13" t="inlineStr">
        <is>
          <t>Kab. Kotabaru</t>
        </is>
      </c>
      <c r="C13" t="inlineStr">
        <is>
          <t>082142084060</t>
        </is>
      </c>
      <c r="D13" t="inlineStr">
        <is>
          <t>rafanda48erna@gmail.com</t>
        </is>
      </c>
      <c r="E13" t="inlineStr">
        <is>
          <t>https://lpjk.pu.go.id/search-badan-usaha-detail/R1pxMFRCbjcrZzNuaEdOQWdlVmZsUT09</t>
        </is>
      </c>
      <c r="F13" t="n">
        <v>3</v>
      </c>
      <c r="G13" t="inlineStr">
        <is>
          <t>BG001, BG003, BS001</t>
        </is>
      </c>
      <c r="H13" t="inlineStr">
        <is>
          <t>17 Januari 2018</t>
        </is>
      </c>
      <c r="I13" s="2" t="n">
        <v>46254</v>
      </c>
      <c r="J13" t="inlineStr">
        <is>
          <t>Disetujui</t>
        </is>
      </c>
      <c r="K13" t="n">
        <v>90</v>
      </c>
      <c r="L13" t="inlineStr">
        <is>
          <t>20 Agustus 2026</t>
        </is>
      </c>
      <c r="M13" t="inlineStr">
        <is>
          <t>Konstruksi Bangunan Sipil Jalan, Konstruksi Gedung Hunian, Konstruksi Gedung Industri</t>
        </is>
      </c>
      <c r="N13" t="inlineStr">
        <is>
          <t>K</t>
        </is>
      </c>
      <c r="O13" t="inlineStr">
        <is>
          <t>20230814</t>
        </is>
      </c>
      <c r="P13" t="inlineStr">
        <is>
          <t>Kalimantan Selatan</t>
        </is>
      </c>
      <c r="Q13" s="3">
        <f>HYPERLINK("https://wa.me/6282142084060?text=Selamat siang Bapak/Ibu pimpinan FAJAR RAFANDA CONSTRUCTION,%0A%0ASemoga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4">
      <c r="A14" t="inlineStr">
        <is>
          <t>FAUZAN</t>
        </is>
      </c>
      <c r="B14" t="inlineStr">
        <is>
          <t>Kab. Ciamis</t>
        </is>
      </c>
      <c r="C14" t="inlineStr">
        <is>
          <t>085222226922</t>
        </is>
      </c>
      <c r="D14" t="inlineStr">
        <is>
          <t>cv.fauzan74@gmail.com</t>
        </is>
      </c>
      <c r="E14" t="inlineStr">
        <is>
          <t>https://lpjk.pu.go.id/search-badan-usaha-detail/bGNPdmk5RWR2Y1luLzBFaUNXazhxUT09</t>
        </is>
      </c>
      <c r="F14" t="n">
        <v>4</v>
      </c>
      <c r="G14" t="inlineStr">
        <is>
          <t>BG006, BS004</t>
        </is>
      </c>
      <c r="H14" t="inlineStr">
        <is>
          <t>20 Oktober 2016</t>
        </is>
      </c>
      <c r="I14" s="2" t="n">
        <v>46254</v>
      </c>
      <c r="J14" t="inlineStr">
        <is>
          <t>Disetujui</t>
        </is>
      </c>
      <c r="K14" t="n">
        <v>90</v>
      </c>
      <c r="L14" t="inlineStr">
        <is>
          <t>20 Agustus 2026</t>
        </is>
      </c>
      <c r="M14" t="inlineStr">
        <is>
          <t>Konstruksi Gedung Pendidikan, Konstruksi Jaringan Irigasi dan Drainase</t>
        </is>
      </c>
      <c r="N14" t="inlineStr">
        <is>
          <t>K</t>
        </is>
      </c>
      <c r="O14" t="inlineStr">
        <is>
          <t>20230815</t>
        </is>
      </c>
      <c r="P14" t="inlineStr">
        <is>
          <t>Jawa Barat</t>
        </is>
      </c>
      <c r="Q14" s="3">
        <f>HYPERLINK("https://wa.me/6285222226922?text=Selamat siang Bapak/Ibu pimpinan FAUZAN,%0A%0ASemoga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5">
      <c r="A15" t="inlineStr">
        <is>
          <t>GIAN GIO GEMILANG</t>
        </is>
      </c>
      <c r="B15" t="inlineStr">
        <is>
          <t>Kab. Kutai Timur</t>
        </is>
      </c>
      <c r="C15" t="inlineStr">
        <is>
          <t>082150089172</t>
        </is>
      </c>
      <c r="D15" t="inlineStr">
        <is>
          <t>cv.giangiogemilang@gmail.com</t>
        </is>
      </c>
      <c r="E15" t="inlineStr">
        <is>
          <t>https://lpjk.pu.go.id/search-badan-usaha-detail/SEFpd1B2WEkweDh4WGpmaEpjeDY5Zz09</t>
        </is>
      </c>
      <c r="F15" t="n">
        <v>1</v>
      </c>
      <c r="G15" t="inlineStr">
        <is>
          <t>BS001</t>
        </is>
      </c>
      <c r="H15" t="inlineStr">
        <is>
          <t>4 Mei 2023</t>
        </is>
      </c>
      <c r="I15" s="2" t="n">
        <v>46254</v>
      </c>
      <c r="J15" t="inlineStr">
        <is>
          <t>Disetujui</t>
        </is>
      </c>
      <c r="K15" t="n">
        <v>90</v>
      </c>
      <c r="L15" t="inlineStr">
        <is>
          <t>20 Agustus 2026</t>
        </is>
      </c>
      <c r="M15" t="inlineStr">
        <is>
          <t>Konstruksi Bangunan Sipil Jalan</t>
        </is>
      </c>
      <c r="N15" t="inlineStr">
        <is>
          <t>K</t>
        </is>
      </c>
      <c r="O15" t="inlineStr">
        <is>
          <t>20230818</t>
        </is>
      </c>
      <c r="P15" t="inlineStr">
        <is>
          <t>Kalimantan Timur</t>
        </is>
      </c>
      <c r="Q15" s="3">
        <f>HYPERLINK("https://wa.me/6282150089172?text=Selamat siang Bapak/Ibu pimpinan GIAN GIO GEMILANG,%0A%0ASemoga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6">
      <c r="A16" t="inlineStr">
        <is>
          <t>ILHAM ILAHI</t>
        </is>
      </c>
      <c r="B16" t="inlineStr">
        <is>
          <t>Kab. Kepulauan Meranti</t>
        </is>
      </c>
      <c r="C16" t="inlineStr">
        <is>
          <t>081268123381</t>
        </is>
      </c>
      <c r="D16" t="inlineStr">
        <is>
          <t>cv.ilhamilahi@yopmail.com</t>
        </is>
      </c>
      <c r="E16" t="inlineStr">
        <is>
          <t>https://lpjk.pu.go.id/search-badan-usaha-detail/NUlTbGgwbkpVRjFZZEpDUUJ0RWlqdz09</t>
        </is>
      </c>
      <c r="F16" t="n">
        <v>1</v>
      </c>
      <c r="G16" t="inlineStr">
        <is>
          <t>BS001</t>
        </is>
      </c>
      <c r="H16" t="inlineStr">
        <is>
          <t>6 November 2001</t>
        </is>
      </c>
      <c r="I16" s="2" t="n">
        <v>46254</v>
      </c>
      <c r="J16" t="inlineStr">
        <is>
          <t>Disetujui</t>
        </is>
      </c>
      <c r="K16" t="n">
        <v>90</v>
      </c>
      <c r="L16" t="inlineStr">
        <is>
          <t>20 Agustus 2026</t>
        </is>
      </c>
      <c r="M16" t="inlineStr">
        <is>
          <t>Konstruksi Bangunan Sipil Jalan</t>
        </is>
      </c>
      <c r="N16" t="inlineStr">
        <is>
          <t>K</t>
        </is>
      </c>
      <c r="O16" t="inlineStr">
        <is>
          <t>20230815</t>
        </is>
      </c>
      <c r="P16" t="inlineStr">
        <is>
          <t>Riau</t>
        </is>
      </c>
      <c r="Q16" s="3">
        <f>HYPERLINK("https://wa.me/6281268123381?text=Selamat siang Bapak/Ibu pimpinan ILHAM ILAHI,%0A%0ASemoga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7">
      <c r="A17" t="inlineStr">
        <is>
          <t>IRAMA</t>
        </is>
      </c>
      <c r="B17" t="inlineStr">
        <is>
          <t>Kab. Tanah Laut</t>
        </is>
      </c>
      <c r="C17" t="inlineStr">
        <is>
          <t>081348302200</t>
        </is>
      </c>
      <c r="D17" t="inlineStr">
        <is>
          <t>ilham.ami.revi@gmail.com</t>
        </is>
      </c>
      <c r="E17" t="inlineStr">
        <is>
          <t>https://lpjk.pu.go.id/search-badan-usaha-detail/TGtKTmZrbHduc0xCWU1VMDNMdlFpUT09</t>
        </is>
      </c>
      <c r="F17" t="n">
        <v>2</v>
      </c>
      <c r="G17" t="inlineStr">
        <is>
          <t>BG008, BG009</t>
        </is>
      </c>
      <c r="H17" t="inlineStr">
        <is>
          <t>11 Januari 1979</t>
        </is>
      </c>
      <c r="I17" s="2" t="n">
        <v>46254</v>
      </c>
      <c r="J17" t="inlineStr">
        <is>
          <t>Disetujui</t>
        </is>
      </c>
      <c r="K17" t="n">
        <v>90</v>
      </c>
      <c r="L17" t="inlineStr">
        <is>
          <t>20 Agustus 2026</t>
        </is>
      </c>
      <c r="M17" t="inlineStr">
        <is>
          <t>Konstruksi Gedung Lainnya, Konstruksi Gedung Tempat Hiburan dan Olahraga</t>
        </is>
      </c>
      <c r="N17" t="inlineStr">
        <is>
          <t>K</t>
        </is>
      </c>
      <c r="O17" t="inlineStr">
        <is>
          <t>20230811</t>
        </is>
      </c>
      <c r="P17" t="inlineStr">
        <is>
          <t>Kalimantan Selatan</t>
        </is>
      </c>
      <c r="Q17" s="3">
        <f>HYPERLINK("https://wa.me/6281348302200?text=Selamat siang Bapak/Ibu pimpinan IRAMA,%0A%0ASemoga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8">
      <c r="A18" t="inlineStr">
        <is>
          <t>JELITA</t>
        </is>
      </c>
      <c r="B18" t="inlineStr">
        <is>
          <t>Kab. Kubu Raya</t>
        </is>
      </c>
      <c r="C18" t="inlineStr">
        <is>
          <t>08125774466</t>
        </is>
      </c>
      <c r="D18" t="inlineStr">
        <is>
          <t>cv.jelita@hotmail.com</t>
        </is>
      </c>
      <c r="E18" t="inlineStr">
        <is>
          <t>https://lpjk.pu.go.id/search-badan-usaha-detail/WkE0eWFBekUxb1M0aEg0YklFZytiQT09</t>
        </is>
      </c>
      <c r="F18" t="n">
        <v>1</v>
      </c>
      <c r="G18" t="inlineStr">
        <is>
          <t>BS001</t>
        </is>
      </c>
      <c r="H18" t="inlineStr">
        <is>
          <t>11 Maret 2009</t>
        </is>
      </c>
      <c r="I18" s="2" t="n">
        <v>46254</v>
      </c>
      <c r="J18" t="inlineStr">
        <is>
          <t>Disetujui</t>
        </is>
      </c>
      <c r="K18" t="n">
        <v>90</v>
      </c>
      <c r="L18" t="inlineStr">
        <is>
          <t>20 Agustus 2026</t>
        </is>
      </c>
      <c r="M18" t="inlineStr">
        <is>
          <t>Konstruksi Bangunan Sipil Jalan</t>
        </is>
      </c>
      <c r="N18" t="inlineStr">
        <is>
          <t>K</t>
        </is>
      </c>
      <c r="O18" t="inlineStr">
        <is>
          <t>20230817</t>
        </is>
      </c>
      <c r="P18" t="inlineStr">
        <is>
          <t>Kalimantan Barat</t>
        </is>
      </c>
      <c r="Q18" s="3">
        <f>HYPERLINK("https://wa.me/628125774466?text=Selamat siang Bapak/Ibu pimpinan JELITA,%0A%0ASemoga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19">
      <c r="A19" t="inlineStr">
        <is>
          <t>KARYA BIMA</t>
        </is>
      </c>
      <c r="B19" t="inlineStr">
        <is>
          <t>Kab. Indramayu</t>
        </is>
      </c>
      <c r="C19" t="inlineStr">
        <is>
          <t>081802778189</t>
        </is>
      </c>
      <c r="D19" t="inlineStr">
        <is>
          <t>karyabima.cv@gmail.com</t>
        </is>
      </c>
      <c r="E19" t="inlineStr">
        <is>
          <t>https://lpjk.pu.go.id/search-badan-usaha-detail/K2lEZjljQm8wWWFReHJBYWFhc3Y2Zz09</t>
        </is>
      </c>
      <c r="F19" t="n">
        <v>1</v>
      </c>
      <c r="G19" t="inlineStr">
        <is>
          <t>BG006</t>
        </is>
      </c>
      <c r="H19" t="inlineStr">
        <is>
          <t>18 Juli 1994</t>
        </is>
      </c>
      <c r="I19" s="2" t="n">
        <v>46254</v>
      </c>
      <c r="J19" t="inlineStr">
        <is>
          <t>Disetujui</t>
        </is>
      </c>
      <c r="K19" t="n">
        <v>90</v>
      </c>
      <c r="L19" t="inlineStr">
        <is>
          <t>20 Agustus 2026</t>
        </is>
      </c>
      <c r="M19" t="inlineStr">
        <is>
          <t>Konstruksi Gedung Pendidikan</t>
        </is>
      </c>
      <c r="N19" t="inlineStr">
        <is>
          <t>K</t>
        </is>
      </c>
      <c r="O19" t="inlineStr">
        <is>
          <t>20230815</t>
        </is>
      </c>
      <c r="P19" t="inlineStr">
        <is>
          <t>Jawa Barat</t>
        </is>
      </c>
      <c r="Q19" s="3">
        <f>HYPERLINK("https://wa.me/6281802778189?text=Selamat siang Bapak/Ibu pimpinan KARYA BIMA,%0A%0ASemoga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0">
      <c r="A20" t="inlineStr">
        <is>
          <t>KARYA MANDIRI</t>
        </is>
      </c>
      <c r="B20" t="inlineStr">
        <is>
          <t>Kab. Sukabumi</t>
        </is>
      </c>
      <c r="C20" t="inlineStr">
        <is>
          <t>085759628054</t>
        </is>
      </c>
      <c r="D20" t="inlineStr">
        <is>
          <t>hsuherdi778@gmail.com</t>
        </is>
      </c>
      <c r="E20" t="inlineStr">
        <is>
          <t>https://lpjk.pu.go.id/search-badan-usaha-detail/VFJ4MHBobjBiRVRjaE5CVkFteGptZz09</t>
        </is>
      </c>
      <c r="F20" t="n">
        <v>2</v>
      </c>
      <c r="G20" t="inlineStr">
        <is>
          <t>BS004, BS005</t>
        </is>
      </c>
      <c r="H20" t="inlineStr">
        <is>
          <t>29 Oktober 2007</t>
        </is>
      </c>
      <c r="I20" s="2" t="n">
        <v>46254</v>
      </c>
      <c r="J20" t="inlineStr">
        <is>
          <t>Disetujui</t>
        </is>
      </c>
      <c r="K20" t="n">
        <v>90</v>
      </c>
      <c r="L20" t="inlineStr">
        <is>
          <t>20 Agustus 2026</t>
        </is>
      </c>
      <c r="M20" t="inlineStr">
        <is>
          <t>Konstruksi Bangunan Sipil Pengolahan Air Bersih, Konstruksi Jaringan Irigasi dan Drainase</t>
        </is>
      </c>
      <c r="N20" t="inlineStr">
        <is>
          <t>K</t>
        </is>
      </c>
      <c r="O20" t="inlineStr">
        <is>
          <t>20230815</t>
        </is>
      </c>
      <c r="P20" t="inlineStr">
        <is>
          <t>Jawa Barat</t>
        </is>
      </c>
      <c r="Q20" s="3">
        <f>HYPERLINK("https://wa.me/6285759628054?text=Selamat siang Bapak/Ibu pimpinan KARYA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1">
      <c r="A21" t="inlineStr">
        <is>
          <t>KAUSA ABHINAYA</t>
        </is>
      </c>
      <c r="B21" t="inlineStr">
        <is>
          <t>Kota Bandung</t>
        </is>
      </c>
      <c r="C21" t="inlineStr">
        <is>
          <t>022</t>
        </is>
      </c>
      <c r="D21" t="inlineStr">
        <is>
          <t>cv.kausaabhinaya@gmail.com</t>
        </is>
      </c>
      <c r="E21" t="inlineStr">
        <is>
          <t>https://lpjk.pu.go.id/search-badan-usaha-detail/Q1BNMUZmc0pmWGNEM2NnOUJQd2ZKZz09</t>
        </is>
      </c>
      <c r="F21" t="n">
        <v>1</v>
      </c>
      <c r="G21" t="inlineStr">
        <is>
          <t>BG009</t>
        </is>
      </c>
      <c r="H21" t="inlineStr">
        <is>
          <t>12 Februari 2022</t>
        </is>
      </c>
      <c r="I21" s="2" t="n">
        <v>46254</v>
      </c>
      <c r="J21" t="inlineStr">
        <is>
          <t>Disetujui</t>
        </is>
      </c>
      <c r="K21" t="n">
        <v>90</v>
      </c>
      <c r="L21" t="inlineStr">
        <is>
          <t>20 Agustus 2026</t>
        </is>
      </c>
      <c r="M21" t="inlineStr">
        <is>
          <t>Konstruksi Gedung Lainnya</t>
        </is>
      </c>
      <c r="N21" t="inlineStr">
        <is>
          <t>K</t>
        </is>
      </c>
      <c r="O21" t="inlineStr">
        <is>
          <t>20230817</t>
        </is>
      </c>
      <c r="P21" t="inlineStr">
        <is>
          <t>Jawa Barat</t>
        </is>
      </c>
      <c r="Q21" s="3">
        <f>HYPERLINK("https://wa.me/6222?text=Selamat siang Bapak/Ibu pimpinan KAUSA ABHINAYA,%0A%0ASemoga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2">
      <c r="A22" t="inlineStr">
        <is>
          <t>KINGAZIZ KONSTRUKSI INDONESIA</t>
        </is>
      </c>
      <c r="B22" t="inlineStr">
        <is>
          <t>Kab. Pekalongan</t>
        </is>
      </c>
      <c r="C22" t="inlineStr">
        <is>
          <t>0285785191</t>
        </is>
      </c>
      <c r="D22" t="inlineStr">
        <is>
          <t>pt.kingaziz@gmail.com</t>
        </is>
      </c>
      <c r="E22" t="inlineStr">
        <is>
          <t>https://lpjk.pu.go.id/search-badan-usaha-detail/Y3NQMWlHeUtZRjM1a252dEdBajhMdz09</t>
        </is>
      </c>
      <c r="F22" t="n">
        <v>3</v>
      </c>
      <c r="G22" t="inlineStr">
        <is>
          <t>BG006, BG009, BS004</t>
        </is>
      </c>
      <c r="H22" t="inlineStr">
        <is>
          <t>28 Oktober 2017</t>
        </is>
      </c>
      <c r="I22" s="2" t="n">
        <v>46254</v>
      </c>
      <c r="J22" t="inlineStr">
        <is>
          <t>Disetujui</t>
        </is>
      </c>
      <c r="K22" t="n">
        <v>90</v>
      </c>
      <c r="L22" t="inlineStr">
        <is>
          <t>20 Agustus 2026</t>
        </is>
      </c>
      <c r="M22" t="inlineStr">
        <is>
          <t>Konstruksi Gedung Lainnya, Konstruksi Gedung Pendidikan, Konstruksi Jaringan Irigasi dan Drainase</t>
        </is>
      </c>
      <c r="N22" t="inlineStr">
        <is>
          <t>K</t>
        </is>
      </c>
      <c r="O22" t="inlineStr">
        <is>
          <t>20230815</t>
        </is>
      </c>
      <c r="P22" t="inlineStr">
        <is>
          <t>Jawa Tengah</t>
        </is>
      </c>
      <c r="Q22" s="3">
        <f>HYPERLINK("https://wa.me/62285785191?text=Selamat siang Bapak/Ibu pimpinan KINGAZIZ KONSTRUKSI INDONESIA,%0A%0ASemoga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3">
      <c r="A23" t="inlineStr">
        <is>
          <t>LAPAN DEWA</t>
        </is>
      </c>
      <c r="B23" t="inlineStr">
        <is>
          <t>Kota Tarakan</t>
        </is>
      </c>
      <c r="C23" t="inlineStr">
        <is>
          <t>081350810986</t>
        </is>
      </c>
      <c r="D23" t="inlineStr">
        <is>
          <t>martjo.mardoan@gmail.com</t>
        </is>
      </c>
      <c r="E23" t="inlineStr">
        <is>
          <t>https://lpjk.pu.go.id/search-badan-usaha-detail/VVJ3VnpXMFdMSGxmSXZncVJvMFhtQT09</t>
        </is>
      </c>
      <c r="F23" t="n">
        <v>1</v>
      </c>
      <c r="G23" t="inlineStr">
        <is>
          <t>BS004</t>
        </is>
      </c>
      <c r="H23" t="inlineStr">
        <is>
          <t>28 November 2009</t>
        </is>
      </c>
      <c r="I23" s="2" t="n">
        <v>46254</v>
      </c>
      <c r="J23" t="inlineStr">
        <is>
          <t>Disetujui</t>
        </is>
      </c>
      <c r="K23" t="n">
        <v>90</v>
      </c>
      <c r="L23" t="inlineStr">
        <is>
          <t>20 Agustus 2026</t>
        </is>
      </c>
      <c r="M23" t="inlineStr">
        <is>
          <t>Konstruksi Jaringan Irigasi dan Drainase</t>
        </is>
      </c>
      <c r="N23" t="inlineStr">
        <is>
          <t>K</t>
        </is>
      </c>
      <c r="O23" t="inlineStr">
        <is>
          <t>20230727</t>
        </is>
      </c>
      <c r="P23" t="inlineStr">
        <is>
          <t>Kalimantan Utara</t>
        </is>
      </c>
      <c r="Q23" s="3">
        <f>HYPERLINK("https://wa.me/6281350810986?text=Selamat siang Bapak/Ibu pimpinan LAPAN DEWA,%0A%0ASemoga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4">
      <c r="A24" t="inlineStr">
        <is>
          <t>MAULANA FAJAR</t>
        </is>
      </c>
      <c r="B24" t="inlineStr">
        <is>
          <t>Kota Pekanbaru</t>
        </is>
      </c>
      <c r="C24" t="inlineStr">
        <is>
          <t>0811763682</t>
        </is>
      </c>
      <c r="D24" t="inlineStr">
        <is>
          <t>maulana.fajar375@yahoo.com</t>
        </is>
      </c>
      <c r="E24" t="inlineStr">
        <is>
          <t>https://lpjk.pu.go.id/search-badan-usaha-detail/NGhCLzQ0RVhQOE5Fa0Y5OWdUd2hRQT09</t>
        </is>
      </c>
      <c r="F24" t="n">
        <v>2</v>
      </c>
      <c r="G24" t="inlineStr">
        <is>
          <t>BG009, BS001</t>
        </is>
      </c>
      <c r="H24" t="inlineStr">
        <is>
          <t>31 Juli 2003</t>
        </is>
      </c>
      <c r="I24" s="2" t="n">
        <v>46254</v>
      </c>
      <c r="J24" t="inlineStr">
        <is>
          <t>Disetujui</t>
        </is>
      </c>
      <c r="K24" t="n">
        <v>90</v>
      </c>
      <c r="L24" t="inlineStr">
        <is>
          <t>20 Agustus 2026</t>
        </is>
      </c>
      <c r="M24" t="inlineStr">
        <is>
          <t>Konstruksi Bangunan Sipil Jalan, Konstruksi Gedung Lainnya</t>
        </is>
      </c>
      <c r="N24" t="inlineStr">
        <is>
          <t>K</t>
        </is>
      </c>
      <c r="O24" t="inlineStr">
        <is>
          <t>20230810</t>
        </is>
      </c>
      <c r="P24" t="inlineStr">
        <is>
          <t>Riau</t>
        </is>
      </c>
      <c r="Q24" s="3">
        <f>HYPERLINK("https://wa.me/62811763682?text=Selamat siang Bapak/Ibu pimpinan MAULANA FAJAR,%0A%0ASemoga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5">
      <c r="A25" t="inlineStr">
        <is>
          <t>MULTAZAM CS</t>
        </is>
      </c>
      <c r="B25" t="inlineStr">
        <is>
          <t>Kab. Probolinggo</t>
        </is>
      </c>
      <c r="C25" t="inlineStr">
        <is>
          <t>0</t>
        </is>
      </c>
      <c r="D25" t="inlineStr">
        <is>
          <t>cvmultazamcs@gmail.com</t>
        </is>
      </c>
      <c r="E25" t="inlineStr">
        <is>
          <t>https://lpjk.pu.go.id/search-badan-usaha-detail/eXRSUWJsOTNQNUpsck1kQWYzNlhBUT09</t>
        </is>
      </c>
      <c r="F25" t="n">
        <v>2</v>
      </c>
      <c r="G25" t="inlineStr">
        <is>
          <t>BS001, BS005</t>
        </is>
      </c>
      <c r="H25" t="inlineStr">
        <is>
          <t>1 September 2015</t>
        </is>
      </c>
      <c r="I25" s="2" t="n">
        <v>46254</v>
      </c>
      <c r="J25" t="inlineStr">
        <is>
          <t>Disetujui</t>
        </is>
      </c>
      <c r="K25" t="n">
        <v>90</v>
      </c>
      <c r="L25" t="inlineStr">
        <is>
          <t>20 Agustus 2026</t>
        </is>
      </c>
      <c r="M25" t="inlineStr">
        <is>
          <t>Konstruksi Bangunan Sipil Jalan, Konstruksi Bangunan Sipil Pengolahan Air Bersih</t>
        </is>
      </c>
      <c r="N25" t="inlineStr">
        <is>
          <t>K</t>
        </is>
      </c>
      <c r="O25" t="inlineStr">
        <is>
          <t>20230803</t>
        </is>
      </c>
      <c r="P25" t="inlineStr">
        <is>
          <t>Jawa Timur</t>
        </is>
      </c>
      <c r="Q25" s="3">
        <f>HYPERLINK("https://wa.me/62?text=Selamat siang Bapak/Ibu pimpinan MULTAZAM CS,%0A%0ASemoga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6">
      <c r="A26" t="inlineStr">
        <is>
          <t>PALUNG MANDIRI</t>
        </is>
      </c>
      <c r="B26" t="inlineStr">
        <is>
          <t>Kab. Ketapang</t>
        </is>
      </c>
      <c r="C26" t="inlineStr">
        <is>
          <t>0811579963</t>
        </is>
      </c>
      <c r="D26" t="inlineStr">
        <is>
          <t>palung.mandiri9999@gmail.com</t>
        </is>
      </c>
      <c r="E26" t="inlineStr">
        <is>
          <t>https://lpjk.pu.go.id/search-badan-usaha-detail/U0loK3N0MjhKSy9nV096QnlsTTBHUT09</t>
        </is>
      </c>
      <c r="F26" t="n">
        <v>1</v>
      </c>
      <c r="G26" t="inlineStr">
        <is>
          <t>BS004</t>
        </is>
      </c>
      <c r="H26" t="inlineStr">
        <is>
          <t>20 Juni 2008</t>
        </is>
      </c>
      <c r="I26" s="2" t="n">
        <v>46254</v>
      </c>
      <c r="J26" t="inlineStr">
        <is>
          <t>Disetujui</t>
        </is>
      </c>
      <c r="K26" t="n">
        <v>90</v>
      </c>
      <c r="L26" t="inlineStr">
        <is>
          <t>20 Agustus 2026</t>
        </is>
      </c>
      <c r="M26" t="inlineStr">
        <is>
          <t>Konstruksi Jaringan Irigasi dan Drainase</t>
        </is>
      </c>
      <c r="N26" t="inlineStr">
        <is>
          <t>K</t>
        </is>
      </c>
      <c r="O26" t="inlineStr">
        <is>
          <t>20230815</t>
        </is>
      </c>
      <c r="P26" t="inlineStr">
        <is>
          <t>Kalimantan Barat</t>
        </is>
      </c>
      <c r="Q26" s="3">
        <f>HYPERLINK("https://wa.me/62811579963?text=Selamat siang Bapak/Ibu pimpinan PALUNG MANDIRI,%0A%0ASemoga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7">
      <c r="A27" t="inlineStr">
        <is>
          <t>PUTRA RAMADHAN</t>
        </is>
      </c>
      <c r="B27" t="inlineStr">
        <is>
          <t>Kab. Garut</t>
        </is>
      </c>
      <c r="C27" t="inlineStr">
        <is>
          <t>081322156383</t>
        </is>
      </c>
      <c r="D27" t="inlineStr">
        <is>
          <t>cv.putraramadhan83@gmail.com</t>
        </is>
      </c>
      <c r="E27" t="inlineStr">
        <is>
          <t>https://lpjk.pu.go.id/search-badan-usaha-detail/THJMNGVDYkxzakVaNk91aXBteWYwUT09</t>
        </is>
      </c>
      <c r="F27" t="n">
        <v>1</v>
      </c>
      <c r="G27" t="inlineStr">
        <is>
          <t>BG005</t>
        </is>
      </c>
      <c r="H27" t="inlineStr">
        <is>
          <t>3 Maret 2016</t>
        </is>
      </c>
      <c r="I27" s="2" t="n">
        <v>46254</v>
      </c>
      <c r="J27" t="inlineStr">
        <is>
          <t>Disetujui</t>
        </is>
      </c>
      <c r="K27" t="n">
        <v>90</v>
      </c>
      <c r="L27" t="inlineStr">
        <is>
          <t>20 Agustus 2026</t>
        </is>
      </c>
      <c r="M27" t="inlineStr">
        <is>
          <t>Konstruksi Gedung Kesehatan</t>
        </is>
      </c>
      <c r="N27" t="inlineStr">
        <is>
          <t>K</t>
        </is>
      </c>
      <c r="O27" t="inlineStr">
        <is>
          <t>20230811</t>
        </is>
      </c>
      <c r="P27" t="inlineStr">
        <is>
          <t>Jawa Barat</t>
        </is>
      </c>
      <c r="Q27" s="3">
        <f>HYPERLINK("https://wa.me/6281322156383?text=Selamat siang Bapak/Ibu pimpinan PUTRA RAMADHAN,%0A%0ASemoga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8">
      <c r="A28" t="inlineStr">
        <is>
          <t>RATU BIANCA JAYA</t>
        </is>
      </c>
      <c r="B28" t="inlineStr">
        <is>
          <t>Kab. Cirebon</t>
        </is>
      </c>
      <c r="C28" t="inlineStr">
        <is>
          <t>081221416854</t>
        </is>
      </c>
      <c r="D28" t="inlineStr">
        <is>
          <t>naurazahraa91@gmail.com</t>
        </is>
      </c>
      <c r="E28" t="inlineStr">
        <is>
          <t>https://lpjk.pu.go.id/search-badan-usaha-detail/M29PYXlWRjcxbVAvaDR0bmsxSzVZUT09</t>
        </is>
      </c>
      <c r="F28" t="n">
        <v>1</v>
      </c>
      <c r="G28" t="inlineStr">
        <is>
          <t>BS001</t>
        </is>
      </c>
      <c r="H28" t="inlineStr">
        <is>
          <t>20 Desember 2021</t>
        </is>
      </c>
      <c r="I28" s="2" t="n">
        <v>46254</v>
      </c>
      <c r="J28" t="inlineStr">
        <is>
          <t>Disetujui</t>
        </is>
      </c>
      <c r="K28" t="n">
        <v>90</v>
      </c>
      <c r="L28" t="inlineStr">
        <is>
          <t>20 Agustus 2026</t>
        </is>
      </c>
      <c r="M28" t="inlineStr">
        <is>
          <t>Konstruksi Bangunan Sipil Jalan</t>
        </is>
      </c>
      <c r="N28" t="inlineStr">
        <is>
          <t>K</t>
        </is>
      </c>
      <c r="O28" t="inlineStr">
        <is>
          <t>20230814</t>
        </is>
      </c>
      <c r="P28" t="inlineStr">
        <is>
          <t>Jawa Barat</t>
        </is>
      </c>
      <c r="Q28" s="3">
        <f>HYPERLINK("https://wa.me/6281221416854?text=Selamat siang Bapak/Ibu pimpinan RATU BIANCA JAYA,%0A%0ASemoga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29">
      <c r="A29" t="inlineStr">
        <is>
          <t>RIHAM</t>
        </is>
      </c>
      <c r="B29" t="inlineStr">
        <is>
          <t>Kab. Probolinggo</t>
        </is>
      </c>
      <c r="C29" t="inlineStr">
        <is>
          <t>082142719411</t>
        </is>
      </c>
      <c r="D29" t="inlineStr">
        <is>
          <t>cvriham@gmail.com</t>
        </is>
      </c>
      <c r="E29" t="inlineStr">
        <is>
          <t>https://lpjk.pu.go.id/search-badan-usaha-detail/Y2JYNTA5aUZKek91NU5sYlhBb3lXQT09</t>
        </is>
      </c>
      <c r="F29" t="n">
        <v>1</v>
      </c>
      <c r="G29" t="inlineStr">
        <is>
          <t>BS004</t>
        </is>
      </c>
      <c r="H29" t="inlineStr">
        <is>
          <t>1 Desember 2022</t>
        </is>
      </c>
      <c r="I29" s="2" t="n">
        <v>46254</v>
      </c>
      <c r="J29" t="inlineStr">
        <is>
          <t>Disetujui</t>
        </is>
      </c>
      <c r="K29" t="n">
        <v>90</v>
      </c>
      <c r="L29" t="inlineStr">
        <is>
          <t>20 Agustus 2026</t>
        </is>
      </c>
      <c r="M29" t="inlineStr">
        <is>
          <t>Konstruksi Jaringan Irigasi dan Drainase</t>
        </is>
      </c>
      <c r="N29" t="inlineStr">
        <is>
          <t>K</t>
        </is>
      </c>
      <c r="O29" t="inlineStr">
        <is>
          <t>20230731</t>
        </is>
      </c>
      <c r="P29" t="inlineStr">
        <is>
          <t>Jawa Timur</t>
        </is>
      </c>
      <c r="Q29" s="3">
        <f>HYPERLINK("https://wa.me/6282142719411?text=Selamat siang Bapak/Ibu pimpinan RIHAM,%0A%0ASemoga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0">
      <c r="A30" t="inlineStr">
        <is>
          <t>RISASA RAHMAH</t>
        </is>
      </c>
      <c r="B30" t="inlineStr">
        <is>
          <t>Kab. Tangerang</t>
        </is>
      </c>
      <c r="C30" t="inlineStr">
        <is>
          <t>081299329595</t>
        </is>
      </c>
      <c r="D30" t="inlineStr">
        <is>
          <t>cvrisasarahmah@gmail.com</t>
        </is>
      </c>
      <c r="E30" t="inlineStr">
        <is>
          <t>https://lpjk.pu.go.id/search-badan-usaha-detail/S3phWHFFQ2VOL1lUTWVUbERnVWc0UT09</t>
        </is>
      </c>
      <c r="F30" t="n">
        <v>1</v>
      </c>
      <c r="G30" t="inlineStr">
        <is>
          <t>BS004</t>
        </is>
      </c>
      <c r="H30" t="inlineStr">
        <is>
          <t>9 Juni 2003</t>
        </is>
      </c>
      <c r="I30" s="2" t="n">
        <v>46254</v>
      </c>
      <c r="J30" t="inlineStr">
        <is>
          <t>Disetujui</t>
        </is>
      </c>
      <c r="K30" t="n">
        <v>90</v>
      </c>
      <c r="L30" t="inlineStr">
        <is>
          <t>20 Agustus 2026</t>
        </is>
      </c>
      <c r="M30" t="inlineStr">
        <is>
          <t>Konstruksi Jaringan Irigasi dan Drainase</t>
        </is>
      </c>
      <c r="N30" t="inlineStr">
        <is>
          <t>K</t>
        </is>
      </c>
      <c r="O30" t="inlineStr">
        <is>
          <t>20230718</t>
        </is>
      </c>
      <c r="P30" t="inlineStr">
        <is>
          <t>Banten</t>
        </is>
      </c>
      <c r="Q30" s="3">
        <f>HYPERLINK("https://wa.me/6281299329595?text=Selamat siang Bapak/Ibu pimpinan RISASA RAHMAH,%0A%0ASemoga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1">
      <c r="A31" t="inlineStr">
        <is>
          <t>SURYA LESTARI</t>
        </is>
      </c>
      <c r="B31" t="inlineStr">
        <is>
          <t>Kota Pekanbaru</t>
        </is>
      </c>
      <c r="C31" t="inlineStr">
        <is>
          <t>082169837359</t>
        </is>
      </c>
      <c r="D31" t="inlineStr">
        <is>
          <t>sally_fatma70@yahoo.com</t>
        </is>
      </c>
      <c r="E31" t="inlineStr">
        <is>
          <t>https://lpjk.pu.go.id/search-badan-usaha-detail/MXNRd1ZIR0JTZ3hnYTRCVDF6STh4dz09</t>
        </is>
      </c>
      <c r="F31" t="n">
        <v>1</v>
      </c>
      <c r="G31" t="inlineStr">
        <is>
          <t>BG009</t>
        </is>
      </c>
      <c r="H31" t="inlineStr">
        <is>
          <t>18 Februari 1999</t>
        </is>
      </c>
      <c r="I31" s="2" t="n">
        <v>46254</v>
      </c>
      <c r="J31" t="inlineStr">
        <is>
          <t>Disetujui</t>
        </is>
      </c>
      <c r="K31" t="n">
        <v>90</v>
      </c>
      <c r="L31" t="inlineStr">
        <is>
          <t>20 Agustus 2026</t>
        </is>
      </c>
      <c r="M31" t="inlineStr">
        <is>
          <t>Konstruksi Gedung Lainnya</t>
        </is>
      </c>
      <c r="N31" t="inlineStr">
        <is>
          <t>K</t>
        </is>
      </c>
      <c r="O31" t="inlineStr">
        <is>
          <t>20230814</t>
        </is>
      </c>
      <c r="P31" t="inlineStr">
        <is>
          <t>Riau</t>
        </is>
      </c>
      <c r="Q31" s="3">
        <f>HYPERLINK("https://wa.me/6282169837359?text=Selamat siang Bapak/Ibu pimpinan SURYA LESTARI,%0A%0ASemoga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2">
      <c r="A32" t="inlineStr">
        <is>
          <t>SYAMALL BROTHERS</t>
        </is>
      </c>
      <c r="B32" t="inlineStr">
        <is>
          <t>Kab. Pesawaran</t>
        </is>
      </c>
      <c r="C32" t="inlineStr">
        <is>
          <t>0812 7261 7500</t>
        </is>
      </c>
      <c r="D32" t="inlineStr">
        <is>
          <t>cvsyamallbrother@gmail.com</t>
        </is>
      </c>
      <c r="E32" t="inlineStr">
        <is>
          <t>https://lpjk.pu.go.id/search-badan-usaha-detail/SGw0VVlPR1RkQUY2c2I4NHJEdGl6QT09</t>
        </is>
      </c>
      <c r="F32" t="n">
        <v>1</v>
      </c>
      <c r="G32" t="inlineStr">
        <is>
          <t>BS001</t>
        </is>
      </c>
      <c r="H32" t="inlineStr">
        <is>
          <t>25 Januari 2016</t>
        </is>
      </c>
      <c r="I32" s="2" t="n">
        <v>46254</v>
      </c>
      <c r="J32" t="inlineStr">
        <is>
          <t>Disetujui</t>
        </is>
      </c>
      <c r="K32" t="n">
        <v>90</v>
      </c>
      <c r="L32" t="inlineStr">
        <is>
          <t>20 Agustus 2026</t>
        </is>
      </c>
      <c r="M32" t="inlineStr">
        <is>
          <t>Konstruksi Bangunan Sipil Jalan</t>
        </is>
      </c>
      <c r="N32" t="inlineStr">
        <is>
          <t>K</t>
        </is>
      </c>
      <c r="O32" t="inlineStr">
        <is>
          <t>20230818</t>
        </is>
      </c>
      <c r="P32" t="inlineStr">
        <is>
          <t>Lampung</t>
        </is>
      </c>
      <c r="Q32" s="3">
        <f>HYPERLINK("https://wa.me/6281272617500?text=Selamat siang Bapak/Ibu pimpinan SYAMALL BROTHERS,%0A%0ASemoga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3">
      <c r="A33" t="inlineStr">
        <is>
          <t>TATA GRAHA GEMILANG</t>
        </is>
      </c>
      <c r="B33" t="inlineStr">
        <is>
          <t>Kab. Nunukan</t>
        </is>
      </c>
      <c r="C33" t="inlineStr">
        <is>
          <t>08125856414</t>
        </is>
      </c>
      <c r="D33" t="inlineStr">
        <is>
          <t>tatagrahagemilang@gmail.com</t>
        </is>
      </c>
      <c r="E33" t="inlineStr">
        <is>
          <t>https://lpjk.pu.go.id/search-badan-usaha-detail/elVPWTU4d1BZMUJ5VzFFNlNEQ3VkQT09</t>
        </is>
      </c>
      <c r="F33" t="n">
        <v>1</v>
      </c>
      <c r="G33" t="inlineStr">
        <is>
          <t>PB004</t>
        </is>
      </c>
      <c r="H33" t="inlineStr">
        <is>
          <t>24 Mei 2016</t>
        </is>
      </c>
      <c r="I33" s="2" t="n">
        <v>46254</v>
      </c>
      <c r="J33" t="inlineStr">
        <is>
          <t>Disetujui</t>
        </is>
      </c>
      <c r="K33" t="n">
        <v>90</v>
      </c>
      <c r="L33" t="inlineStr">
        <is>
          <t>20 Agustus 2026</t>
        </is>
      </c>
      <c r="M33" t="inlineStr">
        <is>
          <t>Dekorasi Interior</t>
        </is>
      </c>
      <c r="N33" t="inlineStr">
        <is>
          <t>Spesialis</t>
        </is>
      </c>
      <c r="O33" t="inlineStr">
        <is>
          <t>20230711</t>
        </is>
      </c>
      <c r="P33" t="inlineStr">
        <is>
          <t>Kalimantan Utara</t>
        </is>
      </c>
      <c r="Q33" s="3">
        <f>HYPERLINK("https://wa.me/628125856414?text=Selamat siang Bapak/Ibu pimpinan TATA GRAHA GEMILANG,%0A%0ASemoga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4">
      <c r="A34" t="inlineStr">
        <is>
          <t>TRI AGENG KUSUMA</t>
        </is>
      </c>
      <c r="B34" t="inlineStr">
        <is>
          <t>Kab. Sleman</t>
        </is>
      </c>
      <c r="C34" t="inlineStr">
        <is>
          <t>085726053664</t>
        </is>
      </c>
      <c r="D34" t="inlineStr">
        <is>
          <t>triagengkusuma2020@gmail.com</t>
        </is>
      </c>
      <c r="E34" t="inlineStr">
        <is>
          <t>https://lpjk.pu.go.id/search-badan-usaha-detail/Sm5QZStIamdsU2tnVXVYMG5EOFZaZz09</t>
        </is>
      </c>
      <c r="F34" t="n">
        <v>1</v>
      </c>
      <c r="G34" t="inlineStr">
        <is>
          <t>BG005</t>
        </is>
      </c>
      <c r="H34" t="inlineStr">
        <is>
          <t>2 Juli 2020</t>
        </is>
      </c>
      <c r="I34" s="2" t="n">
        <v>46254</v>
      </c>
      <c r="J34" t="inlineStr">
        <is>
          <t>Disetujui</t>
        </is>
      </c>
      <c r="K34" t="n">
        <v>90</v>
      </c>
      <c r="L34" t="inlineStr">
        <is>
          <t>20 Agustus 2026</t>
        </is>
      </c>
      <c r="M34" t="inlineStr">
        <is>
          <t>Konstruksi Gedung Kesehatan</t>
        </is>
      </c>
      <c r="N34" t="inlineStr">
        <is>
          <t>K</t>
        </is>
      </c>
      <c r="O34" t="inlineStr">
        <is>
          <t>20230815</t>
        </is>
      </c>
      <c r="P34" t="inlineStr">
        <is>
          <t>DI Yogyakarta</t>
        </is>
      </c>
      <c r="Q34" s="3">
        <f>HYPERLINK("https://wa.me/6285726053664?text=Selamat siang Bapak/Ibu pimpinan TRI AGENG KUSUMA,%0A%0ASemoga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5">
      <c r="A35" t="inlineStr">
        <is>
          <t>UNGGUL</t>
        </is>
      </c>
      <c r="B35" t="inlineStr">
        <is>
          <t>Kab. Situbondo</t>
        </is>
      </c>
      <c r="C35" t="inlineStr">
        <is>
          <t>082140591454</t>
        </is>
      </c>
      <c r="D35" t="inlineStr">
        <is>
          <t>lsbugkb3512@gmail.com</t>
        </is>
      </c>
      <c r="E35" t="inlineStr">
        <is>
          <t>https://lpjk.pu.go.id/search-badan-usaha-detail/dWNodU04dU5Bakl2N05jaGhzY24vUT09</t>
        </is>
      </c>
      <c r="F35" t="n">
        <v>4</v>
      </c>
      <c r="G35" t="inlineStr">
        <is>
          <t>BG005, BG009, BS002, BS010</t>
        </is>
      </c>
      <c r="H35" t="inlineStr">
        <is>
          <t>24 Januari 2002</t>
        </is>
      </c>
      <c r="I35" s="2" t="n">
        <v>46254</v>
      </c>
      <c r="J35" t="inlineStr">
        <is>
          <t>Disetujui</t>
        </is>
      </c>
      <c r="K35" t="n">
        <v>90</v>
      </c>
      <c r="L35" t="inlineStr">
        <is>
          <t>20 Agustus 2026</t>
        </is>
      </c>
      <c r="M35" t="inlineStr">
        <is>
          <t>Bangunan Sipil Jembatan, Jalan Layang, Fly Over, dan Underpass, Konstruksi Bangunan Prasarana Sumber Daya Air, Konstruksi Gedung Kesehatan, Konstruksi Gedung Lainnya</t>
        </is>
      </c>
      <c r="N35" t="inlineStr">
        <is>
          <t>K</t>
        </is>
      </c>
      <c r="O35" t="inlineStr">
        <is>
          <t>20230815</t>
        </is>
      </c>
      <c r="P35" t="inlineStr">
        <is>
          <t>Jawa Timur</t>
        </is>
      </c>
      <c r="Q35" s="3">
        <f>HYPERLINK("https://wa.me/6282140591454?text=Selamat siang Bapak/Ibu pimpinan UNGGUL,%0A%0ASemoga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row r="36">
      <c r="A36" t="inlineStr">
        <is>
          <t>YUDHI JASA</t>
        </is>
      </c>
      <c r="B36" t="inlineStr">
        <is>
          <t>Kab. Tanah Laut</t>
        </is>
      </c>
      <c r="C36" t="inlineStr">
        <is>
          <t>081251258700</t>
        </is>
      </c>
      <c r="D36" t="inlineStr">
        <is>
          <t>yudhijasa@yahoo.com</t>
        </is>
      </c>
      <c r="E36" t="inlineStr">
        <is>
          <t>https://lpjk.pu.go.id/search-badan-usaha-detail/VHJFT2dJa1oyU3FLQU52VGRWN283Zz09</t>
        </is>
      </c>
      <c r="F36" t="n">
        <v>1</v>
      </c>
      <c r="G36" t="inlineStr">
        <is>
          <t>BG006</t>
        </is>
      </c>
      <c r="H36" t="inlineStr">
        <is>
          <t>29 Maret 1983</t>
        </is>
      </c>
      <c r="I36" s="2" t="n">
        <v>46254</v>
      </c>
      <c r="J36" t="inlineStr">
        <is>
          <t>Pencabutan</t>
        </is>
      </c>
      <c r="K36" t="n">
        <v>90</v>
      </c>
      <c r="L36" t="inlineStr">
        <is>
          <t>20 Agustus 2026</t>
        </is>
      </c>
      <c r="M36" t="inlineStr">
        <is>
          <t>Konstruksi Gedung Pendidikan</t>
        </is>
      </c>
      <c r="N36" t="inlineStr">
        <is>
          <t>K</t>
        </is>
      </c>
      <c r="O36" t="inlineStr">
        <is>
          <t>20230814</t>
        </is>
      </c>
      <c r="P36" t="inlineStr">
        <is>
          <t>Kalimantan Selatan</t>
        </is>
      </c>
      <c r="Q36" s="3">
        <f>HYPERLINK("https://wa.me/6281251258700?text=Selamat siang Bapak/Ibu pimpinan YUDHI JASA,%0A%0ASemoga Bapak/Ibu dalam keadaan baik.%0A%0ASaya Ibrahim dari PT. Esdea Assistance Management. Kami berfokus membantu perusahaan seperti perusahaan Bapak/Ibu agar urusan legalitas dan perizinan bisa berjalan lancar.%0A%0AApakah saat ini ada kebutuhan terkait perpanjangan SBU atau layanan sertifikasi lainnya?", "Hubungi")</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4"/>
  <sheetViews>
    <sheetView workbookViewId="0">
      <selection activeCell="A1" sqref="A1"/>
    </sheetView>
  </sheetViews>
  <sheetFormatPr baseColWidth="8" defaultRowHeight="15"/>
  <cols>
    <col width="32" customWidth="1" min="1" max="1"/>
    <col width="27" customWidth="1" min="2" max="2"/>
    <col width="14" customWidth="1" min="3" max="3"/>
    <col width="45" customWidth="1" min="4" max="4"/>
    <col width="50" customWidth="1" min="5" max="5"/>
    <col width="18" customWidth="1" min="6" max="6"/>
    <col width="35"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ADIKARYA KONSTRUKSI PERKASA</t>
        </is>
      </c>
      <c r="B2" t="inlineStr">
        <is>
          <t>Kota Adm. Jakarta Timur</t>
        </is>
      </c>
      <c r="C2" t="inlineStr">
        <is>
          <t>02129833524</t>
        </is>
      </c>
      <c r="D2" t="inlineStr">
        <is>
          <t>pt.akperkasa@gmail.com</t>
        </is>
      </c>
      <c r="E2" t="inlineStr">
        <is>
          <t>https://lpjk.pu.go.id/search-badan-usaha-detail/eGtIUlplNU14L3ROaURHbDY4d3g2dz09</t>
        </is>
      </c>
      <c r="F2" t="n">
        <v>10</v>
      </c>
      <c r="G2" t="inlineStr">
        <is>
          <t>BG001, BG002, BG005, BG006, BG009</t>
        </is>
      </c>
      <c r="H2" t="inlineStr">
        <is>
          <t>9 Maret 2020</t>
        </is>
      </c>
      <c r="I2" s="2" t="n">
        <v>46224</v>
      </c>
      <c r="J2" t="inlineStr">
        <is>
          <t>Disetujui</t>
        </is>
      </c>
      <c r="K2" t="n">
        <v>60</v>
      </c>
      <c r="L2" t="inlineStr">
        <is>
          <t>21 Juli 2026</t>
        </is>
      </c>
      <c r="M2" t="inlineStr">
        <is>
          <t>Konstruksi Gedung Hunian, Konstruksi Gedung Kesehatan, Konstruksi Gedung Lainnya, Konstruksi Gedung Pendidikan, Konstruksi Gedung Perkantoran</t>
        </is>
      </c>
      <c r="N2" t="inlineStr">
        <is>
          <t>K</t>
        </is>
      </c>
      <c r="O2" t="inlineStr">
        <is>
          <t>20230714, 20230718, 20230719</t>
        </is>
      </c>
      <c r="P2" t="inlineStr">
        <is>
          <t>DKI Jakarta</t>
        </is>
      </c>
      <c r="Q2" s="3">
        <f>HYPERLINK("https://wa.me/622129833524?text=*[PENGINGAT MASA BERLAKU SBU ADIKARYA KONSTRUKSI PERKASA]*%0A%0AYth. Pimpinan ADIKARYA KONSTRUKSI PERKASA,%0AMohon izin menginformasikan status SBU Anda di sistem LPJK:%0A%0A📄 SBU: BG001, BG002, BG005, BG006, BG009%0A📅 Expired: 21 Juli 2026 (60 Hari Lagi)%0A%0AKami tim PT. ESDEA Assistance Management siap men-support proses perpanjangan segera.", "Hubungi")</f>
        <v/>
      </c>
    </row>
    <row r="3">
      <c r="A3" t="inlineStr">
        <is>
          <t>HOSANA MAJU GEMILANG</t>
        </is>
      </c>
      <c r="B3" t="inlineStr">
        <is>
          <t>Kota Depok</t>
        </is>
      </c>
      <c r="C3" t="inlineStr">
        <is>
          <t>081287792228</t>
        </is>
      </c>
      <c r="D3" t="inlineStr">
        <is>
          <t>ep_nugroho88@yahoo.co.id</t>
        </is>
      </c>
      <c r="E3" t="inlineStr">
        <is>
          <t>https://lpjk.pu.go.id/search-badan-usaha-detail/NXcxTU9jQ2dvR1NkbW5FOUgreUVTUT09</t>
        </is>
      </c>
      <c r="F3" t="n">
        <v>2</v>
      </c>
      <c r="G3" t="inlineStr">
        <is>
          <t>BG002</t>
        </is>
      </c>
      <c r="H3" t="inlineStr">
        <is>
          <t>7 Februari 2022</t>
        </is>
      </c>
      <c r="I3" s="2" t="n">
        <v>46224</v>
      </c>
      <c r="J3" t="inlineStr">
        <is>
          <t>Pencabutan</t>
        </is>
      </c>
      <c r="K3" t="n">
        <v>60</v>
      </c>
      <c r="L3" t="inlineStr">
        <is>
          <t>21 Juli 2026</t>
        </is>
      </c>
      <c r="M3" t="inlineStr">
        <is>
          <t>Konstruksi Gedung Perkantoran</t>
        </is>
      </c>
      <c r="N3" t="inlineStr">
        <is>
          <t>K</t>
        </is>
      </c>
      <c r="O3" t="inlineStr">
        <is>
          <t>20230721</t>
        </is>
      </c>
      <c r="P3" t="inlineStr">
        <is>
          <t>Jawa Barat</t>
        </is>
      </c>
      <c r="Q3" s="3">
        <f>HYPERLINK("https://wa.me/6281287792228?text=*[PENGINGAT MASA BERLAKU SBU HOSANA MAJU GEMILANG]*%0A%0AYth. Pimpinan HOSANA MAJU GEMILANG,%0AMohon izin menginformasikan status SBU Anda di sistem LPJK:%0A%0A📄 SBU: BG002%0A📅 Expired: 21 Juli 2026 (60 Hari Lagi)%0A%0AKami tim PT. ESDEA Assistance Management siap men-support proses perpanjangan segera.", "Hubungi")</f>
        <v/>
      </c>
    </row>
    <row r="4">
      <c r="A4" t="inlineStr">
        <is>
          <t>PRATAMA MANDIRI</t>
        </is>
      </c>
      <c r="B4" t="inlineStr">
        <is>
          <t>Kota Bekasi</t>
        </is>
      </c>
      <c r="C4" t="inlineStr">
        <is>
          <t>082111221388</t>
        </is>
      </c>
      <c r="D4" t="inlineStr">
        <is>
          <t>info.pratamamandiri@gmail.com</t>
        </is>
      </c>
      <c r="E4" t="inlineStr">
        <is>
          <t>https://lpjk.pu.go.id/search-badan-usaha-detail/QVMrSWh2akk3ODlxa09iSmxpanJ3dz09</t>
        </is>
      </c>
      <c r="F4" t="n">
        <v>1</v>
      </c>
      <c r="G4" t="inlineStr">
        <is>
          <t>BS005</t>
        </is>
      </c>
      <c r="H4" t="inlineStr">
        <is>
          <t>14 Juli 2012</t>
        </is>
      </c>
      <c r="I4" s="2" t="n">
        <v>46224</v>
      </c>
      <c r="J4" t="inlineStr">
        <is>
          <t>Disetujui</t>
        </is>
      </c>
      <c r="K4" t="n">
        <v>60</v>
      </c>
      <c r="L4" t="inlineStr">
        <is>
          <t>21 Juli 2026</t>
        </is>
      </c>
      <c r="M4" t="inlineStr">
        <is>
          <t>Konstruksi Bangunan Sipil Pengolahan Air Bersih</t>
        </is>
      </c>
      <c r="N4" t="inlineStr">
        <is>
          <t>K</t>
        </is>
      </c>
      <c r="O4" t="inlineStr">
        <is>
          <t>20230717</t>
        </is>
      </c>
      <c r="P4" t="inlineStr">
        <is>
          <t>Jawa Barat</t>
        </is>
      </c>
      <c r="Q4" s="3">
        <f>HYPERLINK("https://wa.me/6282111221388?text=*[PENGINGAT MASA BERLAKU SBU PRATAMA MANDIRI]*%0A%0AYth. Pimpinan PRATAMA MANDIRI,%0AMohon izin menginformasikan status SBU Anda di sistem LPJK:%0A%0A📄 SBU: BS005%0A📅 Expired: 21 Juli 2026 (60 Hari Lagi)%0A%0AKami tim PT. ESDEA Assistance Management siap men-support proses perpanjangan segera.", "Hubungi")</f>
        <v/>
      </c>
    </row>
    <row r="5">
      <c r="A5" t="inlineStr">
        <is>
          <t>TORO ESSA MANDIRI</t>
        </is>
      </c>
      <c r="B5" t="inlineStr">
        <is>
          <t>Kota Bekasi</t>
        </is>
      </c>
      <c r="C5" t="inlineStr">
        <is>
          <t>081210676893</t>
        </is>
      </c>
      <c r="D5" t="inlineStr">
        <is>
          <t>toroessamandiri@yahoo.com</t>
        </is>
      </c>
      <c r="E5" t="inlineStr">
        <is>
          <t>https://lpjk.pu.go.id/search-badan-usaha-detail/ZWxOMDZuVElsd3JMb0xpWjBuMWttQT09</t>
        </is>
      </c>
      <c r="F5" t="n">
        <v>1</v>
      </c>
      <c r="G5" t="inlineStr">
        <is>
          <t>BG009</t>
        </is>
      </c>
      <c r="H5" t="inlineStr">
        <is>
          <t>7 April 2014</t>
        </is>
      </c>
      <c r="I5" s="2" t="n">
        <v>46224</v>
      </c>
      <c r="J5" t="inlineStr">
        <is>
          <t>Pencabutan</t>
        </is>
      </c>
      <c r="K5" t="n">
        <v>60</v>
      </c>
      <c r="L5" t="inlineStr">
        <is>
          <t>21 Juli 2026</t>
        </is>
      </c>
      <c r="M5" t="inlineStr">
        <is>
          <t>Konstruksi Gedung Lainnya</t>
        </is>
      </c>
      <c r="N5" t="inlineStr">
        <is>
          <t>K</t>
        </is>
      </c>
      <c r="O5" t="inlineStr">
        <is>
          <t>20230721</t>
        </is>
      </c>
      <c r="P5" t="inlineStr">
        <is>
          <t>Jawa Barat</t>
        </is>
      </c>
      <c r="Q5" s="3">
        <f>HYPERLINK("https://wa.me/6281210676893?text=*[PENGINGAT MASA BERLAKU SBU TORO ESSA MANDIRI]*%0A%0AYth. Pimpinan TORO ESSA MANDIRI,%0AMohon izin menginformasikan status SBU Anda di sistem LPJK:%0A%0A📄 SBU: BG009%0A📅 Expired: 21 Juli 2026 (60 Hari Lagi)%0A%0AKami tim PT. ESDEA Assistance Management siap men-support proses perpanjangan segera.", "Hubungi")</f>
        <v/>
      </c>
    </row>
    <row r="6">
      <c r="A6" t="inlineStr">
        <is>
          <t>ABIYAN NATA KARYA</t>
        </is>
      </c>
      <c r="B6" t="inlineStr">
        <is>
          <t>Kota Bandar Lampung</t>
        </is>
      </c>
      <c r="C6" t="inlineStr">
        <is>
          <t>082168576446</t>
        </is>
      </c>
      <c r="D6" t="inlineStr">
        <is>
          <t>abiyanatakarya@gmail.com</t>
        </is>
      </c>
      <c r="E6" t="inlineStr">
        <is>
          <t>https://lpjk.pu.go.id/search-badan-usaha-detail/L0VIcVBLRmlTOW5WMWQxZTF5Y2tYUT09</t>
        </is>
      </c>
      <c r="F6" t="n">
        <v>2</v>
      </c>
      <c r="G6" t="inlineStr">
        <is>
          <t>BG005, BG008</t>
        </is>
      </c>
      <c r="H6" t="inlineStr">
        <is>
          <t>18 Juli 2019</t>
        </is>
      </c>
      <c r="I6" s="2" t="n">
        <v>46224</v>
      </c>
      <c r="J6" t="inlineStr">
        <is>
          <t>Disetujui, Dokumen Tidak Lengkap</t>
        </is>
      </c>
      <c r="K6" t="n">
        <v>60</v>
      </c>
      <c r="L6" t="inlineStr">
        <is>
          <t>21 Juli 2026</t>
        </is>
      </c>
      <c r="M6" t="inlineStr">
        <is>
          <t>Konstruksi Gedung Kesehatan, Konstruksi Gedung Tempat Hiburan dan Olahraga</t>
        </is>
      </c>
      <c r="N6" t="inlineStr">
        <is>
          <t>K</t>
        </is>
      </c>
      <c r="O6" t="inlineStr">
        <is>
          <t>20230712, 20230715</t>
        </is>
      </c>
      <c r="P6" t="inlineStr">
        <is>
          <t>Lampung</t>
        </is>
      </c>
      <c r="Q6" s="3">
        <f>HYPERLINK("https://wa.me/6282168576446?text=*[PENGINGAT MASA BERLAKU SBU ABIYAN NATA KARYA]*%0A%0AYth. Pimpinan ABIYAN NATA KARYA,%0AMohon izin menginformasikan status SBU Anda di sistem LPJK:%0A%0A📄 SBU: BG005, BG008%0A📅 Expired: 21 Juli 2026 (60 Hari Lagi)%0A%0AKami tim PT. ESDEA Assistance Management siap men-support proses perpanjangan segera.", "Hubungi")</f>
        <v/>
      </c>
    </row>
    <row r="7">
      <c r="A7" t="inlineStr">
        <is>
          <t>ADIDAYA ZIDAN PUTRA</t>
        </is>
      </c>
      <c r="B7" t="inlineStr">
        <is>
          <t>Kab. Boyolali</t>
        </is>
      </c>
      <c r="C7" t="inlineStr">
        <is>
          <t>085647173954</t>
        </is>
      </c>
      <c r="D7" t="inlineStr">
        <is>
          <t>cv.adidayazidanputra@gmail.com</t>
        </is>
      </c>
      <c r="E7" t="inlineStr">
        <is>
          <t>https://lpjk.pu.go.id/search-badan-usaha-detail/WXljMUlseG9YR3dOM2hTT3ozUjI1UT09</t>
        </is>
      </c>
      <c r="F7" t="n">
        <v>1</v>
      </c>
      <c r="G7" t="inlineStr">
        <is>
          <t>BS001</t>
        </is>
      </c>
      <c r="H7" t="inlineStr">
        <is>
          <t>1 Februari 2013</t>
        </is>
      </c>
      <c r="I7" s="2" t="n">
        <v>46224</v>
      </c>
      <c r="J7" t="inlineStr">
        <is>
          <t>Disetujui</t>
        </is>
      </c>
      <c r="K7" t="n">
        <v>60</v>
      </c>
      <c r="L7" t="inlineStr">
        <is>
          <t>21 Juli 2026</t>
        </is>
      </c>
      <c r="M7" t="inlineStr">
        <is>
          <t>Konstruksi Bangunan Sipil Jalan</t>
        </is>
      </c>
      <c r="N7" t="inlineStr">
        <is>
          <t>K</t>
        </is>
      </c>
      <c r="O7" t="inlineStr">
        <is>
          <t>20230718</t>
        </is>
      </c>
      <c r="P7" t="inlineStr">
        <is>
          <t>Jawa Tengah</t>
        </is>
      </c>
      <c r="Q7" s="3">
        <f>HYPERLINK("https://wa.me/6285647173954?text=*[PENGINGAT MASA BERLAKU SBU ADIDAYA ZIDAN PUTRA]*%0A%0AYth. Pimpinan ADIDAYA ZIDAN PUTRA,%0AMohon izin menginformasikan status SBU Anda di sistem LPJK:%0A%0A📄 SBU: BS001%0A📅 Expired: 21 Juli 2026 (60 Hari Lagi)%0A%0AKami tim PT. ESDEA Assistance Management siap men-support proses perpanjangan segera.", "Hubungi")</f>
        <v/>
      </c>
    </row>
    <row r="8">
      <c r="A8" t="inlineStr">
        <is>
          <t>AGRO BANGUN INDUSTRI</t>
        </is>
      </c>
      <c r="B8" t="inlineStr">
        <is>
          <t>Kab. Kotawaringin Barat</t>
        </is>
      </c>
      <c r="C8" t="inlineStr">
        <is>
          <t>0</t>
        </is>
      </c>
      <c r="D8" t="inlineStr">
        <is>
          <t>Abia070996@gmail.com</t>
        </is>
      </c>
      <c r="E8" t="inlineStr">
        <is>
          <t>https://lpjk.pu.go.id/search-badan-usaha-detail/ajJoN25TRkN2VkVLZHlneEhmWkltdz09</t>
        </is>
      </c>
      <c r="F8" t="n">
        <v>1</v>
      </c>
      <c r="G8" t="inlineStr">
        <is>
          <t>BG009</t>
        </is>
      </c>
      <c r="H8" t="inlineStr">
        <is>
          <t>21 Maret 2019</t>
        </is>
      </c>
      <c r="I8" s="2" t="n">
        <v>46224</v>
      </c>
      <c r="J8" t="inlineStr">
        <is>
          <t>Disetujui</t>
        </is>
      </c>
      <c r="K8" t="n">
        <v>60</v>
      </c>
      <c r="L8" t="inlineStr">
        <is>
          <t>21 Juli 2026</t>
        </is>
      </c>
      <c r="M8" t="inlineStr">
        <is>
          <t>Konstruksi Gedung Lainnya</t>
        </is>
      </c>
      <c r="N8" t="inlineStr">
        <is>
          <t>K</t>
        </is>
      </c>
      <c r="O8" t="inlineStr">
        <is>
          <t>20230719</t>
        </is>
      </c>
      <c r="P8" t="inlineStr">
        <is>
          <t>Kalimantan Tengah</t>
        </is>
      </c>
      <c r="Q8" s="3">
        <f>HYPERLINK("https://wa.me/62?text=*[PENGINGAT MASA BERLAKU SBU AGRO BANGUN INDUSTRI]*%0A%0AYth. Pimpinan AGRO BANGUN INDUSTRI,%0AMohon izin menginformasikan status SBU Anda di sistem LPJK:%0A%0A📄 SBU: BG009%0A📅 Expired: 21 Juli 2026 (60 Hari Lagi)%0A%0AKami tim PT. ESDEA Assistance Management siap men-support proses perpanjangan segera.", "Hubungi")</f>
        <v/>
      </c>
    </row>
    <row r="9">
      <c r="A9" t="inlineStr">
        <is>
          <t>AHZA FARID ASSYRAAF</t>
        </is>
      </c>
      <c r="B9" t="inlineStr">
        <is>
          <t>Kota Banjarmasin</t>
        </is>
      </c>
      <c r="C9" t="inlineStr">
        <is>
          <t>081251365149</t>
        </is>
      </c>
      <c r="D9" t="inlineStr">
        <is>
          <t>cv.ahza.farid.assyraaf@gmail.com</t>
        </is>
      </c>
      <c r="E9" t="inlineStr">
        <is>
          <t>https://lpjk.pu.go.id/search-badan-usaha-detail/MEgzZ3I4MDhPR1hNS3l0Wnl4bGNjZz09</t>
        </is>
      </c>
      <c r="F9" t="n">
        <v>2</v>
      </c>
      <c r="G9" t="inlineStr">
        <is>
          <t>BG009, BS005</t>
        </is>
      </c>
      <c r="H9" t="inlineStr">
        <is>
          <t>25 September 2020</t>
        </is>
      </c>
      <c r="I9" s="2" t="n">
        <v>46224</v>
      </c>
      <c r="J9" t="inlineStr">
        <is>
          <t>Disetujui</t>
        </is>
      </c>
      <c r="K9" t="n">
        <v>60</v>
      </c>
      <c r="L9" t="inlineStr">
        <is>
          <t>21 Juli 2026</t>
        </is>
      </c>
      <c r="M9" t="inlineStr">
        <is>
          <t>Konstruksi Bangunan Sipil Pengolahan Air Bersih, Konstruksi Gedung Lainnya</t>
        </is>
      </c>
      <c r="N9" t="inlineStr">
        <is>
          <t>K</t>
        </is>
      </c>
      <c r="O9" t="inlineStr">
        <is>
          <t>20230718</t>
        </is>
      </c>
      <c r="P9" t="inlineStr">
        <is>
          <t>Kalimantan Selatan</t>
        </is>
      </c>
      <c r="Q9" s="3">
        <f>HYPERLINK("https://wa.me/6281251365149?text=*[PENGINGAT MASA BERLAKU SBU AHZA FARID ASSYRAAF]*%0A%0AYth. Pimpinan AHZA FARID ASSYRAAF,%0AMohon izin menginformasikan status SBU Anda di sistem LPJK:%0A%0A📄 SBU: BG009, BS005%0A📅 Expired: 21 Juli 2026 (60 Hari Lagi)%0A%0AKami tim PT. ESDEA Assistance Management siap men-support proses perpanjangan segera.", "Hubungi")</f>
        <v/>
      </c>
    </row>
    <row r="10">
      <c r="A10" t="inlineStr">
        <is>
          <t>AMARTHA</t>
        </is>
      </c>
      <c r="B10" t="inlineStr">
        <is>
          <t>Kab. Nganjuk</t>
        </is>
      </c>
      <c r="C10" t="inlineStr">
        <is>
          <t>08125942316</t>
        </is>
      </c>
      <c r="D10" t="inlineStr">
        <is>
          <t>amarthajaya@yahoo.com</t>
        </is>
      </c>
      <c r="E10" t="inlineStr">
        <is>
          <t>https://lpjk.pu.go.id/search-badan-usaha-detail/QmlBYVZOQ1U5NUpaeDRjSG1uMXNuUT09</t>
        </is>
      </c>
      <c r="F10" t="n">
        <v>6</v>
      </c>
      <c r="G10" t="inlineStr">
        <is>
          <t>BG006, BG009, BS004</t>
        </is>
      </c>
      <c r="H10" t="inlineStr">
        <is>
          <t>26 November 2001</t>
        </is>
      </c>
      <c r="I10" s="2" t="n">
        <v>46224</v>
      </c>
      <c r="J10" t="inlineStr">
        <is>
          <t>Disetujui</t>
        </is>
      </c>
      <c r="K10" t="n">
        <v>60</v>
      </c>
      <c r="L10" t="inlineStr">
        <is>
          <t>21 Juli 2026</t>
        </is>
      </c>
      <c r="M10" t="inlineStr">
        <is>
          <t>Konstruksi Gedung Lainnya, Konstruksi Gedung Pendidikan, Konstruksi Jaringan Irigasi dan Drainase</t>
        </is>
      </c>
      <c r="N10" t="inlineStr">
        <is>
          <t>K</t>
        </is>
      </c>
      <c r="O10" t="inlineStr">
        <is>
          <t>20230613</t>
        </is>
      </c>
      <c r="P10" t="inlineStr">
        <is>
          <t>Jawa Timur</t>
        </is>
      </c>
      <c r="Q10" s="3">
        <f>HYPERLINK("https://wa.me/628125942316?text=*[PENGINGAT MASA BERLAKU SBU AMARTHA]*%0A%0AYth. Pimpinan AMARTHA,%0AMohon izin menginformasikan status SBU Anda di sistem LPJK:%0A%0A📄 SBU: BG006, BG009, BS004%0A📅 Expired: 21 Juli 2026 (60 Hari Lagi)%0A%0AKami tim PT. ESDEA Assistance Management siap men-support proses perpanjangan segera.", "Hubungi")</f>
        <v/>
      </c>
    </row>
    <row r="11">
      <c r="A11" t="inlineStr">
        <is>
          <t>AMPERA PERSADA</t>
        </is>
      </c>
      <c r="B11" t="inlineStr">
        <is>
          <t>Kab. Sambas</t>
        </is>
      </c>
      <c r="C11" t="inlineStr">
        <is>
          <t>085245777701</t>
        </is>
      </c>
      <c r="D11" t="inlineStr">
        <is>
          <t>amperapersada@gmail.com</t>
        </is>
      </c>
      <c r="E11" t="inlineStr">
        <is>
          <t>https://lpjk.pu.go.id/search-badan-usaha-detail/ZGk3cmFFc1NNeHVFMnFhMitaU1ZhZz09</t>
        </is>
      </c>
      <c r="F11" t="n">
        <v>1</v>
      </c>
      <c r="G11" t="inlineStr">
        <is>
          <t>BS002</t>
        </is>
      </c>
      <c r="H11" t="inlineStr">
        <is>
          <t>9 Januari 2004</t>
        </is>
      </c>
      <c r="I11" s="2" t="n">
        <v>46224</v>
      </c>
      <c r="J11" t="inlineStr">
        <is>
          <t>Disetujui</t>
        </is>
      </c>
      <c r="K11" t="n">
        <v>60</v>
      </c>
      <c r="L11" t="inlineStr">
        <is>
          <t>21 Juli 2026</t>
        </is>
      </c>
      <c r="M11" t="inlineStr">
        <is>
          <t>Bangunan Sipil Jembatan, Jalan Layang, Fly Over, dan Underpass</t>
        </is>
      </c>
      <c r="N11" t="inlineStr">
        <is>
          <t>K</t>
        </is>
      </c>
      <c r="O11" t="inlineStr">
        <is>
          <t>20230718</t>
        </is>
      </c>
      <c r="P11" t="inlineStr">
        <is>
          <t>Kalimantan Barat</t>
        </is>
      </c>
      <c r="Q11" s="3">
        <f>HYPERLINK("https://wa.me/6285245777701?text=*[PENGINGAT MASA BERLAKU SBU AMPERA PERSADA]*%0A%0AYth. Pimpinan AMPERA PERSADA,%0AMohon izin menginformasikan status SBU Anda di sistem LPJK:%0A%0A📄 SBU: BS002%0A📅 Expired: 21 Juli 2026 (60 Hari Lagi)%0A%0AKami tim PT. ESDEA Assistance Management siap men-support proses perpanjangan segera.", "Hubungi")</f>
        <v/>
      </c>
    </row>
    <row r="12">
      <c r="A12" t="inlineStr">
        <is>
          <t>ANUGERAH BINTANG PERKASA</t>
        </is>
      </c>
      <c r="B12" t="inlineStr">
        <is>
          <t>Kab. Sidoarjo</t>
        </is>
      </c>
      <c r="C12" t="inlineStr">
        <is>
          <t>085856187262</t>
        </is>
      </c>
      <c r="D12" t="inlineStr">
        <is>
          <t>cv.anugerahbintangperkasa@gmail.com</t>
        </is>
      </c>
      <c r="E12" t="inlineStr">
        <is>
          <t>https://lpjk.pu.go.id/search-badan-usaha-detail/cDhkZ1JPWFF5ek9IU2grc05rYUdJUT09</t>
        </is>
      </c>
      <c r="F12" t="n">
        <v>1</v>
      </c>
      <c r="G12" t="inlineStr">
        <is>
          <t>BS004</t>
        </is>
      </c>
      <c r="H12" t="inlineStr">
        <is>
          <t>9 Februari 2017</t>
        </is>
      </c>
      <c r="I12" s="2" t="n">
        <v>46224</v>
      </c>
      <c r="J12" t="inlineStr">
        <is>
          <t>Disetujui</t>
        </is>
      </c>
      <c r="K12" t="n">
        <v>60</v>
      </c>
      <c r="L12" t="inlineStr">
        <is>
          <t>21 Juli 2026</t>
        </is>
      </c>
      <c r="M12" t="inlineStr">
        <is>
          <t>Konstruksi Jaringan Irigasi dan Drainase</t>
        </is>
      </c>
      <c r="N12" t="inlineStr">
        <is>
          <t>K</t>
        </is>
      </c>
      <c r="O12" t="inlineStr">
        <is>
          <t>20230718</t>
        </is>
      </c>
      <c r="P12" t="inlineStr">
        <is>
          <t>Jawa Timur</t>
        </is>
      </c>
      <c r="Q12" s="3">
        <f>HYPERLINK("https://wa.me/6285856187262?text=*[PENGINGAT MASA BERLAKU SBU ANUGERAH BINTANG PERKASA]*%0A%0AYth. Pimpinan ANUGERAH BINTANG PERKASA,%0AMohon izin menginformasikan status SBU Anda di sistem LPJK:%0A%0A📄 SBU: BS004%0A📅 Expired: 21 Juli 2026 (60 Hari Lagi)%0A%0AKami tim PT. ESDEA Assistance Management siap men-support proses perpanjangan segera.", "Hubungi")</f>
        <v/>
      </c>
    </row>
    <row r="13">
      <c r="A13" t="inlineStr">
        <is>
          <t>ANUGERAH MAGNA NANOTEKNOLOGI</t>
        </is>
      </c>
      <c r="B13" t="inlineStr">
        <is>
          <t>Kab. Tangerang</t>
        </is>
      </c>
      <c r="C13" t="inlineStr">
        <is>
          <t>02154211357</t>
        </is>
      </c>
      <c r="D13" t="inlineStr">
        <is>
          <t>corp@nano.ama.id</t>
        </is>
      </c>
      <c r="E13" t="inlineStr">
        <is>
          <t>https://lpjk.pu.go.id/search-badan-usaha-detail/OW8xMjBSbGNmUnoyMUgzWFFWc1ZUZz09</t>
        </is>
      </c>
      <c r="F13" t="n">
        <v>1</v>
      </c>
      <c r="G13" t="inlineStr">
        <is>
          <t>BG001</t>
        </is>
      </c>
      <c r="H13" t="inlineStr">
        <is>
          <t>10 Oktober 2022</t>
        </is>
      </c>
      <c r="I13" s="2" t="n">
        <v>46224</v>
      </c>
      <c r="J13" t="inlineStr">
        <is>
          <t>Disetujui</t>
        </is>
      </c>
      <c r="K13" t="n">
        <v>60</v>
      </c>
      <c r="L13" t="inlineStr">
        <is>
          <t>21 Juli 2026</t>
        </is>
      </c>
      <c r="M13" t="inlineStr">
        <is>
          <t>Konstruksi Gedung Hunian</t>
        </is>
      </c>
      <c r="N13" t="inlineStr">
        <is>
          <t>K</t>
        </is>
      </c>
      <c r="O13" t="inlineStr">
        <is>
          <t>20230718</t>
        </is>
      </c>
      <c r="P13" t="inlineStr">
        <is>
          <t>Banten</t>
        </is>
      </c>
      <c r="Q13" s="3">
        <f>HYPERLINK("https://wa.me/622154211357?text=*[PENGINGAT MASA BERLAKU SBU ANUGERAH MAGNA NANOTEKNOLOGI]*%0A%0AYth. Pimpinan ANUGERAH MAGNA NANOTEKNOLOGI,%0AMohon izin menginformasikan status SBU Anda di sistem LPJK:%0A%0A📄 SBU: BG001%0A📅 Expired: 21 Juli 2026 (60 Hari Lagi)%0A%0AKami tim PT. ESDEA Assistance Management siap men-support proses perpanjangan segera.", "Hubungi")</f>
        <v/>
      </c>
    </row>
    <row r="14">
      <c r="A14" t="inlineStr">
        <is>
          <t>ANUGRAH BRILIAN</t>
        </is>
      </c>
      <c r="B14" t="inlineStr">
        <is>
          <t>Kota Pangkal Pinang</t>
        </is>
      </c>
      <c r="C14" t="inlineStr">
        <is>
          <t>081273359554</t>
        </is>
      </c>
      <c r="D14" t="inlineStr">
        <is>
          <t>ngrhbrilian@gmail.com</t>
        </is>
      </c>
      <c r="E14" t="inlineStr">
        <is>
          <t>https://lpjk.pu.go.id/search-badan-usaha-detail/WlNxc1hYVTcwaW5kemRoeDVBMFNxZz09</t>
        </is>
      </c>
      <c r="F14" t="n">
        <v>4</v>
      </c>
      <c r="G14" t="inlineStr">
        <is>
          <t>BG005, BG006</t>
        </is>
      </c>
      <c r="H14" t="inlineStr">
        <is>
          <t>8 Desember 2016</t>
        </is>
      </c>
      <c r="I14" s="2" t="n">
        <v>46224</v>
      </c>
      <c r="J14" t="inlineStr">
        <is>
          <t>Disetujui</t>
        </is>
      </c>
      <c r="K14" t="n">
        <v>60</v>
      </c>
      <c r="L14" t="inlineStr">
        <is>
          <t>21 Juli 2026</t>
        </is>
      </c>
      <c r="M14" t="inlineStr">
        <is>
          <t>Konstruksi Gedung Kesehatan, Konstruksi Gedung Pendidikan</t>
        </is>
      </c>
      <c r="N14" t="inlineStr">
        <is>
          <t>K</t>
        </is>
      </c>
      <c r="O14" t="inlineStr">
        <is>
          <t>20230715, 20230716</t>
        </is>
      </c>
      <c r="P14" t="inlineStr">
        <is>
          <t>Kepulauan Bangka Belitung</t>
        </is>
      </c>
      <c r="Q14" s="3">
        <f>HYPERLINK("https://wa.me/6281273359554?text=*[PENGINGAT MASA BERLAKU SBU ANUGRAH BRILIAN]*%0A%0AYth. Pimpinan ANUGRAH BRILIAN,%0AMohon izin menginformasikan status SBU Anda di sistem LPJK:%0A%0A📄 SBU: BG005, BG006%0A📅 Expired: 21 Juli 2026 (60 Hari Lagi)%0A%0AKami tim PT. ESDEA Assistance Management siap men-support proses perpanjangan segera.", "Hubungi")</f>
        <v/>
      </c>
    </row>
    <row r="15">
      <c r="A15" t="inlineStr">
        <is>
          <t>ATLANTIC ALAM INDUSTRI</t>
        </is>
      </c>
      <c r="B15" t="inlineStr">
        <is>
          <t>Kota Langsa</t>
        </is>
      </c>
      <c r="C15" t="inlineStr">
        <is>
          <t>064541042</t>
        </is>
      </c>
      <c r="D15" t="inlineStr">
        <is>
          <t>atlanticalamindustri@aaipt.co.id</t>
        </is>
      </c>
      <c r="E15" t="inlineStr">
        <is>
          <t>https://lpjk.pu.go.id/search-badan-usaha-detail/Z0RWa0ZqM2dKSmhPVUY1UE1qTkxtdz09</t>
        </is>
      </c>
      <c r="F15" t="n">
        <v>1</v>
      </c>
      <c r="G15" t="inlineStr">
        <is>
          <t>PA001</t>
        </is>
      </c>
      <c r="H15" t="inlineStr">
        <is>
          <t>12 September 2003</t>
        </is>
      </c>
      <c r="I15" s="2" t="n">
        <v>46224</v>
      </c>
      <c r="J15" t="inlineStr">
        <is>
          <t>Disetujui</t>
        </is>
      </c>
      <c r="K15" t="n">
        <v>60</v>
      </c>
      <c r="L15" t="inlineStr">
        <is>
          <t>21 Juli 2026</t>
        </is>
      </c>
      <c r="M15" t="inlineStr">
        <is>
          <t>Penyewaan Peralatan Konstruksi</t>
        </is>
      </c>
      <c r="N15" t="inlineStr">
        <is>
          <t>Spesialis</t>
        </is>
      </c>
      <c r="O15" t="inlineStr">
        <is>
          <t>20230612</t>
        </is>
      </c>
      <c r="P15" t="inlineStr">
        <is>
          <t>Aceh</t>
        </is>
      </c>
      <c r="Q15" s="3">
        <f>HYPERLINK("https://wa.me/6264541042?text=*[PENGINGAT MASA BERLAKU SBU ATLANTIC ALAM INDUSTRI]*%0A%0AYth. Pimpinan ATLANTIC ALAM INDUSTRI,%0AMohon izin menginformasikan status SBU Anda di sistem LPJK:%0A%0A📄 SBU: PA001%0A📅 Expired: 21 Juli 2026 (60 Hari Lagi)%0A%0AKami tim PT. ESDEA Assistance Management siap men-support proses perpanjangan segera.", "Hubungi")</f>
        <v/>
      </c>
    </row>
    <row r="16">
      <c r="A16" t="inlineStr">
        <is>
          <t>BANGKIT JAYA SENTOSA</t>
        </is>
      </c>
      <c r="B16" t="inlineStr">
        <is>
          <t>Kab. Jember</t>
        </is>
      </c>
      <c r="C16" t="inlineStr">
        <is>
          <t>082132534199</t>
        </is>
      </c>
      <c r="D16" t="inlineStr">
        <is>
          <t>bjsgrup@gmail.com</t>
        </is>
      </c>
      <c r="E16" t="inlineStr">
        <is>
          <t>https://lpjk.pu.go.id/search-badan-usaha-detail/MHNEaXh6eXdWZU45Z3NyYVQrS2IwUT09</t>
        </is>
      </c>
      <c r="F16" t="n">
        <v>1</v>
      </c>
      <c r="G16" t="inlineStr">
        <is>
          <t>BS001</t>
        </is>
      </c>
      <c r="H16" t="inlineStr">
        <is>
          <t>3 Mei 2016</t>
        </is>
      </c>
      <c r="I16" s="2" t="n">
        <v>46224</v>
      </c>
      <c r="J16" t="inlineStr">
        <is>
          <t>Pencabutan</t>
        </is>
      </c>
      <c r="K16" t="n">
        <v>60</v>
      </c>
      <c r="L16" t="inlineStr">
        <is>
          <t>21 Juli 2026</t>
        </is>
      </c>
      <c r="M16" t="inlineStr">
        <is>
          <t>Konstruksi Bangunan Sipil Jalan</t>
        </is>
      </c>
      <c r="N16" t="inlineStr">
        <is>
          <t>K</t>
        </is>
      </c>
      <c r="O16" t="inlineStr">
        <is>
          <t>20230706</t>
        </is>
      </c>
      <c r="P16" t="inlineStr">
        <is>
          <t>Jawa Timur</t>
        </is>
      </c>
      <c r="Q16" s="3">
        <f>HYPERLINK("https://wa.me/6282132534199?text=*[PENGINGAT MASA BERLAKU SBU BANGKIT JAYA SENTOSA]*%0A%0AYth. Pimpinan BANGKIT JAYA SENTOSA,%0AMohon izin menginformasikan status SBU Anda di sistem LPJK:%0A%0A📄 SBU: BS001%0A📅 Expired: 21 Juli 2026 (60 Hari Lagi)%0A%0AKami tim PT. ESDEA Assistance Management siap men-support proses perpanjangan segera.", "Hubungi")</f>
        <v/>
      </c>
    </row>
    <row r="17">
      <c r="A17" t="inlineStr">
        <is>
          <t>BANGUN DAYA</t>
        </is>
      </c>
      <c r="B17" t="inlineStr">
        <is>
          <t>Kab. Trenggalek</t>
        </is>
      </c>
      <c r="C17" t="inlineStr">
        <is>
          <t>081259143099</t>
        </is>
      </c>
      <c r="D17" t="inlineStr">
        <is>
          <t>cvbangundaya326@gmail.com</t>
        </is>
      </c>
      <c r="E17" t="inlineStr">
        <is>
          <t>https://lpjk.pu.go.id/search-badan-usaha-detail/ZjVSN3ZIM1h4Y1E2Zkd1QTg5RnNYUT09</t>
        </is>
      </c>
      <c r="F17" t="n">
        <v>2</v>
      </c>
      <c r="G17" t="inlineStr">
        <is>
          <t>BG006, BG009</t>
        </is>
      </c>
      <c r="H17" t="inlineStr">
        <is>
          <t>13 Maret 1999</t>
        </is>
      </c>
      <c r="I17" s="2" t="n">
        <v>46224</v>
      </c>
      <c r="J17" t="inlineStr">
        <is>
          <t>Disetujui</t>
        </is>
      </c>
      <c r="K17" t="n">
        <v>60</v>
      </c>
      <c r="L17" t="inlineStr">
        <is>
          <t>21 Juli 2026</t>
        </is>
      </c>
      <c r="M17" t="inlineStr">
        <is>
          <t>Konstruksi Gedung Lainnya, Konstruksi Gedung Pendidikan</t>
        </is>
      </c>
      <c r="N17" t="inlineStr">
        <is>
          <t>K</t>
        </is>
      </c>
      <c r="O17" t="inlineStr">
        <is>
          <t>20230623, 20230718</t>
        </is>
      </c>
      <c r="P17" t="inlineStr">
        <is>
          <t>Jawa Timur</t>
        </is>
      </c>
      <c r="Q17" s="3">
        <f>HYPERLINK("https://wa.me/6281259143099?text=*[PENGINGAT MASA BERLAKU SBU BANGUN DAYA]*%0A%0AYth. Pimpinan BANGUN DAYA,%0AMohon izin menginformasikan status SBU Anda di sistem LPJK:%0A%0A📄 SBU: BG006, BG009%0A📅 Expired: 21 Juli 2026 (60 Hari Lagi)%0A%0AKami tim PT. ESDEA Assistance Management siap men-support proses perpanjangan segera.", "Hubungi")</f>
        <v/>
      </c>
    </row>
    <row r="18">
      <c r="A18" t="inlineStr">
        <is>
          <t>BANGUN REDJO AGUNG</t>
        </is>
      </c>
      <c r="B18" t="inlineStr">
        <is>
          <t>Kota Adm. Jakarta Utara</t>
        </is>
      </c>
      <c r="C18" t="inlineStr">
        <is>
          <t>02165314274</t>
        </is>
      </c>
      <c r="D18" t="inlineStr">
        <is>
          <t>jenderalutara2@gmail.com</t>
        </is>
      </c>
      <c r="E18" t="inlineStr">
        <is>
          <t>https://lpjk.pu.go.id/search-badan-usaha-detail/amQrS1ZzZ1BvM3BqVXRQclVzWGNsdz09</t>
        </is>
      </c>
      <c r="F18" t="n">
        <v>1</v>
      </c>
      <c r="G18" t="inlineStr">
        <is>
          <t>BG009</t>
        </is>
      </c>
      <c r="H18" t="inlineStr">
        <is>
          <t>5 Juli 2022</t>
        </is>
      </c>
      <c r="I18" s="2" t="n">
        <v>46224</v>
      </c>
      <c r="J18" t="inlineStr">
        <is>
          <t>Disetujui</t>
        </is>
      </c>
      <c r="K18" t="n">
        <v>60</v>
      </c>
      <c r="L18" t="inlineStr">
        <is>
          <t>21 Juli 2026</t>
        </is>
      </c>
      <c r="M18" t="inlineStr">
        <is>
          <t>Konstruksi Gedung Lainnya</t>
        </is>
      </c>
      <c r="N18" t="inlineStr">
        <is>
          <t>K</t>
        </is>
      </c>
      <c r="O18" t="inlineStr">
        <is>
          <t>20230718</t>
        </is>
      </c>
      <c r="P18" t="inlineStr">
        <is>
          <t>DKI Jakarta</t>
        </is>
      </c>
      <c r="Q18" s="3">
        <f>HYPERLINK("https://wa.me/622165314274?text=*[PENGINGAT MASA BERLAKU SBU BANGUN REDJO AGUNG]*%0A%0AYth. Pimpinan BANGUN REDJO AGUNG,%0AMohon izin menginformasikan status SBU Anda di sistem LPJK:%0A%0A📄 SBU: BG009%0A📅 Expired: 21 Juli 2026 (60 Hari Lagi)%0A%0AKami tim PT. ESDEA Assistance Management siap men-support proses perpanjangan segera.", "Hubungi")</f>
        <v/>
      </c>
    </row>
    <row r="19">
      <c r="A19" t="inlineStr">
        <is>
          <t>BETANIA PRIMA</t>
        </is>
      </c>
      <c r="B19" t="inlineStr">
        <is>
          <t>Kota Tangerang</t>
        </is>
      </c>
      <c r="C19" t="inlineStr">
        <is>
          <t>081290019906</t>
        </is>
      </c>
      <c r="D19" t="inlineStr">
        <is>
          <t>pt.betaniaprima1@gmail.com</t>
        </is>
      </c>
      <c r="E19" t="inlineStr">
        <is>
          <t>https://lpjk.pu.go.id/search-badan-usaha-detail/cjlnSkxidkcrejBiV3UyR2RpZUNYdz09</t>
        </is>
      </c>
      <c r="F19" t="n">
        <v>1</v>
      </c>
      <c r="G19" t="inlineStr">
        <is>
          <t>BG005</t>
        </is>
      </c>
      <c r="H19" t="inlineStr">
        <is>
          <t>19 Desember 1985</t>
        </is>
      </c>
      <c r="I19" s="2" t="n">
        <v>46224</v>
      </c>
      <c r="J19" t="inlineStr">
        <is>
          <t>Pencabutan</t>
        </is>
      </c>
      <c r="K19" t="n">
        <v>60</v>
      </c>
      <c r="L19" t="inlineStr">
        <is>
          <t>21 Juli 2026</t>
        </is>
      </c>
      <c r="M19" t="inlineStr">
        <is>
          <t>Konstruksi Gedung Kesehatan</t>
        </is>
      </c>
      <c r="N19" t="inlineStr">
        <is>
          <t>B</t>
        </is>
      </c>
      <c r="O19" t="inlineStr">
        <is>
          <t>20230619</t>
        </is>
      </c>
      <c r="P19" t="inlineStr">
        <is>
          <t>Banten</t>
        </is>
      </c>
      <c r="Q19" s="3">
        <f>HYPERLINK("https://wa.me/6281290019906?text=*[PENGINGAT MASA BERLAKU SBU BETANIA PRIMA]*%0A%0AYth. Pimpinan BETANIA PRIMA,%0AMohon izin menginformasikan status SBU Anda di sistem LPJK:%0A%0A📄 SBU: BG005%0A📅 Expired: 21 Juli 2026 (60 Hari Lagi)%0A%0AKami tim PT. ESDEA Assistance Management siap men-support proses perpanjangan segera.", "Hubungi")</f>
        <v/>
      </c>
    </row>
    <row r="20">
      <c r="A20" t="inlineStr">
        <is>
          <t>BINTANG ALEYSHA</t>
        </is>
      </c>
      <c r="B20" t="inlineStr">
        <is>
          <t>Kab. Jember</t>
        </is>
      </c>
      <c r="C20" t="inlineStr">
        <is>
          <t>085204087010</t>
        </is>
      </c>
      <c r="D20" t="inlineStr">
        <is>
          <t>bintangaleysha46@gmail.com</t>
        </is>
      </c>
      <c r="E20" t="inlineStr">
        <is>
          <t>https://lpjk.pu.go.id/search-badan-usaha-detail/ZTFGbXZMN3k3MjBKUHM3bFdsWTVrUT09</t>
        </is>
      </c>
      <c r="F20" t="n">
        <v>4</v>
      </c>
      <c r="G20" t="inlineStr">
        <is>
          <t>BG006, BG009</t>
        </is>
      </c>
      <c r="H20" t="inlineStr">
        <is>
          <t>21 Februari 2013</t>
        </is>
      </c>
      <c r="I20" s="2" t="n">
        <v>46224</v>
      </c>
      <c r="J20" t="inlineStr">
        <is>
          <t>Disetujui, Pencabutan</t>
        </is>
      </c>
      <c r="K20" t="n">
        <v>60</v>
      </c>
      <c r="L20" t="inlineStr">
        <is>
          <t>21 Juli 2026</t>
        </is>
      </c>
      <c r="M20" t="inlineStr">
        <is>
          <t>Konstruksi Gedung Lainnya, Konstruksi Gedung Pendidikan</t>
        </is>
      </c>
      <c r="N20" t="inlineStr">
        <is>
          <t>K</t>
        </is>
      </c>
      <c r="O20" t="inlineStr">
        <is>
          <t>20230718</t>
        </is>
      </c>
      <c r="P20" t="inlineStr">
        <is>
          <t>Jawa Timur</t>
        </is>
      </c>
      <c r="Q20" s="3">
        <f>HYPERLINK("https://wa.me/6285204087010?text=*[PENGINGAT MASA BERLAKU SBU BINTANG ALEYSHA]*%0A%0AYth. Pimpinan BINTANG ALEYSHA,%0AMohon izin menginformasikan status SBU Anda di sistem LPJK:%0A%0A📄 SBU: BG006, BG009%0A📅 Expired: 21 Juli 2026 (60 Hari Lagi)%0A%0AKami tim PT. ESDEA Assistance Management siap men-support proses perpanjangan segera.", "Hubungi")</f>
        <v/>
      </c>
    </row>
    <row r="21">
      <c r="A21" t="inlineStr">
        <is>
          <t>BINTANG BERSAMA LAMANDAU</t>
        </is>
      </c>
      <c r="B21" t="inlineStr">
        <is>
          <t>Kab. Lamandau</t>
        </is>
      </c>
      <c r="C21" t="inlineStr">
        <is>
          <t>08125816023</t>
        </is>
      </c>
      <c r="D21" t="inlineStr">
        <is>
          <t>bintangbersamalamandau.2022@gmail.com</t>
        </is>
      </c>
      <c r="E21" t="inlineStr">
        <is>
          <t>https://lpjk.pu.go.id/search-badan-usaha-detail/L0FSSkFyVEp5UXVGOVFUc1h3RDJUUT09</t>
        </is>
      </c>
      <c r="F21" t="n">
        <v>2</v>
      </c>
      <c r="G21" t="inlineStr">
        <is>
          <t>BG005</t>
        </is>
      </c>
      <c r="H21" t="inlineStr">
        <is>
          <t>12 April 2022</t>
        </is>
      </c>
      <c r="I21" s="2" t="n">
        <v>46224</v>
      </c>
      <c r="J21" t="inlineStr">
        <is>
          <t>Disetujui</t>
        </is>
      </c>
      <c r="K21" t="n">
        <v>60</v>
      </c>
      <c r="L21" t="inlineStr">
        <is>
          <t>21 Juli 2026</t>
        </is>
      </c>
      <c r="M21" t="inlineStr">
        <is>
          <t>Konstruksi Gedung Kesehatan</t>
        </is>
      </c>
      <c r="N21" t="inlineStr">
        <is>
          <t>K</t>
        </is>
      </c>
      <c r="O21" t="inlineStr">
        <is>
          <t>20230718</t>
        </is>
      </c>
      <c r="P21" t="inlineStr">
        <is>
          <t>Kalimantan Tengah</t>
        </is>
      </c>
      <c r="Q21" s="3">
        <f>HYPERLINK("https://wa.me/628125816023?text=*[PENGINGAT MASA BERLAKU SBU BINTANG BERSAMA LAMANDAU]*%0A%0AYth. Pimpinan BINTANG BERSAMA LAMANDAU,%0AMohon izin menginformasikan status SBU Anda di sistem LPJK:%0A%0A📄 SBU: BG005%0A📅 Expired: 21 Juli 2026 (60 Hari Lagi)%0A%0AKami tim PT. ESDEA Assistance Management siap men-support proses perpanjangan segera.", "Hubungi")</f>
        <v/>
      </c>
    </row>
    <row r="22">
      <c r="A22" t="inlineStr">
        <is>
          <t>BINTANG SELATAN</t>
        </is>
      </c>
      <c r="B22" t="inlineStr">
        <is>
          <t>Kab. Lombok Timur</t>
        </is>
      </c>
      <c r="C22" t="inlineStr">
        <is>
          <t>081913221983</t>
        </is>
      </c>
      <c r="D22" t="inlineStr">
        <is>
          <t>bintangselatan2020@gmail.com</t>
        </is>
      </c>
      <c r="E22" t="inlineStr">
        <is>
          <t>https://lpjk.pu.go.id/search-badan-usaha-detail/V0Zkc3k2bmg5NzZ6QUZlYnpRQ25EQT09</t>
        </is>
      </c>
      <c r="F22" t="n">
        <v>2</v>
      </c>
      <c r="G22" t="inlineStr">
        <is>
          <t>BG005</t>
        </is>
      </c>
      <c r="H22" t="inlineStr">
        <is>
          <t>11 Januari 2013</t>
        </is>
      </c>
      <c r="I22" s="2" t="n">
        <v>46224</v>
      </c>
      <c r="J22" t="inlineStr">
        <is>
          <t>Pencabutan</t>
        </is>
      </c>
      <c r="K22" t="n">
        <v>60</v>
      </c>
      <c r="L22" t="inlineStr">
        <is>
          <t>21 Juli 2026</t>
        </is>
      </c>
      <c r="M22" t="inlineStr">
        <is>
          <t>Konstruksi Gedung Kesehatan</t>
        </is>
      </c>
      <c r="N22" t="inlineStr">
        <is>
          <t>K</t>
        </is>
      </c>
      <c r="O22" t="inlineStr">
        <is>
          <t>20230721</t>
        </is>
      </c>
      <c r="P22" t="inlineStr">
        <is>
          <t>Nusa Tenggara Barat</t>
        </is>
      </c>
      <c r="Q22" s="3">
        <f>HYPERLINK("https://wa.me/6281913221983?text=*[PENGINGAT MASA BERLAKU SBU BINTANG SELATAN]*%0A%0AYth. Pimpinan BINTANG SELATAN,%0AMohon izin menginformasikan status SBU Anda di sistem LPJK:%0A%0A📄 SBU: BG005%0A📅 Expired: 21 Juli 2026 (60 Hari Lagi)%0A%0AKami tim PT. ESDEA Assistance Management siap men-support proses perpanjangan segera.", "Hubungi")</f>
        <v/>
      </c>
    </row>
    <row r="23">
      <c r="A23" t="inlineStr">
        <is>
          <t>BUMI SULTRA</t>
        </is>
      </c>
      <c r="B23" t="inlineStr">
        <is>
          <t>Kota Kendari</t>
        </is>
      </c>
      <c r="C23" t="inlineStr">
        <is>
          <t>085242635791</t>
        </is>
      </c>
      <c r="D23" t="inlineStr">
        <is>
          <t>sutartinisutartini@gmail.com</t>
        </is>
      </c>
      <c r="E23" t="inlineStr">
        <is>
          <t>https://lpjk.pu.go.id/search-badan-usaha-detail/WDliSkdFNFFBL3k5cGRia1hnU3IrUT09</t>
        </is>
      </c>
      <c r="F23" t="n">
        <v>1</v>
      </c>
      <c r="G23" t="inlineStr">
        <is>
          <t>BS007</t>
        </is>
      </c>
      <c r="H23" t="inlineStr">
        <is>
          <t>21 Januari 2016</t>
        </is>
      </c>
      <c r="I23" s="2" t="n">
        <v>46224</v>
      </c>
      <c r="J23" t="inlineStr">
        <is>
          <t>Disetujui</t>
        </is>
      </c>
      <c r="K23" t="n">
        <v>60</v>
      </c>
      <c r="L23" t="inlineStr">
        <is>
          <t>21 Juli 2026</t>
        </is>
      </c>
      <c r="M23" t="inlineStr">
        <is>
          <t>Konstruksi Bangunan Sipil Elektrikal</t>
        </is>
      </c>
      <c r="N23" t="inlineStr">
        <is>
          <t>K</t>
        </is>
      </c>
      <c r="O23" t="inlineStr">
        <is>
          <t>20230721</t>
        </is>
      </c>
      <c r="P23" t="inlineStr">
        <is>
          <t>Sulawesi Tenggara</t>
        </is>
      </c>
      <c r="Q23" s="3">
        <f>HYPERLINK("https://wa.me/6285242635791?text=*[PENGINGAT MASA BERLAKU SBU BUMI SULTRA]*%0A%0AYth. Pimpinan BUMI SULTRA,%0AMohon izin menginformasikan status SBU Anda di sistem LPJK:%0A%0A📄 SBU: BS007%0A📅 Expired: 21 Juli 2026 (60 Hari Lagi)%0A%0AKami tim PT. ESDEA Assistance Management siap men-support proses perpanjangan segera.", "Hubungi")</f>
        <v/>
      </c>
    </row>
    <row r="24">
      <c r="A24" t="inlineStr">
        <is>
          <t>CAKRA TRIBUANA CORP</t>
        </is>
      </c>
      <c r="B24" t="inlineStr">
        <is>
          <t>Kota Banda Aceh</t>
        </is>
      </c>
      <c r="C24" t="inlineStr">
        <is>
          <t>081319803370</t>
        </is>
      </c>
      <c r="D24" t="inlineStr">
        <is>
          <t>cakratribuanacorp.pt@gmail.com</t>
        </is>
      </c>
      <c r="E24" t="inlineStr">
        <is>
          <t>https://lpjk.pu.go.id/search-badan-usaha-detail/YVFoaGpxVTBwMndqZDdQNUgrZFRLZz09</t>
        </is>
      </c>
      <c r="F24" t="n">
        <v>4</v>
      </c>
      <c r="G24" t="inlineStr">
        <is>
          <t>BG008, BG009, BS005, BS006</t>
        </is>
      </c>
      <c r="H24" t="inlineStr">
        <is>
          <t>26 September 2020</t>
        </is>
      </c>
      <c r="I24" s="2" t="n">
        <v>46224</v>
      </c>
      <c r="J24" t="inlineStr">
        <is>
          <t>Disetujui</t>
        </is>
      </c>
      <c r="K24" t="n">
        <v>60</v>
      </c>
      <c r="L24" t="inlineStr">
        <is>
          <t>21 Juli 2026</t>
        </is>
      </c>
      <c r="M24" t="inlineStr">
        <is>
          <t>Konstruksi Bangunan Sipil Pengolahan Air Bersih, Konstruksi Bangunan Sipil Prasarana dan Sarana Sistem Pengolahan Limbah Padat, Cair, dan Gas, Konstruksi Gedung Lainnya, Konstruksi Gedung Tempat Hiburan dan Olahraga</t>
        </is>
      </c>
      <c r="N24" t="inlineStr">
        <is>
          <t>K</t>
        </is>
      </c>
      <c r="O24" t="inlineStr">
        <is>
          <t>20230716</t>
        </is>
      </c>
      <c r="P24" t="inlineStr">
        <is>
          <t>Aceh</t>
        </is>
      </c>
      <c r="Q24" s="3">
        <f>HYPERLINK("https://wa.me/6281319803370?text=*[PENGINGAT MASA BERLAKU SBU CAKRA TRIBUANA CORP]*%0A%0AYth. Pimpinan CAKRA TRIBUANA CORP,%0AMohon izin menginformasikan status SBU Anda di sistem LPJK:%0A%0A📄 SBU: BG008, BG009, BS005, BS006%0A📅 Expired: 21 Juli 2026 (60 Hari Lagi)%0A%0AKami tim PT. ESDEA Assistance Management siap men-support proses perpanjangan segera.", "Hubungi")</f>
        <v/>
      </c>
    </row>
    <row r="25">
      <c r="A25" t="inlineStr">
        <is>
          <t>CITRA INDAH SEJATI</t>
        </is>
      </c>
      <c r="B25" t="inlineStr">
        <is>
          <t>Kab. Banyumas</t>
        </is>
      </c>
      <c r="C25" t="inlineStr">
        <is>
          <t>02816577189</t>
        </is>
      </c>
      <c r="D25" t="inlineStr">
        <is>
          <t>citraindahsejati@yahoo.com</t>
        </is>
      </c>
      <c r="E25" t="inlineStr">
        <is>
          <t>https://lpjk.pu.go.id/search-badan-usaha-detail/UnFSSVI4Tm9OWlQxT2U0NWMwVFpJZz09</t>
        </is>
      </c>
      <c r="F25" t="n">
        <v>1</v>
      </c>
      <c r="G25" t="inlineStr">
        <is>
          <t>BG006</t>
        </is>
      </c>
      <c r="H25" t="inlineStr">
        <is>
          <t>8 Agustus 1992</t>
        </is>
      </c>
      <c r="I25" s="2" t="n">
        <v>46224</v>
      </c>
      <c r="J25" t="inlineStr">
        <is>
          <t>Disetujui</t>
        </is>
      </c>
      <c r="K25" t="n">
        <v>60</v>
      </c>
      <c r="L25" t="inlineStr">
        <is>
          <t>21 Juli 2026</t>
        </is>
      </c>
      <c r="M25" t="inlineStr">
        <is>
          <t>Konstruksi Gedung Pendidikan</t>
        </is>
      </c>
      <c r="N25" t="inlineStr">
        <is>
          <t>K</t>
        </is>
      </c>
      <c r="O25" t="inlineStr">
        <is>
          <t>20230718</t>
        </is>
      </c>
      <c r="P25" t="inlineStr">
        <is>
          <t>Jawa Tengah</t>
        </is>
      </c>
      <c r="Q25" s="3">
        <f>HYPERLINK("https://wa.me/622816577189?text=*[PENGINGAT MASA BERLAKU SBU CITRA INDAH SEJATI]*%0A%0AYth. Pimpinan CITRA INDAH SEJATI,%0AMohon izin menginformasikan status SBU Anda di sistem LPJK:%0A%0A📄 SBU: BG006%0A📅 Expired: 21 Juli 2026 (60 Hari Lagi)%0A%0AKami tim PT. ESDEA Assistance Management siap men-support proses perpanjangan segera.", "Hubungi")</f>
        <v/>
      </c>
    </row>
    <row r="26">
      <c r="A26" t="inlineStr">
        <is>
          <t>CITRA JAYA HAMIDAH</t>
        </is>
      </c>
      <c r="B26" t="inlineStr">
        <is>
          <t>Kab. Brebes</t>
        </is>
      </c>
      <c r="C26" t="inlineStr">
        <is>
          <t>085602926860</t>
        </is>
      </c>
      <c r="D26" t="inlineStr">
        <is>
          <t>cvcitrajayahamidah@gmail.com</t>
        </is>
      </c>
      <c r="E26" t="inlineStr">
        <is>
          <t>https://lpjk.pu.go.id/search-badan-usaha-detail/N21qdGJaM0h2aVhvdUZDc1hldXh2dz09</t>
        </is>
      </c>
      <c r="F26" t="n">
        <v>2</v>
      </c>
      <c r="G26" t="inlineStr">
        <is>
          <t>BS001, BS002</t>
        </is>
      </c>
      <c r="H26" t="inlineStr">
        <is>
          <t>2 April 2022</t>
        </is>
      </c>
      <c r="I26" s="2" t="n">
        <v>46224</v>
      </c>
      <c r="J26" t="inlineStr">
        <is>
          <t>Pencabutan</t>
        </is>
      </c>
      <c r="K26" t="n">
        <v>60</v>
      </c>
      <c r="L26" t="inlineStr">
        <is>
          <t>21 Juli 2026</t>
        </is>
      </c>
      <c r="M26" t="inlineStr">
        <is>
          <t>Bangunan Sipil Jembatan, Jalan Layang, Fly Over, dan Underpass, Konstruksi Bangunan Sipil Jalan</t>
        </is>
      </c>
      <c r="N26" t="inlineStr">
        <is>
          <t>K</t>
        </is>
      </c>
      <c r="O26" t="inlineStr">
        <is>
          <t>20230721</t>
        </is>
      </c>
      <c r="P26" t="inlineStr">
        <is>
          <t>Jawa Tengah</t>
        </is>
      </c>
      <c r="Q26" s="3">
        <f>HYPERLINK("https://wa.me/6285602926860?text=*[PENGINGAT MASA BERLAKU SBU CITRA JAYA HAMIDAH]*%0A%0AYth. Pimpinan CITRA JAYA HAMIDAH,%0AMohon izin menginformasikan status SBU Anda di sistem LPJK:%0A%0A📄 SBU: BS001, BS002%0A📅 Expired: 21 Juli 2026 (60 Hari Lagi)%0A%0AKami tim PT. ESDEA Assistance Management siap men-support proses perpanjangan segera.", "Hubungi")</f>
        <v/>
      </c>
    </row>
    <row r="27">
      <c r="A27" t="inlineStr">
        <is>
          <t>CITRA JAYA KONSTRUKSI</t>
        </is>
      </c>
      <c r="B27" t="inlineStr">
        <is>
          <t>Kab. Kediri</t>
        </is>
      </c>
      <c r="C27" t="inlineStr">
        <is>
          <t>085755175065</t>
        </is>
      </c>
      <c r="D27" t="inlineStr">
        <is>
          <t>citrajayakonstruksi@gmail.com</t>
        </is>
      </c>
      <c r="E27" t="inlineStr">
        <is>
          <t>https://lpjk.pu.go.id/search-badan-usaha-detail/VzBFak8ybDhXaHg5dnI0WktMY3A0dz09</t>
        </is>
      </c>
      <c r="F27" t="n">
        <v>1</v>
      </c>
      <c r="G27" t="inlineStr">
        <is>
          <t>BG006</t>
        </is>
      </c>
      <c r="H27" t="inlineStr">
        <is>
          <t>27 April 2001</t>
        </is>
      </c>
      <c r="I27" s="2" t="n">
        <v>46224</v>
      </c>
      <c r="J27" t="inlineStr">
        <is>
          <t>Disetujui</t>
        </is>
      </c>
      <c r="K27" t="n">
        <v>60</v>
      </c>
      <c r="L27" t="inlineStr">
        <is>
          <t>21 Juli 2026</t>
        </is>
      </c>
      <c r="M27" t="inlineStr">
        <is>
          <t>Konstruksi Gedung Pendidikan</t>
        </is>
      </c>
      <c r="N27" t="inlineStr">
        <is>
          <t>K</t>
        </is>
      </c>
      <c r="O27" t="inlineStr">
        <is>
          <t>20230711</t>
        </is>
      </c>
      <c r="P27" t="inlineStr">
        <is>
          <t>Jawa Timur</t>
        </is>
      </c>
      <c r="Q27" s="3">
        <f>HYPERLINK("https://wa.me/6285755175065?text=*[PENGINGAT MASA BERLAKU SBU CITRA JAYA KONSTRUKSI]*%0A%0AYth. Pimpinan CITRA JAYA KONSTRUKSI,%0AMohon izin menginformasikan status SBU Anda di sistem LPJK:%0A%0A📄 SBU: BG006%0A📅 Expired: 21 Juli 2026 (60 Hari Lagi)%0A%0AKami tim PT. ESDEA Assistance Management siap men-support proses perpanjangan segera.", "Hubungi")</f>
        <v/>
      </c>
    </row>
    <row r="28">
      <c r="A28" t="inlineStr">
        <is>
          <t>CITRA KARYA ABADI</t>
        </is>
      </c>
      <c r="B28" t="inlineStr">
        <is>
          <t>Kab. Sidoarjo</t>
        </is>
      </c>
      <c r="C28" t="inlineStr">
        <is>
          <t>085648393501</t>
        </is>
      </c>
      <c r="D28" t="inlineStr">
        <is>
          <t>citra_karya11@yahoo.co.id</t>
        </is>
      </c>
      <c r="E28" t="inlineStr">
        <is>
          <t>https://lpjk.pu.go.id/search-badan-usaha-detail/bHgvekdDS1RIaEQ3OVB4NzVDTSs5UT09</t>
        </is>
      </c>
      <c r="F28" t="n">
        <v>3</v>
      </c>
      <c r="G28" t="inlineStr">
        <is>
          <t>BG003, BG006, BG009</t>
        </is>
      </c>
      <c r="H28" t="inlineStr">
        <is>
          <t>4 Mei 2011</t>
        </is>
      </c>
      <c r="I28" s="2" t="n">
        <v>46224</v>
      </c>
      <c r="J28" t="inlineStr">
        <is>
          <t>Disetujui</t>
        </is>
      </c>
      <c r="K28" t="n">
        <v>60</v>
      </c>
      <c r="L28" t="inlineStr">
        <is>
          <t>21 Juli 2026</t>
        </is>
      </c>
      <c r="M28" t="inlineStr">
        <is>
          <t>Konstruksi Gedung Industri, Konstruksi Gedung Lainnya, Konstruksi Gedung Pendidikan</t>
        </is>
      </c>
      <c r="N28" t="inlineStr">
        <is>
          <t>K</t>
        </is>
      </c>
      <c r="O28" t="inlineStr">
        <is>
          <t>20230721</t>
        </is>
      </c>
      <c r="P28" t="inlineStr">
        <is>
          <t>Jawa Timur</t>
        </is>
      </c>
      <c r="Q28" s="3">
        <f>HYPERLINK("https://wa.me/6285648393501?text=*[PENGINGAT MASA BERLAKU SBU CITRA KARYA ABADI]*%0A%0AYth. Pimpinan CITRA KARYA ABADI,%0AMohon izin menginformasikan status SBU Anda di sistem LPJK:%0A%0A📄 SBU: BG003, BG006, BG009%0A📅 Expired: 21 Juli 2026 (60 Hari Lagi)%0A%0AKami tim PT. ESDEA Assistance Management siap men-support proses perpanjangan segera.", "Hubungi")</f>
        <v/>
      </c>
    </row>
    <row r="29">
      <c r="A29" t="inlineStr">
        <is>
          <t>CITRA LESTARI</t>
        </is>
      </c>
      <c r="B29" t="inlineStr">
        <is>
          <t>Kab. Lombok Utara</t>
        </is>
      </c>
      <c r="C29" t="inlineStr">
        <is>
          <t>081803631164</t>
        </is>
      </c>
      <c r="D29" t="inlineStr">
        <is>
          <t>cvcitralestari@yahoo.co.id</t>
        </is>
      </c>
      <c r="E29" t="inlineStr">
        <is>
          <t>https://lpjk.pu.go.id/search-badan-usaha-detail/TXo4akhYOUQ3V0JPako5Y0RuNzhadz09</t>
        </is>
      </c>
      <c r="F29" t="n">
        <v>1</v>
      </c>
      <c r="G29" t="inlineStr">
        <is>
          <t>BS005</t>
        </is>
      </c>
      <c r="H29" t="inlineStr">
        <is>
          <t>26 Agustus 2014</t>
        </is>
      </c>
      <c r="I29" s="2" t="n">
        <v>46224</v>
      </c>
      <c r="J29" t="inlineStr">
        <is>
          <t>Disetujui</t>
        </is>
      </c>
      <c r="K29" t="n">
        <v>60</v>
      </c>
      <c r="L29" t="inlineStr">
        <is>
          <t>21 Juli 2026</t>
        </is>
      </c>
      <c r="M29" t="inlineStr">
        <is>
          <t>Konstruksi Bangunan Sipil Pengolahan Air Bersih</t>
        </is>
      </c>
      <c r="N29" t="inlineStr">
        <is>
          <t>K</t>
        </is>
      </c>
      <c r="O29" t="inlineStr">
        <is>
          <t>20230720</t>
        </is>
      </c>
      <c r="P29" t="inlineStr">
        <is>
          <t>Nusa Tenggara Barat</t>
        </is>
      </c>
      <c r="Q29" s="3">
        <f>HYPERLINK("https://wa.me/6281803631164?text=*[PENGINGAT MASA BERLAKU SBU CITRA LESTARI]*%0A%0AYth. Pimpinan CITRA LESTARI,%0AMohon izin menginformasikan status SBU Anda di sistem LPJK:%0A%0A📄 SBU: BS005%0A📅 Expired: 21 Juli 2026 (60 Hari Lagi)%0A%0AKami tim PT. ESDEA Assistance Management siap men-support proses perpanjangan segera.", "Hubungi")</f>
        <v/>
      </c>
    </row>
    <row r="30">
      <c r="A30" t="inlineStr">
        <is>
          <t>CITRA SUBUR</t>
        </is>
      </c>
      <c r="B30" t="inlineStr">
        <is>
          <t>Kab. Padang Pariaman</t>
        </is>
      </c>
      <c r="C30" t="inlineStr">
        <is>
          <t>08126733425</t>
        </is>
      </c>
      <c r="D30" t="inlineStr">
        <is>
          <t>suburcitra@gmail.com</t>
        </is>
      </c>
      <c r="E30" t="inlineStr">
        <is>
          <t>https://lpjk.pu.go.id/search-badan-usaha-detail/TnhFZTMzMTlKZU4wWUZxM1R6YkJTUT09</t>
        </is>
      </c>
      <c r="F30" t="n">
        <v>1</v>
      </c>
      <c r="G30" t="inlineStr">
        <is>
          <t>BG006</t>
        </is>
      </c>
      <c r="H30" t="inlineStr">
        <is>
          <t>5 Februari 1981</t>
        </is>
      </c>
      <c r="I30" s="2" t="n">
        <v>46224</v>
      </c>
      <c r="J30" t="inlineStr">
        <is>
          <t>Pencabutan</t>
        </is>
      </c>
      <c r="K30" t="n">
        <v>60</v>
      </c>
      <c r="L30" t="inlineStr">
        <is>
          <t>21 Juli 2026</t>
        </is>
      </c>
      <c r="M30" t="inlineStr">
        <is>
          <t>Konstruksi Gedung Pendidikan</t>
        </is>
      </c>
      <c r="N30" t="inlineStr">
        <is>
          <t>K</t>
        </is>
      </c>
      <c r="O30" t="inlineStr">
        <is>
          <t>20230714</t>
        </is>
      </c>
      <c r="P30" t="inlineStr">
        <is>
          <t>Sumatera Barat</t>
        </is>
      </c>
      <c r="Q30" s="3">
        <f>HYPERLINK("https://wa.me/628126733425?text=*[PENGINGAT MASA BERLAKU SBU CITRA SUBUR]*%0A%0AYth. Pimpinan CITRA SUBUR,%0AMohon izin menginformasikan status SBU Anda di sistem LPJK:%0A%0A📄 SBU: BG006%0A📅 Expired: 21 Juli 2026 (60 Hari Lagi)%0A%0AKami tim PT. ESDEA Assistance Management siap men-support proses perpanjangan segera.", "Hubungi")</f>
        <v/>
      </c>
    </row>
    <row r="31">
      <c r="A31" t="inlineStr">
        <is>
          <t>DELAPAN DELAPAN GROUP</t>
        </is>
      </c>
      <c r="B31" t="inlineStr">
        <is>
          <t>Kab. Mamuju</t>
        </is>
      </c>
      <c r="C31" t="inlineStr">
        <is>
          <t>085778175318</t>
        </is>
      </c>
      <c r="D31" t="inlineStr">
        <is>
          <t>cv.88group@gmail.com</t>
        </is>
      </c>
      <c r="E31" t="inlineStr">
        <is>
          <t>https://lpjk.pu.go.id/search-badan-usaha-detail/ai9aQ0lES0o4V0JmQWtVd1hGVU5ydz09</t>
        </is>
      </c>
      <c r="F31" t="n">
        <v>6</v>
      </c>
      <c r="G31" t="inlineStr">
        <is>
          <t>BG002, BG005, BG006</t>
        </is>
      </c>
      <c r="H31" t="inlineStr">
        <is>
          <t>27 Februari 2023</t>
        </is>
      </c>
      <c r="I31" s="2" t="n">
        <v>46224</v>
      </c>
      <c r="J31" t="inlineStr">
        <is>
          <t>Disetujui</t>
        </is>
      </c>
      <c r="K31" t="n">
        <v>60</v>
      </c>
      <c r="L31" t="inlineStr">
        <is>
          <t>21 Juli 2026</t>
        </is>
      </c>
      <c r="M31" t="inlineStr">
        <is>
          <t>Konstruksi Gedung Kesehatan, Konstruksi Gedung Pendidikan, Konstruksi Gedung Perkantoran</t>
        </is>
      </c>
      <c r="N31" t="inlineStr">
        <is>
          <t>K</t>
        </is>
      </c>
      <c r="O31" t="inlineStr">
        <is>
          <t>20230621, 20230715, 20230720</t>
        </is>
      </c>
      <c r="P31" t="inlineStr">
        <is>
          <t>Sulawesi Barat</t>
        </is>
      </c>
      <c r="Q31" s="3">
        <f>HYPERLINK("https://wa.me/6285778175318?text=*[PENGINGAT MASA BERLAKU SBU DELAPAN DELAPAN GROUP]*%0A%0AYth. Pimpinan DELAPAN DELAPAN GROUP,%0AMohon izin menginformasikan status SBU Anda di sistem LPJK:%0A%0A📄 SBU: BG002, BG005, BG006%0A📅 Expired: 21 Juli 2026 (60 Hari Lagi)%0A%0AKami tim PT. ESDEA Assistance Management siap men-support proses perpanjangan segera.", "Hubungi")</f>
        <v/>
      </c>
    </row>
    <row r="32">
      <c r="A32" t="inlineStr">
        <is>
          <t>DIANTAMA TRAFFINDO</t>
        </is>
      </c>
      <c r="B32" t="inlineStr">
        <is>
          <t>Kab. Banyumas</t>
        </is>
      </c>
      <c r="C32" t="inlineStr">
        <is>
          <t>02816571604</t>
        </is>
      </c>
      <c r="D32" t="inlineStr">
        <is>
          <t>diantamatraffindo175@gmail.com</t>
        </is>
      </c>
      <c r="E32" t="inlineStr">
        <is>
          <t>https://lpjk.pu.go.id/search-badan-usaha-detail/MUw2UnhLSzczWldOQWM1aStKbExYZz09</t>
        </is>
      </c>
      <c r="F32" t="n">
        <v>6</v>
      </c>
      <c r="G32" t="inlineStr">
        <is>
          <t>BS001, IN011</t>
        </is>
      </c>
      <c r="H32" t="inlineStr">
        <is>
          <t>22 Oktober 2002</t>
        </is>
      </c>
      <c r="I32" s="2" t="n">
        <v>46224</v>
      </c>
      <c r="J32" t="inlineStr">
        <is>
          <t>Disetujui, Pencabutan</t>
        </is>
      </c>
      <c r="K32" t="n">
        <v>60</v>
      </c>
      <c r="L32" t="inlineStr">
        <is>
          <t>21 Juli 2026</t>
        </is>
      </c>
      <c r="M32" t="inlineStr">
        <is>
          <t>Instalasi Sinyal dan Rambu-rambu Jalan Raya, Konstruksi Bangunan Sipil Jalan</t>
        </is>
      </c>
      <c r="N32" t="inlineStr">
        <is>
          <t>K, Spesialis</t>
        </is>
      </c>
      <c r="O32" t="inlineStr">
        <is>
          <t>20230720, 20230721</t>
        </is>
      </c>
      <c r="P32" t="inlineStr">
        <is>
          <t>Jawa Tengah</t>
        </is>
      </c>
      <c r="Q32" s="3">
        <f>HYPERLINK("https://wa.me/622816571604?text=*[PENGINGAT MASA BERLAKU SBU DIANTAMA TRAFFINDO]*%0A%0AYth. Pimpinan DIANTAMA TRAFFINDO,%0AMohon izin menginformasikan status SBU Anda di sistem LPJK:%0A%0A📄 SBU: BS001, IN011%0A📅 Expired: 21 Juli 2026 (60 Hari Lagi)%0A%0AKami tim PT. ESDEA Assistance Management siap men-support proses perpanjangan segera.", "Hubungi")</f>
        <v/>
      </c>
    </row>
    <row r="33">
      <c r="A33" t="inlineStr">
        <is>
          <t>DIRATAMA</t>
        </is>
      </c>
      <c r="B33" t="inlineStr">
        <is>
          <t>Kota Jayapura</t>
        </is>
      </c>
      <c r="C33" t="inlineStr">
        <is>
          <t>081344512603</t>
        </is>
      </c>
      <c r="D33" t="inlineStr">
        <is>
          <t>diratamapt@gmail.com</t>
        </is>
      </c>
      <c r="E33" t="inlineStr">
        <is>
          <t>https://lpjk.pu.go.id/search-badan-usaha-detail/bTRoR1B5Tm0rSGNlQ1hHUDNsTGRNZz09</t>
        </is>
      </c>
      <c r="F33" t="n">
        <v>1</v>
      </c>
      <c r="G33" t="inlineStr">
        <is>
          <t>BS001</t>
        </is>
      </c>
      <c r="H33" t="inlineStr">
        <is>
          <t>5 November 2007</t>
        </is>
      </c>
      <c r="I33" s="2" t="n">
        <v>46224</v>
      </c>
      <c r="J33" t="inlineStr">
        <is>
          <t>Disetujui</t>
        </is>
      </c>
      <c r="K33" t="n">
        <v>60</v>
      </c>
      <c r="L33" t="inlineStr">
        <is>
          <t>21 Juli 2026</t>
        </is>
      </c>
      <c r="M33" t="inlineStr">
        <is>
          <t>Konstruksi Bangunan Sipil Jalan</t>
        </is>
      </c>
      <c r="N33" t="inlineStr">
        <is>
          <t>K</t>
        </is>
      </c>
      <c r="O33" t="inlineStr">
        <is>
          <t>20230720</t>
        </is>
      </c>
      <c r="P33" t="inlineStr">
        <is>
          <t>Papua</t>
        </is>
      </c>
      <c r="Q33" s="3">
        <f>HYPERLINK("https://wa.me/6281344512603?text=*[PENGINGAT MASA BERLAKU SBU DIRATAMA]*%0A%0AYth. Pimpinan DIRATAMA,%0AMohon izin menginformasikan status SBU Anda di sistem LPJK:%0A%0A📄 SBU: BS001%0A📅 Expired: 21 Juli 2026 (60 Hari Lagi)%0A%0AKami tim PT. ESDEA Assistance Management siap men-support proses perpanjangan segera.", "Hubungi")</f>
        <v/>
      </c>
    </row>
    <row r="34">
      <c r="A34" t="inlineStr">
        <is>
          <t>DIVA ANUGRAH UTAMA</t>
        </is>
      </c>
      <c r="B34" t="inlineStr">
        <is>
          <t>Kota Bontang</t>
        </is>
      </c>
      <c r="C34" t="inlineStr">
        <is>
          <t>082150454319</t>
        </is>
      </c>
      <c r="D34" t="inlineStr">
        <is>
          <t>cv.diva_anugerah_utama@yahoo.com</t>
        </is>
      </c>
      <c r="E34" t="inlineStr">
        <is>
          <t>https://lpjk.pu.go.id/search-badan-usaha-detail/ZWowTUNqeE1TalJRWUZqNGJiS2Vwdz09</t>
        </is>
      </c>
      <c r="F34" t="n">
        <v>1</v>
      </c>
      <c r="G34" t="inlineStr">
        <is>
          <t>BS001</t>
        </is>
      </c>
      <c r="H34" t="inlineStr">
        <is>
          <t>14 Oktober 2019</t>
        </is>
      </c>
      <c r="I34" s="2" t="n">
        <v>46224</v>
      </c>
      <c r="J34" t="inlineStr">
        <is>
          <t>Disetujui</t>
        </is>
      </c>
      <c r="K34" t="n">
        <v>60</v>
      </c>
      <c r="L34" t="inlineStr">
        <is>
          <t>21 Juli 2026</t>
        </is>
      </c>
      <c r="M34" t="inlineStr">
        <is>
          <t>Konstruksi Bangunan Sipil Jalan</t>
        </is>
      </c>
      <c r="N34" t="inlineStr">
        <is>
          <t>K</t>
        </is>
      </c>
      <c r="O34" t="inlineStr">
        <is>
          <t>20230713</t>
        </is>
      </c>
      <c r="P34" t="inlineStr">
        <is>
          <t>Kalimantan Timur</t>
        </is>
      </c>
      <c r="Q34" s="3">
        <f>HYPERLINK("https://wa.me/6282150454319?text=*[PENGINGAT MASA BERLAKU SBU DIVA ANUGRAH UTAMA]*%0A%0AYth. Pimpinan DIVA ANUGRAH UTAMA,%0AMohon izin menginformasikan status SBU Anda di sistem LPJK:%0A%0A📄 SBU: BS001%0A📅 Expired: 21 Juli 2026 (60 Hari Lagi)%0A%0AKami tim PT. ESDEA Assistance Management siap men-support proses perpanjangan segera.", "Hubungi")</f>
        <v/>
      </c>
    </row>
    <row r="35">
      <c r="A35" t="inlineStr">
        <is>
          <t>DUA PUTRA JAYA</t>
        </is>
      </c>
      <c r="B35" t="inlineStr">
        <is>
          <t>Kota Palangkaraya</t>
        </is>
      </c>
      <c r="C35" t="inlineStr">
        <is>
          <t>081258430223</t>
        </is>
      </c>
      <c r="D35" t="inlineStr">
        <is>
          <t>duapjaya.plk@gmail.com</t>
        </is>
      </c>
      <c r="E35" t="inlineStr">
        <is>
          <t>https://lpjk.pu.go.id/search-badan-usaha-detail/Y1NLTXRtWmdLcmREWEMvMC9wVlJJUT09</t>
        </is>
      </c>
      <c r="F35" t="n">
        <v>2</v>
      </c>
      <c r="G35" t="inlineStr">
        <is>
          <t>BG002, BG009</t>
        </is>
      </c>
      <c r="H35" t="inlineStr">
        <is>
          <t>27 Desember 2013</t>
        </is>
      </c>
      <c r="I35" s="2" t="n">
        <v>46224</v>
      </c>
      <c r="J35" t="inlineStr">
        <is>
          <t>Pencabutan</t>
        </is>
      </c>
      <c r="K35" t="n">
        <v>60</v>
      </c>
      <c r="L35" t="inlineStr">
        <is>
          <t>21 Juli 2026</t>
        </is>
      </c>
      <c r="M35" t="inlineStr">
        <is>
          <t>Konstruksi Gedung Lainnya, Konstruksi Gedung Perkantoran</t>
        </is>
      </c>
      <c r="N35" t="inlineStr">
        <is>
          <t>K</t>
        </is>
      </c>
      <c r="O35" t="inlineStr">
        <is>
          <t>20230717</t>
        </is>
      </c>
      <c r="P35" t="inlineStr">
        <is>
          <t>Kalimantan Tengah</t>
        </is>
      </c>
      <c r="Q35" s="3">
        <f>HYPERLINK("https://wa.me/6281258430223?text=*[PENGINGAT MASA BERLAKU SBU DUA PUTRA JAYA]*%0A%0AYth. Pimpinan DUA PUTRA JAYA,%0AMohon izin menginformasikan status SBU Anda di sistem LPJK:%0A%0A📄 SBU: BG002, BG009%0A📅 Expired: 21 Juli 2026 (60 Hari Lagi)%0A%0AKami tim PT. ESDEA Assistance Management siap men-support proses perpanjangan segera.", "Hubungi")</f>
        <v/>
      </c>
    </row>
    <row r="36">
      <c r="A36" t="inlineStr">
        <is>
          <t>DWITAMA PERSADA</t>
        </is>
      </c>
      <c r="B36" t="inlineStr">
        <is>
          <t>Kab. Wonogiri</t>
        </is>
      </c>
      <c r="C36" t="inlineStr">
        <is>
          <t>081329617861</t>
        </is>
      </c>
      <c r="D36" t="inlineStr">
        <is>
          <t>dwitamapersadacv@gmail.com</t>
        </is>
      </c>
      <c r="E36" t="inlineStr">
        <is>
          <t>https://lpjk.pu.go.id/search-badan-usaha-detail/NGlzVHV0TndsWlcxWGR4ZlRISjdtUT09</t>
        </is>
      </c>
      <c r="F36" t="n">
        <v>6</v>
      </c>
      <c r="G36" t="inlineStr">
        <is>
          <t>BG006, BG009, BS001</t>
        </is>
      </c>
      <c r="H36" t="inlineStr">
        <is>
          <t>14 November 1992</t>
        </is>
      </c>
      <c r="I36" s="2" t="n">
        <v>46224</v>
      </c>
      <c r="J36" t="inlineStr">
        <is>
          <t>Disetujui</t>
        </is>
      </c>
      <c r="K36" t="n">
        <v>60</v>
      </c>
      <c r="L36" t="inlineStr">
        <is>
          <t>21 Juli 2026</t>
        </is>
      </c>
      <c r="M36" t="inlineStr">
        <is>
          <t>Konstruksi Bangunan Sipil Jalan, Konstruksi Gedung Lainnya, Konstruksi Gedung Pendidikan</t>
        </is>
      </c>
      <c r="N36" t="inlineStr">
        <is>
          <t>K</t>
        </is>
      </c>
      <c r="O36" t="inlineStr">
        <is>
          <t>20230718, 20230719</t>
        </is>
      </c>
      <c r="P36" t="inlineStr">
        <is>
          <t>Jawa Tengah</t>
        </is>
      </c>
      <c r="Q36" s="3">
        <f>HYPERLINK("https://wa.me/6281329617861?text=*[PENGINGAT MASA BERLAKU SBU DWITAMA PERSADA]*%0A%0AYth. Pimpinan DWITAMA PERSADA,%0AMohon izin menginformasikan status SBU Anda di sistem LPJK:%0A%0A📄 SBU: BG006, BG009, BS001%0A📅 Expired: 21 Juli 2026 (60 Hari Lagi)%0A%0AKami tim PT. ESDEA Assistance Management siap men-support proses perpanjangan segera.", "Hubungi")</f>
        <v/>
      </c>
    </row>
    <row r="37">
      <c r="A37" t="inlineStr">
        <is>
          <t>FATHONAH</t>
        </is>
      </c>
      <c r="B37" t="inlineStr">
        <is>
          <t>Kab. Bangkalan</t>
        </is>
      </c>
      <c r="C37" t="inlineStr">
        <is>
          <t>082141585888</t>
        </is>
      </c>
      <c r="D37" t="inlineStr">
        <is>
          <t>cv.fathonah2018@yahoo.com</t>
        </is>
      </c>
      <c r="E37" t="inlineStr">
        <is>
          <t>https://lpjk.pu.go.id/search-badan-usaha-detail/WERmNzN5VGxsdk9QRmhyWHRoY2FMUT09</t>
        </is>
      </c>
      <c r="F37" t="n">
        <v>2</v>
      </c>
      <c r="G37" t="inlineStr">
        <is>
          <t>BG002, BS001</t>
        </is>
      </c>
      <c r="H37" t="inlineStr">
        <is>
          <t>20 November 1991</t>
        </is>
      </c>
      <c r="I37" s="2" t="n">
        <v>46224</v>
      </c>
      <c r="J37" t="inlineStr">
        <is>
          <t>Disetujui</t>
        </is>
      </c>
      <c r="K37" t="n">
        <v>60</v>
      </c>
      <c r="L37" t="inlineStr">
        <is>
          <t>21 Juli 2026</t>
        </is>
      </c>
      <c r="M37" t="inlineStr">
        <is>
          <t>Konstruksi Bangunan Sipil Jalan, Konstruksi Gedung Perkantoran</t>
        </is>
      </c>
      <c r="N37" t="inlineStr">
        <is>
          <t>K</t>
        </is>
      </c>
      <c r="O37" t="inlineStr">
        <is>
          <t>20230720</t>
        </is>
      </c>
      <c r="P37" t="inlineStr">
        <is>
          <t>Jawa Timur</t>
        </is>
      </c>
      <c r="Q37" s="3">
        <f>HYPERLINK("https://wa.me/6282141585888?text=*[PENGINGAT MASA BERLAKU SBU FATHONAH]*%0A%0AYth. Pimpinan FATHONAH,%0AMohon izin menginformasikan status SBU Anda di sistem LPJK:%0A%0A📄 SBU: BG002, BS001%0A📅 Expired: 21 Juli 2026 (60 Hari Lagi)%0A%0AKami tim PT. ESDEA Assistance Management siap men-support proses perpanjangan segera.", "Hubungi")</f>
        <v/>
      </c>
    </row>
    <row r="38">
      <c r="A38" t="inlineStr">
        <is>
          <t>GARUDA KONSTRUKSI INDONESIA</t>
        </is>
      </c>
      <c r="B38" t="inlineStr">
        <is>
          <t>Kota Adm. Jakarta Barat</t>
        </is>
      </c>
      <c r="C38" t="inlineStr">
        <is>
          <t>0219875346</t>
        </is>
      </c>
      <c r="D38" t="inlineStr">
        <is>
          <t>gki888konstruksi@gmail.com</t>
        </is>
      </c>
      <c r="E38" t="inlineStr">
        <is>
          <t>https://lpjk.pu.go.id/search-badan-usaha-detail/REhEVkdobEFmOHFUcHlCSVpvRGJDZlAraDJCZkhCNU5xM2kzTmVYR3Uyaz0</t>
        </is>
      </c>
      <c r="F38" t="n">
        <v>1</v>
      </c>
      <c r="G38" t="inlineStr">
        <is>
          <t>IN003</t>
        </is>
      </c>
      <c r="H38" t="inlineStr">
        <is>
          <t>14 Juni 2023</t>
        </is>
      </c>
      <c r="I38" s="2" t="n">
        <v>46224</v>
      </c>
      <c r="J38" t="inlineStr">
        <is>
          <t>Disetujui</t>
        </is>
      </c>
      <c r="K38" t="n">
        <v>60</v>
      </c>
      <c r="L38" t="inlineStr">
        <is>
          <t>21 Juli 2026</t>
        </is>
      </c>
      <c r="M38" t="inlineStr">
        <is>
          <t>Instalasi Peralatan Infrastruktur Pertambangan dan Manufaktur</t>
        </is>
      </c>
      <c r="N38" t="inlineStr">
        <is>
          <t>Spesialis</t>
        </is>
      </c>
      <c r="O38" t="inlineStr">
        <is>
          <t>20230721</t>
        </is>
      </c>
      <c r="P38" t="inlineStr">
        <is>
          <t>DKI Jakarta</t>
        </is>
      </c>
      <c r="Q38" s="3">
        <f>HYPERLINK("https://wa.me/62219875346?text=*[PENGINGAT MASA BERLAKU SBU GARUDA KONSTRUKSI INDONESIA]*%0A%0AYth. Pimpinan GARUDA KONSTRUKSI INDONESIA,%0AMohon izin menginformasikan status SBU Anda di sistem LPJK:%0A%0A📄 SBU: IN003%0A📅 Expired: 21 Juli 2026 (60 Hari Lagi)%0A%0AKami tim PT. ESDEA Assistance Management siap men-support proses perpanjangan segera.", "Hubungi")</f>
        <v/>
      </c>
    </row>
    <row r="39">
      <c r="A39" t="inlineStr">
        <is>
          <t>GRHA PUTRA TIMUR</t>
        </is>
      </c>
      <c r="B39" t="inlineStr">
        <is>
          <t>Kota Kupang</t>
        </is>
      </c>
      <c r="C39" t="inlineStr">
        <is>
          <t>085161099925</t>
        </is>
      </c>
      <c r="D39" t="inlineStr">
        <is>
          <t>grhaputratimor13@gmail.com</t>
        </is>
      </c>
      <c r="E39" t="inlineStr">
        <is>
          <t>https://lpjk.pu.go.id/search-badan-usaha-detail/OFZNNzgyOGJib0VJeGxaRDBTQUxqdz09</t>
        </is>
      </c>
      <c r="F39" t="n">
        <v>1</v>
      </c>
      <c r="G39" t="inlineStr">
        <is>
          <t>BG006</t>
        </is>
      </c>
      <c r="H39" t="inlineStr">
        <is>
          <t>26 Juni 2023</t>
        </is>
      </c>
      <c r="I39" s="2" t="n">
        <v>46224</v>
      </c>
      <c r="J39" t="inlineStr">
        <is>
          <t>Disetujui</t>
        </is>
      </c>
      <c r="K39" t="n">
        <v>60</v>
      </c>
      <c r="L39" t="inlineStr">
        <is>
          <t>21 Juli 2026</t>
        </is>
      </c>
      <c r="M39" t="inlineStr">
        <is>
          <t>Konstruksi Gedung Pendidikan</t>
        </is>
      </c>
      <c r="N39" t="inlineStr">
        <is>
          <t>K</t>
        </is>
      </c>
      <c r="O39" t="inlineStr">
        <is>
          <t>20230718</t>
        </is>
      </c>
      <c r="P39" t="inlineStr">
        <is>
          <t>Nusa Tenggara Timur</t>
        </is>
      </c>
      <c r="Q39" s="3">
        <f>HYPERLINK("https://wa.me/6285161099925?text=*[PENGINGAT MASA BERLAKU SBU GRHA PUTRA TIMUR]*%0A%0AYth. Pimpinan GRHA PUTRA TIMUR,%0AMohon izin menginformasikan status SBU Anda di sistem LPJK:%0A%0A📄 SBU: BG006%0A📅 Expired: 21 Juli 2026 (60 Hari Lagi)%0A%0AKami tim PT. ESDEA Assistance Management siap men-support proses perpanjangan segera.", "Hubungi")</f>
        <v/>
      </c>
    </row>
    <row r="40">
      <c r="A40" t="inlineStr">
        <is>
          <t>HAN PUTRA PERKASA</t>
        </is>
      </c>
      <c r="B40" t="inlineStr">
        <is>
          <t>Kota Surabaya</t>
        </is>
      </c>
      <c r="C40" t="inlineStr">
        <is>
          <t>087852933429</t>
        </is>
      </c>
      <c r="D40" t="inlineStr">
        <is>
          <t>cv.hanputraperkasa16@gmail.com</t>
        </is>
      </c>
      <c r="E40" t="inlineStr">
        <is>
          <t>https://lpjk.pu.go.id/search-badan-usaha-detail/ZkRibERkcXU4aUxGY08vZFFXUmhwZz09</t>
        </is>
      </c>
      <c r="F40" t="n">
        <v>1</v>
      </c>
      <c r="G40" t="inlineStr">
        <is>
          <t>IN006</t>
        </is>
      </c>
      <c r="H40" t="inlineStr">
        <is>
          <t>16 Agustus 2022</t>
        </is>
      </c>
      <c r="I40" s="2" t="n">
        <v>46224</v>
      </c>
      <c r="J40" t="inlineStr">
        <is>
          <t>Pencabutan</t>
        </is>
      </c>
      <c r="K40" t="n">
        <v>60</v>
      </c>
      <c r="L40" t="inlineStr">
        <is>
          <t>21 Juli 2026</t>
        </is>
      </c>
      <c r="M40" t="inlineStr">
        <is>
          <t>Instalasi Elektronika</t>
        </is>
      </c>
      <c r="N40" t="inlineStr">
        <is>
          <t>Spesialis</t>
        </is>
      </c>
      <c r="O40" t="inlineStr">
        <is>
          <t>20230718</t>
        </is>
      </c>
      <c r="P40" t="inlineStr">
        <is>
          <t>Jawa Timur</t>
        </is>
      </c>
      <c r="Q40" s="3">
        <f>HYPERLINK("https://wa.me/6287852933429?text=*[PENGINGAT MASA BERLAKU SBU HAN PUTRA PERKASA]*%0A%0AYth. Pimpinan HAN PUTRA PERKASA,%0AMohon izin menginformasikan status SBU Anda di sistem LPJK:%0A%0A📄 SBU: IN006%0A📅 Expired: 21 Juli 2026 (60 Hari Lagi)%0A%0AKami tim PT. ESDEA Assistance Management siap men-support proses perpanjangan segera.", "Hubungi")</f>
        <v/>
      </c>
    </row>
    <row r="41">
      <c r="A41" t="inlineStr">
        <is>
          <t>HASRAT BERKARYA KONSTRUKSI</t>
        </is>
      </c>
      <c r="B41" t="inlineStr">
        <is>
          <t>Kota Jayapura</t>
        </is>
      </c>
      <c r="C41" t="inlineStr">
        <is>
          <t>0</t>
        </is>
      </c>
      <c r="D41" t="inlineStr">
        <is>
          <t>pthasratberkaryakonstruksi20@gmail.com</t>
        </is>
      </c>
      <c r="E41" t="inlineStr">
        <is>
          <t>https://lpjk.pu.go.id/search-badan-usaha-detail/T3hxUXpkOEQ0bEdWUVpLSkoxNm44QT09</t>
        </is>
      </c>
      <c r="F41" t="n">
        <v>1</v>
      </c>
      <c r="G41" t="inlineStr">
        <is>
          <t>BS001</t>
        </is>
      </c>
      <c r="H41" t="inlineStr">
        <is>
          <t>7 Februari 2007</t>
        </is>
      </c>
      <c r="I41" s="2" t="n">
        <v>46224</v>
      </c>
      <c r="J41" t="inlineStr">
        <is>
          <t>Disetujui</t>
        </is>
      </c>
      <c r="K41" t="n">
        <v>60</v>
      </c>
      <c r="L41" t="inlineStr">
        <is>
          <t>21 Juli 2026</t>
        </is>
      </c>
      <c r="M41" t="inlineStr">
        <is>
          <t>Konstruksi Bangunan Sipil Jalan</t>
        </is>
      </c>
      <c r="N41" t="inlineStr">
        <is>
          <t>M</t>
        </is>
      </c>
      <c r="O41" t="inlineStr">
        <is>
          <t>20230718</t>
        </is>
      </c>
      <c r="P41" t="inlineStr">
        <is>
          <t>Papua</t>
        </is>
      </c>
      <c r="Q41" s="3">
        <f>HYPERLINK("https://wa.me/62?text=*[PENGINGAT MASA BERLAKU SBU HASRAT BERKARYA KONSTRUKSI]*%0A%0AYth. Pimpinan HASRAT BERKARYA KONSTRUKSI,%0AMohon izin menginformasikan status SBU Anda di sistem LPJK:%0A%0A📄 SBU: BS001%0A📅 Expired: 21 Juli 2026 (60 Hari Lagi)%0A%0AKami tim PT. ESDEA Assistance Management siap men-support proses perpanjangan segera.", "Hubungi")</f>
        <v/>
      </c>
    </row>
    <row r="42">
      <c r="A42" t="inlineStr">
        <is>
          <t>HIDAYAH'</t>
        </is>
      </c>
      <c r="B42" t="inlineStr">
        <is>
          <t>Kab. Sijunjung</t>
        </is>
      </c>
      <c r="C42" t="inlineStr">
        <is>
          <t>08126152223</t>
        </is>
      </c>
      <c r="D42" t="inlineStr">
        <is>
          <t>rikkydeconovriadisjj20@gmail.com</t>
        </is>
      </c>
      <c r="E42" t="inlineStr">
        <is>
          <t>https://lpjk.pu.go.id/search-badan-usaha-detail/SVlnN0U3dTl2WkRjZERvSERDSVUvQT09</t>
        </is>
      </c>
      <c r="F42" t="n">
        <v>5</v>
      </c>
      <c r="G42" t="inlineStr">
        <is>
          <t>BG003, BG004, BG005, BG006, BG009</t>
        </is>
      </c>
      <c r="H42" t="inlineStr">
        <is>
          <t>4 April 2017</t>
        </is>
      </c>
      <c r="I42" s="2" t="n">
        <v>46224</v>
      </c>
      <c r="J42" t="inlineStr">
        <is>
          <t>Disetujui</t>
        </is>
      </c>
      <c r="K42" t="n">
        <v>60</v>
      </c>
      <c r="L42" t="inlineStr">
        <is>
          <t>21 Juli 2026</t>
        </is>
      </c>
      <c r="M42" t="inlineStr">
        <is>
          <t>Konstruksi Gedung Industri, Konstruksi Gedung Kesehatan, Konstruksi Gedung Lainnya, Konstruksi Gedung Pendidikan, Konstruksi Gedung Perbelanjaan</t>
        </is>
      </c>
      <c r="N42" t="inlineStr">
        <is>
          <t>K</t>
        </is>
      </c>
      <c r="O42" t="inlineStr">
        <is>
          <t>20230719, 20230720</t>
        </is>
      </c>
      <c r="P42" t="inlineStr">
        <is>
          <t>Sumatera Barat</t>
        </is>
      </c>
      <c r="Q42" s="3">
        <f>HYPERLINK("https://wa.me/628126152223?text=*[PENGINGAT MASA BERLAKU SBU HIDAYAH']*%0A%0AYth. Pimpinan HIDAYAH',%0AMohon izin menginformasikan status SBU Anda di sistem LPJK:%0A%0A📄 SBU: BG003, BG004, BG005, BG006, BG009%0A📅 Expired: 21 Juli 2026 (60 Hari Lagi)%0A%0AKami tim PT. ESDEA Assistance Management siap men-support proses perpanjangan segera.", "Hubungi")</f>
        <v/>
      </c>
    </row>
    <row r="43">
      <c r="A43" t="inlineStr">
        <is>
          <t>INDAH TEHNIKA</t>
        </is>
      </c>
      <c r="B43" t="inlineStr">
        <is>
          <t>Kab. Bondowoso</t>
        </is>
      </c>
      <c r="C43" t="inlineStr">
        <is>
          <t>085648548387</t>
        </is>
      </c>
      <c r="D43" t="inlineStr">
        <is>
          <t>Indahtehnika@gmail.com</t>
        </is>
      </c>
      <c r="E43" t="inlineStr">
        <is>
          <t>https://lpjk.pu.go.id/search-badan-usaha-detail/aWo4UjY5bTFEWHZaZTl1RlY1eUJFdz09</t>
        </is>
      </c>
      <c r="F43" t="n">
        <v>1</v>
      </c>
      <c r="G43" t="inlineStr">
        <is>
          <t>BS004</t>
        </is>
      </c>
      <c r="H43" t="inlineStr">
        <is>
          <t>24 September 1993</t>
        </is>
      </c>
      <c r="I43" s="2" t="n">
        <v>46224</v>
      </c>
      <c r="J43" t="inlineStr">
        <is>
          <t>Disetujui</t>
        </is>
      </c>
      <c r="K43" t="n">
        <v>60</v>
      </c>
      <c r="L43" t="inlineStr">
        <is>
          <t>21 Juli 2026</t>
        </is>
      </c>
      <c r="M43" t="inlineStr">
        <is>
          <t>Konstruksi Jaringan Irigasi dan Drainase</t>
        </is>
      </c>
      <c r="N43" t="inlineStr">
        <is>
          <t>K</t>
        </is>
      </c>
      <c r="O43" t="inlineStr">
        <is>
          <t>20230718</t>
        </is>
      </c>
      <c r="P43" t="inlineStr">
        <is>
          <t>Jawa Timur</t>
        </is>
      </c>
      <c r="Q43" s="3">
        <f>HYPERLINK("https://wa.me/6285648548387?text=*[PENGINGAT MASA BERLAKU SBU INDAH TEHNIKA]*%0A%0AYth. Pimpinan INDAH TEHNIKA,%0AMohon izin menginformasikan status SBU Anda di sistem LPJK:%0A%0A📄 SBU: BS004%0A📅 Expired: 21 Juli 2026 (60 Hari Lagi)%0A%0AKami tim PT. ESDEA Assistance Management siap men-support proses perpanjangan segera.", "Hubungi")</f>
        <v/>
      </c>
    </row>
    <row r="44">
      <c r="A44" t="inlineStr">
        <is>
          <t>INDIKON</t>
        </is>
      </c>
      <c r="B44" t="inlineStr">
        <is>
          <t>Kota Bandung</t>
        </is>
      </c>
      <c r="C44" t="inlineStr">
        <is>
          <t>082130300213</t>
        </is>
      </c>
      <c r="D44" t="inlineStr">
        <is>
          <t>ptindikon@gmail.com</t>
        </is>
      </c>
      <c r="E44" t="inlineStr">
        <is>
          <t>https://lpjk.pu.go.id/search-badan-usaha-detail/Y0lJeVg2Y3VqMjQ0N2JXLzBIQVhVZz09</t>
        </is>
      </c>
      <c r="F44" t="n">
        <v>5</v>
      </c>
      <c r="G44" t="inlineStr">
        <is>
          <t>BG002, BG004, BG005, BG006, BG009</t>
        </is>
      </c>
      <c r="H44" t="inlineStr">
        <is>
          <t>22 Juni 2012</t>
        </is>
      </c>
      <c r="I44" s="2" t="n">
        <v>46224</v>
      </c>
      <c r="J44" t="inlineStr">
        <is>
          <t>Disetujui</t>
        </is>
      </c>
      <c r="K44" t="n">
        <v>60</v>
      </c>
      <c r="L44" t="inlineStr">
        <is>
          <t>21 Juli 2026</t>
        </is>
      </c>
      <c r="M44" t="inlineStr">
        <is>
          <t>Konstruksi Gedung Kesehatan, Konstruksi Gedung Lainnya, Konstruksi Gedung Pendidikan, Konstruksi Gedung Perbelanjaan, Konstruksi Gedung Perkantoran</t>
        </is>
      </c>
      <c r="N44" t="inlineStr">
        <is>
          <t>K</t>
        </is>
      </c>
      <c r="O44" t="inlineStr">
        <is>
          <t>20230721</t>
        </is>
      </c>
      <c r="P44" t="inlineStr">
        <is>
          <t>Jawa Barat</t>
        </is>
      </c>
      <c r="Q44" s="3">
        <f>HYPERLINK("https://wa.me/6282130300213?text=*[PENGINGAT MASA BERLAKU SBU INDIKON]*%0A%0AYth. Pimpinan INDIKON,%0AMohon izin menginformasikan status SBU Anda di sistem LPJK:%0A%0A📄 SBU: BG002, BG004, BG005, BG006, BG009%0A📅 Expired: 21 Juli 2026 (60 Hari Lagi)%0A%0AKami tim PT. ESDEA Assistance Management siap men-support proses perpanjangan segera.", "Hubungi")</f>
        <v/>
      </c>
    </row>
    <row r="45">
      <c r="A45" t="inlineStr">
        <is>
          <t>INTAN PUTRI</t>
        </is>
      </c>
      <c r="B45" t="inlineStr">
        <is>
          <t>Kab. Maluku Tengah</t>
        </is>
      </c>
      <c r="C45" t="inlineStr">
        <is>
          <t>085243795265</t>
        </is>
      </c>
      <c r="D45" t="inlineStr">
        <is>
          <t>cv.intanputri2016@gmail.com</t>
        </is>
      </c>
      <c r="E45" t="inlineStr">
        <is>
          <t>https://lpjk.pu.go.id/search-badan-usaha-detail/RUowdjB2UmY1bmN3QzF2UE9jL2ROZz09</t>
        </is>
      </c>
      <c r="F45" t="n">
        <v>1</v>
      </c>
      <c r="G45" t="inlineStr">
        <is>
          <t>BS001</t>
        </is>
      </c>
      <c r="H45" t="inlineStr">
        <is>
          <t>15 Mei 2023</t>
        </is>
      </c>
      <c r="I45" s="2" t="n">
        <v>46224</v>
      </c>
      <c r="J45" t="inlineStr">
        <is>
          <t>Pencabutan</t>
        </is>
      </c>
      <c r="K45" t="n">
        <v>60</v>
      </c>
      <c r="L45" t="inlineStr">
        <is>
          <t>21 Juli 2026</t>
        </is>
      </c>
      <c r="M45" t="inlineStr">
        <is>
          <t>Konstruksi Bangunan Sipil Jalan</t>
        </is>
      </c>
      <c r="N45" t="inlineStr">
        <is>
          <t>K</t>
        </is>
      </c>
      <c r="O45" t="inlineStr">
        <is>
          <t>20230721</t>
        </is>
      </c>
      <c r="P45" t="inlineStr">
        <is>
          <t>Maluku</t>
        </is>
      </c>
      <c r="Q45" s="3">
        <f>HYPERLINK("https://wa.me/6285243795265?text=*[PENGINGAT MASA BERLAKU SBU INTAN PUTRI]*%0A%0AYth. Pimpinan INTAN PUTRI,%0AMohon izin menginformasikan status SBU Anda di sistem LPJK:%0A%0A📄 SBU: BS001%0A📅 Expired: 21 Juli 2026 (60 Hari Lagi)%0A%0AKami tim PT. ESDEA Assistance Management siap men-support proses perpanjangan segera.", "Hubungi")</f>
        <v/>
      </c>
    </row>
    <row r="46">
      <c r="A46" t="inlineStr">
        <is>
          <t>INTI CIPTA KONSTRUKSI</t>
        </is>
      </c>
      <c r="B46" t="inlineStr">
        <is>
          <t>Kab. Sukoharjo</t>
        </is>
      </c>
      <c r="C46" t="inlineStr">
        <is>
          <t>082372360445</t>
        </is>
      </c>
      <c r="D46" t="inlineStr">
        <is>
          <t>ekojokoparyanto@gmail.com</t>
        </is>
      </c>
      <c r="E46" t="inlineStr">
        <is>
          <t>https://lpjk.pu.go.id/search-badan-usaha-detail/ajZpd2V2Nmlicko2RWlRL3VtMENJQT09</t>
        </is>
      </c>
      <c r="F46" t="n">
        <v>1</v>
      </c>
      <c r="G46" t="inlineStr">
        <is>
          <t>BG006</t>
        </is>
      </c>
      <c r="H46" t="inlineStr">
        <is>
          <t>10 April 2023</t>
        </is>
      </c>
      <c r="I46" s="2" t="n">
        <v>46224</v>
      </c>
      <c r="J46" t="inlineStr">
        <is>
          <t>Disetujui</t>
        </is>
      </c>
      <c r="K46" t="n">
        <v>60</v>
      </c>
      <c r="L46" t="inlineStr">
        <is>
          <t>21 Juli 2026</t>
        </is>
      </c>
      <c r="M46" t="inlineStr">
        <is>
          <t>Konstruksi Gedung Pendidikan</t>
        </is>
      </c>
      <c r="N46" t="inlineStr">
        <is>
          <t>K</t>
        </is>
      </c>
      <c r="O46" t="inlineStr">
        <is>
          <t>20230720</t>
        </is>
      </c>
      <c r="P46" t="inlineStr">
        <is>
          <t>Jawa Tengah</t>
        </is>
      </c>
      <c r="Q46" s="3">
        <f>HYPERLINK("https://wa.me/6282372360445?text=*[PENGINGAT MASA BERLAKU SBU INTI CIPTA KONSTRUKSI]*%0A%0AYth. Pimpinan INTI CIPTA KONSTRUKSI,%0AMohon izin menginformasikan status SBU Anda di sistem LPJK:%0A%0A📄 SBU: BG006%0A📅 Expired: 21 Juli 2026 (60 Hari Lagi)%0A%0AKami tim PT. ESDEA Assistance Management siap men-support proses perpanjangan segera.", "Hubungi")</f>
        <v/>
      </c>
    </row>
    <row r="47">
      <c r="A47" t="inlineStr">
        <is>
          <t>INTI JAWA TEKNIK</t>
        </is>
      </c>
      <c r="B47" t="inlineStr">
        <is>
          <t>Kab. Jombang</t>
        </is>
      </c>
      <c r="C47" t="inlineStr">
        <is>
          <t>0321493687</t>
        </is>
      </c>
      <c r="D47" t="inlineStr">
        <is>
          <t>intijawa@gmail.com</t>
        </is>
      </c>
      <c r="E47" t="inlineStr">
        <is>
          <t>https://lpjk.pu.go.id/search-badan-usaha-detail/RUIxKzc0eGt1Q3ZUMS82c0dIcHQ3dz09</t>
        </is>
      </c>
      <c r="F47" t="n">
        <v>1</v>
      </c>
      <c r="G47" t="inlineStr">
        <is>
          <t>BG009</t>
        </is>
      </c>
      <c r="H47" t="inlineStr">
        <is>
          <t>12 Maret 2014</t>
        </is>
      </c>
      <c r="I47" s="2" t="n">
        <v>46224</v>
      </c>
      <c r="J47" t="inlineStr">
        <is>
          <t>Disetujui</t>
        </is>
      </c>
      <c r="K47" t="n">
        <v>60</v>
      </c>
      <c r="L47" t="inlineStr">
        <is>
          <t>21 Juli 2026</t>
        </is>
      </c>
      <c r="M47" t="inlineStr">
        <is>
          <t>Konstruksi Gedung Lainnya</t>
        </is>
      </c>
      <c r="N47" t="inlineStr">
        <is>
          <t>M</t>
        </is>
      </c>
      <c r="O47" t="inlineStr">
        <is>
          <t>20230718</t>
        </is>
      </c>
      <c r="P47" t="inlineStr">
        <is>
          <t>Jawa Timur</t>
        </is>
      </c>
      <c r="Q47" s="3">
        <f>HYPERLINK("https://wa.me/62321493687?text=*[PENGINGAT MASA BERLAKU SBU INTI JAWA TEKNIK]*%0A%0AYth. Pimpinan INTI JAWA TEKNIK,%0AMohon izin menginformasikan status SBU Anda di sistem LPJK:%0A%0A📄 SBU: BG009%0A📅 Expired: 21 Juli 2026 (60 Hari Lagi)%0A%0AKami tim PT. ESDEA Assistance Management siap men-support proses perpanjangan segera.", "Hubungi")</f>
        <v/>
      </c>
    </row>
    <row r="48">
      <c r="A48" t="inlineStr">
        <is>
          <t>KARTIKA JAYA</t>
        </is>
      </c>
      <c r="B48" t="inlineStr">
        <is>
          <t>Kab. Banyumas</t>
        </is>
      </c>
      <c r="C48" t="inlineStr">
        <is>
          <t>085325412121</t>
        </is>
      </c>
      <c r="D48" t="inlineStr">
        <is>
          <t>kartikajaya23@gmail.com</t>
        </is>
      </c>
      <c r="E48" t="inlineStr">
        <is>
          <t>https://lpjk.pu.go.id/search-badan-usaha-detail/VjJyeXhNZjYxTFpTUlc3Sk5KeHc3dz09</t>
        </is>
      </c>
      <c r="F48" t="n">
        <v>2</v>
      </c>
      <c r="G48" t="inlineStr">
        <is>
          <t>BS001, IN011</t>
        </is>
      </c>
      <c r="H48" t="inlineStr">
        <is>
          <t>5 Agustus 2006</t>
        </is>
      </c>
      <c r="I48" s="2" t="n">
        <v>46224</v>
      </c>
      <c r="J48" t="inlineStr">
        <is>
          <t>Disetujui</t>
        </is>
      </c>
      <c r="K48" t="n">
        <v>60</v>
      </c>
      <c r="L48" t="inlineStr">
        <is>
          <t>21 Juli 2026</t>
        </is>
      </c>
      <c r="M48" t="inlineStr">
        <is>
          <t>Instalasi Sinyal dan Rambu-rambu Jalan Raya, Konstruksi Bangunan Sipil Jalan</t>
        </is>
      </c>
      <c r="N48" t="inlineStr">
        <is>
          <t>K, Spesialis</t>
        </is>
      </c>
      <c r="O48" t="inlineStr">
        <is>
          <t>20230721</t>
        </is>
      </c>
      <c r="P48" t="inlineStr">
        <is>
          <t>Jawa Tengah</t>
        </is>
      </c>
      <c r="Q48" s="3">
        <f>HYPERLINK("https://wa.me/6285325412121?text=*[PENGINGAT MASA BERLAKU SBU KARTIKA JAYA]*%0A%0AYth. Pimpinan KARTIKA JAYA,%0AMohon izin menginformasikan status SBU Anda di sistem LPJK:%0A%0A📄 SBU: BS001, IN011%0A📅 Expired: 21 Juli 2026 (60 Hari Lagi)%0A%0AKami tim PT. ESDEA Assistance Management siap men-support proses perpanjangan segera.", "Hubungi")</f>
        <v/>
      </c>
    </row>
    <row r="49">
      <c r="A49" t="inlineStr">
        <is>
          <t>KARYA JALAN UTAMA</t>
        </is>
      </c>
      <c r="B49" t="inlineStr">
        <is>
          <t>Kota Bengkulu</t>
        </is>
      </c>
      <c r="C49" t="inlineStr">
        <is>
          <t>08117310303</t>
        </is>
      </c>
      <c r="D49" t="inlineStr">
        <is>
          <t>karyajalanutama.cv@gmail.com</t>
        </is>
      </c>
      <c r="E49" t="inlineStr">
        <is>
          <t>https://lpjk.pu.go.id/search-badan-usaha-detail/L0ZQbnJqc1FjM2QwcTMvdmcrODA2UT09</t>
        </is>
      </c>
      <c r="F49" t="n">
        <v>1</v>
      </c>
      <c r="G49" t="inlineStr">
        <is>
          <t>BS001</t>
        </is>
      </c>
      <c r="H49" t="inlineStr">
        <is>
          <t>10 Agustus 2017</t>
        </is>
      </c>
      <c r="I49" s="2" t="n">
        <v>46224</v>
      </c>
      <c r="J49" t="inlineStr">
        <is>
          <t>Pencabutan</t>
        </is>
      </c>
      <c r="K49" t="n">
        <v>60</v>
      </c>
      <c r="L49" t="inlineStr">
        <is>
          <t>21 Juli 2026</t>
        </is>
      </c>
      <c r="M49" t="inlineStr">
        <is>
          <t>Konstruksi Bangunan Sipil Jalan</t>
        </is>
      </c>
      <c r="N49" t="inlineStr">
        <is>
          <t>K</t>
        </is>
      </c>
      <c r="O49" t="inlineStr">
        <is>
          <t>20230721</t>
        </is>
      </c>
      <c r="P49" t="inlineStr">
        <is>
          <t>Bengkulu</t>
        </is>
      </c>
      <c r="Q49" s="3">
        <f>HYPERLINK("https://wa.me/628117310303?text=*[PENGINGAT MASA BERLAKU SBU KARYA JALAN UTAMA]*%0A%0AYth. Pimpinan KARYA JALAN UTAMA,%0AMohon izin menginformasikan status SBU Anda di sistem LPJK:%0A%0A📄 SBU: BS001%0A📅 Expired: 21 Juli 2026 (60 Hari Lagi)%0A%0AKami tim PT. ESDEA Assistance Management siap men-support proses perpanjangan segera.", "Hubungi")</f>
        <v/>
      </c>
    </row>
    <row r="50">
      <c r="A50" t="inlineStr">
        <is>
          <t>KARYA NYATA</t>
        </is>
      </c>
      <c r="B50" t="inlineStr">
        <is>
          <t>Kab. Sumbawa</t>
        </is>
      </c>
      <c r="C50" t="inlineStr">
        <is>
          <t>082341939022</t>
        </is>
      </c>
      <c r="D50" t="inlineStr">
        <is>
          <t>cvkaryanyata80@gmail.com</t>
        </is>
      </c>
      <c r="E50" t="inlineStr">
        <is>
          <t>https://lpjk.pu.go.id/search-badan-usaha-detail/TCs0V2RDZHAxNTVydzB3TkV3RTl3QT09</t>
        </is>
      </c>
      <c r="F50" t="n">
        <v>1</v>
      </c>
      <c r="G50" t="inlineStr">
        <is>
          <t>BS010</t>
        </is>
      </c>
      <c r="H50" t="inlineStr">
        <is>
          <t>19 Desember 1985</t>
        </is>
      </c>
      <c r="I50" s="2" t="n">
        <v>46224</v>
      </c>
      <c r="J50" t="inlineStr">
        <is>
          <t>Disetujui</t>
        </is>
      </c>
      <c r="K50" t="n">
        <v>60</v>
      </c>
      <c r="L50" t="inlineStr">
        <is>
          <t>21 Juli 2026</t>
        </is>
      </c>
      <c r="M50" t="inlineStr">
        <is>
          <t>Konstruksi Bangunan Prasarana Sumber Daya Air</t>
        </is>
      </c>
      <c r="N50" t="inlineStr">
        <is>
          <t>K</t>
        </is>
      </c>
      <c r="O50" t="inlineStr">
        <is>
          <t>20230719</t>
        </is>
      </c>
      <c r="P50" t="inlineStr">
        <is>
          <t>Nusa Tenggara Barat</t>
        </is>
      </c>
      <c r="Q50" s="3">
        <f>HYPERLINK("https://wa.me/6282341939022?text=*[PENGINGAT MASA BERLAKU SBU KARYA NYATA]*%0A%0AYth. Pimpinan KARYA NYATA,%0AMohon izin menginformasikan status SBU Anda di sistem LPJK:%0A%0A📄 SBU: BS010%0A📅 Expired: 21 Juli 2026 (60 Hari Lagi)%0A%0AKami tim PT. ESDEA Assistance Management siap men-support proses perpanjangan segera.", "Hubungi")</f>
        <v/>
      </c>
    </row>
    <row r="51">
      <c r="A51" t="inlineStr">
        <is>
          <t>KARYA PUTRA JEMPANG</t>
        </is>
      </c>
      <c r="B51" t="inlineStr">
        <is>
          <t>Kab. Kutai Barat</t>
        </is>
      </c>
      <c r="C51" t="inlineStr">
        <is>
          <t>08125856946</t>
        </is>
      </c>
      <c r="D51" t="inlineStr">
        <is>
          <t>sahabuddin_kpj@yahoo.co.id</t>
        </is>
      </c>
      <c r="E51" t="inlineStr">
        <is>
          <t>https://lpjk.pu.go.id/search-badan-usaha-detail/S3VYVWN6VDhCbW9zbkVJNmM2ZXdGZz09</t>
        </is>
      </c>
      <c r="F51" t="n">
        <v>1</v>
      </c>
      <c r="G51" t="inlineStr">
        <is>
          <t>BS002</t>
        </is>
      </c>
      <c r="H51" t="inlineStr">
        <is>
          <t>23 Maret 2002</t>
        </is>
      </c>
      <c r="I51" s="2" t="n">
        <v>46224</v>
      </c>
      <c r="J51" t="inlineStr">
        <is>
          <t>Pencabutan</t>
        </is>
      </c>
      <c r="K51" t="n">
        <v>60</v>
      </c>
      <c r="L51" t="inlineStr">
        <is>
          <t>21 Juli 2026</t>
        </is>
      </c>
      <c r="M51" t="inlineStr">
        <is>
          <t>Bangunan Sipil Jembatan, Jalan Layang, Fly Over, dan Underpass</t>
        </is>
      </c>
      <c r="N51" t="inlineStr">
        <is>
          <t>K</t>
        </is>
      </c>
      <c r="O51" t="inlineStr">
        <is>
          <t>20230717</t>
        </is>
      </c>
      <c r="P51" t="inlineStr">
        <is>
          <t>Kalimantan Timur</t>
        </is>
      </c>
      <c r="Q51" s="3">
        <f>HYPERLINK("https://wa.me/628125856946?text=*[PENGINGAT MASA BERLAKU SBU KARYA PUTRA JEMPANG]*%0A%0AYth. Pimpinan KARYA PUTRA JEMPANG,%0AMohon izin menginformasikan status SBU Anda di sistem LPJK:%0A%0A📄 SBU: BS002%0A📅 Expired: 21 Juli 2026 (60 Hari Lagi)%0A%0AKami tim PT. ESDEA Assistance Management siap men-support proses perpanjangan segera.", "Hubungi")</f>
        <v/>
      </c>
    </row>
    <row r="52">
      <c r="A52" t="inlineStr">
        <is>
          <t>KARYAWIRA BANGUN PERSADA UTAMA</t>
        </is>
      </c>
      <c r="B52" t="inlineStr">
        <is>
          <t>Kota Adm. Jakarta Selatan</t>
        </is>
      </c>
      <c r="C52" t="inlineStr">
        <is>
          <t>081211379046</t>
        </is>
      </c>
      <c r="D52" t="inlineStr">
        <is>
          <t>karyawirabangunpersadautama@yahoo.com</t>
        </is>
      </c>
      <c r="E52" t="inlineStr">
        <is>
          <t>https://lpjk.pu.go.id/search-badan-usaha-detail/VENBd2J3dnVPL240Q3BoU25hb0hRZz09</t>
        </is>
      </c>
      <c r="F52" t="n">
        <v>1</v>
      </c>
      <c r="G52" t="inlineStr">
        <is>
          <t>BS004</t>
        </is>
      </c>
      <c r="H52" t="inlineStr">
        <is>
          <t>3 Juli 2015</t>
        </is>
      </c>
      <c r="I52" s="2" t="n">
        <v>46224</v>
      </c>
      <c r="J52" t="inlineStr">
        <is>
          <t>Disetujui</t>
        </is>
      </c>
      <c r="K52" t="n">
        <v>60</v>
      </c>
      <c r="L52" t="inlineStr">
        <is>
          <t>21 Juli 2026</t>
        </is>
      </c>
      <c r="M52" t="inlineStr">
        <is>
          <t>Konstruksi Jaringan Irigasi dan Drainase</t>
        </is>
      </c>
      <c r="N52" t="inlineStr">
        <is>
          <t>M</t>
        </is>
      </c>
      <c r="O52" t="inlineStr">
        <is>
          <t>20230721</t>
        </is>
      </c>
      <c r="P52" t="inlineStr">
        <is>
          <t>DKI Jakarta</t>
        </is>
      </c>
      <c r="Q52" s="3">
        <f>HYPERLINK("https://wa.me/6281211379046?text=*[PENGINGAT MASA BERLAKU SBU KARYAWIRA BANGUN PERSADA UTAMA]*%0A%0AYth. Pimpinan KARYAWIRA BANGUN PERSADA UTAMA,%0AMohon izin menginformasikan status SBU Anda di sistem LPJK:%0A%0A📄 SBU: BS004%0A📅 Expired: 21 Juli 2026 (60 Hari Lagi)%0A%0AKami tim PT. ESDEA Assistance Management siap men-support proses perpanjangan segera.", "Hubungi")</f>
        <v/>
      </c>
    </row>
    <row r="53">
      <c r="A53" t="inlineStr">
        <is>
          <t>KAYAMA</t>
        </is>
      </c>
      <c r="B53" t="inlineStr">
        <is>
          <t>Kab. Aceh Utara</t>
        </is>
      </c>
      <c r="C53" t="inlineStr">
        <is>
          <t>085361205043</t>
        </is>
      </c>
      <c r="D53" t="inlineStr">
        <is>
          <t>kayama_engineering@ymail.com</t>
        </is>
      </c>
      <c r="E53" t="inlineStr">
        <is>
          <t>https://lpjk.pu.go.id/search-badan-usaha-detail/aVRINzFpUGlJOWJtRm1Gd2kyeS9PZz09</t>
        </is>
      </c>
      <c r="F53" t="n">
        <v>1</v>
      </c>
      <c r="G53" t="inlineStr">
        <is>
          <t>BS002</t>
        </is>
      </c>
      <c r="H53" t="inlineStr">
        <is>
          <t>11 Januari 2011</t>
        </is>
      </c>
      <c r="I53" s="2" t="n">
        <v>46224</v>
      </c>
      <c r="J53" t="inlineStr">
        <is>
          <t>Disetujui</t>
        </is>
      </c>
      <c r="K53" t="n">
        <v>60</v>
      </c>
      <c r="L53" t="inlineStr">
        <is>
          <t>21 Juli 2026</t>
        </is>
      </c>
      <c r="M53" t="inlineStr">
        <is>
          <t>Bangunan Sipil Jembatan, Jalan Layang, Fly Over, dan Underpass</t>
        </is>
      </c>
      <c r="N53" t="inlineStr">
        <is>
          <t>K</t>
        </is>
      </c>
      <c r="O53" t="inlineStr">
        <is>
          <t>20230719</t>
        </is>
      </c>
      <c r="P53" t="inlineStr">
        <is>
          <t>Aceh</t>
        </is>
      </c>
      <c r="Q53" s="3">
        <f>HYPERLINK("https://wa.me/6285361205043?text=*[PENGINGAT MASA BERLAKU SBU KAYAMA]*%0A%0AYth. Pimpinan KAYAMA,%0AMohon izin menginformasikan status SBU Anda di sistem LPJK:%0A%0A📄 SBU: BS002%0A📅 Expired: 21 Juli 2026 (60 Hari Lagi)%0A%0AKami tim PT. ESDEA Assistance Management siap men-support proses perpanjangan segera.", "Hubungi")</f>
        <v/>
      </c>
    </row>
    <row r="54">
      <c r="A54" t="inlineStr">
        <is>
          <t>KEDA CONSTRUCTION INDONESIA</t>
        </is>
      </c>
      <c r="B54" t="inlineStr">
        <is>
          <t>Kota Adm. Jakarta Barat</t>
        </is>
      </c>
      <c r="C54" t="inlineStr">
        <is>
          <t>085282054203</t>
        </is>
      </c>
      <c r="D54" t="inlineStr">
        <is>
          <t>kedaconstructionindonesia@corporatemail.id</t>
        </is>
      </c>
      <c r="E54" t="inlineStr">
        <is>
          <t>https://lpjk.pu.go.id/search-badan-usaha-detail/elRqcUtVWFd0VDdnQi84cERQeVBVQT09</t>
        </is>
      </c>
      <c r="F54" t="n">
        <v>2</v>
      </c>
      <c r="G54" t="inlineStr">
        <is>
          <t>IN003, KK016</t>
        </is>
      </c>
      <c r="H54" t="inlineStr">
        <is>
          <t>15 Mei 2023</t>
        </is>
      </c>
      <c r="I54" s="2" t="n">
        <v>46224</v>
      </c>
      <c r="J54" t="inlineStr">
        <is>
          <t>Pencabutan</t>
        </is>
      </c>
      <c r="K54" t="n">
        <v>60</v>
      </c>
      <c r="L54" t="inlineStr">
        <is>
          <t>21 Juli 2026</t>
        </is>
      </c>
      <c r="M54" t="inlineStr">
        <is>
          <t>Instalasi Peralatan Infrastruktur Pertambangan dan Manufaktur, Pemasangan Kerangka Baja</t>
        </is>
      </c>
      <c r="N54" t="inlineStr">
        <is>
          <t>Spesialis</t>
        </is>
      </c>
      <c r="O54" t="inlineStr">
        <is>
          <t>20230717</t>
        </is>
      </c>
      <c r="P54" t="inlineStr">
        <is>
          <t>DKI Jakarta</t>
        </is>
      </c>
      <c r="Q54" s="3">
        <f>HYPERLINK("https://wa.me/6285282054203?text=*[PENGINGAT MASA BERLAKU SBU KEDA CONSTRUCTION INDONESIA]*%0A%0AYth. Pimpinan KEDA CONSTRUCTION INDONESIA,%0AMohon izin menginformasikan status SBU Anda di sistem LPJK:%0A%0A📄 SBU: IN003, KK016%0A📅 Expired: 21 Juli 2026 (60 Hari Lagi)%0A%0AKami tim PT. ESDEA Assistance Management siap men-support proses perpanjangan segera.", "Hubungi")</f>
        <v/>
      </c>
    </row>
    <row r="55">
      <c r="A55" t="inlineStr">
        <is>
          <t>KIAN JAYA BERKAH</t>
        </is>
      </c>
      <c r="B55" t="inlineStr">
        <is>
          <t>Kab. Bojonegoro</t>
        </is>
      </c>
      <c r="C55" t="inlineStr">
        <is>
          <t>082140055857</t>
        </is>
      </c>
      <c r="D55" t="inlineStr">
        <is>
          <t>kianjqya@gmail.com</t>
        </is>
      </c>
      <c r="E55" t="inlineStr">
        <is>
          <t>https://lpjk.pu.go.id/search-badan-usaha-detail/N2lsd2xQTjNEZUlubkZwRlFxVk12UT09</t>
        </is>
      </c>
      <c r="F55" t="n">
        <v>3</v>
      </c>
      <c r="G55" t="inlineStr">
        <is>
          <t>BG001, BG006, BS004</t>
        </is>
      </c>
      <c r="H55" t="inlineStr">
        <is>
          <t>20 Januari 2023</t>
        </is>
      </c>
      <c r="I55" s="2" t="n">
        <v>46224</v>
      </c>
      <c r="J55" t="inlineStr">
        <is>
          <t>Disetujui</t>
        </is>
      </c>
      <c r="K55" t="n">
        <v>60</v>
      </c>
      <c r="L55" t="inlineStr">
        <is>
          <t>21 Juli 2026</t>
        </is>
      </c>
      <c r="M55" t="inlineStr">
        <is>
          <t>Konstruksi Gedung Hunian, Konstruksi Gedung Pendidikan, Konstruksi Jaringan Irigasi dan Drainase</t>
        </is>
      </c>
      <c r="N55" t="inlineStr">
        <is>
          <t>K</t>
        </is>
      </c>
      <c r="O55" t="inlineStr">
        <is>
          <t>20230721</t>
        </is>
      </c>
      <c r="P55" t="inlineStr">
        <is>
          <t>Jawa Timur</t>
        </is>
      </c>
      <c r="Q55" s="3">
        <f>HYPERLINK("https://wa.me/6282140055857?text=*[PENGINGAT MASA BERLAKU SBU KIAN JAYA BERKAH]*%0A%0AYth. Pimpinan KIAN JAYA BERKAH,%0AMohon izin menginformasikan status SBU Anda di sistem LPJK:%0A%0A📄 SBU: BG001, BG006, BS004%0A📅 Expired: 21 Juli 2026 (60 Hari Lagi)%0A%0AKami tim PT. ESDEA Assistance Management siap men-support proses perpanjangan segera.", "Hubungi")</f>
        <v/>
      </c>
    </row>
    <row r="56">
      <c r="A56" t="inlineStr">
        <is>
          <t>KING ARLIE KONTRAKTOR</t>
        </is>
      </c>
      <c r="B56" t="inlineStr">
        <is>
          <t>Kab. Bandung Barat</t>
        </is>
      </c>
      <c r="C56" t="inlineStr">
        <is>
          <t>082123302869</t>
        </is>
      </c>
      <c r="D56" t="inlineStr">
        <is>
          <t>kingarliekontraktor@gmail.com</t>
        </is>
      </c>
      <c r="E56" t="inlineStr">
        <is>
          <t>https://lpjk.pu.go.id/search-badan-usaha-detail/c09XS0p0Wlg2clcrcS9wODBXb29pdz09</t>
        </is>
      </c>
      <c r="F56" t="n">
        <v>1</v>
      </c>
      <c r="G56" t="inlineStr">
        <is>
          <t>BS001</t>
        </is>
      </c>
      <c r="H56" t="inlineStr">
        <is>
          <t>7 September 2021</t>
        </is>
      </c>
      <c r="I56" s="2" t="n">
        <v>46224</v>
      </c>
      <c r="J56" t="inlineStr">
        <is>
          <t>Disetujui</t>
        </is>
      </c>
      <c r="K56" t="n">
        <v>60</v>
      </c>
      <c r="L56" t="inlineStr">
        <is>
          <t>21 Juli 2026</t>
        </is>
      </c>
      <c r="M56" t="inlineStr">
        <is>
          <t>Konstruksi Bangunan Sipil Jalan</t>
        </is>
      </c>
      <c r="N56" t="inlineStr">
        <is>
          <t>K</t>
        </is>
      </c>
      <c r="O56" t="inlineStr">
        <is>
          <t>20230616</t>
        </is>
      </c>
      <c r="P56" t="inlineStr">
        <is>
          <t>Jawa Barat</t>
        </is>
      </c>
      <c r="Q56" s="3">
        <f>HYPERLINK("https://wa.me/6282123302869?text=*[PENGINGAT MASA BERLAKU SBU KING ARLIE KONTRAKTOR]*%0A%0AYth. Pimpinan KING ARLIE KONTRAKTOR,%0AMohon izin menginformasikan status SBU Anda di sistem LPJK:%0A%0A📄 SBU: BS001%0A📅 Expired: 21 Juli 2026 (60 Hari Lagi)%0A%0AKami tim PT. ESDEA Assistance Management siap men-support proses perpanjangan segera.", "Hubungi")</f>
        <v/>
      </c>
    </row>
    <row r="57">
      <c r="A57" t="inlineStr">
        <is>
          <t>KUSUMA BHAKTI</t>
        </is>
      </c>
      <c r="B57" t="inlineStr">
        <is>
          <t>Kab. Pati</t>
        </is>
      </c>
      <c r="C57" t="inlineStr">
        <is>
          <t>081226636440</t>
        </is>
      </c>
      <c r="D57" t="inlineStr">
        <is>
          <t>cv.kusumabhakti@gmail.com</t>
        </is>
      </c>
      <c r="E57" t="inlineStr">
        <is>
          <t>https://lpjk.pu.go.id/search-badan-usaha-detail/Ky8vWDl3eGNodFBlNUhvOEtOU09YUT09</t>
        </is>
      </c>
      <c r="F57" t="n">
        <v>1</v>
      </c>
      <c r="G57" t="inlineStr">
        <is>
          <t>BS004</t>
        </is>
      </c>
      <c r="H57" t="inlineStr">
        <is>
          <t>27 April 2023</t>
        </is>
      </c>
      <c r="I57" s="2" t="n">
        <v>46224</v>
      </c>
      <c r="J57" t="inlineStr">
        <is>
          <t>Disetujui</t>
        </is>
      </c>
      <c r="K57" t="n">
        <v>60</v>
      </c>
      <c r="L57" t="inlineStr">
        <is>
          <t>21 Juli 2026</t>
        </is>
      </c>
      <c r="M57" t="inlineStr">
        <is>
          <t>Konstruksi Jaringan Irigasi dan Drainase</t>
        </is>
      </c>
      <c r="N57" t="inlineStr">
        <is>
          <t>K</t>
        </is>
      </c>
      <c r="O57" t="inlineStr">
        <is>
          <t>20230720</t>
        </is>
      </c>
      <c r="P57" t="inlineStr">
        <is>
          <t>Jawa Tengah</t>
        </is>
      </c>
      <c r="Q57" s="3">
        <f>HYPERLINK("https://wa.me/6281226636440?text=*[PENGINGAT MASA BERLAKU SBU KUSUMA BHAKTI]*%0A%0AYth. Pimpinan KUSUMA BHAKTI,%0AMohon izin menginformasikan status SBU Anda di sistem LPJK:%0A%0A📄 SBU: BS004%0A📅 Expired: 21 Juli 2026 (60 Hari Lagi)%0A%0AKami tim PT. ESDEA Assistance Management siap men-support proses perpanjangan segera.", "Hubungi")</f>
        <v/>
      </c>
    </row>
    <row r="58">
      <c r="A58" t="inlineStr">
        <is>
          <t>LAMPUNGSAI BANGUN PERSADA</t>
        </is>
      </c>
      <c r="B58" t="inlineStr">
        <is>
          <t>Kota Metro</t>
        </is>
      </c>
      <c r="C58" t="inlineStr">
        <is>
          <t>081379570500</t>
        </is>
      </c>
      <c r="D58" t="inlineStr">
        <is>
          <t>lampungsaibangunpersada18@gmail.com</t>
        </is>
      </c>
      <c r="E58" t="inlineStr">
        <is>
          <t>https://lpjk.pu.go.id/search-badan-usaha-detail/cENtU3NKb3hzbnRJb0ZuOUJSM0hndz09</t>
        </is>
      </c>
      <c r="F58" t="n">
        <v>1</v>
      </c>
      <c r="G58" t="inlineStr">
        <is>
          <t>BG005</t>
        </is>
      </c>
      <c r="H58" t="inlineStr">
        <is>
          <t>26 September 2019</t>
        </is>
      </c>
      <c r="I58" s="2" t="n">
        <v>46224</v>
      </c>
      <c r="J58" t="inlineStr">
        <is>
          <t>Disetujui</t>
        </is>
      </c>
      <c r="K58" t="n">
        <v>60</v>
      </c>
      <c r="L58" t="inlineStr">
        <is>
          <t>21 Juli 2026</t>
        </is>
      </c>
      <c r="M58" t="inlineStr">
        <is>
          <t>Konstruksi Gedung Kesehatan</t>
        </is>
      </c>
      <c r="N58" t="inlineStr">
        <is>
          <t>K</t>
        </is>
      </c>
      <c r="O58" t="inlineStr">
        <is>
          <t>20230721</t>
        </is>
      </c>
      <c r="P58" t="inlineStr">
        <is>
          <t>Lampung</t>
        </is>
      </c>
      <c r="Q58" s="3">
        <f>HYPERLINK("https://wa.me/6281379570500?text=*[PENGINGAT MASA BERLAKU SBU LAMPUNGSAI BANGUN PERSADA]*%0A%0AYth. Pimpinan LAMPUNGSAI BANGUN PERSADA,%0AMohon izin menginformasikan status SBU Anda di sistem LPJK:%0A%0A📄 SBU: BG005%0A📅 Expired: 21 Juli 2026 (60 Hari Lagi)%0A%0AKami tim PT. ESDEA Assistance Management siap men-support proses perpanjangan segera.", "Hubungi")</f>
        <v/>
      </c>
    </row>
    <row r="59">
      <c r="A59" t="inlineStr">
        <is>
          <t>LANANG BUNGSU</t>
        </is>
      </c>
      <c r="B59" t="inlineStr">
        <is>
          <t>Kab. Landak</t>
        </is>
      </c>
      <c r="C59" t="inlineStr">
        <is>
          <t>089693370652</t>
        </is>
      </c>
      <c r="D59" t="inlineStr">
        <is>
          <t>cvlanangbungsu@gmail.com</t>
        </is>
      </c>
      <c r="E59" t="inlineStr">
        <is>
          <t>https://lpjk.pu.go.id/search-badan-usaha-detail/Y29aSkZqV0kvMEJkalc4Mmg3RytXZz09</t>
        </is>
      </c>
      <c r="F59" t="n">
        <v>2</v>
      </c>
      <c r="G59" t="inlineStr">
        <is>
          <t>BS004, BS005</t>
        </is>
      </c>
      <c r="H59" t="inlineStr">
        <is>
          <t>3 Juli 2023</t>
        </is>
      </c>
      <c r="I59" s="2" t="n">
        <v>46224</v>
      </c>
      <c r="J59" t="inlineStr">
        <is>
          <t>Disetujui</t>
        </is>
      </c>
      <c r="K59" t="n">
        <v>60</v>
      </c>
      <c r="L59" t="inlineStr">
        <is>
          <t>21 Juli 2026</t>
        </is>
      </c>
      <c r="M59" t="inlineStr">
        <is>
          <t>Konstruksi Bangunan Sipil Pengolahan Air Bersih, Konstruksi Jaringan Irigasi dan Drainase</t>
        </is>
      </c>
      <c r="N59" t="inlineStr">
        <is>
          <t>K</t>
        </is>
      </c>
      <c r="O59" t="inlineStr">
        <is>
          <t>20230721</t>
        </is>
      </c>
      <c r="P59" t="inlineStr">
        <is>
          <t>Kalimantan Barat</t>
        </is>
      </c>
      <c r="Q59" s="3">
        <f>HYPERLINK("https://wa.me/6289693370652?text=*[PENGINGAT MASA BERLAKU SBU LANANG BUNGSU]*%0A%0AYth. Pimpinan LANANG BUNGSU,%0AMohon izin menginformasikan status SBU Anda di sistem LPJK:%0A%0A📄 SBU: BS004, BS005%0A📅 Expired: 21 Juli 2026 (60 Hari Lagi)%0A%0AKami tim PT. ESDEA Assistance Management siap men-support proses perpanjangan segera.", "Hubungi")</f>
        <v/>
      </c>
    </row>
    <row r="60">
      <c r="A60" t="inlineStr">
        <is>
          <t>LANGGENG</t>
        </is>
      </c>
      <c r="B60" t="inlineStr">
        <is>
          <t>Kab. Bondowoso</t>
        </is>
      </c>
      <c r="C60" t="inlineStr">
        <is>
          <t>08123363023</t>
        </is>
      </c>
      <c r="D60" t="inlineStr">
        <is>
          <t>dhikofredly@yahoo.com</t>
        </is>
      </c>
      <c r="E60" t="inlineStr">
        <is>
          <t>https://lpjk.pu.go.id/search-badan-usaha-detail/ektEMXcvaVpqMDg2V2VNMXVVeUR6Zz09</t>
        </is>
      </c>
      <c r="F60" t="n">
        <v>2</v>
      </c>
      <c r="G60" t="inlineStr">
        <is>
          <t>BS001</t>
        </is>
      </c>
      <c r="H60" t="inlineStr">
        <is>
          <t>9 Maret 1983</t>
        </is>
      </c>
      <c r="I60" s="2" t="n">
        <v>46224</v>
      </c>
      <c r="J60" t="inlineStr">
        <is>
          <t>Disetujui</t>
        </is>
      </c>
      <c r="K60" t="n">
        <v>60</v>
      </c>
      <c r="L60" t="inlineStr">
        <is>
          <t>21 Juli 2026</t>
        </is>
      </c>
      <c r="M60" t="inlineStr">
        <is>
          <t>Konstruksi Bangunan Sipil Jalan</t>
        </is>
      </c>
      <c r="N60" t="inlineStr">
        <is>
          <t>K</t>
        </is>
      </c>
      <c r="O60" t="inlineStr">
        <is>
          <t>20230720</t>
        </is>
      </c>
      <c r="P60" t="inlineStr">
        <is>
          <t>Jawa Timur</t>
        </is>
      </c>
      <c r="Q60" s="3">
        <f>HYPERLINK("https://wa.me/628123363023?text=*[PENGINGAT MASA BERLAKU SBU LANGGENG]*%0A%0AYth. Pimpinan LANGGENG,%0AMohon izin menginformasikan status SBU Anda di sistem LPJK:%0A%0A📄 SBU: BS001%0A📅 Expired: 21 Juli 2026 (60 Hari Lagi)%0A%0AKami tim PT. ESDEA Assistance Management siap men-support proses perpanjangan segera.", "Hubungi")</f>
        <v/>
      </c>
    </row>
    <row r="61">
      <c r="A61" t="inlineStr">
        <is>
          <t>LINGGAR JATI</t>
        </is>
      </c>
      <c r="B61" t="inlineStr">
        <is>
          <t>Kab. Probolinggo</t>
        </is>
      </c>
      <c r="C61" t="inlineStr">
        <is>
          <t>085231475743</t>
        </is>
      </c>
      <c r="D61" t="inlineStr">
        <is>
          <t>cvlinggarjati@yahoo.co.id</t>
        </is>
      </c>
      <c r="E61" t="inlineStr">
        <is>
          <t>https://lpjk.pu.go.id/search-badan-usaha-detail/ZG83cnNnNzYvSitXMUxqMWRScW5VQT09</t>
        </is>
      </c>
      <c r="F61" t="n">
        <v>4</v>
      </c>
      <c r="G61" t="inlineStr">
        <is>
          <t>BS001, BS004</t>
        </is>
      </c>
      <c r="H61" t="inlineStr">
        <is>
          <t>11 April 1997</t>
        </is>
      </c>
      <c r="I61" s="2" t="n">
        <v>46224</v>
      </c>
      <c r="J61" t="inlineStr">
        <is>
          <t>Pencabutan</t>
        </is>
      </c>
      <c r="K61" t="n">
        <v>60</v>
      </c>
      <c r="L61" t="inlineStr">
        <is>
          <t>21 Juli 2026</t>
        </is>
      </c>
      <c r="M61" t="inlineStr">
        <is>
          <t>Konstruksi Bangunan Sipil Jalan, Konstruksi Jaringan Irigasi dan Drainase</t>
        </is>
      </c>
      <c r="N61" t="inlineStr">
        <is>
          <t>K</t>
        </is>
      </c>
      <c r="O61" t="inlineStr">
        <is>
          <t>20230711</t>
        </is>
      </c>
      <c r="P61" t="inlineStr">
        <is>
          <t>Jawa Timur</t>
        </is>
      </c>
      <c r="Q61" s="3">
        <f>HYPERLINK("https://wa.me/6285231475743?text=*[PENGINGAT MASA BERLAKU SBU LINGGAR JATI]*%0A%0AYth. Pimpinan LINGGAR JATI,%0AMohon izin menginformasikan status SBU Anda di sistem LPJK:%0A%0A📄 SBU: BS001, BS004%0A📅 Expired: 21 Juli 2026 (60 Hari Lagi)%0A%0AKami tim PT. ESDEA Assistance Management siap men-support proses perpanjangan segera.", "Hubungi")</f>
        <v/>
      </c>
    </row>
    <row r="62">
      <c r="A62" t="inlineStr">
        <is>
          <t>LINTAS BUPOLO MANDIRI</t>
        </is>
      </c>
      <c r="B62" t="inlineStr">
        <is>
          <t>Kab. Buru</t>
        </is>
      </c>
      <c r="C62" t="inlineStr">
        <is>
          <t>0811478123</t>
        </is>
      </c>
      <c r="D62" t="inlineStr">
        <is>
          <t>lintasbupolomandiri@gmail.com</t>
        </is>
      </c>
      <c r="E62" t="inlineStr">
        <is>
          <t>https://lpjk.pu.go.id/search-badan-usaha-detail/WFZSRW5nb3REcWRlNVhmRjdDb3lrQT09</t>
        </is>
      </c>
      <c r="F62" t="n">
        <v>2</v>
      </c>
      <c r="G62" t="inlineStr">
        <is>
          <t>BG001, BG006</t>
        </is>
      </c>
      <c r="H62" t="inlineStr">
        <is>
          <t>29 Juli 2019</t>
        </is>
      </c>
      <c r="I62" s="2" t="n">
        <v>46224</v>
      </c>
      <c r="J62" t="inlineStr">
        <is>
          <t>Pencabutan</t>
        </is>
      </c>
      <c r="K62" t="n">
        <v>60</v>
      </c>
      <c r="L62" t="inlineStr">
        <is>
          <t>21 Juli 2026</t>
        </is>
      </c>
      <c r="M62" t="inlineStr">
        <is>
          <t>Konstruksi Gedung Hunian, Konstruksi Gedung Pendidikan</t>
        </is>
      </c>
      <c r="N62" t="inlineStr">
        <is>
          <t>K</t>
        </is>
      </c>
      <c r="O62" t="inlineStr">
        <is>
          <t>20230719</t>
        </is>
      </c>
      <c r="P62" t="inlineStr">
        <is>
          <t>Maluku</t>
        </is>
      </c>
      <c r="Q62" s="3">
        <f>HYPERLINK("https://wa.me/62811478123?text=*[PENGINGAT MASA BERLAKU SBU LINTAS BUPOLO MANDIRI]*%0A%0AYth. Pimpinan LINTAS BUPOLO MANDIRI,%0AMohon izin menginformasikan status SBU Anda di sistem LPJK:%0A%0A📄 SBU: BG001, BG006%0A📅 Expired: 21 Juli 2026 (60 Hari Lagi)%0A%0AKami tim PT. ESDEA Assistance Management siap men-support proses perpanjangan segera.", "Hubungi")</f>
        <v/>
      </c>
    </row>
    <row r="63">
      <c r="A63" t="inlineStr">
        <is>
          <t>LOTUS</t>
        </is>
      </c>
      <c r="B63" t="inlineStr">
        <is>
          <t>Kota Pekanbaru</t>
        </is>
      </c>
      <c r="C63" t="inlineStr">
        <is>
          <t>085272675530</t>
        </is>
      </c>
      <c r="D63" t="inlineStr">
        <is>
          <t>cv_lotus@ymail.com</t>
        </is>
      </c>
      <c r="E63" t="inlineStr">
        <is>
          <t>https://lpjk.pu.go.id/search-badan-usaha-detail/aS85RThIZ2RKWXI3am1GSXJZOUZVZz09</t>
        </is>
      </c>
      <c r="F63" t="n">
        <v>2</v>
      </c>
      <c r="G63" t="inlineStr">
        <is>
          <t>BS002, BS004</t>
        </is>
      </c>
      <c r="H63" t="inlineStr">
        <is>
          <t>14 Februari 2011</t>
        </is>
      </c>
      <c r="I63" s="2" t="n">
        <v>46224</v>
      </c>
      <c r="J63" t="inlineStr">
        <is>
          <t>Pencabutan</t>
        </is>
      </c>
      <c r="K63" t="n">
        <v>60</v>
      </c>
      <c r="L63" t="inlineStr">
        <is>
          <t>21 Juli 2026</t>
        </is>
      </c>
      <c r="M63" t="inlineStr">
        <is>
          <t>Bangunan Sipil Jembatan, Jalan Layang, Fly Over, dan Underpass, Konstruksi Jaringan Irigasi dan Drainase</t>
        </is>
      </c>
      <c r="N63" t="inlineStr">
        <is>
          <t>K</t>
        </is>
      </c>
      <c r="O63" t="inlineStr">
        <is>
          <t>20230713, 20230721</t>
        </is>
      </c>
      <c r="P63" t="inlineStr">
        <is>
          <t>Riau</t>
        </is>
      </c>
      <c r="Q63" s="3">
        <f>HYPERLINK("https://wa.me/6285272675530?text=*[PENGINGAT MASA BERLAKU SBU LOTUS]*%0A%0AYth. Pimpinan LOTUS,%0AMohon izin menginformasikan status SBU Anda di sistem LPJK:%0A%0A📄 SBU: BS002, BS004%0A📅 Expired: 21 Juli 2026 (60 Hari Lagi)%0A%0AKami tim PT. ESDEA Assistance Management siap men-support proses perpanjangan segera.", "Hubungi")</f>
        <v/>
      </c>
    </row>
    <row r="64">
      <c r="A64" t="inlineStr">
        <is>
          <t>LUCYANA</t>
        </is>
      </c>
      <c r="B64" t="inlineStr">
        <is>
          <t>Kab. Cianjur</t>
        </is>
      </c>
      <c r="C64" t="inlineStr">
        <is>
          <t>081563458448</t>
        </is>
      </c>
      <c r="D64" t="inlineStr">
        <is>
          <t>lucyanaa.cv@gmail.com</t>
        </is>
      </c>
      <c r="E64" t="inlineStr">
        <is>
          <t>https://lpjk.pu.go.id/search-badan-usaha-detail/R1dPOVMvd0s2WkJOVGV5dUJlTzBrQT09</t>
        </is>
      </c>
      <c r="F64" t="n">
        <v>2</v>
      </c>
      <c r="G64" t="inlineStr">
        <is>
          <t>BS001</t>
        </is>
      </c>
      <c r="H64" t="inlineStr">
        <is>
          <t>5 November 2002</t>
        </is>
      </c>
      <c r="I64" s="2" t="n">
        <v>46224</v>
      </c>
      <c r="J64" t="inlineStr">
        <is>
          <t>Disetujui</t>
        </is>
      </c>
      <c r="K64" t="n">
        <v>60</v>
      </c>
      <c r="L64" t="inlineStr">
        <is>
          <t>21 Juli 2026</t>
        </is>
      </c>
      <c r="M64" t="inlineStr">
        <is>
          <t>Konstruksi Bangunan Sipil Jalan</t>
        </is>
      </c>
      <c r="N64" t="inlineStr">
        <is>
          <t>K</t>
        </is>
      </c>
      <c r="O64" t="inlineStr">
        <is>
          <t>20230710</t>
        </is>
      </c>
      <c r="P64" t="inlineStr">
        <is>
          <t>Jawa Barat</t>
        </is>
      </c>
      <c r="Q64" s="3">
        <f>HYPERLINK("https://wa.me/6281563458448?text=*[PENGINGAT MASA BERLAKU SBU LUCYANA]*%0A%0AYth. Pimpinan LUCYANA,%0AMohon izin menginformasikan status SBU Anda di sistem LPJK:%0A%0A📄 SBU: BS001%0A📅 Expired: 21 Juli 2026 (60 Hari Lagi)%0A%0AKami tim PT. ESDEA Assistance Management siap men-support proses perpanjangan segera.", "Hubungi")</f>
        <v/>
      </c>
    </row>
    <row r="65">
      <c r="A65" t="inlineStr">
        <is>
          <t>MAHESA DUTA MANDIRI</t>
        </is>
      </c>
      <c r="B65" t="inlineStr">
        <is>
          <t>Kab. Tangerang</t>
        </is>
      </c>
      <c r="C65" t="inlineStr">
        <is>
          <t>081211212022</t>
        </is>
      </c>
      <c r="D65" t="inlineStr">
        <is>
          <t>pt.mahesadutamandiri12@gmail.com</t>
        </is>
      </c>
      <c r="E65" t="inlineStr">
        <is>
          <t>https://lpjk.pu.go.id/search-badan-usaha-detail/RTZ6VGNuY29IeDZUVU84SmFPRldhdz09</t>
        </is>
      </c>
      <c r="F65" t="n">
        <v>2</v>
      </c>
      <c r="G65" t="inlineStr">
        <is>
          <t>BG006, BG009</t>
        </is>
      </c>
      <c r="H65" t="inlineStr">
        <is>
          <t>4 Oktober 2018</t>
        </is>
      </c>
      <c r="I65" s="2" t="n">
        <v>46224</v>
      </c>
      <c r="J65" t="inlineStr">
        <is>
          <t>Disetujui</t>
        </is>
      </c>
      <c r="K65" t="n">
        <v>60</v>
      </c>
      <c r="L65" t="inlineStr">
        <is>
          <t>21 Juli 2026</t>
        </is>
      </c>
      <c r="M65" t="inlineStr">
        <is>
          <t>Konstruksi Gedung Lainnya, Konstruksi Gedung Pendidikan</t>
        </is>
      </c>
      <c r="N65" t="inlineStr">
        <is>
          <t>M</t>
        </is>
      </c>
      <c r="O65" t="inlineStr">
        <is>
          <t>20230720</t>
        </is>
      </c>
      <c r="P65" t="inlineStr">
        <is>
          <t>Banten</t>
        </is>
      </c>
      <c r="Q65" s="3">
        <f>HYPERLINK("https://wa.me/6281211212022?text=*[PENGINGAT MASA BERLAKU SBU MAHESA DUTA MANDIRI]*%0A%0AYth. Pimpinan MAHESA DUTA MANDIRI,%0AMohon izin menginformasikan status SBU Anda di sistem LPJK:%0A%0A📄 SBU: BG006, BG009%0A📅 Expired: 21 Juli 2026 (60 Hari Lagi)%0A%0AKami tim PT. ESDEA Assistance Management siap men-support proses perpanjangan segera.", "Hubungi")</f>
        <v/>
      </c>
    </row>
    <row r="66">
      <c r="A66" t="inlineStr">
        <is>
          <t>MAHESA LESTARI</t>
        </is>
      </c>
      <c r="B66" t="inlineStr">
        <is>
          <t>Kab. Muna</t>
        </is>
      </c>
      <c r="C66" t="inlineStr">
        <is>
          <t>081343943199</t>
        </is>
      </c>
      <c r="D66" t="inlineStr">
        <is>
          <t>kamaluddinkamal648@gmail.com</t>
        </is>
      </c>
      <c r="E66" t="inlineStr">
        <is>
          <t>https://lpjk.pu.go.id/search-badan-usaha-detail/RHEzeEVyUGoyZVdXQzIyOTdoVi8zQT09</t>
        </is>
      </c>
      <c r="F66" t="n">
        <v>1</v>
      </c>
      <c r="G66" t="inlineStr">
        <is>
          <t>BG005</t>
        </is>
      </c>
      <c r="H66" t="inlineStr">
        <is>
          <t>9 September 2016</t>
        </is>
      </c>
      <c r="I66" s="2" t="n">
        <v>46224</v>
      </c>
      <c r="J66" t="inlineStr">
        <is>
          <t>Disetujui</t>
        </is>
      </c>
      <c r="K66" t="n">
        <v>60</v>
      </c>
      <c r="L66" t="inlineStr">
        <is>
          <t>21 Juli 2026</t>
        </is>
      </c>
      <c r="M66" t="inlineStr">
        <is>
          <t>Konstruksi Gedung Kesehatan</t>
        </is>
      </c>
      <c r="N66" t="inlineStr">
        <is>
          <t>K</t>
        </is>
      </c>
      <c r="O66" t="inlineStr">
        <is>
          <t>20230712</t>
        </is>
      </c>
      <c r="P66" t="inlineStr">
        <is>
          <t>Sulawesi Tenggara</t>
        </is>
      </c>
      <c r="Q66" s="3">
        <f>HYPERLINK("https://wa.me/6281343943199?text=*[PENGINGAT MASA BERLAKU SBU MAHESA LESTARI]*%0A%0AYth. Pimpinan MAHESA LESTARI,%0AMohon izin menginformasikan status SBU Anda di sistem LPJK:%0A%0A📄 SBU: BG005%0A📅 Expired: 21 Juli 2026 (60 Hari Lagi)%0A%0AKami tim PT. ESDEA Assistance Management siap men-support proses perpanjangan segera.", "Hubungi")</f>
        <v/>
      </c>
    </row>
    <row r="67">
      <c r="A67" t="inlineStr">
        <is>
          <t>MAJU MAPAN</t>
        </is>
      </c>
      <c r="B67" t="inlineStr">
        <is>
          <t>Kab. Tanah Datar</t>
        </is>
      </c>
      <c r="C67" t="inlineStr">
        <is>
          <t>085274109212</t>
        </is>
      </c>
      <c r="D67" t="inlineStr">
        <is>
          <t>cvmajumapan58@yahoo.co.id</t>
        </is>
      </c>
      <c r="E67" t="inlineStr">
        <is>
          <t>https://lpjk.pu.go.id/search-badan-usaha-detail/QXFhMzNTZm5jOXJwZVliRzRLU1N3UT09</t>
        </is>
      </c>
      <c r="F67" t="n">
        <v>1</v>
      </c>
      <c r="G67" t="inlineStr">
        <is>
          <t>BG006</t>
        </is>
      </c>
      <c r="H67" t="inlineStr">
        <is>
          <t>3 Januari 2013</t>
        </is>
      </c>
      <c r="I67" s="2" t="n">
        <v>46224</v>
      </c>
      <c r="J67" t="inlineStr">
        <is>
          <t>Disetujui</t>
        </is>
      </c>
      <c r="K67" t="n">
        <v>60</v>
      </c>
      <c r="L67" t="inlineStr">
        <is>
          <t>21 Juli 2026</t>
        </is>
      </c>
      <c r="M67" t="inlineStr">
        <is>
          <t>Konstruksi Gedung Pendidikan</t>
        </is>
      </c>
      <c r="N67" t="inlineStr">
        <is>
          <t>K</t>
        </is>
      </c>
      <c r="O67" t="inlineStr">
        <is>
          <t>20230719</t>
        </is>
      </c>
      <c r="P67" t="inlineStr">
        <is>
          <t>Sumatera Barat</t>
        </is>
      </c>
      <c r="Q67" s="3">
        <f>HYPERLINK("https://wa.me/6285274109212?text=*[PENGINGAT MASA BERLAKU SBU MAJU MAPAN]*%0A%0AYth. Pimpinan MAJU MAPAN,%0AMohon izin menginformasikan status SBU Anda di sistem LPJK:%0A%0A📄 SBU: BG006%0A📅 Expired: 21 Juli 2026 (60 Hari Lagi)%0A%0AKami tim PT. ESDEA Assistance Management siap men-support proses perpanjangan segera.", "Hubungi")</f>
        <v/>
      </c>
    </row>
    <row r="68">
      <c r="A68" t="inlineStr">
        <is>
          <t>MITA NADYA</t>
        </is>
      </c>
      <c r="B68" t="inlineStr">
        <is>
          <t>Kab. Jember</t>
        </is>
      </c>
      <c r="C68" t="inlineStr">
        <is>
          <t>08123455572</t>
        </is>
      </c>
      <c r="D68" t="inlineStr">
        <is>
          <t>cvmitanadya@yahoo.com</t>
        </is>
      </c>
      <c r="E68" t="inlineStr">
        <is>
          <t>https://lpjk.pu.go.id/search-badan-usaha-detail/M0VKeXRTRDZGR2RCRXZqQ3owQVladz09</t>
        </is>
      </c>
      <c r="F68" t="n">
        <v>1</v>
      </c>
      <c r="G68" t="inlineStr">
        <is>
          <t>BS010</t>
        </is>
      </c>
      <c r="H68" t="inlineStr">
        <is>
          <t>8 Januari 2007</t>
        </is>
      </c>
      <c r="I68" s="2" t="n">
        <v>46224</v>
      </c>
      <c r="J68" t="inlineStr">
        <is>
          <t>Disetujui</t>
        </is>
      </c>
      <c r="K68" t="n">
        <v>60</v>
      </c>
      <c r="L68" t="inlineStr">
        <is>
          <t>21 Juli 2026</t>
        </is>
      </c>
      <c r="M68" t="inlineStr">
        <is>
          <t>Konstruksi Bangunan Prasarana Sumber Daya Air</t>
        </is>
      </c>
      <c r="N68" t="inlineStr">
        <is>
          <t>K</t>
        </is>
      </c>
      <c r="O68" t="inlineStr">
        <is>
          <t>20230717</t>
        </is>
      </c>
      <c r="P68" t="inlineStr">
        <is>
          <t>Jawa Timur</t>
        </is>
      </c>
      <c r="Q68" s="3">
        <f>HYPERLINK("https://wa.me/628123455572?text=*[PENGINGAT MASA BERLAKU SBU MITA NADYA]*%0A%0AYth. Pimpinan MITA NADYA,%0AMohon izin menginformasikan status SBU Anda di sistem LPJK:%0A%0A📄 SBU: BS010%0A📅 Expired: 21 Juli 2026 (60 Hari Lagi)%0A%0AKami tim PT. ESDEA Assistance Management siap men-support proses perpanjangan segera.", "Hubungi")</f>
        <v/>
      </c>
    </row>
    <row r="69">
      <c r="A69" t="inlineStr">
        <is>
          <t>MITRA PUTRI SALJU</t>
        </is>
      </c>
      <c r="B69" t="inlineStr">
        <is>
          <t>Kab. Kapuas Hulu</t>
        </is>
      </c>
      <c r="C69" t="inlineStr">
        <is>
          <t>081350477977</t>
        </is>
      </c>
      <c r="D69" t="inlineStr">
        <is>
          <t>mps.psu@gmail.com</t>
        </is>
      </c>
      <c r="E69" t="inlineStr">
        <is>
          <t>https://lpjk.pu.go.id/search-badan-usaha-detail/aHNXSWdYQ1R5THhGRXJtRzNERjhMUT09</t>
        </is>
      </c>
      <c r="F69" t="n">
        <v>1</v>
      </c>
      <c r="G69" t="inlineStr">
        <is>
          <t>BG006</t>
        </is>
      </c>
      <c r="H69" t="inlineStr">
        <is>
          <t>27 Januari 2022</t>
        </is>
      </c>
      <c r="I69" s="2" t="n">
        <v>46224</v>
      </c>
      <c r="J69" t="inlineStr">
        <is>
          <t>Disetujui</t>
        </is>
      </c>
      <c r="K69" t="n">
        <v>60</v>
      </c>
      <c r="L69" t="inlineStr">
        <is>
          <t>21 Juli 2026</t>
        </is>
      </c>
      <c r="M69" t="inlineStr">
        <is>
          <t>Konstruksi Gedung Pendidikan</t>
        </is>
      </c>
      <c r="N69" t="inlineStr">
        <is>
          <t>K</t>
        </is>
      </c>
      <c r="O69" t="inlineStr">
        <is>
          <t>20230228</t>
        </is>
      </c>
      <c r="P69" t="inlineStr">
        <is>
          <t>Kalimantan Barat</t>
        </is>
      </c>
      <c r="Q69" s="3">
        <f>HYPERLINK("https://wa.me/6281350477977?text=*[PENGINGAT MASA BERLAKU SBU MITRA PUTRI SALJU]*%0A%0AYth. Pimpinan MITRA PUTRI SALJU,%0AMohon izin menginformasikan status SBU Anda di sistem LPJK:%0A%0A📄 SBU: BG006%0A📅 Expired: 21 Juli 2026 (60 Hari Lagi)%0A%0AKami tim PT. ESDEA Assistance Management siap men-support proses perpanjangan segera.", "Hubungi")</f>
        <v/>
      </c>
    </row>
    <row r="70">
      <c r="A70" t="inlineStr">
        <is>
          <t>MUKTI KENCANA</t>
        </is>
      </c>
      <c r="B70" t="inlineStr">
        <is>
          <t>Kab. Majalengka</t>
        </is>
      </c>
      <c r="C70" t="inlineStr">
        <is>
          <t>085294242222</t>
        </is>
      </c>
      <c r="D70" t="inlineStr">
        <is>
          <t>cvmuktikencana@gmail.com</t>
        </is>
      </c>
      <c r="E70" t="inlineStr">
        <is>
          <t>https://lpjk.pu.go.id/search-badan-usaha-detail/b1hCT0NGZjdNNXJXcS9lY0pFQ2R6Zz09</t>
        </is>
      </c>
      <c r="F70" t="n">
        <v>1</v>
      </c>
      <c r="G70" t="inlineStr">
        <is>
          <t>BG005</t>
        </is>
      </c>
      <c r="H70" t="inlineStr">
        <is>
          <t>20 Februari 2020</t>
        </is>
      </c>
      <c r="I70" s="2" t="n">
        <v>46224</v>
      </c>
      <c r="J70" t="inlineStr">
        <is>
          <t>Disetujui</t>
        </is>
      </c>
      <c r="K70" t="n">
        <v>60</v>
      </c>
      <c r="L70" t="inlineStr">
        <is>
          <t>21 Juli 2026</t>
        </is>
      </c>
      <c r="M70" t="inlineStr">
        <is>
          <t>Konstruksi Gedung Kesehatan</t>
        </is>
      </c>
      <c r="N70" t="inlineStr">
        <is>
          <t>K</t>
        </is>
      </c>
      <c r="O70" t="inlineStr">
        <is>
          <t>20230720</t>
        </is>
      </c>
      <c r="P70" t="inlineStr">
        <is>
          <t>Jawa Barat</t>
        </is>
      </c>
      <c r="Q70" s="3">
        <f>HYPERLINK("https://wa.me/6285294242222?text=*[PENGINGAT MASA BERLAKU SBU MUKTI KENCANA]*%0A%0AYth. Pimpinan MUKTI KENCANA,%0AMohon izin menginformasikan status SBU Anda di sistem LPJK:%0A%0A📄 SBU: BG005%0A📅 Expired: 21 Juli 2026 (60 Hari Lagi)%0A%0AKami tim PT. ESDEA Assistance Management siap men-support proses perpanjangan segera.", "Hubungi")</f>
        <v/>
      </c>
    </row>
    <row r="71">
      <c r="A71" t="inlineStr">
        <is>
          <t>MUTIARA BINTANG AR</t>
        </is>
      </c>
      <c r="B71" t="inlineStr">
        <is>
          <t>Kota Kendari</t>
        </is>
      </c>
      <c r="C71" t="inlineStr">
        <is>
          <t>081393969706</t>
        </is>
      </c>
      <c r="D71" t="inlineStr">
        <is>
          <t>cv.mutiarabintangar@gmail.com</t>
        </is>
      </c>
      <c r="E71" t="inlineStr">
        <is>
          <t>https://lpjk.pu.go.id/search-badan-usaha-detail/bG5CWDVlb3ZoL0pSdnpNazg5SzFnZz09</t>
        </is>
      </c>
      <c r="F71" t="n">
        <v>4</v>
      </c>
      <c r="G71" t="inlineStr">
        <is>
          <t>BG005, BG006</t>
        </is>
      </c>
      <c r="H71" t="inlineStr">
        <is>
          <t>10 Juli 2023</t>
        </is>
      </c>
      <c r="I71" s="2" t="n">
        <v>46224</v>
      </c>
      <c r="J71" t="inlineStr">
        <is>
          <t>Disetujui</t>
        </is>
      </c>
      <c r="K71" t="n">
        <v>60</v>
      </c>
      <c r="L71" t="inlineStr">
        <is>
          <t>21 Juli 2026</t>
        </is>
      </c>
      <c r="M71" t="inlineStr">
        <is>
          <t>Konstruksi Gedung Kesehatan, Konstruksi Gedung Pendidikan</t>
        </is>
      </c>
      <c r="N71" t="inlineStr">
        <is>
          <t>K</t>
        </is>
      </c>
      <c r="O71" t="inlineStr">
        <is>
          <t>20230721</t>
        </is>
      </c>
      <c r="P71" t="inlineStr">
        <is>
          <t>Sulawesi Tenggara</t>
        </is>
      </c>
      <c r="Q71" s="3">
        <f>HYPERLINK("https://wa.me/6281393969706?text=*[PENGINGAT MASA BERLAKU SBU MUTIARA BINTANG AR]*%0A%0AYth. Pimpinan MUTIARA BINTANG AR,%0AMohon izin menginformasikan status SBU Anda di sistem LPJK:%0A%0A📄 SBU: BG005, BG006%0A📅 Expired: 21 Juli 2026 (60 Hari Lagi)%0A%0AKami tim PT. ESDEA Assistance Management siap men-support proses perpanjangan segera.", "Hubungi")</f>
        <v/>
      </c>
    </row>
    <row r="72">
      <c r="A72" t="inlineStr">
        <is>
          <t>NAWA PERDANA SEMBILAN</t>
        </is>
      </c>
      <c r="B72" t="inlineStr">
        <is>
          <t>Kota Adm. Jakarta Barat</t>
        </is>
      </c>
      <c r="C72" t="inlineStr">
        <is>
          <t>085256529179</t>
        </is>
      </c>
      <c r="D72" t="inlineStr">
        <is>
          <t>nawaperdana919@gmail.com</t>
        </is>
      </c>
      <c r="E72" t="inlineStr">
        <is>
          <t>https://lpjk.pu.go.id/search-badan-usaha-detail/S3h5VUVMai9JNk9BVHljeXFCaU9tUT09</t>
        </is>
      </c>
      <c r="F72" t="n">
        <v>1</v>
      </c>
      <c r="G72" t="inlineStr">
        <is>
          <t>BG004</t>
        </is>
      </c>
      <c r="H72" t="inlineStr">
        <is>
          <t>19 Juli 2019</t>
        </is>
      </c>
      <c r="I72" s="2" t="n">
        <v>46224</v>
      </c>
      <c r="J72" t="inlineStr">
        <is>
          <t>Disetujui</t>
        </is>
      </c>
      <c r="K72" t="n">
        <v>60</v>
      </c>
      <c r="L72" t="inlineStr">
        <is>
          <t>21 Juli 2026</t>
        </is>
      </c>
      <c r="M72" t="inlineStr">
        <is>
          <t>Konstruksi Gedung Perbelanjaan</t>
        </is>
      </c>
      <c r="N72" t="inlineStr">
        <is>
          <t>K</t>
        </is>
      </c>
      <c r="O72" t="inlineStr">
        <is>
          <t>20230713</t>
        </is>
      </c>
      <c r="P72" t="inlineStr">
        <is>
          <t>DKI Jakarta</t>
        </is>
      </c>
      <c r="Q72" s="3">
        <f>HYPERLINK("https://wa.me/6285256529179?text=*[PENGINGAT MASA BERLAKU SBU NAWA PERDANA SEMBILAN]*%0A%0AYth. Pimpinan NAWA PERDANA SEMBILAN,%0AMohon izin menginformasikan status SBU Anda di sistem LPJK:%0A%0A📄 SBU: BG004%0A📅 Expired: 21 Juli 2026 (60 Hari Lagi)%0A%0AKami tim PT. ESDEA Assistance Management siap men-support proses perpanjangan segera.", "Hubungi")</f>
        <v/>
      </c>
    </row>
    <row r="73">
      <c r="A73" t="inlineStr">
        <is>
          <t>NAYOTTAMA PERKASA</t>
        </is>
      </c>
      <c r="B73" t="inlineStr">
        <is>
          <t>Kab. Sleman</t>
        </is>
      </c>
      <c r="C73" t="inlineStr">
        <is>
          <t>0274798354</t>
        </is>
      </c>
      <c r="D73" t="inlineStr">
        <is>
          <t>nayottamaperkasa@gmail.com</t>
        </is>
      </c>
      <c r="E73" t="inlineStr">
        <is>
          <t>https://lpjk.pu.go.id/search-badan-usaha-detail/SUdNdnlMOUY2ZTdHbEJseUtqOER0QT09</t>
        </is>
      </c>
      <c r="F73" t="n">
        <v>1</v>
      </c>
      <c r="G73" t="inlineStr">
        <is>
          <t>BS002</t>
        </is>
      </c>
      <c r="H73" t="inlineStr">
        <is>
          <t>10 Desember 2020</t>
        </is>
      </c>
      <c r="I73" s="2" t="n">
        <v>46224</v>
      </c>
      <c r="J73" t="inlineStr">
        <is>
          <t>Disetujui</t>
        </is>
      </c>
      <c r="K73" t="n">
        <v>60</v>
      </c>
      <c r="L73" t="inlineStr">
        <is>
          <t>21 Juli 2026</t>
        </is>
      </c>
      <c r="M73" t="inlineStr">
        <is>
          <t>Bangunan Sipil Jembatan, Jalan Layang, Fly Over, dan Underpass</t>
        </is>
      </c>
      <c r="N73" t="inlineStr">
        <is>
          <t>K</t>
        </is>
      </c>
      <c r="O73" t="inlineStr">
        <is>
          <t>20230707</t>
        </is>
      </c>
      <c r="P73" t="inlineStr">
        <is>
          <t>DI Yogyakarta</t>
        </is>
      </c>
      <c r="Q73" s="3">
        <f>HYPERLINK("https://wa.me/62274798354?text=*[PENGINGAT MASA BERLAKU SBU NAYOTTAMA PERKASA]*%0A%0AYth. Pimpinan NAYOTTAMA PERKASA,%0AMohon izin menginformasikan status SBU Anda di sistem LPJK:%0A%0A📄 SBU: BS002%0A📅 Expired: 21 Juli 2026 (60 Hari Lagi)%0A%0AKami tim PT. ESDEA Assistance Management siap men-support proses perpanjangan segera.", "Hubungi")</f>
        <v/>
      </c>
    </row>
    <row r="74">
      <c r="A74" t="inlineStr">
        <is>
          <t>PANCA DUTA KARYA ABADI</t>
        </is>
      </c>
      <c r="B74" t="inlineStr">
        <is>
          <t>Kota Jayapura</t>
        </is>
      </c>
      <c r="C74" t="inlineStr">
        <is>
          <t>0967537776</t>
        </is>
      </c>
      <c r="D74" t="inlineStr">
        <is>
          <t>jayapura_ptpdka@yahoo.com</t>
        </is>
      </c>
      <c r="E74" t="inlineStr">
        <is>
          <t>https://lpjk.pu.go.id/search-badan-usaha-detail/d3F4TG41dGMzd0Vhbm4xQ2NJVmFBZz09</t>
        </is>
      </c>
      <c r="F74" t="n">
        <v>1</v>
      </c>
      <c r="G74" t="inlineStr">
        <is>
          <t>BG004</t>
        </is>
      </c>
      <c r="H74" t="inlineStr">
        <is>
          <t>21 Mei 1983</t>
        </is>
      </c>
      <c r="I74" s="2" t="n">
        <v>46224</v>
      </c>
      <c r="J74" t="inlineStr">
        <is>
          <t>Pencabutan</t>
        </is>
      </c>
      <c r="K74" t="n">
        <v>60</v>
      </c>
      <c r="L74" t="inlineStr">
        <is>
          <t>21 Juli 2026</t>
        </is>
      </c>
      <c r="M74" t="inlineStr">
        <is>
          <t>Konstruksi Gedung Perbelanjaan</t>
        </is>
      </c>
      <c r="N74" t="inlineStr">
        <is>
          <t>B</t>
        </is>
      </c>
      <c r="O74" t="inlineStr">
        <is>
          <t>20230714</t>
        </is>
      </c>
      <c r="P74" t="inlineStr">
        <is>
          <t>Papua</t>
        </is>
      </c>
      <c r="Q74" s="3">
        <f>HYPERLINK("https://wa.me/62967537776?text=*[PENGINGAT MASA BERLAKU SBU PANCA DUTA KARYA ABADI]*%0A%0AYth. Pimpinan PANCA DUTA KARYA ABADI,%0AMohon izin menginformasikan status SBU Anda di sistem LPJK:%0A%0A📄 SBU: BG004%0A📅 Expired: 21 Juli 2026 (60 Hari Lagi)%0A%0AKami tim PT. ESDEA Assistance Management siap men-support proses perpanjangan segera.", "Hubungi")</f>
        <v/>
      </c>
    </row>
    <row r="75">
      <c r="A75" t="inlineStr">
        <is>
          <t>PANCA KARYA BERSAUDARA</t>
        </is>
      </c>
      <c r="B75" t="inlineStr">
        <is>
          <t>Kota Banjarmasin</t>
        </is>
      </c>
      <c r="C75" t="inlineStr">
        <is>
          <t>085249332020</t>
        </is>
      </c>
      <c r="D75" t="inlineStr">
        <is>
          <t>cv.pancakaryabersaudara@gmail.com</t>
        </is>
      </c>
      <c r="E75" t="inlineStr">
        <is>
          <t>https://lpjk.pu.go.id/search-badan-usaha-detail/Njk2ZDd0ZW9FajZYUVZNU3cyRXJOQT09</t>
        </is>
      </c>
      <c r="F75" t="n">
        <v>1</v>
      </c>
      <c r="G75" t="inlineStr">
        <is>
          <t>BS001</t>
        </is>
      </c>
      <c r="H75" t="inlineStr">
        <is>
          <t>1 Mei 2001</t>
        </is>
      </c>
      <c r="I75" s="2" t="n">
        <v>46224</v>
      </c>
      <c r="J75" t="inlineStr">
        <is>
          <t>Disetujui</t>
        </is>
      </c>
      <c r="K75" t="n">
        <v>60</v>
      </c>
      <c r="L75" t="inlineStr">
        <is>
          <t>21 Juli 2026</t>
        </is>
      </c>
      <c r="M75" t="inlineStr">
        <is>
          <t>Konstruksi Bangunan Sipil Jalan</t>
        </is>
      </c>
      <c r="N75" t="inlineStr">
        <is>
          <t>K</t>
        </is>
      </c>
      <c r="O75" t="inlineStr">
        <is>
          <t>20230715</t>
        </is>
      </c>
      <c r="P75" t="inlineStr">
        <is>
          <t>Kalimantan Selatan</t>
        </is>
      </c>
      <c r="Q75" s="3">
        <f>HYPERLINK("https://wa.me/6285249332020?text=*[PENGINGAT MASA BERLAKU SBU PANCA KARYA BERSAUDARA]*%0A%0AYth. Pimpinan PANCA KARYA BERSAUDARA,%0AMohon izin menginformasikan status SBU Anda di sistem LPJK:%0A%0A📄 SBU: BS001%0A📅 Expired: 21 Juli 2026 (60 Hari Lagi)%0A%0AKami tim PT. ESDEA Assistance Management siap men-support proses perpanjangan segera.", "Hubungi")</f>
        <v/>
      </c>
    </row>
    <row r="76">
      <c r="A76" t="inlineStr">
        <is>
          <t>PANDU JAYA</t>
        </is>
      </c>
      <c r="B76" t="inlineStr">
        <is>
          <t>Kab. Pacitan</t>
        </is>
      </c>
      <c r="C76" t="inlineStr">
        <is>
          <t>087719271922</t>
        </is>
      </c>
      <c r="D76" t="inlineStr">
        <is>
          <t>pandupacitan08@gmail.com</t>
        </is>
      </c>
      <c r="E76" t="inlineStr">
        <is>
          <t>https://lpjk.pu.go.id/search-badan-usaha-detail/MjRZc2JFTmswK1IxbVlYZTFpcFh6dz09</t>
        </is>
      </c>
      <c r="F76" t="n">
        <v>1</v>
      </c>
      <c r="G76" t="inlineStr">
        <is>
          <t>BG009</t>
        </is>
      </c>
      <c r="H76" t="inlineStr">
        <is>
          <t>28 Mei 2001</t>
        </is>
      </c>
      <c r="I76" s="2" t="n">
        <v>46224</v>
      </c>
      <c r="J76" t="inlineStr">
        <is>
          <t>Disetujui</t>
        </is>
      </c>
      <c r="K76" t="n">
        <v>60</v>
      </c>
      <c r="L76" t="inlineStr">
        <is>
          <t>21 Juli 2026</t>
        </is>
      </c>
      <c r="M76" t="inlineStr">
        <is>
          <t>Konstruksi Gedung Lainnya</t>
        </is>
      </c>
      <c r="N76" t="inlineStr">
        <is>
          <t>K</t>
        </is>
      </c>
      <c r="O76" t="inlineStr">
        <is>
          <t>20230721</t>
        </is>
      </c>
      <c r="P76" t="inlineStr">
        <is>
          <t>Jawa Timur</t>
        </is>
      </c>
      <c r="Q76" s="3">
        <f>HYPERLINK("https://wa.me/6287719271922?text=*[PENGINGAT MASA BERLAKU SBU PANDU JAYA]*%0A%0AYth. Pimpinan PANDU JAYA,%0AMohon izin menginformasikan status SBU Anda di sistem LPJK:%0A%0A📄 SBU: BG009%0A📅 Expired: 21 Juli 2026 (60 Hari Lagi)%0A%0AKami tim PT. ESDEA Assistance Management siap men-support proses perpanjangan segera.", "Hubungi")</f>
        <v/>
      </c>
    </row>
    <row r="77">
      <c r="A77" t="inlineStr">
        <is>
          <t>PARAMA CIPTA KRIDATAMA</t>
        </is>
      </c>
      <c r="B77" t="inlineStr">
        <is>
          <t>Kab. Ponorogo</t>
        </is>
      </c>
      <c r="C77" t="inlineStr">
        <is>
          <t>085808464891</t>
        </is>
      </c>
      <c r="D77" t="inlineStr">
        <is>
          <t>ckparama@gmail.com</t>
        </is>
      </c>
      <c r="E77" t="inlineStr">
        <is>
          <t>https://lpjk.pu.go.id/search-badan-usaha-detail/cmFTRklrbklRSkQ5OHdsOTR4SFF4Zz09</t>
        </is>
      </c>
      <c r="F77" t="n">
        <v>2</v>
      </c>
      <c r="G77" t="inlineStr">
        <is>
          <t>BG006, BS004</t>
        </is>
      </c>
      <c r="H77" t="inlineStr">
        <is>
          <t>10 April 2023</t>
        </is>
      </c>
      <c r="I77" s="2" t="n">
        <v>46224</v>
      </c>
      <c r="J77" t="inlineStr">
        <is>
          <t>Disetujui</t>
        </is>
      </c>
      <c r="K77" t="n">
        <v>60</v>
      </c>
      <c r="L77" t="inlineStr">
        <is>
          <t>21 Juli 2026</t>
        </is>
      </c>
      <c r="M77" t="inlineStr">
        <is>
          <t>Konstruksi Gedung Pendidikan, Konstruksi Jaringan Irigasi dan Drainase</t>
        </is>
      </c>
      <c r="N77" t="inlineStr">
        <is>
          <t>K</t>
        </is>
      </c>
      <c r="O77" t="inlineStr">
        <is>
          <t>20230705</t>
        </is>
      </c>
      <c r="P77" t="inlineStr">
        <is>
          <t>Jawa Timur</t>
        </is>
      </c>
      <c r="Q77" s="3">
        <f>HYPERLINK("https://wa.me/6285808464891?text=*[PENGINGAT MASA BERLAKU SBU PARAMA CIPTA KRIDATAMA]*%0A%0AYth. Pimpinan PARAMA CIPTA KRIDATAMA,%0AMohon izin menginformasikan status SBU Anda di sistem LPJK:%0A%0A📄 SBU: BG006, BS004%0A📅 Expired: 21 Juli 2026 (60 Hari Lagi)%0A%0AKami tim PT. ESDEA Assistance Management siap men-support proses perpanjangan segera.", "Hubungi")</f>
        <v/>
      </c>
    </row>
    <row r="78">
      <c r="A78" t="inlineStr">
        <is>
          <t>PERMATA DWINATA MANDIRI</t>
        </is>
      </c>
      <c r="B78" t="inlineStr">
        <is>
          <t>Kota Kendari</t>
        </is>
      </c>
      <c r="C78" t="inlineStr">
        <is>
          <t>082290810796</t>
        </is>
      </c>
      <c r="D78" t="inlineStr">
        <is>
          <t>dwinatapermata@gmail.com</t>
        </is>
      </c>
      <c r="E78" t="inlineStr">
        <is>
          <t>https://lpjk.pu.go.id/search-badan-usaha-detail/aytWV1daY2wvclY1RjVIc0E5THBtUT09</t>
        </is>
      </c>
      <c r="F78" t="n">
        <v>2</v>
      </c>
      <c r="G78" t="inlineStr">
        <is>
          <t>BG002, BG005</t>
        </is>
      </c>
      <c r="H78" t="inlineStr">
        <is>
          <t>25 Agustus 2022</t>
        </is>
      </c>
      <c r="I78" s="2" t="n">
        <v>46224</v>
      </c>
      <c r="J78" t="inlineStr">
        <is>
          <t>Pencabutan</t>
        </is>
      </c>
      <c r="K78" t="n">
        <v>60</v>
      </c>
      <c r="L78" t="inlineStr">
        <is>
          <t>21 Juli 2026</t>
        </is>
      </c>
      <c r="M78" t="inlineStr">
        <is>
          <t>Konstruksi Gedung Kesehatan, Konstruksi Gedung Perkantoran</t>
        </is>
      </c>
      <c r="N78" t="inlineStr">
        <is>
          <t>K</t>
        </is>
      </c>
      <c r="O78" t="inlineStr">
        <is>
          <t>20230717</t>
        </is>
      </c>
      <c r="P78" t="inlineStr">
        <is>
          <t>Sulawesi Tenggara</t>
        </is>
      </c>
      <c r="Q78" s="3">
        <f>HYPERLINK("https://wa.me/6282290810796?text=*[PENGINGAT MASA BERLAKU SBU PERMATA DWINATA MANDIRI]*%0A%0AYth. Pimpinan PERMATA DWINATA MANDIRI,%0AMohon izin menginformasikan status SBU Anda di sistem LPJK:%0A%0A📄 SBU: BG002, BG005%0A📅 Expired: 21 Juli 2026 (60 Hari Lagi)%0A%0AKami tim PT. ESDEA Assistance Management siap men-support proses perpanjangan segera.", "Hubungi")</f>
        <v/>
      </c>
    </row>
    <row r="79">
      <c r="A79" t="inlineStr">
        <is>
          <t>PRESTASI UTAMA</t>
        </is>
      </c>
      <c r="B79" t="inlineStr">
        <is>
          <t>Kota Banjarmasin</t>
        </is>
      </c>
      <c r="C79" t="inlineStr">
        <is>
          <t>05113256962</t>
        </is>
      </c>
      <c r="D79" t="inlineStr">
        <is>
          <t>muhdi66668@gmail.com</t>
        </is>
      </c>
      <c r="E79" t="inlineStr">
        <is>
          <t>https://lpjk.pu.go.id/search-badan-usaha-detail/cUpabVdlejYzdzZWbHl4UFZDNkFOQT09</t>
        </is>
      </c>
      <c r="F79" t="n">
        <v>1</v>
      </c>
      <c r="G79" t="inlineStr">
        <is>
          <t>BS002</t>
        </is>
      </c>
      <c r="H79" t="inlineStr">
        <is>
          <t>13 Februari 1984</t>
        </is>
      </c>
      <c r="I79" s="2" t="n">
        <v>46224</v>
      </c>
      <c r="J79" t="inlineStr">
        <is>
          <t>Disetujui</t>
        </is>
      </c>
      <c r="K79" t="n">
        <v>60</v>
      </c>
      <c r="L79" t="inlineStr">
        <is>
          <t>21 Juli 2026</t>
        </is>
      </c>
      <c r="M79" t="inlineStr">
        <is>
          <t>Bangunan Sipil Jembatan, Jalan Layang, Fly Over, dan Underpass</t>
        </is>
      </c>
      <c r="N79" t="inlineStr">
        <is>
          <t>K</t>
        </is>
      </c>
      <c r="O79" t="inlineStr">
        <is>
          <t>20230518</t>
        </is>
      </c>
      <c r="P79" t="inlineStr">
        <is>
          <t>Kalimantan Selatan</t>
        </is>
      </c>
      <c r="Q79" s="3">
        <f>HYPERLINK("https://wa.me/625113256962?text=*[PENGINGAT MASA BERLAKU SBU PRESTASI UTAMA]*%0A%0AYth. Pimpinan PRESTASI UTAMA,%0AMohon izin menginformasikan status SBU Anda di sistem LPJK:%0A%0A📄 SBU: BS002%0A📅 Expired: 21 Juli 2026 (60 Hari Lagi)%0A%0AKami tim PT. ESDEA Assistance Management siap men-support proses perpanjangan segera.", "Hubungi")</f>
        <v/>
      </c>
    </row>
    <row r="80">
      <c r="A80" t="inlineStr">
        <is>
          <t>PRIMA SINDO</t>
        </is>
      </c>
      <c r="B80" t="inlineStr">
        <is>
          <t>Kota Madiun</t>
        </is>
      </c>
      <c r="C80" t="inlineStr">
        <is>
          <t>081259466271</t>
        </is>
      </c>
      <c r="D80" t="inlineStr">
        <is>
          <t>cv.primasindo@gmail.com</t>
        </is>
      </c>
      <c r="E80" t="inlineStr">
        <is>
          <t>https://lpjk.pu.go.id/search-badan-usaha-detail/R29TS3RvMXA2R25HUFJML2VvVFppdz09</t>
        </is>
      </c>
      <c r="F80" t="n">
        <v>1</v>
      </c>
      <c r="G80" t="inlineStr">
        <is>
          <t>BG009</t>
        </is>
      </c>
      <c r="H80" t="inlineStr">
        <is>
          <t>21 November 2001</t>
        </is>
      </c>
      <c r="I80" s="2" t="n">
        <v>46224</v>
      </c>
      <c r="J80" t="inlineStr">
        <is>
          <t>Disetujui</t>
        </is>
      </c>
      <c r="K80" t="n">
        <v>60</v>
      </c>
      <c r="L80" t="inlineStr">
        <is>
          <t>21 Juli 2026</t>
        </is>
      </c>
      <c r="M80" t="inlineStr">
        <is>
          <t>Konstruksi Gedung Lainnya</t>
        </is>
      </c>
      <c r="N80" t="inlineStr">
        <is>
          <t>K</t>
        </is>
      </c>
      <c r="O80" t="inlineStr">
        <is>
          <t>20230710</t>
        </is>
      </c>
      <c r="P80" t="inlineStr">
        <is>
          <t>Jawa Timur</t>
        </is>
      </c>
      <c r="Q80" s="3">
        <f>HYPERLINK("https://wa.me/6281259466271?text=*[PENGINGAT MASA BERLAKU SBU PRIMA SINDO]*%0A%0AYth. Pimpinan PRIMA SINDO,%0AMohon izin menginformasikan status SBU Anda di sistem LPJK:%0A%0A📄 SBU: BG009%0A📅 Expired: 21 Juli 2026 (60 Hari Lagi)%0A%0AKami tim PT. ESDEA Assistance Management siap men-support proses perpanjangan segera.", "Hubungi")</f>
        <v/>
      </c>
    </row>
    <row r="81">
      <c r="A81" t="inlineStr">
        <is>
          <t>PUTERA PERSADA BALANGAN</t>
        </is>
      </c>
      <c r="B81" t="inlineStr">
        <is>
          <t>Kab. Balangan</t>
        </is>
      </c>
      <c r="C81" t="inlineStr">
        <is>
          <t>082254603790</t>
        </is>
      </c>
      <c r="D81" t="inlineStr">
        <is>
          <t>persadacvputera@gmail.com</t>
        </is>
      </c>
      <c r="E81" t="inlineStr">
        <is>
          <t>https://lpjk.pu.go.id/search-badan-usaha-detail/dnZRelI3Y0hITjZ5c0Y3R2lmSStxUT09</t>
        </is>
      </c>
      <c r="F81" t="n">
        <v>1</v>
      </c>
      <c r="G81" t="inlineStr">
        <is>
          <t>BS004</t>
        </is>
      </c>
      <c r="H81" t="inlineStr">
        <is>
          <t>29 Agustus 2022</t>
        </is>
      </c>
      <c r="I81" s="2" t="n">
        <v>46224</v>
      </c>
      <c r="J81" t="inlineStr">
        <is>
          <t>Disetujui</t>
        </is>
      </c>
      <c r="K81" t="n">
        <v>60</v>
      </c>
      <c r="L81" t="inlineStr">
        <is>
          <t>21 Juli 2026</t>
        </is>
      </c>
      <c r="M81" t="inlineStr">
        <is>
          <t>Konstruksi Jaringan Irigasi dan Drainase</t>
        </is>
      </c>
      <c r="N81" t="inlineStr">
        <is>
          <t>K</t>
        </is>
      </c>
      <c r="O81" t="inlineStr">
        <is>
          <t>20230721</t>
        </is>
      </c>
      <c r="P81" t="inlineStr">
        <is>
          <t>Kalimantan Selatan</t>
        </is>
      </c>
      <c r="Q81" s="3">
        <f>HYPERLINK("https://wa.me/6282254603790?text=*[PENGINGAT MASA BERLAKU SBU PUTERA PERSADA BALANGAN]*%0A%0AYth. Pimpinan PUTERA PERSADA BALANGAN,%0AMohon izin menginformasikan status SBU Anda di sistem LPJK:%0A%0A📄 SBU: BS004%0A📅 Expired: 21 Juli 2026 (60 Hari Lagi)%0A%0AKami tim PT. ESDEA Assistance Management siap men-support proses perpanjangan segera.", "Hubungi")</f>
        <v/>
      </c>
    </row>
    <row r="82">
      <c r="A82" t="inlineStr">
        <is>
          <t>PUTRA BUNGSU MANDIRI</t>
        </is>
      </c>
      <c r="B82" t="inlineStr">
        <is>
          <t>Kab. Takalar</t>
        </is>
      </c>
      <c r="C82" t="inlineStr">
        <is>
          <t>085656006055</t>
        </is>
      </c>
      <c r="D82" t="inlineStr">
        <is>
          <t>putrabungsumandiri@yahoo.com</t>
        </is>
      </c>
      <c r="E82" t="inlineStr">
        <is>
          <t>https://lpjk.pu.go.id/search-badan-usaha-detail/azZuNUtFSXJjNTFsNUFZUDdvbWZmZz09</t>
        </is>
      </c>
      <c r="F82" t="n">
        <v>1</v>
      </c>
      <c r="G82" t="inlineStr">
        <is>
          <t>BG004</t>
        </is>
      </c>
      <c r="H82" t="inlineStr">
        <is>
          <t>15 April 2017</t>
        </is>
      </c>
      <c r="I82" s="2" t="n">
        <v>46224</v>
      </c>
      <c r="J82" t="inlineStr">
        <is>
          <t>Disetujui</t>
        </is>
      </c>
      <c r="K82" t="n">
        <v>60</v>
      </c>
      <c r="L82" t="inlineStr">
        <is>
          <t>21 Juli 2026</t>
        </is>
      </c>
      <c r="M82" t="inlineStr">
        <is>
          <t>Konstruksi Gedung Perbelanjaan</t>
        </is>
      </c>
      <c r="N82" t="inlineStr">
        <is>
          <t>K</t>
        </is>
      </c>
      <c r="O82" t="inlineStr">
        <is>
          <t>20230713</t>
        </is>
      </c>
      <c r="P82" t="inlineStr">
        <is>
          <t>Sulawesi Selatan</t>
        </is>
      </c>
      <c r="Q82" s="3">
        <f>HYPERLINK("https://wa.me/6285656006055?text=*[PENGINGAT MASA BERLAKU SBU PUTRA BUNGSU MANDIRI]*%0A%0AYth. Pimpinan PUTRA BUNGSU MANDIRI,%0AMohon izin menginformasikan status SBU Anda di sistem LPJK:%0A%0A📄 SBU: BG004%0A📅 Expired: 21 Juli 2026 (60 Hari Lagi)%0A%0AKami tim PT. ESDEA Assistance Management siap men-support proses perpanjangan segera.", "Hubungi")</f>
        <v/>
      </c>
    </row>
    <row r="83">
      <c r="A83" t="inlineStr">
        <is>
          <t>PUTRA CIMOR</t>
        </is>
      </c>
      <c r="B83" t="inlineStr">
        <is>
          <t>Kab. Morowali Utara</t>
        </is>
      </c>
      <c r="C83" t="inlineStr">
        <is>
          <t>085220123560</t>
        </is>
      </c>
      <c r="D83" t="inlineStr">
        <is>
          <t>putracimor.cv@gmail.com</t>
        </is>
      </c>
      <c r="E83" t="inlineStr">
        <is>
          <t>https://lpjk.pu.go.id/search-badan-usaha-detail/a0pHRkJMRUZzZGFjaWNwb01waEhmQT09</t>
        </is>
      </c>
      <c r="F83" t="n">
        <v>2</v>
      </c>
      <c r="G83" t="inlineStr">
        <is>
          <t>BG005, BG006</t>
        </is>
      </c>
      <c r="H83" t="inlineStr">
        <is>
          <t>1 November 2019</t>
        </is>
      </c>
      <c r="I83" s="2" t="n">
        <v>46224</v>
      </c>
      <c r="J83" t="inlineStr">
        <is>
          <t>Pencabutan</t>
        </is>
      </c>
      <c r="K83" t="n">
        <v>60</v>
      </c>
      <c r="L83" t="inlineStr">
        <is>
          <t>21 Juli 2026</t>
        </is>
      </c>
      <c r="M83" t="inlineStr">
        <is>
          <t>Konstruksi Gedung Kesehatan, Konstruksi Gedung Pendidikan</t>
        </is>
      </c>
      <c r="N83" t="inlineStr">
        <is>
          <t>K</t>
        </is>
      </c>
      <c r="O83" t="inlineStr">
        <is>
          <t>20230721</t>
        </is>
      </c>
      <c r="P83" t="inlineStr">
        <is>
          <t>Sulawesi Tengah</t>
        </is>
      </c>
      <c r="Q83" s="3">
        <f>HYPERLINK("https://wa.me/6285220123560?text=*[PENGINGAT MASA BERLAKU SBU PUTRA CIMOR]*%0A%0AYth. Pimpinan PUTRA CIMOR,%0AMohon izin menginformasikan status SBU Anda di sistem LPJK:%0A%0A📄 SBU: BG005, BG006%0A📅 Expired: 21 Juli 2026 (60 Hari Lagi)%0A%0AKami tim PT. ESDEA Assistance Management siap men-support proses perpanjangan segera.", "Hubungi")</f>
        <v/>
      </c>
    </row>
    <row r="84">
      <c r="A84" t="inlineStr">
        <is>
          <t>PUTRA PEGUNUNGAN PAPUA</t>
        </is>
      </c>
      <c r="B84" t="inlineStr">
        <is>
          <t>Kab. Jayapura</t>
        </is>
      </c>
      <c r="C84" t="inlineStr">
        <is>
          <t>0</t>
        </is>
      </c>
      <c r="D84" t="inlineStr">
        <is>
          <t>cv.putrapegununganpapua@gmail.com</t>
        </is>
      </c>
      <c r="E84" t="inlineStr">
        <is>
          <t>https://lpjk.pu.go.id/search-badan-usaha-detail/eS94OHlKVEFiaVgwNVdyQnZsVGJsQT09</t>
        </is>
      </c>
      <c r="F84" t="n">
        <v>2</v>
      </c>
      <c r="G84" t="inlineStr">
        <is>
          <t>BS001, BS002</t>
        </is>
      </c>
      <c r="H84" t="inlineStr">
        <is>
          <t>29 Juni 2022</t>
        </is>
      </c>
      <c r="I84" s="2" t="n">
        <v>46224</v>
      </c>
      <c r="J84" t="inlineStr">
        <is>
          <t>Disetujui</t>
        </is>
      </c>
      <c r="K84" t="n">
        <v>60</v>
      </c>
      <c r="L84" t="inlineStr">
        <is>
          <t>21 Juli 2026</t>
        </is>
      </c>
      <c r="M84" t="inlineStr">
        <is>
          <t>Bangunan Sipil Jembatan, Jalan Layang, Fly Over, dan Underpass, Konstruksi Bangunan Sipil Jalan</t>
        </is>
      </c>
      <c r="N84" t="inlineStr">
        <is>
          <t>K</t>
        </is>
      </c>
      <c r="O84" t="inlineStr">
        <is>
          <t>20230718, 20230720</t>
        </is>
      </c>
      <c r="P84" t="inlineStr">
        <is>
          <t>Papua</t>
        </is>
      </c>
      <c r="Q84" s="3">
        <f>HYPERLINK("https://wa.me/62?text=*[PENGINGAT MASA BERLAKU SBU PUTRA PEGUNUNGAN PAPUA]*%0A%0AYth. Pimpinan PUTRA PEGUNUNGAN PAPUA,%0AMohon izin menginformasikan status SBU Anda di sistem LPJK:%0A%0A📄 SBU: BS001, BS002%0A📅 Expired: 21 Juli 2026 (60 Hari Lagi)%0A%0AKami tim PT. ESDEA Assistance Management siap men-support proses perpanjangan segera.", "Hubungi")</f>
        <v/>
      </c>
    </row>
    <row r="85">
      <c r="A85" t="inlineStr">
        <is>
          <t>RAFIZAN JAYA</t>
        </is>
      </c>
      <c r="B85" t="inlineStr">
        <is>
          <t>Kab. Brebes</t>
        </is>
      </c>
      <c r="C85" t="inlineStr">
        <is>
          <t>081327767077</t>
        </is>
      </c>
      <c r="D85" t="inlineStr">
        <is>
          <t>rafizajaya1@gmail.com</t>
        </is>
      </c>
      <c r="E85" t="inlineStr">
        <is>
          <t>https://lpjk.pu.go.id/search-badan-usaha-detail/bGI1cDNJa0VsL1FpQ0t3d1hMTlVvQT09</t>
        </is>
      </c>
      <c r="F85" t="n">
        <v>1</v>
      </c>
      <c r="G85" t="inlineStr">
        <is>
          <t>BS001</t>
        </is>
      </c>
      <c r="H85" t="inlineStr">
        <is>
          <t>31 Mei 2023</t>
        </is>
      </c>
      <c r="I85" s="2" t="n">
        <v>46224</v>
      </c>
      <c r="J85" t="inlineStr">
        <is>
          <t>Disetujui</t>
        </is>
      </c>
      <c r="K85" t="n">
        <v>60</v>
      </c>
      <c r="L85" t="inlineStr">
        <is>
          <t>21 Juli 2026</t>
        </is>
      </c>
      <c r="M85" t="inlineStr">
        <is>
          <t>Konstruksi Bangunan Sipil Jalan</t>
        </is>
      </c>
      <c r="N85" t="inlineStr">
        <is>
          <t>K</t>
        </is>
      </c>
      <c r="O85" t="inlineStr">
        <is>
          <t>20230721</t>
        </is>
      </c>
      <c r="P85" t="inlineStr">
        <is>
          <t>Jawa Tengah</t>
        </is>
      </c>
      <c r="Q85" s="3">
        <f>HYPERLINK("https://wa.me/6281327767077?text=*[PENGINGAT MASA BERLAKU SBU RAFIZAN JAYA]*%0A%0AYth. Pimpinan RAFIZAN JAYA,%0AMohon izin menginformasikan status SBU Anda di sistem LPJK:%0A%0A📄 SBU: BS001%0A📅 Expired: 21 Juli 2026 (60 Hari Lagi)%0A%0AKami tim PT. ESDEA Assistance Management siap men-support proses perpanjangan segera.", "Hubungi")</f>
        <v/>
      </c>
    </row>
    <row r="86">
      <c r="A86" t="inlineStr">
        <is>
          <t>RAHMA</t>
        </is>
      </c>
      <c r="B86" t="inlineStr">
        <is>
          <t>Kab. Bojonegoro</t>
        </is>
      </c>
      <c r="C86" t="inlineStr">
        <is>
          <t>085204925091</t>
        </is>
      </c>
      <c r="D86" t="inlineStr">
        <is>
          <t>cvrahma28@gmail.com</t>
        </is>
      </c>
      <c r="E86" t="inlineStr">
        <is>
          <t>https://lpjk.pu.go.id/search-badan-usaha-detail/bXdkcVlVblU3RUtacVprTTVaZFpWUT09</t>
        </is>
      </c>
      <c r="F86" t="n">
        <v>2</v>
      </c>
      <c r="G86" t="inlineStr">
        <is>
          <t>BG006, BG009</t>
        </is>
      </c>
      <c r="H86" t="inlineStr">
        <is>
          <t>11 Desember 2007</t>
        </is>
      </c>
      <c r="I86" s="2" t="n">
        <v>46224</v>
      </c>
      <c r="J86" t="inlineStr">
        <is>
          <t>Disetujui</t>
        </is>
      </c>
      <c r="K86" t="n">
        <v>60</v>
      </c>
      <c r="L86" t="inlineStr">
        <is>
          <t>21 Juli 2026</t>
        </is>
      </c>
      <c r="M86" t="inlineStr">
        <is>
          <t>Konstruksi Gedung Lainnya, Konstruksi Gedung Pendidikan</t>
        </is>
      </c>
      <c r="N86" t="inlineStr">
        <is>
          <t>K</t>
        </is>
      </c>
      <c r="O86" t="inlineStr">
        <is>
          <t>20230718, 20230720</t>
        </is>
      </c>
      <c r="P86" t="inlineStr">
        <is>
          <t>Jawa Timur</t>
        </is>
      </c>
      <c r="Q86" s="3">
        <f>HYPERLINK("https://wa.me/6285204925091?text=*[PENGINGAT MASA BERLAKU SBU RAHMA]*%0A%0AYth. Pimpinan RAHMA,%0AMohon izin menginformasikan status SBU Anda di sistem LPJK:%0A%0A📄 SBU: BG006, BG009%0A📅 Expired: 21 Juli 2026 (60 Hari Lagi)%0A%0AKami tim PT. ESDEA Assistance Management siap men-support proses perpanjangan segera.", "Hubungi")</f>
        <v/>
      </c>
    </row>
    <row r="87">
      <c r="A87" t="inlineStr">
        <is>
          <t>RAIHAN ADEPUTRA</t>
        </is>
      </c>
      <c r="B87" t="inlineStr">
        <is>
          <t>Kab. Kotawaringin Barat</t>
        </is>
      </c>
      <c r="C87" t="inlineStr">
        <is>
          <t>08125164082</t>
        </is>
      </c>
      <c r="D87" t="inlineStr">
        <is>
          <t>cv.raihanadeputra@gmail.com</t>
        </is>
      </c>
      <c r="E87" t="inlineStr">
        <is>
          <t>https://lpjk.pu.go.id/search-badan-usaha-detail/ODl5YUtpcVlJMTVDL0FkdlNWY3VDdz09</t>
        </is>
      </c>
      <c r="F87" t="n">
        <v>2</v>
      </c>
      <c r="G87" t="inlineStr">
        <is>
          <t>BG005</t>
        </is>
      </c>
      <c r="H87" t="inlineStr">
        <is>
          <t>6 Januari 2021</t>
        </is>
      </c>
      <c r="I87" s="2" t="n">
        <v>46224</v>
      </c>
      <c r="J87" t="inlineStr">
        <is>
          <t>Disetujui</t>
        </is>
      </c>
      <c r="K87" t="n">
        <v>60</v>
      </c>
      <c r="L87" t="inlineStr">
        <is>
          <t>21 Juli 2026</t>
        </is>
      </c>
      <c r="M87" t="inlineStr">
        <is>
          <t>Konstruksi Gedung Kesehatan</t>
        </is>
      </c>
      <c r="N87" t="inlineStr">
        <is>
          <t>K</t>
        </is>
      </c>
      <c r="O87" t="inlineStr">
        <is>
          <t>20230718</t>
        </is>
      </c>
      <c r="P87" t="inlineStr">
        <is>
          <t>Kalimantan Tengah</t>
        </is>
      </c>
      <c r="Q87" s="3">
        <f>HYPERLINK("https://wa.me/628125164082?text=*[PENGINGAT MASA BERLAKU SBU RAIHAN ADEPUTRA]*%0A%0AYth. Pimpinan RAIHAN ADEPUTRA,%0AMohon izin menginformasikan status SBU Anda di sistem LPJK:%0A%0A📄 SBU: BG005%0A📅 Expired: 21 Juli 2026 (60 Hari Lagi)%0A%0AKami tim PT. ESDEA Assistance Management siap men-support proses perpanjangan segera.", "Hubungi")</f>
        <v/>
      </c>
    </row>
    <row r="88">
      <c r="A88" t="inlineStr">
        <is>
          <t>RIDHO KARYA</t>
        </is>
      </c>
      <c r="B88" t="inlineStr">
        <is>
          <t>Kab. Sampang</t>
        </is>
      </c>
      <c r="C88" t="inlineStr">
        <is>
          <t>081703288748</t>
        </is>
      </c>
      <c r="D88" t="inlineStr">
        <is>
          <t>ridho_karya@yahoo.co.id</t>
        </is>
      </c>
      <c r="E88" t="inlineStr">
        <is>
          <t>https://lpjk.pu.go.id/search-badan-usaha-detail/cEpzU21KZ2JoUFdyMXhFUWRIc1U5dz09</t>
        </is>
      </c>
      <c r="F88" t="n">
        <v>1</v>
      </c>
      <c r="G88" t="inlineStr">
        <is>
          <t>BS011</t>
        </is>
      </c>
      <c r="H88" t="inlineStr">
        <is>
          <t>7 Januari 2008</t>
        </is>
      </c>
      <c r="I88" s="2" t="n">
        <v>46224</v>
      </c>
      <c r="J88" t="inlineStr">
        <is>
          <t>Disetujui</t>
        </is>
      </c>
      <c r="K88" t="n">
        <v>60</v>
      </c>
      <c r="L88" t="inlineStr">
        <is>
          <t>21 Juli 2026</t>
        </is>
      </c>
      <c r="M88" t="inlineStr">
        <is>
          <t>Konstruksi Bangunan Pelabuhan Bukan Perikanan</t>
        </is>
      </c>
      <c r="N88" t="inlineStr">
        <is>
          <t>K</t>
        </is>
      </c>
      <c r="O88" t="inlineStr">
        <is>
          <t>20230721</t>
        </is>
      </c>
      <c r="P88" t="inlineStr">
        <is>
          <t>Jawa Timur</t>
        </is>
      </c>
      <c r="Q88" s="3">
        <f>HYPERLINK("https://wa.me/6281703288748?text=*[PENGINGAT MASA BERLAKU SBU RIDHO KARYA]*%0A%0AYth. Pimpinan RIDHO KARYA,%0AMohon izin menginformasikan status SBU Anda di sistem LPJK:%0A%0A📄 SBU: BS011%0A📅 Expired: 21 Juli 2026 (60 Hari Lagi)%0A%0AKami tim PT. ESDEA Assistance Management siap men-support proses perpanjangan segera.", "Hubungi")</f>
        <v/>
      </c>
    </row>
    <row r="89">
      <c r="A89" t="inlineStr">
        <is>
          <t>RISASA RAHMAH</t>
        </is>
      </c>
      <c r="B89" t="inlineStr">
        <is>
          <t>Kab. Tangerang</t>
        </is>
      </c>
      <c r="C89" t="inlineStr">
        <is>
          <t>081299329595</t>
        </is>
      </c>
      <c r="D89" t="inlineStr">
        <is>
          <t>cvrisasarahmah@gmail.com</t>
        </is>
      </c>
      <c r="E89" t="inlineStr">
        <is>
          <t>https://lpjk.pu.go.id/search-badan-usaha-detail/S3phWHFFQ2VOL1lUTWVUbERnVWc0UT09</t>
        </is>
      </c>
      <c r="F89" t="n">
        <v>2</v>
      </c>
      <c r="G89" t="inlineStr">
        <is>
          <t>BG004, BG009</t>
        </is>
      </c>
      <c r="H89" t="inlineStr">
        <is>
          <t>9 Juni 2003</t>
        </is>
      </c>
      <c r="I89" s="2" t="n">
        <v>46224</v>
      </c>
      <c r="J89" t="inlineStr">
        <is>
          <t>Disetujui</t>
        </is>
      </c>
      <c r="K89" t="n">
        <v>60</v>
      </c>
      <c r="L89" t="inlineStr">
        <is>
          <t>21 Juli 2026</t>
        </is>
      </c>
      <c r="M89" t="inlineStr">
        <is>
          <t>Konstruksi Gedung Lainnya, Konstruksi Gedung Perbelanjaan</t>
        </is>
      </c>
      <c r="N89" t="inlineStr">
        <is>
          <t>K</t>
        </is>
      </c>
      <c r="O89" t="inlineStr">
        <is>
          <t>20230718, 20230719</t>
        </is>
      </c>
      <c r="P89" t="inlineStr">
        <is>
          <t>Banten</t>
        </is>
      </c>
      <c r="Q89" s="3">
        <f>HYPERLINK("https://wa.me/6281299329595?text=*[PENGINGAT MASA BERLAKU SBU RISASA RAHMAH]*%0A%0AYth. Pimpinan RISASA RAHMAH,%0AMohon izin menginformasikan status SBU Anda di sistem LPJK:%0A%0A📄 SBU: BG004, BG009%0A📅 Expired: 21 Juli 2026 (60 Hari Lagi)%0A%0AKami tim PT. ESDEA Assistance Management siap men-support proses perpanjangan segera.", "Hubungi")</f>
        <v/>
      </c>
    </row>
    <row r="90">
      <c r="A90" t="inlineStr">
        <is>
          <t>RIYADI</t>
        </is>
      </c>
      <c r="B90" t="inlineStr">
        <is>
          <t>Kota Bandar Lampung</t>
        </is>
      </c>
      <c r="C90" t="inlineStr">
        <is>
          <t>088267093793</t>
        </is>
      </c>
      <c r="D90" t="inlineStr">
        <is>
          <t>riyadicv2004@gmail.com</t>
        </is>
      </c>
      <c r="E90" t="inlineStr">
        <is>
          <t>https://lpjk.pu.go.id/search-badan-usaha-detail/VUZ2SGNEblJQTkJXU0FCTVBzQzRrZz09</t>
        </is>
      </c>
      <c r="F90" t="n">
        <v>1</v>
      </c>
      <c r="G90" t="inlineStr">
        <is>
          <t>BS001</t>
        </is>
      </c>
      <c r="H90" t="inlineStr">
        <is>
          <t>29 Maret 1986</t>
        </is>
      </c>
      <c r="I90" s="2" t="n">
        <v>46224</v>
      </c>
      <c r="J90" t="inlineStr">
        <is>
          <t>Disetujui</t>
        </is>
      </c>
      <c r="K90" t="n">
        <v>60</v>
      </c>
      <c r="L90" t="inlineStr">
        <is>
          <t>21 Juli 2026</t>
        </is>
      </c>
      <c r="M90" t="inlineStr">
        <is>
          <t>Konstruksi Bangunan Sipil Jalan</t>
        </is>
      </c>
      <c r="N90" t="inlineStr">
        <is>
          <t>K</t>
        </is>
      </c>
      <c r="O90" t="inlineStr">
        <is>
          <t>20230719</t>
        </is>
      </c>
      <c r="P90" t="inlineStr">
        <is>
          <t>Lampung</t>
        </is>
      </c>
      <c r="Q90" s="3">
        <f>HYPERLINK("https://wa.me/6288267093793?text=*[PENGINGAT MASA BERLAKU SBU RIYADI]*%0A%0AYth. Pimpinan RIYADI,%0AMohon izin menginformasikan status SBU Anda di sistem LPJK:%0A%0A📄 SBU: BS001%0A📅 Expired: 21 Juli 2026 (60 Hari Lagi)%0A%0AKami tim PT. ESDEA Assistance Management siap men-support proses perpanjangan segera.", "Hubungi")</f>
        <v/>
      </c>
    </row>
    <row r="91">
      <c r="A91" t="inlineStr">
        <is>
          <t>RIZKI ANUGERAH ABADI</t>
        </is>
      </c>
      <c r="B91" t="inlineStr">
        <is>
          <t>Kota Surabaya</t>
        </is>
      </c>
      <c r="C91" t="inlineStr">
        <is>
          <t>03187851040</t>
        </is>
      </c>
      <c r="D91" t="inlineStr">
        <is>
          <t>ptrizkianugerahsby@gmail.com</t>
        </is>
      </c>
      <c r="E91" t="inlineStr">
        <is>
          <t>https://lpjk.pu.go.id/search-badan-usaha-detail/WUloQjhqMHV6bmN1dVg2b1NFZFpNdz09</t>
        </is>
      </c>
      <c r="F91" t="n">
        <v>3</v>
      </c>
      <c r="G91" t="inlineStr">
        <is>
          <t>BG002, BG003, BG006</t>
        </is>
      </c>
      <c r="H91" t="inlineStr">
        <is>
          <t>13 Maret 2007</t>
        </is>
      </c>
      <c r="I91" s="2" t="n">
        <v>46224</v>
      </c>
      <c r="J91" t="inlineStr">
        <is>
          <t>Disetujui</t>
        </is>
      </c>
      <c r="K91" t="n">
        <v>60</v>
      </c>
      <c r="L91" t="inlineStr">
        <is>
          <t>21 Juli 2026</t>
        </is>
      </c>
      <c r="M91" t="inlineStr">
        <is>
          <t>Konstruksi Gedung Industri, Konstruksi Gedung Pendidikan, Konstruksi Gedung Perkantoran</t>
        </is>
      </c>
      <c r="N91" t="inlineStr">
        <is>
          <t>K</t>
        </is>
      </c>
      <c r="O91" t="inlineStr">
        <is>
          <t>20230713</t>
        </is>
      </c>
      <c r="P91" t="inlineStr">
        <is>
          <t>Jawa Timur</t>
        </is>
      </c>
      <c r="Q91" s="3">
        <f>HYPERLINK("https://wa.me/623187851040?text=*[PENGINGAT MASA BERLAKU SBU RIZKI ANUGERAH ABADI]*%0A%0AYth. Pimpinan RIZKI ANUGERAH ABADI,%0AMohon izin menginformasikan status SBU Anda di sistem LPJK:%0A%0A📄 SBU: BG002, BG003, BG006%0A📅 Expired: 21 Juli 2026 (60 Hari Lagi)%0A%0AKami tim PT. ESDEA Assistance Management siap men-support proses perpanjangan segera.", "Hubungi")</f>
        <v/>
      </c>
    </row>
    <row r="92">
      <c r="A92" t="inlineStr">
        <is>
          <t>RIZQI BADDAR</t>
        </is>
      </c>
      <c r="B92" t="inlineStr">
        <is>
          <t>Kab. Indramayu</t>
        </is>
      </c>
      <c r="C92" t="inlineStr">
        <is>
          <t>02347122758</t>
        </is>
      </c>
      <c r="D92" t="inlineStr">
        <is>
          <t>cv.rizqibaddar26@gmail.com</t>
        </is>
      </c>
      <c r="E92" t="inlineStr">
        <is>
          <t>https://lpjk.pu.go.id/search-badan-usaha-detail/NFN2YkpMSGk3TlBaU1ZSSGdHSGUxZz09</t>
        </is>
      </c>
      <c r="F92" t="n">
        <v>1</v>
      </c>
      <c r="G92" t="inlineStr">
        <is>
          <t>BG002</t>
        </is>
      </c>
      <c r="H92" t="inlineStr">
        <is>
          <t>24 Januari 2020</t>
        </is>
      </c>
      <c r="I92" s="2" t="n">
        <v>46224</v>
      </c>
      <c r="J92" t="inlineStr">
        <is>
          <t>Disetujui</t>
        </is>
      </c>
      <c r="K92" t="n">
        <v>60</v>
      </c>
      <c r="L92" t="inlineStr">
        <is>
          <t>21 Juli 2026</t>
        </is>
      </c>
      <c r="M92" t="inlineStr">
        <is>
          <t>Konstruksi Gedung Perkantoran</t>
        </is>
      </c>
      <c r="N92" t="inlineStr">
        <is>
          <t>K</t>
        </is>
      </c>
      <c r="O92" t="inlineStr">
        <is>
          <t>20230718</t>
        </is>
      </c>
      <c r="P92" t="inlineStr">
        <is>
          <t>Jawa Barat</t>
        </is>
      </c>
      <c r="Q92" s="3">
        <f>HYPERLINK("https://wa.me/622347122758?text=*[PENGINGAT MASA BERLAKU SBU RIZQI BADDAR]*%0A%0AYth. Pimpinan RIZQI BADDAR,%0AMohon izin menginformasikan status SBU Anda di sistem LPJK:%0A%0A📄 SBU: BG002%0A📅 Expired: 21 Juli 2026 (60 Hari Lagi)%0A%0AKami tim PT. ESDEA Assistance Management siap men-support proses perpanjangan segera.", "Hubungi")</f>
        <v/>
      </c>
    </row>
    <row r="93">
      <c r="A93" t="inlineStr">
        <is>
          <t>SAHAT PUTRA MANDIRI TEKNIK</t>
        </is>
      </c>
      <c r="B93" t="inlineStr">
        <is>
          <t>Kab. Pringsewu</t>
        </is>
      </c>
      <c r="C93" t="inlineStr">
        <is>
          <t>08127921263</t>
        </is>
      </c>
      <c r="D93" t="inlineStr">
        <is>
          <t>pt.sahat.putra.mandiri@gmail.com</t>
        </is>
      </c>
      <c r="E93" t="inlineStr">
        <is>
          <t>https://lpjk.pu.go.id/search-badan-usaha-detail/Umh5YjF5Uy9BOUkzWTluVDdqSmpFUT09</t>
        </is>
      </c>
      <c r="F93" t="n">
        <v>1</v>
      </c>
      <c r="G93" t="inlineStr">
        <is>
          <t>BG009</t>
        </is>
      </c>
      <c r="H93" t="inlineStr">
        <is>
          <t>6 Januari 2014</t>
        </is>
      </c>
      <c r="I93" s="2" t="n">
        <v>46224</v>
      </c>
      <c r="J93" t="inlineStr">
        <is>
          <t>Disetujui</t>
        </is>
      </c>
      <c r="K93" t="n">
        <v>60</v>
      </c>
      <c r="L93" t="inlineStr">
        <is>
          <t>21 Juli 2026</t>
        </is>
      </c>
      <c r="M93" t="inlineStr">
        <is>
          <t>Konstruksi Gedung Lainnya</t>
        </is>
      </c>
      <c r="N93" t="inlineStr">
        <is>
          <t>K</t>
        </is>
      </c>
      <c r="O93" t="inlineStr">
        <is>
          <t>20230719</t>
        </is>
      </c>
      <c r="P93" t="inlineStr">
        <is>
          <t>Lampung</t>
        </is>
      </c>
      <c r="Q93" s="3">
        <f>HYPERLINK("https://wa.me/628127921263?text=*[PENGINGAT MASA BERLAKU SBU SAHAT PUTRA MANDIRI TEKNIK]*%0A%0AYth. Pimpinan SAHAT PUTRA MANDIRI TEKNIK,%0AMohon izin menginformasikan status SBU Anda di sistem LPJK:%0A%0A📄 SBU: BG009%0A📅 Expired: 21 Juli 2026 (60 Hari Lagi)%0A%0AKami tim PT. ESDEA Assistance Management siap men-support proses perpanjangan segera.", "Hubungi")</f>
        <v/>
      </c>
    </row>
    <row r="94">
      <c r="A94" t="inlineStr">
        <is>
          <t>SARANA BANGUN ABADI</t>
        </is>
      </c>
      <c r="B94" t="inlineStr">
        <is>
          <t>Kota Surabaya</t>
        </is>
      </c>
      <c r="C94" t="inlineStr">
        <is>
          <t>03158253580</t>
        </is>
      </c>
      <c r="D94" t="inlineStr">
        <is>
          <t>saranabangunabadi@yahoo.com</t>
        </is>
      </c>
      <c r="E94" t="inlineStr">
        <is>
          <t>https://lpjk.pu.go.id/search-badan-usaha-detail/WDJ2Z0VPdEM1MGdLa2VPc05Md2hidz09</t>
        </is>
      </c>
      <c r="F94" t="n">
        <v>1</v>
      </c>
      <c r="G94" t="inlineStr">
        <is>
          <t>BG002</t>
        </is>
      </c>
      <c r="H94" t="inlineStr">
        <is>
          <t>22 Oktober 2014</t>
        </is>
      </c>
      <c r="I94" s="2" t="n">
        <v>46224</v>
      </c>
      <c r="J94" t="inlineStr">
        <is>
          <t>Disetujui</t>
        </is>
      </c>
      <c r="K94" t="n">
        <v>60</v>
      </c>
      <c r="L94" t="inlineStr">
        <is>
          <t>21 Juli 2026</t>
        </is>
      </c>
      <c r="M94" t="inlineStr">
        <is>
          <t>Konstruksi Gedung Perkantoran</t>
        </is>
      </c>
      <c r="N94" t="inlineStr">
        <is>
          <t>K</t>
        </is>
      </c>
      <c r="O94" t="inlineStr">
        <is>
          <t>20230714</t>
        </is>
      </c>
      <c r="P94" t="inlineStr">
        <is>
          <t>Jawa Timur</t>
        </is>
      </c>
      <c r="Q94" s="3">
        <f>HYPERLINK("https://wa.me/623158253580?text=*[PENGINGAT MASA BERLAKU SBU SARANA BANGUN ABADI]*%0A%0AYth. Pimpinan SARANA BANGUN ABADI,%0AMohon izin menginformasikan status SBU Anda di sistem LPJK:%0A%0A📄 SBU: BG002%0A📅 Expired: 21 Juli 2026 (60 Hari Lagi)%0A%0AKami tim PT. ESDEA Assistance Management siap men-support proses perpanjangan segera.", "Hubungi")</f>
        <v/>
      </c>
    </row>
    <row r="95">
      <c r="A95" t="inlineStr">
        <is>
          <t>SARANA PRATAMA</t>
        </is>
      </c>
      <c r="B95" t="inlineStr">
        <is>
          <t>Kota Banda Aceh</t>
        </is>
      </c>
      <c r="C95" t="inlineStr">
        <is>
          <t>085260933339</t>
        </is>
      </c>
      <c r="D95" t="inlineStr">
        <is>
          <t>cvsaranapratama@gmail.com</t>
        </is>
      </c>
      <c r="E95" t="inlineStr">
        <is>
          <t>https://lpjk.pu.go.id/search-badan-usaha-detail/a21PVlN5ekJCd2dodTl5SjU0VkZaUT09</t>
        </is>
      </c>
      <c r="F95" t="n">
        <v>1</v>
      </c>
      <c r="G95" t="inlineStr">
        <is>
          <t>PB009</t>
        </is>
      </c>
      <c r="H95" t="inlineStr">
        <is>
          <t>13 Februari 2017</t>
        </is>
      </c>
      <c r="I95" s="2" t="n">
        <v>46224</v>
      </c>
      <c r="J95" t="inlineStr">
        <is>
          <t>Pembekuan</t>
        </is>
      </c>
      <c r="K95" t="n">
        <v>60</v>
      </c>
      <c r="L95" t="inlineStr">
        <is>
          <t>21 Juli 2026</t>
        </is>
      </c>
      <c r="M95" t="inlineStr">
        <is>
          <t>Pembersihan dan Perapihan Bangunan Gedung dan/atau Bangunan Sipil</t>
        </is>
      </c>
      <c r="N95" t="inlineStr">
        <is>
          <t>Spesialis</t>
        </is>
      </c>
      <c r="O95" t="inlineStr">
        <is>
          <t>20230706</t>
        </is>
      </c>
      <c r="P95" t="inlineStr">
        <is>
          <t>Aceh</t>
        </is>
      </c>
      <c r="Q95" s="3">
        <f>HYPERLINK("https://wa.me/6285260933339?text=*[PENGINGAT MASA BERLAKU SBU SARANA PRATAMA]*%0A%0AYth. Pimpinan SARANA PRATAMA,%0AMohon izin menginformasikan status SBU Anda di sistem LPJK:%0A%0A📄 SBU: PB009%0A📅 Expired: 21 Juli 2026 (60 Hari Lagi)%0A%0AKami tim PT. ESDEA Assistance Management siap men-support proses perpanjangan segera.", "Hubungi")</f>
        <v/>
      </c>
    </row>
    <row r="96">
      <c r="A96" t="inlineStr">
        <is>
          <t>SARI BAHAGIA</t>
        </is>
      </c>
      <c r="B96" t="inlineStr">
        <is>
          <t>Kab. Jepara</t>
        </is>
      </c>
      <c r="C96" t="inlineStr">
        <is>
          <t>085326933523</t>
        </is>
      </c>
      <c r="D96" t="inlineStr">
        <is>
          <t>saribahagia@yahoo.co.id</t>
        </is>
      </c>
      <c r="E96" t="inlineStr">
        <is>
          <t>https://lpjk.pu.go.id/search-badan-usaha-detail/dExSSG9GeU43MEZRVDFKdHZmZkVwdz09</t>
        </is>
      </c>
      <c r="F96" t="n">
        <v>2</v>
      </c>
      <c r="G96" t="inlineStr">
        <is>
          <t>BS001, BS005</t>
        </is>
      </c>
      <c r="H96" t="inlineStr">
        <is>
          <t>6 Juni 2002</t>
        </is>
      </c>
      <c r="I96" s="2" t="n">
        <v>46224</v>
      </c>
      <c r="J96" t="inlineStr">
        <is>
          <t>Disetujui</t>
        </is>
      </c>
      <c r="K96" t="n">
        <v>60</v>
      </c>
      <c r="L96" t="inlineStr">
        <is>
          <t>21 Juli 2026</t>
        </is>
      </c>
      <c r="M96" t="inlineStr">
        <is>
          <t>Konstruksi Bangunan Sipil Jalan, Konstruksi Bangunan Sipil Pengolahan Air Bersih</t>
        </is>
      </c>
      <c r="N96" t="inlineStr">
        <is>
          <t>K</t>
        </is>
      </c>
      <c r="O96" t="inlineStr">
        <is>
          <t>20230720</t>
        </is>
      </c>
      <c r="P96" t="inlineStr">
        <is>
          <t>Jawa Tengah</t>
        </is>
      </c>
      <c r="Q96" s="3">
        <f>HYPERLINK("https://wa.me/6285326933523?text=*[PENGINGAT MASA BERLAKU SBU SARI BAHAGIA]*%0A%0AYth. Pimpinan SARI BAHAGIA,%0AMohon izin menginformasikan status SBU Anda di sistem LPJK:%0A%0A📄 SBU: BS001, BS005%0A📅 Expired: 21 Juli 2026 (60 Hari Lagi)%0A%0AKami tim PT. ESDEA Assistance Management siap men-support proses perpanjangan segera.", "Hubungi")</f>
        <v/>
      </c>
    </row>
    <row r="97">
      <c r="A97" t="inlineStr">
        <is>
          <t>SEJAHTERA BERSAMA MEGA RAYA</t>
        </is>
      </c>
      <c r="B97" t="inlineStr">
        <is>
          <t>Kab. Nganjuk</t>
        </is>
      </c>
      <c r="C97" t="inlineStr">
        <is>
          <t>081289929270</t>
        </is>
      </c>
      <c r="D97" t="inlineStr">
        <is>
          <t>sbmrcakep100@gmail.com</t>
        </is>
      </c>
      <c r="E97" t="inlineStr">
        <is>
          <t>https://lpjk.pu.go.id/search-badan-usaha-detail/c0x3R0ZyRzk2bWVpeGYyNW1pSHU4dz09</t>
        </is>
      </c>
      <c r="F97" t="n">
        <v>1</v>
      </c>
      <c r="G97" t="inlineStr">
        <is>
          <t>BS004</t>
        </is>
      </c>
      <c r="H97" t="inlineStr">
        <is>
          <t>11 Februari 2020</t>
        </is>
      </c>
      <c r="I97" s="2" t="n">
        <v>46224</v>
      </c>
      <c r="J97" t="inlineStr">
        <is>
          <t>Disetujui</t>
        </is>
      </c>
      <c r="K97" t="n">
        <v>60</v>
      </c>
      <c r="L97" t="inlineStr">
        <is>
          <t>21 Juli 2026</t>
        </is>
      </c>
      <c r="M97" t="inlineStr">
        <is>
          <t>Konstruksi Jaringan Irigasi dan Drainase</t>
        </is>
      </c>
      <c r="N97" t="inlineStr">
        <is>
          <t>K</t>
        </is>
      </c>
      <c r="O97" t="inlineStr">
        <is>
          <t>20230715</t>
        </is>
      </c>
      <c r="P97" t="inlineStr">
        <is>
          <t>Jawa Timur</t>
        </is>
      </c>
      <c r="Q97" s="3">
        <f>HYPERLINK("https://wa.me/6281289929270?text=*[PENGINGAT MASA BERLAKU SBU SEJAHTERA BERSAMA MEGA RAYA]*%0A%0AYth. Pimpinan SEJAHTERA BERSAMA MEGA RAYA,%0AMohon izin menginformasikan status SBU Anda di sistem LPJK:%0A%0A📄 SBU: BS004%0A📅 Expired: 21 Juli 2026 (60 Hari Lagi)%0A%0AKami tim PT. ESDEA Assistance Management siap men-support proses perpanjangan segera.", "Hubungi")</f>
        <v/>
      </c>
    </row>
    <row r="98">
      <c r="A98" t="inlineStr">
        <is>
          <t>SEJAHTERA UTAMA</t>
        </is>
      </c>
      <c r="B98" t="inlineStr">
        <is>
          <t>Kab. Samosir</t>
        </is>
      </c>
      <c r="C98" t="inlineStr">
        <is>
          <t>081375231348</t>
        </is>
      </c>
      <c r="D98" t="inlineStr">
        <is>
          <t>cvsejahterautama20@gmail.com</t>
        </is>
      </c>
      <c r="E98" t="inlineStr">
        <is>
          <t>https://lpjk.pu.go.id/search-badan-usaha-detail/WHA4UGpROHhTdk9VWFU3Wk95ZGNwdz09</t>
        </is>
      </c>
      <c r="F98" t="n">
        <v>1</v>
      </c>
      <c r="G98" t="inlineStr">
        <is>
          <t>BS001</t>
        </is>
      </c>
      <c r="H98" t="inlineStr">
        <is>
          <t>13 Januari 2011</t>
        </is>
      </c>
      <c r="I98" s="2" t="n">
        <v>46224</v>
      </c>
      <c r="J98" t="inlineStr">
        <is>
          <t>Disetujui</t>
        </is>
      </c>
      <c r="K98" t="n">
        <v>60</v>
      </c>
      <c r="L98" t="inlineStr">
        <is>
          <t>21 Juli 2026</t>
        </is>
      </c>
      <c r="M98" t="inlineStr">
        <is>
          <t>Konstruksi Bangunan Sipil Jalan</t>
        </is>
      </c>
      <c r="N98" t="inlineStr">
        <is>
          <t>K</t>
        </is>
      </c>
      <c r="O98" t="inlineStr">
        <is>
          <t>20230714</t>
        </is>
      </c>
      <c r="P98" t="inlineStr">
        <is>
          <t>Sumatera Utara</t>
        </is>
      </c>
      <c r="Q98" s="3">
        <f>HYPERLINK("https://wa.me/6281375231348?text=*[PENGINGAT MASA BERLAKU SBU SEJAHTERA UTAMA]*%0A%0AYth. Pimpinan SEJAHTERA UTAMA,%0AMohon izin menginformasikan status SBU Anda di sistem LPJK:%0A%0A📄 SBU: BS001%0A📅 Expired: 21 Juli 2026 (60 Hari Lagi)%0A%0AKami tim PT. ESDEA Assistance Management siap men-support proses perpanjangan segera.", "Hubungi")</f>
        <v/>
      </c>
    </row>
    <row r="99">
      <c r="A99" t="inlineStr">
        <is>
          <t>SERUMPUN SEBALAI SEJAHTERA</t>
        </is>
      </c>
      <c r="B99" t="inlineStr">
        <is>
          <t>Kota Pangkal Pinang</t>
        </is>
      </c>
      <c r="C99" t="inlineStr">
        <is>
          <t>082281068148</t>
        </is>
      </c>
      <c r="D99" t="inlineStr">
        <is>
          <t>cv.serumpunss@gmail.com</t>
        </is>
      </c>
      <c r="E99" t="inlineStr">
        <is>
          <t>https://lpjk.pu.go.id/search-badan-usaha-detail/NjljcTY4cHlnNGsvVkFWMzRqa040UT09</t>
        </is>
      </c>
      <c r="F99" t="n">
        <v>1</v>
      </c>
      <c r="G99" t="inlineStr">
        <is>
          <t>BS001</t>
        </is>
      </c>
      <c r="H99" t="inlineStr">
        <is>
          <t>22 Juni 2012</t>
        </is>
      </c>
      <c r="I99" s="2" t="n">
        <v>46224</v>
      </c>
      <c r="J99" t="inlineStr">
        <is>
          <t>Pencabutan</t>
        </is>
      </c>
      <c r="K99" t="n">
        <v>60</v>
      </c>
      <c r="L99" t="inlineStr">
        <is>
          <t>21 Juli 2026</t>
        </is>
      </c>
      <c r="M99" t="inlineStr">
        <is>
          <t>Konstruksi Bangunan Sipil Jalan</t>
        </is>
      </c>
      <c r="N99" t="inlineStr">
        <is>
          <t>K</t>
        </is>
      </c>
      <c r="O99" t="inlineStr">
        <is>
          <t>20230711</t>
        </is>
      </c>
      <c r="P99" t="inlineStr">
        <is>
          <t>Kepulauan Bangka Belitung</t>
        </is>
      </c>
      <c r="Q99" s="3">
        <f>HYPERLINK("https://wa.me/6282281068148?text=*[PENGINGAT MASA BERLAKU SBU SERUMPUN SEBALAI SEJAHTERA]*%0A%0AYth. Pimpinan SERUMPUN SEBALAI SEJAHTERA,%0AMohon izin menginformasikan status SBU Anda di sistem LPJK:%0A%0A📄 SBU: BS001%0A📅 Expired: 21 Juli 2026 (60 Hari Lagi)%0A%0AKami tim PT. ESDEA Assistance Management siap men-support proses perpanjangan segera.", "Hubungi")</f>
        <v/>
      </c>
    </row>
    <row r="100">
      <c r="A100" t="inlineStr">
        <is>
          <t>SHAFA</t>
        </is>
      </c>
      <c r="B100" t="inlineStr">
        <is>
          <t>Kab. Kediri</t>
        </is>
      </c>
      <c r="C100" t="inlineStr">
        <is>
          <t>085235319101</t>
        </is>
      </c>
      <c r="D100" t="inlineStr">
        <is>
          <t>shafakedirijatim10@gmail.com</t>
        </is>
      </c>
      <c r="E100" t="inlineStr">
        <is>
          <t>https://lpjk.pu.go.id/search-badan-usaha-detail/V2NRN28zeEtrZGlzeTQyNFZVcCtLZz09</t>
        </is>
      </c>
      <c r="F100" t="n">
        <v>5</v>
      </c>
      <c r="G100" t="inlineStr">
        <is>
          <t>BG002, BG004, BG005, BG006, BG009</t>
        </is>
      </c>
      <c r="H100" t="inlineStr">
        <is>
          <t>11 Mei 2015</t>
        </is>
      </c>
      <c r="I100" s="2" t="n">
        <v>46224</v>
      </c>
      <c r="J100" t="inlineStr">
        <is>
          <t>Disetujui</t>
        </is>
      </c>
      <c r="K100" t="n">
        <v>60</v>
      </c>
      <c r="L100" t="inlineStr">
        <is>
          <t>21 Juli 2026</t>
        </is>
      </c>
      <c r="M100" t="inlineStr">
        <is>
          <t>Konstruksi Gedung Kesehatan, Konstruksi Gedung Lainnya, Konstruksi Gedung Pendidikan, Konstruksi Gedung Perbelanjaan, Konstruksi Gedung Perkantoran</t>
        </is>
      </c>
      <c r="N100" t="inlineStr">
        <is>
          <t>K</t>
        </is>
      </c>
      <c r="O100" t="inlineStr">
        <is>
          <t>20230711, 20230717, 20230721</t>
        </is>
      </c>
      <c r="P100" t="inlineStr">
        <is>
          <t>Jawa Timur</t>
        </is>
      </c>
      <c r="Q100" s="3">
        <f>HYPERLINK("https://wa.me/6285235319101?text=*[PENGINGAT MASA BERLAKU SBU SHAFA]*%0A%0AYth. Pimpinan SHAFA,%0AMohon izin menginformasikan status SBU Anda di sistem LPJK:%0A%0A📄 SBU: BG002, BG004, BG005, BG006, BG009%0A📅 Expired: 21 Juli 2026 (60 Hari Lagi)%0A%0AKami tim PT. ESDEA Assistance Management siap men-support proses perpanjangan segera.", "Hubungi")</f>
        <v/>
      </c>
    </row>
    <row r="101">
      <c r="A101" t="inlineStr">
        <is>
          <t>SINAR BINTANG BERKAH</t>
        </is>
      </c>
      <c r="B101" t="inlineStr">
        <is>
          <t>Kota Pangkal Pinang</t>
        </is>
      </c>
      <c r="C101" t="inlineStr">
        <is>
          <t>085279299339</t>
        </is>
      </c>
      <c r="D101" t="inlineStr">
        <is>
          <t>cvsinarbintangberkah9@gmail.com</t>
        </is>
      </c>
      <c r="E101" t="inlineStr">
        <is>
          <t>https://lpjk.pu.go.id/search-badan-usaha-detail/RDMvbkNyRjNwNDRTOFVZSnRURThGZz09</t>
        </is>
      </c>
      <c r="F101" t="n">
        <v>1</v>
      </c>
      <c r="G101" t="inlineStr">
        <is>
          <t>BG009</t>
        </is>
      </c>
      <c r="H101" t="inlineStr">
        <is>
          <t>17 Februari 2023</t>
        </is>
      </c>
      <c r="I101" s="2" t="n">
        <v>46224</v>
      </c>
      <c r="J101" t="inlineStr">
        <is>
          <t>Disetujui</t>
        </is>
      </c>
      <c r="K101" t="n">
        <v>60</v>
      </c>
      <c r="L101" t="inlineStr">
        <is>
          <t>21 Juli 2026</t>
        </is>
      </c>
      <c r="M101" t="inlineStr">
        <is>
          <t>Konstruksi Gedung Lainnya</t>
        </is>
      </c>
      <c r="N101" t="inlineStr">
        <is>
          <t>K</t>
        </is>
      </c>
      <c r="O101" t="inlineStr">
        <is>
          <t>20230714</t>
        </is>
      </c>
      <c r="P101" t="inlineStr">
        <is>
          <t>Kepulauan Bangka Belitung</t>
        </is>
      </c>
      <c r="Q101" s="3">
        <f>HYPERLINK("https://wa.me/6285279299339?text=*[PENGINGAT MASA BERLAKU SBU SINAR BINTANG BERKAH]*%0A%0AYth. Pimpinan SINAR BINTANG BERKAH,%0AMohon izin menginformasikan status SBU Anda di sistem LPJK:%0A%0A📄 SBU: BG009%0A📅 Expired: 21 Juli 2026 (60 Hari Lagi)%0A%0AKami tim PT. ESDEA Assistance Management siap men-support proses perpanjangan segera.", "Hubungi")</f>
        <v/>
      </c>
    </row>
    <row r="102">
      <c r="A102" t="inlineStr">
        <is>
          <t>SINAR JAYA ABADI ACC</t>
        </is>
      </c>
      <c r="B102" t="inlineStr">
        <is>
          <t>Kota Makassar</t>
        </is>
      </c>
      <c r="C102" t="inlineStr">
        <is>
          <t>082189053500</t>
        </is>
      </c>
      <c r="D102" t="inlineStr">
        <is>
          <t>sjaaccpt@gmail.com</t>
        </is>
      </c>
      <c r="E102" t="inlineStr">
        <is>
          <t>https://lpjk.pu.go.id/search-badan-usaha-detail/VWJPNldrdFhsWjhsSmd3aVp2L2x1UT09</t>
        </is>
      </c>
      <c r="F102" t="n">
        <v>1</v>
      </c>
      <c r="G102" t="inlineStr">
        <is>
          <t>BS004</t>
        </is>
      </c>
      <c r="H102" t="inlineStr">
        <is>
          <t>23 Maret 2007</t>
        </is>
      </c>
      <c r="I102" s="2" t="n">
        <v>46224</v>
      </c>
      <c r="J102" t="inlineStr">
        <is>
          <t>Pencabutan</t>
        </is>
      </c>
      <c r="K102" t="n">
        <v>60</v>
      </c>
      <c r="L102" t="inlineStr">
        <is>
          <t>21 Juli 2026</t>
        </is>
      </c>
      <c r="M102" t="inlineStr">
        <is>
          <t>Konstruksi Jaringan Irigasi dan Drainase</t>
        </is>
      </c>
      <c r="N102" t="inlineStr">
        <is>
          <t>M</t>
        </is>
      </c>
      <c r="O102" t="inlineStr">
        <is>
          <t>20230607</t>
        </is>
      </c>
      <c r="P102" t="inlineStr">
        <is>
          <t>Sulawesi Selatan</t>
        </is>
      </c>
      <c r="Q102" s="3">
        <f>HYPERLINK("https://wa.me/6282189053500?text=*[PENGINGAT MASA BERLAKU SBU SINAR JAYA ABADI ACC]*%0A%0AYth. Pimpinan SINAR JAYA ABADI ACC,%0AMohon izin menginformasikan status SBU Anda di sistem LPJK:%0A%0A📄 SBU: BS004%0A📅 Expired: 21 Juli 2026 (60 Hari Lagi)%0A%0AKami tim PT. ESDEA Assistance Management siap men-support proses perpanjangan segera.", "Hubungi")</f>
        <v/>
      </c>
    </row>
    <row r="103">
      <c r="A103" t="inlineStr">
        <is>
          <t>SRIKANDI ELOK</t>
        </is>
      </c>
      <c r="B103" t="inlineStr">
        <is>
          <t>Kab. Trenggalek</t>
        </is>
      </c>
      <c r="C103" t="inlineStr">
        <is>
          <t>082257971909</t>
        </is>
      </c>
      <c r="D103" t="inlineStr">
        <is>
          <t>cv.srikandielok@gmail.com</t>
        </is>
      </c>
      <c r="E103" t="inlineStr">
        <is>
          <t>https://lpjk.pu.go.id/search-badan-usaha-detail/TUxVVEc1eXBuSUZVRkVmOWUreFpBUT09</t>
        </is>
      </c>
      <c r="F103" t="n">
        <v>1</v>
      </c>
      <c r="G103" t="inlineStr">
        <is>
          <t>BG002</t>
        </is>
      </c>
      <c r="H103" t="inlineStr">
        <is>
          <t>23 November 2004</t>
        </is>
      </c>
      <c r="I103" s="2" t="n">
        <v>46224</v>
      </c>
      <c r="J103" t="inlineStr">
        <is>
          <t>Disetujui</t>
        </is>
      </c>
      <c r="K103" t="n">
        <v>60</v>
      </c>
      <c r="L103" t="inlineStr">
        <is>
          <t>21 Juli 2026</t>
        </is>
      </c>
      <c r="M103" t="inlineStr">
        <is>
          <t>Konstruksi Gedung Perkantoran</t>
        </is>
      </c>
      <c r="N103" t="inlineStr">
        <is>
          <t>K</t>
        </is>
      </c>
      <c r="O103" t="inlineStr">
        <is>
          <t>20230620</t>
        </is>
      </c>
      <c r="P103" t="inlineStr">
        <is>
          <t>Jawa Timur</t>
        </is>
      </c>
      <c r="Q103" s="3">
        <f>HYPERLINK("https://wa.me/6282257971909?text=*[PENGINGAT MASA BERLAKU SBU SRIKANDI ELOK]*%0A%0AYth. Pimpinan SRIKANDI ELOK,%0AMohon izin menginformasikan status SBU Anda di sistem LPJK:%0A%0A📄 SBU: BG002%0A📅 Expired: 21 Juli 2026 (60 Hari Lagi)%0A%0AKami tim PT. ESDEA Assistance Management siap men-support proses perpanjangan segera.", "Hubungi")</f>
        <v/>
      </c>
    </row>
    <row r="104">
      <c r="A104" t="inlineStr">
        <is>
          <t>SWARNA DWIPA SENTOSA</t>
        </is>
      </c>
      <c r="B104" t="inlineStr">
        <is>
          <t>Kab. Temanggung</t>
        </is>
      </c>
      <c r="C104" t="inlineStr">
        <is>
          <t>081391442008</t>
        </is>
      </c>
      <c r="D104" t="inlineStr">
        <is>
          <t>cv.swarnadwipasentosatemanggung@yahoo.co.id</t>
        </is>
      </c>
      <c r="E104" t="inlineStr">
        <is>
          <t>https://lpjk.pu.go.id/search-badan-usaha-detail/YmtXSzlEVzJqS01mNnFoaDhQNEtudz09</t>
        </is>
      </c>
      <c r="F104" t="n">
        <v>5</v>
      </c>
      <c r="G104" t="inlineStr">
        <is>
          <t>BG002, BG005, BG006, BS001, BS010</t>
        </is>
      </c>
      <c r="H104" t="inlineStr">
        <is>
          <t>6 Desember 2007</t>
        </is>
      </c>
      <c r="I104" s="2" t="n">
        <v>46224</v>
      </c>
      <c r="J104" t="inlineStr">
        <is>
          <t>Disetujui</t>
        </is>
      </c>
      <c r="K104" t="n">
        <v>60</v>
      </c>
      <c r="L104" t="inlineStr">
        <is>
          <t>21 Juli 2026</t>
        </is>
      </c>
      <c r="M104" t="inlineStr">
        <is>
          <t>Konstruksi Bangunan Prasarana Sumber Daya Air, Konstruksi Bangunan Sipil Jalan, Konstruksi Gedung Kesehatan, Konstruksi Gedung Pendidikan, Konstruksi Gedung Perkantoran</t>
        </is>
      </c>
      <c r="N104" t="inlineStr">
        <is>
          <t>K</t>
        </is>
      </c>
      <c r="O104" t="inlineStr">
        <is>
          <t>20230624, 20230721</t>
        </is>
      </c>
      <c r="P104" t="inlineStr">
        <is>
          <t>Jawa Tengah</t>
        </is>
      </c>
      <c r="Q104" s="3">
        <f>HYPERLINK("https://wa.me/6281391442008?text=*[PENGINGAT MASA BERLAKU SBU SWARNA DWIPA SENTOSA]*%0A%0AYth. Pimpinan SWARNA DWIPA SENTOSA,%0AMohon izin menginformasikan status SBU Anda di sistem LPJK:%0A%0A📄 SBU: BG002, BG005, BG006, BS001, BS010%0A📅 Expired: 21 Juli 2026 (60 Hari Lagi)%0A%0AKami tim PT. ESDEA Assistance Management siap men-support proses perpanjangan segera.", "Hubungi")</f>
        <v/>
      </c>
    </row>
    <row r="105">
      <c r="A105" t="inlineStr">
        <is>
          <t>TALENTA KARYA KONSTRUKSI</t>
        </is>
      </c>
      <c r="B105" t="inlineStr">
        <is>
          <t>Kota Bengkulu</t>
        </is>
      </c>
      <c r="C105" t="inlineStr">
        <is>
          <t>089639655428</t>
        </is>
      </c>
      <c r="D105" t="inlineStr">
        <is>
          <t>cvtalentak@gmail.com</t>
        </is>
      </c>
      <c r="E105" t="inlineStr">
        <is>
          <t>https://lpjk.pu.go.id/search-badan-usaha-detail/OGN5Z1RnYmlWYUl3RFNmQVdid09nQT09</t>
        </is>
      </c>
      <c r="F105" t="n">
        <v>3</v>
      </c>
      <c r="G105" t="inlineStr">
        <is>
          <t>BG005, BG006, BG009</t>
        </is>
      </c>
      <c r="H105" t="inlineStr">
        <is>
          <t>31 Maret 2023</t>
        </is>
      </c>
      <c r="I105" s="2" t="n">
        <v>46224</v>
      </c>
      <c r="J105" t="inlineStr">
        <is>
          <t>Disetujui</t>
        </is>
      </c>
      <c r="K105" t="n">
        <v>60</v>
      </c>
      <c r="L105" t="inlineStr">
        <is>
          <t>21 Juli 2026</t>
        </is>
      </c>
      <c r="M105" t="inlineStr">
        <is>
          <t>Konstruksi Gedung Kesehatan, Konstruksi Gedung Lainnya, Konstruksi Gedung Pendidikan</t>
        </is>
      </c>
      <c r="N105" t="inlineStr">
        <is>
          <t>K</t>
        </is>
      </c>
      <c r="O105" t="inlineStr">
        <is>
          <t>20230721</t>
        </is>
      </c>
      <c r="P105" t="inlineStr">
        <is>
          <t>Bengkulu</t>
        </is>
      </c>
      <c r="Q105" s="3">
        <f>HYPERLINK("https://wa.me/6289639655428?text=*[PENGINGAT MASA BERLAKU SBU TALENTA KARYA KONSTRUKSI]*%0A%0AYth. Pimpinan TALENTA KARYA KONSTRUKSI,%0AMohon izin menginformasikan status SBU Anda di sistem LPJK:%0A%0A📄 SBU: BG005, BG006, BG009%0A📅 Expired: 21 Juli 2026 (60 Hari Lagi)%0A%0AKami tim PT. ESDEA Assistance Management siap men-support proses perpanjangan segera.", "Hubungi")</f>
        <v/>
      </c>
    </row>
    <row r="106">
      <c r="A106" t="inlineStr">
        <is>
          <t>TEGAR JAYA</t>
        </is>
      </c>
      <c r="B106" t="inlineStr">
        <is>
          <t>Kota Probolinggo</t>
        </is>
      </c>
      <c r="C106" t="inlineStr">
        <is>
          <t>082330108329</t>
        </is>
      </c>
      <c r="D106" t="inlineStr">
        <is>
          <t>tegarjayaprob@gmail.com</t>
        </is>
      </c>
      <c r="E106" t="inlineStr">
        <is>
          <t>https://lpjk.pu.go.id/search-badan-usaha-detail/a2lQQi9ocHNoQWQxZW00RW9QNHJpZkM1ODhIWm1nUU85SndZZy9BVExEZz0</t>
        </is>
      </c>
      <c r="F106" t="n">
        <v>1</v>
      </c>
      <c r="G106" t="inlineStr">
        <is>
          <t>BG002</t>
        </is>
      </c>
      <c r="H106" t="inlineStr">
        <is>
          <t>20 Maret 2024</t>
        </is>
      </c>
      <c r="I106" s="2" t="n">
        <v>46224</v>
      </c>
      <c r="J106" t="inlineStr">
        <is>
          <t>Disetujui</t>
        </is>
      </c>
      <c r="K106" t="n">
        <v>60</v>
      </c>
      <c r="L106" t="inlineStr">
        <is>
          <t>21 Juli 2026</t>
        </is>
      </c>
      <c r="M106" t="inlineStr">
        <is>
          <t>Konstruksi Gedung Perkantoran</t>
        </is>
      </c>
      <c r="N106" t="inlineStr">
        <is>
          <t>K</t>
        </is>
      </c>
      <c r="O106" t="inlineStr">
        <is>
          <t>20230719</t>
        </is>
      </c>
      <c r="P106" t="inlineStr">
        <is>
          <t>Jawa Timur</t>
        </is>
      </c>
      <c r="Q106" s="3">
        <f>HYPERLINK("https://wa.me/6282330108329?text=*[PENGINGAT MASA BERLAKU SBU TEGAR JAYA]*%0A%0AYth. Pimpinan TEGAR JAYA,%0AMohon izin menginformasikan status SBU Anda di sistem LPJK:%0A%0A📄 SBU: BG002%0A📅 Expired: 21 Juli 2026 (60 Hari Lagi)%0A%0AKami tim PT. ESDEA Assistance Management siap men-support proses perpanjangan segera.", "Hubungi")</f>
        <v/>
      </c>
    </row>
    <row r="107">
      <c r="A107" t="inlineStr">
        <is>
          <t>TEGAR ZORA KONSTRUKSI</t>
        </is>
      </c>
      <c r="B107" t="inlineStr">
        <is>
          <t>Kab. Semarang</t>
        </is>
      </c>
      <c r="C107" t="inlineStr">
        <is>
          <t>02983435027</t>
        </is>
      </c>
      <c r="D107" t="inlineStr">
        <is>
          <t>tegar.zora.konstruksi@gmail.com</t>
        </is>
      </c>
      <c r="E107" t="inlineStr">
        <is>
          <t>https://lpjk.pu.go.id/search-badan-usaha-detail/RVp1TVpkNWYrY3VYZ3gyZ25Ya1Bldz09</t>
        </is>
      </c>
      <c r="F107" t="n">
        <v>2</v>
      </c>
      <c r="G107" t="inlineStr">
        <is>
          <t>BG005, BG006</t>
        </is>
      </c>
      <c r="H107" t="inlineStr">
        <is>
          <t>24 September 2019</t>
        </is>
      </c>
      <c r="I107" s="2" t="n">
        <v>46224</v>
      </c>
      <c r="J107" t="inlineStr">
        <is>
          <t>Pencabutan</t>
        </is>
      </c>
      <c r="K107" t="n">
        <v>60</v>
      </c>
      <c r="L107" t="inlineStr">
        <is>
          <t>21 Juli 2026</t>
        </is>
      </c>
      <c r="M107" t="inlineStr">
        <is>
          <t>Konstruksi Gedung Kesehatan, Konstruksi Gedung Pendidikan</t>
        </is>
      </c>
      <c r="N107" t="inlineStr">
        <is>
          <t>M</t>
        </is>
      </c>
      <c r="O107" t="inlineStr">
        <is>
          <t>20230719</t>
        </is>
      </c>
      <c r="P107" t="inlineStr">
        <is>
          <t>Jawa Tengah</t>
        </is>
      </c>
      <c r="Q107" s="3">
        <f>HYPERLINK("https://wa.me/622983435027?text=*[PENGINGAT MASA BERLAKU SBU TEGAR ZORA KONSTRUKSI]*%0A%0AYth. Pimpinan TEGAR ZORA KONSTRUKSI,%0AMohon izin menginformasikan status SBU Anda di sistem LPJK:%0A%0A📄 SBU: BG005, BG006%0A📅 Expired: 21 Juli 2026 (60 Hari Lagi)%0A%0AKami tim PT. ESDEA Assistance Management siap men-support proses perpanjangan segera.", "Hubungi")</f>
        <v/>
      </c>
    </row>
    <row r="108">
      <c r="A108" t="inlineStr">
        <is>
          <t>TIRATANA</t>
        </is>
      </c>
      <c r="B108" t="inlineStr">
        <is>
          <t>Kab. Semarang</t>
        </is>
      </c>
      <c r="C108" t="inlineStr">
        <is>
          <t>081229727272</t>
        </is>
      </c>
      <c r="D108" t="inlineStr">
        <is>
          <t>pratomowibowo277@gmail.com</t>
        </is>
      </c>
      <c r="E108" t="inlineStr">
        <is>
          <t>https://lpjk.pu.go.id/search-badan-usaha-detail/V0lrdHhUOU9NazFzdHlvN0NZVWhsZz09</t>
        </is>
      </c>
      <c r="F108" t="n">
        <v>1</v>
      </c>
      <c r="G108" t="inlineStr">
        <is>
          <t>BG001</t>
        </is>
      </c>
      <c r="H108" t="inlineStr">
        <is>
          <t>31 Desember 2013</t>
        </is>
      </c>
      <c r="I108" s="2" t="n">
        <v>46224</v>
      </c>
      <c r="J108" t="inlineStr">
        <is>
          <t>Disetujui</t>
        </is>
      </c>
      <c r="K108" t="n">
        <v>60</v>
      </c>
      <c r="L108" t="inlineStr">
        <is>
          <t>21 Juli 2026</t>
        </is>
      </c>
      <c r="M108" t="inlineStr">
        <is>
          <t>Konstruksi Gedung Hunian</t>
        </is>
      </c>
      <c r="N108" t="inlineStr">
        <is>
          <t>K</t>
        </is>
      </c>
      <c r="O108" t="inlineStr">
        <is>
          <t>20221222</t>
        </is>
      </c>
      <c r="P108" t="inlineStr">
        <is>
          <t>Jawa Tengah</t>
        </is>
      </c>
      <c r="Q108" s="3">
        <f>HYPERLINK("https://wa.me/6281229727272?text=*[PENGINGAT MASA BERLAKU SBU TIRATANA]*%0A%0AYth. Pimpinan TIRATANA,%0AMohon izin menginformasikan status SBU Anda di sistem LPJK:%0A%0A📄 SBU: BG001%0A📅 Expired: 21 Juli 2026 (60 Hari Lagi)%0A%0AKami tim PT. ESDEA Assistance Management siap men-support proses perpanjangan segera.", "Hubungi")</f>
        <v/>
      </c>
    </row>
    <row r="109">
      <c r="A109" t="inlineStr">
        <is>
          <t>TRI MOUNT</t>
        </is>
      </c>
      <c r="B109" t="inlineStr">
        <is>
          <t>Kab. Pandeglang</t>
        </is>
      </c>
      <c r="C109" t="inlineStr">
        <is>
          <t>087782214505</t>
        </is>
      </c>
      <c r="D109" t="inlineStr">
        <is>
          <t>trimount12@gmail.com</t>
        </is>
      </c>
      <c r="E109" t="inlineStr">
        <is>
          <t>https://lpjk.pu.go.id/search-badan-usaha-detail/Z1pnb3pab3FKclRJUVE3eElvV01Cdz09</t>
        </is>
      </c>
      <c r="F109" t="n">
        <v>1</v>
      </c>
      <c r="G109" t="inlineStr">
        <is>
          <t>BS001</t>
        </is>
      </c>
      <c r="H109" t="inlineStr">
        <is>
          <t>1 Maret 2013</t>
        </is>
      </c>
      <c r="I109" s="2" t="n">
        <v>46224</v>
      </c>
      <c r="J109" t="inlineStr">
        <is>
          <t>Disetujui</t>
        </is>
      </c>
      <c r="K109" t="n">
        <v>60</v>
      </c>
      <c r="L109" t="inlineStr">
        <is>
          <t>21 Juli 2026</t>
        </is>
      </c>
      <c r="M109" t="inlineStr">
        <is>
          <t>Konstruksi Bangunan Sipil Jalan</t>
        </is>
      </c>
      <c r="N109" t="inlineStr">
        <is>
          <t>K</t>
        </is>
      </c>
      <c r="O109" t="inlineStr">
        <is>
          <t>20230720</t>
        </is>
      </c>
      <c r="P109" t="inlineStr">
        <is>
          <t>Banten</t>
        </is>
      </c>
      <c r="Q109" s="3">
        <f>HYPERLINK("https://wa.me/6287782214505?text=*[PENGINGAT MASA BERLAKU SBU TRI MOUNT]*%0A%0AYth. Pimpinan TRI MOUNT,%0AMohon izin menginformasikan status SBU Anda di sistem LPJK:%0A%0A📄 SBU: BS001%0A📅 Expired: 21 Juli 2026 (60 Hari Lagi)%0A%0AKami tim PT. ESDEA Assistance Management siap men-support proses perpanjangan segera.", "Hubungi")</f>
        <v/>
      </c>
    </row>
    <row r="110">
      <c r="A110" t="inlineStr">
        <is>
          <t>TRI PUTRA PRAKARSA</t>
        </is>
      </c>
      <c r="B110" t="inlineStr">
        <is>
          <t>Kab. Tanjung Jabung Barat</t>
        </is>
      </c>
      <c r="C110" t="inlineStr">
        <is>
          <t>085379362407</t>
        </is>
      </c>
      <c r="D110" t="inlineStr">
        <is>
          <t>triputraprakarsa@gmail.com</t>
        </is>
      </c>
      <c r="E110" t="inlineStr">
        <is>
          <t>https://lpjk.pu.go.id/search-badan-usaha-detail/SytSYWExWkYzM3JTeEhxR2I5cFpqZz09</t>
        </is>
      </c>
      <c r="F110" t="n">
        <v>2</v>
      </c>
      <c r="G110" t="inlineStr">
        <is>
          <t>BG008, BG009</t>
        </is>
      </c>
      <c r="H110" t="inlineStr">
        <is>
          <t>3 Juli 2023</t>
        </is>
      </c>
      <c r="I110" s="2" t="n">
        <v>46224</v>
      </c>
      <c r="J110" t="inlineStr">
        <is>
          <t>Disetujui</t>
        </is>
      </c>
      <c r="K110" t="n">
        <v>60</v>
      </c>
      <c r="L110" t="inlineStr">
        <is>
          <t>21 Juli 2026</t>
        </is>
      </c>
      <c r="M110" t="inlineStr">
        <is>
          <t>Konstruksi Gedung Lainnya, Konstruksi Gedung Tempat Hiburan dan Olahraga</t>
        </is>
      </c>
      <c r="N110" t="inlineStr">
        <is>
          <t>K</t>
        </is>
      </c>
      <c r="O110" t="inlineStr">
        <is>
          <t>20230721</t>
        </is>
      </c>
      <c r="P110" t="inlineStr">
        <is>
          <t>Jambi</t>
        </is>
      </c>
      <c r="Q110" s="3">
        <f>HYPERLINK("https://wa.me/6285379362407?text=*[PENGINGAT MASA BERLAKU SBU TRI PUTRA PRAKARSA]*%0A%0AYth. Pimpinan TRI PUTRA PRAKARSA,%0AMohon izin menginformasikan status SBU Anda di sistem LPJK:%0A%0A📄 SBU: BG008, BG009%0A📅 Expired: 21 Juli 2026 (60 Hari Lagi)%0A%0AKami tim PT. ESDEA Assistance Management siap men-support proses perpanjangan segera.", "Hubungi")</f>
        <v/>
      </c>
    </row>
    <row r="111">
      <c r="A111" t="inlineStr">
        <is>
          <t>WAHYU UTAMA JAYA</t>
        </is>
      </c>
      <c r="B111" t="inlineStr">
        <is>
          <t>Kota Dumai</t>
        </is>
      </c>
      <c r="C111" t="inlineStr">
        <is>
          <t>082386054102</t>
        </is>
      </c>
      <c r="D111" t="inlineStr">
        <is>
          <t>wahyuutamajaya@gmail.com</t>
        </is>
      </c>
      <c r="E111" t="inlineStr">
        <is>
          <t>https://lpjk.pu.go.id/search-badan-usaha-detail/cFpZblJ2aU9aL0FDSExHMkVtbmlJZz09</t>
        </is>
      </c>
      <c r="F111" t="n">
        <v>1</v>
      </c>
      <c r="G111" t="inlineStr">
        <is>
          <t>BG006</t>
        </is>
      </c>
      <c r="H111" t="inlineStr">
        <is>
          <t>22 April 2020</t>
        </is>
      </c>
      <c r="I111" s="2" t="n">
        <v>46224</v>
      </c>
      <c r="J111" t="inlineStr">
        <is>
          <t>Pencabutan</t>
        </is>
      </c>
      <c r="K111" t="n">
        <v>60</v>
      </c>
      <c r="L111" t="inlineStr">
        <is>
          <t>21 Juli 2026</t>
        </is>
      </c>
      <c r="M111" t="inlineStr">
        <is>
          <t>Konstruksi Gedung Pendidikan</t>
        </is>
      </c>
      <c r="N111" t="inlineStr">
        <is>
          <t>K</t>
        </is>
      </c>
      <c r="O111" t="inlineStr">
        <is>
          <t>20230701</t>
        </is>
      </c>
      <c r="P111" t="inlineStr">
        <is>
          <t>Riau</t>
        </is>
      </c>
      <c r="Q111" s="3">
        <f>HYPERLINK("https://wa.me/6282386054102?text=*[PENGINGAT MASA BERLAKU SBU WAHYU UTAMA JAYA]*%0A%0AYth. Pimpinan WAHYU UTAMA JAYA,%0AMohon izin menginformasikan status SBU Anda di sistem LPJK:%0A%0A📄 SBU: BG006%0A📅 Expired: 21 Juli 2026 (60 Hari Lagi)%0A%0AKami tim PT. ESDEA Assistance Management siap men-support proses perpanjangan segera.", "Hubungi")</f>
        <v/>
      </c>
    </row>
    <row r="112">
      <c r="A112" t="inlineStr">
        <is>
          <t>WIJAYA</t>
        </is>
      </c>
      <c r="B112" t="inlineStr">
        <is>
          <t>Kab. Bangkalan</t>
        </is>
      </c>
      <c r="C112" t="inlineStr">
        <is>
          <t>081216533373</t>
        </is>
      </c>
      <c r="D112" t="inlineStr">
        <is>
          <t>wiwinindrawati1572@gmail.com</t>
        </is>
      </c>
      <c r="E112" t="inlineStr">
        <is>
          <t>https://lpjk.pu.go.id/search-badan-usaha-detail/empKZHpuODZ3c2FKL2xPWG5NbXhIUT09</t>
        </is>
      </c>
      <c r="F112" t="n">
        <v>2</v>
      </c>
      <c r="G112" t="inlineStr">
        <is>
          <t>BS001</t>
        </is>
      </c>
      <c r="H112" t="inlineStr">
        <is>
          <t>20 Oktober 1988</t>
        </is>
      </c>
      <c r="I112" s="2" t="n">
        <v>46224</v>
      </c>
      <c r="J112" t="inlineStr">
        <is>
          <t>Disetujui</t>
        </is>
      </c>
      <c r="K112" t="n">
        <v>60</v>
      </c>
      <c r="L112" t="inlineStr">
        <is>
          <t>21 Juli 2026</t>
        </is>
      </c>
      <c r="M112" t="inlineStr">
        <is>
          <t>Konstruksi Bangunan Sipil Jalan</t>
        </is>
      </c>
      <c r="N112" t="inlineStr">
        <is>
          <t>K</t>
        </is>
      </c>
      <c r="O112" t="inlineStr">
        <is>
          <t>20230717</t>
        </is>
      </c>
      <c r="P112" t="inlineStr">
        <is>
          <t>Jawa Timur</t>
        </is>
      </c>
      <c r="Q112" s="3">
        <f>HYPERLINK("https://wa.me/6281216533373?text=*[PENGINGAT MASA BERLAKU SBU WIJAYA]*%0A%0AYth. Pimpinan WIJAYA,%0AMohon izin menginformasikan status SBU Anda di sistem LPJK:%0A%0A📄 SBU: BS001%0A📅 Expired: 21 Juli 2026 (60 Hari Lagi)%0A%0AKami tim PT. ESDEA Assistance Management siap men-support proses perpanjangan segera.", "Hubungi")</f>
        <v/>
      </c>
    </row>
    <row r="113">
      <c r="A113" t="inlineStr">
        <is>
          <t>YANAKA ENGINEERING</t>
        </is>
      </c>
      <c r="B113" t="inlineStr">
        <is>
          <t>Kab. Pasuruan</t>
        </is>
      </c>
      <c r="C113" t="inlineStr">
        <is>
          <t>0343655616</t>
        </is>
      </c>
      <c r="D113" t="inlineStr">
        <is>
          <t>yanakaengineering@yahoo.co.id</t>
        </is>
      </c>
      <c r="E113" t="inlineStr">
        <is>
          <t>https://lpjk.pu.go.id/search-badan-usaha-detail/ZnVaeFN4UmV4QXNTSmRLKzhPTDJPZz09</t>
        </is>
      </c>
      <c r="F113" t="n">
        <v>1</v>
      </c>
      <c r="G113" t="inlineStr">
        <is>
          <t>BG003</t>
        </is>
      </c>
      <c r="H113" t="inlineStr">
        <is>
          <t>17 Maret 2012</t>
        </is>
      </c>
      <c r="I113" s="2" t="n">
        <v>46224</v>
      </c>
      <c r="J113" t="inlineStr">
        <is>
          <t>Disetujui</t>
        </is>
      </c>
      <c r="K113" t="n">
        <v>60</v>
      </c>
      <c r="L113" t="inlineStr">
        <is>
          <t>21 Juli 2026</t>
        </is>
      </c>
      <c r="M113" t="inlineStr">
        <is>
          <t>Konstruksi Gedung Industri</t>
        </is>
      </c>
      <c r="N113" t="inlineStr">
        <is>
          <t>K</t>
        </is>
      </c>
      <c r="O113" t="inlineStr">
        <is>
          <t>20230719</t>
        </is>
      </c>
      <c r="P113" t="inlineStr">
        <is>
          <t>Jawa Timur</t>
        </is>
      </c>
      <c r="Q113" s="3">
        <f>HYPERLINK("https://wa.me/62343655616?text=*[PENGINGAT MASA BERLAKU SBU YANAKA ENGINEERING]*%0A%0AYth. Pimpinan YANAKA ENGINEERING,%0AMohon izin menginformasikan status SBU Anda di sistem LPJK:%0A%0A📄 SBU: BG003%0A📅 Expired: 21 Juli 2026 (60 Hari Lagi)%0A%0AKami tim PT. ESDEA Assistance Management siap men-support proses perpanjangan segera.", "Hubungi")</f>
        <v/>
      </c>
    </row>
    <row r="114">
      <c r="A114" t="inlineStr">
        <is>
          <t>ZIHAN PUTRI PRATAMA</t>
        </is>
      </c>
      <c r="B114" t="inlineStr">
        <is>
          <t>Kota Tasikmalaya</t>
        </is>
      </c>
      <c r="C114" t="inlineStr">
        <is>
          <t>0265327310</t>
        </is>
      </c>
      <c r="D114" t="inlineStr">
        <is>
          <t>cvzihanputripratama@yahoo.com</t>
        </is>
      </c>
      <c r="E114" t="inlineStr">
        <is>
          <t>https://lpjk.pu.go.id/search-badan-usaha-detail/cVlHaVh6dHdJYUVjMnhOTmFEWDI4Zz09</t>
        </is>
      </c>
      <c r="F114" t="n">
        <v>3</v>
      </c>
      <c r="G114" t="inlineStr">
        <is>
          <t>BG005, BG006, BG009</t>
        </is>
      </c>
      <c r="H114" t="inlineStr">
        <is>
          <t>10 Januari 2009</t>
        </is>
      </c>
      <c r="I114" s="2" t="n">
        <v>46224</v>
      </c>
      <c r="J114" t="inlineStr">
        <is>
          <t>Disetujui</t>
        </is>
      </c>
      <c r="K114" t="n">
        <v>60</v>
      </c>
      <c r="L114" t="inlineStr">
        <is>
          <t>21 Juli 2026</t>
        </is>
      </c>
      <c r="M114" t="inlineStr">
        <is>
          <t>Konstruksi Gedung Kesehatan, Konstruksi Gedung Lainnya, Konstruksi Gedung Pendidikan</t>
        </is>
      </c>
      <c r="N114" t="inlineStr">
        <is>
          <t>K</t>
        </is>
      </c>
      <c r="O114" t="inlineStr">
        <is>
          <t>20230721, 20230722</t>
        </is>
      </c>
      <c r="P114" t="inlineStr">
        <is>
          <t>Jawa Barat</t>
        </is>
      </c>
      <c r="Q114" s="3">
        <f>HYPERLINK("https://wa.me/62265327310?text=*[PENGINGAT MASA BERLAKU SBU ZIHAN PUTRI PRATAMA]*%0A%0AYth. Pimpinan ZIHAN PUTRI PRATAMA,%0AMohon izin menginformasikan status SBU Anda di sistem LPJK:%0A%0A📄 SBU: BG005, BG006, BG009%0A📅 Expired: 21 Juli 2026 (60 Hari Lagi)%0A%0AKami tim PT. ESDEA Assistance Management siap men-support proses perpanjangan segera.", "Hubungi")</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5"/>
  <sheetViews>
    <sheetView workbookViewId="0">
      <selection activeCell="A1" sqref="A1"/>
    </sheetView>
  </sheetViews>
  <sheetFormatPr baseColWidth="8" defaultRowHeight="15"/>
  <cols>
    <col width="40"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35" customWidth="1" min="10" max="10"/>
    <col width="11" customWidth="1" min="11" max="11"/>
    <col width="17"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BERKAH SARANA TEKNOLOGI</t>
        </is>
      </c>
      <c r="B2" t="inlineStr">
        <is>
          <t>Kota Depok</t>
        </is>
      </c>
      <c r="C2" t="inlineStr">
        <is>
          <t>087886668824</t>
        </is>
      </c>
      <c r="D2" t="inlineStr">
        <is>
          <t>berkahsaranateknologi@yahoo.com</t>
        </is>
      </c>
      <c r="E2" t="inlineStr">
        <is>
          <t>https://lpjk.pu.go.id/search-badan-usaha-detail/THpTR2FGU1JoejBEdlJUZzBMZGsvQT09</t>
        </is>
      </c>
      <c r="F2" t="n">
        <v>2</v>
      </c>
      <c r="G2" t="inlineStr">
        <is>
          <t>BG009</t>
        </is>
      </c>
      <c r="H2" t="inlineStr">
        <is>
          <t>28 Juli 2020</t>
        </is>
      </c>
      <c r="I2" s="2" t="n">
        <v>46194</v>
      </c>
      <c r="J2" t="inlineStr">
        <is>
          <t>Disetujui</t>
        </is>
      </c>
      <c r="K2" t="n">
        <v>30</v>
      </c>
      <c r="L2" t="inlineStr">
        <is>
          <t>21 Juni 2026</t>
        </is>
      </c>
      <c r="M2" t="inlineStr">
        <is>
          <t>Konstruksi Gedung Lainnya</t>
        </is>
      </c>
      <c r="N2" t="inlineStr">
        <is>
          <t>K</t>
        </is>
      </c>
      <c r="O2" t="inlineStr">
        <is>
          <t>20230619</t>
        </is>
      </c>
      <c r="P2" t="inlineStr">
        <is>
          <t>Jawa Barat</t>
        </is>
      </c>
      <c r="Q2" s="3">
        <f>HYPERLINK("https://wa.me/6287886668824?text=*[PERINGATAN DARURAT SBU BERKAH SARANA TEKNOLOGI]*%0A%0AYth. Pimpinan BERKAH SARANA TEKNOLOGI,%0AMasa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
      <c r="A3" t="inlineStr">
        <is>
          <t>BINTANG ABADI SENTOSA</t>
        </is>
      </c>
      <c r="B3" t="inlineStr">
        <is>
          <t>Kab. Bogor</t>
        </is>
      </c>
      <c r="C3" t="inlineStr">
        <is>
          <t>08128821293</t>
        </is>
      </c>
      <c r="D3" t="inlineStr">
        <is>
          <t>cvbas05@gmail.com</t>
        </is>
      </c>
      <c r="E3" t="inlineStr">
        <is>
          <t>https://lpjk.pu.go.id/search-badan-usaha-detail/RC9uQkJHaHRZMkdiNHFpQjNQZkZ2Zz09</t>
        </is>
      </c>
      <c r="F3" t="n">
        <v>5</v>
      </c>
      <c r="G3" t="inlineStr">
        <is>
          <t>BG002, BG005, BG009, BS001</t>
        </is>
      </c>
      <c r="H3" t="inlineStr">
        <is>
          <t>10 Maret 2005</t>
        </is>
      </c>
      <c r="I3" s="2" t="n">
        <v>46194</v>
      </c>
      <c r="J3" t="inlineStr">
        <is>
          <t>Konfirmasi Pembayaran, Pencabutan</t>
        </is>
      </c>
      <c r="K3" t="n">
        <v>30</v>
      </c>
      <c r="L3" t="inlineStr">
        <is>
          <t>21 Juni 2026</t>
        </is>
      </c>
      <c r="M3" t="inlineStr">
        <is>
          <t>Konstruksi Bangunan Sipil Jalan, Konstruksi Gedung Kesehatan, Konstruksi Gedung Lainnya, Konstruksi Gedung Perkantoran</t>
        </is>
      </c>
      <c r="N3" t="inlineStr">
        <is>
          <t>K</t>
        </is>
      </c>
      <c r="O3" t="inlineStr">
        <is>
          <t>20230503, 20230504, 20230509, 20230612</t>
        </is>
      </c>
      <c r="P3" t="inlineStr">
        <is>
          <t>Jawa Barat</t>
        </is>
      </c>
      <c r="Q3" s="3">
        <f>HYPERLINK("https://wa.me/628128821293?text=*[PERINGATAN DARURAT SBU BINTANG ABADI SENTOSA]*%0A%0AYth. Pimpinan BINTANG ABADI SENTOSA,%0AMasa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
      <c r="A4" t="inlineStr">
        <is>
          <t>CHANDRAMUKTI ABIMANTRANA TRANSFINIT</t>
        </is>
      </c>
      <c r="B4" t="inlineStr">
        <is>
          <t>Kab. Bekasi</t>
        </is>
      </c>
      <c r="C4" t="inlineStr">
        <is>
          <t>081310790949</t>
        </is>
      </c>
      <c r="D4" t="inlineStr">
        <is>
          <t>chandramukti.engineering@gmail.com</t>
        </is>
      </c>
      <c r="E4" t="inlineStr">
        <is>
          <t>https://lpjk.pu.go.id/search-badan-usaha-detail/VEVBTXE0ZUpjV3kvdkhLdUNqeFhEQT09</t>
        </is>
      </c>
      <c r="F4" t="n">
        <v>8</v>
      </c>
      <c r="G4" t="inlineStr">
        <is>
          <t>AR001, AR002, RK003, RK004</t>
        </is>
      </c>
      <c r="H4" t="inlineStr">
        <is>
          <t>21 November 2022</t>
        </is>
      </c>
      <c r="I4" s="2" t="n">
        <v>46194</v>
      </c>
      <c r="J4" t="inlineStr">
        <is>
          <t>Disetujui</t>
        </is>
      </c>
      <c r="K4" t="n">
        <v>30</v>
      </c>
      <c r="L4" t="inlineStr">
        <is>
          <t>21 Juni 2026</t>
        </is>
      </c>
      <c r="M4" t="inlineStr">
        <is>
          <t>Jasa Arsitektural Bangunan Gedung Hunian dan Non Hunian, Jasa Arsitektural Lainnya, Jasa Rekayasa Pekerjaan Mekanikal Dalam Bangunan, Jasa Rekayasa Pekerjaan Teknik Sipil Transportasi</t>
        </is>
      </c>
      <c r="N4" t="inlineStr">
        <is>
          <t>K</t>
        </is>
      </c>
      <c r="O4" t="inlineStr">
        <is>
          <t>20230609</t>
        </is>
      </c>
      <c r="P4" t="inlineStr">
        <is>
          <t>Jawa Barat</t>
        </is>
      </c>
      <c r="Q4" s="3">
        <f>HYPERLINK("https://wa.me/6281310790949?text=*[PERINGATAN DARURAT SBU CHANDRAMUKTI ABIMANTRANA TRANSFINIT]*%0A%0AYth. Pimpinan CHANDRAMUKTI ABIMANTRANA TRANSFINIT,%0AMasa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
      <c r="A5" t="inlineStr">
        <is>
          <t>DUTA TONDON PERKASA</t>
        </is>
      </c>
      <c r="B5" t="inlineStr">
        <is>
          <t>Kota Adm. Jakarta Timur</t>
        </is>
      </c>
      <c r="C5" t="inlineStr">
        <is>
          <t>02186604017</t>
        </is>
      </c>
      <c r="D5" t="inlineStr">
        <is>
          <t>pt.dutatondonperkasa62@gmail.com</t>
        </is>
      </c>
      <c r="E5" t="inlineStr">
        <is>
          <t>https://lpjk.pu.go.id/search-badan-usaha-detail/NHYzakpHdHpkdjZpUWVyZFltQ2oxdz09</t>
        </is>
      </c>
      <c r="F5" t="n">
        <v>8</v>
      </c>
      <c r="G5" t="inlineStr">
        <is>
          <t>BG001, BG002, BG005, BG006</t>
        </is>
      </c>
      <c r="H5" t="inlineStr">
        <is>
          <t>28 Desember 1996</t>
        </is>
      </c>
      <c r="I5" s="2" t="n">
        <v>46194</v>
      </c>
      <c r="J5" t="inlineStr">
        <is>
          <t>Disetujui</t>
        </is>
      </c>
      <c r="K5" t="n">
        <v>30</v>
      </c>
      <c r="L5" t="inlineStr">
        <is>
          <t>21 Juni 2026</t>
        </is>
      </c>
      <c r="M5" t="inlineStr">
        <is>
          <t>Konstruksi Gedung Hunian, Konstruksi Gedung Kesehatan, Konstruksi Gedung Pendidikan, Konstruksi Gedung Perkantoran</t>
        </is>
      </c>
      <c r="N5" t="inlineStr">
        <is>
          <t>K</t>
        </is>
      </c>
      <c r="O5" t="inlineStr">
        <is>
          <t>20230612, 20230617</t>
        </is>
      </c>
      <c r="P5" t="inlineStr">
        <is>
          <t>DKI Jakarta</t>
        </is>
      </c>
      <c r="Q5" s="3">
        <f>HYPERLINK("https://wa.me/622186604017?text=*[PERINGATAN DARURAT SBU DUTA TONDON PERKASA]*%0A%0AYth. Pimpinan DUTA TONDON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
      <c r="A6" t="inlineStr">
        <is>
          <t>GINTAR JILENA PERSADA</t>
        </is>
      </c>
      <c r="B6" t="inlineStr">
        <is>
          <t>Kota Adm. Jakarta Timur</t>
        </is>
      </c>
      <c r="C6" t="inlineStr">
        <is>
          <t>082310196841</t>
        </is>
      </c>
      <c r="D6" t="inlineStr">
        <is>
          <t>gintar.jakarta@gmail.com</t>
        </is>
      </c>
      <c r="E6" t="inlineStr">
        <is>
          <t>https://lpjk.pu.go.id/search-badan-usaha-detail/dHQwUFJkdldtRGhrZFlvVCtPcEttUT09</t>
        </is>
      </c>
      <c r="F6" t="n">
        <v>2</v>
      </c>
      <c r="G6" t="inlineStr">
        <is>
          <t>BG009, BS001</t>
        </is>
      </c>
      <c r="H6" t="inlineStr">
        <is>
          <t>12 April 2021</t>
        </is>
      </c>
      <c r="I6" s="2" t="n">
        <v>46194</v>
      </c>
      <c r="J6" t="inlineStr">
        <is>
          <t>Pencabutan</t>
        </is>
      </c>
      <c r="K6" t="n">
        <v>30</v>
      </c>
      <c r="L6" t="inlineStr">
        <is>
          <t>21 Juni 2026</t>
        </is>
      </c>
      <c r="M6" t="inlineStr">
        <is>
          <t>Konstruksi Bangunan Sipil Jalan, Konstruksi Gedung Lainnya</t>
        </is>
      </c>
      <c r="N6" t="inlineStr">
        <is>
          <t>K</t>
        </is>
      </c>
      <c r="O6" t="inlineStr">
        <is>
          <t>20230614, 20230619</t>
        </is>
      </c>
      <c r="P6" t="inlineStr">
        <is>
          <t>DKI Jakarta</t>
        </is>
      </c>
      <c r="Q6" s="3">
        <f>HYPERLINK("https://wa.me/6282310196841?text=*[PERINGATAN DARURAT SBU GINTAR JILENA PERSADA]*%0A%0AYth. Pimpinan GINTAR JILENA PERSADA,%0AMasa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
      <c r="A7" t="inlineStr">
        <is>
          <t>HAJI RAHMAT JAYA</t>
        </is>
      </c>
      <c r="B7" t="inlineStr">
        <is>
          <t>Kab. Bogor</t>
        </is>
      </c>
      <c r="C7" t="inlineStr">
        <is>
          <t>085692906178</t>
        </is>
      </c>
      <c r="D7" t="inlineStr">
        <is>
          <t>cvhajirahmat@gmail.com</t>
        </is>
      </c>
      <c r="E7" t="inlineStr">
        <is>
          <t>https://lpjk.pu.go.id/search-badan-usaha-detail/cmhGQmE0RW43WitDcnZRMnhQNTExdz09</t>
        </is>
      </c>
      <c r="F7" t="n">
        <v>3</v>
      </c>
      <c r="G7" t="inlineStr">
        <is>
          <t>BG006, BS001, BS004</t>
        </is>
      </c>
      <c r="H7" t="inlineStr">
        <is>
          <t>24 Juni 2021</t>
        </is>
      </c>
      <c r="I7" s="2" t="n">
        <v>46194</v>
      </c>
      <c r="J7" t="inlineStr">
        <is>
          <t>Pencabutan</t>
        </is>
      </c>
      <c r="K7" t="n">
        <v>30</v>
      </c>
      <c r="L7" t="inlineStr">
        <is>
          <t>21 Juni 2026</t>
        </is>
      </c>
      <c r="M7" t="inlineStr">
        <is>
          <t>Konstruksi Bangunan Sipil Jalan, Konstruksi Gedung Pendidikan, Konstruksi Jaringan Irigasi dan Drainase</t>
        </is>
      </c>
      <c r="N7" t="inlineStr">
        <is>
          <t>K</t>
        </is>
      </c>
      <c r="O7" t="inlineStr">
        <is>
          <t>20230617</t>
        </is>
      </c>
      <c r="P7" t="inlineStr">
        <is>
          <t>Jawa Barat</t>
        </is>
      </c>
      <c r="Q7" s="3">
        <f>HYPERLINK("https://wa.me/6285692906178?text=*[PERINGATAN DARURAT SBU HAJI RAHMAT JAYA]*%0A%0AYth. Pimpinan HAJI RAHMAT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
      <c r="A8" t="inlineStr">
        <is>
          <t>LEBAH RAJIN SEJAHTERA</t>
        </is>
      </c>
      <c r="B8" t="inlineStr">
        <is>
          <t>Kota Adm. Jakarta Timur</t>
        </is>
      </c>
      <c r="C8" t="inlineStr">
        <is>
          <t>02128535519</t>
        </is>
      </c>
      <c r="D8" t="inlineStr">
        <is>
          <t>lebahrajinstr@gmail.com</t>
        </is>
      </c>
      <c r="E8" t="inlineStr">
        <is>
          <t>https://lpjk.pu.go.id/search-badan-usaha-detail/MlNhOE5iT3JxZjI2Z2FmNXhocmNJQT09</t>
        </is>
      </c>
      <c r="F8" t="n">
        <v>2</v>
      </c>
      <c r="G8" t="inlineStr">
        <is>
          <t>BS001, BS004</t>
        </is>
      </c>
      <c r="H8" t="inlineStr">
        <is>
          <t>5 Juni 2014</t>
        </is>
      </c>
      <c r="I8" s="2" t="n">
        <v>46194</v>
      </c>
      <c r="J8" t="inlineStr">
        <is>
          <t>Disetujui</t>
        </is>
      </c>
      <c r="K8" t="n">
        <v>30</v>
      </c>
      <c r="L8" t="inlineStr">
        <is>
          <t>21 Juni 2026</t>
        </is>
      </c>
      <c r="M8" t="inlineStr">
        <is>
          <t>Konstruksi Bangunan Sipil Jalan, Konstruksi Jaringan Irigasi dan Drainase</t>
        </is>
      </c>
      <c r="N8" t="inlineStr">
        <is>
          <t>K</t>
        </is>
      </c>
      <c r="O8" t="inlineStr">
        <is>
          <t>20230619, 20230620</t>
        </is>
      </c>
      <c r="P8" t="inlineStr">
        <is>
          <t>DKI Jakarta</t>
        </is>
      </c>
      <c r="Q8" s="3">
        <f>HYPERLINK("https://wa.me/622128535519?text=*[PERINGATAN DARURAT SBU LEBAH RAJIN SEJAHTERA]*%0A%0AYth. Pimpinan LEBAH RAJIN SEJAHTERA,%0AMasa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
      <c r="A9" t="inlineStr">
        <is>
          <t>NAM KONSTRUKSI ENJINIIRING</t>
        </is>
      </c>
      <c r="B9" t="inlineStr">
        <is>
          <t>Kota Depok</t>
        </is>
      </c>
      <c r="C9" t="inlineStr">
        <is>
          <t>0217714617</t>
        </is>
      </c>
      <c r="D9" t="inlineStr">
        <is>
          <t>nke.gemilang@gmail.com</t>
        </is>
      </c>
      <c r="E9" t="inlineStr">
        <is>
          <t>https://lpjk.pu.go.id/search-badan-usaha-detail/SlhFcXZZS3duRnFNRnNNaWVSenpsUT09</t>
        </is>
      </c>
      <c r="F9" t="n">
        <v>1</v>
      </c>
      <c r="G9" t="inlineStr">
        <is>
          <t>BG009</t>
        </is>
      </c>
      <c r="H9" t="inlineStr">
        <is>
          <t>12 Juni 2017</t>
        </is>
      </c>
      <c r="I9" s="2" t="n">
        <v>46194</v>
      </c>
      <c r="J9" t="inlineStr">
        <is>
          <t>Disetujui</t>
        </is>
      </c>
      <c r="K9" t="n">
        <v>30</v>
      </c>
      <c r="L9" t="inlineStr">
        <is>
          <t>21 Juni 2026</t>
        </is>
      </c>
      <c r="M9" t="inlineStr">
        <is>
          <t>Konstruksi Gedung Lainnya</t>
        </is>
      </c>
      <c r="N9" t="inlineStr">
        <is>
          <t>K</t>
        </is>
      </c>
      <c r="O9" t="inlineStr">
        <is>
          <t>20230619</t>
        </is>
      </c>
      <c r="P9" t="inlineStr">
        <is>
          <t>Jawa Barat</t>
        </is>
      </c>
      <c r="Q9" s="3">
        <f>HYPERLINK("https://wa.me/62217714617?text=*[PERINGATAN DARURAT SBU NAM KONSTRUKSI ENJINIIRING]*%0A%0AYth. Pimpinan NAM KONSTRUKSI ENJINIIRING,%0AMasa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
      <c r="A10" t="inlineStr">
        <is>
          <t>NINDYA BETON</t>
        </is>
      </c>
      <c r="B10" t="inlineStr">
        <is>
          <t>Kota Adm. Jakarta Timur</t>
        </is>
      </c>
      <c r="C10" t="inlineStr">
        <is>
          <t>081398718746</t>
        </is>
      </c>
      <c r="D10" t="inlineStr">
        <is>
          <t>info.nindyabeton@gmail.com</t>
        </is>
      </c>
      <c r="E10" t="inlineStr">
        <is>
          <t>https://lpjk.pu.go.id/search-badan-usaha-detail/NDUwRmFWODROak5zVGRMZXRmM2pBZz09</t>
        </is>
      </c>
      <c r="F10" t="n">
        <v>2</v>
      </c>
      <c r="G10" t="inlineStr">
        <is>
          <t>BG004</t>
        </is>
      </c>
      <c r="H10" t="inlineStr">
        <is>
          <t>19 Februari 2013</t>
        </is>
      </c>
      <c r="I10" s="2" t="n">
        <v>46194</v>
      </c>
      <c r="J10" t="inlineStr">
        <is>
          <t>Disetujui</t>
        </is>
      </c>
      <c r="K10" t="n">
        <v>30</v>
      </c>
      <c r="L10" t="inlineStr">
        <is>
          <t>21 Juni 2026</t>
        </is>
      </c>
      <c r="M10" t="inlineStr">
        <is>
          <t>Konstruksi Gedung Perbelanjaan</t>
        </is>
      </c>
      <c r="N10" t="inlineStr">
        <is>
          <t>B</t>
        </is>
      </c>
      <c r="O10" t="inlineStr">
        <is>
          <t>20230621</t>
        </is>
      </c>
      <c r="P10" t="inlineStr">
        <is>
          <t>DKI Jakarta</t>
        </is>
      </c>
      <c r="Q10" s="3">
        <f>HYPERLINK("https://wa.me/6281398718746?text=*[PERINGATAN DARURAT SBU NINDYA BETON]*%0A%0AYth. Pimpinan NINDYA BETON,%0AMasa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
      <c r="A11" t="inlineStr">
        <is>
          <t>PUTRA TOBA HAMONANGAN</t>
        </is>
      </c>
      <c r="B11" t="inlineStr">
        <is>
          <t>Kota Depok</t>
        </is>
      </c>
      <c r="C11" t="inlineStr">
        <is>
          <t>081319921606</t>
        </is>
      </c>
      <c r="D11" t="inlineStr">
        <is>
          <t>tobahamonanganputra@yahoo.com</t>
        </is>
      </c>
      <c r="E11" t="inlineStr">
        <is>
          <t>https://lpjk.pu.go.id/search-badan-usaha-detail/clh5L3NDeFlSTXNUakVHd1FOS2ZzUT09</t>
        </is>
      </c>
      <c r="F11" t="n">
        <v>1</v>
      </c>
      <c r="G11" t="inlineStr">
        <is>
          <t>BG006</t>
        </is>
      </c>
      <c r="H11" t="inlineStr">
        <is>
          <t>5 Februari 2010</t>
        </is>
      </c>
      <c r="I11" s="2" t="n">
        <v>46194</v>
      </c>
      <c r="J11" t="inlineStr">
        <is>
          <t>Disetujui</t>
        </is>
      </c>
      <c r="K11" t="n">
        <v>30</v>
      </c>
      <c r="L11" t="inlineStr">
        <is>
          <t>21 Juni 2026</t>
        </is>
      </c>
      <c r="M11" t="inlineStr">
        <is>
          <t>Konstruksi Gedung Pendidikan</t>
        </is>
      </c>
      <c r="N11" t="inlineStr">
        <is>
          <t>K</t>
        </is>
      </c>
      <c r="O11" t="inlineStr">
        <is>
          <t>20230620</t>
        </is>
      </c>
      <c r="P11" t="inlineStr">
        <is>
          <t>Jawa Barat</t>
        </is>
      </c>
      <c r="Q11" s="3">
        <f>HYPERLINK("https://wa.me/6281319921606?text=*[PERINGATAN DARURAT SBU PUTRA TOBA HAMONANGAN]*%0A%0AYth. Pimpinan PUTRA TOBA HAMONANGAN,%0AMasa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
      <c r="A12" t="inlineStr">
        <is>
          <t>SINERGI CIPTA PRESISI</t>
        </is>
      </c>
      <c r="B12" t="inlineStr">
        <is>
          <t>Kota Adm. Jakarta Timur</t>
        </is>
      </c>
      <c r="C12" t="inlineStr">
        <is>
          <t>02184343657</t>
        </is>
      </c>
      <c r="D12" t="inlineStr">
        <is>
          <t>sinergiciptapresisi@gmail.com</t>
        </is>
      </c>
      <c r="E12" t="inlineStr">
        <is>
          <t>https://lpjk.pu.go.id/search-badan-usaha-detail/VDJMT3ZUeHRtVHVpaFpIV3o4NGtVUT09</t>
        </is>
      </c>
      <c r="F12" t="n">
        <v>3</v>
      </c>
      <c r="G12" t="inlineStr">
        <is>
          <t>BG006, BG008, BG009</t>
        </is>
      </c>
      <c r="H12" t="inlineStr">
        <is>
          <t>14 Februari 2023</t>
        </is>
      </c>
      <c r="I12" s="2" t="n">
        <v>46194</v>
      </c>
      <c r="J12" t="inlineStr">
        <is>
          <t>Pencabutan</t>
        </is>
      </c>
      <c r="K12" t="n">
        <v>30</v>
      </c>
      <c r="L12" t="inlineStr">
        <is>
          <t>21 Juni 2026</t>
        </is>
      </c>
      <c r="M12" t="inlineStr">
        <is>
          <t>Konstruksi Gedung Lainnya, Konstruksi Gedung Pendidikan, Konstruksi Gedung Tempat Hiburan dan Olahraga</t>
        </is>
      </c>
      <c r="N12" t="inlineStr">
        <is>
          <t>K</t>
        </is>
      </c>
      <c r="O12" t="inlineStr">
        <is>
          <t>20230612</t>
        </is>
      </c>
      <c r="P12" t="inlineStr">
        <is>
          <t>DKI Jakarta</t>
        </is>
      </c>
      <c r="Q12" s="3">
        <f>HYPERLINK("https://wa.me/622184343657?text=*[PERINGATAN DARURAT SBU SINERGI CIPTA PRESISI]*%0A%0AYth. Pimpinan SINERGI CIPTA PRESISI,%0AMasa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
      <c r="A13" t="inlineStr">
        <is>
          <t>SUMBER REJEKI</t>
        </is>
      </c>
      <c r="B13" t="inlineStr">
        <is>
          <t>Kab. Bogor</t>
        </is>
      </c>
      <c r="C13" t="inlineStr">
        <is>
          <t>081282802307</t>
        </is>
      </c>
      <c r="D13" t="inlineStr">
        <is>
          <t>sumberrejeki1982@gmail.com</t>
        </is>
      </c>
      <c r="E13" t="inlineStr">
        <is>
          <t>https://lpjk.pu.go.id/search-badan-usaha-detail/U1BiQm83Ty96SGtFVW9aQUYrSklJUT09</t>
        </is>
      </c>
      <c r="F13" t="n">
        <v>1</v>
      </c>
      <c r="G13" t="inlineStr">
        <is>
          <t>BG006</t>
        </is>
      </c>
      <c r="H13" t="inlineStr">
        <is>
          <t>6 Maret 2014</t>
        </is>
      </c>
      <c r="I13" s="2" t="n">
        <v>46194</v>
      </c>
      <c r="J13" t="inlineStr">
        <is>
          <t>Disetujui</t>
        </is>
      </c>
      <c r="K13" t="n">
        <v>30</v>
      </c>
      <c r="L13" t="inlineStr">
        <is>
          <t>21 Juni 2026</t>
        </is>
      </c>
      <c r="M13" t="inlineStr">
        <is>
          <t>Konstruksi Gedung Pendidikan</t>
        </is>
      </c>
      <c r="N13" t="inlineStr">
        <is>
          <t>K</t>
        </is>
      </c>
      <c r="O13" t="inlineStr">
        <is>
          <t>20230518</t>
        </is>
      </c>
      <c r="P13" t="inlineStr">
        <is>
          <t>Jawa Barat</t>
        </is>
      </c>
      <c r="Q13" s="3">
        <f>HYPERLINK("https://wa.me/6281282802307?text=*[PERINGATAN DARURAT SBU SUMBER REJEKI]*%0A%0AYth. Pimpinan SUMBER REJEKI,%0AMasa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
      <c r="A14" t="inlineStr">
        <is>
          <t>TIGA PERSADA NUSANTARA</t>
        </is>
      </c>
      <c r="B14" t="inlineStr">
        <is>
          <t>Kota Bekasi</t>
        </is>
      </c>
      <c r="C14" t="inlineStr">
        <is>
          <t>081211219189</t>
        </is>
      </c>
      <c r="D14" t="inlineStr">
        <is>
          <t>nusantaratigapersada@gmail.com</t>
        </is>
      </c>
      <c r="E14" t="inlineStr">
        <is>
          <t>https://lpjk.pu.go.id/search-badan-usaha-detail/T3oyak9uVjJCQzlHZG4wcnptZXdadz09</t>
        </is>
      </c>
      <c r="F14" t="n">
        <v>1</v>
      </c>
      <c r="G14" t="inlineStr">
        <is>
          <t>BG005</t>
        </is>
      </c>
      <c r="H14" t="inlineStr">
        <is>
          <t>6 September 2019</t>
        </is>
      </c>
      <c r="I14" s="2" t="n">
        <v>46194</v>
      </c>
      <c r="J14" t="inlineStr">
        <is>
          <t>Disetujui</t>
        </is>
      </c>
      <c r="K14" t="n">
        <v>30</v>
      </c>
      <c r="L14" t="inlineStr">
        <is>
          <t>21 Juni 2026</t>
        </is>
      </c>
      <c r="M14" t="inlineStr">
        <is>
          <t>Konstruksi Gedung Kesehatan</t>
        </is>
      </c>
      <c r="N14" t="inlineStr">
        <is>
          <t>K</t>
        </is>
      </c>
      <c r="O14" t="inlineStr">
        <is>
          <t>20230621</t>
        </is>
      </c>
      <c r="P14" t="inlineStr">
        <is>
          <t>Jawa Barat</t>
        </is>
      </c>
      <c r="Q14" s="3">
        <f>HYPERLINK("https://wa.me/6281211219189?text=*[PERINGATAN DARURAT SBU TIGA PERSADA NUSANTARA]*%0A%0AYth. Pimpinan TIGA PERSADA NUSANTARA,%0AMasa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
      <c r="A15" t="inlineStr">
        <is>
          <t>TIRTA ARJUNO LESTARI</t>
        </is>
      </c>
      <c r="B15" t="inlineStr">
        <is>
          <t>Kota Adm. Jakarta Timur</t>
        </is>
      </c>
      <c r="C15" t="inlineStr">
        <is>
          <t>081211966870</t>
        </is>
      </c>
      <c r="D15" t="inlineStr">
        <is>
          <t>arjunolestaritirta@gmail.com</t>
        </is>
      </c>
      <c r="E15" t="inlineStr">
        <is>
          <t>https://lpjk.pu.go.id/search-badan-usaha-detail/WWxKbWt1Nm5sUW5WeExpZWRkc0FRUT09</t>
        </is>
      </c>
      <c r="F15" t="n">
        <v>1</v>
      </c>
      <c r="G15" t="inlineStr">
        <is>
          <t>BG006</t>
        </is>
      </c>
      <c r="H15" t="inlineStr">
        <is>
          <t>21 Januari 2021</t>
        </is>
      </c>
      <c r="I15" s="2" t="n">
        <v>46194</v>
      </c>
      <c r="J15" t="inlineStr">
        <is>
          <t>Disetujui</t>
        </is>
      </c>
      <c r="K15" t="n">
        <v>30</v>
      </c>
      <c r="L15" t="inlineStr">
        <is>
          <t>21 Juni 2026</t>
        </is>
      </c>
      <c r="M15" t="inlineStr">
        <is>
          <t>Konstruksi Gedung Pendidikan</t>
        </is>
      </c>
      <c r="N15" t="inlineStr">
        <is>
          <t>K</t>
        </is>
      </c>
      <c r="O15" t="inlineStr">
        <is>
          <t>20230612</t>
        </is>
      </c>
      <c r="P15" t="inlineStr">
        <is>
          <t>DKI Jakarta</t>
        </is>
      </c>
      <c r="Q15" s="3">
        <f>HYPERLINK("https://wa.me/6281211966870?text=*[PERINGATAN DARURAT SBU TIRTA ARJUNO LESTARI]*%0A%0AYth. Pimpinan TIRTA ARJUNO LESTARI,%0AMasa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
      <c r="A16" t="inlineStr">
        <is>
          <t>ABADI MANDIRI</t>
        </is>
      </c>
      <c r="B16" t="inlineStr">
        <is>
          <t>Kab. Muko Muko</t>
        </is>
      </c>
      <c r="C16" t="inlineStr">
        <is>
          <t>085268047588</t>
        </is>
      </c>
      <c r="D16" t="inlineStr">
        <is>
          <t>abadimandiri03@gmail.com</t>
        </is>
      </c>
      <c r="E16" t="inlineStr">
        <is>
          <t>https://lpjk.pu.go.id/search-badan-usaha-detail/N2lnK2c5V2lENHh3VG9maTlyazc5UT09</t>
        </is>
      </c>
      <c r="F16" t="n">
        <v>4</v>
      </c>
      <c r="G16" t="inlineStr">
        <is>
          <t>BG005, BG009</t>
        </is>
      </c>
      <c r="H16" t="inlineStr">
        <is>
          <t>6 November 2007</t>
        </is>
      </c>
      <c r="I16" s="2" t="n">
        <v>46194</v>
      </c>
      <c r="J16" t="inlineStr">
        <is>
          <t>Disetujui</t>
        </is>
      </c>
      <c r="K16" t="n">
        <v>30</v>
      </c>
      <c r="L16" t="inlineStr">
        <is>
          <t>21 Juni 2026</t>
        </is>
      </c>
      <c r="M16" t="inlineStr">
        <is>
          <t>Konstruksi Gedung Kesehatan, Konstruksi Gedung Lainnya</t>
        </is>
      </c>
      <c r="N16" t="inlineStr">
        <is>
          <t>K</t>
        </is>
      </c>
      <c r="O16" t="inlineStr">
        <is>
          <t>20230612, 20230613</t>
        </is>
      </c>
      <c r="P16" t="inlineStr">
        <is>
          <t>Bengkulu</t>
        </is>
      </c>
      <c r="Q16" s="3">
        <f>HYPERLINK("https://wa.me/6285268047588?text=*[PERINGATAN DARURAT SBU ABADI MANDIRI]*%0A%0AYth. Pimpinan ABADI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
      <c r="A17" t="inlineStr">
        <is>
          <t>ADIBAKTI</t>
        </is>
      </c>
      <c r="B17" t="inlineStr">
        <is>
          <t>Kab. Bone</t>
        </is>
      </c>
      <c r="C17" t="inlineStr">
        <is>
          <t>081355244599</t>
        </is>
      </c>
      <c r="D17" t="inlineStr">
        <is>
          <t>cv.adibakti@gmail.com</t>
        </is>
      </c>
      <c r="E17" t="inlineStr">
        <is>
          <t>https://lpjk.pu.go.id/search-badan-usaha-detail/QkhBV2JBRERZcTdMSmpsL3BadklMdz09</t>
        </is>
      </c>
      <c r="F17" t="n">
        <v>4</v>
      </c>
      <c r="G17" t="inlineStr">
        <is>
          <t>BG002, BG005, BG006, BG009</t>
        </is>
      </c>
      <c r="H17" t="inlineStr">
        <is>
          <t>26 Mei 2016</t>
        </is>
      </c>
      <c r="I17" s="2" t="n">
        <v>46194</v>
      </c>
      <c r="J17" t="inlineStr">
        <is>
          <t>Disetujui</t>
        </is>
      </c>
      <c r="K17" t="n">
        <v>30</v>
      </c>
      <c r="L17" t="inlineStr">
        <is>
          <t>21 Juni 2026</t>
        </is>
      </c>
      <c r="M17" t="inlineStr">
        <is>
          <t>Konstruksi Gedung Kesehatan, Konstruksi Gedung Lainnya, Konstruksi Gedung Pendidikan, Konstruksi Gedung Perkantoran</t>
        </is>
      </c>
      <c r="N17" t="inlineStr">
        <is>
          <t>K</t>
        </is>
      </c>
      <c r="O17" t="inlineStr">
        <is>
          <t>20230621</t>
        </is>
      </c>
      <c r="P17" t="inlineStr">
        <is>
          <t>Sulawesi Selatan</t>
        </is>
      </c>
      <c r="Q17" s="3">
        <f>HYPERLINK("https://wa.me/6281355244599?text=*[PERINGATAN DARURAT SBU ADIBAKTI]*%0A%0AYth. Pimpinan ADIBAKTI,%0AMasa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
      <c r="A18" t="inlineStr">
        <is>
          <t>ADICIPTA MARITIM HUTAMA</t>
        </is>
      </c>
      <c r="B18" t="inlineStr">
        <is>
          <t>Kota Adm. Jakarta Selatan</t>
        </is>
      </c>
      <c r="C18" t="inlineStr">
        <is>
          <t>085894717473</t>
        </is>
      </c>
      <c r="D18" t="inlineStr">
        <is>
          <t>adiciptamaritimhutama@yahoo.com</t>
        </is>
      </c>
      <c r="E18" t="inlineStr">
        <is>
          <t>https://lpjk.pu.go.id/search-badan-usaha-detail/L1A0TVN0TzBRVnJBUHpKejRuNWdhZz09</t>
        </is>
      </c>
      <c r="F18" t="n">
        <v>1</v>
      </c>
      <c r="G18" t="inlineStr">
        <is>
          <t>BS001</t>
        </is>
      </c>
      <c r="H18" t="inlineStr">
        <is>
          <t>18 April 2022</t>
        </is>
      </c>
      <c r="I18" s="2" t="n">
        <v>46194</v>
      </c>
      <c r="J18" t="inlineStr">
        <is>
          <t>Disetujui</t>
        </is>
      </c>
      <c r="K18" t="n">
        <v>30</v>
      </c>
      <c r="L18" t="inlineStr">
        <is>
          <t>21 Juni 2026</t>
        </is>
      </c>
      <c r="M18" t="inlineStr">
        <is>
          <t>Konstruksi Bangunan Sipil Jalan</t>
        </is>
      </c>
      <c r="N18" t="inlineStr">
        <is>
          <t>K</t>
        </is>
      </c>
      <c r="O18" t="inlineStr">
        <is>
          <t>20230621</t>
        </is>
      </c>
      <c r="P18" t="inlineStr">
        <is>
          <t>DKI Jakarta</t>
        </is>
      </c>
      <c r="Q18" s="3">
        <f>HYPERLINK("https://wa.me/6285894717473?text=*[PERINGATAN DARURAT SBU ADICIPTA MARITIM HUTAMA]*%0A%0AYth. Pimpinan ADICIPTA MARITIM HUTAMA,%0AMasa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
      <c r="A19" t="inlineStr">
        <is>
          <t>AFDHAL NADIRA RAFIF FAMILY</t>
        </is>
      </c>
      <c r="B19" t="inlineStr">
        <is>
          <t>Kota Bandar Lampung</t>
        </is>
      </c>
      <c r="C19" t="inlineStr">
        <is>
          <t>082376997451</t>
        </is>
      </c>
      <c r="D19" t="inlineStr">
        <is>
          <t>cvafdhalnadirarafiffamily@gmail.com</t>
        </is>
      </c>
      <c r="E19" t="inlineStr">
        <is>
          <t>https://lpjk.pu.go.id/search-badan-usaha-detail/dGhXWXMzYVhESWhRK0loMTBVYXNDdz09</t>
        </is>
      </c>
      <c r="F19" t="n">
        <v>3</v>
      </c>
      <c r="G19" t="inlineStr">
        <is>
          <t>BG005, BG006, BG008</t>
        </is>
      </c>
      <c r="H19" t="inlineStr">
        <is>
          <t>2 Januari 2023</t>
        </is>
      </c>
      <c r="I19" s="2" t="n">
        <v>46194</v>
      </c>
      <c r="J19" t="inlineStr">
        <is>
          <t>Disetujui</t>
        </is>
      </c>
      <c r="K19" t="n">
        <v>30</v>
      </c>
      <c r="L19" t="inlineStr">
        <is>
          <t>21 Juni 2026</t>
        </is>
      </c>
      <c r="M19" t="inlineStr">
        <is>
          <t>Konstruksi Gedung Kesehatan, Konstruksi Gedung Pendidikan, Konstruksi Gedung Tempat Hiburan dan Olahraga</t>
        </is>
      </c>
      <c r="N19" t="inlineStr">
        <is>
          <t>K</t>
        </is>
      </c>
      <c r="O19" t="inlineStr">
        <is>
          <t>20230619</t>
        </is>
      </c>
      <c r="P19" t="inlineStr">
        <is>
          <t>Lampung</t>
        </is>
      </c>
      <c r="Q19" s="3">
        <f>HYPERLINK("https://wa.me/6282376997451?text=*[PERINGATAN DARURAT SBU AFDHAL NADIRA RAFIF FAMILY]*%0A%0AYth. Pimpinan AFDHAL NADIRA RAFIF FAMILY,%0AMasa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
      <c r="A20" t="inlineStr">
        <is>
          <t>AJISAKA</t>
        </is>
      </c>
      <c r="B20" t="inlineStr">
        <is>
          <t>Kab. Sleman</t>
        </is>
      </c>
      <c r="C20" t="inlineStr">
        <is>
          <t>02744464591</t>
        </is>
      </c>
      <c r="D20" t="inlineStr">
        <is>
          <t>ajisaka.cv7@gmail.com</t>
        </is>
      </c>
      <c r="E20" t="inlineStr">
        <is>
          <t>https://lpjk.pu.go.id/search-badan-usaha-detail/cnNSd0RNOHV0ZkYvYXJnM293Zlo5Zz09</t>
        </is>
      </c>
      <c r="F20" t="n">
        <v>1</v>
      </c>
      <c r="G20" t="inlineStr">
        <is>
          <t>BS004</t>
        </is>
      </c>
      <c r="H20" t="inlineStr">
        <is>
          <t>3 Maret 2016</t>
        </is>
      </c>
      <c r="I20" s="2" t="n">
        <v>46194</v>
      </c>
      <c r="J20" t="inlineStr">
        <is>
          <t>Disetujui</t>
        </is>
      </c>
      <c r="K20" t="n">
        <v>30</v>
      </c>
      <c r="L20" t="inlineStr">
        <is>
          <t>21 Juni 2026</t>
        </is>
      </c>
      <c r="M20" t="inlineStr">
        <is>
          <t>Konstruksi Jaringan Irigasi dan Drainase</t>
        </is>
      </c>
      <c r="N20" t="inlineStr">
        <is>
          <t>K</t>
        </is>
      </c>
      <c r="O20" t="inlineStr">
        <is>
          <t>20230620</t>
        </is>
      </c>
      <c r="P20" t="inlineStr">
        <is>
          <t>DI Yogyakarta</t>
        </is>
      </c>
      <c r="Q20" s="3">
        <f>HYPERLINK("https://wa.me/622744464591?text=*[PERINGATAN DARURAT SBU AJISAKA]*%0A%0AYth. Pimpinan AJISAKA,%0AMasa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
      <c r="A21" t="inlineStr">
        <is>
          <t>AL-GHANY</t>
        </is>
      </c>
      <c r="B21" t="inlineStr">
        <is>
          <t>Kab. Subang</t>
        </is>
      </c>
      <c r="C21" t="inlineStr">
        <is>
          <t>087764324658</t>
        </is>
      </c>
      <c r="D21" t="inlineStr">
        <is>
          <t>cvalgany23@gmail.com</t>
        </is>
      </c>
      <c r="E21" t="inlineStr">
        <is>
          <t>https://lpjk.pu.go.id/search-badan-usaha-detail/V28vM1lUK3U2aGwyajlMenBpYkxTQT09</t>
        </is>
      </c>
      <c r="F21" t="n">
        <v>1</v>
      </c>
      <c r="G21" t="inlineStr">
        <is>
          <t>BG009</t>
        </is>
      </c>
      <c r="H21" t="inlineStr">
        <is>
          <t>26 Februari 2008</t>
        </is>
      </c>
      <c r="I21" s="2" t="n">
        <v>46194</v>
      </c>
      <c r="J21" t="inlineStr">
        <is>
          <t>Disetujui</t>
        </is>
      </c>
      <c r="K21" t="n">
        <v>30</v>
      </c>
      <c r="L21" t="inlineStr">
        <is>
          <t>21 Juni 2026</t>
        </is>
      </c>
      <c r="M21" t="inlineStr">
        <is>
          <t>Konstruksi Gedung Lainnya</t>
        </is>
      </c>
      <c r="N21" t="inlineStr">
        <is>
          <t>K</t>
        </is>
      </c>
      <c r="O21" t="inlineStr">
        <is>
          <t>20230615</t>
        </is>
      </c>
      <c r="P21" t="inlineStr">
        <is>
          <t>Jawa Barat</t>
        </is>
      </c>
      <c r="Q21" s="3">
        <f>HYPERLINK("https://wa.me/6287764324658?text=*[PERINGATAN DARURAT SBU AL-GHANY]*%0A%0AYth. Pimpinan AL-GHANY,%0AMasa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
      <c r="A22" t="inlineStr">
        <is>
          <t>ALFA HPD</t>
        </is>
      </c>
      <c r="B22" t="inlineStr">
        <is>
          <t>Kab. Sukabumi</t>
        </is>
      </c>
      <c r="C22" t="inlineStr">
        <is>
          <t>085280769364</t>
        </is>
      </c>
      <c r="D22" t="inlineStr">
        <is>
          <t>cvalfahpd488@gmail.com</t>
        </is>
      </c>
      <c r="E22" t="inlineStr">
        <is>
          <t>https://lpjk.pu.go.id/search-badan-usaha-detail/NXE0ZUQwaU9IenlkNCt1eDBvVjBnQT09</t>
        </is>
      </c>
      <c r="F22" t="n">
        <v>3</v>
      </c>
      <c r="G22" t="inlineStr">
        <is>
          <t>BG002, BS001, BS005</t>
        </is>
      </c>
      <c r="H22" t="inlineStr">
        <is>
          <t>27 Januari 2017</t>
        </is>
      </c>
      <c r="I22" s="2" t="n">
        <v>46194</v>
      </c>
      <c r="J22" t="inlineStr">
        <is>
          <t>Pencabutan</t>
        </is>
      </c>
      <c r="K22" t="n">
        <v>30</v>
      </c>
      <c r="L22" t="inlineStr">
        <is>
          <t>21 Juni 2026</t>
        </is>
      </c>
      <c r="M22" t="inlineStr">
        <is>
          <t>Konstruksi Bangunan Sipil Jalan, Konstruksi Bangunan Sipil Pengolahan Air Bersih, Konstruksi Gedung Perkantoran</t>
        </is>
      </c>
      <c r="N22" t="inlineStr">
        <is>
          <t>K</t>
        </is>
      </c>
      <c r="O22" t="inlineStr">
        <is>
          <t>20230616</t>
        </is>
      </c>
      <c r="P22" t="inlineStr">
        <is>
          <t>Jawa Barat</t>
        </is>
      </c>
      <c r="Q22" s="3">
        <f>HYPERLINK("https://wa.me/6285280769364?text=*[PERINGATAN DARURAT SBU ALFA HPD]*%0A%0AYth. Pimpinan ALFA HPD,%0AMasa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
      <c r="A23" t="inlineStr">
        <is>
          <t>ALFALAH DS</t>
        </is>
      </c>
      <c r="B23" t="inlineStr">
        <is>
          <t>Kab. Konawe Selatan</t>
        </is>
      </c>
      <c r="C23" t="inlineStr">
        <is>
          <t>081230038716</t>
        </is>
      </c>
      <c r="D23" t="inlineStr">
        <is>
          <t>osssardiman@gmail.com</t>
        </is>
      </c>
      <c r="E23" t="inlineStr">
        <is>
          <t>https://lpjk.pu.go.id/search-badan-usaha-detail/REtiT0VzRElvckVpb1YwbFNOdm1vZz09</t>
        </is>
      </c>
      <c r="F23" t="n">
        <v>1</v>
      </c>
      <c r="G23" t="inlineStr">
        <is>
          <t>BG006</t>
        </is>
      </c>
      <c r="H23" t="inlineStr">
        <is>
          <t>23 Januari 2020</t>
        </is>
      </c>
      <c r="I23" s="2" t="n">
        <v>46194</v>
      </c>
      <c r="J23" t="inlineStr">
        <is>
          <t>Disetujui</t>
        </is>
      </c>
      <c r="K23" t="n">
        <v>30</v>
      </c>
      <c r="L23" t="inlineStr">
        <is>
          <t>21 Juni 2026</t>
        </is>
      </c>
      <c r="M23" t="inlineStr">
        <is>
          <t>Konstruksi Gedung Pendidikan</t>
        </is>
      </c>
      <c r="N23" t="inlineStr">
        <is>
          <t>K</t>
        </is>
      </c>
      <c r="O23" t="inlineStr">
        <is>
          <t>20230622</t>
        </is>
      </c>
      <c r="P23" t="inlineStr">
        <is>
          <t>Sulawesi Tenggara</t>
        </is>
      </c>
      <c r="Q23" s="3">
        <f>HYPERLINK("https://wa.me/6281230038716?text=*[PERINGATAN DARURAT SBU ALFALAH DS]*%0A%0AYth. Pimpinan ALFALAH DS,%0AMasa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
      <c r="A24" t="inlineStr">
        <is>
          <t>ALKANTARA JAYA KONSTRUKSI</t>
        </is>
      </c>
      <c r="B24" t="inlineStr">
        <is>
          <t>Kab. Sidoarjo</t>
        </is>
      </c>
      <c r="C24" t="inlineStr">
        <is>
          <t>031-8832843</t>
        </is>
      </c>
      <c r="D24" t="inlineStr">
        <is>
          <t>m.bagus_pkj@yahoo.co.id</t>
        </is>
      </c>
      <c r="E24" t="inlineStr">
        <is>
          <t>https://lpjk.pu.go.id/search-badan-usaha-detail/cnJOWWE3ZVlLb3JYYmNpMWpnOG5Xdz09</t>
        </is>
      </c>
      <c r="F24" t="n">
        <v>2</v>
      </c>
      <c r="G24" t="inlineStr">
        <is>
          <t>BG004, BG006</t>
        </is>
      </c>
      <c r="H24" t="inlineStr">
        <is>
          <t>29 Januari 2018</t>
        </is>
      </c>
      <c r="I24" s="2" t="n">
        <v>46194</v>
      </c>
      <c r="J24" t="inlineStr">
        <is>
          <t>Disetujui</t>
        </is>
      </c>
      <c r="K24" t="n">
        <v>30</v>
      </c>
      <c r="L24" t="inlineStr">
        <is>
          <t>21 Juni 2026</t>
        </is>
      </c>
      <c r="M24" t="inlineStr">
        <is>
          <t>Konstruksi Gedung Pendidikan, Konstruksi Gedung Perbelanjaan</t>
        </is>
      </c>
      <c r="N24" t="inlineStr">
        <is>
          <t>M</t>
        </is>
      </c>
      <c r="O24" t="inlineStr">
        <is>
          <t>20230619</t>
        </is>
      </c>
      <c r="P24" t="inlineStr">
        <is>
          <t>Jawa Timur</t>
        </is>
      </c>
      <c r="Q24" s="3">
        <f>HYPERLINK("https://wa.me/62318832843?text=*[PERINGATAN DARURAT SBU ALKANTARA JAYA KONSTRUKSI]*%0A%0AYth. Pimpinan ALKANTARA JAYA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
      <c r="A25" t="inlineStr">
        <is>
          <t>AMERTA GAMA NUSANTARA</t>
        </is>
      </c>
      <c r="B25" t="inlineStr">
        <is>
          <t>Kab. Grobogan</t>
        </is>
      </c>
      <c r="C25" t="inlineStr">
        <is>
          <t>082135443491</t>
        </is>
      </c>
      <c r="D25" t="inlineStr">
        <is>
          <t>amertagamanusantara@gmail.com</t>
        </is>
      </c>
      <c r="E25" t="inlineStr">
        <is>
          <t>https://lpjk.pu.go.id/search-badan-usaha-detail/WDJOaHJrQ1NybzhvQnZMK3pYRGo5UVRPckZaYnR3UE9DZmNOa0g0OFl1WT0</t>
        </is>
      </c>
      <c r="F25" t="n">
        <v>2</v>
      </c>
      <c r="G25" t="inlineStr">
        <is>
          <t>BG006</t>
        </is>
      </c>
      <c r="H25" t="inlineStr">
        <is>
          <t>17 Februari 2023</t>
        </is>
      </c>
      <c r="I25" s="2" t="n">
        <v>46194</v>
      </c>
      <c r="J25" t="inlineStr">
        <is>
          <t>Disetujui</t>
        </is>
      </c>
      <c r="K25" t="n">
        <v>30</v>
      </c>
      <c r="L25" t="inlineStr">
        <is>
          <t>21 Juni 2026</t>
        </is>
      </c>
      <c r="M25" t="inlineStr">
        <is>
          <t>Konstruksi Gedung Pendidikan</t>
        </is>
      </c>
      <c r="N25" t="inlineStr">
        <is>
          <t>K</t>
        </is>
      </c>
      <c r="O25" t="inlineStr">
        <is>
          <t>20230621</t>
        </is>
      </c>
      <c r="P25" t="inlineStr">
        <is>
          <t>Jawa Tengah</t>
        </is>
      </c>
      <c r="Q25" s="3">
        <f>HYPERLINK("https://wa.me/6282135443491?text=*[PERINGATAN DARURAT SBU AMERTA GAMA NUSANTARA]*%0A%0AYth. Pimpinan AMERTA GAMA NUSANTARA,%0AMasa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6">
      <c r="A26" t="inlineStr">
        <is>
          <t>ANGGA MAULANA</t>
        </is>
      </c>
      <c r="B26" t="inlineStr">
        <is>
          <t>Kab. Pesisir Selatan</t>
        </is>
      </c>
      <c r="C26" t="inlineStr">
        <is>
          <t>085264744310</t>
        </is>
      </c>
      <c r="D26" t="inlineStr">
        <is>
          <t>cv.anggamaulana@gmail.com</t>
        </is>
      </c>
      <c r="E26" t="inlineStr">
        <is>
          <t>https://lpjk.pu.go.id/search-badan-usaha-detail/UjNtYTBLUTdybC9XSWt0cXoyU2lTdz09</t>
        </is>
      </c>
      <c r="F26" t="n">
        <v>5</v>
      </c>
      <c r="G26" t="inlineStr">
        <is>
          <t>BG002, BG005, BG006, BG008, BG009</t>
        </is>
      </c>
      <c r="H26" t="inlineStr">
        <is>
          <t>17 Februari 2012</t>
        </is>
      </c>
      <c r="I26" s="2" t="n">
        <v>46194</v>
      </c>
      <c r="J26" t="inlineStr">
        <is>
          <t>Pencabutan</t>
        </is>
      </c>
      <c r="K26" t="n">
        <v>30</v>
      </c>
      <c r="L26" t="inlineStr">
        <is>
          <t>21 Juni 2026</t>
        </is>
      </c>
      <c r="M26" t="inlineStr">
        <is>
          <t>Konstruksi Gedung Kesehatan, Konstruksi Gedung Lainnya, Konstruksi Gedung Pendidikan, Konstruksi Gedung Perkantoran, Konstruksi Gedung Tempat Hiburan dan Olahraga</t>
        </is>
      </c>
      <c r="N26" t="inlineStr">
        <is>
          <t>K</t>
        </is>
      </c>
      <c r="O26" t="inlineStr">
        <is>
          <t>20230622</t>
        </is>
      </c>
      <c r="P26" t="inlineStr">
        <is>
          <t>Sumatera Barat</t>
        </is>
      </c>
      <c r="Q26" s="3">
        <f>HYPERLINK("https://wa.me/6285264744310?text=*[PERINGATAN DARURAT SBU ANGGA MAULANA]*%0A%0AYth. Pimpinan ANGGA MAULANA,%0AMasa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7">
      <c r="A27" t="inlineStr">
        <is>
          <t>ANGKASA JAYA ABADI</t>
        </is>
      </c>
      <c r="B27" t="inlineStr">
        <is>
          <t>Kota Bontang</t>
        </is>
      </c>
      <c r="C27" t="inlineStr">
        <is>
          <t>082157333462</t>
        </is>
      </c>
      <c r="D27" t="inlineStr">
        <is>
          <t>angkasajaya.abadi@yahoo.com</t>
        </is>
      </c>
      <c r="E27" t="inlineStr">
        <is>
          <t>https://lpjk.pu.go.id/search-badan-usaha-detail/eWRhL0VLTEw0VUlPZERpdzhtZ0Frdz09</t>
        </is>
      </c>
      <c r="F27" t="n">
        <v>8</v>
      </c>
      <c r="G27" t="inlineStr">
        <is>
          <t>BG001, BG002, BG003, BG009</t>
        </is>
      </c>
      <c r="H27" t="inlineStr">
        <is>
          <t>31 Mei 2014</t>
        </is>
      </c>
      <c r="I27" s="2" t="n">
        <v>46194</v>
      </c>
      <c r="J27" t="inlineStr">
        <is>
          <t>Disetujui</t>
        </is>
      </c>
      <c r="K27" t="n">
        <v>30</v>
      </c>
      <c r="L27" t="inlineStr">
        <is>
          <t>21 Juni 2026</t>
        </is>
      </c>
      <c r="M27" t="inlineStr">
        <is>
          <t>Konstruksi Gedung Hunian, Konstruksi Gedung Industri, Konstruksi Gedung Lainnya, Konstruksi Gedung Perkantoran</t>
        </is>
      </c>
      <c r="N27" t="inlineStr">
        <is>
          <t>K</t>
        </is>
      </c>
      <c r="O27" t="inlineStr">
        <is>
          <t>20230619</t>
        </is>
      </c>
      <c r="P27" t="inlineStr">
        <is>
          <t>Kalimantan Timur</t>
        </is>
      </c>
      <c r="Q27" s="3">
        <f>HYPERLINK("https://wa.me/6282157333462?text=*[PERINGATAN DARURAT SBU ANGKASA JAYA ABADI]*%0A%0AYth. Pimpinan ANGKASA JAYA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8">
      <c r="A28" t="inlineStr">
        <is>
          <t>ANGKASA KARYA</t>
        </is>
      </c>
      <c r="B28" t="inlineStr">
        <is>
          <t>Kota Jayapura</t>
        </is>
      </c>
      <c r="C28" t="inlineStr">
        <is>
          <t>085244617184</t>
        </is>
      </c>
      <c r="D28" t="inlineStr">
        <is>
          <t>angkasakarya18@gmail.com</t>
        </is>
      </c>
      <c r="E28" t="inlineStr">
        <is>
          <t>https://lpjk.pu.go.id/search-badan-usaha-detail/cGllYUx3dEpsRWx5VmxDZFc4dXRaQT09</t>
        </is>
      </c>
      <c r="F28" t="n">
        <v>2</v>
      </c>
      <c r="G28" t="inlineStr">
        <is>
          <t>BG009</t>
        </is>
      </c>
      <c r="H28" t="inlineStr">
        <is>
          <t>7 September 2015</t>
        </is>
      </c>
      <c r="I28" s="2" t="n">
        <v>46194</v>
      </c>
      <c r="J28" t="inlineStr">
        <is>
          <t>Pencabutan</t>
        </is>
      </c>
      <c r="K28" t="n">
        <v>30</v>
      </c>
      <c r="L28" t="inlineStr">
        <is>
          <t>21 Juni 2026</t>
        </is>
      </c>
      <c r="M28" t="inlineStr">
        <is>
          <t>Konstruksi Gedung Lainnya</t>
        </is>
      </c>
      <c r="N28" t="inlineStr">
        <is>
          <t>K</t>
        </is>
      </c>
      <c r="O28" t="inlineStr">
        <is>
          <t>20230621</t>
        </is>
      </c>
      <c r="P28" t="inlineStr">
        <is>
          <t>Papua</t>
        </is>
      </c>
      <c r="Q28" s="3">
        <f>HYPERLINK("https://wa.me/6285244617184?text=*[PERINGATAN DARURAT SBU ANGKASA KARYA]*%0A%0AYth. Pimpinan ANGKASA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9">
      <c r="A29" t="inlineStr">
        <is>
          <t>ANGKATAN SEPULUH</t>
        </is>
      </c>
      <c r="B29" t="inlineStr">
        <is>
          <t>Kota Bandar Lampung</t>
        </is>
      </c>
      <c r="C29" t="inlineStr">
        <is>
          <t>082269386051</t>
        </is>
      </c>
      <c r="D29" t="inlineStr">
        <is>
          <t>angkatansepuluhcv@gmail.com</t>
        </is>
      </c>
      <c r="E29" t="inlineStr">
        <is>
          <t>https://lpjk.pu.go.id/search-badan-usaha-detail/cTJueXhJSTB5VnFVUlpseHh5ZE16QT09</t>
        </is>
      </c>
      <c r="F29" t="n">
        <v>1</v>
      </c>
      <c r="G29" t="inlineStr">
        <is>
          <t>BS010</t>
        </is>
      </c>
      <c r="H29" t="inlineStr">
        <is>
          <t>5 Maret 2020</t>
        </is>
      </c>
      <c r="I29" s="2" t="n">
        <v>46194</v>
      </c>
      <c r="J29" t="inlineStr">
        <is>
          <t>Pencabutan</t>
        </is>
      </c>
      <c r="K29" t="n">
        <v>30</v>
      </c>
      <c r="L29" t="inlineStr">
        <is>
          <t>21 Juni 2026</t>
        </is>
      </c>
      <c r="M29" t="inlineStr">
        <is>
          <t>Konstruksi Bangunan Prasarana Sumber Daya Air</t>
        </is>
      </c>
      <c r="N29" t="inlineStr">
        <is>
          <t>K</t>
        </is>
      </c>
      <c r="O29" t="inlineStr">
        <is>
          <t>20230619</t>
        </is>
      </c>
      <c r="P29" t="inlineStr">
        <is>
          <t>Lampung</t>
        </is>
      </c>
      <c r="Q29" s="3">
        <f>HYPERLINK("https://wa.me/6282269386051?text=*[PERINGATAN DARURAT SBU ANGKATAN SEPULUH]*%0A%0AYth. Pimpinan ANGKATAN SEPULUH,%0AMasa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0">
      <c r="A30" t="inlineStr">
        <is>
          <t>ANNISA BERKAH</t>
        </is>
      </c>
      <c r="B30" t="inlineStr">
        <is>
          <t>Kota Bitung</t>
        </is>
      </c>
      <c r="C30" t="inlineStr">
        <is>
          <t>089697968575</t>
        </is>
      </c>
      <c r="D30" t="inlineStr">
        <is>
          <t>lutfhyibrahim@gmail.com</t>
        </is>
      </c>
      <c r="E30" t="inlineStr">
        <is>
          <t>https://lpjk.pu.go.id/search-badan-usaha-detail/WDJHQUpMTVJHQ1lYQkdocmN5dzRndz09</t>
        </is>
      </c>
      <c r="F30" t="n">
        <v>4</v>
      </c>
      <c r="G30" t="inlineStr">
        <is>
          <t>BG002, BG005, BG006, BG009</t>
        </is>
      </c>
      <c r="H30" t="inlineStr">
        <is>
          <t>3 September 2019</t>
        </is>
      </c>
      <c r="I30" s="2" t="n">
        <v>46194</v>
      </c>
      <c r="J30" t="inlineStr">
        <is>
          <t>Disetujui</t>
        </is>
      </c>
      <c r="K30" t="n">
        <v>30</v>
      </c>
      <c r="L30" t="inlineStr">
        <is>
          <t>21 Juni 2026</t>
        </is>
      </c>
      <c r="M30" t="inlineStr">
        <is>
          <t>Konstruksi Gedung Kesehatan, Konstruksi Gedung Lainnya, Konstruksi Gedung Pendidikan, Konstruksi Gedung Perkantoran</t>
        </is>
      </c>
      <c r="N30" t="inlineStr">
        <is>
          <t>K</t>
        </is>
      </c>
      <c r="O30" t="inlineStr">
        <is>
          <t>20230617, 20230619</t>
        </is>
      </c>
      <c r="P30" t="inlineStr">
        <is>
          <t>Sulawesi Utara</t>
        </is>
      </c>
      <c r="Q30" s="3">
        <f>HYPERLINK("https://wa.me/6289697968575?text=*[PERINGATAN DARURAT SBU ANNISA BERKAH]*%0A%0AYth. Pimpinan ANNISA BERKAH,%0AMasa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1">
      <c r="A31" t="inlineStr">
        <is>
          <t>ANTAR INDONESIA S.A (SUPPLIER &amp; AGENT)</t>
        </is>
      </c>
      <c r="B31" t="inlineStr">
        <is>
          <t>Kota Makassar</t>
        </is>
      </c>
      <c r="C31" t="inlineStr">
        <is>
          <t>0411448276</t>
        </is>
      </c>
      <c r="D31" t="inlineStr">
        <is>
          <t>cv.antarindonesia245@gmail.com</t>
        </is>
      </c>
      <c r="E31" t="inlineStr">
        <is>
          <t>https://lpjk.pu.go.id/search-badan-usaha-detail/em1EK0ZKQkpBOVIySTd1MVU0YjRLUT09</t>
        </is>
      </c>
      <c r="F31" t="n">
        <v>2</v>
      </c>
      <c r="G31" t="inlineStr">
        <is>
          <t>BG008, BS005</t>
        </is>
      </c>
      <c r="H31" t="inlineStr">
        <is>
          <t>17 Januari 1985</t>
        </is>
      </c>
      <c r="I31" s="2" t="n">
        <v>46194</v>
      </c>
      <c r="J31" t="inlineStr">
        <is>
          <t>Disetujui</t>
        </is>
      </c>
      <c r="K31" t="n">
        <v>30</v>
      </c>
      <c r="L31" t="inlineStr">
        <is>
          <t>21 Juni 2026</t>
        </is>
      </c>
      <c r="M31" t="inlineStr">
        <is>
          <t>Konstruksi Bangunan Sipil Pengolahan Air Bersih, Konstruksi Gedung Tempat Hiburan dan Olahraga</t>
        </is>
      </c>
      <c r="N31" t="inlineStr">
        <is>
          <t>K</t>
        </is>
      </c>
      <c r="O31" t="inlineStr">
        <is>
          <t>20230619</t>
        </is>
      </c>
      <c r="P31" t="inlineStr">
        <is>
          <t>Sulawesi Selatan</t>
        </is>
      </c>
      <c r="Q31" s="3">
        <f>HYPERLINK("https://wa.me/62411448276?text=*[PERINGATAN DARURAT SBU ANTAR INDONESIA S.A (SUPPLIER &amp; AGENT)]*%0A%0AYth. Pimpinan ANTAR INDONESIA S.A (SUPPLIER &amp; AGENT),%0AMasa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2">
      <c r="A32" t="inlineStr">
        <is>
          <t>ANUGERAH KREASI BERSAMA</t>
        </is>
      </c>
      <c r="B32" t="inlineStr">
        <is>
          <t>Kab. Karawang</t>
        </is>
      </c>
      <c r="C32" t="inlineStr">
        <is>
          <t>082111283777</t>
        </is>
      </c>
      <c r="D32" t="inlineStr">
        <is>
          <t>anugerah_kreasi@yahoo.com</t>
        </is>
      </c>
      <c r="E32" t="inlineStr">
        <is>
          <t>https://lpjk.pu.go.id/search-badan-usaha-detail/Vzl0Y3ladFZTc21BTTRFYWFjcmZaQT09</t>
        </is>
      </c>
      <c r="F32" t="n">
        <v>1</v>
      </c>
      <c r="G32" t="inlineStr">
        <is>
          <t>BS001</t>
        </is>
      </c>
      <c r="H32" t="inlineStr">
        <is>
          <t>21 Oktober 2015</t>
        </is>
      </c>
      <c r="I32" s="2" t="n">
        <v>46194</v>
      </c>
      <c r="J32" t="inlineStr">
        <is>
          <t>Disetujui</t>
        </is>
      </c>
      <c r="K32" t="n">
        <v>30</v>
      </c>
      <c r="L32" t="inlineStr">
        <is>
          <t>21 Juni 2026</t>
        </is>
      </c>
      <c r="M32" t="inlineStr">
        <is>
          <t>Konstruksi Bangunan Sipil Jalan</t>
        </is>
      </c>
      <c r="N32" t="inlineStr">
        <is>
          <t>K</t>
        </is>
      </c>
      <c r="O32" t="inlineStr">
        <is>
          <t>20230620</t>
        </is>
      </c>
      <c r="P32" t="inlineStr">
        <is>
          <t>Jawa Barat</t>
        </is>
      </c>
      <c r="Q32" s="3">
        <f>HYPERLINK("https://wa.me/6282111283777?text=*[PERINGATAN DARURAT SBU ANUGERAH KREASI BERSAMA]*%0A%0AYth. Pimpinan ANUGERAH KREASI BERSAMA,%0AMasa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3">
      <c r="A33" t="inlineStr">
        <is>
          <t>ANUGERAH SEMBILAN DUA</t>
        </is>
      </c>
      <c r="B33" t="inlineStr">
        <is>
          <t>Kota Kendari</t>
        </is>
      </c>
      <c r="C33" t="inlineStr">
        <is>
          <t>082192308297</t>
        </is>
      </c>
      <c r="D33" t="inlineStr">
        <is>
          <t>cv.anugerah1992@gmail.com</t>
        </is>
      </c>
      <c r="E33" t="inlineStr">
        <is>
          <t>https://lpjk.pu.go.id/search-badan-usaha-detail/dlh3amRZNmd1RnhGTEhxbEFWcXRYZz09</t>
        </is>
      </c>
      <c r="F33" t="n">
        <v>2</v>
      </c>
      <c r="G33" t="inlineStr">
        <is>
          <t>BG002, BG006</t>
        </is>
      </c>
      <c r="H33" t="inlineStr">
        <is>
          <t>20 Juli 2020</t>
        </is>
      </c>
      <c r="I33" s="2" t="n">
        <v>46194</v>
      </c>
      <c r="J33" t="inlineStr">
        <is>
          <t>Disetujui</t>
        </is>
      </c>
      <c r="K33" t="n">
        <v>30</v>
      </c>
      <c r="L33" t="inlineStr">
        <is>
          <t>21 Juni 2026</t>
        </is>
      </c>
      <c r="M33" t="inlineStr">
        <is>
          <t>Konstruksi Gedung Pendidikan, Konstruksi Gedung Perkantoran</t>
        </is>
      </c>
      <c r="N33" t="inlineStr">
        <is>
          <t>K</t>
        </is>
      </c>
      <c r="O33" t="inlineStr">
        <is>
          <t>20230614</t>
        </is>
      </c>
      <c r="P33" t="inlineStr">
        <is>
          <t>Sulawesi Tenggara</t>
        </is>
      </c>
      <c r="Q33" s="3">
        <f>HYPERLINK("https://wa.me/6282192308297?text=*[PERINGATAN DARURAT SBU ANUGERAH SEMBILAN DUA]*%0A%0AYth. Pimpinan ANUGERAH SEMBILAN DUA,%0AMasa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4">
      <c r="A34" t="inlineStr">
        <is>
          <t>ANUGRAH PRATAMA</t>
        </is>
      </c>
      <c r="B34" t="inlineStr">
        <is>
          <t>Kab. Sarolangun</t>
        </is>
      </c>
      <c r="C34" t="inlineStr">
        <is>
          <t>082375683289</t>
        </is>
      </c>
      <c r="D34" t="inlineStr">
        <is>
          <t>pratamaanugrah057@gmail.com</t>
        </is>
      </c>
      <c r="E34" t="inlineStr">
        <is>
          <t>https://lpjk.pu.go.id/search-badan-usaha-detail/L3NobXQ3SmVqb0plM0xPUm0vMEZwdz09</t>
        </is>
      </c>
      <c r="F34" t="n">
        <v>4</v>
      </c>
      <c r="G34" t="inlineStr">
        <is>
          <t>BS001, BS005</t>
        </is>
      </c>
      <c r="H34" t="inlineStr">
        <is>
          <t>13 Agustus 2018</t>
        </is>
      </c>
      <c r="I34" s="2" t="n">
        <v>46194</v>
      </c>
      <c r="J34" t="inlineStr">
        <is>
          <t>Disetujui</t>
        </is>
      </c>
      <c r="K34" t="n">
        <v>30</v>
      </c>
      <c r="L34" t="inlineStr">
        <is>
          <t>21 Juni 2026</t>
        </is>
      </c>
      <c r="M34" t="inlineStr">
        <is>
          <t>Konstruksi Bangunan Sipil Jalan, Konstruksi Bangunan Sipil Pengolahan Air Bersih</t>
        </is>
      </c>
      <c r="N34" t="inlineStr">
        <is>
          <t>K</t>
        </is>
      </c>
      <c r="O34" t="inlineStr">
        <is>
          <t>20230612, 20230615</t>
        </is>
      </c>
      <c r="P34" t="inlineStr">
        <is>
          <t>Jambi</t>
        </is>
      </c>
      <c r="Q34" s="3">
        <f>HYPERLINK("https://wa.me/6282375683289?text=*[PERINGATAN DARURAT SBU ANUGRAH PRATAMA]*%0A%0AYth. Pimpinan ANUGRAH PRATAMA,%0AMasa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5">
      <c r="A35" t="inlineStr">
        <is>
          <t>ANUGRAH REZEKI PRIMA</t>
        </is>
      </c>
      <c r="B35" t="inlineStr">
        <is>
          <t>Kota Medan</t>
        </is>
      </c>
      <c r="C35" t="inlineStr">
        <is>
          <t>081263665880</t>
        </is>
      </c>
      <c r="D35" t="inlineStr">
        <is>
          <t>ptanugrahrezekiprima@gmail.com</t>
        </is>
      </c>
      <c r="E35" t="inlineStr">
        <is>
          <t>https://lpjk.pu.go.id/search-badan-usaha-detail/djNBTWVBOHZyU00wU1YzWHorK3NVZz09</t>
        </is>
      </c>
      <c r="F35" t="n">
        <v>6</v>
      </c>
      <c r="G35" t="inlineStr">
        <is>
          <t>BG002, BG005, BG006</t>
        </is>
      </c>
      <c r="H35" t="inlineStr">
        <is>
          <t>7 Februari 2006</t>
        </is>
      </c>
      <c r="I35" s="2" t="n">
        <v>46194</v>
      </c>
      <c r="J35" t="inlineStr">
        <is>
          <t>Disetujui</t>
        </is>
      </c>
      <c r="K35" t="n">
        <v>30</v>
      </c>
      <c r="L35" t="inlineStr">
        <is>
          <t>21 Juni 2026</t>
        </is>
      </c>
      <c r="M35" t="inlineStr">
        <is>
          <t>Konstruksi Gedung Kesehatan, Konstruksi Gedung Pendidikan, Konstruksi Gedung Perkantoran</t>
        </is>
      </c>
      <c r="N35" t="inlineStr">
        <is>
          <t>M</t>
        </is>
      </c>
      <c r="O35" t="inlineStr">
        <is>
          <t>20230619</t>
        </is>
      </c>
      <c r="P35" t="inlineStr">
        <is>
          <t>Sumatera Utara</t>
        </is>
      </c>
      <c r="Q35" s="3">
        <f>HYPERLINK("https://wa.me/6281263665880?text=*[PERINGATAN DARURAT SBU ANUGRAH REZEKI PRIMA]*%0A%0AYth. Pimpinan ANUGRAH REZEKI PRIMA,%0AMasa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6">
      <c r="A36" t="inlineStr">
        <is>
          <t>ARISMADATA SETIA</t>
        </is>
      </c>
      <c r="B36" t="inlineStr">
        <is>
          <t>Kota Adm. Jakarta Barat</t>
        </is>
      </c>
      <c r="C36" t="inlineStr">
        <is>
          <t>25681188</t>
        </is>
      </c>
      <c r="D36" t="inlineStr">
        <is>
          <t>info@arismadata.com</t>
        </is>
      </c>
      <c r="E36" t="inlineStr">
        <is>
          <t>https://lpjk.pu.go.id/search-badan-usaha-detail/ZjFlMkZPeE9mcGtNWENlZFN3MzhjZz09</t>
        </is>
      </c>
      <c r="F36" t="n">
        <v>1</v>
      </c>
      <c r="G36" t="inlineStr">
        <is>
          <t>BS009</t>
        </is>
      </c>
      <c r="H36" t="inlineStr">
        <is>
          <t>8 Oktober 1991</t>
        </is>
      </c>
      <c r="I36" s="2" t="n">
        <v>46194</v>
      </c>
      <c r="J36" t="inlineStr">
        <is>
          <t>Disetujui</t>
        </is>
      </c>
      <c r="K36" t="n">
        <v>30</v>
      </c>
      <c r="L36" t="inlineStr">
        <is>
          <t>21 Juni 2026</t>
        </is>
      </c>
      <c r="M36" t="inlineStr">
        <is>
          <t>Konstruksi Sentral Telekomunikasi</t>
        </is>
      </c>
      <c r="N36" t="inlineStr">
        <is>
          <t>K</t>
        </is>
      </c>
      <c r="O36" t="inlineStr">
        <is>
          <t>20230619</t>
        </is>
      </c>
      <c r="P36" t="inlineStr">
        <is>
          <t>DKI Jakarta</t>
        </is>
      </c>
      <c r="Q36" t="inlineStr"/>
    </row>
    <row r="37">
      <c r="A37" t="inlineStr">
        <is>
          <t>ARKAN INDOTAMA</t>
        </is>
      </c>
      <c r="B37" t="inlineStr">
        <is>
          <t>Kab. Kampar</t>
        </is>
      </c>
      <c r="C37" t="inlineStr">
        <is>
          <t>082388215018</t>
        </is>
      </c>
      <c r="D37" t="inlineStr">
        <is>
          <t>cvarkanindotama@yahoo.com</t>
        </is>
      </c>
      <c r="E37" t="inlineStr">
        <is>
          <t>https://lpjk.pu.go.id/search-badan-usaha-detail/Vnl3QStkWS9MazJta3BkdFE0YjJJUT09</t>
        </is>
      </c>
      <c r="F37" t="n">
        <v>4</v>
      </c>
      <c r="G37" t="inlineStr">
        <is>
          <t>BG002, BG006</t>
        </is>
      </c>
      <c r="H37" t="inlineStr">
        <is>
          <t>3 Maret 2017</t>
        </is>
      </c>
      <c r="I37" s="2" t="n">
        <v>46194</v>
      </c>
      <c r="J37" t="inlineStr">
        <is>
          <t>Disetujui</t>
        </is>
      </c>
      <c r="K37" t="n">
        <v>30</v>
      </c>
      <c r="L37" t="inlineStr">
        <is>
          <t>21 Juni 2026</t>
        </is>
      </c>
      <c r="M37" t="inlineStr">
        <is>
          <t>Konstruksi Gedung Pendidikan, Konstruksi Gedung Perkantoran</t>
        </is>
      </c>
      <c r="N37" t="inlineStr">
        <is>
          <t>K</t>
        </is>
      </c>
      <c r="O37" t="inlineStr">
        <is>
          <t>20230620</t>
        </is>
      </c>
      <c r="P37" t="inlineStr">
        <is>
          <t>Riau</t>
        </is>
      </c>
      <c r="Q37" s="3">
        <f>HYPERLINK("https://wa.me/6282388215018?text=*[PERINGATAN DARURAT SBU ARKAN INDOTAMA]*%0A%0AYth. Pimpinan ARKAN INDOTAMA,%0AMasa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8">
      <c r="A38" t="inlineStr">
        <is>
          <t>ARWINDO KONSULTAN</t>
        </is>
      </c>
      <c r="B38" t="inlineStr">
        <is>
          <t>Kab. Pati</t>
        </is>
      </c>
      <c r="C38" t="inlineStr">
        <is>
          <t>085100503765</t>
        </is>
      </c>
      <c r="D38" t="inlineStr">
        <is>
          <t>cv_arwindo@yahoo.co.id</t>
        </is>
      </c>
      <c r="E38" t="inlineStr">
        <is>
          <t>https://lpjk.pu.go.id/search-badan-usaha-detail/MEZkd0REcXhSMEh6VGpXTm5xdVkzUT09</t>
        </is>
      </c>
      <c r="F38" t="n">
        <v>4</v>
      </c>
      <c r="G38" t="inlineStr">
        <is>
          <t>AL001, AL002, AL003, AL004</t>
        </is>
      </c>
      <c r="H38" t="inlineStr">
        <is>
          <t>15 Januari 1998</t>
        </is>
      </c>
      <c r="I38" s="2" t="n">
        <v>46194</v>
      </c>
      <c r="J38" t="inlineStr">
        <is>
          <t>Disetujui</t>
        </is>
      </c>
      <c r="K38" t="n">
        <v>30</v>
      </c>
      <c r="L38" t="inlineStr">
        <is>
          <t>21 Juni 2026</t>
        </is>
      </c>
      <c r="M38" t="inlineStr">
        <is>
          <t>Jasa Pengembangan Lingkungan Bangunan dan Lanskap, Jasa Pengembangan Pemanfaatan Ruang, Jasa Pengembangan Perkotaan, Jasa Pengembangan Wilayah</t>
        </is>
      </c>
      <c r="N38" t="inlineStr">
        <is>
          <t>K</t>
        </is>
      </c>
      <c r="O38" t="inlineStr">
        <is>
          <t>20230616</t>
        </is>
      </c>
      <c r="P38" t="inlineStr">
        <is>
          <t>Jawa Tengah</t>
        </is>
      </c>
      <c r="Q38" s="3">
        <f>HYPERLINK("https://wa.me/6285100503765?text=*[PERINGATAN DARURAT SBU ARWINDO KONSULTAN]*%0A%0AYth. Pimpinan ARWINDO KONSULTAN,%0AMasa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39">
      <c r="A39" t="inlineStr">
        <is>
          <t>ASA WIRA</t>
        </is>
      </c>
      <c r="B39" t="inlineStr">
        <is>
          <t>Kab. Lampung Tengah</t>
        </is>
      </c>
      <c r="C39" t="inlineStr">
        <is>
          <t>082279297273</t>
        </is>
      </c>
      <c r="D39" t="inlineStr">
        <is>
          <t>asawira.cv@gmail.com</t>
        </is>
      </c>
      <c r="E39" t="inlineStr">
        <is>
          <t>https://lpjk.pu.go.id/search-badan-usaha-detail/SVVyUlliamVJVmpZMWhMMlA0Q25qdz09</t>
        </is>
      </c>
      <c r="F39" t="n">
        <v>1</v>
      </c>
      <c r="G39" t="inlineStr">
        <is>
          <t>BS002</t>
        </is>
      </c>
      <c r="H39" t="inlineStr">
        <is>
          <t>20 November 2017</t>
        </is>
      </c>
      <c r="I39" s="2" t="n">
        <v>46194</v>
      </c>
      <c r="J39" t="inlineStr">
        <is>
          <t>Disetujui</t>
        </is>
      </c>
      <c r="K39" t="n">
        <v>30</v>
      </c>
      <c r="L39" t="inlineStr">
        <is>
          <t>21 Juni 2026</t>
        </is>
      </c>
      <c r="M39" t="inlineStr">
        <is>
          <t>Bangunan Sipil Jembatan, Jalan Layang, Fly Over, dan Underpass</t>
        </is>
      </c>
      <c r="N39" t="inlineStr">
        <is>
          <t>K</t>
        </is>
      </c>
      <c r="O39" t="inlineStr">
        <is>
          <t>20221007</t>
        </is>
      </c>
      <c r="P39" t="inlineStr">
        <is>
          <t>Lampung</t>
        </is>
      </c>
      <c r="Q39" s="3">
        <f>HYPERLINK("https://wa.me/6282279297273?text=*[PERINGATAN DARURAT SBU ASA WIRA]*%0A%0AYth. Pimpinan ASA WIRA,%0AMasa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0">
      <c r="A40" t="inlineStr">
        <is>
          <t>ASIA KARYA TEKNIK</t>
        </is>
      </c>
      <c r="B40" t="inlineStr">
        <is>
          <t>Kab. Gayo Lues</t>
        </is>
      </c>
      <c r="C40" t="inlineStr">
        <is>
          <t>085206116367</t>
        </is>
      </c>
      <c r="D40" t="inlineStr">
        <is>
          <t>ptasiakaryateknik@gmail.com</t>
        </is>
      </c>
      <c r="E40" t="inlineStr">
        <is>
          <t>https://lpjk.pu.go.id/search-badan-usaha-detail/QWFGdURFSVJxZ2pYU3o5dVBVakNXdz09</t>
        </is>
      </c>
      <c r="F40" t="n">
        <v>1</v>
      </c>
      <c r="G40" t="inlineStr">
        <is>
          <t>BS010</t>
        </is>
      </c>
      <c r="H40" t="inlineStr">
        <is>
          <t>5 Januari 2017</t>
        </is>
      </c>
      <c r="I40" s="2" t="n">
        <v>46194</v>
      </c>
      <c r="J40" t="inlineStr">
        <is>
          <t>Pencabutan</t>
        </is>
      </c>
      <c r="K40" t="n">
        <v>30</v>
      </c>
      <c r="L40" t="inlineStr">
        <is>
          <t>21 Juni 2026</t>
        </is>
      </c>
      <c r="M40" t="inlineStr">
        <is>
          <t>Konstruksi Bangunan Prasarana Sumber Daya Air</t>
        </is>
      </c>
      <c r="N40" t="inlineStr">
        <is>
          <t>M</t>
        </is>
      </c>
      <c r="O40" t="inlineStr">
        <is>
          <t>20230609</t>
        </is>
      </c>
      <c r="P40" t="inlineStr">
        <is>
          <t>Aceh</t>
        </is>
      </c>
      <c r="Q40" s="3">
        <f>HYPERLINK("https://wa.me/6285206116367?text=*[PERINGATAN DARURAT SBU ASIA KARYA TEKNIK]*%0A%0AYth. Pimpinan ASIA KARYA TEKNIK,%0AMasa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1">
      <c r="A41" t="inlineStr">
        <is>
          <t>ATMAJAYA BANGUN CONSULTANT</t>
        </is>
      </c>
      <c r="B41" t="inlineStr">
        <is>
          <t>Kota Palangkaraya</t>
        </is>
      </c>
      <c r="C41" t="inlineStr">
        <is>
          <t>081254161458</t>
        </is>
      </c>
      <c r="D41" t="inlineStr">
        <is>
          <t>pras.atmajaya@gmail.com</t>
        </is>
      </c>
      <c r="E41" t="inlineStr">
        <is>
          <t>https://lpjk.pu.go.id/search-badan-usaha-detail/d0N6cWU1NGVJREdiQ29uL0RTTXNYZz09</t>
        </is>
      </c>
      <c r="F41" t="n">
        <v>2</v>
      </c>
      <c r="G41" t="inlineStr">
        <is>
          <t>RK001</t>
        </is>
      </c>
      <c r="H41" t="inlineStr">
        <is>
          <t>14 Juli 2020</t>
        </is>
      </c>
      <c r="I41" s="2" t="n">
        <v>46194</v>
      </c>
      <c r="J41" t="inlineStr">
        <is>
          <t>Disetujui</t>
        </is>
      </c>
      <c r="K41" t="n">
        <v>30</v>
      </c>
      <c r="L41" t="inlineStr">
        <is>
          <t>21 Juni 2026</t>
        </is>
      </c>
      <c r="M41" t="inlineStr">
        <is>
          <t>Jasa Rekayasa Konstruksi Bangunan Gedung Hunian dan Non Hunian</t>
        </is>
      </c>
      <c r="N41" t="inlineStr">
        <is>
          <t>K</t>
        </is>
      </c>
      <c r="O41" t="inlineStr">
        <is>
          <t>20230523</t>
        </is>
      </c>
      <c r="P41" t="inlineStr">
        <is>
          <t>Kalimantan Tengah</t>
        </is>
      </c>
      <c r="Q41" s="3">
        <f>HYPERLINK("https://wa.me/6281254161458?text=*[PERINGATAN DARURAT SBU ATMAJAYA BANGUN CONSULTANT]*%0A%0AYth. Pimpinan ATMAJAYA BANGUN CONSULTANT,%0AMasa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2">
      <c r="A42" t="inlineStr">
        <is>
          <t>AUDI JAYA</t>
        </is>
      </c>
      <c r="B42" t="inlineStr">
        <is>
          <t>Kab. Majalengka</t>
        </is>
      </c>
      <c r="C42" t="inlineStr">
        <is>
          <t>085315785555</t>
        </is>
      </c>
      <c r="D42" t="inlineStr">
        <is>
          <t>audijaya99@gmail.com</t>
        </is>
      </c>
      <c r="E42" t="inlineStr">
        <is>
          <t>https://lpjk.pu.go.id/search-badan-usaha-detail/aW1NN210RlJXMXVxSWlWZUJ5WHR3QT09</t>
        </is>
      </c>
      <c r="F42" t="n">
        <v>1</v>
      </c>
      <c r="G42" t="inlineStr">
        <is>
          <t>BS004</t>
        </is>
      </c>
      <c r="H42" t="inlineStr">
        <is>
          <t>6 September 2018</t>
        </is>
      </c>
      <c r="I42" s="2" t="n">
        <v>46194</v>
      </c>
      <c r="J42" t="inlineStr">
        <is>
          <t>Disetujui</t>
        </is>
      </c>
      <c r="K42" t="n">
        <v>30</v>
      </c>
      <c r="L42" t="inlineStr">
        <is>
          <t>21 Juni 2026</t>
        </is>
      </c>
      <c r="M42" t="inlineStr">
        <is>
          <t>Konstruksi Jaringan Irigasi dan Drainase</t>
        </is>
      </c>
      <c r="N42" t="inlineStr">
        <is>
          <t>K</t>
        </is>
      </c>
      <c r="O42" t="inlineStr">
        <is>
          <t>20230621</t>
        </is>
      </c>
      <c r="P42" t="inlineStr">
        <is>
          <t>Jawa Barat</t>
        </is>
      </c>
      <c r="Q42" s="3">
        <f>HYPERLINK("https://wa.me/6285315785555?text=*[PERINGATAN DARURAT SBU AUDI JAYA]*%0A%0AYth. Pimpinan AUDI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3">
      <c r="A43" t="inlineStr">
        <is>
          <t>AULIA ABADI</t>
        </is>
      </c>
      <c r="B43" t="inlineStr">
        <is>
          <t>Kota Malang</t>
        </is>
      </c>
      <c r="C43" t="inlineStr">
        <is>
          <t>081217263357</t>
        </is>
      </c>
      <c r="D43" t="inlineStr">
        <is>
          <t>auliabadi.indonesia@gmail.com</t>
        </is>
      </c>
      <c r="E43" t="inlineStr">
        <is>
          <t>https://lpjk.pu.go.id/search-badan-usaha-detail/am1ybTBoNDVjOXpnSmFHZERxcG01dz09</t>
        </is>
      </c>
      <c r="F43" t="n">
        <v>2</v>
      </c>
      <c r="G43" t="inlineStr">
        <is>
          <t>PB001, PB003</t>
        </is>
      </c>
      <c r="H43" t="inlineStr">
        <is>
          <t>7 Maret 2015</t>
        </is>
      </c>
      <c r="I43" s="2" t="n">
        <v>46194</v>
      </c>
      <c r="J43" t="inlineStr">
        <is>
          <t>Disetujui</t>
        </is>
      </c>
      <c r="K43" t="n">
        <v>30</v>
      </c>
      <c r="L43" t="inlineStr">
        <is>
          <t>21 Juni 2026</t>
        </is>
      </c>
      <c r="M43" t="inlineStr">
        <is>
          <t>Pengerjaan Lantai, Dinding, Peralatan Saniter dan Plafon, Pengerjaan Pemasangan Kaca dan Alumunium</t>
        </is>
      </c>
      <c r="N43" t="inlineStr">
        <is>
          <t>Spesialis</t>
        </is>
      </c>
      <c r="O43" t="inlineStr">
        <is>
          <t>20230619</t>
        </is>
      </c>
      <c r="P43" t="inlineStr">
        <is>
          <t>Jawa Timur</t>
        </is>
      </c>
      <c r="Q43" s="3">
        <f>HYPERLINK("https://wa.me/6281217263357?text=*[PERINGATAN DARURAT SBU AULIA ABADI]*%0A%0AYth. Pimpinan AULIA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4">
      <c r="A44" t="inlineStr">
        <is>
          <t>AURA SINAR BARU</t>
        </is>
      </c>
      <c r="B44" t="inlineStr">
        <is>
          <t>Kota Surabaya</t>
        </is>
      </c>
      <c r="C44" t="inlineStr">
        <is>
          <t>0318280866</t>
        </is>
      </c>
      <c r="D44" t="inlineStr">
        <is>
          <t>sinarbarutirta@gmail.com</t>
        </is>
      </c>
      <c r="E44" t="inlineStr">
        <is>
          <t>https://lpjk.pu.go.id/search-badan-usaha-detail/MkZUaTV4MXZsaVBwYXo3dkxBZWtUZz09</t>
        </is>
      </c>
      <c r="F44" t="n">
        <v>1</v>
      </c>
      <c r="G44" t="inlineStr">
        <is>
          <t>PL003</t>
        </is>
      </c>
      <c r="H44" t="inlineStr">
        <is>
          <t>9 November 2006</t>
        </is>
      </c>
      <c r="I44" s="2" t="n">
        <v>46194</v>
      </c>
      <c r="J44" t="inlineStr">
        <is>
          <t>Disetujui</t>
        </is>
      </c>
      <c r="K44" t="n">
        <v>30</v>
      </c>
      <c r="L44" t="inlineStr">
        <is>
          <t>21 Juni 2026</t>
        </is>
      </c>
      <c r="M44" t="inlineStr">
        <is>
          <t>Penyiapan Lahan Konstruksi</t>
        </is>
      </c>
      <c r="N44" t="inlineStr">
        <is>
          <t>Spesialis</t>
        </is>
      </c>
      <c r="O44" t="inlineStr">
        <is>
          <t>20230613</t>
        </is>
      </c>
      <c r="P44" t="inlineStr">
        <is>
          <t>Jawa Timur</t>
        </is>
      </c>
      <c r="Q44" s="3">
        <f>HYPERLINK("https://wa.me/62318280866?text=*[PERINGATAN DARURAT SBU AURA SINAR BARU]*%0A%0AYth. Pimpinan AURA SINAR BARU,%0AMasa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5">
      <c r="A45" t="inlineStr">
        <is>
          <t>AZ-ZAHRA</t>
        </is>
      </c>
      <c r="B45" t="inlineStr">
        <is>
          <t>Kab. Luwu Timur</t>
        </is>
      </c>
      <c r="C45" t="inlineStr">
        <is>
          <t>081342076038</t>
        </is>
      </c>
      <c r="D45" t="inlineStr">
        <is>
          <t>azzahracv01@gmail.com</t>
        </is>
      </c>
      <c r="E45" t="inlineStr">
        <is>
          <t>https://lpjk.pu.go.id/search-badan-usaha-detail/MVJuYkhFTXpQNVZ1Skw1SmZ3ek9vdz09</t>
        </is>
      </c>
      <c r="F45" t="n">
        <v>2</v>
      </c>
      <c r="G45" t="inlineStr">
        <is>
          <t>BS001, BS004</t>
        </is>
      </c>
      <c r="H45" t="inlineStr">
        <is>
          <t>25 Agustus 2005</t>
        </is>
      </c>
      <c r="I45" s="2" t="n">
        <v>46194</v>
      </c>
      <c r="J45" t="inlineStr">
        <is>
          <t>Disetujui</t>
        </is>
      </c>
      <c r="K45" t="n">
        <v>30</v>
      </c>
      <c r="L45" t="inlineStr">
        <is>
          <t>21 Juni 2026</t>
        </is>
      </c>
      <c r="M45" t="inlineStr">
        <is>
          <t>Konstruksi Bangunan Sipil Jalan, Konstruksi Jaringan Irigasi dan Drainase</t>
        </is>
      </c>
      <c r="N45" t="inlineStr">
        <is>
          <t>K</t>
        </is>
      </c>
      <c r="O45" t="inlineStr">
        <is>
          <t>20230506, 20230610</t>
        </is>
      </c>
      <c r="P45" t="inlineStr">
        <is>
          <t>Sulawesi Selatan</t>
        </is>
      </c>
      <c r="Q45" s="3">
        <f>HYPERLINK("https://wa.me/6281342076038?text=*[PERINGATAN DARURAT SBU AZ-ZAHRA]*%0A%0AYth. Pimpinan AZ-ZAHRA,%0AMasa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6">
      <c r="A46" t="inlineStr">
        <is>
          <t>AZKAR CONSULTANT</t>
        </is>
      </c>
      <c r="B46" t="inlineStr">
        <is>
          <t>Kab. Bangkalan</t>
        </is>
      </c>
      <c r="C46" t="inlineStr">
        <is>
          <t>082232211441</t>
        </is>
      </c>
      <c r="D46" t="inlineStr">
        <is>
          <t>azkarconsultant@gmail.com</t>
        </is>
      </c>
      <c r="E46" t="inlineStr">
        <is>
          <t>https://lpjk.pu.go.id/search-badan-usaha-detail/OXlaNmxGd21WVVhtSXMvb0d6blVSQT09</t>
        </is>
      </c>
      <c r="F46" t="n">
        <v>1</v>
      </c>
      <c r="G46" t="inlineStr">
        <is>
          <t>AR001</t>
        </is>
      </c>
      <c r="H46" t="inlineStr">
        <is>
          <t>14 Juni 2016</t>
        </is>
      </c>
      <c r="I46" s="2" t="n">
        <v>46194</v>
      </c>
      <c r="J46" t="inlineStr">
        <is>
          <t>Disetujui</t>
        </is>
      </c>
      <c r="K46" t="n">
        <v>30</v>
      </c>
      <c r="L46" t="inlineStr">
        <is>
          <t>21 Juni 2026</t>
        </is>
      </c>
      <c r="M46" t="inlineStr">
        <is>
          <t>Jasa Arsitektural Bangunan Gedung Hunian dan Non Hunian</t>
        </is>
      </c>
      <c r="N46" t="inlineStr">
        <is>
          <t>K</t>
        </is>
      </c>
      <c r="O46" t="inlineStr">
        <is>
          <t>20230606</t>
        </is>
      </c>
      <c r="P46" t="inlineStr">
        <is>
          <t>Jawa Timur</t>
        </is>
      </c>
      <c r="Q46" s="3">
        <f>HYPERLINK("https://wa.me/6282232211441?text=*[PERINGATAN DARURAT SBU AZKAR CONSULTANT]*%0A%0AYth. Pimpinan AZKAR CONSULTANT,%0AMasa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7">
      <c r="A47" t="inlineStr">
        <is>
          <t>AZZAM</t>
        </is>
      </c>
      <c r="B47" t="inlineStr">
        <is>
          <t>Kota Banda Aceh</t>
        </is>
      </c>
      <c r="C47" t="inlineStr">
        <is>
          <t>085207104119</t>
        </is>
      </c>
      <c r="D47" t="inlineStr">
        <is>
          <t>cv.azzam@gmail.com</t>
        </is>
      </c>
      <c r="E47" t="inlineStr">
        <is>
          <t>https://lpjk.pu.go.id/search-badan-usaha-detail/Y3VXSFYrdXpXZFNkQ25GMDUvTnJFUT09</t>
        </is>
      </c>
      <c r="F47" t="n">
        <v>8</v>
      </c>
      <c r="G47" t="inlineStr">
        <is>
          <t>BG003, BG006, BG009, BS004</t>
        </is>
      </c>
      <c r="H47" t="inlineStr">
        <is>
          <t>27 November 2012</t>
        </is>
      </c>
      <c r="I47" s="2" t="n">
        <v>46194</v>
      </c>
      <c r="J47" t="inlineStr">
        <is>
          <t>Disetujui</t>
        </is>
      </c>
      <c r="K47" t="n">
        <v>30</v>
      </c>
      <c r="L47" t="inlineStr">
        <is>
          <t>21 Juni 2026</t>
        </is>
      </c>
      <c r="M47" t="inlineStr">
        <is>
          <t>Konstruksi Gedung Industri, Konstruksi Gedung Lainnya, Konstruksi Gedung Pendidikan, Konstruksi Jaringan Irigasi dan Drainase</t>
        </is>
      </c>
      <c r="N47" t="inlineStr">
        <is>
          <t>K</t>
        </is>
      </c>
      <c r="O47" t="inlineStr">
        <is>
          <t>20230608</t>
        </is>
      </c>
      <c r="P47" t="inlineStr">
        <is>
          <t>Aceh</t>
        </is>
      </c>
      <c r="Q47" s="3">
        <f>HYPERLINK("https://wa.me/6285207104119?text=*[PERINGATAN DARURAT SBU AZZAM]*%0A%0AYth. Pimpinan AZZAM,%0AMasa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8">
      <c r="A48" t="inlineStr">
        <is>
          <t>BAHAGIA TIMOR MANDIRI</t>
        </is>
      </c>
      <c r="B48" t="inlineStr">
        <is>
          <t>Kab. Belu</t>
        </is>
      </c>
      <c r="C48" t="inlineStr">
        <is>
          <t>82144356666</t>
        </is>
      </c>
      <c r="D48" t="inlineStr">
        <is>
          <t>bahagiatimormandiript@gmail.com</t>
        </is>
      </c>
      <c r="E48" t="inlineStr">
        <is>
          <t>https://lpjk.pu.go.id/search-badan-usaha-detail/UU92aDlJQUlXVExCUXRSQ3dyVGltdz09</t>
        </is>
      </c>
      <c r="F48" t="n">
        <v>1</v>
      </c>
      <c r="G48" t="inlineStr">
        <is>
          <t>BS001</t>
        </is>
      </c>
      <c r="H48" t="inlineStr">
        <is>
          <t>3 Juni 2006</t>
        </is>
      </c>
      <c r="I48" s="2" t="n">
        <v>46194</v>
      </c>
      <c r="J48" t="inlineStr">
        <is>
          <t>Disetujui</t>
        </is>
      </c>
      <c r="K48" t="n">
        <v>30</v>
      </c>
      <c r="L48" t="inlineStr">
        <is>
          <t>21 Juni 2026</t>
        </is>
      </c>
      <c r="M48" t="inlineStr">
        <is>
          <t>Konstruksi Bangunan Sipil Jalan</t>
        </is>
      </c>
      <c r="N48" t="inlineStr">
        <is>
          <t>M</t>
        </is>
      </c>
      <c r="O48" t="inlineStr">
        <is>
          <t>20230515</t>
        </is>
      </c>
      <c r="P48" t="inlineStr">
        <is>
          <t>Nusa Tenggara Timur</t>
        </is>
      </c>
      <c r="Q48" s="3">
        <f>HYPERLINK("https://wa.me/6282144356666?text=*[PERINGATAN DARURAT SBU BAHAGIA TIMOR MANDIRI]*%0A%0AYth. Pimpinan BAHAGIA TIMOR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49">
      <c r="A49" t="inlineStr">
        <is>
          <t>BANDA BENTAN BETUAH</t>
        </is>
      </c>
      <c r="B49" t="inlineStr">
        <is>
          <t>Kab. Bintan</t>
        </is>
      </c>
      <c r="C49" t="inlineStr">
        <is>
          <t>08126677799</t>
        </is>
      </c>
      <c r="D49" t="inlineStr">
        <is>
          <t>bandabentan@gmail.com</t>
        </is>
      </c>
      <c r="E49" t="inlineStr">
        <is>
          <t>https://lpjk.pu.go.id/search-badan-usaha-detail/Zlhta2hTZGlQandQTVBhNlQ0ZzRtQT09</t>
        </is>
      </c>
      <c r="F49" t="n">
        <v>2</v>
      </c>
      <c r="G49" t="inlineStr">
        <is>
          <t>BG005, BG006</t>
        </is>
      </c>
      <c r="H49" t="inlineStr">
        <is>
          <t>1 Agustus 2007</t>
        </is>
      </c>
      <c r="I49" s="2" t="n">
        <v>46194</v>
      </c>
      <c r="J49" t="inlineStr">
        <is>
          <t>Disetujui</t>
        </is>
      </c>
      <c r="K49" t="n">
        <v>30</v>
      </c>
      <c r="L49" t="inlineStr">
        <is>
          <t>21 Juni 2026</t>
        </is>
      </c>
      <c r="M49" t="inlineStr">
        <is>
          <t>Konstruksi Gedung Kesehatan, Konstruksi Gedung Pendidikan</t>
        </is>
      </c>
      <c r="N49" t="inlineStr">
        <is>
          <t>K</t>
        </is>
      </c>
      <c r="O49" t="inlineStr">
        <is>
          <t>20230621</t>
        </is>
      </c>
      <c r="P49" t="inlineStr">
        <is>
          <t>Kepulauan Riau</t>
        </is>
      </c>
      <c r="Q49" s="3">
        <f>HYPERLINK("https://wa.me/628126677799?text=*[PERINGATAN DARURAT SBU BANDA BENTAN BETUAH]*%0A%0AYth. Pimpinan BANDA BENTAN BETUAH,%0AMasa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0">
      <c r="A50" t="inlineStr">
        <is>
          <t>BANDUNG PILAR KONTRUKSINDO</t>
        </is>
      </c>
      <c r="B50" t="inlineStr">
        <is>
          <t>Kota Cimahi</t>
        </is>
      </c>
      <c r="C50" t="inlineStr">
        <is>
          <t>081320935494</t>
        </is>
      </c>
      <c r="D50" t="inlineStr">
        <is>
          <t>pt.bapikon@gmail.com</t>
        </is>
      </c>
      <c r="E50" t="inlineStr">
        <is>
          <t>https://lpjk.pu.go.id/search-badan-usaha-detail/eVY4SGJDTW5UeklUMjUrREducjYwQT09</t>
        </is>
      </c>
      <c r="F50" t="n">
        <v>1</v>
      </c>
      <c r="G50" t="inlineStr">
        <is>
          <t>BG006</t>
        </is>
      </c>
      <c r="H50" t="inlineStr">
        <is>
          <t>4 Januari 2018</t>
        </is>
      </c>
      <c r="I50" s="2" t="n">
        <v>46194</v>
      </c>
      <c r="J50" t="inlineStr">
        <is>
          <t>Pencabutan</t>
        </is>
      </c>
      <c r="K50" t="n">
        <v>30</v>
      </c>
      <c r="L50" t="inlineStr">
        <is>
          <t>21 Juni 2026</t>
        </is>
      </c>
      <c r="M50" t="inlineStr">
        <is>
          <t>Konstruksi Gedung Pendidikan</t>
        </is>
      </c>
      <c r="N50" t="inlineStr">
        <is>
          <t>M</t>
        </is>
      </c>
      <c r="O50" t="inlineStr">
        <is>
          <t>20230621</t>
        </is>
      </c>
      <c r="P50" t="inlineStr">
        <is>
          <t>Jawa Barat</t>
        </is>
      </c>
      <c r="Q50" s="3">
        <f>HYPERLINK("https://wa.me/6281320935494?text=*[PERINGATAN DARURAT SBU BANDUNG PILAR KONTRUKSINDO]*%0A%0AYth. Pimpinan BANDUNG PILAR KONTRUKSINDO,%0AMasa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1">
      <c r="A51" t="inlineStr">
        <is>
          <t>BENUA JAYA ABADI</t>
        </is>
      </c>
      <c r="B51" t="inlineStr">
        <is>
          <t>Kota Jambi</t>
        </is>
      </c>
      <c r="C51" t="inlineStr">
        <is>
          <t>085212137667</t>
        </is>
      </c>
      <c r="D51" t="inlineStr">
        <is>
          <t>azzamazkabilly@gmail.com</t>
        </is>
      </c>
      <c r="E51" t="inlineStr">
        <is>
          <t>https://lpjk.pu.go.id/search-badan-usaha-detail/M3hCc0RMcjVLaGNGbWZBZjB1Vi9BUT09</t>
        </is>
      </c>
      <c r="F51" t="n">
        <v>1</v>
      </c>
      <c r="G51" t="inlineStr">
        <is>
          <t>BS001</t>
        </is>
      </c>
      <c r="H51" t="inlineStr">
        <is>
          <t>8 April 2019</t>
        </is>
      </c>
      <c r="I51" s="2" t="n">
        <v>46194</v>
      </c>
      <c r="J51" t="inlineStr">
        <is>
          <t>Disetujui</t>
        </is>
      </c>
      <c r="K51" t="n">
        <v>30</v>
      </c>
      <c r="L51" t="inlineStr">
        <is>
          <t>21 Juni 2026</t>
        </is>
      </c>
      <c r="M51" t="inlineStr">
        <is>
          <t>Konstruksi Bangunan Sipil Jalan</t>
        </is>
      </c>
      <c r="N51" t="inlineStr">
        <is>
          <t>K</t>
        </is>
      </c>
      <c r="O51" t="inlineStr">
        <is>
          <t>20230619</t>
        </is>
      </c>
      <c r="P51" t="inlineStr">
        <is>
          <t>Jambi</t>
        </is>
      </c>
      <c r="Q51" s="3">
        <f>HYPERLINK("https://wa.me/6285212137667?text=*[PERINGATAN DARURAT SBU BENUA JAYA ABADI]*%0A%0AYth. Pimpinan BENUA JAYA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2">
      <c r="A52" t="inlineStr">
        <is>
          <t>BERDIKARI</t>
        </is>
      </c>
      <c r="B52" t="inlineStr">
        <is>
          <t>Kab. Indramayu</t>
        </is>
      </c>
      <c r="C52" t="inlineStr">
        <is>
          <t>087828943340</t>
        </is>
      </c>
      <c r="D52" t="inlineStr">
        <is>
          <t>berdikari57@yahoo.co.id</t>
        </is>
      </c>
      <c r="E52" t="inlineStr">
        <is>
          <t>https://lpjk.pu.go.id/search-badan-usaha-detail/aTQvU3lIQ0pGKzJZZUZNaFJrcE5WUT09</t>
        </is>
      </c>
      <c r="F52" t="n">
        <v>1</v>
      </c>
      <c r="G52" t="inlineStr">
        <is>
          <t>BS001</t>
        </is>
      </c>
      <c r="H52" t="inlineStr">
        <is>
          <t>12 Agustus 1996</t>
        </is>
      </c>
      <c r="I52" s="2" t="n">
        <v>46194</v>
      </c>
      <c r="J52" t="inlineStr">
        <is>
          <t>Disetujui</t>
        </is>
      </c>
      <c r="K52" t="n">
        <v>30</v>
      </c>
      <c r="L52" t="inlineStr">
        <is>
          <t>21 Juni 2026</t>
        </is>
      </c>
      <c r="M52" t="inlineStr">
        <is>
          <t>Konstruksi Bangunan Sipil Jalan</t>
        </is>
      </c>
      <c r="N52" t="inlineStr">
        <is>
          <t>K</t>
        </is>
      </c>
      <c r="O52" t="inlineStr">
        <is>
          <t>20230615</t>
        </is>
      </c>
      <c r="P52" t="inlineStr">
        <is>
          <t>Jawa Barat</t>
        </is>
      </c>
      <c r="Q52" s="3">
        <f>HYPERLINK("https://wa.me/6287828943340?text=*[PERINGATAN DARURAT SBU BERDIKARI]*%0A%0AYth. Pimpinan BERDIKARI,%0AMasa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3">
      <c r="A53" t="inlineStr">
        <is>
          <t>BERJAYA MEGAH KONSTRUKSI</t>
        </is>
      </c>
      <c r="B53" t="inlineStr">
        <is>
          <t>Kab. Simeulue</t>
        </is>
      </c>
      <c r="C53" t="inlineStr">
        <is>
          <t>085340422282</t>
        </is>
      </c>
      <c r="D53" t="inlineStr">
        <is>
          <t>berjayakonstruksi09@gmail.com</t>
        </is>
      </c>
      <c r="E53" t="inlineStr">
        <is>
          <t>https://lpjk.pu.go.id/search-badan-usaha-detail/OFkzbzljeThEQzBBOHVHQXlKbFp5QT09</t>
        </is>
      </c>
      <c r="F53" t="n">
        <v>1</v>
      </c>
      <c r="G53" t="inlineStr">
        <is>
          <t>BS004</t>
        </is>
      </c>
      <c r="H53" t="inlineStr">
        <is>
          <t>17 April 2023</t>
        </is>
      </c>
      <c r="I53" s="2" t="n">
        <v>46194</v>
      </c>
      <c r="J53" t="inlineStr">
        <is>
          <t>Disetujui</t>
        </is>
      </c>
      <c r="K53" t="n">
        <v>30</v>
      </c>
      <c r="L53" t="inlineStr">
        <is>
          <t>21 Juni 2026</t>
        </is>
      </c>
      <c r="M53" t="inlineStr">
        <is>
          <t>Konstruksi Jaringan Irigasi dan Drainase</t>
        </is>
      </c>
      <c r="N53" t="inlineStr">
        <is>
          <t>K</t>
        </is>
      </c>
      <c r="O53" t="inlineStr">
        <is>
          <t>20230619</t>
        </is>
      </c>
      <c r="P53" t="inlineStr">
        <is>
          <t>Aceh</t>
        </is>
      </c>
      <c r="Q53" s="3">
        <f>HYPERLINK("https://wa.me/6285340422282?text=*[PERINGATAN DARURAT SBU BERJAYA MEGAH KONSTRUKSI]*%0A%0AYth. Pimpinan BERJAYA MEGAH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4">
      <c r="A54" t="inlineStr">
        <is>
          <t>BERKARYA JAYA</t>
        </is>
      </c>
      <c r="B54" t="inlineStr">
        <is>
          <t>Kab. Pulang Pisau</t>
        </is>
      </c>
      <c r="C54" t="inlineStr">
        <is>
          <t>082251201811</t>
        </is>
      </c>
      <c r="D54" t="inlineStr">
        <is>
          <t>cv.berkaryajaya12345@gmail.com</t>
        </is>
      </c>
      <c r="E54" t="inlineStr">
        <is>
          <t>https://lpjk.pu.go.id/search-badan-usaha-detail/ZmpkcW1HY2FyUkE2SGtJNmV3bHZEdz09</t>
        </is>
      </c>
      <c r="F54" t="n">
        <v>2</v>
      </c>
      <c r="G54" t="inlineStr">
        <is>
          <t>BS001</t>
        </is>
      </c>
      <c r="H54" t="inlineStr">
        <is>
          <t>16 Mei 2023</t>
        </is>
      </c>
      <c r="I54" s="2" t="n">
        <v>46194</v>
      </c>
      <c r="J54" t="inlineStr">
        <is>
          <t>Disetujui</t>
        </is>
      </c>
      <c r="K54" t="n">
        <v>30</v>
      </c>
      <c r="L54" t="inlineStr">
        <is>
          <t>21 Juni 2026</t>
        </is>
      </c>
      <c r="M54" t="inlineStr">
        <is>
          <t>Konstruksi Bangunan Sipil Jalan</t>
        </is>
      </c>
      <c r="N54" t="inlineStr">
        <is>
          <t>K</t>
        </is>
      </c>
      <c r="O54" t="inlineStr">
        <is>
          <t>20230621</t>
        </is>
      </c>
      <c r="P54" t="inlineStr">
        <is>
          <t>Kalimantan Tengah</t>
        </is>
      </c>
      <c r="Q54" s="3">
        <f>HYPERLINK("https://wa.me/6282251201811?text=*[PERINGATAN DARURAT SBU BERKARYA JAYA]*%0A%0AYth. Pimpinan BERKARYA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5">
      <c r="A55" t="inlineStr">
        <is>
          <t>BERKAT KARYA</t>
        </is>
      </c>
      <c r="B55" t="inlineStr">
        <is>
          <t>Kota Ambon</t>
        </is>
      </c>
      <c r="C55" t="inlineStr">
        <is>
          <t>0911353905</t>
        </is>
      </c>
      <c r="D55" t="inlineStr">
        <is>
          <t>dyongalan@yahoo.com</t>
        </is>
      </c>
      <c r="E55" t="inlineStr">
        <is>
          <t>https://lpjk.pu.go.id/search-badan-usaha-detail/Y1d1YlBudGNQVktMM3VrSWYxMGpxdz09</t>
        </is>
      </c>
      <c r="F55" t="n">
        <v>4</v>
      </c>
      <c r="G55" t="inlineStr">
        <is>
          <t>BG006, BG009</t>
        </is>
      </c>
      <c r="H55" t="inlineStr">
        <is>
          <t>10 Oktober 1985</t>
        </is>
      </c>
      <c r="I55" s="2" t="n">
        <v>46194</v>
      </c>
      <c r="J55" t="inlineStr">
        <is>
          <t>Disetujui</t>
        </is>
      </c>
      <c r="K55" t="n">
        <v>30</v>
      </c>
      <c r="L55" t="inlineStr">
        <is>
          <t>21 Juni 2026</t>
        </is>
      </c>
      <c r="M55" t="inlineStr">
        <is>
          <t>Konstruksi Gedung Lainnya, Konstruksi Gedung Pendidikan</t>
        </is>
      </c>
      <c r="N55" t="inlineStr">
        <is>
          <t>K</t>
        </is>
      </c>
      <c r="O55" t="inlineStr">
        <is>
          <t>20230621</t>
        </is>
      </c>
      <c r="P55" t="inlineStr">
        <is>
          <t>Maluku</t>
        </is>
      </c>
      <c r="Q55" s="3">
        <f>HYPERLINK("https://wa.me/62911353905?text=*[PERINGATAN DARURAT SBU BERKAT KARYA]*%0A%0AYth. Pimpinan BERKAT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6">
      <c r="A56" t="inlineStr">
        <is>
          <t>BERKAT YOKA</t>
        </is>
      </c>
      <c r="B56" t="inlineStr">
        <is>
          <t>Kota Jayapura</t>
        </is>
      </c>
      <c r="C56" t="inlineStr">
        <is>
          <t>081226270424</t>
        </is>
      </c>
      <c r="D56" t="inlineStr">
        <is>
          <t>cvberkatyoka4@gmail.com</t>
        </is>
      </c>
      <c r="E56" t="inlineStr">
        <is>
          <t>https://lpjk.pu.go.id/search-badan-usaha-detail/SWJ4OStrQXhEWTUvYnJOUFdvckkyQT09</t>
        </is>
      </c>
      <c r="F56" t="n">
        <v>2</v>
      </c>
      <c r="G56" t="inlineStr">
        <is>
          <t>BG001</t>
        </is>
      </c>
      <c r="H56" t="inlineStr">
        <is>
          <t>25 Mei 2022</t>
        </is>
      </c>
      <c r="I56" s="2" t="n">
        <v>46194</v>
      </c>
      <c r="J56" t="inlineStr">
        <is>
          <t>Disetujui</t>
        </is>
      </c>
      <c r="K56" t="n">
        <v>30</v>
      </c>
      <c r="L56" t="inlineStr">
        <is>
          <t>21 Juni 2026</t>
        </is>
      </c>
      <c r="M56" t="inlineStr">
        <is>
          <t>Konstruksi Gedung Hunian</t>
        </is>
      </c>
      <c r="N56" t="inlineStr">
        <is>
          <t>K</t>
        </is>
      </c>
      <c r="O56" t="inlineStr">
        <is>
          <t>20230620</t>
        </is>
      </c>
      <c r="P56" t="inlineStr">
        <is>
          <t>Papua</t>
        </is>
      </c>
      <c r="Q56" s="3">
        <f>HYPERLINK("https://wa.me/6281226270424?text=*[PERINGATAN DARURAT SBU BERKAT YOKA]*%0A%0AYth. Pimpinan BERKAT YOKA,%0AMasa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7">
      <c r="A57" t="inlineStr">
        <is>
          <t>BHINA KARYA ESTETIKA</t>
        </is>
      </c>
      <c r="B57" t="inlineStr">
        <is>
          <t>Kab. Sragen</t>
        </is>
      </c>
      <c r="C57" t="inlineStr">
        <is>
          <t>081328209135</t>
        </is>
      </c>
      <c r="D57" t="inlineStr">
        <is>
          <t>bhinakaryajaya1@gmail.com</t>
        </is>
      </c>
      <c r="E57" t="inlineStr">
        <is>
          <t>https://lpjk.pu.go.id/search-badan-usaha-detail/aEFIbGhUL1ZyWXVVL01rcU1aLzZXZz09</t>
        </is>
      </c>
      <c r="F57" t="n">
        <v>1</v>
      </c>
      <c r="G57" t="inlineStr">
        <is>
          <t>BS001</t>
        </is>
      </c>
      <c r="H57" t="inlineStr">
        <is>
          <t>28 Oktober 1882</t>
        </is>
      </c>
      <c r="I57" s="2" t="n">
        <v>46194</v>
      </c>
      <c r="J57" t="inlineStr">
        <is>
          <t>Pencabutan</t>
        </is>
      </c>
      <c r="K57" t="n">
        <v>30</v>
      </c>
      <c r="L57" t="inlineStr">
        <is>
          <t>21 Juni 2026</t>
        </is>
      </c>
      <c r="M57" t="inlineStr">
        <is>
          <t>Konstruksi Bangunan Sipil Jalan</t>
        </is>
      </c>
      <c r="N57" t="inlineStr">
        <is>
          <t>K</t>
        </is>
      </c>
      <c r="O57" t="inlineStr">
        <is>
          <t>20230616</t>
        </is>
      </c>
      <c r="P57" t="inlineStr">
        <is>
          <t>Jawa Tengah</t>
        </is>
      </c>
      <c r="Q57" s="3">
        <f>HYPERLINK("https://wa.me/6281328209135?text=*[PERINGATAN DARURAT SBU BHINA KARYA ESTETIKA]*%0A%0AYth. Pimpinan BHINA KARYA ESTETIKA,%0AMasa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8">
      <c r="A58" t="inlineStr">
        <is>
          <t>BIMA SAKTI KONSTRUKSI</t>
        </is>
      </c>
      <c r="B58" t="inlineStr">
        <is>
          <t>Kota Kendari</t>
        </is>
      </c>
      <c r="C58" t="inlineStr">
        <is>
          <t>085340593377</t>
        </is>
      </c>
      <c r="D58" t="inlineStr">
        <is>
          <t>bimasaktikonstruksi189@yahoo.com</t>
        </is>
      </c>
      <c r="E58" t="inlineStr">
        <is>
          <t>https://lpjk.pu.go.id/search-badan-usaha-detail/eG55TWVtTUYxSVRVaTg1UEpkRFlSdz09</t>
        </is>
      </c>
      <c r="F58" t="n">
        <v>3</v>
      </c>
      <c r="G58" t="inlineStr">
        <is>
          <t>BG006, BG009, BS001</t>
        </is>
      </c>
      <c r="H58" t="inlineStr">
        <is>
          <t>11 Juni 2020</t>
        </is>
      </c>
      <c r="I58" s="2" t="n">
        <v>46194</v>
      </c>
      <c r="J58" t="inlineStr">
        <is>
          <t>Disetujui</t>
        </is>
      </c>
      <c r="K58" t="n">
        <v>30</v>
      </c>
      <c r="L58" t="inlineStr">
        <is>
          <t>21 Juni 2026</t>
        </is>
      </c>
      <c r="M58" t="inlineStr">
        <is>
          <t>Konstruksi Bangunan Sipil Jalan, Konstruksi Gedung Lainnya, Konstruksi Gedung Pendidikan</t>
        </is>
      </c>
      <c r="N58" t="inlineStr">
        <is>
          <t>K</t>
        </is>
      </c>
      <c r="O58" t="inlineStr">
        <is>
          <t>20220829, 20230621</t>
        </is>
      </c>
      <c r="P58" t="inlineStr">
        <is>
          <t>Sulawesi Tenggara</t>
        </is>
      </c>
      <c r="Q58" s="3">
        <f>HYPERLINK("https://wa.me/6285340593377?text=*[PERINGATAN DARURAT SBU BIMA SAKTI KONSTRUKSI]*%0A%0AYth. Pimpinan BIMA SAKTI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59">
      <c r="A59" t="inlineStr">
        <is>
          <t>BINA KARYA MANDIRI</t>
        </is>
      </c>
      <c r="B59" t="inlineStr">
        <is>
          <t>Kab. Lombok Utara</t>
        </is>
      </c>
      <c r="C59" t="inlineStr">
        <is>
          <t>087758583163</t>
        </is>
      </c>
      <c r="D59" t="inlineStr">
        <is>
          <t>cvbinakarya351@gmail.com</t>
        </is>
      </c>
      <c r="E59" t="inlineStr">
        <is>
          <t>https://lpjk.pu.go.id/search-badan-usaha-detail/NW9HOWVVSEhrM3EvaWE5V0g4VE5YQT09</t>
        </is>
      </c>
      <c r="F59" t="n">
        <v>1</v>
      </c>
      <c r="G59" t="inlineStr">
        <is>
          <t>BG002</t>
        </is>
      </c>
      <c r="H59" t="inlineStr">
        <is>
          <t>27 Desember 2013</t>
        </is>
      </c>
      <c r="I59" s="2" t="n">
        <v>46194</v>
      </c>
      <c r="J59" t="inlineStr">
        <is>
          <t>Pencabutan</t>
        </is>
      </c>
      <c r="K59" t="n">
        <v>30</v>
      </c>
      <c r="L59" t="inlineStr">
        <is>
          <t>21 Juni 2026</t>
        </is>
      </c>
      <c r="M59" t="inlineStr">
        <is>
          <t>Konstruksi Gedung Perkantoran</t>
        </is>
      </c>
      <c r="N59" t="inlineStr">
        <is>
          <t>K</t>
        </is>
      </c>
      <c r="O59" t="inlineStr">
        <is>
          <t>20230622</t>
        </is>
      </c>
      <c r="P59" t="inlineStr">
        <is>
          <t>Nusa Tenggara Barat</t>
        </is>
      </c>
      <c r="Q59" s="3">
        <f>HYPERLINK("https://wa.me/6287758583163?text=*[PERINGATAN DARURAT SBU BINA KARYA MANDIRI]*%0A%0AYth. Pimpinan BINA KARYA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0">
      <c r="A60" t="inlineStr">
        <is>
          <t>BINA MANDIRI</t>
        </is>
      </c>
      <c r="B60" t="inlineStr">
        <is>
          <t>Kota Palu</t>
        </is>
      </c>
      <c r="C60" t="inlineStr">
        <is>
          <t>082246551991</t>
        </is>
      </c>
      <c r="D60" t="inlineStr">
        <is>
          <t>binamandirinew.023@gmail.com</t>
        </is>
      </c>
      <c r="E60" t="inlineStr">
        <is>
          <t>https://lpjk.pu.go.id/search-badan-usaha-detail/WkpRTjFEdkowVEVuV3hicGxsaFlmZz09</t>
        </is>
      </c>
      <c r="F60" t="n">
        <v>1</v>
      </c>
      <c r="G60" t="inlineStr">
        <is>
          <t>RK003</t>
        </is>
      </c>
      <c r="H60" t="inlineStr">
        <is>
          <t>9 Oktober 1995</t>
        </is>
      </c>
      <c r="I60" s="2" t="n">
        <v>46194</v>
      </c>
      <c r="J60" t="inlineStr">
        <is>
          <t>Disetujui</t>
        </is>
      </c>
      <c r="K60" t="n">
        <v>30</v>
      </c>
      <c r="L60" t="inlineStr">
        <is>
          <t>21 Juni 2026</t>
        </is>
      </c>
      <c r="M60" t="inlineStr">
        <is>
          <t>Jasa Rekayasa Pekerjaan Teknik Sipil Transportasi</t>
        </is>
      </c>
      <c r="N60" t="inlineStr">
        <is>
          <t>K</t>
        </is>
      </c>
      <c r="O60" t="inlineStr">
        <is>
          <t>20230525</t>
        </is>
      </c>
      <c r="P60" t="inlineStr">
        <is>
          <t>Sulawesi Tengah</t>
        </is>
      </c>
      <c r="Q60" s="3">
        <f>HYPERLINK("https://wa.me/6282246551991?text=*[PERINGATAN DARURAT SBU BINA MANDIRI]*%0A%0AYth. Pimpinan BINA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1">
      <c r="A61" t="inlineStr">
        <is>
          <t>BINAKARYA SUKSES MANDIRI</t>
        </is>
      </c>
      <c r="B61" t="inlineStr">
        <is>
          <t>Kota Batam</t>
        </is>
      </c>
      <c r="C61" t="inlineStr">
        <is>
          <t>081270242588</t>
        </is>
      </c>
      <c r="D61" t="inlineStr">
        <is>
          <t>binakaryasuksesmandiri@yahoo.com</t>
        </is>
      </c>
      <c r="E61" t="inlineStr">
        <is>
          <t>https://lpjk.pu.go.id/search-badan-usaha-detail/ODR1bit1SlhwaFY5RjRab3RqZXAzQT09</t>
        </is>
      </c>
      <c r="F61" t="n">
        <v>4</v>
      </c>
      <c r="G61" t="inlineStr">
        <is>
          <t>BG001, BG005, BG009, BS001</t>
        </is>
      </c>
      <c r="H61" t="inlineStr">
        <is>
          <t>9 September 2003</t>
        </is>
      </c>
      <c r="I61" s="2" t="n">
        <v>46194</v>
      </c>
      <c r="J61" t="inlineStr">
        <is>
          <t>Disetujui</t>
        </is>
      </c>
      <c r="K61" t="n">
        <v>30</v>
      </c>
      <c r="L61" t="inlineStr">
        <is>
          <t>21 Juni 2026</t>
        </is>
      </c>
      <c r="M61" t="inlineStr">
        <is>
          <t>Konstruksi Bangunan Sipil Jalan, Konstruksi Gedung Hunian, Konstruksi Gedung Kesehatan, Konstruksi Gedung Lainnya</t>
        </is>
      </c>
      <c r="N61" t="inlineStr">
        <is>
          <t>K</t>
        </is>
      </c>
      <c r="O61" t="inlineStr">
        <is>
          <t>20230614</t>
        </is>
      </c>
      <c r="P61" t="inlineStr">
        <is>
          <t>Kepulauan Riau</t>
        </is>
      </c>
      <c r="Q61" s="3">
        <f>HYPERLINK("https://wa.me/6281270242588?text=*[PERINGATAN DARURAT SBU BINAKARYA SUKSES MANDIRI]*%0A%0AYth. Pimpinan BINAKARYA SUKSES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2">
      <c r="A62" t="inlineStr">
        <is>
          <t>BINTANG ABADI MULYA</t>
        </is>
      </c>
      <c r="B62" t="inlineStr">
        <is>
          <t>Kab. Sleman</t>
        </is>
      </c>
      <c r="C62" t="inlineStr">
        <is>
          <t>087838359009</t>
        </is>
      </c>
      <c r="D62" t="inlineStr">
        <is>
          <t>bintangabadimulya@gmail.com</t>
        </is>
      </c>
      <c r="E62" t="inlineStr">
        <is>
          <t>https://lpjk.pu.go.id/search-badan-usaha-detail/ODhHalVDeDJXRkhZVGJyZzd0Yld3dz09</t>
        </is>
      </c>
      <c r="F62" t="n">
        <v>6</v>
      </c>
      <c r="G62" t="inlineStr">
        <is>
          <t>BG002, BG004, BG005</t>
        </is>
      </c>
      <c r="H62" t="inlineStr">
        <is>
          <t>31 Januari 2022</t>
        </is>
      </c>
      <c r="I62" s="2" t="n">
        <v>46194</v>
      </c>
      <c r="J62" t="inlineStr">
        <is>
          <t>Disetujui</t>
        </is>
      </c>
      <c r="K62" t="n">
        <v>30</v>
      </c>
      <c r="L62" t="inlineStr">
        <is>
          <t>21 Juni 2026</t>
        </is>
      </c>
      <c r="M62" t="inlineStr">
        <is>
          <t>Konstruksi Gedung Kesehatan, Konstruksi Gedung Perbelanjaan, Konstruksi Gedung Perkantoran</t>
        </is>
      </c>
      <c r="N62" t="inlineStr">
        <is>
          <t>K</t>
        </is>
      </c>
      <c r="O62" t="inlineStr">
        <is>
          <t>20230616</t>
        </is>
      </c>
      <c r="P62" t="inlineStr">
        <is>
          <t>DI Yogyakarta</t>
        </is>
      </c>
      <c r="Q62" s="3">
        <f>HYPERLINK("https://wa.me/6287838359009?text=*[PERINGATAN DARURAT SBU BINTANG ABADI MULYA]*%0A%0AYth. Pimpinan BINTANG ABADI MULYA,%0AMasa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3">
      <c r="A63" t="inlineStr">
        <is>
          <t>BINTANG BAGASKU BERBUNGA</t>
        </is>
      </c>
      <c r="B63" t="inlineStr">
        <is>
          <t>Kota Bandung</t>
        </is>
      </c>
      <c r="C63" t="inlineStr">
        <is>
          <t>0227314837</t>
        </is>
      </c>
      <c r="D63" t="inlineStr">
        <is>
          <t>cvbintangbb@gmail.com</t>
        </is>
      </c>
      <c r="E63" t="inlineStr">
        <is>
          <t>https://lpjk.pu.go.id/search-badan-usaha-detail/TDM5SFloK2xrNHJTU3pmQWdqZ200Zz09</t>
        </is>
      </c>
      <c r="F63" t="n">
        <v>2</v>
      </c>
      <c r="G63" t="inlineStr">
        <is>
          <t>BS001</t>
        </is>
      </c>
      <c r="H63" t="inlineStr">
        <is>
          <t>8 Desember 2011</t>
        </is>
      </c>
      <c r="I63" s="2" t="n">
        <v>46194</v>
      </c>
      <c r="J63" t="inlineStr">
        <is>
          <t>Dokumen Tidak Lengkap</t>
        </is>
      </c>
      <c r="K63" t="n">
        <v>30</v>
      </c>
      <c r="L63" t="inlineStr">
        <is>
          <t>21 Juni 2026</t>
        </is>
      </c>
      <c r="M63" t="inlineStr">
        <is>
          <t>Konstruksi Bangunan Sipil Jalan</t>
        </is>
      </c>
      <c r="N63" t="inlineStr">
        <is>
          <t>K</t>
        </is>
      </c>
      <c r="O63" t="inlineStr">
        <is>
          <t>20230526</t>
        </is>
      </c>
      <c r="P63" t="inlineStr">
        <is>
          <t>Jawa Barat</t>
        </is>
      </c>
      <c r="Q63" s="3">
        <f>HYPERLINK("https://wa.me/62227314837?text=*[PERINGATAN DARURAT SBU BINTANG BAGASKU BERBUNGA]*%0A%0AYth. Pimpinan BINTANG BAGASKU BERBUNGA,%0AMasa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4">
      <c r="A64" t="inlineStr">
        <is>
          <t>BINTANG PURNAMA PUTRA</t>
        </is>
      </c>
      <c r="B64" t="inlineStr">
        <is>
          <t>Kab. Ponorogo</t>
        </is>
      </c>
      <c r="C64" t="inlineStr">
        <is>
          <t>085330333939</t>
        </is>
      </c>
      <c r="D64" t="inlineStr">
        <is>
          <t>bintangpurnamaputra2012@gmail.com</t>
        </is>
      </c>
      <c r="E64" t="inlineStr">
        <is>
          <t>https://lpjk.pu.go.id/search-badan-usaha-detail/aFJZOElVdVk2TitLWlZFSkNaMmgydz09</t>
        </is>
      </c>
      <c r="F64" t="n">
        <v>2</v>
      </c>
      <c r="G64" t="inlineStr">
        <is>
          <t>BS001</t>
        </is>
      </c>
      <c r="H64" t="inlineStr">
        <is>
          <t>23 April 2012</t>
        </is>
      </c>
      <c r="I64" s="2" t="n">
        <v>46194</v>
      </c>
      <c r="J64" t="inlineStr">
        <is>
          <t>Disetujui</t>
        </is>
      </c>
      <c r="K64" t="n">
        <v>30</v>
      </c>
      <c r="L64" t="inlineStr">
        <is>
          <t>21 Juni 2026</t>
        </is>
      </c>
      <c r="M64" t="inlineStr">
        <is>
          <t>Konstruksi Bangunan Sipil Jalan</t>
        </is>
      </c>
      <c r="N64" t="inlineStr">
        <is>
          <t>K</t>
        </is>
      </c>
      <c r="O64" t="inlineStr">
        <is>
          <t>20230615</t>
        </is>
      </c>
      <c r="P64" t="inlineStr">
        <is>
          <t>Jawa Timur</t>
        </is>
      </c>
      <c r="Q64" s="3">
        <f>HYPERLINK("https://wa.me/6285330333939?text=*[PERINGATAN DARURAT SBU BINTANG PURNAMA PUTRA]*%0A%0AYth. Pimpinan BINTANG PURNAMA PUTRA,%0AMasa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5">
      <c r="A65" t="inlineStr">
        <is>
          <t>BINTANG SENTARUM</t>
        </is>
      </c>
      <c r="B65" t="inlineStr">
        <is>
          <t>Kab. Kapuas Hulu</t>
        </is>
      </c>
      <c r="C65" t="inlineStr">
        <is>
          <t>085752955345</t>
        </is>
      </c>
      <c r="D65" t="inlineStr">
        <is>
          <t>ichayfaisal624@gmail.com</t>
        </is>
      </c>
      <c r="E65" t="inlineStr">
        <is>
          <t>https://lpjk.pu.go.id/search-badan-usaha-detail/OEZvbXgwM0YzU1JtNlRKM1E3WTE3QT09</t>
        </is>
      </c>
      <c r="F65" t="n">
        <v>2</v>
      </c>
      <c r="G65" t="inlineStr">
        <is>
          <t>BS002</t>
        </is>
      </c>
      <c r="H65" t="inlineStr">
        <is>
          <t>6 Januari 2017</t>
        </is>
      </c>
      <c r="I65" s="2" t="n">
        <v>46194</v>
      </c>
      <c r="J65" t="inlineStr">
        <is>
          <t>Disetujui</t>
        </is>
      </c>
      <c r="K65" t="n">
        <v>30</v>
      </c>
      <c r="L65" t="inlineStr">
        <is>
          <t>21 Juni 2026</t>
        </is>
      </c>
      <c r="M65" t="inlineStr">
        <is>
          <t>Bangunan Sipil Jembatan, Jalan Layang, Fly Over, dan Underpass</t>
        </is>
      </c>
      <c r="N65" t="inlineStr">
        <is>
          <t>K</t>
        </is>
      </c>
      <c r="O65" t="inlineStr">
        <is>
          <t>20230621</t>
        </is>
      </c>
      <c r="P65" t="inlineStr">
        <is>
          <t>Kalimantan Barat</t>
        </is>
      </c>
      <c r="Q65" s="3">
        <f>HYPERLINK("https://wa.me/6285752955345?text=*[PERINGATAN DARURAT SBU BINTANG SENTARUM]*%0A%0AYth. Pimpinan BINTANG SENTARUM,%0AMasa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6">
      <c r="A66" t="inlineStr">
        <is>
          <t>BINTANG TIMUR SEHATI</t>
        </is>
      </c>
      <c r="B66" t="inlineStr">
        <is>
          <t>Kab. Solok</t>
        </is>
      </c>
      <c r="C66" t="inlineStr">
        <is>
          <t>082381448444</t>
        </is>
      </c>
      <c r="D66" t="inlineStr">
        <is>
          <t>bintangtimursehati736@gmail.com</t>
        </is>
      </c>
      <c r="E66" t="inlineStr">
        <is>
          <t>https://lpjk.pu.go.id/search-badan-usaha-detail/OVFNRjhZMTVjMXJKSDczTStEa2N1QT09</t>
        </is>
      </c>
      <c r="F66" t="n">
        <v>2</v>
      </c>
      <c r="G66" t="inlineStr">
        <is>
          <t>BG006</t>
        </is>
      </c>
      <c r="H66" t="inlineStr">
        <is>
          <t>11 Januari 2023</t>
        </is>
      </c>
      <c r="I66" s="2" t="n">
        <v>46194</v>
      </c>
      <c r="J66" t="inlineStr">
        <is>
          <t>Disetujui</t>
        </is>
      </c>
      <c r="K66" t="n">
        <v>30</v>
      </c>
      <c r="L66" t="inlineStr">
        <is>
          <t>21 Juni 2026</t>
        </is>
      </c>
      <c r="M66" t="inlineStr">
        <is>
          <t>Konstruksi Gedung Pendidikan</t>
        </is>
      </c>
      <c r="N66" t="inlineStr">
        <is>
          <t>K</t>
        </is>
      </c>
      <c r="O66" t="inlineStr">
        <is>
          <t>20230522</t>
        </is>
      </c>
      <c r="P66" t="inlineStr">
        <is>
          <t>Sumatera Barat</t>
        </is>
      </c>
      <c r="Q66" s="3">
        <f>HYPERLINK("https://wa.me/6282381448444?text=*[PERINGATAN DARURAT SBU BINTANG TIMUR SEHATI]*%0A%0AYth. Pimpinan BINTANG TIMUR SEHATI,%0AMasa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7">
      <c r="A67" t="inlineStr">
        <is>
          <t>BUMI ANOA UTAMA</t>
        </is>
      </c>
      <c r="B67" t="inlineStr">
        <is>
          <t>Kota Kendari</t>
        </is>
      </c>
      <c r="C67" t="inlineStr">
        <is>
          <t>085240033395</t>
        </is>
      </c>
      <c r="D67" t="inlineStr">
        <is>
          <t>bumianoautama777@gmail.com</t>
        </is>
      </c>
      <c r="E67" t="inlineStr">
        <is>
          <t>https://lpjk.pu.go.id/search-badan-usaha-detail/dDMrUU91MUR3QW5HN0VTaWxLMTFtUT09</t>
        </is>
      </c>
      <c r="F67" t="n">
        <v>1</v>
      </c>
      <c r="G67" t="inlineStr">
        <is>
          <t>BG002</t>
        </is>
      </c>
      <c r="H67" t="inlineStr">
        <is>
          <t>15 Februari 2021</t>
        </is>
      </c>
      <c r="I67" s="2" t="n">
        <v>46194</v>
      </c>
      <c r="J67" t="inlineStr">
        <is>
          <t>Disetujui</t>
        </is>
      </c>
      <c r="K67" t="n">
        <v>30</v>
      </c>
      <c r="L67" t="inlineStr">
        <is>
          <t>21 Juni 2026</t>
        </is>
      </c>
      <c r="M67" t="inlineStr">
        <is>
          <t>Konstruksi Gedung Perkantoran</t>
        </is>
      </c>
      <c r="N67" t="inlineStr">
        <is>
          <t>K</t>
        </is>
      </c>
      <c r="O67" t="inlineStr">
        <is>
          <t>20230620</t>
        </is>
      </c>
      <c r="P67" t="inlineStr">
        <is>
          <t>Sulawesi Tenggara</t>
        </is>
      </c>
      <c r="Q67" s="3">
        <f>HYPERLINK("https://wa.me/6285240033395?text=*[PERINGATAN DARURAT SBU BUMI ANOA UTAMA]*%0A%0AYth. Pimpinan BUMI ANOA UTAMA,%0AMasa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8">
      <c r="A68" t="inlineStr">
        <is>
          <t>BUMI AYU SINERGI</t>
        </is>
      </c>
      <c r="B68" t="inlineStr">
        <is>
          <t>Kota Balikpapan</t>
        </is>
      </c>
      <c r="C68" t="inlineStr">
        <is>
          <t>081219949096</t>
        </is>
      </c>
      <c r="D68" t="inlineStr">
        <is>
          <t>sinergibumiayu@gmail.com</t>
        </is>
      </c>
      <c r="E68" t="inlineStr">
        <is>
          <t>https://lpjk.pu.go.id/search-badan-usaha-detail/K2h0KzV2dnl2MG5qWnB5SG1rbmlBQT09</t>
        </is>
      </c>
      <c r="F68" t="n">
        <v>1</v>
      </c>
      <c r="G68" t="inlineStr">
        <is>
          <t>BS001</t>
        </is>
      </c>
      <c r="H68" t="inlineStr">
        <is>
          <t>18 Maret 2023</t>
        </is>
      </c>
      <c r="I68" s="2" t="n">
        <v>46194</v>
      </c>
      <c r="J68" t="inlineStr">
        <is>
          <t>Disetujui</t>
        </is>
      </c>
      <c r="K68" t="n">
        <v>30</v>
      </c>
      <c r="L68" t="inlineStr">
        <is>
          <t>21 Juni 2026</t>
        </is>
      </c>
      <c r="M68" t="inlineStr">
        <is>
          <t>Konstruksi Bangunan Sipil Jalan</t>
        </is>
      </c>
      <c r="N68" t="inlineStr">
        <is>
          <t>K</t>
        </is>
      </c>
      <c r="O68" t="inlineStr">
        <is>
          <t>20230614</t>
        </is>
      </c>
      <c r="P68" t="inlineStr">
        <is>
          <t>Kalimantan Timur</t>
        </is>
      </c>
      <c r="Q68" s="3">
        <f>HYPERLINK("https://wa.me/6281219949096?text=*[PERINGATAN DARURAT SBU BUMI AYU SINERGI]*%0A%0AYth. Pimpinan BUMI AYU SINERGI,%0AMasa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69">
      <c r="A69" t="inlineStr">
        <is>
          <t>BUMI BANJARAN BERDIKARI</t>
        </is>
      </c>
      <c r="B69" t="inlineStr">
        <is>
          <t>Kab. Banyumas</t>
        </is>
      </c>
      <c r="C69" t="inlineStr">
        <is>
          <t>08122775156</t>
        </is>
      </c>
      <c r="D69" t="inlineStr">
        <is>
          <t>bumibanjaran@gmail.com</t>
        </is>
      </c>
      <c r="E69" t="inlineStr">
        <is>
          <t>https://lpjk.pu.go.id/search-badan-usaha-detail/T2xXcGkvUGUrUUpqV2tTeDFZdFQ1QT09</t>
        </is>
      </c>
      <c r="F69" t="n">
        <v>1</v>
      </c>
      <c r="G69" t="inlineStr">
        <is>
          <t>BG005</t>
        </is>
      </c>
      <c r="H69" t="inlineStr">
        <is>
          <t>21 Januari 2020</t>
        </is>
      </c>
      <c r="I69" s="2" t="n">
        <v>46194</v>
      </c>
      <c r="J69" t="inlineStr">
        <is>
          <t>Disetujui</t>
        </is>
      </c>
      <c r="K69" t="n">
        <v>30</v>
      </c>
      <c r="L69" t="inlineStr">
        <is>
          <t>21 Juni 2026</t>
        </is>
      </c>
      <c r="M69" t="inlineStr">
        <is>
          <t>Konstruksi Gedung Kesehatan</t>
        </is>
      </c>
      <c r="N69" t="inlineStr">
        <is>
          <t>K</t>
        </is>
      </c>
      <c r="O69" t="inlineStr">
        <is>
          <t>20230621</t>
        </is>
      </c>
      <c r="P69" t="inlineStr">
        <is>
          <t>Jawa Tengah</t>
        </is>
      </c>
      <c r="Q69" s="3">
        <f>HYPERLINK("https://wa.me/628122775156?text=*[PERINGATAN DARURAT SBU BUMI BANJARAN BERDIKARI]*%0A%0AYth. Pimpinan BUMI BANJARAN BERDIKARI,%0AMasa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0">
      <c r="A70" t="inlineStr">
        <is>
          <t>BUMI CAKRA MANUNGGAL</t>
        </is>
      </c>
      <c r="B70" t="inlineStr">
        <is>
          <t>Kab. Cilacap</t>
        </is>
      </c>
      <c r="C70" t="inlineStr">
        <is>
          <t>02825263831</t>
        </is>
      </c>
      <c r="D70" t="inlineStr">
        <is>
          <t>bumikarya.construction@gmail.com</t>
        </is>
      </c>
      <c r="E70" t="inlineStr">
        <is>
          <t>https://lpjk.pu.go.id/search-badan-usaha-detail/ekV5Y1RQSnpYVWVMdHhYT3J2MjAxQT09</t>
        </is>
      </c>
      <c r="F70" t="n">
        <v>1</v>
      </c>
      <c r="G70" t="inlineStr">
        <is>
          <t>PA001</t>
        </is>
      </c>
      <c r="H70" t="inlineStr">
        <is>
          <t>12 April 2019</t>
        </is>
      </c>
      <c r="I70" s="2" t="n">
        <v>46194</v>
      </c>
      <c r="J70" t="inlineStr">
        <is>
          <t>Pencabutan</t>
        </is>
      </c>
      <c r="K70" t="n">
        <v>30</v>
      </c>
      <c r="L70" t="inlineStr">
        <is>
          <t>21 Juni 2026</t>
        </is>
      </c>
      <c r="M70" t="inlineStr">
        <is>
          <t>Penyewaan Peralatan Konstruksi</t>
        </is>
      </c>
      <c r="N70" t="inlineStr">
        <is>
          <t>Spesialis</t>
        </is>
      </c>
      <c r="O70" t="inlineStr">
        <is>
          <t>20230616</t>
        </is>
      </c>
      <c r="P70" t="inlineStr">
        <is>
          <t>Jawa Tengah</t>
        </is>
      </c>
      <c r="Q70" s="3">
        <f>HYPERLINK("https://wa.me/622825263831?text=*[PERINGATAN DARURAT SBU BUMI CAKRA MANUNGGAL]*%0A%0AYth. Pimpinan BUMI CAKRA MANUNGGAL,%0AMasa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1">
      <c r="A71" t="inlineStr">
        <is>
          <t>BUMI CAKRAWALA</t>
        </is>
      </c>
      <c r="B71" t="inlineStr">
        <is>
          <t>Kab. Bangka Barat</t>
        </is>
      </c>
      <c r="C71" t="inlineStr">
        <is>
          <t>081995662072</t>
        </is>
      </c>
      <c r="D71" t="inlineStr">
        <is>
          <t>bumicakrawala1001@gmail.com</t>
        </is>
      </c>
      <c r="E71" t="inlineStr">
        <is>
          <t>https://lpjk.pu.go.id/search-badan-usaha-detail/TVI2NWNsZ1RNdHgvQnRWalVzUUhSZz09</t>
        </is>
      </c>
      <c r="F71" t="n">
        <v>2</v>
      </c>
      <c r="G71" t="inlineStr">
        <is>
          <t>BG006, BG009</t>
        </is>
      </c>
      <c r="H71" t="inlineStr">
        <is>
          <t>10 Januari 2020</t>
        </is>
      </c>
      <c r="I71" s="2" t="n">
        <v>46194</v>
      </c>
      <c r="J71" t="inlineStr">
        <is>
          <t>Disetujui</t>
        </is>
      </c>
      <c r="K71" t="n">
        <v>30</v>
      </c>
      <c r="L71" t="inlineStr">
        <is>
          <t>21 Juni 2026</t>
        </is>
      </c>
      <c r="M71" t="inlineStr">
        <is>
          <t>Konstruksi Gedung Lainnya, Konstruksi Gedung Pendidikan</t>
        </is>
      </c>
      <c r="N71" t="inlineStr">
        <is>
          <t>K</t>
        </is>
      </c>
      <c r="O71" t="inlineStr">
        <is>
          <t>20230621</t>
        </is>
      </c>
      <c r="P71" t="inlineStr">
        <is>
          <t>Kepulauan Bangka Belitung</t>
        </is>
      </c>
      <c r="Q71" s="3">
        <f>HYPERLINK("https://wa.me/6281995662072?text=*[PERINGATAN DARURAT SBU BUMI CAKRAWALA]*%0A%0AYth. Pimpinan BUMI CAKRAWALA,%0AMasa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2">
      <c r="A72" t="inlineStr">
        <is>
          <t>BUMI LAMPUNG NUSANTARA</t>
        </is>
      </c>
      <c r="B72" t="inlineStr">
        <is>
          <t>Kab. Lampung Selatan</t>
        </is>
      </c>
      <c r="C72" t="inlineStr">
        <is>
          <t>085701176178</t>
        </is>
      </c>
      <c r="D72" t="inlineStr">
        <is>
          <t>cv.bumilampungnusantara@gmail.com</t>
        </is>
      </c>
      <c r="E72" t="inlineStr">
        <is>
          <t>https://lpjk.pu.go.id/search-badan-usaha-detail/SzUvNlhCTlI0djBKWEpqR2I4MEJ4UT09</t>
        </is>
      </c>
      <c r="F72" t="n">
        <v>1</v>
      </c>
      <c r="G72" t="inlineStr">
        <is>
          <t>BS001</t>
        </is>
      </c>
      <c r="H72" t="inlineStr">
        <is>
          <t>17 April 2024</t>
        </is>
      </c>
      <c r="I72" s="2" t="n">
        <v>46194</v>
      </c>
      <c r="J72" t="inlineStr">
        <is>
          <t>Pencabutan</t>
        </is>
      </c>
      <c r="K72" t="n">
        <v>30</v>
      </c>
      <c r="L72" t="inlineStr">
        <is>
          <t>21 Juni 2026</t>
        </is>
      </c>
      <c r="M72" t="inlineStr">
        <is>
          <t>Konstruksi Bangunan Sipil Jalan</t>
        </is>
      </c>
      <c r="N72" t="inlineStr">
        <is>
          <t>K</t>
        </is>
      </c>
      <c r="O72" t="inlineStr">
        <is>
          <t>20230620</t>
        </is>
      </c>
      <c r="P72" t="inlineStr">
        <is>
          <t>Lampung</t>
        </is>
      </c>
      <c r="Q72" s="3">
        <f>HYPERLINK("https://wa.me/6285701176178?text=*[PERINGATAN DARURAT SBU BUMI LAMPUNG NUSANTARA]*%0A%0AYth. Pimpinan BUMI LAMPUNG NUSANTARA,%0AMasa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3">
      <c r="A73" t="inlineStr">
        <is>
          <t>CAHAYA PELITA</t>
        </is>
      </c>
      <c r="B73" t="inlineStr">
        <is>
          <t>Kab. Tapanuli Selatan</t>
        </is>
      </c>
      <c r="C73" t="inlineStr">
        <is>
          <t>081376044893</t>
        </is>
      </c>
      <c r="D73" t="inlineStr">
        <is>
          <t>cvcahayapelitapsp@gmail.com</t>
        </is>
      </c>
      <c r="E73" t="inlineStr">
        <is>
          <t>https://lpjk.pu.go.id/search-badan-usaha-detail/RHlQR1NvK1BFV0NDYWIyTi8wU1Bndz09</t>
        </is>
      </c>
      <c r="F73" t="n">
        <v>2</v>
      </c>
      <c r="G73" t="inlineStr">
        <is>
          <t>BS002, BS005</t>
        </is>
      </c>
      <c r="H73" t="inlineStr">
        <is>
          <t>4 Maret 1999</t>
        </is>
      </c>
      <c r="I73" s="2" t="n">
        <v>46194</v>
      </c>
      <c r="J73" t="inlineStr">
        <is>
          <t>Disetujui</t>
        </is>
      </c>
      <c r="K73" t="n">
        <v>30</v>
      </c>
      <c r="L73" t="inlineStr">
        <is>
          <t>21 Juni 2026</t>
        </is>
      </c>
      <c r="M73" t="inlineStr">
        <is>
          <t>Bangunan Sipil Jembatan, Jalan Layang, Fly Over, dan Underpass, Konstruksi Bangunan Sipil Pengolahan Air Bersih</t>
        </is>
      </c>
      <c r="N73" t="inlineStr">
        <is>
          <t>K</t>
        </is>
      </c>
      <c r="O73" t="inlineStr">
        <is>
          <t>20230621</t>
        </is>
      </c>
      <c r="P73" t="inlineStr">
        <is>
          <t>Sumatera Utara</t>
        </is>
      </c>
      <c r="Q73" s="3">
        <f>HYPERLINK("https://wa.me/6281376044893?text=*[PERINGATAN DARURAT SBU CAHAYA PELITA]*%0A%0AYth. Pimpinan CAHAYA PELITA,%0AMasa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4">
      <c r="A74" t="inlineStr">
        <is>
          <t>CAHAYA SUMBU TEKNIK</t>
        </is>
      </c>
      <c r="B74" t="inlineStr">
        <is>
          <t>Kota Banjarbaru</t>
        </is>
      </c>
      <c r="C74" t="inlineStr">
        <is>
          <t>081348775879</t>
        </is>
      </c>
      <c r="D74" t="inlineStr">
        <is>
          <t>cvcahayasumbuteknik@gmail.com</t>
        </is>
      </c>
      <c r="E74" t="inlineStr">
        <is>
          <t>https://lpjk.pu.go.id/search-badan-usaha-detail/UkF5a3Z4NGZhb0puRjV2aHVKNCtXUT09</t>
        </is>
      </c>
      <c r="F74" t="n">
        <v>1</v>
      </c>
      <c r="G74" t="inlineStr">
        <is>
          <t>BS001</t>
        </is>
      </c>
      <c r="H74" t="inlineStr">
        <is>
          <t>20 Juni 2022</t>
        </is>
      </c>
      <c r="I74" s="2" t="n">
        <v>46194</v>
      </c>
      <c r="J74" t="inlineStr">
        <is>
          <t>Disetujui</t>
        </is>
      </c>
      <c r="K74" t="n">
        <v>30</v>
      </c>
      <c r="L74" t="inlineStr">
        <is>
          <t>21 Juni 2026</t>
        </is>
      </c>
      <c r="M74" t="inlineStr">
        <is>
          <t>Konstruksi Bangunan Sipil Jalan</t>
        </is>
      </c>
      <c r="N74" t="inlineStr">
        <is>
          <t>K</t>
        </is>
      </c>
      <c r="O74" t="inlineStr">
        <is>
          <t>20230607</t>
        </is>
      </c>
      <c r="P74" t="inlineStr">
        <is>
          <t>Kalimantan Selatan</t>
        </is>
      </c>
      <c r="Q74" s="3">
        <f>HYPERLINK("https://wa.me/6281348775879?text=*[PERINGATAN DARURAT SBU CAHAYA SUMBU TEKNIK]*%0A%0AYth. Pimpinan CAHAYA SUMBU TEKNIK,%0AMasa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5">
      <c r="A75" t="inlineStr">
        <is>
          <t>CAHYA NAZLA</t>
        </is>
      </c>
      <c r="B75" t="inlineStr">
        <is>
          <t>Kab. Pandeglang</t>
        </is>
      </c>
      <c r="C75" t="inlineStr">
        <is>
          <t>087773223165</t>
        </is>
      </c>
      <c r="D75" t="inlineStr">
        <is>
          <t>cahyanazla2019@gmail.com</t>
        </is>
      </c>
      <c r="E75" t="inlineStr">
        <is>
          <t>https://lpjk.pu.go.id/search-badan-usaha-detail/ZEdERFQ2THI3aVQrZU1ySkZzUTZTdz09</t>
        </is>
      </c>
      <c r="F75" t="n">
        <v>1</v>
      </c>
      <c r="G75" t="inlineStr">
        <is>
          <t>BG005</t>
        </is>
      </c>
      <c r="H75" t="inlineStr">
        <is>
          <t>13 Februari 2019</t>
        </is>
      </c>
      <c r="I75" s="2" t="n">
        <v>46194</v>
      </c>
      <c r="J75" t="inlineStr">
        <is>
          <t>Disetujui</t>
        </is>
      </c>
      <c r="K75" t="n">
        <v>30</v>
      </c>
      <c r="L75" t="inlineStr">
        <is>
          <t>21 Juni 2026</t>
        </is>
      </c>
      <c r="M75" t="inlineStr">
        <is>
          <t>Konstruksi Gedung Kesehatan</t>
        </is>
      </c>
      <c r="N75" t="inlineStr">
        <is>
          <t>K</t>
        </is>
      </c>
      <c r="O75" t="inlineStr">
        <is>
          <t>20230616</t>
        </is>
      </c>
      <c r="P75" t="inlineStr">
        <is>
          <t>Banten</t>
        </is>
      </c>
      <c r="Q75" s="3">
        <f>HYPERLINK("https://wa.me/6287773223165?text=*[PERINGATAN DARURAT SBU CAHYA NAZLA]*%0A%0AYth. Pimpinan CAHYA NAZLA,%0AMasa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6">
      <c r="A76" t="inlineStr">
        <is>
          <t>CAHYA PUTRA DEWANTA</t>
        </is>
      </c>
      <c r="B76" t="inlineStr">
        <is>
          <t>Kab. Pacitan</t>
        </is>
      </c>
      <c r="C76" t="inlineStr">
        <is>
          <t>082232633855</t>
        </is>
      </c>
      <c r="D76" t="inlineStr">
        <is>
          <t>cahyaputradewanta@gmail.com</t>
        </is>
      </c>
      <c r="E76" t="inlineStr">
        <is>
          <t>https://lpjk.pu.go.id/search-badan-usaha-detail/bVN5VmwzRnF3MnpJMi9oZGpoQzNLZz09</t>
        </is>
      </c>
      <c r="F76" t="n">
        <v>1</v>
      </c>
      <c r="G76" t="inlineStr">
        <is>
          <t>BS001</t>
        </is>
      </c>
      <c r="H76" t="inlineStr">
        <is>
          <t>26 Desember 2022</t>
        </is>
      </c>
      <c r="I76" s="2" t="n">
        <v>46194</v>
      </c>
      <c r="J76" t="inlineStr">
        <is>
          <t>Disetujui</t>
        </is>
      </c>
      <c r="K76" t="n">
        <v>30</v>
      </c>
      <c r="L76" t="inlineStr">
        <is>
          <t>21 Juni 2026</t>
        </is>
      </c>
      <c r="M76" t="inlineStr">
        <is>
          <t>Konstruksi Bangunan Sipil Jalan</t>
        </is>
      </c>
      <c r="N76" t="inlineStr">
        <is>
          <t>K</t>
        </is>
      </c>
      <c r="O76" t="inlineStr">
        <is>
          <t>20230418</t>
        </is>
      </c>
      <c r="P76" t="inlineStr">
        <is>
          <t>Jawa Timur</t>
        </is>
      </c>
      <c r="Q76" s="3">
        <f>HYPERLINK("https://wa.me/6282232633855?text=*[PERINGATAN DARURAT SBU CAHYA PUTRA DEWANTA]*%0A%0AYth. Pimpinan CAHYA PUTRA DEWANTA,%0AMasa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7">
      <c r="A77" t="inlineStr">
        <is>
          <t>CIPTA ADI PRATAMA</t>
        </is>
      </c>
      <c r="B77" t="inlineStr">
        <is>
          <t>Kab. Bandung</t>
        </is>
      </c>
      <c r="C77" t="inlineStr">
        <is>
          <t>085223533290</t>
        </is>
      </c>
      <c r="D77" t="inlineStr">
        <is>
          <t>ciptaadipratama@yahoo.com</t>
        </is>
      </c>
      <c r="E77" t="inlineStr">
        <is>
          <t>https://lpjk.pu.go.id/search-badan-usaha-detail/am5XaWsvZFltRHlLdE5PajVpSHVodz09</t>
        </is>
      </c>
      <c r="F77" t="n">
        <v>1</v>
      </c>
      <c r="G77" t="inlineStr">
        <is>
          <t>BG005</t>
        </is>
      </c>
      <c r="H77" t="inlineStr">
        <is>
          <t>17 November 1994</t>
        </is>
      </c>
      <c r="I77" s="2" t="n">
        <v>46194</v>
      </c>
      <c r="J77" t="inlineStr">
        <is>
          <t>Pencabutan</t>
        </is>
      </c>
      <c r="K77" t="n">
        <v>30</v>
      </c>
      <c r="L77" t="inlineStr">
        <is>
          <t>21 Juni 2026</t>
        </is>
      </c>
      <c r="M77" t="inlineStr">
        <is>
          <t>Konstruksi Gedung Kesehatan</t>
        </is>
      </c>
      <c r="N77" t="inlineStr">
        <is>
          <t>K</t>
        </is>
      </c>
      <c r="O77" t="inlineStr">
        <is>
          <t>20230621</t>
        </is>
      </c>
      <c r="P77" t="inlineStr">
        <is>
          <t>Jawa Barat</t>
        </is>
      </c>
      <c r="Q77" s="3">
        <f>HYPERLINK("https://wa.me/6285223533290?text=*[PERINGATAN DARURAT SBU CIPTA ADI PRATAMA]*%0A%0AYth. Pimpinan CIPTA ADI PRATAMA,%0AMasa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8">
      <c r="A78" t="inlineStr">
        <is>
          <t>CIPTA INOVASI ANUGRAH</t>
        </is>
      </c>
      <c r="B78" t="inlineStr">
        <is>
          <t>Kota Adm. Jakarta Pusat</t>
        </is>
      </c>
      <c r="C78" t="inlineStr">
        <is>
          <t>0215357642</t>
        </is>
      </c>
      <c r="D78" t="inlineStr">
        <is>
          <t>ptciptainovasianugrah@gmail.com</t>
        </is>
      </c>
      <c r="E78" t="inlineStr">
        <is>
          <t>https://lpjk.pu.go.id/search-badan-usaha-detail/ZmhCVitabHZac3E4TFpzQ2ZtNjQyZz09</t>
        </is>
      </c>
      <c r="F78" t="n">
        <v>2</v>
      </c>
      <c r="G78" t="inlineStr">
        <is>
          <t>BG006, BG009</t>
        </is>
      </c>
      <c r="H78" t="inlineStr">
        <is>
          <t>22 Juni 2012</t>
        </is>
      </c>
      <c r="I78" s="2" t="n">
        <v>46194</v>
      </c>
      <c r="J78" t="inlineStr">
        <is>
          <t>Disetujui</t>
        </is>
      </c>
      <c r="K78" t="n">
        <v>30</v>
      </c>
      <c r="L78" t="inlineStr">
        <is>
          <t>21 Juni 2026</t>
        </is>
      </c>
      <c r="M78" t="inlineStr">
        <is>
          <t>Konstruksi Gedung Lainnya, Konstruksi Gedung Pendidikan</t>
        </is>
      </c>
      <c r="N78" t="inlineStr">
        <is>
          <t>K</t>
        </is>
      </c>
      <c r="O78" t="inlineStr">
        <is>
          <t>20230329, 20230615</t>
        </is>
      </c>
      <c r="P78" t="inlineStr">
        <is>
          <t>DKI Jakarta</t>
        </is>
      </c>
      <c r="Q78" s="3">
        <f>HYPERLINK("https://wa.me/62215357642?text=*[PERINGATAN DARURAT SBU CIPTA INOVASI ANUGRAH]*%0A%0AYth. Pimpinan CIPTA INOVASI ANUGRAH,%0AMasa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79">
      <c r="A79" t="inlineStr">
        <is>
          <t>CIPTA KARYA MANDIRI</t>
        </is>
      </c>
      <c r="B79" t="inlineStr">
        <is>
          <t>Kab. Barito Utara</t>
        </is>
      </c>
      <c r="C79" t="inlineStr">
        <is>
          <t>081347870279</t>
        </is>
      </c>
      <c r="D79" t="inlineStr">
        <is>
          <t>ckm.barut@yahoo.com</t>
        </is>
      </c>
      <c r="E79" t="inlineStr">
        <is>
          <t>https://lpjk.pu.go.id/search-badan-usaha-detail/MnpFL2QzeVJWbDBvMFRhcTBzcE9Bdz09</t>
        </is>
      </c>
      <c r="F79" t="n">
        <v>2</v>
      </c>
      <c r="G79" t="inlineStr">
        <is>
          <t>BS001</t>
        </is>
      </c>
      <c r="H79" t="inlineStr">
        <is>
          <t>8 Mei 2006</t>
        </is>
      </c>
      <c r="I79" s="2" t="n">
        <v>46194</v>
      </c>
      <c r="J79" t="inlineStr">
        <is>
          <t>Disetujui</t>
        </is>
      </c>
      <c r="K79" t="n">
        <v>30</v>
      </c>
      <c r="L79" t="inlineStr">
        <is>
          <t>21 Juni 2026</t>
        </is>
      </c>
      <c r="M79" t="inlineStr">
        <is>
          <t>Konstruksi Bangunan Sipil Jalan</t>
        </is>
      </c>
      <c r="N79" t="inlineStr">
        <is>
          <t>K</t>
        </is>
      </c>
      <c r="O79" t="inlineStr">
        <is>
          <t>20230613</t>
        </is>
      </c>
      <c r="P79" t="inlineStr">
        <is>
          <t>Kalimantan Tengah</t>
        </is>
      </c>
      <c r="Q79" s="3">
        <f>HYPERLINK("https://wa.me/6281347870279?text=*[PERINGATAN DARURAT SBU CIPTA KARYA MANDIRI]*%0A%0AYth. Pimpinan CIPTA KARYA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0">
      <c r="A80" t="inlineStr">
        <is>
          <t>CITRA BANGUN MANDIRI</t>
        </is>
      </c>
      <c r="B80" t="inlineStr">
        <is>
          <t>Kab. Garut</t>
        </is>
      </c>
      <c r="C80" t="inlineStr">
        <is>
          <t>085221056414</t>
        </is>
      </c>
      <c r="D80" t="inlineStr">
        <is>
          <t>cbmgarut@gmail.com</t>
        </is>
      </c>
      <c r="E80" t="inlineStr">
        <is>
          <t>https://lpjk.pu.go.id/search-badan-usaha-detail/cWx5OWh2dURoTFlNc3V3SkpoN1N0Zz09</t>
        </is>
      </c>
      <c r="F80" t="n">
        <v>1</v>
      </c>
      <c r="G80" t="inlineStr">
        <is>
          <t>BS005</t>
        </is>
      </c>
      <c r="H80" t="inlineStr">
        <is>
          <t>11 Januari 2012</t>
        </is>
      </c>
      <c r="I80" s="2" t="n">
        <v>46194</v>
      </c>
      <c r="J80" t="inlineStr">
        <is>
          <t>Disetujui</t>
        </is>
      </c>
      <c r="K80" t="n">
        <v>30</v>
      </c>
      <c r="L80" t="inlineStr">
        <is>
          <t>21 Juni 2026</t>
        </is>
      </c>
      <c r="M80" t="inlineStr">
        <is>
          <t>Konstruksi Bangunan Sipil Pengolahan Air Bersih</t>
        </is>
      </c>
      <c r="N80" t="inlineStr">
        <is>
          <t>K</t>
        </is>
      </c>
      <c r="O80" t="inlineStr">
        <is>
          <t>20230615</t>
        </is>
      </c>
      <c r="P80" t="inlineStr">
        <is>
          <t>Jawa Barat</t>
        </is>
      </c>
      <c r="Q80" s="3">
        <f>HYPERLINK("https://wa.me/6285221056414?text=*[PERINGATAN DARURAT SBU CITRA BANGUN MANDIRI]*%0A%0AYth. Pimpinan CITRA BANGUN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1">
      <c r="A81" t="inlineStr">
        <is>
          <t>CITRA PERKASA</t>
        </is>
      </c>
      <c r="B81" t="inlineStr">
        <is>
          <t>Kab. Kapuas</t>
        </is>
      </c>
      <c r="C81" t="inlineStr">
        <is>
          <t>082250028820</t>
        </is>
      </c>
      <c r="D81" t="inlineStr">
        <is>
          <t>citraperkasa@rocketmail.com</t>
        </is>
      </c>
      <c r="E81" t="inlineStr">
        <is>
          <t>https://lpjk.pu.go.id/search-badan-usaha-detail/Q3BQdFRDczlkdGVqdFQ4MUt0cWV6Zz09</t>
        </is>
      </c>
      <c r="F81" t="n">
        <v>5</v>
      </c>
      <c r="G81" t="inlineStr">
        <is>
          <t>BG009, BS001, BS004, BS005, BS006</t>
        </is>
      </c>
      <c r="H81" t="inlineStr">
        <is>
          <t>21 Agustus 201</t>
        </is>
      </c>
      <c r="I81" s="2" t="n">
        <v>46194</v>
      </c>
      <c r="J81" t="inlineStr">
        <is>
          <t>Disetujui</t>
        </is>
      </c>
      <c r="K81" t="n">
        <v>30</v>
      </c>
      <c r="L81" t="inlineStr">
        <is>
          <t>21 Juni 2026</t>
        </is>
      </c>
      <c r="M81" t="inlineStr">
        <is>
          <t>Konstruksi Bangunan Sipil Jalan, Konstruksi Bangunan Sipil Pengolahan Air Bersih, Konstruksi Bangunan Sipil Prasarana dan Sarana Sistem Pengolahan Limbah Padat, Cair, dan Gas, Konstruksi Gedung Lainnya, Konstruksi Jaringan Irigasi dan Drainase</t>
        </is>
      </c>
      <c r="N81" t="inlineStr">
        <is>
          <t>K</t>
        </is>
      </c>
      <c r="O81" t="inlineStr">
        <is>
          <t>20230620</t>
        </is>
      </c>
      <c r="P81" t="inlineStr">
        <is>
          <t>Kalimantan Tengah</t>
        </is>
      </c>
      <c r="Q81" s="3">
        <f>HYPERLINK("https://wa.me/6282250028820?text=*[PERINGATAN DARURAT SBU CITRA PERKASA]*%0A%0AYth. Pimpinan CITRA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2">
      <c r="A82" t="inlineStr">
        <is>
          <t>CV. AL_FAQHY HR CONSTUCTION</t>
        </is>
      </c>
      <c r="B82" t="inlineStr">
        <is>
          <t>Kab. Mamuju</t>
        </is>
      </c>
      <c r="C82" t="inlineStr">
        <is>
          <t>085225648333</t>
        </is>
      </c>
      <c r="D82" t="inlineStr">
        <is>
          <t>cvalfaqhy@gmail.com</t>
        </is>
      </c>
      <c r="E82" t="inlineStr">
        <is>
          <t>https://lpjk.pu.go.id/search-badan-usaha-detail/MFRTSC9kLzJBc2poREJzSkNab0Ywdz09</t>
        </is>
      </c>
      <c r="F82" t="n">
        <v>2</v>
      </c>
      <c r="G82" t="inlineStr">
        <is>
          <t>BG001, BG005</t>
        </is>
      </c>
      <c r="H82" t="inlineStr">
        <is>
          <t>10 Oktober 2016</t>
        </is>
      </c>
      <c r="I82" s="2" t="n">
        <v>46194</v>
      </c>
      <c r="J82" t="inlineStr">
        <is>
          <t>Disetujui</t>
        </is>
      </c>
      <c r="K82" t="n">
        <v>30</v>
      </c>
      <c r="L82" t="inlineStr">
        <is>
          <t>21 Juni 2026</t>
        </is>
      </c>
      <c r="M82" t="inlineStr">
        <is>
          <t>Konstruksi Gedung Hunian, Konstruksi Gedung Kesehatan</t>
        </is>
      </c>
      <c r="N82" t="inlineStr">
        <is>
          <t>K</t>
        </is>
      </c>
      <c r="O82" t="inlineStr">
        <is>
          <t>20230620</t>
        </is>
      </c>
      <c r="P82" t="inlineStr">
        <is>
          <t>Sulawesi Barat</t>
        </is>
      </c>
      <c r="Q82" s="3">
        <f>HYPERLINK("https://wa.me/6285225648333?text=*[PERINGATAN DARURAT SBU CV. AL_FAQHY HR CONSTUCTION]*%0A%0AYth. Pimpinan CV. AL_FAQHY HR CONSTUCTION,%0AMasa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3">
      <c r="A83" t="inlineStr">
        <is>
          <t>CV. JAYA SEMPURNA DESAIN</t>
        </is>
      </c>
      <c r="B83" t="inlineStr">
        <is>
          <t>Kota Pontianak</t>
        </is>
      </c>
      <c r="C83" t="inlineStr">
        <is>
          <t>081256097889</t>
        </is>
      </c>
      <c r="D83" t="inlineStr">
        <is>
          <t>jsempurna633@gmail.com</t>
        </is>
      </c>
      <c r="E83" t="inlineStr">
        <is>
          <t>https://lpjk.pu.go.id/search-badan-usaha-detail/d1ExeW1nV1lNQU5aTlRjRjhYcEkwZz09</t>
        </is>
      </c>
      <c r="F83" t="n">
        <v>2</v>
      </c>
      <c r="G83" t="inlineStr">
        <is>
          <t>RK001, RK003</t>
        </is>
      </c>
      <c r="H83" t="inlineStr">
        <is>
          <t>15 November 2010</t>
        </is>
      </c>
      <c r="I83" s="2" t="n">
        <v>46194</v>
      </c>
      <c r="J83" t="inlineStr">
        <is>
          <t>Disetujui</t>
        </is>
      </c>
      <c r="K83" t="n">
        <v>30</v>
      </c>
      <c r="L83" t="inlineStr">
        <is>
          <t>21 Juni 2026</t>
        </is>
      </c>
      <c r="M83" t="inlineStr">
        <is>
          <t>Jasa Rekayasa Konstruksi Bangunan Gedung Hunian dan Non Hunian, Jasa Rekayasa Pekerjaan Teknik Sipil Transportasi</t>
        </is>
      </c>
      <c r="N83" t="inlineStr">
        <is>
          <t>K</t>
        </is>
      </c>
      <c r="O83" t="inlineStr">
        <is>
          <t>20230609, 20230612</t>
        </is>
      </c>
      <c r="P83" t="inlineStr">
        <is>
          <t>Kalimantan Barat</t>
        </is>
      </c>
      <c r="Q83" s="3">
        <f>HYPERLINK("https://wa.me/6281256097889?text=*[PERINGATAN DARURAT SBU CV. JAYA SEMPURNA DESAIN]*%0A%0AYth. Pimpinan CV. JAYA SEMPURNA DESAIN,%0AMasa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4">
      <c r="A84" t="inlineStr">
        <is>
          <t>DAPUR KONSTRUKSI</t>
        </is>
      </c>
      <c r="B84" t="inlineStr">
        <is>
          <t>Kab. Banyuwangi</t>
        </is>
      </c>
      <c r="C84" t="inlineStr">
        <is>
          <t>082139588170</t>
        </is>
      </c>
      <c r="D84" t="inlineStr">
        <is>
          <t>dapurkonstruksi701@gmail.com</t>
        </is>
      </c>
      <c r="E84" t="inlineStr">
        <is>
          <t>https://lpjk.pu.go.id/search-badan-usaha-detail/Y04zc09JWHpMdndtN1ZWOEZ0Q2V6dz09</t>
        </is>
      </c>
      <c r="F84" t="n">
        <v>2</v>
      </c>
      <c r="G84" t="inlineStr">
        <is>
          <t>BS001, BS004</t>
        </is>
      </c>
      <c r="H84" t="inlineStr">
        <is>
          <t>1 Februari 2023</t>
        </is>
      </c>
      <c r="I84" s="2" t="n">
        <v>46194</v>
      </c>
      <c r="J84" t="inlineStr">
        <is>
          <t>Disetujui</t>
        </is>
      </c>
      <c r="K84" t="n">
        <v>30</v>
      </c>
      <c r="L84" t="inlineStr">
        <is>
          <t>21 Juni 2026</t>
        </is>
      </c>
      <c r="M84" t="inlineStr">
        <is>
          <t>Konstruksi Bangunan Sipil Jalan, Konstruksi Jaringan Irigasi dan Drainase</t>
        </is>
      </c>
      <c r="N84" t="inlineStr">
        <is>
          <t>K</t>
        </is>
      </c>
      <c r="O84" t="inlineStr">
        <is>
          <t>20230621</t>
        </is>
      </c>
      <c r="P84" t="inlineStr">
        <is>
          <t>Jawa Timur</t>
        </is>
      </c>
      <c r="Q84" s="3">
        <f>HYPERLINK("https://wa.me/6282139588170?text=*[PERINGATAN DARURAT SBU DAPUR KONSTRUKSI]*%0A%0AYth. Pimpinan DAPUR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5">
      <c r="A85" t="inlineStr">
        <is>
          <t>DINASTY WAHANA SUKSES</t>
        </is>
      </c>
      <c r="B85" t="inlineStr">
        <is>
          <t>Kab. Aceh Utara</t>
        </is>
      </c>
      <c r="C85" t="inlineStr">
        <is>
          <t>0811673737</t>
        </is>
      </c>
      <c r="D85" t="inlineStr">
        <is>
          <t>tahirosatoh@gmail.com</t>
        </is>
      </c>
      <c r="E85" t="inlineStr">
        <is>
          <t>https://lpjk.pu.go.id/search-badan-usaha-detail/QlVvRFRQSU5OTS92cUl2Q2RFQVE1Zz09</t>
        </is>
      </c>
      <c r="F85" t="n">
        <v>6</v>
      </c>
      <c r="G85" t="inlineStr">
        <is>
          <t>BS001, BS004</t>
        </is>
      </c>
      <c r="H85" t="inlineStr">
        <is>
          <t>8 Desember 2020</t>
        </is>
      </c>
      <c r="I85" s="2" t="n">
        <v>46194</v>
      </c>
      <c r="J85" t="inlineStr">
        <is>
          <t>Disetujui</t>
        </is>
      </c>
      <c r="K85" t="n">
        <v>30</v>
      </c>
      <c r="L85" t="inlineStr">
        <is>
          <t>21 Juni 2026</t>
        </is>
      </c>
      <c r="M85" t="inlineStr">
        <is>
          <t>Konstruksi Bangunan Sipil Jalan, Konstruksi Jaringan Irigasi dan Drainase</t>
        </is>
      </c>
      <c r="N85" t="inlineStr">
        <is>
          <t>K</t>
        </is>
      </c>
      <c r="O85" t="inlineStr">
        <is>
          <t>20230620, 20230621</t>
        </is>
      </c>
      <c r="P85" t="inlineStr">
        <is>
          <t>Aceh</t>
        </is>
      </c>
      <c r="Q85" s="3">
        <f>HYPERLINK("https://wa.me/62811673737?text=*[PERINGATAN DARURAT SBU DINASTY WAHANA SUKSES]*%0A%0AYth. Pimpinan DINASTY WAHANA SUKSES,%0AMasa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6">
      <c r="A86" t="inlineStr">
        <is>
          <t>DUA SEJALAN SUKSES</t>
        </is>
      </c>
      <c r="B86" t="inlineStr">
        <is>
          <t>Kota Adm. Jakarta Selatan</t>
        </is>
      </c>
      <c r="C86" t="inlineStr">
        <is>
          <t>0217976231</t>
        </is>
      </c>
      <c r="D86" t="inlineStr">
        <is>
          <t>yekti.wkk@gmail.com</t>
        </is>
      </c>
      <c r="E86" t="inlineStr">
        <is>
          <t>https://lpjk.pu.go.id/search-badan-usaha-detail/NXc0Zlo0MVQvc3hBdVB4ZzVQL3pEUT09</t>
        </is>
      </c>
      <c r="F86" t="n">
        <v>1</v>
      </c>
      <c r="G86" t="inlineStr">
        <is>
          <t>BS014</t>
        </is>
      </c>
      <c r="H86" t="inlineStr">
        <is>
          <t>22 Juni 2012</t>
        </is>
      </c>
      <c r="I86" s="2" t="n">
        <v>46194</v>
      </c>
      <c r="J86" t="inlineStr">
        <is>
          <t>Disetujui</t>
        </is>
      </c>
      <c r="K86" t="n">
        <v>30</v>
      </c>
      <c r="L86" t="inlineStr">
        <is>
          <t>21 Juni 2026</t>
        </is>
      </c>
      <c r="M86" t="inlineStr">
        <is>
          <t>Konstruksi Bangunan Sipil Pertambangan</t>
        </is>
      </c>
      <c r="N86" t="inlineStr">
        <is>
          <t>M</t>
        </is>
      </c>
      <c r="O86" t="inlineStr">
        <is>
          <t>20230607</t>
        </is>
      </c>
      <c r="P86" t="inlineStr">
        <is>
          <t>DKI Jakarta</t>
        </is>
      </c>
      <c r="Q86" s="3">
        <f>HYPERLINK("https://wa.me/62217976231?text=*[PERINGATAN DARURAT SBU DUA SEJALAN SUKSES]*%0A%0AYth. Pimpinan DUA SEJALAN SUKSES,%0AMasa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7">
      <c r="A87" t="inlineStr">
        <is>
          <t>DUTA BIMA RAYA</t>
        </is>
      </c>
      <c r="B87" t="inlineStr">
        <is>
          <t>Kota Bima</t>
        </is>
      </c>
      <c r="C87" t="inlineStr">
        <is>
          <t>082339989040</t>
        </is>
      </c>
      <c r="D87" t="inlineStr">
        <is>
          <t>dutabimaraya023@gmail.com</t>
        </is>
      </c>
      <c r="E87" t="inlineStr">
        <is>
          <t>https://lpjk.pu.go.id/search-badan-usaha-detail/OFF2d0hIc2tGQWVaKzRYQnpZY1E0Zz09</t>
        </is>
      </c>
      <c r="F87" t="n">
        <v>1</v>
      </c>
      <c r="G87" t="inlineStr">
        <is>
          <t>BG001</t>
        </is>
      </c>
      <c r="H87" t="inlineStr">
        <is>
          <t>6 Januari 2023</t>
        </is>
      </c>
      <c r="I87" s="2" t="n">
        <v>46194</v>
      </c>
      <c r="J87" t="inlineStr">
        <is>
          <t>Disetujui</t>
        </is>
      </c>
      <c r="K87" t="n">
        <v>30</v>
      </c>
      <c r="L87" t="inlineStr">
        <is>
          <t>21 Juni 2026</t>
        </is>
      </c>
      <c r="M87" t="inlineStr">
        <is>
          <t>Konstruksi Gedung Hunian</t>
        </is>
      </c>
      <c r="N87" t="inlineStr">
        <is>
          <t>K</t>
        </is>
      </c>
      <c r="O87" t="inlineStr">
        <is>
          <t>20230612</t>
        </is>
      </c>
      <c r="P87" t="inlineStr">
        <is>
          <t>Nusa Tenggara Barat</t>
        </is>
      </c>
      <c r="Q87" s="3">
        <f>HYPERLINK("https://wa.me/6282339989040?text=*[PERINGATAN DARURAT SBU DUTA BIMA RAYA]*%0A%0AYth. Pimpinan DUTA BIMA RAYA,%0AMasa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8">
      <c r="A88" t="inlineStr">
        <is>
          <t>DUTANUSA KREASI PERMAI</t>
        </is>
      </c>
      <c r="B88" t="inlineStr">
        <is>
          <t>Kota Adm. Jakarta Barat</t>
        </is>
      </c>
      <c r="C88" t="inlineStr">
        <is>
          <t>081932242573</t>
        </is>
      </c>
      <c r="D88" t="inlineStr">
        <is>
          <t>ptdutanusakreasipermai@gmail.com</t>
        </is>
      </c>
      <c r="E88" t="inlineStr">
        <is>
          <t>https://lpjk.pu.go.id/search-badan-usaha-detail/LzExdFgxc29qVElqQk40VTdQUlBTUT09</t>
        </is>
      </c>
      <c r="F88" t="n">
        <v>1</v>
      </c>
      <c r="G88" t="inlineStr">
        <is>
          <t>BG003</t>
        </is>
      </c>
      <c r="H88" t="inlineStr">
        <is>
          <t>2 Desember 2022</t>
        </is>
      </c>
      <c r="I88" s="2" t="n">
        <v>46194</v>
      </c>
      <c r="J88" t="inlineStr">
        <is>
          <t>Pembekuan</t>
        </is>
      </c>
      <c r="K88" t="n">
        <v>30</v>
      </c>
      <c r="L88" t="inlineStr">
        <is>
          <t>21 Juni 2026</t>
        </is>
      </c>
      <c r="M88" t="inlineStr">
        <is>
          <t>Konstruksi Gedung Industri</t>
        </is>
      </c>
      <c r="N88" t="inlineStr">
        <is>
          <t>M</t>
        </is>
      </c>
      <c r="O88" t="inlineStr">
        <is>
          <t>20230617</t>
        </is>
      </c>
      <c r="P88" t="inlineStr">
        <is>
          <t>DKI Jakarta</t>
        </is>
      </c>
      <c r="Q88" s="3">
        <f>HYPERLINK("https://wa.me/6281932242573?text=*[PERINGATAN DARURAT SBU DUTANUSA KREASI PERMAI]*%0A%0AYth. Pimpinan DUTANUSA KREASI PERMAI,%0AMasa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89">
      <c r="A89" t="inlineStr">
        <is>
          <t>DWI INDAH MANDIRI</t>
        </is>
      </c>
      <c r="B89" t="inlineStr">
        <is>
          <t>Kab. Hulu Sungai Tengah</t>
        </is>
      </c>
      <c r="C89" t="inlineStr">
        <is>
          <t>085393826363</t>
        </is>
      </c>
      <c r="D89" t="inlineStr">
        <is>
          <t>syahrifani335@gmail.com</t>
        </is>
      </c>
      <c r="E89" t="inlineStr">
        <is>
          <t>https://lpjk.pu.go.id/search-badan-usaha-detail/NHdnU3o4NG9SSklGNGtlWmROQys5UT09</t>
        </is>
      </c>
      <c r="F89" t="n">
        <v>1</v>
      </c>
      <c r="G89" t="inlineStr">
        <is>
          <t>BG006</t>
        </is>
      </c>
      <c r="H89" t="inlineStr">
        <is>
          <t>23 April 2008</t>
        </is>
      </c>
      <c r="I89" s="2" t="n">
        <v>46194</v>
      </c>
      <c r="J89" t="inlineStr">
        <is>
          <t>Disetujui</t>
        </is>
      </c>
      <c r="K89" t="n">
        <v>30</v>
      </c>
      <c r="L89" t="inlineStr">
        <is>
          <t>21 Juni 2026</t>
        </is>
      </c>
      <c r="M89" t="inlineStr">
        <is>
          <t>Konstruksi Gedung Pendidikan</t>
        </is>
      </c>
      <c r="N89" t="inlineStr">
        <is>
          <t>K</t>
        </is>
      </c>
      <c r="O89" t="inlineStr">
        <is>
          <t>20230609</t>
        </is>
      </c>
      <c r="P89" t="inlineStr">
        <is>
          <t>Kalimantan Selatan</t>
        </is>
      </c>
      <c r="Q89" s="3">
        <f>HYPERLINK("https://wa.me/6285393826363?text=*[PERINGATAN DARURAT SBU DWI INDAH MANDIRI]*%0A%0AYth. Pimpinan DWI INDAH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0">
      <c r="A90" t="inlineStr">
        <is>
          <t>DZAKY KARYA</t>
        </is>
      </c>
      <c r="B90" t="inlineStr">
        <is>
          <t>Kab. Pamekasan</t>
        </is>
      </c>
      <c r="C90" t="inlineStr">
        <is>
          <t>08236559551</t>
        </is>
      </c>
      <c r="D90" t="inlineStr">
        <is>
          <t>cvdzakykarya@gmail.com</t>
        </is>
      </c>
      <c r="E90" t="inlineStr">
        <is>
          <t>https://lpjk.pu.go.id/search-badan-usaha-detail/MW1tbm00VDlNckFsamdlUDFpM3ZDdz09</t>
        </is>
      </c>
      <c r="F90" t="n">
        <v>1</v>
      </c>
      <c r="G90" t="inlineStr">
        <is>
          <t>BS004</t>
        </is>
      </c>
      <c r="H90" t="inlineStr">
        <is>
          <t>6 November 2019</t>
        </is>
      </c>
      <c r="I90" s="2" t="n">
        <v>46194</v>
      </c>
      <c r="J90" t="inlineStr">
        <is>
          <t>Disetujui</t>
        </is>
      </c>
      <c r="K90" t="n">
        <v>30</v>
      </c>
      <c r="L90" t="inlineStr">
        <is>
          <t>21 Juni 2026</t>
        </is>
      </c>
      <c r="M90" t="inlineStr">
        <is>
          <t>Konstruksi Jaringan Irigasi dan Drainase</t>
        </is>
      </c>
      <c r="N90" t="inlineStr">
        <is>
          <t>K</t>
        </is>
      </c>
      <c r="O90" t="inlineStr">
        <is>
          <t>20230605</t>
        </is>
      </c>
      <c r="P90" t="inlineStr">
        <is>
          <t>Jawa Timur</t>
        </is>
      </c>
      <c r="Q90" s="3">
        <f>HYPERLINK("https://wa.me/628236559551?text=*[PERINGATAN DARURAT SBU DZAKY KARYA]*%0A%0AYth. Pimpinan DZAKY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1">
      <c r="A91" t="inlineStr">
        <is>
          <t>EKA JAYA</t>
        </is>
      </c>
      <c r="B91" t="inlineStr">
        <is>
          <t>Kab. Bengkulu Tengah</t>
        </is>
      </c>
      <c r="C91" t="inlineStr">
        <is>
          <t>082182459944</t>
        </is>
      </c>
      <c r="D91" t="inlineStr">
        <is>
          <t>ekajaya1788@gmail.com</t>
        </is>
      </c>
      <c r="E91" t="inlineStr">
        <is>
          <t>https://lpjk.pu.go.id/search-badan-usaha-detail/L1p5SFY2K0ZpM2w3RmgwMHpmUTlPdz09</t>
        </is>
      </c>
      <c r="F91" t="n">
        <v>1</v>
      </c>
      <c r="G91" t="inlineStr">
        <is>
          <t>BG006</t>
        </is>
      </c>
      <c r="H91" t="inlineStr">
        <is>
          <t>28 Juli 2022</t>
        </is>
      </c>
      <c r="I91" s="2" t="n">
        <v>46194</v>
      </c>
      <c r="J91" t="inlineStr">
        <is>
          <t>Disetujui</t>
        </is>
      </c>
      <c r="K91" t="n">
        <v>30</v>
      </c>
      <c r="L91" t="inlineStr">
        <is>
          <t>21 Juni 2026</t>
        </is>
      </c>
      <c r="M91" t="inlineStr">
        <is>
          <t>Konstruksi Gedung Pendidikan</t>
        </is>
      </c>
      <c r="N91" t="inlineStr">
        <is>
          <t>K</t>
        </is>
      </c>
      <c r="O91" t="inlineStr">
        <is>
          <t>20230615</t>
        </is>
      </c>
      <c r="P91" t="inlineStr">
        <is>
          <t>Bengkulu</t>
        </is>
      </c>
      <c r="Q91" s="3">
        <f>HYPERLINK("https://wa.me/6282182459944?text=*[PERINGATAN DARURAT SBU EKA JAYA]*%0A%0AYth. Pimpinan EKA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2">
      <c r="A92" t="inlineStr">
        <is>
          <t>ERA MUSTIKA GRAHA</t>
        </is>
      </c>
      <c r="B92" t="inlineStr">
        <is>
          <t>Kota Makassar</t>
        </is>
      </c>
      <c r="C92" t="inlineStr">
        <is>
          <t>0411490528</t>
        </is>
      </c>
      <c r="D92" t="inlineStr">
        <is>
          <t>era13@ymail.com</t>
        </is>
      </c>
      <c r="E92" t="inlineStr">
        <is>
          <t>https://lpjk.pu.go.id/search-badan-usaha-detail/NGR4S3g1YUZETUZyeXlFakZ1VUh1Zz09</t>
        </is>
      </c>
      <c r="F92" t="n">
        <v>2</v>
      </c>
      <c r="G92" t="inlineStr">
        <is>
          <t>BG001, BS001</t>
        </is>
      </c>
      <c r="H92" t="inlineStr">
        <is>
          <t>12 April 1999</t>
        </is>
      </c>
      <c r="I92" s="2" t="n">
        <v>46194</v>
      </c>
      <c r="J92" t="inlineStr">
        <is>
          <t>Disetujui</t>
        </is>
      </c>
      <c r="K92" t="n">
        <v>30</v>
      </c>
      <c r="L92" t="inlineStr">
        <is>
          <t>21 Juni 2026</t>
        </is>
      </c>
      <c r="M92" t="inlineStr">
        <is>
          <t>Konstruksi Bangunan Sipil Jalan, Konstruksi Gedung Hunian</t>
        </is>
      </c>
      <c r="N92" t="inlineStr">
        <is>
          <t>K</t>
        </is>
      </c>
      <c r="O92" t="inlineStr">
        <is>
          <t>20230613</t>
        </is>
      </c>
      <c r="P92" t="inlineStr">
        <is>
          <t>Sulawesi Selatan</t>
        </is>
      </c>
      <c r="Q92" s="3">
        <f>HYPERLINK("https://wa.me/62411490528?text=*[PERINGATAN DARURAT SBU ERA MUSTIKA GRAHA]*%0A%0AYth. Pimpinan ERA MUSTIKA GRAHA,%0AMasa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3">
      <c r="A93" t="inlineStr">
        <is>
          <t>ERKA MULYA</t>
        </is>
      </c>
      <c r="B93" t="inlineStr">
        <is>
          <t>Kab. Bantul</t>
        </is>
      </c>
      <c r="C93" t="inlineStr">
        <is>
          <t>08112634699</t>
        </is>
      </c>
      <c r="D93" t="inlineStr">
        <is>
          <t>cv.erkamulya@gmail.com</t>
        </is>
      </c>
      <c r="E93" t="inlineStr">
        <is>
          <t>https://lpjk.pu.go.id/search-badan-usaha-detail/WW51d3ljOGQ4Qm5MeWVpSFNuSE9DZz09</t>
        </is>
      </c>
      <c r="F93" t="n">
        <v>1</v>
      </c>
      <c r="G93" t="inlineStr">
        <is>
          <t>BS006</t>
        </is>
      </c>
      <c r="H93" t="inlineStr">
        <is>
          <t>9 Januari 2019</t>
        </is>
      </c>
      <c r="I93" s="2" t="n">
        <v>46194</v>
      </c>
      <c r="J93" t="inlineStr">
        <is>
          <t>Disetujui</t>
        </is>
      </c>
      <c r="K93" t="n">
        <v>30</v>
      </c>
      <c r="L93" t="inlineStr">
        <is>
          <t>21 Juni 2026</t>
        </is>
      </c>
      <c r="M93" t="inlineStr">
        <is>
          <t>Konstruksi Bangunan Sipil Prasarana dan Sarana Sistem Pengolahan Limbah Padat, Cair, dan Gas</t>
        </is>
      </c>
      <c r="N93" t="inlineStr">
        <is>
          <t>K</t>
        </is>
      </c>
      <c r="O93" t="inlineStr">
        <is>
          <t>20230619</t>
        </is>
      </c>
      <c r="P93" t="inlineStr">
        <is>
          <t>DI Yogyakarta</t>
        </is>
      </c>
      <c r="Q93" s="3">
        <f>HYPERLINK("https://wa.me/628112634699?text=*[PERINGATAN DARURAT SBU ERKA MULYA]*%0A%0AYth. Pimpinan ERKA MULYA,%0AMasa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4">
      <c r="A94" t="inlineStr">
        <is>
          <t>ESHAN MEGA PROPERTINDO</t>
        </is>
      </c>
      <c r="B94" t="inlineStr">
        <is>
          <t>Kab. Garut</t>
        </is>
      </c>
      <c r="C94" t="inlineStr">
        <is>
          <t>082126507515</t>
        </is>
      </c>
      <c r="D94" t="inlineStr">
        <is>
          <t>ptehanmegapropertindo@gmail.com</t>
        </is>
      </c>
      <c r="E94" t="inlineStr">
        <is>
          <t>https://lpjk.pu.go.id/search-badan-usaha-detail/SmsrV3RyY0JHM2oycWdhT2JEWGVDQT09</t>
        </is>
      </c>
      <c r="F94" t="n">
        <v>2</v>
      </c>
      <c r="G94" t="inlineStr">
        <is>
          <t>BG001</t>
        </is>
      </c>
      <c r="H94" t="inlineStr">
        <is>
          <t>23 Juli 2016</t>
        </is>
      </c>
      <c r="I94" s="2" t="n">
        <v>46194</v>
      </c>
      <c r="J94" t="inlineStr">
        <is>
          <t>Pencabutan</t>
        </is>
      </c>
      <c r="K94" t="n">
        <v>30</v>
      </c>
      <c r="L94" t="inlineStr">
        <is>
          <t>21 Juni 2026</t>
        </is>
      </c>
      <c r="M94" t="inlineStr">
        <is>
          <t>Konstruksi Gedung Hunian</t>
        </is>
      </c>
      <c r="N94" t="inlineStr">
        <is>
          <t>K</t>
        </is>
      </c>
      <c r="O94" t="inlineStr">
        <is>
          <t>20230620</t>
        </is>
      </c>
      <c r="P94" t="inlineStr">
        <is>
          <t>Jawa Barat</t>
        </is>
      </c>
      <c r="Q94" s="3">
        <f>HYPERLINK("https://wa.me/6282126507515?text=*[PERINGATAN DARURAT SBU ESHAN MEGA PROPERTINDO]*%0A%0AYth. Pimpinan ESHAN MEGA PROPERTINDO,%0AMasa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5">
      <c r="A95" t="inlineStr">
        <is>
          <t>ESSENTIAL PRIMA</t>
        </is>
      </c>
      <c r="B95" t="inlineStr">
        <is>
          <t>Kab. Samosir</t>
        </is>
      </c>
      <c r="C95" t="inlineStr">
        <is>
          <t>082272370302</t>
        </is>
      </c>
      <c r="D95" t="inlineStr">
        <is>
          <t>paulz.766hi@gmail.com</t>
        </is>
      </c>
      <c r="E95" t="inlineStr">
        <is>
          <t>https://lpjk.pu.go.id/search-badan-usaha-detail/ZTJYU2JOcGVMemIxczMxdm1Hc2FHQT09</t>
        </is>
      </c>
      <c r="F95" t="n">
        <v>1</v>
      </c>
      <c r="G95" t="inlineStr">
        <is>
          <t>BS001</t>
        </is>
      </c>
      <c r="H95" t="inlineStr">
        <is>
          <t>19 Januari 2022</t>
        </is>
      </c>
      <c r="I95" s="2" t="n">
        <v>46194</v>
      </c>
      <c r="J95" t="inlineStr">
        <is>
          <t>Disetujui</t>
        </is>
      </c>
      <c r="K95" t="n">
        <v>30</v>
      </c>
      <c r="L95" t="inlineStr">
        <is>
          <t>21 Juni 2026</t>
        </is>
      </c>
      <c r="M95" t="inlineStr">
        <is>
          <t>Konstruksi Bangunan Sipil Jalan</t>
        </is>
      </c>
      <c r="N95" t="inlineStr">
        <is>
          <t>K</t>
        </is>
      </c>
      <c r="O95" t="inlineStr">
        <is>
          <t>20230619</t>
        </is>
      </c>
      <c r="P95" t="inlineStr">
        <is>
          <t>Sumatera Utara</t>
        </is>
      </c>
      <c r="Q95" s="3">
        <f>HYPERLINK("https://wa.me/6282272370302?text=*[PERINGATAN DARURAT SBU ESSENTIAL PRIMA]*%0A%0AYth. Pimpinan ESSENTIAL PRIMA,%0AMasa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6">
      <c r="A96" t="inlineStr">
        <is>
          <t>FAIZAH REZKY KONSTRUKSI</t>
        </is>
      </c>
      <c r="B96" t="inlineStr">
        <is>
          <t>Kota Kendari</t>
        </is>
      </c>
      <c r="C96" t="inlineStr">
        <is>
          <t>082285692509</t>
        </is>
      </c>
      <c r="D96" t="inlineStr">
        <is>
          <t>cv.faizahrezkykonstruksi.kdi@gmail.com</t>
        </is>
      </c>
      <c r="E96" t="inlineStr">
        <is>
          <t>https://lpjk.pu.go.id/search-badan-usaha-detail/RS84Si9sMkNhNGU3RG5yZG9UZWd1dz09</t>
        </is>
      </c>
      <c r="F96" t="n">
        <v>1</v>
      </c>
      <c r="G96" t="inlineStr">
        <is>
          <t>BG005</t>
        </is>
      </c>
      <c r="H96" t="inlineStr">
        <is>
          <t>13 Juli 2022</t>
        </is>
      </c>
      <c r="I96" s="2" t="n">
        <v>46194</v>
      </c>
      <c r="J96" t="inlineStr">
        <is>
          <t>Disetujui</t>
        </is>
      </c>
      <c r="K96" t="n">
        <v>30</v>
      </c>
      <c r="L96" t="inlineStr">
        <is>
          <t>21 Juni 2026</t>
        </is>
      </c>
      <c r="M96" t="inlineStr">
        <is>
          <t>Konstruksi Gedung Kesehatan</t>
        </is>
      </c>
      <c r="N96" t="inlineStr">
        <is>
          <t>K</t>
        </is>
      </c>
      <c r="O96" t="inlineStr">
        <is>
          <t>20230615</t>
        </is>
      </c>
      <c r="P96" t="inlineStr">
        <is>
          <t>Sulawesi Tenggara</t>
        </is>
      </c>
      <c r="Q96" s="3">
        <f>HYPERLINK("https://wa.me/6282285692509?text=*[PERINGATAN DARURAT SBU FAIZAH REZKY KONSTRUKSI]*%0A%0AYth. Pimpinan FAIZAH REZKY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7">
      <c r="A97" t="inlineStr">
        <is>
          <t>FAJAR WANGI ATHARIZZ</t>
        </is>
      </c>
      <c r="B97" t="inlineStr">
        <is>
          <t>Kota Surabaya</t>
        </is>
      </c>
      <c r="C97" t="inlineStr">
        <is>
          <t>081331598913</t>
        </is>
      </c>
      <c r="D97" t="inlineStr">
        <is>
          <t>fajarwangi.atharizzpt@gmail.com</t>
        </is>
      </c>
      <c r="E97" t="inlineStr">
        <is>
          <t>https://lpjk.pu.go.id/search-badan-usaha-detail/cGkrbnpyZEVzdVA5dW1YSEFCUnpKdz09</t>
        </is>
      </c>
      <c r="F97" t="n">
        <v>1</v>
      </c>
      <c r="G97" t="inlineStr">
        <is>
          <t>BG009</t>
        </is>
      </c>
      <c r="H97" t="inlineStr">
        <is>
          <t>5 Desember 2007</t>
        </is>
      </c>
      <c r="I97" s="2" t="n">
        <v>46194</v>
      </c>
      <c r="J97" t="inlineStr">
        <is>
          <t>Disetujui</t>
        </is>
      </c>
      <c r="K97" t="n">
        <v>30</v>
      </c>
      <c r="L97" t="inlineStr">
        <is>
          <t>21 Juni 2026</t>
        </is>
      </c>
      <c r="M97" t="inlineStr">
        <is>
          <t>Konstruksi Gedung Lainnya</t>
        </is>
      </c>
      <c r="N97" t="inlineStr">
        <is>
          <t>M</t>
        </is>
      </c>
      <c r="O97" t="inlineStr">
        <is>
          <t>20230615</t>
        </is>
      </c>
      <c r="P97" t="inlineStr">
        <is>
          <t>Jawa Timur</t>
        </is>
      </c>
      <c r="Q97" s="3">
        <f>HYPERLINK("https://wa.me/6281331598913?text=*[PERINGATAN DARURAT SBU FAJAR WANGI ATHARIZZ]*%0A%0AYth. Pimpinan FAJAR WANGI ATHARIZZ,%0AMasa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8">
      <c r="A98" t="inlineStr">
        <is>
          <t>FAMAUGU JAYA</t>
        </is>
      </c>
      <c r="B98" t="inlineStr">
        <is>
          <t>Kab. Nias Selatan</t>
        </is>
      </c>
      <c r="C98" t="inlineStr">
        <is>
          <t>0859134774</t>
        </is>
      </c>
      <c r="D98" t="inlineStr">
        <is>
          <t>cv.famaugujaya@gmail.com</t>
        </is>
      </c>
      <c r="E98" t="inlineStr">
        <is>
          <t>https://lpjk.pu.go.id/search-badan-usaha-detail/ayswYlNlZjNqMEhMcWJJK0JSYkJ2UT09</t>
        </is>
      </c>
      <c r="F98" t="n">
        <v>1</v>
      </c>
      <c r="G98" t="inlineStr">
        <is>
          <t>BS001</t>
        </is>
      </c>
      <c r="H98" t="inlineStr">
        <is>
          <t>17 Juni 2011</t>
        </is>
      </c>
      <c r="I98" s="2" t="n">
        <v>46194</v>
      </c>
      <c r="J98" t="inlineStr">
        <is>
          <t>Pencabutan</t>
        </is>
      </c>
      <c r="K98" t="n">
        <v>30</v>
      </c>
      <c r="L98" t="inlineStr">
        <is>
          <t>21 Juni 2026</t>
        </is>
      </c>
      <c r="M98" t="inlineStr">
        <is>
          <t>Konstruksi Bangunan Sipil Jalan</t>
        </is>
      </c>
      <c r="N98" t="inlineStr">
        <is>
          <t>K</t>
        </is>
      </c>
      <c r="O98" t="inlineStr">
        <is>
          <t>20230621</t>
        </is>
      </c>
      <c r="P98" t="inlineStr">
        <is>
          <t>Sumatera Utara</t>
        </is>
      </c>
      <c r="Q98" s="3">
        <f>HYPERLINK("https://wa.me/62859134774?text=*[PERINGATAN DARURAT SBU FAMAUGU JAYA]*%0A%0AYth. Pimpinan FAMAUGU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99">
      <c r="A99" t="inlineStr">
        <is>
          <t>FARIS MANDIRI</t>
        </is>
      </c>
      <c r="B99" t="inlineStr">
        <is>
          <t>Kab. Aceh Barat Daya</t>
        </is>
      </c>
      <c r="C99" t="inlineStr">
        <is>
          <t>085362930555</t>
        </is>
      </c>
      <c r="D99" t="inlineStr">
        <is>
          <t>cvfarismandiri@gmail.com</t>
        </is>
      </c>
      <c r="E99" t="inlineStr">
        <is>
          <t>https://lpjk.pu.go.id/search-badan-usaha-detail/MjJwUDREcUhjUEgralYvR3l0c0tnUT09</t>
        </is>
      </c>
      <c r="F99" t="n">
        <v>6</v>
      </c>
      <c r="G99" t="inlineStr">
        <is>
          <t>BG001, BG005, BG006, BG009, BS001, BS004</t>
        </is>
      </c>
      <c r="H99" t="inlineStr">
        <is>
          <t>21 Januari 2016</t>
        </is>
      </c>
      <c r="I99" s="2" t="n">
        <v>46194</v>
      </c>
      <c r="J99" t="inlineStr">
        <is>
          <t>Disetujui</t>
        </is>
      </c>
      <c r="K99" t="n">
        <v>30</v>
      </c>
      <c r="L99" t="inlineStr">
        <is>
          <t>21 Juni 2026</t>
        </is>
      </c>
      <c r="M99" t="inlineStr">
        <is>
          <t>Konstruksi Bangunan Sipil Jalan, Konstruksi Gedung Hunian, Konstruksi Gedung Kesehatan, Konstruksi Gedung Lainnya, Konstruksi Gedung Pendidikan, Konstruksi Jaringan Irigasi dan Drainase</t>
        </is>
      </c>
      <c r="N99" t="inlineStr">
        <is>
          <t>K</t>
        </is>
      </c>
      <c r="O99" t="inlineStr">
        <is>
          <t>20230619</t>
        </is>
      </c>
      <c r="P99" t="inlineStr">
        <is>
          <t>Aceh</t>
        </is>
      </c>
      <c r="Q99" s="3">
        <f>HYPERLINK("https://wa.me/6285362930555?text=*[PERINGATAN DARURAT SBU FARIS MANDIRI]*%0A%0AYth. Pimpinan FARIS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0">
      <c r="A100" t="inlineStr">
        <is>
          <t>FATHAN JAYA ABADI</t>
        </is>
      </c>
      <c r="B100" t="inlineStr">
        <is>
          <t>Kab. Mamuju</t>
        </is>
      </c>
      <c r="C100" t="inlineStr">
        <is>
          <t>081355776667</t>
        </is>
      </c>
      <c r="D100" t="inlineStr">
        <is>
          <t>cv.fathanjayaabadi@gmail.com</t>
        </is>
      </c>
      <c r="E100" t="inlineStr">
        <is>
          <t>https://lpjk.pu.go.id/search-badan-usaha-detail/TUw0V3VEZWpoaWNOSVNhRzNEQUkzUT09</t>
        </is>
      </c>
      <c r="F100" t="n">
        <v>5</v>
      </c>
      <c r="G100" t="inlineStr">
        <is>
          <t>BG001, BG002, BG005, BG006, BG009</t>
        </is>
      </c>
      <c r="H100" t="inlineStr">
        <is>
          <t>6 Februari 2020</t>
        </is>
      </c>
      <c r="I100" s="2" t="n">
        <v>46194</v>
      </c>
      <c r="J100" t="inlineStr">
        <is>
          <t>Disetujui</t>
        </is>
      </c>
      <c r="K100" t="n">
        <v>30</v>
      </c>
      <c r="L100" t="inlineStr">
        <is>
          <t>21 Juni 2026</t>
        </is>
      </c>
      <c r="M100" t="inlineStr">
        <is>
          <t>Konstruksi Gedung Hunian, Konstruksi Gedung Kesehatan, Konstruksi Gedung Lainnya, Konstruksi Gedung Pendidikan, Konstruksi Gedung Perkantoran</t>
        </is>
      </c>
      <c r="N100" t="inlineStr">
        <is>
          <t>K</t>
        </is>
      </c>
      <c r="O100" t="inlineStr">
        <is>
          <t>20230521, 20230524, 20230529</t>
        </is>
      </c>
      <c r="P100" t="inlineStr">
        <is>
          <t>Sulawesi Barat</t>
        </is>
      </c>
      <c r="Q100" s="3">
        <f>HYPERLINK("https://wa.me/6281355776667?text=*[PERINGATAN DARURAT SBU FATHAN JAYA ABADI]*%0A%0AYth. Pimpinan FATHAN JAYA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1">
      <c r="A101" t="inlineStr">
        <is>
          <t>FITRIAH ALADIN</t>
        </is>
      </c>
      <c r="B101" t="inlineStr">
        <is>
          <t>Kab. Pasuruan</t>
        </is>
      </c>
      <c r="C101" t="inlineStr">
        <is>
          <t>081233024338</t>
        </is>
      </c>
      <c r="D101" t="inlineStr">
        <is>
          <t>fitriahaladin@gmail.com</t>
        </is>
      </c>
      <c r="E101" t="inlineStr">
        <is>
          <t>https://lpjk.pu.go.id/search-badan-usaha-detail/R0h2cXVhVDk3anJFbjRONkx5Nnh1dz09</t>
        </is>
      </c>
      <c r="F101" t="n">
        <v>2</v>
      </c>
      <c r="G101" t="inlineStr">
        <is>
          <t>BS004</t>
        </is>
      </c>
      <c r="H101" t="inlineStr">
        <is>
          <t>12 Januari 2006</t>
        </is>
      </c>
      <c r="I101" s="2" t="n">
        <v>46194</v>
      </c>
      <c r="J101" t="inlineStr">
        <is>
          <t>Disetujui</t>
        </is>
      </c>
      <c r="K101" t="n">
        <v>30</v>
      </c>
      <c r="L101" t="inlineStr">
        <is>
          <t>21 Juni 2026</t>
        </is>
      </c>
      <c r="M101" t="inlineStr">
        <is>
          <t>Konstruksi Jaringan Irigasi dan Drainase</t>
        </is>
      </c>
      <c r="N101" t="inlineStr">
        <is>
          <t>K</t>
        </is>
      </c>
      <c r="O101" t="inlineStr">
        <is>
          <t>20230621</t>
        </is>
      </c>
      <c r="P101" t="inlineStr">
        <is>
          <t>Jawa Timur</t>
        </is>
      </c>
      <c r="Q101" s="3">
        <f>HYPERLINK("https://wa.me/6281233024338?text=*[PERINGATAN DARURAT SBU FITRIAH ALADIN]*%0A%0AYth. Pimpinan FITRIAH ALADIN,%0AMasa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2">
      <c r="A102" t="inlineStr">
        <is>
          <t>FLAMBOYAN</t>
        </is>
      </c>
      <c r="B102" t="inlineStr">
        <is>
          <t>Kab. Lampung Barat</t>
        </is>
      </c>
      <c r="C102" t="inlineStr">
        <is>
          <t>082307061414</t>
        </is>
      </c>
      <c r="D102" t="inlineStr">
        <is>
          <t>cvflamboyan82@gmail.com</t>
        </is>
      </c>
      <c r="E102" t="inlineStr">
        <is>
          <t>https://lpjk.pu.go.id/search-badan-usaha-detail/Zi9CVEo3UmlTdjNBZXFOWG1QUzFIUT09</t>
        </is>
      </c>
      <c r="F102" t="n">
        <v>1</v>
      </c>
      <c r="G102" t="inlineStr">
        <is>
          <t>BS001</t>
        </is>
      </c>
      <c r="H102" t="inlineStr">
        <is>
          <t>17 Maret 1992</t>
        </is>
      </c>
      <c r="I102" s="2" t="n">
        <v>46194</v>
      </c>
      <c r="J102" t="inlineStr">
        <is>
          <t>Disetujui</t>
        </is>
      </c>
      <c r="K102" t="n">
        <v>30</v>
      </c>
      <c r="L102" t="inlineStr">
        <is>
          <t>21 Juni 2026</t>
        </is>
      </c>
      <c r="M102" t="inlineStr">
        <is>
          <t>Konstruksi Bangunan Sipil Jalan</t>
        </is>
      </c>
      <c r="N102" t="inlineStr">
        <is>
          <t>K</t>
        </is>
      </c>
      <c r="O102" t="inlineStr">
        <is>
          <t>20230606</t>
        </is>
      </c>
      <c r="P102" t="inlineStr">
        <is>
          <t>Lampung</t>
        </is>
      </c>
      <c r="Q102" s="3">
        <f>HYPERLINK("https://wa.me/6282307061414?text=*[PERINGATAN DARURAT SBU FLAMBOYAN]*%0A%0AYth. Pimpinan FLAMBOYAN,%0AMasa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3">
      <c r="A103" t="inlineStr">
        <is>
          <t>GABRIELA</t>
        </is>
      </c>
      <c r="B103" t="inlineStr">
        <is>
          <t>Kab. Donggala</t>
        </is>
      </c>
      <c r="C103" t="inlineStr">
        <is>
          <t>08114512220</t>
        </is>
      </c>
      <c r="D103" t="inlineStr">
        <is>
          <t>cv.gabriela@yahoo.com</t>
        </is>
      </c>
      <c r="E103" t="inlineStr">
        <is>
          <t>https://lpjk.pu.go.id/search-badan-usaha-detail/VktCUDRRUWJYQXVxbGtzamdPZGZNQT09</t>
        </is>
      </c>
      <c r="F103" t="n">
        <v>6</v>
      </c>
      <c r="G103" t="inlineStr">
        <is>
          <t>BG002, BG004, BG006, BS004, BS005, BS010</t>
        </is>
      </c>
      <c r="H103" t="inlineStr">
        <is>
          <t>14 Januari 2009</t>
        </is>
      </c>
      <c r="I103" s="2" t="n">
        <v>46194</v>
      </c>
      <c r="J103" t="inlineStr">
        <is>
          <t>Disetujui</t>
        </is>
      </c>
      <c r="K103" t="n">
        <v>30</v>
      </c>
      <c r="L103" t="inlineStr">
        <is>
          <t>21 Juni 2026</t>
        </is>
      </c>
      <c r="M103" t="inlineStr">
        <is>
          <t>Konstruksi Bangunan Prasarana Sumber Daya Air, Konstruksi Bangunan Sipil Pengolahan Air Bersih, Konstruksi Gedung Pendidikan, Konstruksi Gedung Perbelanjaan, Konstruksi Gedung Perkantoran, Konstruksi Jaringan Irigasi dan Drainase</t>
        </is>
      </c>
      <c r="N103" t="inlineStr">
        <is>
          <t>K</t>
        </is>
      </c>
      <c r="O103" t="inlineStr">
        <is>
          <t>20230503, 20230607, 20230621</t>
        </is>
      </c>
      <c r="P103" t="inlineStr">
        <is>
          <t>Sulawesi Tengah</t>
        </is>
      </c>
      <c r="Q103" s="3">
        <f>HYPERLINK("https://wa.me/628114512220?text=*[PERINGATAN DARURAT SBU GABRIELA]*%0A%0AYth. Pimpinan GABRIELA,%0AMasa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4">
      <c r="A104" t="inlineStr">
        <is>
          <t>GALAKSI MECCADINA KONSULTAN</t>
        </is>
      </c>
      <c r="B104" t="inlineStr">
        <is>
          <t>Kota Madiun</t>
        </is>
      </c>
      <c r="C104" t="inlineStr">
        <is>
          <t>0351451050</t>
        </is>
      </c>
      <c r="D104" t="inlineStr">
        <is>
          <t>cv.gmkonsultan@gmail.com</t>
        </is>
      </c>
      <c r="E104" t="inlineStr">
        <is>
          <t>https://lpjk.pu.go.id/search-badan-usaha-detail/c0orY0dycUxLUlp6MHd3b2lucFpmQT09</t>
        </is>
      </c>
      <c r="F104" t="n">
        <v>2</v>
      </c>
      <c r="G104" t="inlineStr">
        <is>
          <t>RK001, RK003</t>
        </is>
      </c>
      <c r="H104" t="inlineStr">
        <is>
          <t>20 November 2012</t>
        </is>
      </c>
      <c r="I104" s="2" t="n">
        <v>46194</v>
      </c>
      <c r="J104" t="inlineStr">
        <is>
          <t>Disetujui</t>
        </is>
      </c>
      <c r="K104" t="n">
        <v>30</v>
      </c>
      <c r="L104" t="inlineStr">
        <is>
          <t>21 Juni 2026</t>
        </is>
      </c>
      <c r="M104" t="inlineStr">
        <is>
          <t>Jasa Rekayasa Konstruksi Bangunan Gedung Hunian dan Non Hunian, Jasa Rekayasa Pekerjaan Teknik Sipil Transportasi</t>
        </is>
      </c>
      <c r="N104" t="inlineStr">
        <is>
          <t>K</t>
        </is>
      </c>
      <c r="O104" t="inlineStr">
        <is>
          <t>20230612, 20230613</t>
        </is>
      </c>
      <c r="P104" t="inlineStr">
        <is>
          <t>Jawa Timur</t>
        </is>
      </c>
      <c r="Q104" s="3">
        <f>HYPERLINK("https://wa.me/62351451050?text=*[PERINGATAN DARURAT SBU GALAKSI MECCADINA KONSULTAN]*%0A%0AYth. Pimpinan GALAKSI MECCADINA KONSULTAN,%0AMasa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5">
      <c r="A105" t="inlineStr">
        <is>
          <t>GANESHA BANGUN RIAU SARANA</t>
        </is>
      </c>
      <c r="B105" t="inlineStr">
        <is>
          <t>Kota Pekanbaru</t>
        </is>
      </c>
      <c r="C105" t="inlineStr">
        <is>
          <t>076134556</t>
        </is>
      </c>
      <c r="D105" t="inlineStr">
        <is>
          <t>ganesha.riau@gmail.com</t>
        </is>
      </c>
      <c r="E105" t="inlineStr">
        <is>
          <t>https://lpjk.pu.go.id/search-badan-usaha-detail/bWVYbVJJWkt0L0N1OWZUdnB3bFgvUT09</t>
        </is>
      </c>
      <c r="F105" t="n">
        <v>2</v>
      </c>
      <c r="G105" t="inlineStr">
        <is>
          <t>BG005</t>
        </is>
      </c>
      <c r="H105" t="inlineStr">
        <is>
          <t>10 April 1999</t>
        </is>
      </c>
      <c r="I105" s="2" t="n">
        <v>46194</v>
      </c>
      <c r="J105" t="inlineStr">
        <is>
          <t>Pencabutan</t>
        </is>
      </c>
      <c r="K105" t="n">
        <v>30</v>
      </c>
      <c r="L105" t="inlineStr">
        <is>
          <t>21 Juni 2026</t>
        </is>
      </c>
      <c r="M105" t="inlineStr">
        <is>
          <t>Konstruksi Gedung Kesehatan</t>
        </is>
      </c>
      <c r="N105" t="inlineStr">
        <is>
          <t>M</t>
        </is>
      </c>
      <c r="O105" t="inlineStr">
        <is>
          <t>20230620</t>
        </is>
      </c>
      <c r="P105" t="inlineStr">
        <is>
          <t>Riau</t>
        </is>
      </c>
      <c r="Q105" s="3">
        <f>HYPERLINK("https://wa.me/6276134556?text=*[PERINGATAN DARURAT SBU GANESHA BANGUN RIAU SARANA]*%0A%0AYth. Pimpinan GANESHA BANGUN RIAU SARANA,%0AMasa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6">
      <c r="A106" t="inlineStr">
        <is>
          <t>GARUDA PUTRA GROUP</t>
        </is>
      </c>
      <c r="B106" t="inlineStr">
        <is>
          <t>Kab. Aceh Barat</t>
        </is>
      </c>
      <c r="C106" t="inlineStr">
        <is>
          <t>0811680798</t>
        </is>
      </c>
      <c r="D106" t="inlineStr">
        <is>
          <t>garuda.putragroup@yahoo.com</t>
        </is>
      </c>
      <c r="E106" t="inlineStr">
        <is>
          <t>https://lpjk.pu.go.id/search-badan-usaha-detail/NHVUV0V1RXVXamcrRnhyVXd5THh0UT09</t>
        </is>
      </c>
      <c r="F106" t="n">
        <v>1</v>
      </c>
      <c r="G106" t="inlineStr">
        <is>
          <t>BS004</t>
        </is>
      </c>
      <c r="H106" t="inlineStr">
        <is>
          <t>19 Desember 1996</t>
        </is>
      </c>
      <c r="I106" s="2" t="n">
        <v>46194</v>
      </c>
      <c r="J106" t="inlineStr">
        <is>
          <t>Disetujui</t>
        </is>
      </c>
      <c r="K106" t="n">
        <v>30</v>
      </c>
      <c r="L106" t="inlineStr">
        <is>
          <t>21 Juni 2026</t>
        </is>
      </c>
      <c r="M106" t="inlineStr">
        <is>
          <t>Konstruksi Jaringan Irigasi dan Drainase</t>
        </is>
      </c>
      <c r="N106" t="inlineStr">
        <is>
          <t>K</t>
        </is>
      </c>
      <c r="O106" t="inlineStr">
        <is>
          <t>20230615</t>
        </is>
      </c>
      <c r="P106" t="inlineStr">
        <is>
          <t>Aceh</t>
        </is>
      </c>
      <c r="Q106" s="3">
        <f>HYPERLINK("https://wa.me/62811680798?text=*[PERINGATAN DARURAT SBU GARUDA PUTRA GROUP]*%0A%0AYth. Pimpinan GARUDA PUTRA GROUP,%0AMasa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7">
      <c r="A107" t="inlineStr">
        <is>
          <t>GELORA JAYA</t>
        </is>
      </c>
      <c r="B107" t="inlineStr">
        <is>
          <t>Kab. Sanggau</t>
        </is>
      </c>
      <c r="C107" t="inlineStr">
        <is>
          <t>085751700688</t>
        </is>
      </c>
      <c r="D107" t="inlineStr">
        <is>
          <t>gelora_jaya88@yahoo.com</t>
        </is>
      </c>
      <c r="E107" t="inlineStr">
        <is>
          <t>https://lpjk.pu.go.id/search-badan-usaha-detail/YXFURXJWZDVNMHZIK1FMZmdUK2RZZz09</t>
        </is>
      </c>
      <c r="F107" t="n">
        <v>1</v>
      </c>
      <c r="G107" t="inlineStr">
        <is>
          <t>BG003</t>
        </is>
      </c>
      <c r="H107" t="inlineStr">
        <is>
          <t>4 Mei 1984</t>
        </is>
      </c>
      <c r="I107" s="2" t="n">
        <v>46194</v>
      </c>
      <c r="J107" t="inlineStr">
        <is>
          <t>Disetujui</t>
        </is>
      </c>
      <c r="K107" t="n">
        <v>30</v>
      </c>
      <c r="L107" t="inlineStr">
        <is>
          <t>21 Juni 2026</t>
        </is>
      </c>
      <c r="M107" t="inlineStr">
        <is>
          <t>Konstruksi Gedung Industri</t>
        </is>
      </c>
      <c r="N107" t="inlineStr">
        <is>
          <t>K</t>
        </is>
      </c>
      <c r="O107" t="inlineStr">
        <is>
          <t>20230621</t>
        </is>
      </c>
      <c r="P107" t="inlineStr">
        <is>
          <t>Kalimantan Barat</t>
        </is>
      </c>
      <c r="Q107" s="3">
        <f>HYPERLINK("https://wa.me/6285751700688?text=*[PERINGATAN DARURAT SBU GELORA JAYA]*%0A%0AYth. Pimpinan GELORA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8">
      <c r="A108" t="inlineStr">
        <is>
          <t>GEO INTI SARANA</t>
        </is>
      </c>
      <c r="B108" t="inlineStr">
        <is>
          <t>Kab. Tanjung Jabung Barat</t>
        </is>
      </c>
      <c r="C108" t="inlineStr">
        <is>
          <t>085356557777</t>
        </is>
      </c>
      <c r="D108" t="inlineStr">
        <is>
          <t>geointisarana@gmail.com</t>
        </is>
      </c>
      <c r="E108" t="inlineStr">
        <is>
          <t>https://lpjk.pu.go.id/search-badan-usaha-detail/aTdqQkRiWlhFMjUrd2FpamdUWEdWUT09</t>
        </is>
      </c>
      <c r="F108" t="n">
        <v>2</v>
      </c>
      <c r="G108" t="inlineStr">
        <is>
          <t>BG005, BG006</t>
        </is>
      </c>
      <c r="H108" t="inlineStr">
        <is>
          <t>26 November 2013</t>
        </is>
      </c>
      <c r="I108" s="2" t="n">
        <v>46194</v>
      </c>
      <c r="J108" t="inlineStr">
        <is>
          <t>Disetujui</t>
        </is>
      </c>
      <c r="K108" t="n">
        <v>30</v>
      </c>
      <c r="L108" t="inlineStr">
        <is>
          <t>21 Juni 2026</t>
        </is>
      </c>
      <c r="M108" t="inlineStr">
        <is>
          <t>Konstruksi Gedung Kesehatan, Konstruksi Gedung Pendidikan</t>
        </is>
      </c>
      <c r="N108" t="inlineStr">
        <is>
          <t>K</t>
        </is>
      </c>
      <c r="O108" t="inlineStr">
        <is>
          <t>20230530, 20230620</t>
        </is>
      </c>
      <c r="P108" t="inlineStr">
        <is>
          <t>Jambi</t>
        </is>
      </c>
      <c r="Q108" s="3">
        <f>HYPERLINK("https://wa.me/6285356557777?text=*[PERINGATAN DARURAT SBU GEO INTI SARANA]*%0A%0AYth. Pimpinan GEO INTI SARANA,%0AMasa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09">
      <c r="A109" t="inlineStr">
        <is>
          <t>GERBANG BINANGUN</t>
        </is>
      </c>
      <c r="B109" t="inlineStr">
        <is>
          <t>Kab. Kulon Progo</t>
        </is>
      </c>
      <c r="C109" t="inlineStr">
        <is>
          <t>081392056226</t>
        </is>
      </c>
      <c r="D109" t="inlineStr">
        <is>
          <t>binangungerbang@gmail.com</t>
        </is>
      </c>
      <c r="E109" t="inlineStr">
        <is>
          <t>https://lpjk.pu.go.id/search-badan-usaha-detail/OEVjODUxSXdKRkxMSEpqd3FIdTlUQT09</t>
        </is>
      </c>
      <c r="F109" t="n">
        <v>3</v>
      </c>
      <c r="G109" t="inlineStr">
        <is>
          <t>BG006, BS001, BS004</t>
        </is>
      </c>
      <c r="H109" t="inlineStr">
        <is>
          <t>9 Januari 2018</t>
        </is>
      </c>
      <c r="I109" s="2" t="n">
        <v>46194</v>
      </c>
      <c r="J109" t="inlineStr">
        <is>
          <t>Pencabutan</t>
        </is>
      </c>
      <c r="K109" t="n">
        <v>30</v>
      </c>
      <c r="L109" t="inlineStr">
        <is>
          <t>21 Juni 2026</t>
        </is>
      </c>
      <c r="M109" t="inlineStr">
        <is>
          <t>Konstruksi Bangunan Sipil Jalan, Konstruksi Gedung Pendidikan, Konstruksi Jaringan Irigasi dan Drainase</t>
        </is>
      </c>
      <c r="N109" t="inlineStr">
        <is>
          <t>K</t>
        </is>
      </c>
      <c r="O109" t="inlineStr">
        <is>
          <t>20230607, 20230616</t>
        </is>
      </c>
      <c r="P109" t="inlineStr">
        <is>
          <t>DI Yogyakarta</t>
        </is>
      </c>
      <c r="Q109" s="3">
        <f>HYPERLINK("https://wa.me/6281392056226?text=*[PERINGATAN DARURAT SBU GERBANG BINANGUN]*%0A%0AYth. Pimpinan GERBANG BINANGUN,%0AMasa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0">
      <c r="A110" t="inlineStr">
        <is>
          <t>GHANIM KONSTRUKSI</t>
        </is>
      </c>
      <c r="B110" t="inlineStr">
        <is>
          <t>Kab. Pasaman</t>
        </is>
      </c>
      <c r="C110" t="inlineStr">
        <is>
          <t>085365372009</t>
        </is>
      </c>
      <c r="D110" t="inlineStr">
        <is>
          <t>ghanimkonstruksi@gmail.com</t>
        </is>
      </c>
      <c r="E110" t="inlineStr">
        <is>
          <t>https://lpjk.pu.go.id/search-badan-usaha-detail/RkhtWkNiZUhsTllhY0ttUUFXSGtLQT09</t>
        </is>
      </c>
      <c r="F110" t="n">
        <v>1</v>
      </c>
      <c r="G110" t="inlineStr">
        <is>
          <t>BG006</t>
        </is>
      </c>
      <c r="H110" t="inlineStr">
        <is>
          <t>17 Januari 2007</t>
        </is>
      </c>
      <c r="I110" s="2" t="n">
        <v>46194</v>
      </c>
      <c r="J110" t="inlineStr">
        <is>
          <t>Pencabutan</t>
        </is>
      </c>
      <c r="K110" t="n">
        <v>30</v>
      </c>
      <c r="L110" t="inlineStr">
        <is>
          <t>21 Juni 2026</t>
        </is>
      </c>
      <c r="M110" t="inlineStr">
        <is>
          <t>Konstruksi Gedung Pendidikan</t>
        </is>
      </c>
      <c r="N110" t="inlineStr">
        <is>
          <t>K</t>
        </is>
      </c>
      <c r="O110" t="inlineStr">
        <is>
          <t>20230621</t>
        </is>
      </c>
      <c r="P110" t="inlineStr">
        <is>
          <t>Sumatera Barat</t>
        </is>
      </c>
      <c r="Q110" s="3">
        <f>HYPERLINK("https://wa.me/6285365372009?text=*[PERINGATAN DARURAT SBU GHANIM KONSTRUKSI]*%0A%0AYth. Pimpinan GHANIM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1">
      <c r="A111" t="inlineStr">
        <is>
          <t>GRAHA ANUGERAH SUKSES</t>
        </is>
      </c>
      <c r="B111" t="inlineStr">
        <is>
          <t>Kab. Tangerang</t>
        </is>
      </c>
      <c r="C111" t="inlineStr">
        <is>
          <t>081380640575</t>
        </is>
      </c>
      <c r="D111" t="inlineStr">
        <is>
          <t>gas2022.cv@gmail.com</t>
        </is>
      </c>
      <c r="E111" t="inlineStr">
        <is>
          <t>https://lpjk.pu.go.id/search-badan-usaha-detail/YWliZHhKSzNnSTVwalZYNHJZdWNyUT09</t>
        </is>
      </c>
      <c r="F111" t="n">
        <v>1</v>
      </c>
      <c r="G111" t="inlineStr">
        <is>
          <t>BG009</t>
        </is>
      </c>
      <c r="H111" t="inlineStr">
        <is>
          <t>21 Desember 2022</t>
        </is>
      </c>
      <c r="I111" s="2" t="n">
        <v>46194</v>
      </c>
      <c r="J111" t="inlineStr">
        <is>
          <t>Pencabutan</t>
        </is>
      </c>
      <c r="K111" t="n">
        <v>30</v>
      </c>
      <c r="L111" t="inlineStr">
        <is>
          <t>21 Juni 2026</t>
        </is>
      </c>
      <c r="M111" t="inlineStr">
        <is>
          <t>Konstruksi Gedung Lainnya</t>
        </is>
      </c>
      <c r="N111" t="inlineStr">
        <is>
          <t>K</t>
        </is>
      </c>
      <c r="O111" t="inlineStr">
        <is>
          <t>20230620</t>
        </is>
      </c>
      <c r="P111" t="inlineStr">
        <is>
          <t>Banten</t>
        </is>
      </c>
      <c r="Q111" s="3">
        <f>HYPERLINK("https://wa.me/6281380640575?text=*[PERINGATAN DARURAT SBU GRAHA ANUGERAH SUKSES]*%0A%0AYth. Pimpinan GRAHA ANUGERAH SUKSES,%0AMasa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2">
      <c r="A112" t="inlineStr">
        <is>
          <t>GRAHA TATA SELARAS</t>
        </is>
      </c>
      <c r="B112" t="inlineStr">
        <is>
          <t>Kota Adm. Jakarta Barat</t>
        </is>
      </c>
      <c r="C112" t="inlineStr">
        <is>
          <t>02154373952</t>
        </is>
      </c>
      <c r="D112" t="inlineStr">
        <is>
          <t>liefang_ff@yahoo.com</t>
        </is>
      </c>
      <c r="E112" t="inlineStr">
        <is>
          <t>https://lpjk.pu.go.id/search-badan-usaha-detail/cDc2RC9vVkxMZ21DQ1lsdmU5UUtqZz09</t>
        </is>
      </c>
      <c r="F112" t="n">
        <v>1</v>
      </c>
      <c r="G112" t="inlineStr">
        <is>
          <t>BG009</t>
        </is>
      </c>
      <c r="H112" t="inlineStr">
        <is>
          <t>21 November 2001</t>
        </is>
      </c>
      <c r="I112" s="2" t="n">
        <v>46194</v>
      </c>
      <c r="J112" t="inlineStr">
        <is>
          <t>Disetujui</t>
        </is>
      </c>
      <c r="K112" t="n">
        <v>30</v>
      </c>
      <c r="L112" t="inlineStr">
        <is>
          <t>21 Juni 2026</t>
        </is>
      </c>
      <c r="M112" t="inlineStr">
        <is>
          <t>Konstruksi Gedung Lainnya</t>
        </is>
      </c>
      <c r="N112" t="inlineStr">
        <is>
          <t>K</t>
        </is>
      </c>
      <c r="O112" t="inlineStr">
        <is>
          <t>20230613</t>
        </is>
      </c>
      <c r="P112" t="inlineStr">
        <is>
          <t>DKI Jakarta</t>
        </is>
      </c>
      <c r="Q112" s="3">
        <f>HYPERLINK("https://wa.me/622154373952?text=*[PERINGATAN DARURAT SBU GRAHA TATA SELARAS]*%0A%0AYth. Pimpinan GRAHA TATA SELARAS,%0AMasa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3">
      <c r="A113" t="inlineStr">
        <is>
          <t>GUNA KARYA PUTRA</t>
        </is>
      </c>
      <c r="B113" t="inlineStr">
        <is>
          <t>Kab. Jepara</t>
        </is>
      </c>
      <c r="C113" t="inlineStr">
        <is>
          <t>081329915155</t>
        </is>
      </c>
      <c r="D113" t="inlineStr">
        <is>
          <t>gkpjep234@gmail.com</t>
        </is>
      </c>
      <c r="E113" t="inlineStr">
        <is>
          <t>https://lpjk.pu.go.id/search-badan-usaha-detail/a05ZMjliTUcwTDRkYTJ0dGl4WWZNUT09</t>
        </is>
      </c>
      <c r="F113" t="n">
        <v>2</v>
      </c>
      <c r="G113" t="inlineStr">
        <is>
          <t>BS001, BS004</t>
        </is>
      </c>
      <c r="H113" t="inlineStr">
        <is>
          <t>29 Maret 2006</t>
        </is>
      </c>
      <c r="I113" s="2" t="n">
        <v>46194</v>
      </c>
      <c r="J113" t="inlineStr">
        <is>
          <t>Disetujui</t>
        </is>
      </c>
      <c r="K113" t="n">
        <v>30</v>
      </c>
      <c r="L113" t="inlineStr">
        <is>
          <t>21 Juni 2026</t>
        </is>
      </c>
      <c r="M113" t="inlineStr">
        <is>
          <t>Konstruksi Bangunan Sipil Jalan, Konstruksi Jaringan Irigasi dan Drainase</t>
        </is>
      </c>
      <c r="N113" t="inlineStr">
        <is>
          <t>K</t>
        </is>
      </c>
      <c r="O113" t="inlineStr">
        <is>
          <t>20230306</t>
        </is>
      </c>
      <c r="P113" t="inlineStr">
        <is>
          <t>Jawa Tengah</t>
        </is>
      </c>
      <c r="Q113" s="3">
        <f>HYPERLINK("https://wa.me/6281329915155?text=*[PERINGATAN DARURAT SBU GUNA KARYA PUTRA]*%0A%0AYth. Pimpinan GUNA KARYA PUTRA,%0AMasa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4">
      <c r="A114" t="inlineStr">
        <is>
          <t>GUNTUR PERKASA ENGINERING</t>
        </is>
      </c>
      <c r="B114" t="inlineStr">
        <is>
          <t>Kab. Karawang</t>
        </is>
      </c>
      <c r="C114" t="inlineStr">
        <is>
          <t>0267414802</t>
        </is>
      </c>
      <c r="D114" t="inlineStr">
        <is>
          <t>pt.gunturperkasa@yahoo.co.id</t>
        </is>
      </c>
      <c r="E114" t="inlineStr">
        <is>
          <t>https://lpjk.pu.go.id/search-badan-usaha-detail/Nk93cnhnL09UV2lndkZjc21TckZxdHdMWVkrb1VaeXRVSzhuOEpUaVFTdz0</t>
        </is>
      </c>
      <c r="F114" t="n">
        <v>1</v>
      </c>
      <c r="G114" t="inlineStr">
        <is>
          <t>BG009</t>
        </is>
      </c>
      <c r="H114" t="inlineStr">
        <is>
          <t>5 Juni 2015</t>
        </is>
      </c>
      <c r="I114" s="2" t="n">
        <v>46194</v>
      </c>
      <c r="J114" t="inlineStr">
        <is>
          <t>Disetujui</t>
        </is>
      </c>
      <c r="K114" t="n">
        <v>30</v>
      </c>
      <c r="L114" t="inlineStr">
        <is>
          <t>21 Juni 2026</t>
        </is>
      </c>
      <c r="M114" t="inlineStr">
        <is>
          <t>Konstruksi Gedung Lainnya</t>
        </is>
      </c>
      <c r="N114" t="inlineStr">
        <is>
          <t>K</t>
        </is>
      </c>
      <c r="O114" t="inlineStr">
        <is>
          <t>20230620</t>
        </is>
      </c>
      <c r="P114" t="inlineStr">
        <is>
          <t>Jawa Barat</t>
        </is>
      </c>
      <c r="Q114" s="3">
        <f>HYPERLINK("https://wa.me/62267414802?text=*[PERINGATAN DARURAT SBU GUNTUR PERKASA ENGINERING]*%0A%0AYth. Pimpinan GUNTUR PERKASA ENGINERING,%0AMasa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5">
      <c r="A115" t="inlineStr">
        <is>
          <t>GUNUNG BUJANG</t>
        </is>
      </c>
      <c r="B115" t="inlineStr">
        <is>
          <t>Kab. Kerinci</t>
        </is>
      </c>
      <c r="C115" t="inlineStr">
        <is>
          <t>085266567231</t>
        </is>
      </c>
      <c r="D115" t="inlineStr">
        <is>
          <t>cvgunungbujang@gmail.com</t>
        </is>
      </c>
      <c r="E115" t="inlineStr">
        <is>
          <t>https://lpjk.pu.go.id/search-badan-usaha-detail/RkJXMHozYXh2YjNqSlRnTFRWbzNodz09</t>
        </is>
      </c>
      <c r="F115" t="n">
        <v>2</v>
      </c>
      <c r="G115" t="inlineStr">
        <is>
          <t>BG002, BG006</t>
        </is>
      </c>
      <c r="H115" t="inlineStr">
        <is>
          <t>16 Oktober 1981</t>
        </is>
      </c>
      <c r="I115" s="2" t="n">
        <v>46194</v>
      </c>
      <c r="J115" t="inlineStr">
        <is>
          <t>Disetujui</t>
        </is>
      </c>
      <c r="K115" t="n">
        <v>30</v>
      </c>
      <c r="L115" t="inlineStr">
        <is>
          <t>21 Juni 2026</t>
        </is>
      </c>
      <c r="M115" t="inlineStr">
        <is>
          <t>Konstruksi Gedung Pendidikan, Konstruksi Gedung Perkantoran</t>
        </is>
      </c>
      <c r="N115" t="inlineStr">
        <is>
          <t>K</t>
        </is>
      </c>
      <c r="O115" t="inlineStr">
        <is>
          <t>20230616</t>
        </is>
      </c>
      <c r="P115" t="inlineStr">
        <is>
          <t>Jambi</t>
        </is>
      </c>
      <c r="Q115" s="3">
        <f>HYPERLINK("https://wa.me/6285266567231?text=*[PERINGATAN DARURAT SBU GUNUNG BUJANG]*%0A%0AYth. Pimpinan GUNUNG BUJANG,%0AMasa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6">
      <c r="A116" t="inlineStr">
        <is>
          <t>HADIYAH</t>
        </is>
      </c>
      <c r="B116" t="inlineStr">
        <is>
          <t>Kota Surabaya</t>
        </is>
      </c>
      <c r="C116" t="inlineStr">
        <is>
          <t>081333786909</t>
        </is>
      </c>
      <c r="D116" t="inlineStr">
        <is>
          <t>hadiyah.cv123@gmail.com</t>
        </is>
      </c>
      <c r="E116" t="inlineStr">
        <is>
          <t>https://lpjk.pu.go.id/search-badan-usaha-detail/aTI2Nzh1bHQxa00zMWNXUWpSMkI3UT09</t>
        </is>
      </c>
      <c r="F116" t="n">
        <v>1</v>
      </c>
      <c r="G116" t="inlineStr">
        <is>
          <t>BG006</t>
        </is>
      </c>
      <c r="H116" t="inlineStr">
        <is>
          <t>11 Februari 2010</t>
        </is>
      </c>
      <c r="I116" s="2" t="n">
        <v>46194</v>
      </c>
      <c r="J116" t="inlineStr">
        <is>
          <t>Disetujui</t>
        </is>
      </c>
      <c r="K116" t="n">
        <v>30</v>
      </c>
      <c r="L116" t="inlineStr">
        <is>
          <t>21 Juni 2026</t>
        </is>
      </c>
      <c r="M116" t="inlineStr">
        <is>
          <t>Konstruksi Gedung Pendidikan</t>
        </is>
      </c>
      <c r="N116" t="inlineStr">
        <is>
          <t>K</t>
        </is>
      </c>
      <c r="O116" t="inlineStr">
        <is>
          <t>20230621</t>
        </is>
      </c>
      <c r="P116" t="inlineStr">
        <is>
          <t>Jawa Timur</t>
        </is>
      </c>
      <c r="Q116" s="3">
        <f>HYPERLINK("https://wa.me/6281333786909?text=*[PERINGATAN DARURAT SBU HADIYAH]*%0A%0AYth. Pimpinan HADIYAH,%0AMasa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7">
      <c r="A117" t="inlineStr">
        <is>
          <t>HAFIZH FARRAS</t>
        </is>
      </c>
      <c r="B117" t="inlineStr">
        <is>
          <t>Kota Padang</t>
        </is>
      </c>
      <c r="C117" t="inlineStr">
        <is>
          <t>082130311813</t>
        </is>
      </c>
      <c r="D117" t="inlineStr">
        <is>
          <t>cvhafizh.farras@gmail.com</t>
        </is>
      </c>
      <c r="E117" t="inlineStr">
        <is>
          <t>https://lpjk.pu.go.id/search-badan-usaha-detail/R1lSU2tMYVg2eWpGcUhPZmZTRTFYQkE0OENwdytPYmtRZkg5emZVUTkvOD0</t>
        </is>
      </c>
      <c r="F117" t="n">
        <v>1</v>
      </c>
      <c r="G117" t="inlineStr">
        <is>
          <t>BG007</t>
        </is>
      </c>
      <c r="H117" t="inlineStr">
        <is>
          <t>18 Desember 2020</t>
        </is>
      </c>
      <c r="I117" s="2" t="n">
        <v>46194</v>
      </c>
      <c r="J117" t="inlineStr">
        <is>
          <t>Disetujui</t>
        </is>
      </c>
      <c r="K117" t="n">
        <v>30</v>
      </c>
      <c r="L117" t="inlineStr">
        <is>
          <t>21 Juni 2026</t>
        </is>
      </c>
      <c r="M117" t="inlineStr">
        <is>
          <t>Konstruksi Gedung Penginapan</t>
        </is>
      </c>
      <c r="N117" t="inlineStr">
        <is>
          <t>K</t>
        </is>
      </c>
      <c r="O117" t="inlineStr">
        <is>
          <t>20230620</t>
        </is>
      </c>
      <c r="P117" t="inlineStr">
        <is>
          <t>Sumatera Barat</t>
        </is>
      </c>
      <c r="Q117" s="3">
        <f>HYPERLINK("https://wa.me/6282130311813?text=*[PERINGATAN DARURAT SBU HAFIZH FARRAS]*%0A%0AYth. Pimpinan HAFIZH FARRAS,%0AMasa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8">
      <c r="A118" t="inlineStr">
        <is>
          <t>HARVEST SINAR MULIA</t>
        </is>
      </c>
      <c r="B118" t="inlineStr">
        <is>
          <t>Kota Surabaya</t>
        </is>
      </c>
      <c r="C118" t="inlineStr">
        <is>
          <t>03199343041</t>
        </is>
      </c>
      <c r="D118" t="inlineStr">
        <is>
          <t>harvest.sinarmulia08@gmail.com</t>
        </is>
      </c>
      <c r="E118" t="inlineStr">
        <is>
          <t>https://lpjk.pu.go.id/search-badan-usaha-detail/YlNsUUlKOHdVU1QyWU9BUVc3ZmtSQT09</t>
        </is>
      </c>
      <c r="F118" t="n">
        <v>1</v>
      </c>
      <c r="G118" t="inlineStr">
        <is>
          <t>BG001</t>
        </is>
      </c>
      <c r="H118" t="inlineStr">
        <is>
          <t>22 Juni 2012</t>
        </is>
      </c>
      <c r="I118" s="2" t="n">
        <v>46194</v>
      </c>
      <c r="J118" t="inlineStr">
        <is>
          <t>Disetujui</t>
        </is>
      </c>
      <c r="K118" t="n">
        <v>30</v>
      </c>
      <c r="L118" t="inlineStr">
        <is>
          <t>21 Juni 2026</t>
        </is>
      </c>
      <c r="M118" t="inlineStr">
        <is>
          <t>Konstruksi Gedung Hunian</t>
        </is>
      </c>
      <c r="N118" t="inlineStr">
        <is>
          <t>K</t>
        </is>
      </c>
      <c r="O118" t="inlineStr">
        <is>
          <t>20230607</t>
        </is>
      </c>
      <c r="P118" t="inlineStr">
        <is>
          <t>Jawa Timur</t>
        </is>
      </c>
      <c r="Q118" s="3">
        <f>HYPERLINK("https://wa.me/623199343041?text=*[PERINGATAN DARURAT SBU HARVEST SINAR MULIA]*%0A%0AYth. Pimpinan HARVEST SINAR MULIA,%0AMasa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19">
      <c r="A119" t="inlineStr">
        <is>
          <t>IDEATAMA KARYA</t>
        </is>
      </c>
      <c r="B119" t="inlineStr">
        <is>
          <t>Kab. Sidoarjo</t>
        </is>
      </c>
      <c r="C119" t="inlineStr">
        <is>
          <t>082318207552</t>
        </is>
      </c>
      <c r="D119" t="inlineStr">
        <is>
          <t>ideatamakarya@gmail.com</t>
        </is>
      </c>
      <c r="E119" t="inlineStr">
        <is>
          <t>https://lpjk.pu.go.id/search-badan-usaha-detail/dk5kblhmU3ZIVkZOMUpmWERuRktaZz09</t>
        </is>
      </c>
      <c r="F119" t="n">
        <v>1</v>
      </c>
      <c r="G119" t="inlineStr">
        <is>
          <t>RK001</t>
        </is>
      </c>
      <c r="H119" t="inlineStr">
        <is>
          <t>25 Mei 2023</t>
        </is>
      </c>
      <c r="I119" s="2" t="n">
        <v>46194</v>
      </c>
      <c r="J119" t="inlineStr">
        <is>
          <t>Disetujui</t>
        </is>
      </c>
      <c r="K119" t="n">
        <v>30</v>
      </c>
      <c r="L119" t="inlineStr">
        <is>
          <t>21 Juni 2026</t>
        </is>
      </c>
      <c r="M119" t="inlineStr">
        <is>
          <t>Jasa Rekayasa Konstruksi Bangunan Gedung Hunian dan Non Hunian</t>
        </is>
      </c>
      <c r="N119" t="inlineStr">
        <is>
          <t>K</t>
        </is>
      </c>
      <c r="O119" t="inlineStr">
        <is>
          <t>20230614</t>
        </is>
      </c>
      <c r="P119" t="inlineStr">
        <is>
          <t>Jawa Timur</t>
        </is>
      </c>
      <c r="Q119" s="3">
        <f>HYPERLINK("https://wa.me/6282318207552?text=*[PERINGATAN DARURAT SBU IDEATAMA KARYA]*%0A%0AYth. Pimpinan IDEATAMA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0">
      <c r="A120" t="inlineStr">
        <is>
          <t>INDRA PURNAMA MEMBANGUN</t>
        </is>
      </c>
      <c r="B120" t="inlineStr">
        <is>
          <t>Kota Palu</t>
        </is>
      </c>
      <c r="C120" t="inlineStr">
        <is>
          <t>085335555535</t>
        </is>
      </c>
      <c r="D120" t="inlineStr">
        <is>
          <t>ptindrapurnamamembangun23@gmail.com</t>
        </is>
      </c>
      <c r="E120" t="inlineStr">
        <is>
          <t>https://lpjk.pu.go.id/search-badan-usaha-detail/VGIwNjA0NHJYMHY2WFc2WGY0dmFmZz09</t>
        </is>
      </c>
      <c r="F120" t="n">
        <v>1</v>
      </c>
      <c r="G120" t="inlineStr">
        <is>
          <t>BG001</t>
        </is>
      </c>
      <c r="H120" t="inlineStr">
        <is>
          <t>13 Juli 2021</t>
        </is>
      </c>
      <c r="I120" s="2" t="n">
        <v>46194</v>
      </c>
      <c r="J120" t="inlineStr">
        <is>
          <t>Pencabutan</t>
        </is>
      </c>
      <c r="K120" t="n">
        <v>30</v>
      </c>
      <c r="L120" t="inlineStr">
        <is>
          <t>21 Juni 2026</t>
        </is>
      </c>
      <c r="M120" t="inlineStr">
        <is>
          <t>Konstruksi Gedung Hunian</t>
        </is>
      </c>
      <c r="N120" t="inlineStr">
        <is>
          <t>K</t>
        </is>
      </c>
      <c r="O120" t="inlineStr">
        <is>
          <t>20230617</t>
        </is>
      </c>
      <c r="P120" t="inlineStr">
        <is>
          <t>Sulawesi Tengah</t>
        </is>
      </c>
      <c r="Q120" s="3">
        <f>HYPERLINK("https://wa.me/6285335555535?text=*[PERINGATAN DARURAT SBU INDRA PURNAMA MEMBANGUN]*%0A%0AYth. Pimpinan INDRA PURNAMA MEMBANGUN,%0AMasa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1">
      <c r="A121" t="inlineStr">
        <is>
          <t>INTAN BERLIAN</t>
        </is>
      </c>
      <c r="B121" t="inlineStr">
        <is>
          <t>Kab. Indramayu</t>
        </is>
      </c>
      <c r="C121" t="inlineStr">
        <is>
          <t>081804685464</t>
        </is>
      </c>
      <c r="D121" t="inlineStr">
        <is>
          <t>cv.intanberlian.im@gmail.com</t>
        </is>
      </c>
      <c r="E121" t="inlineStr">
        <is>
          <t>https://lpjk.pu.go.id/search-badan-usaha-detail/U0haMzdiMDFGT3pLbTVUNk1CVmdHZz09</t>
        </is>
      </c>
      <c r="F121" t="n">
        <v>1</v>
      </c>
      <c r="G121" t="inlineStr">
        <is>
          <t>BG005</t>
        </is>
      </c>
      <c r="H121" t="inlineStr">
        <is>
          <t>11 Mei 2015</t>
        </is>
      </c>
      <c r="I121" s="2" t="n">
        <v>46194</v>
      </c>
      <c r="J121" t="inlineStr">
        <is>
          <t>Disetujui</t>
        </is>
      </c>
      <c r="K121" t="n">
        <v>30</v>
      </c>
      <c r="L121" t="inlineStr">
        <is>
          <t>21 Juni 2026</t>
        </is>
      </c>
      <c r="M121" t="inlineStr">
        <is>
          <t>Konstruksi Gedung Kesehatan</t>
        </is>
      </c>
      <c r="N121" t="inlineStr">
        <is>
          <t>K</t>
        </is>
      </c>
      <c r="O121" t="inlineStr">
        <is>
          <t>20230621</t>
        </is>
      </c>
      <c r="P121" t="inlineStr">
        <is>
          <t>Jawa Barat</t>
        </is>
      </c>
      <c r="Q121" s="3">
        <f>HYPERLINK("https://wa.me/6281804685464?text=*[PERINGATAN DARURAT SBU INTAN BERLIAN]*%0A%0AYth. Pimpinan INTAN BERLIAN,%0AMasa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2">
      <c r="A122" t="inlineStr">
        <is>
          <t>INTIM PERSADA</t>
        </is>
      </c>
      <c r="B122" t="inlineStr">
        <is>
          <t>Kota Jayapura</t>
        </is>
      </c>
      <c r="C122" t="inlineStr">
        <is>
          <t>082248253599</t>
        </is>
      </c>
      <c r="D122" t="inlineStr">
        <is>
          <t>cvintimpersada@gmail.com</t>
        </is>
      </c>
      <c r="E122" t="inlineStr">
        <is>
          <t>https://lpjk.pu.go.id/search-badan-usaha-detail/M1JUc2hTcU9nMUxyNUhpa3hqQkhZUT09</t>
        </is>
      </c>
      <c r="F122" t="n">
        <v>1</v>
      </c>
      <c r="G122" t="inlineStr">
        <is>
          <t>BG006</t>
        </is>
      </c>
      <c r="H122" t="inlineStr">
        <is>
          <t>7 Juni 2022</t>
        </is>
      </c>
      <c r="I122" s="2" t="n">
        <v>46194</v>
      </c>
      <c r="J122" t="inlineStr">
        <is>
          <t>Disetujui</t>
        </is>
      </c>
      <c r="K122" t="n">
        <v>30</v>
      </c>
      <c r="L122" t="inlineStr">
        <is>
          <t>21 Juni 2026</t>
        </is>
      </c>
      <c r="M122" t="inlineStr">
        <is>
          <t>Konstruksi Gedung Pendidikan</t>
        </is>
      </c>
      <c r="N122" t="inlineStr">
        <is>
          <t>K</t>
        </is>
      </c>
      <c r="O122" t="inlineStr">
        <is>
          <t>20230613</t>
        </is>
      </c>
      <c r="P122" t="inlineStr">
        <is>
          <t>Papua</t>
        </is>
      </c>
      <c r="Q122" s="3">
        <f>HYPERLINK("https://wa.me/6282248253599?text=*[PERINGATAN DARURAT SBU INTIM PERSADA]*%0A%0AYth. Pimpinan INTIM PERSADA,%0AMasa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3">
      <c r="A123" t="inlineStr">
        <is>
          <t>JATI JAYA</t>
        </is>
      </c>
      <c r="B123" t="inlineStr">
        <is>
          <t>Kab. Sidoarjo</t>
        </is>
      </c>
      <c r="C123" t="inlineStr">
        <is>
          <t>08563505385</t>
        </is>
      </c>
      <c r="D123" t="inlineStr">
        <is>
          <t>jatijaya_cv@yahoo.co.id</t>
        </is>
      </c>
      <c r="E123" t="inlineStr">
        <is>
          <t>https://lpjk.pu.go.id/search-badan-usaha-detail/VHhrSzUwYWI5U2FZZEw1ekcxeXEwQT09</t>
        </is>
      </c>
      <c r="F123" t="n">
        <v>2</v>
      </c>
      <c r="G123" t="inlineStr">
        <is>
          <t>BG002, BG004</t>
        </is>
      </c>
      <c r="H123" t="inlineStr">
        <is>
          <t>6 Februari 2004</t>
        </is>
      </c>
      <c r="I123" s="2" t="n">
        <v>46194</v>
      </c>
      <c r="J123" t="inlineStr">
        <is>
          <t>Disetujui</t>
        </is>
      </c>
      <c r="K123" t="n">
        <v>30</v>
      </c>
      <c r="L123" t="inlineStr">
        <is>
          <t>21 Juni 2026</t>
        </is>
      </c>
      <c r="M123" t="inlineStr">
        <is>
          <t>Konstruksi Gedung Perbelanjaan, Konstruksi Gedung Perkantoran</t>
        </is>
      </c>
      <c r="N123" t="inlineStr">
        <is>
          <t>K</t>
        </is>
      </c>
      <c r="O123" t="inlineStr">
        <is>
          <t>20230616, 20230620</t>
        </is>
      </c>
      <c r="P123" t="inlineStr">
        <is>
          <t>Jawa Timur</t>
        </is>
      </c>
      <c r="Q123" s="3">
        <f>HYPERLINK("https://wa.me/628563505385?text=*[PERINGATAN DARURAT SBU JATI JAYA]*%0A%0AYth. Pimpinan JATI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4">
      <c r="A124" t="inlineStr">
        <is>
          <t>JAYA CIPTA SEMESTA</t>
        </is>
      </c>
      <c r="B124" t="inlineStr">
        <is>
          <t>Kab. Bandung Barat</t>
        </is>
      </c>
      <c r="C124" t="inlineStr">
        <is>
          <t>085252677247</t>
        </is>
      </c>
      <c r="D124" t="inlineStr">
        <is>
          <t>ciptajayasemesta@gmail.com</t>
        </is>
      </c>
      <c r="E124" t="inlineStr">
        <is>
          <t>https://lpjk.pu.go.id/search-badan-usaha-detail/QVN6SEp3bjkyLzgzYjdjdnRtSmlaZz09</t>
        </is>
      </c>
      <c r="F124" t="n">
        <v>1</v>
      </c>
      <c r="G124" t="inlineStr">
        <is>
          <t>BG002</t>
        </is>
      </c>
      <c r="H124" t="inlineStr">
        <is>
          <t>6 Maret 2018</t>
        </is>
      </c>
      <c r="I124" s="2" t="n">
        <v>46194</v>
      </c>
      <c r="J124" t="inlineStr">
        <is>
          <t>Pembekuan</t>
        </is>
      </c>
      <c r="K124" t="n">
        <v>30</v>
      </c>
      <c r="L124" t="inlineStr">
        <is>
          <t>21 Juni 2026</t>
        </is>
      </c>
      <c r="M124" t="inlineStr">
        <is>
          <t>Konstruksi Gedung Perkantoran</t>
        </is>
      </c>
      <c r="N124" t="inlineStr">
        <is>
          <t>M</t>
        </is>
      </c>
      <c r="O124" t="inlineStr">
        <is>
          <t>20230621</t>
        </is>
      </c>
      <c r="P124" t="inlineStr">
        <is>
          <t>Jawa Barat</t>
        </is>
      </c>
      <c r="Q124" s="3">
        <f>HYPERLINK("https://wa.me/6285252677247?text=*[PERINGATAN DARURAT SBU JAYA CIPTA SEMESTA]*%0A%0AYth. Pimpinan JAYA CIPTA SEMESTA,%0AMasa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5">
      <c r="A125" t="inlineStr">
        <is>
          <t>JAYA KARYA ABADI</t>
        </is>
      </c>
      <c r="B125" t="inlineStr">
        <is>
          <t>Kab. Pasuruan</t>
        </is>
      </c>
      <c r="C125" t="inlineStr">
        <is>
          <t>08560857212</t>
        </is>
      </c>
      <c r="D125" t="inlineStr">
        <is>
          <t>jakaabadi@yahoo.com</t>
        </is>
      </c>
      <c r="E125" t="inlineStr">
        <is>
          <t>https://lpjk.pu.go.id/search-badan-usaha-detail/S0ZOV0RvWm9Xc1R6N3JLYkFJWnB4QT09</t>
        </is>
      </c>
      <c r="F125" t="n">
        <v>1</v>
      </c>
      <c r="G125" t="inlineStr">
        <is>
          <t>BS001</t>
        </is>
      </c>
      <c r="H125" t="inlineStr">
        <is>
          <t>11 Januari 2019</t>
        </is>
      </c>
      <c r="I125" s="2" t="n">
        <v>46194</v>
      </c>
      <c r="J125" t="inlineStr">
        <is>
          <t>Disetujui</t>
        </is>
      </c>
      <c r="K125" t="n">
        <v>30</v>
      </c>
      <c r="L125" t="inlineStr">
        <is>
          <t>21 Juni 2026</t>
        </is>
      </c>
      <c r="M125" t="inlineStr">
        <is>
          <t>Konstruksi Bangunan Sipil Jalan</t>
        </is>
      </c>
      <c r="N125" t="inlineStr">
        <is>
          <t>K</t>
        </is>
      </c>
      <c r="O125" t="inlineStr">
        <is>
          <t>20230621</t>
        </is>
      </c>
      <c r="P125" t="inlineStr">
        <is>
          <t>Jawa Timur</t>
        </is>
      </c>
      <c r="Q125" s="3">
        <f>HYPERLINK("https://wa.me/628560857212?text=*[PERINGATAN DARURAT SBU JAYA KARYA ABADI]*%0A%0AYth. Pimpinan JAYA KARYA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6">
      <c r="A126" t="inlineStr">
        <is>
          <t>JOISIMA MANDIRI</t>
        </is>
      </c>
      <c r="B126" t="inlineStr">
        <is>
          <t>Kab. Cirebon</t>
        </is>
      </c>
      <c r="C126" t="inlineStr">
        <is>
          <t>081314444912</t>
        </is>
      </c>
      <c r="D126" t="inlineStr">
        <is>
          <t>cv.joisimamandiri@gmail.com</t>
        </is>
      </c>
      <c r="E126" t="inlineStr">
        <is>
          <t>https://lpjk.pu.go.id/search-badan-usaha-detail/Zyt1MUJWNHlPWG5zUlhBa0pnKzNyQT09</t>
        </is>
      </c>
      <c r="F126" t="n">
        <v>2</v>
      </c>
      <c r="G126" t="inlineStr">
        <is>
          <t>BG006, BG009</t>
        </is>
      </c>
      <c r="H126" t="inlineStr">
        <is>
          <t>8 Juni 2015</t>
        </is>
      </c>
      <c r="I126" s="2" t="n">
        <v>46194</v>
      </c>
      <c r="J126" t="inlineStr">
        <is>
          <t>Disetujui</t>
        </is>
      </c>
      <c r="K126" t="n">
        <v>30</v>
      </c>
      <c r="L126" t="inlineStr">
        <is>
          <t>21 Juni 2026</t>
        </is>
      </c>
      <c r="M126" t="inlineStr">
        <is>
          <t>Konstruksi Gedung Lainnya, Konstruksi Gedung Pendidikan</t>
        </is>
      </c>
      <c r="N126" t="inlineStr">
        <is>
          <t>K</t>
        </is>
      </c>
      <c r="O126" t="inlineStr">
        <is>
          <t>20230620</t>
        </is>
      </c>
      <c r="P126" t="inlineStr">
        <is>
          <t>Jawa Barat</t>
        </is>
      </c>
      <c r="Q126" s="3">
        <f>HYPERLINK("https://wa.me/6281314444912?text=*[PERINGATAN DARURAT SBU JOISIMA MANDIRI]*%0A%0AYth. Pimpinan JOISIMA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7">
      <c r="A127" t="inlineStr">
        <is>
          <t>KANSER JAYA</t>
        </is>
      </c>
      <c r="B127" t="inlineStr">
        <is>
          <t>Kab. Lombok Tengah</t>
        </is>
      </c>
      <c r="C127" t="inlineStr">
        <is>
          <t>087765114789</t>
        </is>
      </c>
      <c r="D127" t="inlineStr">
        <is>
          <t>cvkanserjaya@gmail.com</t>
        </is>
      </c>
      <c r="E127" t="inlineStr">
        <is>
          <t>https://lpjk.pu.go.id/search-badan-usaha-detail/TU1jd3JnNHF1d1RsVzk2V2dmVHhQQT09</t>
        </is>
      </c>
      <c r="F127" t="n">
        <v>3</v>
      </c>
      <c r="G127" t="inlineStr">
        <is>
          <t>BG005, BG006, BG009</t>
        </is>
      </c>
      <c r="H127" t="inlineStr">
        <is>
          <t>23 Januari 2020</t>
        </is>
      </c>
      <c r="I127" s="2" t="n">
        <v>46194</v>
      </c>
      <c r="J127" t="inlineStr">
        <is>
          <t>Pencabutan</t>
        </is>
      </c>
      <c r="K127" t="n">
        <v>30</v>
      </c>
      <c r="L127" t="inlineStr">
        <is>
          <t>21 Juni 2026</t>
        </is>
      </c>
      <c r="M127" t="inlineStr">
        <is>
          <t>Konstruksi Gedung Kesehatan, Konstruksi Gedung Lainnya, Konstruksi Gedung Pendidikan</t>
        </is>
      </c>
      <c r="N127" t="inlineStr">
        <is>
          <t>K</t>
        </is>
      </c>
      <c r="O127" t="inlineStr">
        <is>
          <t>20230621</t>
        </is>
      </c>
      <c r="P127" t="inlineStr">
        <is>
          <t>Nusa Tenggara Barat</t>
        </is>
      </c>
      <c r="Q127" s="3">
        <f>HYPERLINK("https://wa.me/6287765114789?text=*[PERINGATAN DARURAT SBU KANSER JAYA]*%0A%0AYth. Pimpinan KANSER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8">
      <c r="A128" t="inlineStr">
        <is>
          <t>KARISMA CIPTATUNGGAL</t>
        </is>
      </c>
      <c r="B128" t="inlineStr">
        <is>
          <t>Kota Semarang</t>
        </is>
      </c>
      <c r="C128" t="inlineStr">
        <is>
          <t>0247617187</t>
        </is>
      </c>
      <c r="D128" t="inlineStr">
        <is>
          <t>pt.karismaciptatunggalgroup@gmail.com</t>
        </is>
      </c>
      <c r="E128" t="inlineStr">
        <is>
          <t>https://lpjk.pu.go.id/search-badan-usaha-detail/a1JtamlOdDVuNUtJQTYvTkF2ZEo3Zz09</t>
        </is>
      </c>
      <c r="F128" t="n">
        <v>1</v>
      </c>
      <c r="G128" t="inlineStr">
        <is>
          <t>BS010</t>
        </is>
      </c>
      <c r="H128" t="inlineStr">
        <is>
          <t>14 September 1990</t>
        </is>
      </c>
      <c r="I128" s="2" t="n">
        <v>46194</v>
      </c>
      <c r="J128" t="inlineStr">
        <is>
          <t>Disetujui</t>
        </is>
      </c>
      <c r="K128" t="n">
        <v>30</v>
      </c>
      <c r="L128" t="inlineStr">
        <is>
          <t>21 Juni 2026</t>
        </is>
      </c>
      <c r="M128" t="inlineStr">
        <is>
          <t>Konstruksi Bangunan Prasarana Sumber Daya Air</t>
        </is>
      </c>
      <c r="N128" t="inlineStr">
        <is>
          <t>M</t>
        </is>
      </c>
      <c r="O128" t="inlineStr">
        <is>
          <t>20230619</t>
        </is>
      </c>
      <c r="P128" t="inlineStr">
        <is>
          <t>Jawa Tengah</t>
        </is>
      </c>
      <c r="Q128" s="3">
        <f>HYPERLINK("https://wa.me/62247617187?text=*[PERINGATAN DARURAT SBU KARISMA CIPTATUNGGAL]*%0A%0AYth. Pimpinan KARISMA CIPTATUNGGAL,%0AMasa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29">
      <c r="A129" t="inlineStr">
        <is>
          <t>KARSA PILAR KONSTRUKSI</t>
        </is>
      </c>
      <c r="B129" t="inlineStr">
        <is>
          <t>Kota Surakarta</t>
        </is>
      </c>
      <c r="C129" t="inlineStr">
        <is>
          <t>082133404362</t>
        </is>
      </c>
      <c r="D129" t="inlineStr">
        <is>
          <t>karsapilar@gmail.com</t>
        </is>
      </c>
      <c r="E129" t="inlineStr">
        <is>
          <t>https://lpjk.pu.go.id/search-badan-usaha-detail/b0IybEEvVHV5N3MyZXl4WlhXb1NLUT09</t>
        </is>
      </c>
      <c r="F129" t="n">
        <v>3</v>
      </c>
      <c r="G129" t="inlineStr">
        <is>
          <t>BG002, BS001, BS004</t>
        </is>
      </c>
      <c r="H129" t="inlineStr">
        <is>
          <t>25 September 2017</t>
        </is>
      </c>
      <c r="I129" s="2" t="n">
        <v>46194</v>
      </c>
      <c r="J129" t="inlineStr">
        <is>
          <t>Disetujui</t>
        </is>
      </c>
      <c r="K129" t="n">
        <v>30</v>
      </c>
      <c r="L129" t="inlineStr">
        <is>
          <t>21 Juni 2026</t>
        </is>
      </c>
      <c r="M129" t="inlineStr">
        <is>
          <t>Konstruksi Bangunan Sipil Jalan, Konstruksi Gedung Perkantoran, Konstruksi Jaringan Irigasi dan Drainase</t>
        </is>
      </c>
      <c r="N129" t="inlineStr">
        <is>
          <t>K</t>
        </is>
      </c>
      <c r="O129" t="inlineStr">
        <is>
          <t>20230620</t>
        </is>
      </c>
      <c r="P129" t="inlineStr">
        <is>
          <t>Jawa Tengah</t>
        </is>
      </c>
      <c r="Q129" s="3">
        <f>HYPERLINK("https://wa.me/6282133404362?text=*[PERINGATAN DARURAT SBU KARSA PILAR KONSTRUKSI]*%0A%0AYth. Pimpinan KARSA PILAR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0">
      <c r="A130" t="inlineStr">
        <is>
          <t>KARUNIA</t>
        </is>
      </c>
      <c r="B130" t="inlineStr">
        <is>
          <t>Kab. Nagekeo</t>
        </is>
      </c>
      <c r="C130" t="inlineStr">
        <is>
          <t>0812 3888 5756</t>
        </is>
      </c>
      <c r="D130" t="inlineStr">
        <is>
          <t>cv.karunia.mbay@gmail.com</t>
        </is>
      </c>
      <c r="E130" t="inlineStr">
        <is>
          <t>https://lpjk.pu.go.id/search-badan-usaha-detail/ZmRBSWQvUkxiMkVKd2R4ZG5ZTU8wdz09</t>
        </is>
      </c>
      <c r="F130" t="n">
        <v>2</v>
      </c>
      <c r="G130" t="inlineStr">
        <is>
          <t>BG002, BG006</t>
        </is>
      </c>
      <c r="H130" t="inlineStr">
        <is>
          <t>24 September 1997</t>
        </is>
      </c>
      <c r="I130" s="2" t="n">
        <v>46194</v>
      </c>
      <c r="J130" t="inlineStr">
        <is>
          <t>Disetujui</t>
        </is>
      </c>
      <c r="K130" t="n">
        <v>30</v>
      </c>
      <c r="L130" t="inlineStr">
        <is>
          <t>21 Juni 2026</t>
        </is>
      </c>
      <c r="M130" t="inlineStr">
        <is>
          <t>Konstruksi Gedung Pendidikan, Konstruksi Gedung Perkantoran</t>
        </is>
      </c>
      <c r="N130" t="inlineStr">
        <is>
          <t>K</t>
        </is>
      </c>
      <c r="O130" t="inlineStr">
        <is>
          <t>20230613</t>
        </is>
      </c>
      <c r="P130" t="inlineStr">
        <is>
          <t>Nusa Tenggara Timur</t>
        </is>
      </c>
      <c r="Q130" s="3">
        <f>HYPERLINK("https://wa.me/6281238885756?text=*[PERINGATAN DARURAT SBU KARUNIA]*%0A%0AYth. Pimpinan KARUNIA,%0AMasa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1">
      <c r="A131" t="inlineStr">
        <is>
          <t>KARUNIA JAYA</t>
        </is>
      </c>
      <c r="B131" t="inlineStr">
        <is>
          <t>Kab. Sukoharjo</t>
        </is>
      </c>
      <c r="C131" t="inlineStr">
        <is>
          <t>02715991192</t>
        </is>
      </c>
      <c r="D131" t="inlineStr">
        <is>
          <t>karuniajayacvskh@yahoo.co.id</t>
        </is>
      </c>
      <c r="E131" t="inlineStr">
        <is>
          <t>https://lpjk.pu.go.id/search-badan-usaha-detail/VFpacm9SMVVhenYxU1YreEpLSE9idz09</t>
        </is>
      </c>
      <c r="F131" t="n">
        <v>2</v>
      </c>
      <c r="G131" t="inlineStr">
        <is>
          <t>BS001</t>
        </is>
      </c>
      <c r="H131" t="inlineStr">
        <is>
          <t>7 Januari 1991</t>
        </is>
      </c>
      <c r="I131" s="2" t="n">
        <v>46194</v>
      </c>
      <c r="J131" t="inlineStr">
        <is>
          <t>Disetujui</t>
        </is>
      </c>
      <c r="K131" t="n">
        <v>30</v>
      </c>
      <c r="L131" t="inlineStr">
        <is>
          <t>21 Juni 2026</t>
        </is>
      </c>
      <c r="M131" t="inlineStr">
        <is>
          <t>Konstruksi Bangunan Sipil Jalan</t>
        </is>
      </c>
      <c r="N131" t="inlineStr">
        <is>
          <t>K</t>
        </is>
      </c>
      <c r="O131" t="inlineStr">
        <is>
          <t>20230616</t>
        </is>
      </c>
      <c r="P131" t="inlineStr">
        <is>
          <t>Jawa Tengah</t>
        </is>
      </c>
      <c r="Q131" s="3">
        <f>HYPERLINK("https://wa.me/622715991192?text=*[PERINGATAN DARURAT SBU KARUNIA JAYA]*%0A%0AYth. Pimpinan KARUNIA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2">
      <c r="A132" t="inlineStr">
        <is>
          <t>KARYA MANDIRI GROUP</t>
        </is>
      </c>
      <c r="B132" t="inlineStr">
        <is>
          <t>Kab. Bireuen</t>
        </is>
      </c>
      <c r="C132" t="inlineStr">
        <is>
          <t>085277790404</t>
        </is>
      </c>
      <c r="D132" t="inlineStr">
        <is>
          <t>cvkaryamandirigroup@yahoo.com</t>
        </is>
      </c>
      <c r="E132" t="inlineStr">
        <is>
          <t>https://lpjk.pu.go.id/search-badan-usaha-detail/b0YzSlJNcVQ0TXpkYzVleGNhZi9jQ2NJYXl1c0xGbWJWd1RXbFRVN3UrND0</t>
        </is>
      </c>
      <c r="F132" t="n">
        <v>2</v>
      </c>
      <c r="G132" t="inlineStr">
        <is>
          <t>BG006, BS004</t>
        </is>
      </c>
      <c r="H132" t="inlineStr">
        <is>
          <t>19 Februari 2026</t>
        </is>
      </c>
      <c r="I132" s="2" t="n">
        <v>46194</v>
      </c>
      <c r="J132" t="inlineStr">
        <is>
          <t>Disetujui</t>
        </is>
      </c>
      <c r="K132" t="n">
        <v>30</v>
      </c>
      <c r="L132" t="inlineStr">
        <is>
          <t>21 Juni 2026</t>
        </is>
      </c>
      <c r="M132" t="inlineStr">
        <is>
          <t>Konstruksi Gedung Pendidikan, Konstruksi Jaringan Irigasi dan Drainase</t>
        </is>
      </c>
      <c r="N132" t="inlineStr">
        <is>
          <t>K</t>
        </is>
      </c>
      <c r="O132" t="inlineStr">
        <is>
          <t>20230608</t>
        </is>
      </c>
      <c r="P132" t="inlineStr">
        <is>
          <t>Aceh</t>
        </is>
      </c>
      <c r="Q132" s="3">
        <f>HYPERLINK("https://wa.me/6285277790404?text=*[PERINGATAN DARURAT SBU KARYA MANDIRI GROUP]*%0A%0AYth. Pimpinan KARYA MANDIRI GROUP,%0AMasa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3">
      <c r="A133" t="inlineStr">
        <is>
          <t>KARYA PRIMA</t>
        </is>
      </c>
      <c r="B133" t="inlineStr">
        <is>
          <t>Kab. Bangkalan</t>
        </is>
      </c>
      <c r="C133" t="inlineStr">
        <is>
          <t>08123133770</t>
        </is>
      </c>
      <c r="D133" t="inlineStr">
        <is>
          <t>direktur.karyaprima@gmail.com</t>
        </is>
      </c>
      <c r="E133" t="inlineStr">
        <is>
          <t>https://lpjk.pu.go.id/search-badan-usaha-detail/VDhVT3B1eFNlWmNiZ0N1K2Q4akVNQT09</t>
        </is>
      </c>
      <c r="F133" t="n">
        <v>1</v>
      </c>
      <c r="G133" t="inlineStr">
        <is>
          <t>BG009</t>
        </is>
      </c>
      <c r="H133" t="inlineStr">
        <is>
          <t>10 September 1992</t>
        </is>
      </c>
      <c r="I133" s="2" t="n">
        <v>46194</v>
      </c>
      <c r="J133" t="inlineStr">
        <is>
          <t>Disetujui</t>
        </is>
      </c>
      <c r="K133" t="n">
        <v>30</v>
      </c>
      <c r="L133" t="inlineStr">
        <is>
          <t>21 Juni 2026</t>
        </is>
      </c>
      <c r="M133" t="inlineStr">
        <is>
          <t>Konstruksi Gedung Lainnya</t>
        </is>
      </c>
      <c r="N133" t="inlineStr">
        <is>
          <t>K</t>
        </is>
      </c>
      <c r="O133" t="inlineStr">
        <is>
          <t>20230616</t>
        </is>
      </c>
      <c r="P133" t="inlineStr">
        <is>
          <t>Jawa Timur</t>
        </is>
      </c>
      <c r="Q133" s="3">
        <f>HYPERLINK("https://wa.me/628123133770?text=*[PERINGATAN DARURAT SBU KARYA PRIMA]*%0A%0AYth. Pimpinan KARYA PRIMA,%0AMasa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4">
      <c r="A134" t="inlineStr">
        <is>
          <t>KARYA PUNCAK HARAPAN</t>
        </is>
      </c>
      <c r="B134" t="inlineStr">
        <is>
          <t>Kab. Penajam Paser Utara</t>
        </is>
      </c>
      <c r="C134" t="inlineStr">
        <is>
          <t>082154168556</t>
        </is>
      </c>
      <c r="D134" t="inlineStr">
        <is>
          <t>karyapuncakharapan@yahoo.co.id</t>
        </is>
      </c>
      <c r="E134" t="inlineStr">
        <is>
          <t>https://lpjk.pu.go.id/search-badan-usaha-detail/RGtxdGJUV2ZvUU5OcUNvb1oyaXo5dz09</t>
        </is>
      </c>
      <c r="F134" t="n">
        <v>1</v>
      </c>
      <c r="G134" t="inlineStr">
        <is>
          <t>BG006</t>
        </is>
      </c>
      <c r="H134" t="inlineStr">
        <is>
          <t>9 Oktober 2014</t>
        </is>
      </c>
      <c r="I134" s="2" t="n">
        <v>46194</v>
      </c>
      <c r="J134" t="inlineStr">
        <is>
          <t>Disetujui</t>
        </is>
      </c>
      <c r="K134" t="n">
        <v>30</v>
      </c>
      <c r="L134" t="inlineStr">
        <is>
          <t>21 Juni 2026</t>
        </is>
      </c>
      <c r="M134" t="inlineStr">
        <is>
          <t>Konstruksi Gedung Pendidikan</t>
        </is>
      </c>
      <c r="N134" t="inlineStr">
        <is>
          <t>K</t>
        </is>
      </c>
      <c r="O134" t="inlineStr">
        <is>
          <t>20230619</t>
        </is>
      </c>
      <c r="P134" t="inlineStr">
        <is>
          <t>Kalimantan Timur</t>
        </is>
      </c>
      <c r="Q134" s="3">
        <f>HYPERLINK("https://wa.me/6282154168556?text=*[PERINGATAN DARURAT SBU KARYA PUNCAK HARAPAN]*%0A%0AYth. Pimpinan KARYA PUNCAK HARAPAN,%0AMasa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5">
      <c r="A135" t="inlineStr">
        <is>
          <t>KARYA SEJAHTERA PRIMA</t>
        </is>
      </c>
      <c r="B135" t="inlineStr">
        <is>
          <t>Kota Medan</t>
        </is>
      </c>
      <c r="C135" t="inlineStr">
        <is>
          <t>085260982598</t>
        </is>
      </c>
      <c r="D135" t="inlineStr">
        <is>
          <t>EFINONLINETAX2100008@GMAIL.COM</t>
        </is>
      </c>
      <c r="E135" t="inlineStr">
        <is>
          <t>https://lpjk.pu.go.id/search-badan-usaha-detail/ajBuWnpRRVRTYm5RNnB6Sko2R3k2QT09</t>
        </is>
      </c>
      <c r="F135" t="n">
        <v>1</v>
      </c>
      <c r="G135" t="inlineStr">
        <is>
          <t>BG003</t>
        </is>
      </c>
      <c r="H135" t="inlineStr">
        <is>
          <t>27 November 2006</t>
        </is>
      </c>
      <c r="I135" s="2" t="n">
        <v>46194</v>
      </c>
      <c r="J135" t="inlineStr">
        <is>
          <t>Disetujui</t>
        </is>
      </c>
      <c r="K135" t="n">
        <v>30</v>
      </c>
      <c r="L135" t="inlineStr">
        <is>
          <t>21 Juni 2026</t>
        </is>
      </c>
      <c r="M135" t="inlineStr">
        <is>
          <t>Konstruksi Gedung Industri</t>
        </is>
      </c>
      <c r="N135" t="inlineStr">
        <is>
          <t>K</t>
        </is>
      </c>
      <c r="O135" t="inlineStr">
        <is>
          <t>20230621</t>
        </is>
      </c>
      <c r="P135" t="inlineStr">
        <is>
          <t>Sumatera Utara</t>
        </is>
      </c>
      <c r="Q135" s="3">
        <f>HYPERLINK("https://wa.me/6285260982598?text=*[PERINGATAN DARURAT SBU KARYA SEJAHTERA PRIMA]*%0A%0AYth. Pimpinan KARYA SEJAHTERA PRIMA,%0AMasa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6">
      <c r="A136" t="inlineStr">
        <is>
          <t>KARYA SUBUR SEJAHTERA</t>
        </is>
      </c>
      <c r="B136" t="inlineStr">
        <is>
          <t>Kab. Polewali Mandar</t>
        </is>
      </c>
      <c r="C136" t="inlineStr">
        <is>
          <t>0811450339</t>
        </is>
      </c>
      <c r="D136" t="inlineStr">
        <is>
          <t>karyasubursejahtera@gmail.com</t>
        </is>
      </c>
      <c r="E136" t="inlineStr">
        <is>
          <t>https://lpjk.pu.go.id/search-badan-usaha-detail/NUpBZlFEcktvWkYxdE52RnZEOCtlQT09</t>
        </is>
      </c>
      <c r="F136" t="n">
        <v>2</v>
      </c>
      <c r="G136" t="inlineStr">
        <is>
          <t>BG006, BG009</t>
        </is>
      </c>
      <c r="H136" t="inlineStr">
        <is>
          <t>14 September 2000</t>
        </is>
      </c>
      <c r="I136" s="2" t="n">
        <v>46194</v>
      </c>
      <c r="J136" t="inlineStr">
        <is>
          <t>Pencabutan</t>
        </is>
      </c>
      <c r="K136" t="n">
        <v>30</v>
      </c>
      <c r="L136" t="inlineStr">
        <is>
          <t>21 Juni 2026</t>
        </is>
      </c>
      <c r="M136" t="inlineStr">
        <is>
          <t>Konstruksi Gedung Lainnya, Konstruksi Gedung Pendidikan</t>
        </is>
      </c>
      <c r="N136" t="inlineStr">
        <is>
          <t>K</t>
        </is>
      </c>
      <c r="O136" t="inlineStr">
        <is>
          <t>20230619</t>
        </is>
      </c>
      <c r="P136" t="inlineStr">
        <is>
          <t>Sulawesi Barat</t>
        </is>
      </c>
      <c r="Q136" s="3">
        <f>HYPERLINK("https://wa.me/62811450339?text=*[PERINGATAN DARURAT SBU KARYA SUBUR SEJAHTERA]*%0A%0AYth. Pimpinan KARYA SUBUR SEJAHTERA,%0AMasa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7">
      <c r="A137" t="inlineStr">
        <is>
          <t>KELDAMA MANDIRI UTAMA</t>
        </is>
      </c>
      <c r="B137" t="inlineStr">
        <is>
          <t>Kab. Karawang</t>
        </is>
      </c>
      <c r="C137" t="inlineStr">
        <is>
          <t>081210120960</t>
        </is>
      </c>
      <c r="D137" t="inlineStr">
        <is>
          <t>keldamamandiriutama@gmail.com</t>
        </is>
      </c>
      <c r="E137" t="inlineStr">
        <is>
          <t>https://lpjk.pu.go.id/search-badan-usaha-detail/YWxYS1lnOE5UZ1JCUjJyUzJZNkZvZz09</t>
        </is>
      </c>
      <c r="F137" t="n">
        <v>2</v>
      </c>
      <c r="G137" t="inlineStr">
        <is>
          <t>BG009</t>
        </is>
      </c>
      <c r="H137" t="inlineStr">
        <is>
          <t>7 April 2022</t>
        </is>
      </c>
      <c r="I137" s="2" t="n">
        <v>46194</v>
      </c>
      <c r="J137" t="inlineStr">
        <is>
          <t>Disetujui</t>
        </is>
      </c>
      <c r="K137" t="n">
        <v>30</v>
      </c>
      <c r="L137" t="inlineStr">
        <is>
          <t>21 Juni 2026</t>
        </is>
      </c>
      <c r="M137" t="inlineStr">
        <is>
          <t>Konstruksi Gedung Lainnya</t>
        </is>
      </c>
      <c r="N137" t="inlineStr">
        <is>
          <t>K</t>
        </is>
      </c>
      <c r="O137" t="inlineStr">
        <is>
          <t>20230614</t>
        </is>
      </c>
      <c r="P137" t="inlineStr">
        <is>
          <t>Jawa Barat</t>
        </is>
      </c>
      <c r="Q137" s="3">
        <f>HYPERLINK("https://wa.me/6281210120960?text=*[PERINGATAN DARURAT SBU KELDAMA MANDIRI UTAMA]*%0A%0AYth. Pimpinan KELDAMA MANDIRI UTAMA,%0AMasa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8">
      <c r="A138" t="inlineStr">
        <is>
          <t>KERTAWIJAYA</t>
        </is>
      </c>
      <c r="B138" t="inlineStr">
        <is>
          <t>Kota Tegal</t>
        </is>
      </c>
      <c r="C138" t="inlineStr">
        <is>
          <t>087749796188</t>
        </is>
      </c>
      <c r="D138" t="inlineStr">
        <is>
          <t>cvkertawijaya@gmail.com</t>
        </is>
      </c>
      <c r="E138" t="inlineStr">
        <is>
          <t>https://lpjk.pu.go.id/search-badan-usaha-detail/WDlrck4vdlYydTFwdjU3dVNaYWtCdz09</t>
        </is>
      </c>
      <c r="F138" t="n">
        <v>1</v>
      </c>
      <c r="G138" t="inlineStr">
        <is>
          <t>BG006</t>
        </is>
      </c>
      <c r="H138" t="inlineStr">
        <is>
          <t>13 Agustus 2019</t>
        </is>
      </c>
      <c r="I138" s="2" t="n">
        <v>46194</v>
      </c>
      <c r="J138" t="inlineStr">
        <is>
          <t>Disetujui</t>
        </is>
      </c>
      <c r="K138" t="n">
        <v>30</v>
      </c>
      <c r="L138" t="inlineStr">
        <is>
          <t>21 Juni 2026</t>
        </is>
      </c>
      <c r="M138" t="inlineStr">
        <is>
          <t>Konstruksi Gedung Pendidikan</t>
        </is>
      </c>
      <c r="N138" t="inlineStr">
        <is>
          <t>K</t>
        </is>
      </c>
      <c r="O138" t="inlineStr">
        <is>
          <t>20230620</t>
        </is>
      </c>
      <c r="P138" t="inlineStr">
        <is>
          <t>Jawa Tengah</t>
        </is>
      </c>
      <c r="Q138" s="3">
        <f>HYPERLINK("https://wa.me/6287749796188?text=*[PERINGATAN DARURAT SBU KERTAWIJAYA]*%0A%0AYth. Pimpinan KERTAWIJAYA,%0AMasa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39">
      <c r="A139" t="inlineStr">
        <is>
          <t>KONSTRUKSI MANDIRI ABADI</t>
        </is>
      </c>
      <c r="B139" t="inlineStr">
        <is>
          <t>Kota Palu</t>
        </is>
      </c>
      <c r="C139" t="inlineStr">
        <is>
          <t>085145861999</t>
        </is>
      </c>
      <c r="D139" t="inlineStr">
        <is>
          <t>konstruksiabadimakmur@gmail.com</t>
        </is>
      </c>
      <c r="E139" t="inlineStr">
        <is>
          <t>https://lpjk.pu.go.id/search-badan-usaha-detail/RWhxUEVDVTFVLzBzbWlGbUFyNEM0QT09</t>
        </is>
      </c>
      <c r="F139" t="n">
        <v>1</v>
      </c>
      <c r="G139" t="inlineStr">
        <is>
          <t>BS001</t>
        </is>
      </c>
      <c r="H139" t="inlineStr">
        <is>
          <t>8 Desember 2020</t>
        </is>
      </c>
      <c r="I139" s="2" t="n">
        <v>46194</v>
      </c>
      <c r="J139" t="inlineStr">
        <is>
          <t>Pencabutan</t>
        </is>
      </c>
      <c r="K139" t="n">
        <v>30</v>
      </c>
      <c r="L139" t="inlineStr">
        <is>
          <t>21 Juni 2026</t>
        </is>
      </c>
      <c r="M139" t="inlineStr">
        <is>
          <t>Konstruksi Bangunan Sipil Jalan</t>
        </is>
      </c>
      <c r="N139" t="inlineStr">
        <is>
          <t>K</t>
        </is>
      </c>
      <c r="O139" t="inlineStr">
        <is>
          <t>20230523</t>
        </is>
      </c>
      <c r="P139" t="inlineStr">
        <is>
          <t>Sulawesi Tengah</t>
        </is>
      </c>
      <c r="Q139" s="3">
        <f>HYPERLINK("https://wa.me/6285145861999?text=*[PERINGATAN DARURAT SBU KONSTRUKSI MANDIRI ABADI]*%0A%0AYth. Pimpinan KONSTRUKSI MANDIRI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0">
      <c r="A140" t="inlineStr">
        <is>
          <t>KONSTRUKSI MULTI CIPTA SARANA</t>
        </is>
      </c>
      <c r="B140" t="inlineStr">
        <is>
          <t>Kota Makassar</t>
        </is>
      </c>
      <c r="C140" t="inlineStr">
        <is>
          <t>081342748004</t>
        </is>
      </c>
      <c r="D140" t="inlineStr">
        <is>
          <t>konstruksimulticiptasarana@gmail.com</t>
        </is>
      </c>
      <c r="E140" t="inlineStr">
        <is>
          <t>https://lpjk.pu.go.id/search-badan-usaha-detail/Y3JEWkhCcFJRbFhJdWgzVVNIVjNEdz09</t>
        </is>
      </c>
      <c r="F140" t="n">
        <v>3</v>
      </c>
      <c r="G140" t="inlineStr">
        <is>
          <t>BG005, BG006, BG009</t>
        </is>
      </c>
      <c r="H140" t="inlineStr">
        <is>
          <t>6 November 1990</t>
        </is>
      </c>
      <c r="I140" s="2" t="n">
        <v>46194</v>
      </c>
      <c r="J140" t="inlineStr">
        <is>
          <t>Disetujui</t>
        </is>
      </c>
      <c r="K140" t="n">
        <v>30</v>
      </c>
      <c r="L140" t="inlineStr">
        <is>
          <t>21 Juni 2026</t>
        </is>
      </c>
      <c r="M140" t="inlineStr">
        <is>
          <t>Konstruksi Gedung Kesehatan, Konstruksi Gedung Lainnya, Konstruksi Gedung Pendidikan</t>
        </is>
      </c>
      <c r="N140" t="inlineStr">
        <is>
          <t>K</t>
        </is>
      </c>
      <c r="O140" t="inlineStr">
        <is>
          <t>20230621</t>
        </is>
      </c>
      <c r="P140" t="inlineStr">
        <is>
          <t>Sulawesi Selatan</t>
        </is>
      </c>
      <c r="Q140" s="3">
        <f>HYPERLINK("https://wa.me/6281342748004?text=*[PERINGATAN DARURAT SBU KONSTRUKSI MULTI CIPTA SARANA]*%0A%0AYth. Pimpinan KONSTRUKSI MULTI CIPTA SARANA,%0AMasa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1">
      <c r="A141" t="inlineStr">
        <is>
          <t>KREATIF JAYA MANDIRI</t>
        </is>
      </c>
      <c r="B141" t="inlineStr">
        <is>
          <t>Kab. Berau</t>
        </is>
      </c>
      <c r="C141" t="inlineStr">
        <is>
          <t>081397207334</t>
        </is>
      </c>
      <c r="D141" t="inlineStr">
        <is>
          <t>kreatifjayamandiri@yahoo.com</t>
        </is>
      </c>
      <c r="E141" t="inlineStr">
        <is>
          <t>https://lpjk.pu.go.id/search-badan-usaha-detail/UXV5R2IrMFRNTElFWGVWVllQbTU5UT09</t>
        </is>
      </c>
      <c r="F141" t="n">
        <v>2</v>
      </c>
      <c r="G141" t="inlineStr">
        <is>
          <t>BG001, BG003</t>
        </is>
      </c>
      <c r="H141" t="inlineStr">
        <is>
          <t>8 September 2016</t>
        </is>
      </c>
      <c r="I141" s="2" t="n">
        <v>46194</v>
      </c>
      <c r="J141" t="inlineStr">
        <is>
          <t>Disetujui</t>
        </is>
      </c>
      <c r="K141" t="n">
        <v>30</v>
      </c>
      <c r="L141" t="inlineStr">
        <is>
          <t>21 Juni 2026</t>
        </is>
      </c>
      <c r="M141" t="inlineStr">
        <is>
          <t>Konstruksi Gedung Hunian, Konstruksi Gedung Industri</t>
        </is>
      </c>
      <c r="N141" t="inlineStr">
        <is>
          <t>K</t>
        </is>
      </c>
      <c r="O141" t="inlineStr">
        <is>
          <t>20230619</t>
        </is>
      </c>
      <c r="P141" t="inlineStr">
        <is>
          <t>Kalimantan Timur</t>
        </is>
      </c>
      <c r="Q141" s="3">
        <f>HYPERLINK("https://wa.me/6281397207334?text=*[PERINGATAN DARURAT SBU KREATIF JAYA MANDIRI]*%0A%0AYth. Pimpinan KREATIF JAYA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2">
      <c r="A142" t="inlineStr">
        <is>
          <t>KUKUH HARAPAN</t>
        </is>
      </c>
      <c r="B142" t="inlineStr">
        <is>
          <t>Kab. Dompu</t>
        </is>
      </c>
      <c r="C142" t="inlineStr">
        <is>
          <t>085205282010</t>
        </is>
      </c>
      <c r="D142" t="inlineStr">
        <is>
          <t>kukuhharapan2017@gmail.com</t>
        </is>
      </c>
      <c r="E142" t="inlineStr">
        <is>
          <t>https://lpjk.pu.go.id/search-badan-usaha-detail/NW02dGt6bEpQUHFmeTZBeHRZSzJvdz09</t>
        </is>
      </c>
      <c r="F142" t="n">
        <v>1</v>
      </c>
      <c r="G142" t="inlineStr">
        <is>
          <t>BS001</t>
        </is>
      </c>
      <c r="H142" t="inlineStr">
        <is>
          <t>15 Juli 2006</t>
        </is>
      </c>
      <c r="I142" s="2" t="n">
        <v>46194</v>
      </c>
      <c r="J142" t="inlineStr">
        <is>
          <t>Pencabutan</t>
        </is>
      </c>
      <c r="K142" t="n">
        <v>30</v>
      </c>
      <c r="L142" t="inlineStr">
        <is>
          <t>21 Juni 2026</t>
        </is>
      </c>
      <c r="M142" t="inlineStr">
        <is>
          <t>Konstruksi Bangunan Sipil Jalan</t>
        </is>
      </c>
      <c r="N142" t="inlineStr">
        <is>
          <t>K</t>
        </is>
      </c>
      <c r="O142" t="inlineStr">
        <is>
          <t>20230621</t>
        </is>
      </c>
      <c r="P142" t="inlineStr">
        <is>
          <t>Nusa Tenggara Barat</t>
        </is>
      </c>
      <c r="Q142" s="3">
        <f>HYPERLINK("https://wa.me/6285205282010?text=*[PERINGATAN DARURAT SBU KUKUH HARAPAN]*%0A%0AYth. Pimpinan KUKUH HARAPAN,%0AMasa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3">
      <c r="A143" t="inlineStr">
        <is>
          <t>KUSUMA JAYA PERSADA</t>
        </is>
      </c>
      <c r="B143" t="inlineStr">
        <is>
          <t>Kota Semarang</t>
        </is>
      </c>
      <c r="C143" t="inlineStr">
        <is>
          <t>0811279003</t>
        </is>
      </c>
      <c r="D143" t="inlineStr">
        <is>
          <t>kusumajayapersada@gmail.com</t>
        </is>
      </c>
      <c r="E143" t="inlineStr">
        <is>
          <t>https://lpjk.pu.go.id/search-badan-usaha-detail/UVNyZnh5VTVQSUlwU3ZRN2FEamozdz09</t>
        </is>
      </c>
      <c r="F143" t="n">
        <v>1</v>
      </c>
      <c r="G143" t="inlineStr">
        <is>
          <t>BG009</t>
        </is>
      </c>
      <c r="H143" t="inlineStr">
        <is>
          <t>26 September 2012</t>
        </is>
      </c>
      <c r="I143" s="2" t="n">
        <v>46194</v>
      </c>
      <c r="J143" t="inlineStr">
        <is>
          <t>Disetujui</t>
        </is>
      </c>
      <c r="K143" t="n">
        <v>30</v>
      </c>
      <c r="L143" t="inlineStr">
        <is>
          <t>21 Juni 2026</t>
        </is>
      </c>
      <c r="M143" t="inlineStr">
        <is>
          <t>Konstruksi Gedung Lainnya</t>
        </is>
      </c>
      <c r="N143" t="inlineStr">
        <is>
          <t>K</t>
        </is>
      </c>
      <c r="O143" t="inlineStr">
        <is>
          <t>20230607</t>
        </is>
      </c>
      <c r="P143" t="inlineStr">
        <is>
          <t>Jawa Tengah</t>
        </is>
      </c>
      <c r="Q143" s="3">
        <f>HYPERLINK("https://wa.me/62811279003?text=*[PERINGATAN DARURAT SBU KUSUMA JAYA PERSADA]*%0A%0AYth. Pimpinan KUSUMA JAYA PERSADA,%0AMasa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4">
      <c r="A144" t="inlineStr">
        <is>
          <t>LAMPUNG BINA SEJAHTERA</t>
        </is>
      </c>
      <c r="B144" t="inlineStr">
        <is>
          <t>Kota Bandar Lampung</t>
        </is>
      </c>
      <c r="C144" t="inlineStr">
        <is>
          <t>-</t>
        </is>
      </c>
      <c r="D144" t="inlineStr">
        <is>
          <t>lampungbinasejahtera.cv@gmail.com</t>
        </is>
      </c>
      <c r="E144" t="inlineStr">
        <is>
          <t>https://lpjk.pu.go.id/search-badan-usaha-detail/VzFBN3RpY2RoSGpuK25TYTRETGJIdz09</t>
        </is>
      </c>
      <c r="F144" t="n">
        <v>1</v>
      </c>
      <c r="G144" t="inlineStr">
        <is>
          <t>BG009</t>
        </is>
      </c>
      <c r="H144" t="inlineStr">
        <is>
          <t>19 Januari 2007</t>
        </is>
      </c>
      <c r="I144" s="2" t="n">
        <v>46194</v>
      </c>
      <c r="J144" t="inlineStr">
        <is>
          <t>Disetujui</t>
        </is>
      </c>
      <c r="K144" t="n">
        <v>30</v>
      </c>
      <c r="L144" t="inlineStr">
        <is>
          <t>21 Juni 2026</t>
        </is>
      </c>
      <c r="M144" t="inlineStr">
        <is>
          <t>Konstruksi Gedung Lainnya</t>
        </is>
      </c>
      <c r="N144" t="inlineStr">
        <is>
          <t>K</t>
        </is>
      </c>
      <c r="O144" t="inlineStr">
        <is>
          <t>20230621</t>
        </is>
      </c>
      <c r="P144" t="inlineStr">
        <is>
          <t>Lampung</t>
        </is>
      </c>
      <c r="Q144" t="inlineStr"/>
    </row>
    <row r="145">
      <c r="A145" t="inlineStr">
        <is>
          <t>LEMBAH CIREMAI</t>
        </is>
      </c>
      <c r="B145" t="inlineStr">
        <is>
          <t>Kab. Kuningan</t>
        </is>
      </c>
      <c r="C145" t="inlineStr">
        <is>
          <t>081214555551</t>
        </is>
      </c>
      <c r="D145" t="inlineStr">
        <is>
          <t>ciremailembah@yahoo.com</t>
        </is>
      </c>
      <c r="E145" t="inlineStr">
        <is>
          <t>https://lpjk.pu.go.id/search-badan-usaha-detail/bmowa0V5WEZ3cWpKeFRreWltd0V3UT09</t>
        </is>
      </c>
      <c r="F145" t="n">
        <v>1</v>
      </c>
      <c r="G145" t="inlineStr">
        <is>
          <t>BG006</t>
        </is>
      </c>
      <c r="H145" t="inlineStr">
        <is>
          <t>2 Maret 2005</t>
        </is>
      </c>
      <c r="I145" s="2" t="n">
        <v>46194</v>
      </c>
      <c r="J145" t="inlineStr">
        <is>
          <t>Pencabutan</t>
        </is>
      </c>
      <c r="K145" t="n">
        <v>30</v>
      </c>
      <c r="L145" t="inlineStr">
        <is>
          <t>21 Juni 2026</t>
        </is>
      </c>
      <c r="M145" t="inlineStr">
        <is>
          <t>Konstruksi Gedung Pendidikan</t>
        </is>
      </c>
      <c r="N145" t="inlineStr">
        <is>
          <t>K</t>
        </is>
      </c>
      <c r="O145" t="inlineStr">
        <is>
          <t>20230620</t>
        </is>
      </c>
      <c r="P145" t="inlineStr">
        <is>
          <t>Jawa Barat</t>
        </is>
      </c>
      <c r="Q145" s="3">
        <f>HYPERLINK("https://wa.me/6281214555551?text=*[PERINGATAN DARURAT SBU LEMBAH CIREMAI]*%0A%0AYth. Pimpinan LEMBAH CIREMAI,%0AMasa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6">
      <c r="A146" t="inlineStr">
        <is>
          <t>LEONIDAS PERKASA</t>
        </is>
      </c>
      <c r="B146" t="inlineStr">
        <is>
          <t>Kab. Manokwari</t>
        </is>
      </c>
      <c r="C146" t="inlineStr">
        <is>
          <t>085243238658</t>
        </is>
      </c>
      <c r="D146" t="inlineStr">
        <is>
          <t>perkasacvleonidas@gmail.com</t>
        </is>
      </c>
      <c r="E146" t="inlineStr">
        <is>
          <t>https://lpjk.pu.go.id/search-badan-usaha-detail/b3JqSXY5V2tnblRacmxLSnU5TG54dz09</t>
        </is>
      </c>
      <c r="F146" t="n">
        <v>1</v>
      </c>
      <c r="G146" t="inlineStr">
        <is>
          <t>BG006</t>
        </is>
      </c>
      <c r="H146" t="inlineStr">
        <is>
          <t>22 April 2022</t>
        </is>
      </c>
      <c r="I146" s="2" t="n">
        <v>46194</v>
      </c>
      <c r="J146" t="inlineStr">
        <is>
          <t>Pencabutan</t>
        </is>
      </c>
      <c r="K146" t="n">
        <v>30</v>
      </c>
      <c r="L146" t="inlineStr">
        <is>
          <t>21 Juni 2026</t>
        </is>
      </c>
      <c r="M146" t="inlineStr">
        <is>
          <t>Konstruksi Gedung Pendidikan</t>
        </is>
      </c>
      <c r="N146" t="inlineStr">
        <is>
          <t>K</t>
        </is>
      </c>
      <c r="O146" t="inlineStr">
        <is>
          <t>20230619</t>
        </is>
      </c>
      <c r="P146" t="inlineStr">
        <is>
          <t>Papua Barat</t>
        </is>
      </c>
      <c r="Q146" s="3">
        <f>HYPERLINK("https://wa.me/6285243238658?text=*[PERINGATAN DARURAT SBU LEONIDAS PERKASA]*%0A%0AYth. Pimpinan LEONIDAS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7">
      <c r="A147" t="inlineStr">
        <is>
          <t>LIMA TUJUH</t>
        </is>
      </c>
      <c r="B147" t="inlineStr">
        <is>
          <t>Kab. Mamasa</t>
        </is>
      </c>
      <c r="C147" t="inlineStr">
        <is>
          <t>082349472206</t>
        </is>
      </c>
      <c r="D147" t="inlineStr">
        <is>
          <t>climatujuh@gmail.com</t>
        </is>
      </c>
      <c r="E147" t="inlineStr">
        <is>
          <t>https://lpjk.pu.go.id/search-badan-usaha-detail/OTBpb3A4SnhhaWt4Q0IrcnRoU1RPZz09</t>
        </is>
      </c>
      <c r="F147" t="n">
        <v>1</v>
      </c>
      <c r="G147" t="inlineStr">
        <is>
          <t>BG006</t>
        </is>
      </c>
      <c r="H147" t="inlineStr">
        <is>
          <t>8 Mei 2002</t>
        </is>
      </c>
      <c r="I147" s="2" t="n">
        <v>46194</v>
      </c>
      <c r="J147" t="inlineStr">
        <is>
          <t>Disetujui</t>
        </is>
      </c>
      <c r="K147" t="n">
        <v>30</v>
      </c>
      <c r="L147" t="inlineStr">
        <is>
          <t>21 Juni 2026</t>
        </is>
      </c>
      <c r="M147" t="inlineStr">
        <is>
          <t>Konstruksi Gedung Pendidikan</t>
        </is>
      </c>
      <c r="N147" t="inlineStr">
        <is>
          <t>K</t>
        </is>
      </c>
      <c r="O147" t="inlineStr">
        <is>
          <t>20230621</t>
        </is>
      </c>
      <c r="P147" t="inlineStr">
        <is>
          <t>Sulawesi Barat</t>
        </is>
      </c>
      <c r="Q147" s="3">
        <f>HYPERLINK("https://wa.me/6282349472206?text=*[PERINGATAN DARURAT SBU LIMA TUJUH]*%0A%0AYth. Pimpinan LIMA TUJUH,%0AMasa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8">
      <c r="A148" t="inlineStr">
        <is>
          <t>LUMBUNG ASTI KONSULTAN</t>
        </is>
      </c>
      <c r="B148" t="inlineStr">
        <is>
          <t>Kab. Badung</t>
        </is>
      </c>
      <c r="C148" t="inlineStr">
        <is>
          <t>08123762390</t>
        </is>
      </c>
      <c r="D148" t="inlineStr">
        <is>
          <t>lumbungasti_konsultan@yahoo.co.id</t>
        </is>
      </c>
      <c r="E148" t="inlineStr">
        <is>
          <t>https://lpjk.pu.go.id/search-badan-usaha-detail/dU1RL2ZBVjJWQ3l0TmxSajZhalVidz09</t>
        </is>
      </c>
      <c r="F148" t="n">
        <v>3</v>
      </c>
      <c r="G148" t="inlineStr">
        <is>
          <t>AR001, AR002, RK001</t>
        </is>
      </c>
      <c r="H148" t="inlineStr">
        <is>
          <t>19 Oktober 1994</t>
        </is>
      </c>
      <c r="I148" s="2" t="n">
        <v>46194</v>
      </c>
      <c r="J148" t="inlineStr">
        <is>
          <t>Disetujui</t>
        </is>
      </c>
      <c r="K148" t="n">
        <v>30</v>
      </c>
      <c r="L148" t="inlineStr">
        <is>
          <t>21 Juni 2026</t>
        </is>
      </c>
      <c r="M148" t="inlineStr">
        <is>
          <t>Jasa Arsitektural Bangunan Gedung Hunian dan Non Hunian, Jasa Arsitektural Lainnya, Jasa Rekayasa Konstruksi Bangunan Gedung Hunian dan Non Hunian</t>
        </is>
      </c>
      <c r="N148" t="inlineStr">
        <is>
          <t>K</t>
        </is>
      </c>
      <c r="O148" t="inlineStr">
        <is>
          <t>20230613, 20230614, 20230616</t>
        </is>
      </c>
      <c r="P148" t="inlineStr">
        <is>
          <t>Bali</t>
        </is>
      </c>
      <c r="Q148" s="3">
        <f>HYPERLINK("https://wa.me/628123762390?text=*[PERINGATAN DARURAT SBU LUMBUNG ASTI KONSULTAN]*%0A%0AYth. Pimpinan LUMBUNG ASTI KONSULTAN,%0AMasa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49">
      <c r="A149" t="inlineStr">
        <is>
          <t>MAHA INTI SAMUDERA</t>
        </is>
      </c>
      <c r="B149" t="inlineStr">
        <is>
          <t>Kab. Semarang</t>
        </is>
      </c>
      <c r="C149" t="inlineStr">
        <is>
          <t>0819673788</t>
        </is>
      </c>
      <c r="D149" t="inlineStr">
        <is>
          <t>mahaintisamudera@gmail.com</t>
        </is>
      </c>
      <c r="E149" t="inlineStr">
        <is>
          <t>https://lpjk.pu.go.id/search-badan-usaha-detail/bXpXdUpPMDdmRUU2WUl6ckpiWmhFQT09</t>
        </is>
      </c>
      <c r="F149" t="n">
        <v>1</v>
      </c>
      <c r="G149" t="inlineStr">
        <is>
          <t>BS005</t>
        </is>
      </c>
      <c r="H149" t="inlineStr">
        <is>
          <t>10 Juli 2019</t>
        </is>
      </c>
      <c r="I149" s="2" t="n">
        <v>46194</v>
      </c>
      <c r="J149" t="inlineStr">
        <is>
          <t>Disetujui</t>
        </is>
      </c>
      <c r="K149" t="n">
        <v>30</v>
      </c>
      <c r="L149" t="inlineStr">
        <is>
          <t>21 Juni 2026</t>
        </is>
      </c>
      <c r="M149" t="inlineStr">
        <is>
          <t>Konstruksi Bangunan Sipil Pengolahan Air Bersih</t>
        </is>
      </c>
      <c r="N149" t="inlineStr">
        <is>
          <t>K</t>
        </is>
      </c>
      <c r="O149" t="inlineStr">
        <is>
          <t>20230510</t>
        </is>
      </c>
      <c r="P149" t="inlineStr">
        <is>
          <t>Jawa Tengah</t>
        </is>
      </c>
      <c r="Q149" s="3">
        <f>HYPERLINK("https://wa.me/62819673788?text=*[PERINGATAN DARURAT SBU MAHA INTI SAMUDERA]*%0A%0AYth. Pimpinan MAHA INTI SAMUDERA,%0AMasa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0">
      <c r="A150" t="inlineStr">
        <is>
          <t>MAHARANI INDAH EKAPUTRI</t>
        </is>
      </c>
      <c r="B150" t="inlineStr">
        <is>
          <t>Kab. Konawe Kepulauan</t>
        </is>
      </c>
      <c r="C150" t="inlineStr">
        <is>
          <t>085394122530</t>
        </is>
      </c>
      <c r="D150" t="inlineStr">
        <is>
          <t>maharaniindahekaputri2@gmail.com</t>
        </is>
      </c>
      <c r="E150" t="inlineStr">
        <is>
          <t>https://lpjk.pu.go.id/search-badan-usaha-detail/S2I1NFc0K2V1aDR5elU2ckN0TjU3Zz09</t>
        </is>
      </c>
      <c r="F150" t="n">
        <v>4</v>
      </c>
      <c r="G150" t="inlineStr">
        <is>
          <t>BG006</t>
        </is>
      </c>
      <c r="H150" t="inlineStr">
        <is>
          <t>30 Januari 2023</t>
        </is>
      </c>
      <c r="I150" s="2" t="n">
        <v>46194</v>
      </c>
      <c r="J150" t="inlineStr">
        <is>
          <t>Disetujui</t>
        </is>
      </c>
      <c r="K150" t="n">
        <v>30</v>
      </c>
      <c r="L150" t="inlineStr">
        <is>
          <t>21 Juni 2026</t>
        </is>
      </c>
      <c r="M150" t="inlineStr">
        <is>
          <t>Konstruksi Gedung Pendidikan</t>
        </is>
      </c>
      <c r="N150" t="inlineStr">
        <is>
          <t>K</t>
        </is>
      </c>
      <c r="O150" t="inlineStr">
        <is>
          <t>20230619</t>
        </is>
      </c>
      <c r="P150" t="inlineStr">
        <is>
          <t>Sulawesi Tenggara</t>
        </is>
      </c>
      <c r="Q150" s="3">
        <f>HYPERLINK("https://wa.me/6285394122530?text=*[PERINGATAN DARURAT SBU MAHARANI INDAH EKAPUTRI]*%0A%0AYth. Pimpinan MAHARANI INDAH EKAPUTRI,%0AMasa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1">
      <c r="A151" t="inlineStr">
        <is>
          <t>MAHKOTA JAYA</t>
        </is>
      </c>
      <c r="B151" t="inlineStr">
        <is>
          <t>Kota Probolinggo</t>
        </is>
      </c>
      <c r="C151" t="inlineStr">
        <is>
          <t>082301293768</t>
        </is>
      </c>
      <c r="D151" t="inlineStr">
        <is>
          <t>cv.mahkotajaya44@gmail.com</t>
        </is>
      </c>
      <c r="E151" t="inlineStr">
        <is>
          <t>https://lpjk.pu.go.id/search-badan-usaha-detail/elFCU0J3dUNzYWxGWVVoTjJFY2xaZz09</t>
        </is>
      </c>
      <c r="F151" t="n">
        <v>1</v>
      </c>
      <c r="G151" t="inlineStr">
        <is>
          <t>BS004</t>
        </is>
      </c>
      <c r="H151" t="inlineStr">
        <is>
          <t>31 Desember 2007</t>
        </is>
      </c>
      <c r="I151" s="2" t="n">
        <v>46194</v>
      </c>
      <c r="J151" t="inlineStr">
        <is>
          <t>Disetujui</t>
        </is>
      </c>
      <c r="K151" t="n">
        <v>30</v>
      </c>
      <c r="L151" t="inlineStr">
        <is>
          <t>21 Juni 2026</t>
        </is>
      </c>
      <c r="M151" t="inlineStr">
        <is>
          <t>Konstruksi Jaringan Irigasi dan Drainase</t>
        </is>
      </c>
      <c r="N151" t="inlineStr">
        <is>
          <t>K</t>
        </is>
      </c>
      <c r="O151" t="inlineStr">
        <is>
          <t>20230620</t>
        </is>
      </c>
      <c r="P151" t="inlineStr">
        <is>
          <t>Jawa Timur</t>
        </is>
      </c>
      <c r="Q151" s="3">
        <f>HYPERLINK("https://wa.me/6282301293768?text=*[PERINGATAN DARURAT SBU MAHKOTA JAYA]*%0A%0AYth. Pimpinan MAHKOTA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2">
      <c r="A152" t="inlineStr">
        <is>
          <t>MAHLIGAI</t>
        </is>
      </c>
      <c r="B152" t="inlineStr">
        <is>
          <t>Kab. Hulu Sungai Utara</t>
        </is>
      </c>
      <c r="C152" t="inlineStr">
        <is>
          <t>082352090009</t>
        </is>
      </c>
      <c r="D152" t="inlineStr">
        <is>
          <t>mahlighai.mlg@gmail.com</t>
        </is>
      </c>
      <c r="E152" t="inlineStr">
        <is>
          <t>https://lpjk.pu.go.id/search-badan-usaha-detail/QVZXN0x5VmZxR1dsSG9IbE5Ba2gydz09</t>
        </is>
      </c>
      <c r="F152" t="n">
        <v>1</v>
      </c>
      <c r="G152" t="inlineStr">
        <is>
          <t>BG006</t>
        </is>
      </c>
      <c r="H152" t="inlineStr">
        <is>
          <t>11 Juli 2005</t>
        </is>
      </c>
      <c r="I152" s="2" t="n">
        <v>46194</v>
      </c>
      <c r="J152" t="inlineStr">
        <is>
          <t>Disetujui</t>
        </is>
      </c>
      <c r="K152" t="n">
        <v>30</v>
      </c>
      <c r="L152" t="inlineStr">
        <is>
          <t>21 Juni 2026</t>
        </is>
      </c>
      <c r="M152" t="inlineStr">
        <is>
          <t>Konstruksi Gedung Pendidikan</t>
        </is>
      </c>
      <c r="N152" t="inlineStr">
        <is>
          <t>K</t>
        </is>
      </c>
      <c r="O152" t="inlineStr">
        <is>
          <t>20230615</t>
        </is>
      </c>
      <c r="P152" t="inlineStr">
        <is>
          <t>Kalimantan Selatan</t>
        </is>
      </c>
      <c r="Q152" s="3">
        <f>HYPERLINK("https://wa.me/6282352090009?text=*[PERINGATAN DARURAT SBU MAHLIGAI]*%0A%0AYth. Pimpinan MAHLIGAI,%0AMasa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3">
      <c r="A153" t="inlineStr">
        <is>
          <t>MALIKCO</t>
        </is>
      </c>
      <c r="B153" t="inlineStr">
        <is>
          <t>Kota Palembang</t>
        </is>
      </c>
      <c r="C153" t="inlineStr">
        <is>
          <t>081324245449</t>
        </is>
      </c>
      <c r="D153" t="inlineStr">
        <is>
          <t>cv.malikco2019@gmail.com</t>
        </is>
      </c>
      <c r="E153" t="inlineStr">
        <is>
          <t>https://lpjk.pu.go.id/search-badan-usaha-detail/TEtxTWhETEVueTVpTSszUGNJTEJjQT09</t>
        </is>
      </c>
      <c r="F153" t="n">
        <v>6</v>
      </c>
      <c r="G153" t="inlineStr">
        <is>
          <t>BG002, BG005, BG006, BS001, BS002, BS004</t>
        </is>
      </c>
      <c r="H153" t="inlineStr">
        <is>
          <t>15 Desember 2015</t>
        </is>
      </c>
      <c r="I153" s="2" t="n">
        <v>46194</v>
      </c>
      <c r="J153" t="inlineStr">
        <is>
          <t>Disetujui</t>
        </is>
      </c>
      <c r="K153" t="n">
        <v>30</v>
      </c>
      <c r="L153" t="inlineStr">
        <is>
          <t>21 Juni 2026</t>
        </is>
      </c>
      <c r="M153" t="inlineStr">
        <is>
          <t>Bangunan Sipil Jembatan, Jalan Layang, Fly Over, dan Underpass, Konstruksi Bangunan Sipil Jalan, Konstruksi Gedung Kesehatan, Konstruksi Gedung Pendidikan, Konstruksi Gedung Perkantoran, Konstruksi Jaringan Irigasi dan Drainase</t>
        </is>
      </c>
      <c r="N153" t="inlineStr">
        <is>
          <t>K</t>
        </is>
      </c>
      <c r="O153" t="inlineStr">
        <is>
          <t>20230620</t>
        </is>
      </c>
      <c r="P153" t="inlineStr">
        <is>
          <t>Sumatera Selatan</t>
        </is>
      </c>
      <c r="Q153" s="3">
        <f>HYPERLINK("https://wa.me/6281324245449?text=*[PERINGATAN DARURAT SBU MALIKCO]*%0A%0AYth. Pimpinan MALIKCO,%0AMasa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4">
      <c r="A154" t="inlineStr">
        <is>
          <t>MANDALA PUTRA JAYA</t>
        </is>
      </c>
      <c r="B154" t="inlineStr">
        <is>
          <t>Kab. Pacitan</t>
        </is>
      </c>
      <c r="C154" t="inlineStr">
        <is>
          <t>081333380203</t>
        </is>
      </c>
      <c r="D154" t="inlineStr">
        <is>
          <t>cvmandalaputrajaya22@gmail.com</t>
        </is>
      </c>
      <c r="E154" t="inlineStr">
        <is>
          <t>https://lpjk.pu.go.id/search-badan-usaha-detail/MVpTYVFRcCtyblpRMEZGZHlITXc5dz09</t>
        </is>
      </c>
      <c r="F154" t="n">
        <v>4</v>
      </c>
      <c r="G154" t="inlineStr">
        <is>
          <t>BG006, BG009</t>
        </is>
      </c>
      <c r="H154" t="inlineStr">
        <is>
          <t>24 Mei 2022</t>
        </is>
      </c>
      <c r="I154" s="2" t="n">
        <v>46194</v>
      </c>
      <c r="J154" t="inlineStr">
        <is>
          <t>Disetujui</t>
        </is>
      </c>
      <c r="K154" t="n">
        <v>30</v>
      </c>
      <c r="L154" t="inlineStr">
        <is>
          <t>21 Juni 2026</t>
        </is>
      </c>
      <c r="M154" t="inlineStr">
        <is>
          <t>Konstruksi Gedung Lainnya, Konstruksi Gedung Pendidikan</t>
        </is>
      </c>
      <c r="N154" t="inlineStr">
        <is>
          <t>K</t>
        </is>
      </c>
      <c r="O154" t="inlineStr">
        <is>
          <t>20230622</t>
        </is>
      </c>
      <c r="P154" t="inlineStr">
        <is>
          <t>Jawa Timur</t>
        </is>
      </c>
      <c r="Q154" s="3">
        <f>HYPERLINK("https://wa.me/6281333380203?text=*[PERINGATAN DARURAT SBU MANDALA PUTRA JAYA]*%0A%0AYth. Pimpinan MANDALA PUTRA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5">
      <c r="A155" t="inlineStr">
        <is>
          <t>MANDIRI RAYA BORNEO</t>
        </is>
      </c>
      <c r="B155" t="inlineStr">
        <is>
          <t>Kab. Bulungan</t>
        </is>
      </c>
      <c r="C155" t="inlineStr">
        <is>
          <t>081346828555</t>
        </is>
      </c>
      <c r="D155" t="inlineStr">
        <is>
          <t>mandirirayaborneo@gmail.com</t>
        </is>
      </c>
      <c r="E155" t="inlineStr">
        <is>
          <t>https://lpjk.pu.go.id/search-badan-usaha-detail/M2tHNVFDMk1GZ1BTRkU4emhPVDkrUT09</t>
        </is>
      </c>
      <c r="F155" t="n">
        <v>1</v>
      </c>
      <c r="G155" t="inlineStr">
        <is>
          <t>BS001</t>
        </is>
      </c>
      <c r="H155" t="inlineStr">
        <is>
          <t>31 Mei 2023</t>
        </is>
      </c>
      <c r="I155" s="2" t="n">
        <v>46194</v>
      </c>
      <c r="J155" t="inlineStr">
        <is>
          <t>Disetujui</t>
        </is>
      </c>
      <c r="K155" t="n">
        <v>30</v>
      </c>
      <c r="L155" t="inlineStr">
        <is>
          <t>21 Juni 2026</t>
        </is>
      </c>
      <c r="M155" t="inlineStr">
        <is>
          <t>Konstruksi Bangunan Sipil Jalan</t>
        </is>
      </c>
      <c r="N155" t="inlineStr">
        <is>
          <t>K</t>
        </is>
      </c>
      <c r="O155" t="inlineStr">
        <is>
          <t>20230616</t>
        </is>
      </c>
      <c r="P155" t="inlineStr">
        <is>
          <t>Kalimantan Utara</t>
        </is>
      </c>
      <c r="Q155" s="3">
        <f>HYPERLINK("https://wa.me/6281346828555?text=*[PERINGATAN DARURAT SBU MANDIRI RAYA BORNEO]*%0A%0AYth. Pimpinan MANDIRI RAYA BORNEO,%0AMasa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6">
      <c r="A156" t="inlineStr">
        <is>
          <t>MANUNGGAL KARSA</t>
        </is>
      </c>
      <c r="B156" t="inlineStr">
        <is>
          <t>Kab. Trenggalek</t>
        </is>
      </c>
      <c r="C156" t="inlineStr">
        <is>
          <t>081359739279</t>
        </is>
      </c>
      <c r="D156" t="inlineStr">
        <is>
          <t>cv.manunggalkarsa54@gmail.com</t>
        </is>
      </c>
      <c r="E156" t="inlineStr">
        <is>
          <t>https://lpjk.pu.go.id/search-badan-usaha-detail/YWF6bmwwV0h6UnlRcStXeXJsMjZpQT09</t>
        </is>
      </c>
      <c r="F156" t="n">
        <v>2</v>
      </c>
      <c r="G156" t="inlineStr">
        <is>
          <t>BG005</t>
        </is>
      </c>
      <c r="H156" t="inlineStr">
        <is>
          <t>8 Februari 2007</t>
        </is>
      </c>
      <c r="I156" s="2" t="n">
        <v>46194</v>
      </c>
      <c r="J156" t="inlineStr">
        <is>
          <t>Disetujui</t>
        </is>
      </c>
      <c r="K156" t="n">
        <v>30</v>
      </c>
      <c r="L156" t="inlineStr">
        <is>
          <t>21 Juni 2026</t>
        </is>
      </c>
      <c r="M156" t="inlineStr">
        <is>
          <t>Konstruksi Gedung Kesehatan</t>
        </is>
      </c>
      <c r="N156" t="inlineStr">
        <is>
          <t>K</t>
        </is>
      </c>
      <c r="O156" t="inlineStr">
        <is>
          <t>20230617</t>
        </is>
      </c>
      <c r="P156" t="inlineStr">
        <is>
          <t>Jawa Timur</t>
        </is>
      </c>
      <c r="Q156" s="3">
        <f>HYPERLINK("https://wa.me/6281359739279?text=*[PERINGATAN DARURAT SBU MANUNGGAL KARSA]*%0A%0AYth. Pimpinan MANUNGGAL KARSA,%0AMasa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7">
      <c r="A157" t="inlineStr">
        <is>
          <t>MARGA KONSTRUKSI</t>
        </is>
      </c>
      <c r="B157" t="inlineStr">
        <is>
          <t>Kota Madiun</t>
        </is>
      </c>
      <c r="C157" t="inlineStr">
        <is>
          <t>0351 4583 38__</t>
        </is>
      </c>
      <c r="D157" t="inlineStr">
        <is>
          <t>cvmargakonstruksi@yahoo.co.id</t>
        </is>
      </c>
      <c r="E157" t="inlineStr">
        <is>
          <t>https://lpjk.pu.go.id/search-badan-usaha-detail/bVA4V2NQcG5LWUpMYW1RZVoxS1Jxdz09</t>
        </is>
      </c>
      <c r="F157" t="n">
        <v>3</v>
      </c>
      <c r="G157" t="inlineStr">
        <is>
          <t>BG004, BG005, BG009</t>
        </is>
      </c>
      <c r="H157" t="inlineStr">
        <is>
          <t>22 Juni 2012</t>
        </is>
      </c>
      <c r="I157" s="2" t="n">
        <v>46194</v>
      </c>
      <c r="J157" t="inlineStr">
        <is>
          <t>Disetujui</t>
        </is>
      </c>
      <c r="K157" t="n">
        <v>30</v>
      </c>
      <c r="L157" t="inlineStr">
        <is>
          <t>21 Juni 2026</t>
        </is>
      </c>
      <c r="M157" t="inlineStr">
        <is>
          <t>Konstruksi Gedung Kesehatan, Konstruksi Gedung Lainnya, Konstruksi Gedung Perbelanjaan</t>
        </is>
      </c>
      <c r="N157" t="inlineStr">
        <is>
          <t>K</t>
        </is>
      </c>
      <c r="O157" t="inlineStr">
        <is>
          <t>20230612, 20230613</t>
        </is>
      </c>
      <c r="P157" t="inlineStr">
        <is>
          <t>Jawa Timur</t>
        </is>
      </c>
      <c r="Q157" s="3">
        <f>HYPERLINK("https://wa.me/62351458338?text=*[PERINGATAN DARURAT SBU MARGA KONSTRUKSI]*%0A%0AYth. Pimpinan MARGA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8">
      <c r="A158" t="inlineStr">
        <is>
          <t>MARS DO MULANA</t>
        </is>
      </c>
      <c r="B158" t="inlineStr">
        <is>
          <t>Kota Medan</t>
        </is>
      </c>
      <c r="C158" t="inlineStr">
        <is>
          <t>081260199262</t>
        </is>
      </c>
      <c r="D158" t="inlineStr">
        <is>
          <t>marsdomulana@hotmail.com</t>
        </is>
      </c>
      <c r="E158" t="inlineStr">
        <is>
          <t>https://lpjk.pu.go.id/search-badan-usaha-detail/Ty8rM24yMEFMTDBFSU1abVBYRHlMdz09</t>
        </is>
      </c>
      <c r="F158" t="n">
        <v>1</v>
      </c>
      <c r="G158" t="inlineStr">
        <is>
          <t>BG009</t>
        </is>
      </c>
      <c r="H158" t="inlineStr">
        <is>
          <t>26 Februari 2013</t>
        </is>
      </c>
      <c r="I158" s="2" t="n">
        <v>46194</v>
      </c>
      <c r="J158" t="inlineStr">
        <is>
          <t>Disetujui</t>
        </is>
      </c>
      <c r="K158" t="n">
        <v>30</v>
      </c>
      <c r="L158" t="inlineStr">
        <is>
          <t>21 Juni 2026</t>
        </is>
      </c>
      <c r="M158" t="inlineStr">
        <is>
          <t>Konstruksi Gedung Lainnya</t>
        </is>
      </c>
      <c r="N158" t="inlineStr">
        <is>
          <t>K</t>
        </is>
      </c>
      <c r="O158" t="inlineStr">
        <is>
          <t>20230621</t>
        </is>
      </c>
      <c r="P158" t="inlineStr">
        <is>
          <t>Sumatera Utara</t>
        </is>
      </c>
      <c r="Q158" s="3">
        <f>HYPERLINK("https://wa.me/6281260199262?text=*[PERINGATAN DARURAT SBU MARS DO MULANA]*%0A%0AYth. Pimpinan MARS DO MULANA,%0AMasa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59">
      <c r="A159" t="inlineStr">
        <is>
          <t>MASA GANTA JAYA</t>
        </is>
      </c>
      <c r="B159" t="inlineStr">
        <is>
          <t>Kab. Lampung Utara</t>
        </is>
      </c>
      <c r="C159" t="inlineStr">
        <is>
          <t>082185072085</t>
        </is>
      </c>
      <c r="D159" t="inlineStr">
        <is>
          <t>teddywijaya1986@gmail.com</t>
        </is>
      </c>
      <c r="E159" t="inlineStr">
        <is>
          <t>https://lpjk.pu.go.id/search-badan-usaha-detail/KzA5TkJoOTFZaWV5bnBpVmpjalJUZz09</t>
        </is>
      </c>
      <c r="F159" t="n">
        <v>2</v>
      </c>
      <c r="G159" t="inlineStr">
        <is>
          <t>BG002, BG006</t>
        </is>
      </c>
      <c r="H159" t="inlineStr">
        <is>
          <t>13 Juli 2016</t>
        </is>
      </c>
      <c r="I159" s="2" t="n">
        <v>46194</v>
      </c>
      <c r="J159" t="inlineStr">
        <is>
          <t>Disetujui</t>
        </is>
      </c>
      <c r="K159" t="n">
        <v>30</v>
      </c>
      <c r="L159" t="inlineStr">
        <is>
          <t>21 Juni 2026</t>
        </is>
      </c>
      <c r="M159" t="inlineStr">
        <is>
          <t>Konstruksi Gedung Pendidikan, Konstruksi Gedung Perkantoran</t>
        </is>
      </c>
      <c r="N159" t="inlineStr">
        <is>
          <t>K</t>
        </is>
      </c>
      <c r="O159" t="inlineStr">
        <is>
          <t>20230619</t>
        </is>
      </c>
      <c r="P159" t="inlineStr">
        <is>
          <t>Lampung</t>
        </is>
      </c>
      <c r="Q159" s="3">
        <f>HYPERLINK("https://wa.me/6282185072085?text=*[PERINGATAN DARURAT SBU MASA GANTA JAYA]*%0A%0AYth. Pimpinan MASA GANTA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0">
      <c r="A160" t="inlineStr">
        <is>
          <t>MATRA KOSALA DIGDAYA</t>
        </is>
      </c>
      <c r="B160" t="inlineStr">
        <is>
          <t>Kota Adm. Jakarta Barat</t>
        </is>
      </c>
      <c r="C160" t="inlineStr">
        <is>
          <t>02122537845</t>
        </is>
      </c>
      <c r="D160" t="inlineStr">
        <is>
          <t>matrakosala@gmail.com</t>
        </is>
      </c>
      <c r="E160" t="inlineStr">
        <is>
          <t>https://lpjk.pu.go.id/search-badan-usaha-detail/TDJGNllxWS9LUS9wV2pZeWhpcDRtdz09</t>
        </is>
      </c>
      <c r="F160" t="n">
        <v>4</v>
      </c>
      <c r="G160" t="inlineStr">
        <is>
          <t>BG001, BG002, BG005, BG006</t>
        </is>
      </c>
      <c r="H160" t="inlineStr">
        <is>
          <t>18 Mei 2009</t>
        </is>
      </c>
      <c r="I160" s="2" t="n">
        <v>46194</v>
      </c>
      <c r="J160" t="inlineStr">
        <is>
          <t>Disetujui</t>
        </is>
      </c>
      <c r="K160" t="n">
        <v>30</v>
      </c>
      <c r="L160" t="inlineStr">
        <is>
          <t>21 Juni 2026</t>
        </is>
      </c>
      <c r="M160" t="inlineStr">
        <is>
          <t>Konstruksi Gedung Hunian, Konstruksi Gedung Kesehatan, Konstruksi Gedung Pendidikan, Konstruksi Gedung Perkantoran</t>
        </is>
      </c>
      <c r="N160" t="inlineStr">
        <is>
          <t>M</t>
        </is>
      </c>
      <c r="O160" t="inlineStr">
        <is>
          <t>20230619</t>
        </is>
      </c>
      <c r="P160" t="inlineStr">
        <is>
          <t>DKI Jakarta</t>
        </is>
      </c>
      <c r="Q160" s="3">
        <f>HYPERLINK("https://wa.me/622122537845?text=*[PERINGATAN DARURAT SBU MATRA KOSALA DIGDAYA]*%0A%0AYth. Pimpinan MATRA KOSALA DIGDAYA,%0AMasa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1">
      <c r="A161" t="inlineStr">
        <is>
          <t>MEDIA CIPTA PERKASA</t>
        </is>
      </c>
      <c r="B161" t="inlineStr">
        <is>
          <t>Kota Surabaya</t>
        </is>
      </c>
      <c r="C161" t="inlineStr">
        <is>
          <t>0315673911</t>
        </is>
      </c>
      <c r="D161" t="inlineStr">
        <is>
          <t>mediaciptaperkasa@gmail.com</t>
        </is>
      </c>
      <c r="E161" t="inlineStr">
        <is>
          <t>https://lpjk.pu.go.id/search-badan-usaha-detail/c1Z0ZlQyeGlhT3p5d3BnNnUwakxlZz09</t>
        </is>
      </c>
      <c r="F161" t="n">
        <v>2</v>
      </c>
      <c r="G161" t="inlineStr">
        <is>
          <t>BG004, BS002</t>
        </is>
      </c>
      <c r="H161" t="inlineStr">
        <is>
          <t>13 Februari 2003</t>
        </is>
      </c>
      <c r="I161" s="2" t="n">
        <v>46194</v>
      </c>
      <c r="J161" t="inlineStr">
        <is>
          <t>Pencabutan</t>
        </is>
      </c>
      <c r="K161" t="n">
        <v>30</v>
      </c>
      <c r="L161" t="inlineStr">
        <is>
          <t>21 Juni 2026</t>
        </is>
      </c>
      <c r="M161" t="inlineStr">
        <is>
          <t>Bangunan Sipil Jembatan, Jalan Layang, Fly Over, dan Underpass, Konstruksi Gedung Perbelanjaan</t>
        </is>
      </c>
      <c r="N161" t="inlineStr">
        <is>
          <t>B</t>
        </is>
      </c>
      <c r="O161" t="inlineStr">
        <is>
          <t>20230517, 20230609</t>
        </is>
      </c>
      <c r="P161" t="inlineStr">
        <is>
          <t>Jawa Timur</t>
        </is>
      </c>
      <c r="Q161" s="3">
        <f>HYPERLINK("https://wa.me/62315673911?text=*[PERINGATAN DARURAT SBU MEDIA CIPTA PERKASA]*%0A%0AYth. Pimpinan MEDIA CIPTA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2">
      <c r="A162" t="inlineStr">
        <is>
          <t>MEGA ALFAIZ</t>
        </is>
      </c>
      <c r="B162" t="inlineStr">
        <is>
          <t>Kota Banda Aceh</t>
        </is>
      </c>
      <c r="C162" t="inlineStr">
        <is>
          <t>08126907228</t>
        </is>
      </c>
      <c r="D162" t="inlineStr">
        <is>
          <t>cv.megaalfaiz@gmail.com</t>
        </is>
      </c>
      <c r="E162" t="inlineStr">
        <is>
          <t>https://lpjk.pu.go.id/search-badan-usaha-detail/eDRNeEZvWWN0bTNicC9URUpKdStyUT09</t>
        </is>
      </c>
      <c r="F162" t="n">
        <v>1</v>
      </c>
      <c r="G162" t="inlineStr">
        <is>
          <t>BG005</t>
        </is>
      </c>
      <c r="H162" t="inlineStr">
        <is>
          <t>13 Maret 2013</t>
        </is>
      </c>
      <c r="I162" s="2" t="n">
        <v>46194</v>
      </c>
      <c r="J162" t="inlineStr">
        <is>
          <t>Disetujui</t>
        </is>
      </c>
      <c r="K162" t="n">
        <v>30</v>
      </c>
      <c r="L162" t="inlineStr">
        <is>
          <t>21 Juni 2026</t>
        </is>
      </c>
      <c r="M162" t="inlineStr">
        <is>
          <t>Konstruksi Gedung Kesehatan</t>
        </is>
      </c>
      <c r="N162" t="inlineStr">
        <is>
          <t>K</t>
        </is>
      </c>
      <c r="O162" t="inlineStr">
        <is>
          <t>20230621</t>
        </is>
      </c>
      <c r="P162" t="inlineStr">
        <is>
          <t>Aceh</t>
        </is>
      </c>
      <c r="Q162" s="3">
        <f>HYPERLINK("https://wa.me/628126907228?text=*[PERINGATAN DARURAT SBU MEGA ALFAIZ]*%0A%0AYth. Pimpinan MEGA ALFAIZ,%0AMasa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3">
      <c r="A163" t="inlineStr">
        <is>
          <t>MEGA BUANA MANDIRI</t>
        </is>
      </c>
      <c r="B163" t="inlineStr">
        <is>
          <t>Kab. Morowali</t>
        </is>
      </c>
      <c r="C163" t="inlineStr">
        <is>
          <t>085343849494</t>
        </is>
      </c>
      <c r="D163" t="inlineStr">
        <is>
          <t>cv.megabuanamandiri2021@gmail.com</t>
        </is>
      </c>
      <c r="E163" t="inlineStr">
        <is>
          <t>https://lpjk.pu.go.id/search-badan-usaha-detail/dTFMbzgzVFUvSEFtdXphTE9qYmR0Zz09</t>
        </is>
      </c>
      <c r="F163" t="n">
        <v>1</v>
      </c>
      <c r="G163" t="inlineStr">
        <is>
          <t>BG009</t>
        </is>
      </c>
      <c r="H163" t="inlineStr">
        <is>
          <t>22 Maret 2011</t>
        </is>
      </c>
      <c r="I163" s="2" t="n">
        <v>46194</v>
      </c>
      <c r="J163" t="inlineStr">
        <is>
          <t>Disetujui</t>
        </is>
      </c>
      <c r="K163" t="n">
        <v>30</v>
      </c>
      <c r="L163" t="inlineStr">
        <is>
          <t>21 Juni 2026</t>
        </is>
      </c>
      <c r="M163" t="inlineStr">
        <is>
          <t>Konstruksi Gedung Lainnya</t>
        </is>
      </c>
      <c r="N163" t="inlineStr">
        <is>
          <t>K</t>
        </is>
      </c>
      <c r="O163" t="inlineStr">
        <is>
          <t>20230621</t>
        </is>
      </c>
      <c r="P163" t="inlineStr">
        <is>
          <t>Sulawesi Tengah</t>
        </is>
      </c>
      <c r="Q163" s="3">
        <f>HYPERLINK("https://wa.me/6285343849494?text=*[PERINGATAN DARURAT SBU MEGA BUANA MANDIRI]*%0A%0AYth. Pimpinan MEGA BUANA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4">
      <c r="A164" t="inlineStr">
        <is>
          <t>MEGA CAHAYA BAROKAH</t>
        </is>
      </c>
      <c r="B164" t="inlineStr">
        <is>
          <t>Kab. Subang</t>
        </is>
      </c>
      <c r="C164" t="inlineStr">
        <is>
          <t>087824398940</t>
        </is>
      </c>
      <c r="D164" t="inlineStr">
        <is>
          <t>megacahayabarokah@gmail.com</t>
        </is>
      </c>
      <c r="E164" t="inlineStr">
        <is>
          <t>https://lpjk.pu.go.id/search-badan-usaha-detail/VTNndEt3bEd1OTcvbUR1UXJTUTF2dz09</t>
        </is>
      </c>
      <c r="F164" t="n">
        <v>1</v>
      </c>
      <c r="G164" t="inlineStr">
        <is>
          <t>BG009</t>
        </is>
      </c>
      <c r="H164" t="inlineStr">
        <is>
          <t>16 Maret 2023</t>
        </is>
      </c>
      <c r="I164" s="2" t="n">
        <v>46194</v>
      </c>
      <c r="J164" t="inlineStr">
        <is>
          <t>Disetujui</t>
        </is>
      </c>
      <c r="K164" t="n">
        <v>30</v>
      </c>
      <c r="L164" t="inlineStr">
        <is>
          <t>21 Juni 2026</t>
        </is>
      </c>
      <c r="M164" t="inlineStr">
        <is>
          <t>Konstruksi Gedung Lainnya</t>
        </is>
      </c>
      <c r="N164" t="inlineStr">
        <is>
          <t>K</t>
        </is>
      </c>
      <c r="O164" t="inlineStr">
        <is>
          <t>20230612</t>
        </is>
      </c>
      <c r="P164" t="inlineStr">
        <is>
          <t>Jawa Barat</t>
        </is>
      </c>
      <c r="Q164" s="3">
        <f>HYPERLINK("https://wa.me/6287824398940?text=*[PERINGATAN DARURAT SBU MEGA CAHAYA BAROKAH]*%0A%0AYth. Pimpinan MEGA CAHAYA BAROKAH,%0AMasa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5">
      <c r="A165" t="inlineStr">
        <is>
          <t>MEKAR GEMILANG SEMESTA</t>
        </is>
      </c>
      <c r="B165" t="inlineStr">
        <is>
          <t>Kab. Banyumas</t>
        </is>
      </c>
      <c r="C165" t="inlineStr">
        <is>
          <t>02817776643</t>
        </is>
      </c>
      <c r="D165" t="inlineStr">
        <is>
          <t>ptmgs07@gmail.com</t>
        </is>
      </c>
      <c r="E165" t="inlineStr">
        <is>
          <t>https://lpjk.pu.go.id/search-badan-usaha-detail/bWlqbzJLSHM4b09jRXBLTGorUnRPZz09</t>
        </is>
      </c>
      <c r="F165" t="n">
        <v>2</v>
      </c>
      <c r="G165" t="inlineStr">
        <is>
          <t>BS001</t>
        </is>
      </c>
      <c r="H165" t="inlineStr">
        <is>
          <t>5 Februari 2016</t>
        </is>
      </c>
      <c r="I165" s="2" t="n">
        <v>46194</v>
      </c>
      <c r="J165" t="inlineStr">
        <is>
          <t>Disetujui</t>
        </is>
      </c>
      <c r="K165" t="n">
        <v>30</v>
      </c>
      <c r="L165" t="inlineStr">
        <is>
          <t>21 Juni 2026</t>
        </is>
      </c>
      <c r="M165" t="inlineStr">
        <is>
          <t>Konstruksi Bangunan Sipil Jalan</t>
        </is>
      </c>
      <c r="N165" t="inlineStr">
        <is>
          <t>K</t>
        </is>
      </c>
      <c r="O165" t="inlineStr">
        <is>
          <t>20230620</t>
        </is>
      </c>
      <c r="P165" t="inlineStr">
        <is>
          <t>Jawa Tengah</t>
        </is>
      </c>
      <c r="Q165" s="3">
        <f>HYPERLINK("https://wa.me/622817776643?text=*[PERINGATAN DARURAT SBU MEKAR GEMILANG SEMESTA]*%0A%0AYth. Pimpinan MEKAR GEMILANG SEMESTA,%0AMasa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6">
      <c r="A166" t="inlineStr">
        <is>
          <t>MITRA FOTOMO</t>
        </is>
      </c>
      <c r="B166" t="inlineStr">
        <is>
          <t>Kota Batam</t>
        </is>
      </c>
      <c r="C166" t="inlineStr">
        <is>
          <t>0811696375</t>
        </is>
      </c>
      <c r="D166" t="inlineStr">
        <is>
          <t>mitra4tomo@gmail.com</t>
        </is>
      </c>
      <c r="E166" t="inlineStr">
        <is>
          <t>https://lpjk.pu.go.id/search-badan-usaha-detail/YVF5Y1Z6V3JIRWpwU29zUExsVFNwUT09</t>
        </is>
      </c>
      <c r="F166" t="n">
        <v>2</v>
      </c>
      <c r="G166" t="inlineStr">
        <is>
          <t>BG001, BG003</t>
        </is>
      </c>
      <c r="H166" t="inlineStr">
        <is>
          <t>31 Desember 2010</t>
        </is>
      </c>
      <c r="I166" s="2" t="n">
        <v>46194</v>
      </c>
      <c r="J166" t="inlineStr">
        <is>
          <t>Disetujui</t>
        </is>
      </c>
      <c r="K166" t="n">
        <v>30</v>
      </c>
      <c r="L166" t="inlineStr">
        <is>
          <t>21 Juni 2026</t>
        </is>
      </c>
      <c r="M166" t="inlineStr">
        <is>
          <t>Konstruksi Gedung Hunian, Konstruksi Gedung Industri</t>
        </is>
      </c>
      <c r="N166" t="inlineStr">
        <is>
          <t>K</t>
        </is>
      </c>
      <c r="O166" t="inlineStr">
        <is>
          <t>20230621</t>
        </is>
      </c>
      <c r="P166" t="inlineStr">
        <is>
          <t>Kepulauan Riau</t>
        </is>
      </c>
      <c r="Q166" s="3">
        <f>HYPERLINK("https://wa.me/62811696375?text=*[PERINGATAN DARURAT SBU MITRA FOTOMO]*%0A%0AYth. Pimpinan MITRA FOTOMO,%0AMasa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7">
      <c r="A167" t="inlineStr">
        <is>
          <t>MITRA KEJORA PERKASA</t>
        </is>
      </c>
      <c r="B167" t="inlineStr">
        <is>
          <t>Kota Batam</t>
        </is>
      </c>
      <c r="C167" t="inlineStr">
        <is>
          <t>081261342400</t>
        </is>
      </c>
      <c r="D167" t="inlineStr">
        <is>
          <t>mitrakejoraperkasa@gmail.com</t>
        </is>
      </c>
      <c r="E167" t="inlineStr">
        <is>
          <t>https://lpjk.pu.go.id/search-badan-usaha-detail/YkZNdkFSWGt0d3A2L1U2K3A5Q21LZz09</t>
        </is>
      </c>
      <c r="F167" t="n">
        <v>1</v>
      </c>
      <c r="G167" t="inlineStr">
        <is>
          <t>BG001</t>
        </is>
      </c>
      <c r="H167" t="inlineStr">
        <is>
          <t>4 November 2022</t>
        </is>
      </c>
      <c r="I167" s="2" t="n">
        <v>46194</v>
      </c>
      <c r="J167" t="inlineStr">
        <is>
          <t>Disetujui</t>
        </is>
      </c>
      <c r="K167" t="n">
        <v>30</v>
      </c>
      <c r="L167" t="inlineStr">
        <is>
          <t>21 Juni 2026</t>
        </is>
      </c>
      <c r="M167" t="inlineStr">
        <is>
          <t>Konstruksi Gedung Hunian</t>
        </is>
      </c>
      <c r="N167" t="inlineStr">
        <is>
          <t>K</t>
        </is>
      </c>
      <c r="O167" t="inlineStr">
        <is>
          <t>20230428</t>
        </is>
      </c>
      <c r="P167" t="inlineStr">
        <is>
          <t>Kepulauan Riau</t>
        </is>
      </c>
      <c r="Q167" s="3">
        <f>HYPERLINK("https://wa.me/6281261342400?text=*[PERINGATAN DARURAT SBU MITRA KEJORA PERKASA]*%0A%0AYth. Pimpinan MITRA KEJORA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8">
      <c r="A168" t="inlineStr">
        <is>
          <t>MUARA JAYA CIPTATAMA</t>
        </is>
      </c>
      <c r="B168" t="inlineStr">
        <is>
          <t>Kab. Lampung Utara</t>
        </is>
      </c>
      <c r="C168" t="inlineStr">
        <is>
          <t>085217755148</t>
        </is>
      </c>
      <c r="D168" t="inlineStr">
        <is>
          <t>muarajayaciptatama@yahoo.com</t>
        </is>
      </c>
      <c r="E168" t="inlineStr">
        <is>
          <t>https://lpjk.pu.go.id/search-badan-usaha-detail/RTQyOGE0bmszY0tRZ1NVeENpenZpQT09</t>
        </is>
      </c>
      <c r="F168" t="n">
        <v>1</v>
      </c>
      <c r="G168" t="inlineStr">
        <is>
          <t>BS001</t>
        </is>
      </c>
      <c r="H168" t="inlineStr">
        <is>
          <t>21 Desember 2016</t>
        </is>
      </c>
      <c r="I168" s="2" t="n">
        <v>46194</v>
      </c>
      <c r="J168" t="inlineStr">
        <is>
          <t>Disetujui</t>
        </is>
      </c>
      <c r="K168" t="n">
        <v>30</v>
      </c>
      <c r="L168" t="inlineStr">
        <is>
          <t>21 Juni 2026</t>
        </is>
      </c>
      <c r="M168" t="inlineStr">
        <is>
          <t>Konstruksi Bangunan Sipil Jalan</t>
        </is>
      </c>
      <c r="N168" t="inlineStr">
        <is>
          <t>M</t>
        </is>
      </c>
      <c r="O168" t="inlineStr">
        <is>
          <t>20230530</t>
        </is>
      </c>
      <c r="P168" t="inlineStr">
        <is>
          <t>Lampung</t>
        </is>
      </c>
      <c r="Q168" s="3">
        <f>HYPERLINK("https://wa.me/6285217755148?text=*[PERINGATAN DARURAT SBU MUARA JAYA CIPTATAMA]*%0A%0AYth. Pimpinan MUARA JAYA CIPTATAMA,%0AMasa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69">
      <c r="A169" t="inlineStr">
        <is>
          <t>MUKTI KENCANA</t>
        </is>
      </c>
      <c r="B169" t="inlineStr">
        <is>
          <t>Kab. Majalengka</t>
        </is>
      </c>
      <c r="C169" t="inlineStr">
        <is>
          <t>085294242222</t>
        </is>
      </c>
      <c r="D169" t="inlineStr">
        <is>
          <t>cvmuktikencana@gmail.com</t>
        </is>
      </c>
      <c r="E169" t="inlineStr">
        <is>
          <t>https://lpjk.pu.go.id/search-badan-usaha-detail/b1hCT0NGZjdNNXJXcS9lY0pFQ2R6Zz09</t>
        </is>
      </c>
      <c r="F169" t="n">
        <v>1</v>
      </c>
      <c r="G169" t="inlineStr">
        <is>
          <t>BS001</t>
        </is>
      </c>
      <c r="H169" t="inlineStr">
        <is>
          <t>20 Februari 2020</t>
        </is>
      </c>
      <c r="I169" s="2" t="n">
        <v>46194</v>
      </c>
      <c r="J169" t="inlineStr">
        <is>
          <t>Pencabutan</t>
        </is>
      </c>
      <c r="K169" t="n">
        <v>30</v>
      </c>
      <c r="L169" t="inlineStr">
        <is>
          <t>21 Juni 2026</t>
        </is>
      </c>
      <c r="M169" t="inlineStr">
        <is>
          <t>Konstruksi Bangunan Sipil Jalan</t>
        </is>
      </c>
      <c r="N169" t="inlineStr">
        <is>
          <t>K</t>
        </is>
      </c>
      <c r="O169" t="inlineStr">
        <is>
          <t>20230621</t>
        </is>
      </c>
      <c r="P169" t="inlineStr">
        <is>
          <t>Jawa Barat</t>
        </is>
      </c>
      <c r="Q169" s="3">
        <f>HYPERLINK("https://wa.me/6285294242222?text=*[PERINGATAN DARURAT SBU MUKTI KENCANA]*%0A%0AYth. Pimpinan MUKTI KENCANA,%0AMasa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0">
      <c r="A170" t="inlineStr">
        <is>
          <t>MULTI KARYA INTERINDO</t>
        </is>
      </c>
      <c r="B170" t="inlineStr">
        <is>
          <t>Kota Adm. Jakarta Selatan</t>
        </is>
      </c>
      <c r="C170" t="inlineStr">
        <is>
          <t>02146830774</t>
        </is>
      </c>
      <c r="D170" t="inlineStr">
        <is>
          <t>info@multikaryainterindo.com</t>
        </is>
      </c>
      <c r="E170" t="inlineStr">
        <is>
          <t>https://lpjk.pu.go.id/search-badan-usaha-detail/eTlYTldNNkFoZmpyN1B4ZXovMXpDUT09</t>
        </is>
      </c>
      <c r="F170" t="n">
        <v>1</v>
      </c>
      <c r="G170" t="inlineStr">
        <is>
          <t>IN006</t>
        </is>
      </c>
      <c r="H170" t="inlineStr">
        <is>
          <t>25 April 2013</t>
        </is>
      </c>
      <c r="I170" s="2" t="n">
        <v>46194</v>
      </c>
      <c r="J170" t="inlineStr">
        <is>
          <t>Disetujui</t>
        </is>
      </c>
      <c r="K170" t="n">
        <v>30</v>
      </c>
      <c r="L170" t="inlineStr">
        <is>
          <t>21 Juni 2026</t>
        </is>
      </c>
      <c r="M170" t="inlineStr">
        <is>
          <t>Instalasi Elektronika</t>
        </is>
      </c>
      <c r="N170" t="inlineStr">
        <is>
          <t>Spesialis</t>
        </is>
      </c>
      <c r="O170" t="inlineStr">
        <is>
          <t>20230608</t>
        </is>
      </c>
      <c r="P170" t="inlineStr">
        <is>
          <t>DKI Jakarta</t>
        </is>
      </c>
      <c r="Q170" s="3">
        <f>HYPERLINK("https://wa.me/622146830774?text=*[PERINGATAN DARURAT SBU MULTI KARYA INTERINDO]*%0A%0AYth. Pimpinan MULTI KARYA INTERINDO,%0AMasa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1">
      <c r="A171" t="inlineStr">
        <is>
          <t>MULTI MANDIRITAMA</t>
        </is>
      </c>
      <c r="B171" t="inlineStr">
        <is>
          <t>Kota Medan</t>
        </is>
      </c>
      <c r="C171" t="inlineStr">
        <is>
          <t>0614151093</t>
        </is>
      </c>
      <c r="D171" t="inlineStr">
        <is>
          <t>multimandiritama2018@yahoo.com</t>
        </is>
      </c>
      <c r="E171" t="inlineStr">
        <is>
          <t>https://lpjk.pu.go.id/search-badan-usaha-detail/ZGYzMXZ3QmM1d1ByMWVaam1pSk9tUT09</t>
        </is>
      </c>
      <c r="F171" t="n">
        <v>1</v>
      </c>
      <c r="G171" t="inlineStr">
        <is>
          <t>BG001</t>
        </is>
      </c>
      <c r="H171" t="inlineStr">
        <is>
          <t>28 April 2010</t>
        </is>
      </c>
      <c r="I171" s="2" t="n">
        <v>46194</v>
      </c>
      <c r="J171" t="inlineStr">
        <is>
          <t>Pencabutan</t>
        </is>
      </c>
      <c r="K171" t="n">
        <v>30</v>
      </c>
      <c r="L171" t="inlineStr">
        <is>
          <t>21 Juni 2026</t>
        </is>
      </c>
      <c r="M171" t="inlineStr">
        <is>
          <t>Konstruksi Gedung Hunian</t>
        </is>
      </c>
      <c r="N171" t="inlineStr">
        <is>
          <t>K</t>
        </is>
      </c>
      <c r="O171" t="inlineStr">
        <is>
          <t>20230612</t>
        </is>
      </c>
      <c r="P171" t="inlineStr">
        <is>
          <t>Sumatera Utara</t>
        </is>
      </c>
      <c r="Q171" s="3">
        <f>HYPERLINK("https://wa.me/62614151093?text=*[PERINGATAN DARURAT SBU MULTI MANDIRITAMA]*%0A%0AYth. Pimpinan MULTI MANDIRITAMA,%0AMasa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2">
      <c r="A172" t="inlineStr">
        <is>
          <t>MULTI TEKNIK</t>
        </is>
      </c>
      <c r="B172" t="inlineStr">
        <is>
          <t>Kab. Lombok Tengah</t>
        </is>
      </c>
      <c r="C172" t="inlineStr">
        <is>
          <t>087862842204</t>
        </is>
      </c>
      <c r="D172" t="inlineStr">
        <is>
          <t>cvmultiteknik2023@gmail.com</t>
        </is>
      </c>
      <c r="E172" t="inlineStr">
        <is>
          <t>https://lpjk.pu.go.id/search-badan-usaha-detail/ZzhWcmRuYTA1UlZlVDYrcjk3ZmtKdz09</t>
        </is>
      </c>
      <c r="F172" t="n">
        <v>1</v>
      </c>
      <c r="G172" t="inlineStr">
        <is>
          <t>BS004</t>
        </is>
      </c>
      <c r="H172" t="inlineStr">
        <is>
          <t>11 Februari 2016</t>
        </is>
      </c>
      <c r="I172" s="2" t="n">
        <v>46194</v>
      </c>
      <c r="J172" t="inlineStr">
        <is>
          <t>Pencabutan</t>
        </is>
      </c>
      <c r="K172" t="n">
        <v>30</v>
      </c>
      <c r="L172" t="inlineStr">
        <is>
          <t>21 Juni 2026</t>
        </is>
      </c>
      <c r="M172" t="inlineStr">
        <is>
          <t>Konstruksi Jaringan Irigasi dan Drainase</t>
        </is>
      </c>
      <c r="N172" t="inlineStr">
        <is>
          <t>K</t>
        </is>
      </c>
      <c r="O172" t="inlineStr">
        <is>
          <t>20230616</t>
        </is>
      </c>
      <c r="P172" t="inlineStr">
        <is>
          <t>Nusa Tenggara Barat</t>
        </is>
      </c>
      <c r="Q172" s="3">
        <f>HYPERLINK("https://wa.me/6287862842204?text=*[PERINGATAN DARURAT SBU MULTI TEKNIK]*%0A%0AYth. Pimpinan MULTI TEKNIK,%0AMasa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3">
      <c r="A173" t="inlineStr">
        <is>
          <t>MULYA JAYA</t>
        </is>
      </c>
      <c r="B173" t="inlineStr">
        <is>
          <t>Kab. Ciamis</t>
        </is>
      </c>
      <c r="C173" t="inlineStr">
        <is>
          <t>08121486824</t>
        </is>
      </c>
      <c r="D173" t="inlineStr">
        <is>
          <t>jayamulya661@gmail.com</t>
        </is>
      </c>
      <c r="E173" t="inlineStr">
        <is>
          <t>https://lpjk.pu.go.id/search-badan-usaha-detail/TlZXd3YxUFlOcmNqVXVwaWpJQ1dVUT09</t>
        </is>
      </c>
      <c r="F173" t="n">
        <v>1</v>
      </c>
      <c r="G173" t="inlineStr">
        <is>
          <t>BG006</t>
        </is>
      </c>
      <c r="H173" t="inlineStr">
        <is>
          <t>22 Januari 2014</t>
        </is>
      </c>
      <c r="I173" s="2" t="n">
        <v>46194</v>
      </c>
      <c r="J173" t="inlineStr">
        <is>
          <t>Disetujui</t>
        </is>
      </c>
      <c r="K173" t="n">
        <v>30</v>
      </c>
      <c r="L173" t="inlineStr">
        <is>
          <t>21 Juni 2026</t>
        </is>
      </c>
      <c r="M173" t="inlineStr">
        <is>
          <t>Konstruksi Gedung Pendidikan</t>
        </is>
      </c>
      <c r="N173" t="inlineStr">
        <is>
          <t>K</t>
        </is>
      </c>
      <c r="O173" t="inlineStr">
        <is>
          <t>20230615</t>
        </is>
      </c>
      <c r="P173" t="inlineStr">
        <is>
          <t>Jawa Barat</t>
        </is>
      </c>
      <c r="Q173" s="3">
        <f>HYPERLINK("https://wa.me/628121486824?text=*[PERINGATAN DARURAT SBU MULYA JAYA]*%0A%0AYth. Pimpinan MULYA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4">
      <c r="A174" t="inlineStr">
        <is>
          <t>MUSTIKA AHMAD</t>
        </is>
      </c>
      <c r="B174" t="inlineStr">
        <is>
          <t>Kab. Demak</t>
        </is>
      </c>
      <c r="C174" t="inlineStr">
        <is>
          <t>08156653257</t>
        </is>
      </c>
      <c r="D174" t="inlineStr">
        <is>
          <t>Junnademak@Gmail.Com</t>
        </is>
      </c>
      <c r="E174" t="inlineStr">
        <is>
          <t>https://lpjk.pu.go.id/search-badan-usaha-detail/NkZsTXR0aEVSak9wbENNVFRmeTBkZz09</t>
        </is>
      </c>
      <c r="F174" t="n">
        <v>1</v>
      </c>
      <c r="G174" t="inlineStr">
        <is>
          <t>BS001</t>
        </is>
      </c>
      <c r="H174" t="inlineStr">
        <is>
          <t>18 November 2016</t>
        </is>
      </c>
      <c r="I174" s="2" t="n">
        <v>46194</v>
      </c>
      <c r="J174" t="inlineStr">
        <is>
          <t>Disetujui</t>
        </is>
      </c>
      <c r="K174" t="n">
        <v>30</v>
      </c>
      <c r="L174" t="inlineStr">
        <is>
          <t>21 Juni 2026</t>
        </is>
      </c>
      <c r="M174" t="inlineStr">
        <is>
          <t>Konstruksi Bangunan Sipil Jalan</t>
        </is>
      </c>
      <c r="N174" t="inlineStr">
        <is>
          <t>K</t>
        </is>
      </c>
      <c r="O174" t="inlineStr">
        <is>
          <t>20230617</t>
        </is>
      </c>
      <c r="P174" t="inlineStr">
        <is>
          <t>Jawa Tengah</t>
        </is>
      </c>
      <c r="Q174" s="3">
        <f>HYPERLINK("https://wa.me/628156653257?text=*[PERINGATAN DARURAT SBU MUSTIKA AHMAD]*%0A%0AYth. Pimpinan MUSTIKA AHMAD,%0AMasa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5">
      <c r="A175" t="inlineStr">
        <is>
          <t>MUSTIKA EMPAT LIMA</t>
        </is>
      </c>
      <c r="B175" t="inlineStr">
        <is>
          <t>Kab. Lombok Barat</t>
        </is>
      </c>
      <c r="C175" t="inlineStr">
        <is>
          <t>082147222682</t>
        </is>
      </c>
      <c r="D175" t="inlineStr">
        <is>
          <t>mustikaempatlima@gmail.com</t>
        </is>
      </c>
      <c r="E175" t="inlineStr">
        <is>
          <t>https://lpjk.pu.go.id/search-badan-usaha-detail/b2hibDlPWW82NVVxR3dseEtqK3lHZz09</t>
        </is>
      </c>
      <c r="F175" t="n">
        <v>1</v>
      </c>
      <c r="G175" t="inlineStr">
        <is>
          <t>BG009</t>
        </is>
      </c>
      <c r="H175" t="inlineStr">
        <is>
          <t>23 Mei 2016</t>
        </is>
      </c>
      <c r="I175" s="2" t="n">
        <v>46194</v>
      </c>
      <c r="J175" t="inlineStr">
        <is>
          <t>Disetujui</t>
        </is>
      </c>
      <c r="K175" t="n">
        <v>30</v>
      </c>
      <c r="L175" t="inlineStr">
        <is>
          <t>21 Juni 2026</t>
        </is>
      </c>
      <c r="M175" t="inlineStr">
        <is>
          <t>Konstruksi Gedung Lainnya</t>
        </is>
      </c>
      <c r="N175" t="inlineStr">
        <is>
          <t>K</t>
        </is>
      </c>
      <c r="O175" t="inlineStr">
        <is>
          <t>20230621</t>
        </is>
      </c>
      <c r="P175" t="inlineStr">
        <is>
          <t>Nusa Tenggara Barat</t>
        </is>
      </c>
      <c r="Q175" s="3">
        <f>HYPERLINK("https://wa.me/6282147222682?text=*[PERINGATAN DARURAT SBU MUSTIKA EMPAT LIMA]*%0A%0AYth. Pimpinan MUSTIKA EMPAT LIMA,%0AMasa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6">
      <c r="A176" t="inlineStr">
        <is>
          <t>MUSTIKA ENGINEERING</t>
        </is>
      </c>
      <c r="B176" t="inlineStr">
        <is>
          <t>Kota Malang</t>
        </is>
      </c>
      <c r="C176" t="inlineStr">
        <is>
          <t>081333966994</t>
        </is>
      </c>
      <c r="D176" t="inlineStr">
        <is>
          <t>umaharta@gmail.com</t>
        </is>
      </c>
      <c r="E176" t="inlineStr">
        <is>
          <t>https://lpjk.pu.go.id/search-badan-usaha-detail/RzYvQWpteFFTc0dwVmZ0ZGRtTzZUUT09</t>
        </is>
      </c>
      <c r="F176" t="n">
        <v>1</v>
      </c>
      <c r="G176" t="inlineStr">
        <is>
          <t>RK003</t>
        </is>
      </c>
      <c r="H176" t="inlineStr">
        <is>
          <t>22 Juni 2012</t>
        </is>
      </c>
      <c r="I176" s="2" t="n">
        <v>46194</v>
      </c>
      <c r="J176" t="inlineStr">
        <is>
          <t>Validasi</t>
        </is>
      </c>
      <c r="K176" t="n">
        <v>30</v>
      </c>
      <c r="L176" t="inlineStr">
        <is>
          <t>21 Juni 2026</t>
        </is>
      </c>
      <c r="M176" t="inlineStr">
        <is>
          <t>Jasa Rekayasa Pekerjaan Teknik Sipil Transportasi</t>
        </is>
      </c>
      <c r="N176" t="inlineStr">
        <is>
          <t>K</t>
        </is>
      </c>
      <c r="O176" t="inlineStr">
        <is>
          <t>20230616</t>
        </is>
      </c>
      <c r="P176" t="inlineStr">
        <is>
          <t>Jawa Timur</t>
        </is>
      </c>
      <c r="Q176" s="3">
        <f>HYPERLINK("https://wa.me/6281333966994?text=*[PERINGATAN DARURAT SBU MUSTIKA ENGINEERING]*%0A%0AYth. Pimpinan MUSTIKA ENGINEERING,%0AMasa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7">
      <c r="A177" t="inlineStr">
        <is>
          <t>MUTIARA CISADANE</t>
        </is>
      </c>
      <c r="B177" t="inlineStr">
        <is>
          <t>Kab. Tangerang</t>
        </is>
      </c>
      <c r="C177" t="inlineStr">
        <is>
          <t>02159370924</t>
        </is>
      </c>
      <c r="D177" t="inlineStr">
        <is>
          <t>mutiaracisadane.office@gmail.com</t>
        </is>
      </c>
      <c r="E177" t="inlineStr">
        <is>
          <t>https://lpjk.pu.go.id/search-badan-usaha-detail/cVc1VVY4d0hvdWpWQ3VEclk3UnlYUT09</t>
        </is>
      </c>
      <c r="F177" t="n">
        <v>4</v>
      </c>
      <c r="G177" t="inlineStr">
        <is>
          <t>BG006, BG009</t>
        </is>
      </c>
      <c r="H177" t="inlineStr">
        <is>
          <t>20 Desember 2004</t>
        </is>
      </c>
      <c r="I177" s="2" t="n">
        <v>46194</v>
      </c>
      <c r="J177" t="inlineStr">
        <is>
          <t>Disetujui</t>
        </is>
      </c>
      <c r="K177" t="n">
        <v>30</v>
      </c>
      <c r="L177" t="inlineStr">
        <is>
          <t>21 Juni 2026</t>
        </is>
      </c>
      <c r="M177" t="inlineStr">
        <is>
          <t>Konstruksi Gedung Lainnya, Konstruksi Gedung Pendidikan</t>
        </is>
      </c>
      <c r="N177" t="inlineStr">
        <is>
          <t>K</t>
        </is>
      </c>
      <c r="O177" t="inlineStr">
        <is>
          <t>20230615, 20230616</t>
        </is>
      </c>
      <c r="P177" t="inlineStr">
        <is>
          <t>Banten</t>
        </is>
      </c>
      <c r="Q177" s="3">
        <f>HYPERLINK("https://wa.me/622159370924?text=*[PERINGATAN DARURAT SBU MUTIARA CISADANE]*%0A%0AYth. Pimpinan MUTIARA CISADANE,%0AMasa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8">
      <c r="A178" t="inlineStr">
        <is>
          <t>MUTIARA RAFEYFA</t>
        </is>
      </c>
      <c r="B178" t="inlineStr">
        <is>
          <t>Kota Manado</t>
        </is>
      </c>
      <c r="C178" t="inlineStr">
        <is>
          <t>081356180526</t>
        </is>
      </c>
      <c r="D178" t="inlineStr">
        <is>
          <t>mutiara.rafeyfa@gmail.com</t>
        </is>
      </c>
      <c r="E178" t="inlineStr">
        <is>
          <t>https://lpjk.pu.go.id/search-badan-usaha-detail/NXZZL2xPc0ZFNjhBQnAzOG4rSS9tQT09</t>
        </is>
      </c>
      <c r="F178" t="n">
        <v>4</v>
      </c>
      <c r="G178" t="inlineStr">
        <is>
          <t>BG006, BG009</t>
        </is>
      </c>
      <c r="H178" t="inlineStr">
        <is>
          <t>4 Juli 2022</t>
        </is>
      </c>
      <c r="I178" s="2" t="n">
        <v>46194</v>
      </c>
      <c r="J178" t="inlineStr">
        <is>
          <t>Disetujui</t>
        </is>
      </c>
      <c r="K178" t="n">
        <v>30</v>
      </c>
      <c r="L178" t="inlineStr">
        <is>
          <t>21 Juni 2026</t>
        </is>
      </c>
      <c r="M178" t="inlineStr">
        <is>
          <t>Konstruksi Gedung Lainnya, Konstruksi Gedung Pendidikan</t>
        </is>
      </c>
      <c r="N178" t="inlineStr">
        <is>
          <t>K</t>
        </is>
      </c>
      <c r="O178" t="inlineStr">
        <is>
          <t>20230621</t>
        </is>
      </c>
      <c r="P178" t="inlineStr">
        <is>
          <t>Sulawesi Utara</t>
        </is>
      </c>
      <c r="Q178" s="3">
        <f>HYPERLINK("https://wa.me/6281356180526?text=*[PERINGATAN DARURAT SBU MUTIARA RAFEYFA]*%0A%0AYth. Pimpinan MUTIARA RAFEYFA,%0AMasa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79">
      <c r="A179" t="inlineStr">
        <is>
          <t>NANDA PRATAMA KARYA</t>
        </is>
      </c>
      <c r="B179" t="inlineStr">
        <is>
          <t>Kota Tangerang Selatan</t>
        </is>
      </c>
      <c r="C179" t="inlineStr">
        <is>
          <t>085695241231</t>
        </is>
      </c>
      <c r="D179" t="inlineStr">
        <is>
          <t>cv.nandapratamakarya@gmail.com</t>
        </is>
      </c>
      <c r="E179" t="inlineStr">
        <is>
          <t>https://lpjk.pu.go.id/search-badan-usaha-detail/QnFSSjAwMjJtSnphQXVFOG51M2V6Zz09</t>
        </is>
      </c>
      <c r="F179" t="n">
        <v>1</v>
      </c>
      <c r="G179" t="inlineStr">
        <is>
          <t>BG005</t>
        </is>
      </c>
      <c r="H179" t="inlineStr">
        <is>
          <t>23 Agustus 2017</t>
        </is>
      </c>
      <c r="I179" s="2" t="n">
        <v>46194</v>
      </c>
      <c r="J179" t="inlineStr">
        <is>
          <t>Pencabutan</t>
        </is>
      </c>
      <c r="K179" t="n">
        <v>30</v>
      </c>
      <c r="L179" t="inlineStr">
        <is>
          <t>21 Juni 2026</t>
        </is>
      </c>
      <c r="M179" t="inlineStr">
        <is>
          <t>Konstruksi Gedung Kesehatan</t>
        </is>
      </c>
      <c r="N179" t="inlineStr">
        <is>
          <t>K</t>
        </is>
      </c>
      <c r="O179" t="inlineStr">
        <is>
          <t>20230620</t>
        </is>
      </c>
      <c r="P179" t="inlineStr">
        <is>
          <t>Banten</t>
        </is>
      </c>
      <c r="Q179" s="3">
        <f>HYPERLINK("https://wa.me/6285695241231?text=*[PERINGATAN DARURAT SBU NANDA PRATAMA KARYA]*%0A%0AYth. Pimpinan NANDA PRATAMA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0">
      <c r="A180" t="inlineStr">
        <is>
          <t>NASIONAL PUTRA</t>
        </is>
      </c>
      <c r="B180" t="inlineStr">
        <is>
          <t>Kab. Merangin</t>
        </is>
      </c>
      <c r="C180" t="inlineStr">
        <is>
          <t>081381581971</t>
        </is>
      </c>
      <c r="D180" t="inlineStr">
        <is>
          <t>cv.nasionalputra@gmail.com</t>
        </is>
      </c>
      <c r="E180" t="inlineStr">
        <is>
          <t>https://lpjk.pu.go.id/search-badan-usaha-detail/dUM3TjREWm5WRnhwR3dkaUtzY2swdz09</t>
        </is>
      </c>
      <c r="F180" t="n">
        <v>1</v>
      </c>
      <c r="G180" t="inlineStr">
        <is>
          <t>BS005</t>
        </is>
      </c>
      <c r="H180" t="inlineStr">
        <is>
          <t>20 Juni 2000</t>
        </is>
      </c>
      <c r="I180" s="2" t="n">
        <v>46194</v>
      </c>
      <c r="J180" t="inlineStr">
        <is>
          <t>Pencabutan</t>
        </is>
      </c>
      <c r="K180" t="n">
        <v>30</v>
      </c>
      <c r="L180" t="inlineStr">
        <is>
          <t>21 Juni 2026</t>
        </is>
      </c>
      <c r="M180" t="inlineStr">
        <is>
          <t>Konstruksi Bangunan Sipil Pengolahan Air Bersih</t>
        </is>
      </c>
      <c r="N180" t="inlineStr">
        <is>
          <t>K</t>
        </is>
      </c>
      <c r="O180" t="inlineStr">
        <is>
          <t>20230617</t>
        </is>
      </c>
      <c r="P180" t="inlineStr">
        <is>
          <t>Jambi</t>
        </is>
      </c>
      <c r="Q180" s="3">
        <f>HYPERLINK("https://wa.me/6281381581971?text=*[PERINGATAN DARURAT SBU NASIONAL PUTRA]*%0A%0AYth. Pimpinan NASIONAL PUTRA,%0AMasa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1">
      <c r="A181" t="inlineStr">
        <is>
          <t>NOVAL PRATAMA</t>
        </is>
      </c>
      <c r="B181" t="inlineStr">
        <is>
          <t>Kab. Buton Selatan</t>
        </is>
      </c>
      <c r="C181" t="inlineStr">
        <is>
          <t>085299518353</t>
        </is>
      </c>
      <c r="D181" t="inlineStr">
        <is>
          <t>cv.novalprata@gmail.com</t>
        </is>
      </c>
      <c r="E181" t="inlineStr">
        <is>
          <t>https://lpjk.pu.go.id/search-badan-usaha-detail/QmFMeUJ6L3pWWlJQdGt5eHZZY08xZz09</t>
        </is>
      </c>
      <c r="F181" t="n">
        <v>2</v>
      </c>
      <c r="G181" t="inlineStr">
        <is>
          <t>BG008</t>
        </is>
      </c>
      <c r="H181" t="inlineStr">
        <is>
          <t>1 Desember 2015</t>
        </is>
      </c>
      <c r="I181" s="2" t="n">
        <v>46194</v>
      </c>
      <c r="J181" t="inlineStr">
        <is>
          <t>Disetujui</t>
        </is>
      </c>
      <c r="K181" t="n">
        <v>30</v>
      </c>
      <c r="L181" t="inlineStr">
        <is>
          <t>21 Juni 2026</t>
        </is>
      </c>
      <c r="M181" t="inlineStr">
        <is>
          <t>Konstruksi Gedung Tempat Hiburan dan Olahraga</t>
        </is>
      </c>
      <c r="N181" t="inlineStr">
        <is>
          <t>K</t>
        </is>
      </c>
      <c r="O181" t="inlineStr">
        <is>
          <t>20230619</t>
        </is>
      </c>
      <c r="P181" t="inlineStr">
        <is>
          <t>Sulawesi Tenggara</t>
        </is>
      </c>
      <c r="Q181" s="3">
        <f>HYPERLINK("https://wa.me/6285299518353?text=*[PERINGATAN DARURAT SBU NOVAL PRATAMA]*%0A%0AYth. Pimpinan NOVAL PRATAMA,%0AMasa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2">
      <c r="A182" t="inlineStr">
        <is>
          <t>NUANSA MEGAH PERKASA</t>
        </is>
      </c>
      <c r="B182" t="inlineStr">
        <is>
          <t>Kab. Karimun</t>
        </is>
      </c>
      <c r="C182" t="inlineStr">
        <is>
          <t>08127008563</t>
        </is>
      </c>
      <c r="D182" t="inlineStr">
        <is>
          <t>nuansamegahpks@gmail.com</t>
        </is>
      </c>
      <c r="E182" t="inlineStr">
        <is>
          <t>https://lpjk.pu.go.id/search-badan-usaha-detail/anI4c1Q0VFFPeXIwTS9PbkQ3bzE5Zz09</t>
        </is>
      </c>
      <c r="F182" t="n">
        <v>1</v>
      </c>
      <c r="G182" t="inlineStr">
        <is>
          <t>BS001</t>
        </is>
      </c>
      <c r="H182" t="inlineStr">
        <is>
          <t>3 Oktober 2003</t>
        </is>
      </c>
      <c r="I182" s="2" t="n">
        <v>46194</v>
      </c>
      <c r="J182" t="inlineStr">
        <is>
          <t>Pembekuan</t>
        </is>
      </c>
      <c r="K182" t="n">
        <v>30</v>
      </c>
      <c r="L182" t="inlineStr">
        <is>
          <t>21 Juni 2026</t>
        </is>
      </c>
      <c r="M182" t="inlineStr">
        <is>
          <t>Konstruksi Bangunan Sipil Jalan</t>
        </is>
      </c>
      <c r="N182" t="inlineStr">
        <is>
          <t>M</t>
        </is>
      </c>
      <c r="O182" t="inlineStr">
        <is>
          <t>20230621</t>
        </is>
      </c>
      <c r="P182" t="inlineStr">
        <is>
          <t>Kepulauan Riau</t>
        </is>
      </c>
      <c r="Q182" s="3">
        <f>HYPERLINK("https://wa.me/628127008563?text=*[PERINGATAN DARURAT SBU NUANSA MEGAH PERKASA]*%0A%0AYth. Pimpinan NUANSA MEGAH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3">
      <c r="A183" t="inlineStr">
        <is>
          <t>NUR REZEKI BAROKAH</t>
        </is>
      </c>
      <c r="B183" t="inlineStr">
        <is>
          <t>Kab. Bulukumba</t>
        </is>
      </c>
      <c r="C183" t="inlineStr">
        <is>
          <t>081242447494</t>
        </is>
      </c>
      <c r="D183" t="inlineStr">
        <is>
          <t>ptnurrezeki@gmail.com</t>
        </is>
      </c>
      <c r="E183" t="inlineStr">
        <is>
          <t>https://lpjk.pu.go.id/search-badan-usaha-detail/RFV1NGl1Zkd1Q1d5K000aHRhbDRGUT09</t>
        </is>
      </c>
      <c r="F183" t="n">
        <v>1</v>
      </c>
      <c r="G183" t="inlineStr">
        <is>
          <t>BS001</t>
        </is>
      </c>
      <c r="H183" t="inlineStr">
        <is>
          <t>13 September 2019</t>
        </is>
      </c>
      <c r="I183" s="2" t="n">
        <v>46194</v>
      </c>
      <c r="J183" t="inlineStr">
        <is>
          <t>Disetujui</t>
        </is>
      </c>
      <c r="K183" t="n">
        <v>30</v>
      </c>
      <c r="L183" t="inlineStr">
        <is>
          <t>21 Juni 2026</t>
        </is>
      </c>
      <c r="M183" t="inlineStr">
        <is>
          <t>Konstruksi Bangunan Sipil Jalan</t>
        </is>
      </c>
      <c r="N183" t="inlineStr">
        <is>
          <t>K</t>
        </is>
      </c>
      <c r="O183" t="inlineStr">
        <is>
          <t>20230618</t>
        </is>
      </c>
      <c r="P183" t="inlineStr">
        <is>
          <t>Sulawesi Selatan</t>
        </is>
      </c>
      <c r="Q183" s="3">
        <f>HYPERLINK("https://wa.me/6281242447494?text=*[PERINGATAN DARURAT SBU NUR REZEKI BAROKAH]*%0A%0AYth. Pimpinan NUR REZEKI BAROKAH,%0AMasa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4">
      <c r="A184" t="inlineStr">
        <is>
          <t>OMEGA</t>
        </is>
      </c>
      <c r="B184" t="inlineStr">
        <is>
          <t>Kab. Jayawijaya</t>
        </is>
      </c>
      <c r="C184" t="inlineStr">
        <is>
          <t>08124029977</t>
        </is>
      </c>
      <c r="D184" t="inlineStr">
        <is>
          <t>cv.omega85@gmail.com</t>
        </is>
      </c>
      <c r="E184" t="inlineStr">
        <is>
          <t>https://lpjk.pu.go.id/search-badan-usaha-detail/ZUM5a0lvd2YxbWd0ZFIxRzRFNHVUZz09</t>
        </is>
      </c>
      <c r="F184" t="n">
        <v>1</v>
      </c>
      <c r="G184" t="inlineStr">
        <is>
          <t>BG009</t>
        </is>
      </c>
      <c r="H184" t="inlineStr">
        <is>
          <t>12 Februari 2001</t>
        </is>
      </c>
      <c r="I184" s="2" t="n">
        <v>46194</v>
      </c>
      <c r="J184" t="inlineStr">
        <is>
          <t>Disetujui</t>
        </is>
      </c>
      <c r="K184" t="n">
        <v>30</v>
      </c>
      <c r="L184" t="inlineStr">
        <is>
          <t>21 Juni 2026</t>
        </is>
      </c>
      <c r="M184" t="inlineStr">
        <is>
          <t>Konstruksi Gedung Lainnya</t>
        </is>
      </c>
      <c r="N184" t="inlineStr">
        <is>
          <t>K</t>
        </is>
      </c>
      <c r="O184" t="inlineStr">
        <is>
          <t>20230620</t>
        </is>
      </c>
      <c r="P184" t="inlineStr">
        <is>
          <t>Papua</t>
        </is>
      </c>
      <c r="Q184" s="3">
        <f>HYPERLINK("https://wa.me/628124029977?text=*[PERINGATAN DARURAT SBU OMEGA]*%0A%0AYth. Pimpinan OMEGA,%0AMasa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5">
      <c r="A185" t="inlineStr">
        <is>
          <t>PAKARESO MUDA KONSTRUKSINDO</t>
        </is>
      </c>
      <c r="B185" t="inlineStr">
        <is>
          <t>Kab. Mamuju</t>
        </is>
      </c>
      <c r="C185" t="inlineStr">
        <is>
          <t>085333334344</t>
        </is>
      </c>
      <c r="D185" t="inlineStr">
        <is>
          <t>pakaresomudakonstruksindo@gmail.com</t>
        </is>
      </c>
      <c r="E185" t="inlineStr">
        <is>
          <t>https://lpjk.pu.go.id/search-badan-usaha-detail/dCtBUVFqb3VjWmhKVGJZRTVZVGlHZytBalVESzNzZ21GRjY5VmlOOThhYz0</t>
        </is>
      </c>
      <c r="F185" t="n">
        <v>3</v>
      </c>
      <c r="G185" t="inlineStr">
        <is>
          <t>BG003, BG004, BG007</t>
        </is>
      </c>
      <c r="H185" t="inlineStr">
        <is>
          <t>5 Mei 2017</t>
        </is>
      </c>
      <c r="I185" s="2" t="n">
        <v>46194</v>
      </c>
      <c r="J185" t="inlineStr">
        <is>
          <t>Disetujui, Pencabutan</t>
        </is>
      </c>
      <c r="K185" t="n">
        <v>30</v>
      </c>
      <c r="L185" t="inlineStr">
        <is>
          <t>21 Juni 2026</t>
        </is>
      </c>
      <c r="M185" t="inlineStr">
        <is>
          <t>Konstruksi Gedung Industri, Konstruksi Gedung Penginapan, Konstruksi Gedung Perbelanjaan</t>
        </is>
      </c>
      <c r="N185" t="inlineStr">
        <is>
          <t>K</t>
        </is>
      </c>
      <c r="O185" t="inlineStr">
        <is>
          <t>20230612</t>
        </is>
      </c>
      <c r="P185" t="inlineStr">
        <is>
          <t>Sulawesi Barat</t>
        </is>
      </c>
      <c r="Q185" s="3">
        <f>HYPERLINK("https://wa.me/6285333334344?text=*[PERINGATAN DARURAT SBU PAKARESO MUDA KONSTRUKSINDO]*%0A%0AYth. Pimpinan PAKARESO MUDA KONSTRUKSINDO,%0AMasa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6">
      <c r="A186" t="inlineStr">
        <is>
          <t>PANCA KARYA</t>
        </is>
      </c>
      <c r="B186" t="inlineStr">
        <is>
          <t>Kab. Wakatobi</t>
        </is>
      </c>
      <c r="C186" t="inlineStr">
        <is>
          <t>085241991347</t>
        </is>
      </c>
      <c r="D186" t="inlineStr">
        <is>
          <t>kpanca2018@gmail.com</t>
        </is>
      </c>
      <c r="E186" t="inlineStr">
        <is>
          <t>https://lpjk.pu.go.id/search-badan-usaha-detail/M2JqL3gwYlN1ZHNtM1Y3S1VBWUoyZz09</t>
        </is>
      </c>
      <c r="F186" t="n">
        <v>1</v>
      </c>
      <c r="G186" t="inlineStr">
        <is>
          <t>BS001</t>
        </is>
      </c>
      <c r="H186" t="inlineStr">
        <is>
          <t>23 Januari 2018</t>
        </is>
      </c>
      <c r="I186" s="2" t="n">
        <v>46194</v>
      </c>
      <c r="J186" t="inlineStr">
        <is>
          <t>Disetujui</t>
        </is>
      </c>
      <c r="K186" t="n">
        <v>30</v>
      </c>
      <c r="L186" t="inlineStr">
        <is>
          <t>21 Juni 2026</t>
        </is>
      </c>
      <c r="M186" t="inlineStr">
        <is>
          <t>Konstruksi Bangunan Sipil Jalan</t>
        </is>
      </c>
      <c r="N186" t="inlineStr">
        <is>
          <t>K</t>
        </is>
      </c>
      <c r="O186" t="inlineStr">
        <is>
          <t>20230620</t>
        </is>
      </c>
      <c r="P186" t="inlineStr">
        <is>
          <t>Sulawesi Tenggara</t>
        </is>
      </c>
      <c r="Q186" s="3">
        <f>HYPERLINK("https://wa.me/6285241991347?text=*[PERINGATAN DARURAT SBU PANCA KARYA]*%0A%0AYth. Pimpinan PANCA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7">
      <c r="A187" t="inlineStr">
        <is>
          <t>PANCA SONA</t>
        </is>
      </c>
      <c r="B187" t="inlineStr">
        <is>
          <t>Kab. Banyuwangi</t>
        </is>
      </c>
      <c r="C187" t="inlineStr">
        <is>
          <t>081235026365</t>
        </is>
      </c>
      <c r="D187" t="inlineStr">
        <is>
          <t>sonapanca.cv@gmail.com</t>
        </is>
      </c>
      <c r="E187" t="inlineStr">
        <is>
          <t>https://lpjk.pu.go.id/search-badan-usaha-detail/alR5U0tER3hDRFFkSXM1VS9yS1gzdz09</t>
        </is>
      </c>
      <c r="F187" t="n">
        <v>1</v>
      </c>
      <c r="G187" t="inlineStr">
        <is>
          <t>BS001</t>
        </is>
      </c>
      <c r="H187" t="inlineStr">
        <is>
          <t>5 Januari 2017</t>
        </is>
      </c>
      <c r="I187" s="2" t="n">
        <v>46194</v>
      </c>
      <c r="J187" t="inlineStr">
        <is>
          <t>Disetujui</t>
        </is>
      </c>
      <c r="K187" t="n">
        <v>30</v>
      </c>
      <c r="L187" t="inlineStr">
        <is>
          <t>21 Juni 2026</t>
        </is>
      </c>
      <c r="M187" t="inlineStr">
        <is>
          <t>Konstruksi Bangunan Sipil Jalan</t>
        </is>
      </c>
      <c r="N187" t="inlineStr">
        <is>
          <t>K</t>
        </is>
      </c>
      <c r="O187" t="inlineStr">
        <is>
          <t>20230621</t>
        </is>
      </c>
      <c r="P187" t="inlineStr">
        <is>
          <t>Jawa Timur</t>
        </is>
      </c>
      <c r="Q187" s="3">
        <f>HYPERLINK("https://wa.me/6281235026365?text=*[PERINGATAN DARURAT SBU PANCA SONA]*%0A%0AYth. Pimpinan PANCA SONA,%0AMasa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8">
      <c r="A188" t="inlineStr">
        <is>
          <t>PARAHYANGAN</t>
        </is>
      </c>
      <c r="B188" t="inlineStr">
        <is>
          <t>Kab. Bondowoso</t>
        </is>
      </c>
      <c r="C188" t="inlineStr">
        <is>
          <t>0332429628</t>
        </is>
      </c>
      <c r="D188" t="inlineStr">
        <is>
          <t>cv_prh@yahoo.com</t>
        </is>
      </c>
      <c r="E188" t="inlineStr">
        <is>
          <t>https://lpjk.pu.go.id/search-badan-usaha-detail/ck10cEZCY0xHYjA0NzhaU2lIbUFOZz09</t>
        </is>
      </c>
      <c r="F188" t="n">
        <v>6</v>
      </c>
      <c r="G188" t="inlineStr">
        <is>
          <t>BG005, BG009, BS002</t>
        </is>
      </c>
      <c r="H188" t="inlineStr">
        <is>
          <t>21 Februari 1984</t>
        </is>
      </c>
      <c r="I188" s="2" t="n">
        <v>46194</v>
      </c>
      <c r="J188" t="inlineStr">
        <is>
          <t>Disetujui</t>
        </is>
      </c>
      <c r="K188" t="n">
        <v>30</v>
      </c>
      <c r="L188" t="inlineStr">
        <is>
          <t>21 Juni 2026</t>
        </is>
      </c>
      <c r="M188" t="inlineStr">
        <is>
          <t>Bangunan Sipil Jembatan, Jalan Layang, Fly Over, dan Underpass, Konstruksi Gedung Kesehatan, Konstruksi Gedung Lainnya</t>
        </is>
      </c>
      <c r="N188" t="inlineStr">
        <is>
          <t>K</t>
        </is>
      </c>
      <c r="O188" t="inlineStr">
        <is>
          <t>20230515, 20230619</t>
        </is>
      </c>
      <c r="P188" t="inlineStr">
        <is>
          <t>Jawa Timur</t>
        </is>
      </c>
      <c r="Q188" s="3">
        <f>HYPERLINK("https://wa.me/62332429628?text=*[PERINGATAN DARURAT SBU PARAHYANGAN]*%0A%0AYth. Pimpinan PARAHYANGAN,%0AMasa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89">
      <c r="A189" t="inlineStr">
        <is>
          <t>PARAMA ARGA NUSANTARA</t>
        </is>
      </c>
      <c r="B189" t="inlineStr">
        <is>
          <t>Kota Jayapura</t>
        </is>
      </c>
      <c r="C189" t="inlineStr">
        <is>
          <t>08124802627</t>
        </is>
      </c>
      <c r="D189" t="inlineStr">
        <is>
          <t>paramaarganusantara@gmail.com</t>
        </is>
      </c>
      <c r="E189" t="inlineStr">
        <is>
          <t>https://lpjk.pu.go.id/search-badan-usaha-detail/R2padVA2SEM2Z204K3l2cGl0SmhjQT09</t>
        </is>
      </c>
      <c r="F189" t="n">
        <v>1</v>
      </c>
      <c r="G189" t="inlineStr">
        <is>
          <t>BG002</t>
        </is>
      </c>
      <c r="H189" t="inlineStr">
        <is>
          <t>19 Agustus 2016</t>
        </is>
      </c>
      <c r="I189" s="2" t="n">
        <v>46194</v>
      </c>
      <c r="J189" t="inlineStr">
        <is>
          <t>Disetujui</t>
        </is>
      </c>
      <c r="K189" t="n">
        <v>30</v>
      </c>
      <c r="L189" t="inlineStr">
        <is>
          <t>21 Juni 2026</t>
        </is>
      </c>
      <c r="M189" t="inlineStr">
        <is>
          <t>Konstruksi Gedung Perkantoran</t>
        </is>
      </c>
      <c r="N189" t="inlineStr">
        <is>
          <t>K</t>
        </is>
      </c>
      <c r="O189" t="inlineStr">
        <is>
          <t>20230619</t>
        </is>
      </c>
      <c r="P189" t="inlineStr">
        <is>
          <t>Papua</t>
        </is>
      </c>
      <c r="Q189" s="3">
        <f>HYPERLINK("https://wa.me/628124802627?text=*[PERINGATAN DARURAT SBU PARAMA ARGA NUSANTARA]*%0A%0AYth. Pimpinan PARAMA ARGA NUSANTARA,%0AMasa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0">
      <c r="A190" t="inlineStr">
        <is>
          <t>PERDANA INDAH</t>
        </is>
      </c>
      <c r="B190" t="inlineStr">
        <is>
          <t>Kab. Bangkalan</t>
        </is>
      </c>
      <c r="C190" t="inlineStr">
        <is>
          <t>082332611777</t>
        </is>
      </c>
      <c r="D190" t="inlineStr">
        <is>
          <t>cv.perdana_indah@yahoo.co.id</t>
        </is>
      </c>
      <c r="E190" t="inlineStr">
        <is>
          <t>https://lpjk.pu.go.id/search-badan-usaha-detail/ektyOEExVW9UN0tnbDV1bDFPVmVmUT09</t>
        </is>
      </c>
      <c r="F190" t="n">
        <v>1</v>
      </c>
      <c r="G190" t="inlineStr">
        <is>
          <t>BS001</t>
        </is>
      </c>
      <c r="H190" t="inlineStr">
        <is>
          <t>3 Desember 1982</t>
        </is>
      </c>
      <c r="I190" s="2" t="n">
        <v>46194</v>
      </c>
      <c r="J190" t="inlineStr">
        <is>
          <t>Disetujui</t>
        </is>
      </c>
      <c r="K190" t="n">
        <v>30</v>
      </c>
      <c r="L190" t="inlineStr">
        <is>
          <t>21 Juni 2026</t>
        </is>
      </c>
      <c r="M190" t="inlineStr">
        <is>
          <t>Konstruksi Bangunan Sipil Jalan</t>
        </is>
      </c>
      <c r="N190" t="inlineStr">
        <is>
          <t>K</t>
        </is>
      </c>
      <c r="O190" t="inlineStr">
        <is>
          <t>20230609</t>
        </is>
      </c>
      <c r="P190" t="inlineStr">
        <is>
          <t>Jawa Timur</t>
        </is>
      </c>
      <c r="Q190" s="3">
        <f>HYPERLINK("https://wa.me/6282332611777?text=*[PERINGATAN DARURAT SBU PERDANA INDAH]*%0A%0AYth. Pimpinan PERDANA INDAH,%0AMasa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1">
      <c r="A191" t="inlineStr">
        <is>
          <t>PERMATA</t>
        </is>
      </c>
      <c r="B191" t="inlineStr">
        <is>
          <t>Kab. Bengkulu Utara</t>
        </is>
      </c>
      <c r="C191" t="inlineStr">
        <is>
          <t>085273857770</t>
        </is>
      </c>
      <c r="D191" t="inlineStr">
        <is>
          <t>cvpermata2023@gmail.com</t>
        </is>
      </c>
      <c r="E191" t="inlineStr">
        <is>
          <t>https://lpjk.pu.go.id/search-badan-usaha-detail/LzlzUWx5ZHByQ1Fnc00rNCtMRnppUT09</t>
        </is>
      </c>
      <c r="F191" t="n">
        <v>1</v>
      </c>
      <c r="G191" t="inlineStr">
        <is>
          <t>BS004</t>
        </is>
      </c>
      <c r="H191" t="inlineStr">
        <is>
          <t>10 April 2013</t>
        </is>
      </c>
      <c r="I191" s="2" t="n">
        <v>46194</v>
      </c>
      <c r="J191" t="inlineStr">
        <is>
          <t>Konfirmasi Pembayaran</t>
        </is>
      </c>
      <c r="K191" t="n">
        <v>30</v>
      </c>
      <c r="L191" t="inlineStr">
        <is>
          <t>21 Juni 2026</t>
        </is>
      </c>
      <c r="M191" t="inlineStr">
        <is>
          <t>Konstruksi Jaringan Irigasi dan Drainase</t>
        </is>
      </c>
      <c r="N191" t="inlineStr">
        <is>
          <t>K</t>
        </is>
      </c>
      <c r="O191" t="inlineStr">
        <is>
          <t>20230616</t>
        </is>
      </c>
      <c r="P191" t="inlineStr">
        <is>
          <t>Bengkulu</t>
        </is>
      </c>
      <c r="Q191" s="3">
        <f>HYPERLINK("https://wa.me/6285273857770?text=*[PERINGATAN DARURAT SBU PERMATA]*%0A%0AYth. Pimpinan PERMATA,%0AMasa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2">
      <c r="A192" t="inlineStr">
        <is>
          <t>PERMATA ABADI</t>
        </is>
      </c>
      <c r="B192" t="inlineStr">
        <is>
          <t>Kota Pekalongan</t>
        </is>
      </c>
      <c r="C192" t="inlineStr">
        <is>
          <t>081226557271</t>
        </is>
      </c>
      <c r="D192" t="inlineStr">
        <is>
          <t>cv.permata_abadi@yahoo.co.id</t>
        </is>
      </c>
      <c r="E192" t="inlineStr">
        <is>
          <t>https://lpjk.pu.go.id/search-badan-usaha-detail/Tzh3M09HNGdOWFRnSnc5b2NCSytsYkRsdkFBSXdwNkNqWEwzL1VQaUNIQT0</t>
        </is>
      </c>
      <c r="F192" t="n">
        <v>1</v>
      </c>
      <c r="G192" t="inlineStr">
        <is>
          <t>BG009</t>
        </is>
      </c>
      <c r="H192" t="inlineStr">
        <is>
          <t>26 Januari 2026</t>
        </is>
      </c>
      <c r="I192" s="2" t="n">
        <v>46194</v>
      </c>
      <c r="J192" t="inlineStr">
        <is>
          <t>Disetujui</t>
        </is>
      </c>
      <c r="K192" t="n">
        <v>30</v>
      </c>
      <c r="L192" t="inlineStr">
        <is>
          <t>21 Juni 2026</t>
        </is>
      </c>
      <c r="M192" t="inlineStr">
        <is>
          <t>Konstruksi Gedung Lainnya</t>
        </is>
      </c>
      <c r="N192" t="inlineStr">
        <is>
          <t>K</t>
        </is>
      </c>
      <c r="O192" t="inlineStr">
        <is>
          <t>20230619</t>
        </is>
      </c>
      <c r="P192" t="inlineStr">
        <is>
          <t>Jawa Tengah</t>
        </is>
      </c>
      <c r="Q192" s="3">
        <f>HYPERLINK("https://wa.me/6281226557271?text=*[PERINGATAN DARURAT SBU PERMATA ABADI]*%0A%0AYth. Pimpinan PERMATA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3">
      <c r="A193" t="inlineStr">
        <is>
          <t>PERMATA SARI</t>
        </is>
      </c>
      <c r="B193" t="inlineStr">
        <is>
          <t>Kota Banjarmasin</t>
        </is>
      </c>
      <c r="C193" t="inlineStr">
        <is>
          <t>08125064537</t>
        </is>
      </c>
      <c r="D193" t="inlineStr">
        <is>
          <t>selvy0123@gmail.com</t>
        </is>
      </c>
      <c r="E193" t="inlineStr">
        <is>
          <t>https://lpjk.pu.go.id/search-badan-usaha-detail/SXBYdmx4cHZrWmtSR2tCcXdJQ2ZCQT09</t>
        </is>
      </c>
      <c r="F193" t="n">
        <v>6</v>
      </c>
      <c r="G193" t="inlineStr">
        <is>
          <t>BG002, BG006, BG009, BS001, BS002, BS004</t>
        </is>
      </c>
      <c r="H193" t="inlineStr">
        <is>
          <t>25 Januari 2001</t>
        </is>
      </c>
      <c r="I193" s="2" t="n">
        <v>46194</v>
      </c>
      <c r="J193" t="inlineStr">
        <is>
          <t>Disetujui</t>
        </is>
      </c>
      <c r="K193" t="n">
        <v>30</v>
      </c>
      <c r="L193" t="inlineStr">
        <is>
          <t>21 Juni 2026</t>
        </is>
      </c>
      <c r="M193" t="inlineStr">
        <is>
          <t>Bangunan Sipil Jembatan, Jalan Layang, Fly Over, dan Underpass, Konstruksi Bangunan Sipil Jalan, Konstruksi Gedung Lainnya, Konstruksi Gedung Pendidikan, Konstruksi Gedung Perkantoran, Konstruksi Jaringan Irigasi dan Drainase</t>
        </is>
      </c>
      <c r="N193" t="inlineStr">
        <is>
          <t>K</t>
        </is>
      </c>
      <c r="O193" t="inlineStr">
        <is>
          <t>20230618, 20230619</t>
        </is>
      </c>
      <c r="P193" t="inlineStr">
        <is>
          <t>Kalimantan Selatan</t>
        </is>
      </c>
      <c r="Q193" s="3">
        <f>HYPERLINK("https://wa.me/628125064537?text=*[PERINGATAN DARURAT SBU PERMATA SARI]*%0A%0AYth. Pimpinan PERMATA SARI,%0AMasa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4">
      <c r="A194" t="inlineStr">
        <is>
          <t>PILAR PERSADA</t>
        </is>
      </c>
      <c r="B194" t="inlineStr">
        <is>
          <t>Kab. Sumenep</t>
        </is>
      </c>
      <c r="C194" t="inlineStr">
        <is>
          <t>08175009585</t>
        </is>
      </c>
      <c r="D194" t="inlineStr">
        <is>
          <t>pilarpersada.cv@gmail.com</t>
        </is>
      </c>
      <c r="E194" t="inlineStr">
        <is>
          <t>https://lpjk.pu.go.id/search-badan-usaha-detail/SlVxTkFHNVY1QUJ0cENFdVJwL2JDdz09</t>
        </is>
      </c>
      <c r="F194" t="n">
        <v>1</v>
      </c>
      <c r="G194" t="inlineStr">
        <is>
          <t>RK003</t>
        </is>
      </c>
      <c r="H194" t="inlineStr">
        <is>
          <t>16 Juni 1992</t>
        </is>
      </c>
      <c r="I194" s="2" t="n">
        <v>46194</v>
      </c>
      <c r="J194" t="inlineStr">
        <is>
          <t>Pencabutan</t>
        </is>
      </c>
      <c r="K194" t="n">
        <v>30</v>
      </c>
      <c r="L194" t="inlineStr">
        <is>
          <t>21 Juni 2026</t>
        </is>
      </c>
      <c r="M194" t="inlineStr">
        <is>
          <t>Jasa Rekayasa Pekerjaan Teknik Sipil Transportasi</t>
        </is>
      </c>
      <c r="N194" t="inlineStr">
        <is>
          <t>K</t>
        </is>
      </c>
      <c r="O194" t="inlineStr">
        <is>
          <t>20230619</t>
        </is>
      </c>
      <c r="P194" t="inlineStr">
        <is>
          <t>Jawa Timur</t>
        </is>
      </c>
      <c r="Q194" s="3">
        <f>HYPERLINK("https://wa.me/628175009585?text=*[PERINGATAN DARURAT SBU PILAR PERSADA]*%0A%0AYth. Pimpinan PILAR PERSADA,%0AMasa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5">
      <c r="A195" t="inlineStr">
        <is>
          <t>PIRAMIDHA</t>
        </is>
      </c>
      <c r="B195" t="inlineStr">
        <is>
          <t>Kab. Kediri</t>
        </is>
      </c>
      <c r="C195" t="inlineStr">
        <is>
          <t>085736589539</t>
        </is>
      </c>
      <c r="D195" t="inlineStr">
        <is>
          <t>piramidha.2011@gmail.com</t>
        </is>
      </c>
      <c r="E195" t="inlineStr">
        <is>
          <t>https://lpjk.pu.go.id/search-badan-usaha-detail/Sk1lcWdyT2tDYVZGUVN5T0QwMDVKdz09</t>
        </is>
      </c>
      <c r="F195" t="n">
        <v>1</v>
      </c>
      <c r="G195" t="inlineStr">
        <is>
          <t>BS001</t>
        </is>
      </c>
      <c r="H195" t="inlineStr">
        <is>
          <t>21 Juli 2009</t>
        </is>
      </c>
      <c r="I195" s="2" t="n">
        <v>46194</v>
      </c>
      <c r="J195" t="inlineStr">
        <is>
          <t>Disetujui</t>
        </is>
      </c>
      <c r="K195" t="n">
        <v>30</v>
      </c>
      <c r="L195" t="inlineStr">
        <is>
          <t>21 Juni 2026</t>
        </is>
      </c>
      <c r="M195" t="inlineStr">
        <is>
          <t>Konstruksi Bangunan Sipil Jalan</t>
        </is>
      </c>
      <c r="N195" t="inlineStr">
        <is>
          <t>K</t>
        </is>
      </c>
      <c r="O195" t="inlineStr">
        <is>
          <t>20230617</t>
        </is>
      </c>
      <c r="P195" t="inlineStr">
        <is>
          <t>Jawa Timur</t>
        </is>
      </c>
      <c r="Q195" s="3">
        <f>HYPERLINK("https://wa.me/6285736589539?text=*[PERINGATAN DARURAT SBU PIRAMIDHA]*%0A%0AYth. Pimpinan PIRAMIDHA,%0AMasa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6">
      <c r="A196" t="inlineStr">
        <is>
          <t>PRADIPTA WIJAYA</t>
        </is>
      </c>
      <c r="B196" t="inlineStr">
        <is>
          <t>Kab. Banyumas</t>
        </is>
      </c>
      <c r="C196" t="inlineStr">
        <is>
          <t>085747121034</t>
        </is>
      </c>
      <c r="D196" t="inlineStr">
        <is>
          <t>cv.pradiptawijaya@gmail.com</t>
        </is>
      </c>
      <c r="E196" t="inlineStr">
        <is>
          <t>https://lpjk.pu.go.id/search-badan-usaha-detail/dVdLNzVlcmkzbFUzT3JGdUJMRFVXODlLTml1Q29TT3dtdlhpMU5zNjVmQT0</t>
        </is>
      </c>
      <c r="F196" t="n">
        <v>1</v>
      </c>
      <c r="G196" t="inlineStr">
        <is>
          <t>BG006</t>
        </is>
      </c>
      <c r="H196" t="inlineStr">
        <is>
          <t>6 Januari 2025</t>
        </is>
      </c>
      <c r="I196" s="2" t="n">
        <v>46194</v>
      </c>
      <c r="J196" t="inlineStr">
        <is>
          <t>Disetujui</t>
        </is>
      </c>
      <c r="K196" t="n">
        <v>30</v>
      </c>
      <c r="L196" t="inlineStr">
        <is>
          <t>21 Juni 2026</t>
        </is>
      </c>
      <c r="M196" t="inlineStr">
        <is>
          <t>Konstruksi Gedung Pendidikan</t>
        </is>
      </c>
      <c r="N196" t="inlineStr">
        <is>
          <t>K</t>
        </is>
      </c>
      <c r="O196" t="inlineStr">
        <is>
          <t>20230622</t>
        </is>
      </c>
      <c r="P196" t="inlineStr">
        <is>
          <t>Jawa Tengah</t>
        </is>
      </c>
      <c r="Q196" s="3">
        <f>HYPERLINK("https://wa.me/6285747121034?text=*[PERINGATAN DARURAT SBU PRADIPTA WIJAYA]*%0A%0AYth. Pimpinan PRADIPTA WIJAYA,%0AMasa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7">
      <c r="A197" t="inlineStr">
        <is>
          <t>PRAMADANA DIPTA</t>
        </is>
      </c>
      <c r="B197" t="inlineStr">
        <is>
          <t>Kab. Cirebon</t>
        </is>
      </c>
      <c r="C197" t="inlineStr">
        <is>
          <t>085222140123</t>
        </is>
      </c>
      <c r="D197" t="inlineStr">
        <is>
          <t>CvPramadanaDipta@gmail.com</t>
        </is>
      </c>
      <c r="E197" t="inlineStr">
        <is>
          <t>https://lpjk.pu.go.id/search-badan-usaha-detail/bXJxYzNMM0VLdDczMnlyYVdCdmZYQT09</t>
        </is>
      </c>
      <c r="F197" t="n">
        <v>1</v>
      </c>
      <c r="G197" t="inlineStr">
        <is>
          <t>BS001</t>
        </is>
      </c>
      <c r="H197" t="inlineStr">
        <is>
          <t>1 April 2023</t>
        </is>
      </c>
      <c r="I197" s="2" t="n">
        <v>46194</v>
      </c>
      <c r="J197" t="inlineStr">
        <is>
          <t>Disetujui</t>
        </is>
      </c>
      <c r="K197" t="n">
        <v>30</v>
      </c>
      <c r="L197" t="inlineStr">
        <is>
          <t>21 Juni 2026</t>
        </is>
      </c>
      <c r="M197" t="inlineStr">
        <is>
          <t>Konstruksi Bangunan Sipil Jalan</t>
        </is>
      </c>
      <c r="N197" t="inlineStr">
        <is>
          <t>K</t>
        </is>
      </c>
      <c r="O197" t="inlineStr">
        <is>
          <t>20230620</t>
        </is>
      </c>
      <c r="P197" t="inlineStr">
        <is>
          <t>Jawa Barat</t>
        </is>
      </c>
      <c r="Q197" s="3">
        <f>HYPERLINK("https://wa.me/6285222140123?text=*[PERINGATAN DARURAT SBU PRAMADANA DIPTA]*%0A%0AYth. Pimpinan PRAMADANA DIPTA,%0AMasa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8">
      <c r="A198" t="inlineStr">
        <is>
          <t>PRATAMA WIJAYA</t>
        </is>
      </c>
      <c r="B198" t="inlineStr">
        <is>
          <t>Kab. Banyumas</t>
        </is>
      </c>
      <c r="C198" t="inlineStr">
        <is>
          <t>085879036181</t>
        </is>
      </c>
      <c r="D198" t="inlineStr">
        <is>
          <t>wijayap988@gmail.com</t>
        </is>
      </c>
      <c r="E198" t="inlineStr">
        <is>
          <t>https://lpjk.pu.go.id/search-badan-usaha-detail/QVlxekpBcEpZT0NpeVVUczlBbmtwUT09</t>
        </is>
      </c>
      <c r="F198" t="n">
        <v>1</v>
      </c>
      <c r="G198" t="inlineStr">
        <is>
          <t>BG006</t>
        </is>
      </c>
      <c r="H198" t="inlineStr">
        <is>
          <t>19 November 2007</t>
        </is>
      </c>
      <c r="I198" s="2" t="n">
        <v>46194</v>
      </c>
      <c r="J198" t="inlineStr">
        <is>
          <t>Disetujui</t>
        </is>
      </c>
      <c r="K198" t="n">
        <v>30</v>
      </c>
      <c r="L198" t="inlineStr">
        <is>
          <t>21 Juni 2026</t>
        </is>
      </c>
      <c r="M198" t="inlineStr">
        <is>
          <t>Konstruksi Gedung Pendidikan</t>
        </is>
      </c>
      <c r="N198" t="inlineStr">
        <is>
          <t>K</t>
        </is>
      </c>
      <c r="O198" t="inlineStr">
        <is>
          <t>20230608</t>
        </is>
      </c>
      <c r="P198" t="inlineStr">
        <is>
          <t>Jawa Tengah</t>
        </is>
      </c>
      <c r="Q198" s="3">
        <f>HYPERLINK("https://wa.me/6285879036181?text=*[PERINGATAN DARURAT SBU PRATAMA WIJAYA]*%0A%0AYth. Pimpinan PRATAMA WIJAYA,%0AMasa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199">
      <c r="A199" t="inlineStr">
        <is>
          <t>PRIMA VISTA</t>
        </is>
      </c>
      <c r="B199" t="inlineStr">
        <is>
          <t>Kab. Lamongan</t>
        </is>
      </c>
      <c r="C199" t="inlineStr">
        <is>
          <t>085330999659</t>
        </is>
      </c>
      <c r="D199" t="inlineStr">
        <is>
          <t>cv_pv_579@yahoo.com</t>
        </is>
      </c>
      <c r="E199" t="inlineStr">
        <is>
          <t>https://lpjk.pu.go.id/search-badan-usaha-detail/emMxZWkyaDZtVEhyOHBXSHN0KzEydz09</t>
        </is>
      </c>
      <c r="F199" t="n">
        <v>3</v>
      </c>
      <c r="G199" t="inlineStr">
        <is>
          <t>BG006, BG008, BG009</t>
        </is>
      </c>
      <c r="H199" t="inlineStr">
        <is>
          <t>22 Desember 2004</t>
        </is>
      </c>
      <c r="I199" s="2" t="n">
        <v>46194</v>
      </c>
      <c r="J199" t="inlineStr">
        <is>
          <t>Disetujui</t>
        </is>
      </c>
      <c r="K199" t="n">
        <v>30</v>
      </c>
      <c r="L199" t="inlineStr">
        <is>
          <t>21 Juni 2026</t>
        </is>
      </c>
      <c r="M199" t="inlineStr">
        <is>
          <t>Konstruksi Gedung Lainnya, Konstruksi Gedung Pendidikan, Konstruksi Gedung Tempat Hiburan dan Olahraga</t>
        </is>
      </c>
      <c r="N199" t="inlineStr">
        <is>
          <t>K</t>
        </is>
      </c>
      <c r="O199" t="inlineStr">
        <is>
          <t>20230621</t>
        </is>
      </c>
      <c r="P199" t="inlineStr">
        <is>
          <t>Jawa Timur</t>
        </is>
      </c>
      <c r="Q199" s="3">
        <f>HYPERLINK("https://wa.me/6285330999659?text=*[PERINGATAN DARURAT SBU PRIMA VISTA]*%0A%0AYth. Pimpinan PRIMA VISTA,%0AMasa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0">
      <c r="A200" t="inlineStr">
        <is>
          <t>PUTRA ANDHIKA</t>
        </is>
      </c>
      <c r="B200" t="inlineStr">
        <is>
          <t>Kab. Kediri</t>
        </is>
      </c>
      <c r="C200" t="inlineStr">
        <is>
          <t>081359967777</t>
        </is>
      </c>
      <c r="D200" t="inlineStr">
        <is>
          <t>cv.putraandhika@yahoo.com</t>
        </is>
      </c>
      <c r="E200" t="inlineStr">
        <is>
          <t>https://lpjk.pu.go.id/search-badan-usaha-detail/SFdWOWV5dHBCN2dKQlhuQ0tXZ29vdz09</t>
        </is>
      </c>
      <c r="F200" t="n">
        <v>1</v>
      </c>
      <c r="G200" t="inlineStr">
        <is>
          <t>BS005</t>
        </is>
      </c>
      <c r="H200" t="inlineStr">
        <is>
          <t>15 Desember 2006</t>
        </is>
      </c>
      <c r="I200" s="2" t="n">
        <v>46194</v>
      </c>
      <c r="J200" t="inlineStr">
        <is>
          <t>Disetujui</t>
        </is>
      </c>
      <c r="K200" t="n">
        <v>30</v>
      </c>
      <c r="L200" t="inlineStr">
        <is>
          <t>21 Juni 2026</t>
        </is>
      </c>
      <c r="M200" t="inlineStr">
        <is>
          <t>Konstruksi Bangunan Sipil Pengolahan Air Bersih</t>
        </is>
      </c>
      <c r="N200" t="inlineStr">
        <is>
          <t>K</t>
        </is>
      </c>
      <c r="O200" t="inlineStr">
        <is>
          <t>20230621</t>
        </is>
      </c>
      <c r="P200" t="inlineStr">
        <is>
          <t>Jawa Timur</t>
        </is>
      </c>
      <c r="Q200" s="3">
        <f>HYPERLINK("https://wa.me/6281359967777?text=*[PERINGATAN DARURAT SBU PUTRA ANDHIKA]*%0A%0AYth. Pimpinan PUTRA ANDHIKA,%0AMasa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1">
      <c r="A201" t="inlineStr">
        <is>
          <t>PUTRA BADAK KONSTRUKSI</t>
        </is>
      </c>
      <c r="B201" t="inlineStr">
        <is>
          <t>Kab. Karangasem</t>
        </is>
      </c>
      <c r="C201" t="inlineStr">
        <is>
          <t>082146699261</t>
        </is>
      </c>
      <c r="D201" t="inlineStr">
        <is>
          <t>putrabadak10012020@gmail.com</t>
        </is>
      </c>
      <c r="E201" t="inlineStr">
        <is>
          <t>https://lpjk.pu.go.id/search-badan-usaha-detail/SUNJZWxNNDRqbjJzQ1BMMXhyK1pNQT09</t>
        </is>
      </c>
      <c r="F201" t="n">
        <v>1</v>
      </c>
      <c r="G201" t="inlineStr">
        <is>
          <t>BS001</t>
        </is>
      </c>
      <c r="H201" t="inlineStr">
        <is>
          <t>20 Januari 2020</t>
        </is>
      </c>
      <c r="I201" s="2" t="n">
        <v>46194</v>
      </c>
      <c r="J201" t="inlineStr">
        <is>
          <t>Disetujui</t>
        </is>
      </c>
      <c r="K201" t="n">
        <v>30</v>
      </c>
      <c r="L201" t="inlineStr">
        <is>
          <t>21 Juni 2026</t>
        </is>
      </c>
      <c r="M201" t="inlineStr">
        <is>
          <t>Konstruksi Bangunan Sipil Jalan</t>
        </is>
      </c>
      <c r="N201" t="inlineStr">
        <is>
          <t>K</t>
        </is>
      </c>
      <c r="O201" t="inlineStr">
        <is>
          <t>20230620</t>
        </is>
      </c>
      <c r="P201" t="inlineStr">
        <is>
          <t>Bali</t>
        </is>
      </c>
      <c r="Q201" s="3">
        <f>HYPERLINK("https://wa.me/6282146699261?text=*[PERINGATAN DARURAT SBU PUTRA BADAK KONSTRUKSI]*%0A%0AYth. Pimpinan PUTRA BADAK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2">
      <c r="A202" t="inlineStr">
        <is>
          <t>PUTRA BERJAYA ALAM</t>
        </is>
      </c>
      <c r="B202" t="inlineStr">
        <is>
          <t>Kab. Lombok Tengah</t>
        </is>
      </c>
      <c r="C202" t="inlineStr">
        <is>
          <t>08175758800</t>
        </is>
      </c>
      <c r="D202" t="inlineStr">
        <is>
          <t>cvputraberjayaalam@yahoo.com</t>
        </is>
      </c>
      <c r="E202" t="inlineStr">
        <is>
          <t>https://lpjk.pu.go.id/search-badan-usaha-detail/Y0FzZUpWUFJyZy9uanMzN2Y3cnZXdz09</t>
        </is>
      </c>
      <c r="F202" t="n">
        <v>1</v>
      </c>
      <c r="G202" t="inlineStr">
        <is>
          <t>BS004</t>
        </is>
      </c>
      <c r="H202" t="inlineStr">
        <is>
          <t>4 Oktober 2013</t>
        </is>
      </c>
      <c r="I202" s="2" t="n">
        <v>46194</v>
      </c>
      <c r="J202" t="inlineStr">
        <is>
          <t>Pencabutan</t>
        </is>
      </c>
      <c r="K202" t="n">
        <v>30</v>
      </c>
      <c r="L202" t="inlineStr">
        <is>
          <t>21 Juni 2026</t>
        </is>
      </c>
      <c r="M202" t="inlineStr">
        <is>
          <t>Konstruksi Jaringan Irigasi dan Drainase</t>
        </is>
      </c>
      <c r="N202" t="inlineStr">
        <is>
          <t>K</t>
        </is>
      </c>
      <c r="O202" t="inlineStr">
        <is>
          <t>20230618</t>
        </is>
      </c>
      <c r="P202" t="inlineStr">
        <is>
          <t>Nusa Tenggara Barat</t>
        </is>
      </c>
      <c r="Q202" s="3">
        <f>HYPERLINK("https://wa.me/628175758800?text=*[PERINGATAN DARURAT SBU PUTRA BERJAYA ALAM]*%0A%0AYth. Pimpinan PUTRA BERJAYA ALAM,%0AMasa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3">
      <c r="A203" t="inlineStr">
        <is>
          <t>PUTRA CHIBISORO</t>
        </is>
      </c>
      <c r="B203" t="inlineStr">
        <is>
          <t>Kab. Pandeglang</t>
        </is>
      </c>
      <c r="C203" t="inlineStr">
        <is>
          <t>085280897529</t>
        </is>
      </c>
      <c r="D203" t="inlineStr">
        <is>
          <t>putra.chibisoro@gmail.com</t>
        </is>
      </c>
      <c r="E203" t="inlineStr">
        <is>
          <t>https://lpjk.pu.go.id/search-badan-usaha-detail/YmlDMW11bklOR2xwSlZiT3BVakdDQT09</t>
        </is>
      </c>
      <c r="F203" t="n">
        <v>1</v>
      </c>
      <c r="G203" t="inlineStr">
        <is>
          <t>BG002</t>
        </is>
      </c>
      <c r="H203" t="inlineStr">
        <is>
          <t>1 Februari 2018</t>
        </is>
      </c>
      <c r="I203" s="2" t="n">
        <v>46194</v>
      </c>
      <c r="J203" t="inlineStr">
        <is>
          <t>Disetujui</t>
        </is>
      </c>
      <c r="K203" t="n">
        <v>30</v>
      </c>
      <c r="L203" t="inlineStr">
        <is>
          <t>21 Juni 2026</t>
        </is>
      </c>
      <c r="M203" t="inlineStr">
        <is>
          <t>Konstruksi Gedung Perkantoran</t>
        </is>
      </c>
      <c r="N203" t="inlineStr">
        <is>
          <t>K</t>
        </is>
      </c>
      <c r="O203" t="inlineStr">
        <is>
          <t>20230616</t>
        </is>
      </c>
      <c r="P203" t="inlineStr">
        <is>
          <t>Banten</t>
        </is>
      </c>
      <c r="Q203" s="3">
        <f>HYPERLINK("https://wa.me/6285280897529?text=*[PERINGATAN DARURAT SBU PUTRA CHIBISORO]*%0A%0AYth. Pimpinan PUTRA CHIBISORO,%0AMasa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4">
      <c r="A204" t="inlineStr">
        <is>
          <t>PUTRA KAHURIPAN LESTARI</t>
        </is>
      </c>
      <c r="B204" t="inlineStr">
        <is>
          <t>Kota Bandung</t>
        </is>
      </c>
      <c r="C204" t="inlineStr">
        <is>
          <t>02220671409</t>
        </is>
      </c>
      <c r="D204" t="inlineStr">
        <is>
          <t>putrakhlestari@gmail.com</t>
        </is>
      </c>
      <c r="E204" t="inlineStr">
        <is>
          <t>https://lpjk.pu.go.id/search-badan-usaha-detail/Wi9HUTRrUm5raytma2oyR2YySTk1Zz09</t>
        </is>
      </c>
      <c r="F204" t="n">
        <v>1</v>
      </c>
      <c r="G204" t="inlineStr">
        <is>
          <t>BG003</t>
        </is>
      </c>
      <c r="H204" t="inlineStr">
        <is>
          <t>25 April 2019</t>
        </is>
      </c>
      <c r="I204" s="2" t="n">
        <v>46194</v>
      </c>
      <c r="J204" t="inlineStr">
        <is>
          <t>Disetujui</t>
        </is>
      </c>
      <c r="K204" t="n">
        <v>30</v>
      </c>
      <c r="L204" t="inlineStr">
        <is>
          <t>21 Juni 2026</t>
        </is>
      </c>
      <c r="M204" t="inlineStr">
        <is>
          <t>Konstruksi Gedung Industri</t>
        </is>
      </c>
      <c r="N204" t="inlineStr">
        <is>
          <t>K</t>
        </is>
      </c>
      <c r="O204" t="inlineStr">
        <is>
          <t>20230612</t>
        </is>
      </c>
      <c r="P204" t="inlineStr">
        <is>
          <t>Jawa Barat</t>
        </is>
      </c>
      <c r="Q204" s="3">
        <f>HYPERLINK("https://wa.me/622220671409?text=*[PERINGATAN DARURAT SBU PUTRA KAHURIPAN LESTARI]*%0A%0AYth. Pimpinan PUTRA KAHURIPAN LESTARI,%0AMasa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5">
      <c r="A205" t="inlineStr">
        <is>
          <t>PUTRA PAPUA MEMBANGUN</t>
        </is>
      </c>
      <c r="B205" t="inlineStr">
        <is>
          <t>Kab. Sorong</t>
        </is>
      </c>
      <c r="C205" t="inlineStr">
        <is>
          <t>081247262224</t>
        </is>
      </c>
      <c r="D205" t="inlineStr">
        <is>
          <t>putrapapuamembanguncv@gmail.com</t>
        </is>
      </c>
      <c r="E205" t="inlineStr">
        <is>
          <t>https://lpjk.pu.go.id/search-badan-usaha-detail/a3EwdDlpbzMxQTg4ZUVERUpqVlNidz09</t>
        </is>
      </c>
      <c r="F205" t="n">
        <v>1</v>
      </c>
      <c r="G205" t="inlineStr">
        <is>
          <t>BS001</t>
        </is>
      </c>
      <c r="H205" t="inlineStr">
        <is>
          <t>28 Juni 2013</t>
        </is>
      </c>
      <c r="I205" s="2" t="n">
        <v>46194</v>
      </c>
      <c r="J205" t="inlineStr">
        <is>
          <t>Disetujui</t>
        </is>
      </c>
      <c r="K205" t="n">
        <v>30</v>
      </c>
      <c r="L205" t="inlineStr">
        <is>
          <t>21 Juni 2026</t>
        </is>
      </c>
      <c r="M205" t="inlineStr">
        <is>
          <t>Konstruksi Bangunan Sipil Jalan</t>
        </is>
      </c>
      <c r="N205" t="inlineStr">
        <is>
          <t>K</t>
        </is>
      </c>
      <c r="O205" t="inlineStr">
        <is>
          <t>20230622</t>
        </is>
      </c>
      <c r="P205" t="inlineStr">
        <is>
          <t>Papua Barat</t>
        </is>
      </c>
      <c r="Q205" s="3">
        <f>HYPERLINK("https://wa.me/6281247262224?text=*[PERINGATAN DARURAT SBU PUTRA PAPUA MEMBANGUN]*%0A%0AYth. Pimpinan PUTRA PAPUA MEMBANGUN,%0AMasa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6">
      <c r="A206" t="inlineStr">
        <is>
          <t>PUTRA UTAMA KONSTRUKSI</t>
        </is>
      </c>
      <c r="B206" t="inlineStr">
        <is>
          <t>Kota Makassar</t>
        </is>
      </c>
      <c r="C206" t="inlineStr">
        <is>
          <t>082259321338</t>
        </is>
      </c>
      <c r="D206" t="inlineStr">
        <is>
          <t>konstruksiputrautama@gmail.com</t>
        </is>
      </c>
      <c r="E206" t="inlineStr">
        <is>
          <t>https://lpjk.pu.go.id/search-badan-usaha-detail/VmNYTm91ek0yeDdaSEdXbTl3MmVrdz09</t>
        </is>
      </c>
      <c r="F206" t="n">
        <v>1</v>
      </c>
      <c r="G206" t="inlineStr">
        <is>
          <t>BG004</t>
        </is>
      </c>
      <c r="H206" t="inlineStr">
        <is>
          <t>14 Agustus 2018</t>
        </is>
      </c>
      <c r="I206" s="2" t="n">
        <v>46194</v>
      </c>
      <c r="J206" t="inlineStr">
        <is>
          <t>Pembekuan</t>
        </is>
      </c>
      <c r="K206" t="n">
        <v>30</v>
      </c>
      <c r="L206" t="inlineStr">
        <is>
          <t>21 Juni 2026</t>
        </is>
      </c>
      <c r="M206" t="inlineStr">
        <is>
          <t>Konstruksi Gedung Perbelanjaan</t>
        </is>
      </c>
      <c r="N206" t="inlineStr">
        <is>
          <t>M</t>
        </is>
      </c>
      <c r="O206" t="inlineStr">
        <is>
          <t>20230621</t>
        </is>
      </c>
      <c r="P206" t="inlineStr">
        <is>
          <t>Sulawesi Selatan</t>
        </is>
      </c>
      <c r="Q206" s="3">
        <f>HYPERLINK("https://wa.me/6282259321338?text=*[PERINGATAN DARURAT SBU PUTRA UTAMA KONSTRUKSI]*%0A%0AYth. Pimpinan PUTRA UTAMA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7">
      <c r="A207" t="inlineStr">
        <is>
          <t>PUTRA YAWON</t>
        </is>
      </c>
      <c r="B207" t="inlineStr">
        <is>
          <t>Kota Jayapura</t>
        </is>
      </c>
      <c r="C207" t="inlineStr">
        <is>
          <t>081248579101</t>
        </is>
      </c>
      <c r="D207" t="inlineStr">
        <is>
          <t>putrayawon385@gmail.com</t>
        </is>
      </c>
      <c r="E207" t="inlineStr">
        <is>
          <t>https://lpjk.pu.go.id/search-badan-usaha-detail/Q1g3SThzK0FLTllWVCs1Mm1uMHlBZz09</t>
        </is>
      </c>
      <c r="F207" t="n">
        <v>1</v>
      </c>
      <c r="G207" t="inlineStr">
        <is>
          <t>BS002</t>
        </is>
      </c>
      <c r="H207" t="inlineStr">
        <is>
          <t>6 Januari 2017</t>
        </is>
      </c>
      <c r="I207" s="2" t="n">
        <v>46194</v>
      </c>
      <c r="J207" t="inlineStr">
        <is>
          <t>Disetujui</t>
        </is>
      </c>
      <c r="K207" t="n">
        <v>30</v>
      </c>
      <c r="L207" t="inlineStr">
        <is>
          <t>21 Juni 2026</t>
        </is>
      </c>
      <c r="M207" t="inlineStr">
        <is>
          <t>Bangunan Sipil Jembatan, Jalan Layang, Fly Over, dan Underpass</t>
        </is>
      </c>
      <c r="N207" t="inlineStr">
        <is>
          <t>K</t>
        </is>
      </c>
      <c r="O207" t="inlineStr">
        <is>
          <t>20230620</t>
        </is>
      </c>
      <c r="P207" t="inlineStr">
        <is>
          <t>Papua</t>
        </is>
      </c>
      <c r="Q207" s="3">
        <f>HYPERLINK("https://wa.me/6281248579101?text=*[PERINGATAN DARURAT SBU PUTRA YAWON]*%0A%0AYth. Pimpinan PUTRA YAWON,%0AMasa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8">
      <c r="A208" t="inlineStr">
        <is>
          <t>RAHMANI</t>
        </is>
      </c>
      <c r="B208" t="inlineStr">
        <is>
          <t>Kab. Bandung</t>
        </is>
      </c>
      <c r="C208" t="inlineStr">
        <is>
          <t>089515093076</t>
        </is>
      </c>
      <c r="D208" t="inlineStr">
        <is>
          <t>cvrahmani2017@gmail.com</t>
        </is>
      </c>
      <c r="E208" t="inlineStr">
        <is>
          <t>https://lpjk.pu.go.id/search-badan-usaha-detail/ZTJ5ZlYwU0JkRGhBWVhybHZpZ0VIZz09</t>
        </is>
      </c>
      <c r="F208" t="n">
        <v>3</v>
      </c>
      <c r="G208" t="inlineStr">
        <is>
          <t>BG009</t>
        </is>
      </c>
      <c r="H208" t="inlineStr">
        <is>
          <t>22 April 2016</t>
        </is>
      </c>
      <c r="I208" s="2" t="n">
        <v>46194</v>
      </c>
      <c r="J208" t="inlineStr">
        <is>
          <t>Disetujui</t>
        </is>
      </c>
      <c r="K208" t="n">
        <v>30</v>
      </c>
      <c r="L208" t="inlineStr">
        <is>
          <t>21 Juni 2026</t>
        </is>
      </c>
      <c r="M208" t="inlineStr">
        <is>
          <t>Konstruksi Gedung Lainnya</t>
        </is>
      </c>
      <c r="N208" t="inlineStr">
        <is>
          <t>K</t>
        </is>
      </c>
      <c r="O208" t="inlineStr">
        <is>
          <t>20230621</t>
        </is>
      </c>
      <c r="P208" t="inlineStr">
        <is>
          <t>Jawa Barat</t>
        </is>
      </c>
      <c r="Q208" s="3">
        <f>HYPERLINK("https://wa.me/6289515093076?text=*[PERINGATAN DARURAT SBU RAHMANI]*%0A%0AYth. Pimpinan RAHMANI,%0AMasa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09">
      <c r="A209" t="inlineStr">
        <is>
          <t>RAHMAT FAISAL</t>
        </is>
      </c>
      <c r="B209" t="inlineStr">
        <is>
          <t>Kab. Kotawaringin Timur</t>
        </is>
      </c>
      <c r="C209" t="inlineStr">
        <is>
          <t>082157079580</t>
        </is>
      </c>
      <c r="D209" t="inlineStr">
        <is>
          <t>rahmatfaisalcv@gmail.com</t>
        </is>
      </c>
      <c r="E209" t="inlineStr">
        <is>
          <t>https://lpjk.pu.go.id/search-badan-usaha-detail/SFJGaklHZXl1UE1CclJMSFYxelFCZz09</t>
        </is>
      </c>
      <c r="F209" t="n">
        <v>6</v>
      </c>
      <c r="G209" t="inlineStr">
        <is>
          <t>BS001, BS004</t>
        </is>
      </c>
      <c r="H209" t="inlineStr">
        <is>
          <t>20 Agustus 2015</t>
        </is>
      </c>
      <c r="I209" s="2" t="n">
        <v>46194</v>
      </c>
      <c r="J209" t="inlineStr">
        <is>
          <t>Disetujui</t>
        </is>
      </c>
      <c r="K209" t="n">
        <v>30</v>
      </c>
      <c r="L209" t="inlineStr">
        <is>
          <t>21 Juni 2026</t>
        </is>
      </c>
      <c r="M209" t="inlineStr">
        <is>
          <t>Konstruksi Bangunan Sipil Jalan, Konstruksi Jaringan Irigasi dan Drainase</t>
        </is>
      </c>
      <c r="N209" t="inlineStr">
        <is>
          <t>K</t>
        </is>
      </c>
      <c r="O209" t="inlineStr">
        <is>
          <t>20230604</t>
        </is>
      </c>
      <c r="P209" t="inlineStr">
        <is>
          <t>Kalimantan Tengah</t>
        </is>
      </c>
      <c r="Q209" s="3">
        <f>HYPERLINK("https://wa.me/6282157079580?text=*[PERINGATAN DARURAT SBU RAHMAT FAISAL]*%0A%0AYth. Pimpinan RAHMAT FAISAL,%0AMasa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0">
      <c r="A210" t="inlineStr">
        <is>
          <t>RANAA PERSADA</t>
        </is>
      </c>
      <c r="B210" t="inlineStr">
        <is>
          <t>Kota Sukabumi</t>
        </is>
      </c>
      <c r="C210" t="inlineStr">
        <is>
          <t>081573304745</t>
        </is>
      </c>
      <c r="D210" t="inlineStr">
        <is>
          <t>ranaapersada@gmail.com</t>
        </is>
      </c>
      <c r="E210" t="inlineStr">
        <is>
          <t>https://lpjk.pu.go.id/search-badan-usaha-detail/RUxoRU5MTjNTeWtpU21FU1l4cWlFUT09</t>
        </is>
      </c>
      <c r="F210" t="n">
        <v>1</v>
      </c>
      <c r="G210" t="inlineStr">
        <is>
          <t>BG009</t>
        </is>
      </c>
      <c r="H210" t="inlineStr">
        <is>
          <t>29 Maret 2019</t>
        </is>
      </c>
      <c r="I210" s="2" t="n">
        <v>46194</v>
      </c>
      <c r="J210" t="inlineStr">
        <is>
          <t>Pencabutan</t>
        </is>
      </c>
      <c r="K210" t="n">
        <v>30</v>
      </c>
      <c r="L210" t="inlineStr">
        <is>
          <t>21 Juni 2026</t>
        </is>
      </c>
      <c r="M210" t="inlineStr">
        <is>
          <t>Konstruksi Gedung Lainnya</t>
        </is>
      </c>
      <c r="N210" t="inlineStr">
        <is>
          <t>K</t>
        </is>
      </c>
      <c r="O210" t="inlineStr">
        <is>
          <t>20230614</t>
        </is>
      </c>
      <c r="P210" t="inlineStr">
        <is>
          <t>Jawa Barat</t>
        </is>
      </c>
      <c r="Q210" s="3">
        <f>HYPERLINK("https://wa.me/6281573304745?text=*[PERINGATAN DARURAT SBU RANAA PERSADA]*%0A%0AYth. Pimpinan RANAA PERSADA,%0AMasa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1">
      <c r="A211" t="inlineStr">
        <is>
          <t>RAYS KARYA</t>
        </is>
      </c>
      <c r="B211" t="inlineStr">
        <is>
          <t>Kab. Bandung</t>
        </is>
      </c>
      <c r="C211" t="inlineStr">
        <is>
          <t>081220763415</t>
        </is>
      </c>
      <c r="D211" t="inlineStr">
        <is>
          <t>rayskarya@gmail.com</t>
        </is>
      </c>
      <c r="E211" t="inlineStr">
        <is>
          <t>https://lpjk.pu.go.id/search-badan-usaha-detail/UFU3SzZNK3dMOSt1bjJtWS9Xa3RoQT09</t>
        </is>
      </c>
      <c r="F211" t="n">
        <v>1</v>
      </c>
      <c r="G211" t="inlineStr">
        <is>
          <t>BS004</t>
        </is>
      </c>
      <c r="H211" t="inlineStr">
        <is>
          <t>19 November 2020</t>
        </is>
      </c>
      <c r="I211" s="2" t="n">
        <v>46194</v>
      </c>
      <c r="J211" t="inlineStr">
        <is>
          <t>Disetujui</t>
        </is>
      </c>
      <c r="K211" t="n">
        <v>30</v>
      </c>
      <c r="L211" t="inlineStr">
        <is>
          <t>21 Juni 2026</t>
        </is>
      </c>
      <c r="M211" t="inlineStr">
        <is>
          <t>Konstruksi Jaringan Irigasi dan Drainase</t>
        </is>
      </c>
      <c r="N211" t="inlineStr">
        <is>
          <t>K</t>
        </is>
      </c>
      <c r="O211" t="inlineStr">
        <is>
          <t>20230519</t>
        </is>
      </c>
      <c r="P211" t="inlineStr">
        <is>
          <t>Jawa Barat</t>
        </is>
      </c>
      <c r="Q211" s="3">
        <f>HYPERLINK("https://wa.me/6281220763415?text=*[PERINGATAN DARURAT SBU RAYS KARYA]*%0A%0AYth. Pimpinan RAYS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2">
      <c r="A212" t="inlineStr">
        <is>
          <t>RAYYAN PERKASA</t>
        </is>
      </c>
      <c r="B212" t="inlineStr">
        <is>
          <t>Kab. Tebo</t>
        </is>
      </c>
      <c r="C212" t="inlineStr">
        <is>
          <t>082380120966</t>
        </is>
      </c>
      <c r="D212" t="inlineStr">
        <is>
          <t>Rayyanperkasaaa@gmail.com</t>
        </is>
      </c>
      <c r="E212" t="inlineStr">
        <is>
          <t>https://lpjk.pu.go.id/search-badan-usaha-detail/Nk03SkRjQmR4V1h3SkJ6Q1drYlpkQT09</t>
        </is>
      </c>
      <c r="F212" t="n">
        <v>2</v>
      </c>
      <c r="G212" t="inlineStr">
        <is>
          <t>BS002</t>
        </is>
      </c>
      <c r="H212" t="inlineStr">
        <is>
          <t>16 Maret 2023</t>
        </is>
      </c>
      <c r="I212" s="2" t="n">
        <v>46194</v>
      </c>
      <c r="J212" t="inlineStr">
        <is>
          <t>Pencabutan</t>
        </is>
      </c>
      <c r="K212" t="n">
        <v>30</v>
      </c>
      <c r="L212" t="inlineStr">
        <is>
          <t>21 Juni 2026</t>
        </is>
      </c>
      <c r="M212" t="inlineStr">
        <is>
          <t>Bangunan Sipil Jembatan, Jalan Layang, Fly Over, dan Underpass</t>
        </is>
      </c>
      <c r="N212" t="inlineStr">
        <is>
          <t>K</t>
        </is>
      </c>
      <c r="O212" t="inlineStr">
        <is>
          <t>20230418</t>
        </is>
      </c>
      <c r="P212" t="inlineStr">
        <is>
          <t>Jambi</t>
        </is>
      </c>
      <c r="Q212" s="3">
        <f>HYPERLINK("https://wa.me/6282380120966?text=*[PERINGATAN DARURAT SBU RAYYAN PERKASA]*%0A%0AYth. Pimpinan RAYYAN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3">
      <c r="A213" t="inlineStr">
        <is>
          <t>REZEKI LANCAR BERKAH BERSAMA</t>
        </is>
      </c>
      <c r="B213" t="inlineStr">
        <is>
          <t>Kota Pontianak</t>
        </is>
      </c>
      <c r="C213" t="inlineStr">
        <is>
          <t>081348251108</t>
        </is>
      </c>
      <c r="D213" t="inlineStr">
        <is>
          <t>rezekilancarberkahbersama.pt@gmail.com</t>
        </is>
      </c>
      <c r="E213" t="inlineStr">
        <is>
          <t>https://lpjk.pu.go.id/search-badan-usaha-detail/bXBhNDdTazdoclNBaTdCWkFMMEVFZz09</t>
        </is>
      </c>
      <c r="F213" t="n">
        <v>1</v>
      </c>
      <c r="G213" t="inlineStr">
        <is>
          <t>BG001</t>
        </is>
      </c>
      <c r="H213" t="inlineStr">
        <is>
          <t>22 Februari 2023</t>
        </is>
      </c>
      <c r="I213" s="2" t="n">
        <v>46194</v>
      </c>
      <c r="J213" t="inlineStr">
        <is>
          <t>Disetujui</t>
        </is>
      </c>
      <c r="K213" t="n">
        <v>30</v>
      </c>
      <c r="L213" t="inlineStr">
        <is>
          <t>21 Juni 2026</t>
        </is>
      </c>
      <c r="M213" t="inlineStr">
        <is>
          <t>Konstruksi Gedung Hunian</t>
        </is>
      </c>
      <c r="N213" t="inlineStr">
        <is>
          <t>K</t>
        </is>
      </c>
      <c r="O213" t="inlineStr">
        <is>
          <t>20230619</t>
        </is>
      </c>
      <c r="P213" t="inlineStr">
        <is>
          <t>Kalimantan Barat</t>
        </is>
      </c>
      <c r="Q213" s="3">
        <f>HYPERLINK("https://wa.me/6281348251108?text=*[PERINGATAN DARURAT SBU REZEKI LANCAR BERKAH BERSAMA]*%0A%0AYth. Pimpinan REZEKI LANCAR BERKAH BERSAMA,%0AMasa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4">
      <c r="A214" t="inlineStr">
        <is>
          <t>REZKY BERSAMA</t>
        </is>
      </c>
      <c r="B214" t="inlineStr">
        <is>
          <t>Kab. Muara Enim</t>
        </is>
      </c>
      <c r="C214" t="inlineStr">
        <is>
          <t>081273768899</t>
        </is>
      </c>
      <c r="D214" t="inlineStr">
        <is>
          <t>rezkybersama12@gmail.com</t>
        </is>
      </c>
      <c r="E214" t="inlineStr">
        <is>
          <t>https://lpjk.pu.go.id/search-badan-usaha-detail/Zk5KTkk1UnBTUWxWTmNKY2tVTHp2dz09</t>
        </is>
      </c>
      <c r="F214" t="n">
        <v>1</v>
      </c>
      <c r="G214" t="inlineStr">
        <is>
          <t>BS004</t>
        </is>
      </c>
      <c r="H214" t="inlineStr">
        <is>
          <t>3 Maret 2020</t>
        </is>
      </c>
      <c r="I214" s="2" t="n">
        <v>46194</v>
      </c>
      <c r="J214" t="inlineStr">
        <is>
          <t>Disetujui</t>
        </is>
      </c>
      <c r="K214" t="n">
        <v>30</v>
      </c>
      <c r="L214" t="inlineStr">
        <is>
          <t>21 Juni 2026</t>
        </is>
      </c>
      <c r="M214" t="inlineStr">
        <is>
          <t>Konstruksi Jaringan Irigasi dan Drainase</t>
        </is>
      </c>
      <c r="N214" t="inlineStr">
        <is>
          <t>K</t>
        </is>
      </c>
      <c r="O214" t="inlineStr">
        <is>
          <t>20230620</t>
        </is>
      </c>
      <c r="P214" t="inlineStr">
        <is>
          <t>Sumatera Selatan</t>
        </is>
      </c>
      <c r="Q214" s="3">
        <f>HYPERLINK("https://wa.me/6281273768899?text=*[PERINGATAN DARURAT SBU REZKY BERSAMA]*%0A%0AYth. Pimpinan REZKY BERSAMA,%0AMasa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5">
      <c r="A215" t="inlineStr">
        <is>
          <t>RIO JAYA</t>
        </is>
      </c>
      <c r="B215" t="inlineStr">
        <is>
          <t>Kab. Banyuwangi</t>
        </is>
      </c>
      <c r="C215" t="inlineStr">
        <is>
          <t>085230182474</t>
        </is>
      </c>
      <c r="D215" t="inlineStr">
        <is>
          <t>cv.riojaya@gmail.com</t>
        </is>
      </c>
      <c r="E215" t="inlineStr">
        <is>
          <t>https://lpjk.pu.go.id/search-badan-usaha-detail/cGNwemJXbm9sN3BsbTBZN05tWllEdz09</t>
        </is>
      </c>
      <c r="F215" t="n">
        <v>1</v>
      </c>
      <c r="G215" t="inlineStr">
        <is>
          <t>BS004</t>
        </is>
      </c>
      <c r="H215" t="inlineStr">
        <is>
          <t>27 September 1991</t>
        </is>
      </c>
      <c r="I215" s="2" t="n">
        <v>46194</v>
      </c>
      <c r="J215" t="inlineStr">
        <is>
          <t>Disetujui</t>
        </is>
      </c>
      <c r="K215" t="n">
        <v>30</v>
      </c>
      <c r="L215" t="inlineStr">
        <is>
          <t>21 Juni 2026</t>
        </is>
      </c>
      <c r="M215" t="inlineStr">
        <is>
          <t>Konstruksi Jaringan Irigasi dan Drainase</t>
        </is>
      </c>
      <c r="N215" t="inlineStr">
        <is>
          <t>K</t>
        </is>
      </c>
      <c r="O215" t="inlineStr">
        <is>
          <t>20230619</t>
        </is>
      </c>
      <c r="P215" t="inlineStr">
        <is>
          <t>Jawa Timur</t>
        </is>
      </c>
      <c r="Q215" s="3">
        <f>HYPERLINK("https://wa.me/6285230182474?text=*[PERINGATAN DARURAT SBU RIO JAYA]*%0A%0AYth. Pimpinan RIO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6">
      <c r="A216" t="inlineStr">
        <is>
          <t>RIZKI JAYA</t>
        </is>
      </c>
      <c r="B216" t="inlineStr">
        <is>
          <t>Kota Surabaya</t>
        </is>
      </c>
      <c r="C216" t="inlineStr">
        <is>
          <t>081252870308</t>
        </is>
      </c>
      <c r="D216" t="inlineStr">
        <is>
          <t>rizkijaya96@yahoo.co.id</t>
        </is>
      </c>
      <c r="E216" t="inlineStr">
        <is>
          <t>https://lpjk.pu.go.id/search-badan-usaha-detail/OVhlcXJVZGsvcFYwRDFkeDBIdEZGQT09</t>
        </is>
      </c>
      <c r="F216" t="n">
        <v>2</v>
      </c>
      <c r="G216" t="inlineStr">
        <is>
          <t>BG005, BG009</t>
        </is>
      </c>
      <c r="H216" t="inlineStr">
        <is>
          <t>6 Mei 2015</t>
        </is>
      </c>
      <c r="I216" s="2" t="n">
        <v>46194</v>
      </c>
      <c r="J216" t="inlineStr">
        <is>
          <t>Disetujui</t>
        </is>
      </c>
      <c r="K216" t="n">
        <v>30</v>
      </c>
      <c r="L216" t="inlineStr">
        <is>
          <t>21 Juni 2026</t>
        </is>
      </c>
      <c r="M216" t="inlineStr">
        <is>
          <t>Konstruksi Gedung Kesehatan, Konstruksi Gedung Lainnya</t>
        </is>
      </c>
      <c r="N216" t="inlineStr">
        <is>
          <t>K</t>
        </is>
      </c>
      <c r="O216" t="inlineStr">
        <is>
          <t>20230620, 20230621</t>
        </is>
      </c>
      <c r="P216" t="inlineStr">
        <is>
          <t>Jawa Timur</t>
        </is>
      </c>
      <c r="Q216" s="3">
        <f>HYPERLINK("https://wa.me/6281252870308?text=*[PERINGATAN DARURAT SBU RIZKI JAYA]*%0A%0AYth. Pimpinan RIZKI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7">
      <c r="A217" t="inlineStr">
        <is>
          <t>SAFAZA KARYA</t>
        </is>
      </c>
      <c r="B217" t="inlineStr">
        <is>
          <t>Kab. Lombok Tengah</t>
        </is>
      </c>
      <c r="C217" t="inlineStr">
        <is>
          <t>087758470815</t>
        </is>
      </c>
      <c r="D217" t="inlineStr">
        <is>
          <t>cv.safazakarya@gmail.com</t>
        </is>
      </c>
      <c r="E217" t="inlineStr">
        <is>
          <t>https://lpjk.pu.go.id/search-badan-usaha-detail/UzZ5L2orbTJtdUdvVld0THN4TFgydz09</t>
        </is>
      </c>
      <c r="F217" t="n">
        <v>1</v>
      </c>
      <c r="G217" t="inlineStr">
        <is>
          <t>BG006</t>
        </is>
      </c>
      <c r="H217" t="inlineStr">
        <is>
          <t>9 Desember 2019</t>
        </is>
      </c>
      <c r="I217" s="2" t="n">
        <v>46194</v>
      </c>
      <c r="J217" t="inlineStr">
        <is>
          <t>Disetujui</t>
        </is>
      </c>
      <c r="K217" t="n">
        <v>30</v>
      </c>
      <c r="L217" t="inlineStr">
        <is>
          <t>21 Juni 2026</t>
        </is>
      </c>
      <c r="M217" t="inlineStr">
        <is>
          <t>Konstruksi Gedung Pendidikan</t>
        </is>
      </c>
      <c r="N217" t="inlineStr">
        <is>
          <t>K</t>
        </is>
      </c>
      <c r="O217" t="inlineStr">
        <is>
          <t>20230619</t>
        </is>
      </c>
      <c r="P217" t="inlineStr">
        <is>
          <t>Nusa Tenggara Barat</t>
        </is>
      </c>
      <c r="Q217" s="3">
        <f>HYPERLINK("https://wa.me/6287758470815?text=*[PERINGATAN DARURAT SBU SAFAZA KARYA]*%0A%0AYth. Pimpinan SAFAZA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8">
      <c r="A218" t="inlineStr">
        <is>
          <t>SAGARA NANJUNG</t>
        </is>
      </c>
      <c r="B218" t="inlineStr">
        <is>
          <t>Kab. Garut</t>
        </is>
      </c>
      <c r="C218" t="inlineStr">
        <is>
          <t>085315242555</t>
        </is>
      </c>
      <c r="D218" t="inlineStr">
        <is>
          <t>sagarananjung.cv@gmail.com</t>
        </is>
      </c>
      <c r="E218" t="inlineStr">
        <is>
          <t>https://lpjk.pu.go.id/search-badan-usaha-detail/UmErZXBRZkJOVmJYaWREUk15OUhrUT09</t>
        </is>
      </c>
      <c r="F218" t="n">
        <v>6</v>
      </c>
      <c r="G218" t="inlineStr">
        <is>
          <t>BG002, BG004, BG005, BG006, BG009, BS002</t>
        </is>
      </c>
      <c r="H218" t="inlineStr">
        <is>
          <t>22 Januari 2019</t>
        </is>
      </c>
      <c r="I218" s="2" t="n">
        <v>46194</v>
      </c>
      <c r="J218" t="inlineStr">
        <is>
          <t>Disetujui</t>
        </is>
      </c>
      <c r="K218" t="n">
        <v>30</v>
      </c>
      <c r="L218" t="inlineStr">
        <is>
          <t>21 Juni 2026</t>
        </is>
      </c>
      <c r="M218" t="inlineStr">
        <is>
          <t>Bangunan Sipil Jembatan, Jalan Layang, Fly Over, dan Underpass, Konstruksi Gedung Kesehatan, Konstruksi Gedung Lainnya, Konstruksi Gedung Pendidikan, Konstruksi Gedung Perbelanjaan, Konstruksi Gedung Perkantoran</t>
        </is>
      </c>
      <c r="N218" t="inlineStr">
        <is>
          <t>K</t>
        </is>
      </c>
      <c r="O218" t="inlineStr">
        <is>
          <t>20230621</t>
        </is>
      </c>
      <c r="P218" t="inlineStr">
        <is>
          <t>Jawa Barat</t>
        </is>
      </c>
      <c r="Q218" s="3">
        <f>HYPERLINK("https://wa.me/6285315242555?text=*[PERINGATAN DARURAT SBU SAGARA NANJUNG]*%0A%0AYth. Pimpinan SAGARA NANJUNG,%0AMasa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19">
      <c r="A219" t="inlineStr">
        <is>
          <t>SAHABAT</t>
        </is>
      </c>
      <c r="B219" t="inlineStr">
        <is>
          <t>Kab. Padang Lawas Utara</t>
        </is>
      </c>
      <c r="C219" t="inlineStr">
        <is>
          <t>082370196188</t>
        </is>
      </c>
      <c r="D219" t="inlineStr">
        <is>
          <t>azwarardhi@yahoo.co.id</t>
        </is>
      </c>
      <c r="E219" t="inlineStr">
        <is>
          <t>https://lpjk.pu.go.id/search-badan-usaha-detail/TTE1ZG0wSkJwQjRLVFd5dEFMTnhkQT09</t>
        </is>
      </c>
      <c r="F219" t="n">
        <v>1</v>
      </c>
      <c r="G219" t="inlineStr">
        <is>
          <t>BS004</t>
        </is>
      </c>
      <c r="H219" t="inlineStr">
        <is>
          <t>22 Juni 2012</t>
        </is>
      </c>
      <c r="I219" s="2" t="n">
        <v>46194</v>
      </c>
      <c r="J219" t="inlineStr">
        <is>
          <t>Pencabutan</t>
        </is>
      </c>
      <c r="K219" t="n">
        <v>30</v>
      </c>
      <c r="L219" t="inlineStr">
        <is>
          <t>21 Juni 2026</t>
        </is>
      </c>
      <c r="M219" t="inlineStr">
        <is>
          <t>Konstruksi Jaringan Irigasi dan Drainase</t>
        </is>
      </c>
      <c r="N219" t="inlineStr">
        <is>
          <t>K</t>
        </is>
      </c>
      <c r="O219" t="inlineStr">
        <is>
          <t>20230607</t>
        </is>
      </c>
      <c r="P219" t="inlineStr">
        <is>
          <t>Sumatera Utara</t>
        </is>
      </c>
      <c r="Q219" s="3">
        <f>HYPERLINK("https://wa.me/6282370196188?text=*[PERINGATAN DARURAT SBU SAHABAT]*%0A%0AYth. Pimpinan SAHABAT,%0AMasa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0">
      <c r="A220" t="inlineStr">
        <is>
          <t>SAMOKA</t>
        </is>
      </c>
      <c r="B220" t="inlineStr">
        <is>
          <t>Kota Surabaya</t>
        </is>
      </c>
      <c r="C220" t="inlineStr">
        <is>
          <t>082147222682</t>
        </is>
      </c>
      <c r="D220" t="inlineStr">
        <is>
          <t>samokakarya@gmail.com</t>
        </is>
      </c>
      <c r="E220" t="inlineStr">
        <is>
          <t>https://lpjk.pu.go.id/search-badan-usaha-detail/Wk5nUVZEeTkxejl0NGhBSUZVVkdNUT09</t>
        </is>
      </c>
      <c r="F220" t="n">
        <v>1</v>
      </c>
      <c r="G220" t="inlineStr">
        <is>
          <t>KP002</t>
        </is>
      </c>
      <c r="H220" t="inlineStr">
        <is>
          <t>10 Januari 2020</t>
        </is>
      </c>
      <c r="I220" s="2" t="n">
        <v>46194</v>
      </c>
      <c r="J220" t="inlineStr">
        <is>
          <t>Pembekuan</t>
        </is>
      </c>
      <c r="K220" t="n">
        <v>30</v>
      </c>
      <c r="L220" t="inlineStr">
        <is>
          <t>21 Juni 2026</t>
        </is>
      </c>
      <c r="M220" t="inlineStr">
        <is>
          <t>Pekerjaan Konstruksi Prapabrikasi Bangunan Sipil</t>
        </is>
      </c>
      <c r="N220" t="inlineStr">
        <is>
          <t>Spesialis</t>
        </is>
      </c>
      <c r="O220" t="inlineStr">
        <is>
          <t>20230620</t>
        </is>
      </c>
      <c r="P220" t="inlineStr">
        <is>
          <t>Jawa Timur</t>
        </is>
      </c>
      <c r="Q220" s="3">
        <f>HYPERLINK("https://wa.me/6282147222682?text=*[PERINGATAN DARURAT SBU SAMOKA]*%0A%0AYth. Pimpinan SAMOKA,%0AMasa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1">
      <c r="A221" t="inlineStr">
        <is>
          <t>SAMPURNA KURNIA ABADI</t>
        </is>
      </c>
      <c r="B221" t="inlineStr">
        <is>
          <t>Kota Palembang</t>
        </is>
      </c>
      <c r="C221" t="inlineStr">
        <is>
          <t>081210656776</t>
        </is>
      </c>
      <c r="D221" t="inlineStr">
        <is>
          <t>sampurnakurniaabadi@yahoo.com</t>
        </is>
      </c>
      <c r="E221" t="inlineStr">
        <is>
          <t>https://lpjk.pu.go.id/search-badan-usaha-detail/ckM2b0hRMndIYVFlaDI5clduZzZzQT09</t>
        </is>
      </c>
      <c r="F221" t="n">
        <v>1</v>
      </c>
      <c r="G221" t="inlineStr">
        <is>
          <t>BG009</t>
        </is>
      </c>
      <c r="H221" t="inlineStr">
        <is>
          <t>15 Maret 2017</t>
        </is>
      </c>
      <c r="I221" s="2" t="n">
        <v>46194</v>
      </c>
      <c r="J221" t="inlineStr">
        <is>
          <t>Disetujui</t>
        </is>
      </c>
      <c r="K221" t="n">
        <v>30</v>
      </c>
      <c r="L221" t="inlineStr">
        <is>
          <t>21 Juni 2026</t>
        </is>
      </c>
      <c r="M221" t="inlineStr">
        <is>
          <t>Konstruksi Gedung Lainnya</t>
        </is>
      </c>
      <c r="N221" t="inlineStr">
        <is>
          <t>K</t>
        </is>
      </c>
      <c r="O221" t="inlineStr">
        <is>
          <t>20230612</t>
        </is>
      </c>
      <c r="P221" t="inlineStr">
        <is>
          <t>Sumatera Selatan</t>
        </is>
      </c>
      <c r="Q221" s="3">
        <f>HYPERLINK("https://wa.me/6281210656776?text=*[PERINGATAN DARURAT SBU SAMPURNA KURNIA ABADI]*%0A%0AYth. Pimpinan SAMPURNA KURNIA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2">
      <c r="A222" t="inlineStr">
        <is>
          <t>SANGKURIANG SAKTI</t>
        </is>
      </c>
      <c r="B222" t="inlineStr">
        <is>
          <t>Kab. Kapuas Hulu</t>
        </is>
      </c>
      <c r="C222" t="inlineStr">
        <is>
          <t>081255140394</t>
        </is>
      </c>
      <c r="D222" t="inlineStr">
        <is>
          <t>sangkuriangsakti50@gmail.com</t>
        </is>
      </c>
      <c r="E222" t="inlineStr">
        <is>
          <t>https://lpjk.pu.go.id/search-badan-usaha-detail/RHU0NmFOVWhGazlsZjZ4L2VKN3o5QT09</t>
        </is>
      </c>
      <c r="F222" t="n">
        <v>2</v>
      </c>
      <c r="G222" t="inlineStr">
        <is>
          <t>BS001</t>
        </is>
      </c>
      <c r="H222" t="inlineStr">
        <is>
          <t>7 Februari 2006</t>
        </is>
      </c>
      <c r="I222" s="2" t="n">
        <v>46194</v>
      </c>
      <c r="J222" t="inlineStr">
        <is>
          <t>Disetujui</t>
        </is>
      </c>
      <c r="K222" t="n">
        <v>30</v>
      </c>
      <c r="L222" t="inlineStr">
        <is>
          <t>21 Juni 2026</t>
        </is>
      </c>
      <c r="M222" t="inlineStr">
        <is>
          <t>Konstruksi Bangunan Sipil Jalan</t>
        </is>
      </c>
      <c r="N222" t="inlineStr">
        <is>
          <t>K</t>
        </is>
      </c>
      <c r="O222" t="inlineStr">
        <is>
          <t>20230620</t>
        </is>
      </c>
      <c r="P222" t="inlineStr">
        <is>
          <t>Kalimantan Barat</t>
        </is>
      </c>
      <c r="Q222" s="3">
        <f>HYPERLINK("https://wa.me/6281255140394?text=*[PERINGATAN DARURAT SBU SANGKURIANG SAKTI]*%0A%0AYth. Pimpinan SANGKURIANG SAKTI,%0AMasa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3">
      <c r="A223" t="inlineStr">
        <is>
          <t>SARANA SETIA SEJAHTERA</t>
        </is>
      </c>
      <c r="B223" t="inlineStr">
        <is>
          <t>Kota Jayapura</t>
        </is>
      </c>
      <c r="C223" t="inlineStr">
        <is>
          <t>081330269668</t>
        </is>
      </c>
      <c r="D223" t="inlineStr">
        <is>
          <t>saranasetiasejahtera@gmail.com</t>
        </is>
      </c>
      <c r="E223" t="inlineStr">
        <is>
          <t>https://lpjk.pu.go.id/search-badan-usaha-detail/bnNPNXBnTjZkaFdMcWJwWUY5U3hKUT09</t>
        </is>
      </c>
      <c r="F223" t="n">
        <v>2</v>
      </c>
      <c r="G223" t="inlineStr">
        <is>
          <t>BS001</t>
        </is>
      </c>
      <c r="H223" t="inlineStr">
        <is>
          <t>8 Oktober 2008</t>
        </is>
      </c>
      <c r="I223" s="2" t="n">
        <v>46194</v>
      </c>
      <c r="J223" t="inlineStr">
        <is>
          <t>Disetujui</t>
        </is>
      </c>
      <c r="K223" t="n">
        <v>30</v>
      </c>
      <c r="L223" t="inlineStr">
        <is>
          <t>21 Juni 2026</t>
        </is>
      </c>
      <c r="M223" t="inlineStr">
        <is>
          <t>Konstruksi Bangunan Sipil Jalan</t>
        </is>
      </c>
      <c r="N223" t="inlineStr">
        <is>
          <t>M</t>
        </is>
      </c>
      <c r="O223" t="inlineStr">
        <is>
          <t>20230620</t>
        </is>
      </c>
      <c r="P223" t="inlineStr">
        <is>
          <t>Papua</t>
        </is>
      </c>
      <c r="Q223" s="3">
        <f>HYPERLINK("https://wa.me/6281330269668?text=*[PERINGATAN DARURAT SBU SARANA SETIA SEJAHTERA]*%0A%0AYth. Pimpinan SARANA SETIA SEJAHTERA,%0AMasa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4">
      <c r="A224" t="inlineStr">
        <is>
          <t>SATRIA CIPTA BUANA</t>
        </is>
      </c>
      <c r="B224" t="inlineStr">
        <is>
          <t>Kab. Purwakarta</t>
        </is>
      </c>
      <c r="C224" t="inlineStr">
        <is>
          <t>081213527791</t>
        </is>
      </c>
      <c r="D224" t="inlineStr">
        <is>
          <t>cvsatriaciptabuana@hotmail.com</t>
        </is>
      </c>
      <c r="E224" t="inlineStr">
        <is>
          <t>https://lpjk.pu.go.id/search-badan-usaha-detail/Z1lUaFNTWDhiUkhLNTRpS1VKa2I1QT09</t>
        </is>
      </c>
      <c r="F224" t="n">
        <v>6</v>
      </c>
      <c r="G224" t="inlineStr">
        <is>
          <t>BG002, BG005, BG006, BG009, BS001, BS004</t>
        </is>
      </c>
      <c r="H224" t="inlineStr">
        <is>
          <t>9 Juni 2020</t>
        </is>
      </c>
      <c r="I224" s="2" t="n">
        <v>46194</v>
      </c>
      <c r="J224" t="inlineStr">
        <is>
          <t>Disetujui</t>
        </is>
      </c>
      <c r="K224" t="n">
        <v>30</v>
      </c>
      <c r="L224" t="inlineStr">
        <is>
          <t>21 Juni 2026</t>
        </is>
      </c>
      <c r="M224" t="inlineStr">
        <is>
          <t>Konstruksi Bangunan Sipil Jalan, Konstruksi Gedung Kesehatan, Konstruksi Gedung Lainnya, Konstruksi Gedung Pendidikan, Konstruksi Gedung Perkantoran, Konstruksi Jaringan Irigasi dan Drainase</t>
        </is>
      </c>
      <c r="N224" t="inlineStr">
        <is>
          <t>K</t>
        </is>
      </c>
      <c r="O224" t="inlineStr">
        <is>
          <t>20230612</t>
        </is>
      </c>
      <c r="P224" t="inlineStr">
        <is>
          <t>Jawa Barat</t>
        </is>
      </c>
      <c r="Q224" s="3">
        <f>HYPERLINK("https://wa.me/6281213527791?text=*[PERINGATAN DARURAT SBU SATRIA CIPTA BUANA]*%0A%0AYth. Pimpinan SATRIA CIPTA BUANA,%0AMasa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5">
      <c r="A225" t="inlineStr">
        <is>
          <t>SEKAR ARUM ABADI</t>
        </is>
      </c>
      <c r="B225" t="inlineStr">
        <is>
          <t>Kab. Gresik</t>
        </is>
      </c>
      <c r="C225" t="inlineStr">
        <is>
          <t>082229554546</t>
        </is>
      </c>
      <c r="D225" t="inlineStr">
        <is>
          <t>cv.sekararumabadi@gmail.com</t>
        </is>
      </c>
      <c r="E225" t="inlineStr">
        <is>
          <t>https://lpjk.pu.go.id/search-badan-usaha-detail/T2NyRG1BMFg0czR2eUNHQU5aYkxOZz09</t>
        </is>
      </c>
      <c r="F225" t="n">
        <v>6</v>
      </c>
      <c r="G225" t="inlineStr">
        <is>
          <t>BG003, BG006, BG009</t>
        </is>
      </c>
      <c r="H225" t="inlineStr">
        <is>
          <t>24 Februari 2020</t>
        </is>
      </c>
      <c r="I225" s="2" t="n">
        <v>46194</v>
      </c>
      <c r="J225" t="inlineStr">
        <is>
          <t>Disetujui</t>
        </is>
      </c>
      <c r="K225" t="n">
        <v>30</v>
      </c>
      <c r="L225" t="inlineStr">
        <is>
          <t>21 Juni 2026</t>
        </is>
      </c>
      <c r="M225" t="inlineStr">
        <is>
          <t>Konstruksi Gedung Industri, Konstruksi Gedung Lainnya, Konstruksi Gedung Pendidikan</t>
        </is>
      </c>
      <c r="N225" t="inlineStr">
        <is>
          <t>K</t>
        </is>
      </c>
      <c r="O225" t="inlineStr">
        <is>
          <t>20230609, 20230619</t>
        </is>
      </c>
      <c r="P225" t="inlineStr">
        <is>
          <t>Jawa Timur</t>
        </is>
      </c>
      <c r="Q225" s="3">
        <f>HYPERLINK("https://wa.me/6282229554546?text=*[PERINGATAN DARURAT SBU SEKAR ARUM ABADI]*%0A%0AYth. Pimpinan SEKAR ARUM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6">
      <c r="A226" t="inlineStr">
        <is>
          <t>SENTRAUTAMA CONSULINDO</t>
        </is>
      </c>
      <c r="B226" t="inlineStr">
        <is>
          <t>Kota Semarang</t>
        </is>
      </c>
      <c r="C226" t="inlineStr">
        <is>
          <t>081325012303</t>
        </is>
      </c>
      <c r="D226" t="inlineStr">
        <is>
          <t>sentrautama.cons@gmail.com</t>
        </is>
      </c>
      <c r="E226" t="inlineStr">
        <is>
          <t>https://lpjk.pu.go.id/search-badan-usaha-detail/aGM2RzllM3Y2NDNvbHpEYjNkaFpZZz09</t>
        </is>
      </c>
      <c r="F226" t="n">
        <v>3</v>
      </c>
      <c r="G226" t="inlineStr">
        <is>
          <t>RK001, RK002, RK005</t>
        </is>
      </c>
      <c r="H226" t="inlineStr">
        <is>
          <t>29 Juni 2015</t>
        </is>
      </c>
      <c r="I226" s="2" t="n">
        <v>46194</v>
      </c>
      <c r="J226" t="inlineStr">
        <is>
          <t>Disetujui</t>
        </is>
      </c>
      <c r="K226" t="n">
        <v>30</v>
      </c>
      <c r="L226" t="inlineStr">
        <is>
          <t>21 Juni 2026</t>
        </is>
      </c>
      <c r="M226" t="inlineStr">
        <is>
          <t>Jasa Rekayasa Konstruksi Bangunan Gedung Hunian dan Non Hunian, Jasa Rekayasa Lainnya, Jasa Rekayasa Pekerjaan Teknik Sipil Sumber Daya Air</t>
        </is>
      </c>
      <c r="N226" t="inlineStr">
        <is>
          <t>K</t>
        </is>
      </c>
      <c r="O226" t="inlineStr">
        <is>
          <t>20230615</t>
        </is>
      </c>
      <c r="P226" t="inlineStr">
        <is>
          <t>Jawa Tengah</t>
        </is>
      </c>
      <c r="Q226" s="3">
        <f>HYPERLINK("https://wa.me/6281325012303?text=*[PERINGATAN DARURAT SBU SENTRAUTAMA CONSULINDO]*%0A%0AYth. Pimpinan SENTRAUTAMA CONSULINDO,%0AMasa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7">
      <c r="A227" t="inlineStr">
        <is>
          <t>SETYA KUNCARA</t>
        </is>
      </c>
      <c r="B227" t="inlineStr">
        <is>
          <t>Kab. Pacitan</t>
        </is>
      </c>
      <c r="C227" t="inlineStr">
        <is>
          <t>081335006226</t>
        </is>
      </c>
      <c r="D227" t="inlineStr">
        <is>
          <t>agussetyobudi151@gmail.com</t>
        </is>
      </c>
      <c r="E227" t="inlineStr">
        <is>
          <t>https://lpjk.pu.go.id/search-badan-usaha-detail/MG8reTVqUUhVVjRaOHZKM2RFRnR3dz09</t>
        </is>
      </c>
      <c r="F227" t="n">
        <v>1</v>
      </c>
      <c r="G227" t="inlineStr">
        <is>
          <t>BS001</t>
        </is>
      </c>
      <c r="H227" t="inlineStr">
        <is>
          <t>31 Januari 2007</t>
        </is>
      </c>
      <c r="I227" s="2" t="n">
        <v>46194</v>
      </c>
      <c r="J227" t="inlineStr">
        <is>
          <t>Disetujui</t>
        </is>
      </c>
      <c r="K227" t="n">
        <v>30</v>
      </c>
      <c r="L227" t="inlineStr">
        <is>
          <t>21 Juni 2026</t>
        </is>
      </c>
      <c r="M227" t="inlineStr">
        <is>
          <t>Konstruksi Bangunan Sipil Jalan</t>
        </is>
      </c>
      <c r="N227" t="inlineStr">
        <is>
          <t>K</t>
        </is>
      </c>
      <c r="O227" t="inlineStr">
        <is>
          <t>20230618</t>
        </is>
      </c>
      <c r="P227" t="inlineStr">
        <is>
          <t>Jawa Timur</t>
        </is>
      </c>
      <c r="Q227" s="3">
        <f>HYPERLINK("https://wa.me/6281335006226?text=*[PERINGATAN DARURAT SBU SETYA KUNCARA]*%0A%0AYth. Pimpinan SETYA KUNCARA,%0AMasa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8">
      <c r="A228" t="inlineStr">
        <is>
          <t>SIBAYAK LESTARI</t>
        </is>
      </c>
      <c r="B228" t="inlineStr">
        <is>
          <t>Kab. Sanggau</t>
        </is>
      </c>
      <c r="C228" t="inlineStr">
        <is>
          <t>082351919134</t>
        </is>
      </c>
      <c r="D228" t="inlineStr">
        <is>
          <t>sibayaklestari@gmail.com</t>
        </is>
      </c>
      <c r="E228" t="inlineStr">
        <is>
          <t>https://lpjk.pu.go.id/search-badan-usaha-detail/NXpjN01GZWV0NHlZWGhlMHpGWTZFQT09</t>
        </is>
      </c>
      <c r="F228" t="n">
        <v>1</v>
      </c>
      <c r="G228" t="inlineStr">
        <is>
          <t>BG005</t>
        </is>
      </c>
      <c r="H228" t="inlineStr">
        <is>
          <t>7 September 2016</t>
        </is>
      </c>
      <c r="I228" s="2" t="n">
        <v>46194</v>
      </c>
      <c r="J228" t="inlineStr">
        <is>
          <t>Disetujui</t>
        </is>
      </c>
      <c r="K228" t="n">
        <v>30</v>
      </c>
      <c r="L228" t="inlineStr">
        <is>
          <t>21 Juni 2026</t>
        </is>
      </c>
      <c r="M228" t="inlineStr">
        <is>
          <t>Konstruksi Gedung Kesehatan</t>
        </is>
      </c>
      <c r="N228" t="inlineStr">
        <is>
          <t>K</t>
        </is>
      </c>
      <c r="O228" t="inlineStr">
        <is>
          <t>20230622</t>
        </is>
      </c>
      <c r="P228" t="inlineStr">
        <is>
          <t>Kalimantan Barat</t>
        </is>
      </c>
      <c r="Q228" s="3">
        <f>HYPERLINK("https://wa.me/6282351919134?text=*[PERINGATAN DARURAT SBU SIBAYAK LESTARI]*%0A%0AYth. Pimpinan SIBAYAK LESTARI,%0AMasa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29">
      <c r="A229" t="inlineStr">
        <is>
          <t>SIMPANG MEMBANGUN</t>
        </is>
      </c>
      <c r="B229" t="inlineStr">
        <is>
          <t>Kab. Banggai</t>
        </is>
      </c>
      <c r="C229" t="inlineStr">
        <is>
          <t>082297618433</t>
        </is>
      </c>
      <c r="D229" t="inlineStr">
        <is>
          <t>cvsimpangmembangun@gmail.com</t>
        </is>
      </c>
      <c r="E229" t="inlineStr">
        <is>
          <t>https://lpjk.pu.go.id/search-badan-usaha-detail/VjZ2eEJvalNjYTJaZTZVZXpSNk1ZZz09</t>
        </is>
      </c>
      <c r="F229" t="n">
        <v>2</v>
      </c>
      <c r="G229" t="inlineStr">
        <is>
          <t>BG006, BG009</t>
        </is>
      </c>
      <c r="H229" t="inlineStr">
        <is>
          <t>8 Januari 2021</t>
        </is>
      </c>
      <c r="I229" s="2" t="n">
        <v>46194</v>
      </c>
      <c r="J229" t="inlineStr">
        <is>
          <t>Disetujui</t>
        </is>
      </c>
      <c r="K229" t="n">
        <v>30</v>
      </c>
      <c r="L229" t="inlineStr">
        <is>
          <t>21 Juni 2026</t>
        </is>
      </c>
      <c r="M229" t="inlineStr">
        <is>
          <t>Konstruksi Gedung Lainnya, Konstruksi Gedung Pendidikan</t>
        </is>
      </c>
      <c r="N229" t="inlineStr">
        <is>
          <t>K</t>
        </is>
      </c>
      <c r="O229" t="inlineStr">
        <is>
          <t>20230620, 20230621</t>
        </is>
      </c>
      <c r="P229" t="inlineStr">
        <is>
          <t>Sulawesi Tengah</t>
        </is>
      </c>
      <c r="Q229" s="3">
        <f>HYPERLINK("https://wa.me/6282297618433?text=*[PERINGATAN DARURAT SBU SIMPANG MEMBANGUN]*%0A%0AYth. Pimpinan SIMPANG MEMBANGUN,%0AMasa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0">
      <c r="A230" t="inlineStr">
        <is>
          <t>SINAR AGUNG ZULFALAH</t>
        </is>
      </c>
      <c r="B230" t="inlineStr">
        <is>
          <t>Kab. Boalemo</t>
        </is>
      </c>
      <c r="C230" t="inlineStr">
        <is>
          <t>085255599669</t>
        </is>
      </c>
      <c r="D230" t="inlineStr">
        <is>
          <t>sinaragung.zulfalah@gmail.com</t>
        </is>
      </c>
      <c r="E230" t="inlineStr">
        <is>
          <t>https://lpjk.pu.go.id/search-badan-usaha-detail/M0EwRkgzT2w5S0dva0prU0ZNYTZmUT09</t>
        </is>
      </c>
      <c r="F230" t="n">
        <v>1</v>
      </c>
      <c r="G230" t="inlineStr">
        <is>
          <t>BG004</t>
        </is>
      </c>
      <c r="H230" t="inlineStr">
        <is>
          <t>8 April 2016</t>
        </is>
      </c>
      <c r="I230" s="2" t="n">
        <v>46194</v>
      </c>
      <c r="J230" t="inlineStr">
        <is>
          <t>Disetujui</t>
        </is>
      </c>
      <c r="K230" t="n">
        <v>30</v>
      </c>
      <c r="L230" t="inlineStr">
        <is>
          <t>21 Juni 2026</t>
        </is>
      </c>
      <c r="M230" t="inlineStr">
        <is>
          <t>Konstruksi Gedung Perbelanjaan</t>
        </is>
      </c>
      <c r="N230" t="inlineStr">
        <is>
          <t>K</t>
        </is>
      </c>
      <c r="O230" t="inlineStr">
        <is>
          <t>20230620</t>
        </is>
      </c>
      <c r="P230" t="inlineStr">
        <is>
          <t>Gorontalo</t>
        </is>
      </c>
      <c r="Q230" s="3">
        <f>HYPERLINK("https://wa.me/6285255599669?text=*[PERINGATAN DARURAT SBU SINAR AGUNG ZULFALAH]*%0A%0AYth. Pimpinan SINAR AGUNG ZULFALAH,%0AMasa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1">
      <c r="A231" t="inlineStr">
        <is>
          <t>SINAR AMPEL BANGUN</t>
        </is>
      </c>
      <c r="B231" t="inlineStr">
        <is>
          <t>Kab. Tangerang</t>
        </is>
      </c>
      <c r="C231" t="inlineStr">
        <is>
          <t>083812881688</t>
        </is>
      </c>
      <c r="D231" t="inlineStr">
        <is>
          <t>sinarampelbangun@gmail.com</t>
        </is>
      </c>
      <c r="E231" t="inlineStr">
        <is>
          <t>https://lpjk.pu.go.id/search-badan-usaha-detail/eXhNRTlPMzBSdmUwL0krZnBwVjJjdz09</t>
        </is>
      </c>
      <c r="F231" t="n">
        <v>1</v>
      </c>
      <c r="G231" t="inlineStr">
        <is>
          <t>BG006</t>
        </is>
      </c>
      <c r="H231" t="inlineStr">
        <is>
          <t>26 November 2022</t>
        </is>
      </c>
      <c r="I231" s="2" t="n">
        <v>46194</v>
      </c>
      <c r="J231" t="inlineStr">
        <is>
          <t>Pencabutan</t>
        </is>
      </c>
      <c r="K231" t="n">
        <v>30</v>
      </c>
      <c r="L231" t="inlineStr">
        <is>
          <t>21 Juni 2026</t>
        </is>
      </c>
      <c r="M231" t="inlineStr">
        <is>
          <t>Konstruksi Gedung Pendidikan</t>
        </is>
      </c>
      <c r="N231" t="inlineStr">
        <is>
          <t>K</t>
        </is>
      </c>
      <c r="O231" t="inlineStr">
        <is>
          <t>20230620</t>
        </is>
      </c>
      <c r="P231" t="inlineStr">
        <is>
          <t>Banten</t>
        </is>
      </c>
      <c r="Q231" s="3">
        <f>HYPERLINK("https://wa.me/6283812881688?text=*[PERINGATAN DARURAT SBU SINAR AMPEL BANGUN]*%0A%0AYth. Pimpinan SINAR AMPEL BANGUN,%0AMasa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2">
      <c r="A232" t="inlineStr">
        <is>
          <t>SINAR BERKAS ABADI</t>
        </is>
      </c>
      <c r="B232" t="inlineStr">
        <is>
          <t>Kab. Ogan Komering Ulu</t>
        </is>
      </c>
      <c r="C232" t="inlineStr">
        <is>
          <t>082279623550</t>
        </is>
      </c>
      <c r="D232" t="inlineStr">
        <is>
          <t>cvsinarberkasabadi@yahoo.com</t>
        </is>
      </c>
      <c r="E232" t="inlineStr">
        <is>
          <t>https://lpjk.pu.go.id/search-badan-usaha-detail/K0p1SUVjRUVvV3pVMnNsUjRpZFBJQT09</t>
        </is>
      </c>
      <c r="F232" t="n">
        <v>1</v>
      </c>
      <c r="G232" t="inlineStr">
        <is>
          <t>BS002</t>
        </is>
      </c>
      <c r="H232" t="inlineStr">
        <is>
          <t>27 Januari 2021</t>
        </is>
      </c>
      <c r="I232" s="2" t="n">
        <v>46194</v>
      </c>
      <c r="J232" t="inlineStr">
        <is>
          <t>Disetujui</t>
        </is>
      </c>
      <c r="K232" t="n">
        <v>30</v>
      </c>
      <c r="L232" t="inlineStr">
        <is>
          <t>21 Juni 2026</t>
        </is>
      </c>
      <c r="M232" t="inlineStr">
        <is>
          <t>Bangunan Sipil Jembatan, Jalan Layang, Fly Over, dan Underpass</t>
        </is>
      </c>
      <c r="N232" t="inlineStr">
        <is>
          <t>K</t>
        </is>
      </c>
      <c r="O232" t="inlineStr">
        <is>
          <t>20230615</t>
        </is>
      </c>
      <c r="P232" t="inlineStr">
        <is>
          <t>Sumatera Selatan</t>
        </is>
      </c>
      <c r="Q232" s="3">
        <f>HYPERLINK("https://wa.me/6282279623550?text=*[PERINGATAN DARURAT SBU SINAR BERKAS ABADI]*%0A%0AYth. Pimpinan SINAR BERKAS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3">
      <c r="A233" t="inlineStr">
        <is>
          <t>SINAR GOBEL</t>
        </is>
      </c>
      <c r="B233" t="inlineStr">
        <is>
          <t>Kab. Tapanuli Utara</t>
        </is>
      </c>
      <c r="C233" t="inlineStr">
        <is>
          <t>081263886211</t>
        </is>
      </c>
      <c r="D233" t="inlineStr">
        <is>
          <t>gobelsinar12@gmail.com</t>
        </is>
      </c>
      <c r="E233" t="inlineStr">
        <is>
          <t>https://lpjk.pu.go.id/search-badan-usaha-detail/OTJxY2VSRzQ0b0pMSjRUSlMzd3ZuUT09</t>
        </is>
      </c>
      <c r="F233" t="n">
        <v>1</v>
      </c>
      <c r="G233" t="inlineStr">
        <is>
          <t>BS004</t>
        </is>
      </c>
      <c r="H233" t="inlineStr">
        <is>
          <t>14 Mei 2014</t>
        </is>
      </c>
      <c r="I233" s="2" t="n">
        <v>46194</v>
      </c>
      <c r="J233" t="inlineStr">
        <is>
          <t>Disetujui</t>
        </is>
      </c>
      <c r="K233" t="n">
        <v>30</v>
      </c>
      <c r="L233" t="inlineStr">
        <is>
          <t>21 Juni 2026</t>
        </is>
      </c>
      <c r="M233" t="inlineStr">
        <is>
          <t>Konstruksi Jaringan Irigasi dan Drainase</t>
        </is>
      </c>
      <c r="N233" t="inlineStr">
        <is>
          <t>K</t>
        </is>
      </c>
      <c r="O233" t="inlineStr">
        <is>
          <t>20230621</t>
        </is>
      </c>
      <c r="P233" t="inlineStr">
        <is>
          <t>Sumatera Utara</t>
        </is>
      </c>
      <c r="Q233" s="3">
        <f>HYPERLINK("https://wa.me/6281263886211?text=*[PERINGATAN DARURAT SBU SINAR GOBEL]*%0A%0AYth. Pimpinan SINAR GOBEL,%0AMasa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4">
      <c r="A234" t="inlineStr">
        <is>
          <t>SINAR JAYA</t>
        </is>
      </c>
      <c r="B234" t="inlineStr">
        <is>
          <t>Kab. Nganjuk</t>
        </is>
      </c>
      <c r="C234" t="inlineStr">
        <is>
          <t>082132281312</t>
        </is>
      </c>
      <c r="D234" t="inlineStr">
        <is>
          <t>bersinarjaya655@gmail.com</t>
        </is>
      </c>
      <c r="E234" t="inlineStr">
        <is>
          <t>https://lpjk.pu.go.id/search-badan-usaha-detail/cXBWWGlSTTN4Z2crd0RIRWxDRGJ5QT09</t>
        </is>
      </c>
      <c r="F234" t="n">
        <v>2</v>
      </c>
      <c r="G234" t="inlineStr">
        <is>
          <t>BG009, BS004</t>
        </is>
      </c>
      <c r="H234" t="inlineStr">
        <is>
          <t>27 Mei 2003</t>
        </is>
      </c>
      <c r="I234" s="2" t="n">
        <v>46194</v>
      </c>
      <c r="J234" t="inlineStr">
        <is>
          <t>Disetujui</t>
        </is>
      </c>
      <c r="K234" t="n">
        <v>30</v>
      </c>
      <c r="L234" t="inlineStr">
        <is>
          <t>21 Juni 2026</t>
        </is>
      </c>
      <c r="M234" t="inlineStr">
        <is>
          <t>Konstruksi Gedung Lainnya, Konstruksi Jaringan Irigasi dan Drainase</t>
        </is>
      </c>
      <c r="N234" t="inlineStr">
        <is>
          <t>K</t>
        </is>
      </c>
      <c r="O234" t="inlineStr">
        <is>
          <t>20230619</t>
        </is>
      </c>
      <c r="P234" t="inlineStr">
        <is>
          <t>Jawa Timur</t>
        </is>
      </c>
      <c r="Q234" s="3">
        <f>HYPERLINK("https://wa.me/6282132281312?text=*[PERINGATAN DARURAT SBU SINAR JAYA]*%0A%0AYth. Pimpinan SINAR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5">
      <c r="A235" t="inlineStr">
        <is>
          <t>SINAR KEBUMEN PERKASA</t>
        </is>
      </c>
      <c r="B235" t="inlineStr">
        <is>
          <t>Kab. Kebumen</t>
        </is>
      </c>
      <c r="C235" t="inlineStr">
        <is>
          <t>085225161666</t>
        </is>
      </c>
      <c r="D235" t="inlineStr">
        <is>
          <t>skpkebumen@yahoo.com</t>
        </is>
      </c>
      <c r="E235" t="inlineStr">
        <is>
          <t>https://lpjk.pu.go.id/search-badan-usaha-detail/NFpPWkhiTE93T2tIZ3daTEZVRExrdz09</t>
        </is>
      </c>
      <c r="F235" t="n">
        <v>1</v>
      </c>
      <c r="G235" t="inlineStr">
        <is>
          <t>BG005</t>
        </is>
      </c>
      <c r="H235" t="inlineStr">
        <is>
          <t>24 Januari 2005</t>
        </is>
      </c>
      <c r="I235" s="2" t="n">
        <v>46194</v>
      </c>
      <c r="J235" t="inlineStr">
        <is>
          <t>Disetujui</t>
        </is>
      </c>
      <c r="K235" t="n">
        <v>30</v>
      </c>
      <c r="L235" t="inlineStr">
        <is>
          <t>21 Juni 2026</t>
        </is>
      </c>
      <c r="M235" t="inlineStr">
        <is>
          <t>Konstruksi Gedung Kesehatan</t>
        </is>
      </c>
      <c r="N235" t="inlineStr">
        <is>
          <t>K</t>
        </is>
      </c>
      <c r="O235" t="inlineStr">
        <is>
          <t>20230615</t>
        </is>
      </c>
      <c r="P235" t="inlineStr">
        <is>
          <t>Jawa Tengah</t>
        </is>
      </c>
      <c r="Q235" s="3">
        <f>HYPERLINK("https://wa.me/6285225161666?text=*[PERINGATAN DARURAT SBU SINAR KEBUMEN PERKASA]*%0A%0AYth. Pimpinan SINAR KEBUMEN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6">
      <c r="A236" t="inlineStr">
        <is>
          <t>SRIKANDI SIWI UTAMA</t>
        </is>
      </c>
      <c r="B236" t="inlineStr">
        <is>
          <t>Kota Bandung</t>
        </is>
      </c>
      <c r="C236" t="inlineStr">
        <is>
          <t>082116056566</t>
        </is>
      </c>
      <c r="D236" t="inlineStr">
        <is>
          <t>srikandisiwiutama@gmail.com</t>
        </is>
      </c>
      <c r="E236" t="inlineStr">
        <is>
          <t>https://lpjk.pu.go.id/search-badan-usaha-detail/NUM2eWNzTTExS1BMckl6OGRIUEtaZz09</t>
        </is>
      </c>
      <c r="F236" t="n">
        <v>2</v>
      </c>
      <c r="G236" t="inlineStr">
        <is>
          <t>BG006, BG009</t>
        </is>
      </c>
      <c r="H236" t="inlineStr">
        <is>
          <t>26 Mei 2023</t>
        </is>
      </c>
      <c r="I236" s="2" t="n">
        <v>46194</v>
      </c>
      <c r="J236" t="inlineStr">
        <is>
          <t>Pencabutan</t>
        </is>
      </c>
      <c r="K236" t="n">
        <v>30</v>
      </c>
      <c r="L236" t="inlineStr">
        <is>
          <t>21 Juni 2026</t>
        </is>
      </c>
      <c r="M236" t="inlineStr">
        <is>
          <t>Konstruksi Gedung Lainnya, Konstruksi Gedung Pendidikan</t>
        </is>
      </c>
      <c r="N236" t="inlineStr">
        <is>
          <t>K</t>
        </is>
      </c>
      <c r="O236" t="inlineStr">
        <is>
          <t>20230615</t>
        </is>
      </c>
      <c r="P236" t="inlineStr">
        <is>
          <t>Jawa Barat</t>
        </is>
      </c>
      <c r="Q236" s="3">
        <f>HYPERLINK("https://wa.me/6282116056566?text=*[PERINGATAN DARURAT SBU SRIKANDI SIWI UTAMA]*%0A%0AYth. Pimpinan SRIKANDI SIWI UTAMA,%0AMasa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7">
      <c r="A237" t="inlineStr">
        <is>
          <t>SUKMADEWA GRUP</t>
        </is>
      </c>
      <c r="B237" t="inlineStr">
        <is>
          <t>Kab. Majalengka</t>
        </is>
      </c>
      <c r="C237" t="inlineStr">
        <is>
          <t>-</t>
        </is>
      </c>
      <c r="D237" t="inlineStr">
        <is>
          <t>sukmadewagroup.cv@gmail.com</t>
        </is>
      </c>
      <c r="E237" t="inlineStr">
        <is>
          <t>https://lpjk.pu.go.id/search-badan-usaha-detail/Z3dGbE1Nc3JLSktaQXZkWHgrUXN2QT09</t>
        </is>
      </c>
      <c r="F237" t="n">
        <v>1</v>
      </c>
      <c r="G237" t="inlineStr">
        <is>
          <t>BG006</t>
        </is>
      </c>
      <c r="H237" t="inlineStr">
        <is>
          <t>15 Januari 2021</t>
        </is>
      </c>
      <c r="I237" s="2" t="n">
        <v>46194</v>
      </c>
      <c r="J237" t="inlineStr">
        <is>
          <t>Disetujui</t>
        </is>
      </c>
      <c r="K237" t="n">
        <v>30</v>
      </c>
      <c r="L237" t="inlineStr">
        <is>
          <t>21 Juni 2026</t>
        </is>
      </c>
      <c r="M237" t="inlineStr">
        <is>
          <t>Konstruksi Gedung Pendidikan</t>
        </is>
      </c>
      <c r="N237" t="inlineStr">
        <is>
          <t>K</t>
        </is>
      </c>
      <c r="O237" t="inlineStr">
        <is>
          <t>20230621</t>
        </is>
      </c>
      <c r="P237" t="inlineStr">
        <is>
          <t>Jawa Barat</t>
        </is>
      </c>
      <c r="Q237" t="inlineStr"/>
    </row>
    <row r="238">
      <c r="A238" t="inlineStr">
        <is>
          <t>SULTAN ETNIK</t>
        </is>
      </c>
      <c r="B238" t="inlineStr">
        <is>
          <t>Kota Palu</t>
        </is>
      </c>
      <c r="C238" t="inlineStr">
        <is>
          <t>081341003032</t>
        </is>
      </c>
      <c r="D238" t="inlineStr">
        <is>
          <t>sultanetnik@yahoo.com</t>
        </is>
      </c>
      <c r="E238" t="inlineStr">
        <is>
          <t>https://lpjk.pu.go.id/search-badan-usaha-detail/djkzY3FaSGNsT1FydWVFNzJSWWxPUT09</t>
        </is>
      </c>
      <c r="F238" t="n">
        <v>2</v>
      </c>
      <c r="G238" t="inlineStr">
        <is>
          <t>RK002, RK003</t>
        </is>
      </c>
      <c r="H238" t="inlineStr">
        <is>
          <t>5 Agustus 2016</t>
        </is>
      </c>
      <c r="I238" s="2" t="n">
        <v>46194</v>
      </c>
      <c r="J238" t="inlineStr">
        <is>
          <t>Disetujui</t>
        </is>
      </c>
      <c r="K238" t="n">
        <v>30</v>
      </c>
      <c r="L238" t="inlineStr">
        <is>
          <t>21 Juni 2026</t>
        </is>
      </c>
      <c r="M238" t="inlineStr">
        <is>
          <t>Jasa Rekayasa Pekerjaan Teknik Sipil Sumber Daya Air, Jasa Rekayasa Pekerjaan Teknik Sipil Transportasi</t>
        </is>
      </c>
      <c r="N238" t="inlineStr">
        <is>
          <t>K</t>
        </is>
      </c>
      <c r="O238" t="inlineStr">
        <is>
          <t>20230515</t>
        </is>
      </c>
      <c r="P238" t="inlineStr">
        <is>
          <t>Sulawesi Tengah</t>
        </is>
      </c>
      <c r="Q238" s="3">
        <f>HYPERLINK("https://wa.me/6281341003032?text=*[PERINGATAN DARURAT SBU SULTAN ETNIK]*%0A%0AYth. Pimpinan SULTAN ETNIK,%0AMasa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39">
      <c r="A239" t="inlineStr">
        <is>
          <t>SUMBER KEPENG</t>
        </is>
      </c>
      <c r="B239" t="inlineStr">
        <is>
          <t>Kab. Banyuwangi</t>
        </is>
      </c>
      <c r="C239" t="inlineStr">
        <is>
          <t>082333143328</t>
        </is>
      </c>
      <c r="D239" t="inlineStr">
        <is>
          <t>sumberkepeng.2019@gmail.com</t>
        </is>
      </c>
      <c r="E239" t="inlineStr">
        <is>
          <t>https://lpjk.pu.go.id/search-badan-usaha-detail/WjNZblcrTitaN1p5Q0ljckZXTHJtQT09</t>
        </is>
      </c>
      <c r="F239" t="n">
        <v>2</v>
      </c>
      <c r="G239" t="inlineStr">
        <is>
          <t>BS001, BS004</t>
        </is>
      </c>
      <c r="H239" t="inlineStr">
        <is>
          <t>4 Januari 2018</t>
        </is>
      </c>
      <c r="I239" s="2" t="n">
        <v>46194</v>
      </c>
      <c r="J239" t="inlineStr">
        <is>
          <t>Disetujui</t>
        </is>
      </c>
      <c r="K239" t="n">
        <v>30</v>
      </c>
      <c r="L239" t="inlineStr">
        <is>
          <t>21 Juni 2026</t>
        </is>
      </c>
      <c r="M239" t="inlineStr">
        <is>
          <t>Konstruksi Bangunan Sipil Jalan, Konstruksi Jaringan Irigasi dan Drainase</t>
        </is>
      </c>
      <c r="N239" t="inlineStr">
        <is>
          <t>K</t>
        </is>
      </c>
      <c r="O239" t="inlineStr">
        <is>
          <t>20230621</t>
        </is>
      </c>
      <c r="P239" t="inlineStr">
        <is>
          <t>Jawa Timur</t>
        </is>
      </c>
      <c r="Q239" s="3">
        <f>HYPERLINK("https://wa.me/6282333143328?text=*[PERINGATAN DARURAT SBU SUMBER KEPENG]*%0A%0AYth. Pimpinan SUMBER KEPENG,%0AMasa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0">
      <c r="A240" t="inlineStr">
        <is>
          <t>SUMBER REJEKI</t>
        </is>
      </c>
      <c r="B240" t="inlineStr">
        <is>
          <t>Kab. Banyumas</t>
        </is>
      </c>
      <c r="C240" t="inlineStr">
        <is>
          <t>081327291526</t>
        </is>
      </c>
      <c r="D240" t="inlineStr">
        <is>
          <t>sumberrejekicv524@gmail.com</t>
        </is>
      </c>
      <c r="E240" t="inlineStr">
        <is>
          <t>https://lpjk.pu.go.id/search-badan-usaha-detail/T2Z3VStha3MxRzR6MTBqUFFsQms2QT09</t>
        </is>
      </c>
      <c r="F240" t="n">
        <v>1</v>
      </c>
      <c r="G240" t="inlineStr">
        <is>
          <t>BG006</t>
        </is>
      </c>
      <c r="H240" t="inlineStr">
        <is>
          <t>6 Januari 1992</t>
        </is>
      </c>
      <c r="I240" s="2" t="n">
        <v>46194</v>
      </c>
      <c r="J240" t="inlineStr">
        <is>
          <t>Disetujui</t>
        </is>
      </c>
      <c r="K240" t="n">
        <v>30</v>
      </c>
      <c r="L240" t="inlineStr">
        <is>
          <t>21 Juni 2026</t>
        </is>
      </c>
      <c r="M240" t="inlineStr">
        <is>
          <t>Konstruksi Gedung Pendidikan</t>
        </is>
      </c>
      <c r="N240" t="inlineStr">
        <is>
          <t>K</t>
        </is>
      </c>
      <c r="O240" t="inlineStr">
        <is>
          <t>20230620</t>
        </is>
      </c>
      <c r="P240" t="inlineStr">
        <is>
          <t>Jawa Tengah</t>
        </is>
      </c>
      <c r="Q240" s="3">
        <f>HYPERLINK("https://wa.me/6281327291526?text=*[PERINGATAN DARURAT SBU SUMBER REJEKI]*%0A%0AYth. Pimpinan SUMBER REJEKI,%0AMasa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1">
      <c r="A241" t="inlineStr">
        <is>
          <t>SUMBER REZEKI UTAMA</t>
        </is>
      </c>
      <c r="B241" t="inlineStr">
        <is>
          <t>Kota Medan</t>
        </is>
      </c>
      <c r="C241" t="inlineStr">
        <is>
          <t>08126067317</t>
        </is>
      </c>
      <c r="D241" t="inlineStr">
        <is>
          <t>sumberrezeki1.cv@gmail.com</t>
        </is>
      </c>
      <c r="E241" t="inlineStr">
        <is>
          <t>https://lpjk.pu.go.id/search-badan-usaha-detail/NjNtTjVXNVZHaFdyQ3B6ZUpmS2VMdz09</t>
        </is>
      </c>
      <c r="F241" t="n">
        <v>1</v>
      </c>
      <c r="G241" t="inlineStr">
        <is>
          <t>BG005</t>
        </is>
      </c>
      <c r="H241" t="inlineStr">
        <is>
          <t>14 Maret 2012</t>
        </is>
      </c>
      <c r="I241" s="2" t="n">
        <v>46194</v>
      </c>
      <c r="J241" t="inlineStr">
        <is>
          <t>Disetujui</t>
        </is>
      </c>
      <c r="K241" t="n">
        <v>30</v>
      </c>
      <c r="L241" t="inlineStr">
        <is>
          <t>21 Juni 2026</t>
        </is>
      </c>
      <c r="M241" t="inlineStr">
        <is>
          <t>Konstruksi Gedung Kesehatan</t>
        </is>
      </c>
      <c r="N241" t="inlineStr">
        <is>
          <t>K</t>
        </is>
      </c>
      <c r="O241" t="inlineStr">
        <is>
          <t>20230621</t>
        </is>
      </c>
      <c r="P241" t="inlineStr">
        <is>
          <t>Sumatera Utara</t>
        </is>
      </c>
      <c r="Q241" s="3">
        <f>HYPERLINK("https://wa.me/628126067317?text=*[PERINGATAN DARURAT SBU SUMBER REZEKI UTAMA]*%0A%0AYth. Pimpinan SUMBER REZEKI UTAMA,%0AMasa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2">
      <c r="A242" t="inlineStr">
        <is>
          <t>SURYA ABADI</t>
        </is>
      </c>
      <c r="B242" t="inlineStr">
        <is>
          <t>Kab. Sumba Timur</t>
        </is>
      </c>
      <c r="C242" t="inlineStr">
        <is>
          <t>081332475316</t>
        </is>
      </c>
      <c r="D242" t="inlineStr">
        <is>
          <t>sa_waingapu2012@yahoo.com</t>
        </is>
      </c>
      <c r="E242" t="inlineStr">
        <is>
          <t>https://lpjk.pu.go.id/search-badan-usaha-detail/ZVcxWGRjSzZ6YnJQVmpmaXFOOEFnZz09</t>
        </is>
      </c>
      <c r="F242" t="n">
        <v>1</v>
      </c>
      <c r="G242" t="inlineStr">
        <is>
          <t>BG006</t>
        </is>
      </c>
      <c r="H242" t="inlineStr">
        <is>
          <t>3 Januari 2007</t>
        </is>
      </c>
      <c r="I242" s="2" t="n">
        <v>46194</v>
      </c>
      <c r="J242" t="inlineStr">
        <is>
          <t>Disetujui</t>
        </is>
      </c>
      <c r="K242" t="n">
        <v>30</v>
      </c>
      <c r="L242" t="inlineStr">
        <is>
          <t>21 Juni 2026</t>
        </is>
      </c>
      <c r="M242" t="inlineStr">
        <is>
          <t>Konstruksi Gedung Pendidikan</t>
        </is>
      </c>
      <c r="N242" t="inlineStr">
        <is>
          <t>K</t>
        </is>
      </c>
      <c r="O242" t="inlineStr">
        <is>
          <t>20230609</t>
        </is>
      </c>
      <c r="P242" t="inlineStr">
        <is>
          <t>Nusa Tenggara Timur</t>
        </is>
      </c>
      <c r="Q242" s="3">
        <f>HYPERLINK("https://wa.me/6281332475316?text=*[PERINGATAN DARURAT SBU SURYA ABADI]*%0A%0AYth. Pimpinan SURYA ABADI,%0AMasa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3">
      <c r="A243" t="inlineStr">
        <is>
          <t>SURYA GEMILANG</t>
        </is>
      </c>
      <c r="B243" t="inlineStr">
        <is>
          <t>Kab. Karawang</t>
        </is>
      </c>
      <c r="C243" t="inlineStr">
        <is>
          <t>085774092122</t>
        </is>
      </c>
      <c r="D243" t="inlineStr">
        <is>
          <t>suryagemilang043@gmail.com</t>
        </is>
      </c>
      <c r="E243" t="inlineStr">
        <is>
          <t>https://lpjk.pu.go.id/search-badan-usaha-detail/VmpzMkFJY01ScWFpTTZYYmpsUGJPZz09</t>
        </is>
      </c>
      <c r="F243" t="n">
        <v>1</v>
      </c>
      <c r="G243" t="inlineStr">
        <is>
          <t>BS004</t>
        </is>
      </c>
      <c r="H243" t="inlineStr">
        <is>
          <t>15 April 2017</t>
        </is>
      </c>
      <c r="I243" s="2" t="n">
        <v>46194</v>
      </c>
      <c r="J243" t="inlineStr">
        <is>
          <t>Disetujui</t>
        </is>
      </c>
      <c r="K243" t="n">
        <v>30</v>
      </c>
      <c r="L243" t="inlineStr">
        <is>
          <t>21 Juni 2026</t>
        </is>
      </c>
      <c r="M243" t="inlineStr">
        <is>
          <t>Konstruksi Jaringan Irigasi dan Drainase</t>
        </is>
      </c>
      <c r="N243" t="inlineStr">
        <is>
          <t>K</t>
        </is>
      </c>
      <c r="O243" t="inlineStr">
        <is>
          <t>20230618</t>
        </is>
      </c>
      <c r="P243" t="inlineStr">
        <is>
          <t>Jawa Barat</t>
        </is>
      </c>
      <c r="Q243" s="3">
        <f>HYPERLINK("https://wa.me/6285774092122?text=*[PERINGATAN DARURAT SBU SURYA GEMILANG]*%0A%0AYth. Pimpinan SURYA GEMILANG,%0AMasa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4">
      <c r="A244" t="inlineStr">
        <is>
          <t>SURYA MELATI MANDIRI</t>
        </is>
      </c>
      <c r="B244" t="inlineStr">
        <is>
          <t>Kab. Hulu Sungai Tengah</t>
        </is>
      </c>
      <c r="C244" t="inlineStr">
        <is>
          <t>081346319885</t>
        </is>
      </c>
      <c r="D244" t="inlineStr">
        <is>
          <t>ptsuryamelatimandiri18@gmail.com</t>
        </is>
      </c>
      <c r="E244" t="inlineStr">
        <is>
          <t>https://lpjk.pu.go.id/search-badan-usaha-detail/L1hYZmw4dGVtN25wcHd2NDdYdWRndz09</t>
        </is>
      </c>
      <c r="F244" t="n">
        <v>1</v>
      </c>
      <c r="G244" t="inlineStr">
        <is>
          <t>BS001</t>
        </is>
      </c>
      <c r="H244" t="inlineStr">
        <is>
          <t>22 Juni 2012</t>
        </is>
      </c>
      <c r="I244" s="2" t="n">
        <v>46194</v>
      </c>
      <c r="J244" t="inlineStr">
        <is>
          <t>Disetujui</t>
        </is>
      </c>
      <c r="K244" t="n">
        <v>30</v>
      </c>
      <c r="L244" t="inlineStr">
        <is>
          <t>21 Juni 2026</t>
        </is>
      </c>
      <c r="M244" t="inlineStr">
        <is>
          <t>Konstruksi Bangunan Sipil Jalan</t>
        </is>
      </c>
      <c r="N244" t="inlineStr">
        <is>
          <t>K</t>
        </is>
      </c>
      <c r="O244" t="inlineStr">
        <is>
          <t>20230618</t>
        </is>
      </c>
      <c r="P244" t="inlineStr">
        <is>
          <t>Kalimantan Selatan</t>
        </is>
      </c>
      <c r="Q244" s="3">
        <f>HYPERLINK("https://wa.me/6281346319885?text=*[PERINGATAN DARURAT SBU SURYA MELATI MANDIRI]*%0A%0AYth. Pimpinan SURYA MELATI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5">
      <c r="A245" t="inlineStr">
        <is>
          <t>SURYA NUGRAHA</t>
        </is>
      </c>
      <c r="B245" t="inlineStr">
        <is>
          <t>Kab. Situbondo</t>
        </is>
      </c>
      <c r="C245" t="inlineStr">
        <is>
          <t>082333230007</t>
        </is>
      </c>
      <c r="D245" t="inlineStr">
        <is>
          <t>lsbugkb3512@gmail.com</t>
        </is>
      </c>
      <c r="E245" t="inlineStr">
        <is>
          <t>https://lpjk.pu.go.id/search-badan-usaha-detail/c202VWUzUzhxWkJBbUIvdFZCVFM2dz09</t>
        </is>
      </c>
      <c r="F245" t="n">
        <v>5</v>
      </c>
      <c r="G245" t="inlineStr">
        <is>
          <t>BG002, BG004, BG005, BG006, BG009</t>
        </is>
      </c>
      <c r="H245" t="inlineStr">
        <is>
          <t>5 Agustus 2004</t>
        </is>
      </c>
      <c r="I245" s="2" t="n">
        <v>46194</v>
      </c>
      <c r="J245" t="inlineStr">
        <is>
          <t>Disetujui</t>
        </is>
      </c>
      <c r="K245" t="n">
        <v>30</v>
      </c>
      <c r="L245" t="inlineStr">
        <is>
          <t>21 Juni 2026</t>
        </is>
      </c>
      <c r="M245" t="inlineStr">
        <is>
          <t>Konstruksi Gedung Kesehatan, Konstruksi Gedung Lainnya, Konstruksi Gedung Pendidikan, Konstruksi Gedung Perbelanjaan, Konstruksi Gedung Perkantoran</t>
        </is>
      </c>
      <c r="N245" t="inlineStr">
        <is>
          <t>K</t>
        </is>
      </c>
      <c r="O245" t="inlineStr">
        <is>
          <t>20230610, 20230619</t>
        </is>
      </c>
      <c r="P245" t="inlineStr">
        <is>
          <t>Jawa Timur</t>
        </is>
      </c>
      <c r="Q245" s="3">
        <f>HYPERLINK("https://wa.me/6282333230007?text=*[PERINGATAN DARURAT SBU SURYA NUGRAHA]*%0A%0AYth. Pimpinan SURYA NUGRAHA,%0AMasa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6">
      <c r="A246" t="inlineStr">
        <is>
          <t>TEGAR</t>
        </is>
      </c>
      <c r="B246" t="inlineStr">
        <is>
          <t>Kab. Sukabumi</t>
        </is>
      </c>
      <c r="C246" t="inlineStr">
        <is>
          <t>085721880444</t>
        </is>
      </c>
      <c r="D246" t="inlineStr">
        <is>
          <t>cvtegar@gmail.com</t>
        </is>
      </c>
      <c r="E246" t="inlineStr">
        <is>
          <t>https://lpjk.pu.go.id/search-badan-usaha-detail/SGF1SkhSTUk3UCtzalNIdmVoY1Q2QT09</t>
        </is>
      </c>
      <c r="F246" t="n">
        <v>1</v>
      </c>
      <c r="G246" t="inlineStr">
        <is>
          <t>BS004</t>
        </is>
      </c>
      <c r="H246" t="inlineStr">
        <is>
          <t>13 November 2001</t>
        </is>
      </c>
      <c r="I246" s="2" t="n">
        <v>46194</v>
      </c>
      <c r="J246" t="inlineStr">
        <is>
          <t>Disetujui</t>
        </is>
      </c>
      <c r="K246" t="n">
        <v>30</v>
      </c>
      <c r="L246" t="inlineStr">
        <is>
          <t>21 Juni 2026</t>
        </is>
      </c>
      <c r="M246" t="inlineStr">
        <is>
          <t>Konstruksi Jaringan Irigasi dan Drainase</t>
        </is>
      </c>
      <c r="N246" t="inlineStr">
        <is>
          <t>K</t>
        </is>
      </c>
      <c r="O246" t="inlineStr">
        <is>
          <t>20230619</t>
        </is>
      </c>
      <c r="P246" t="inlineStr">
        <is>
          <t>Jawa Barat</t>
        </is>
      </c>
      <c r="Q246" s="3">
        <f>HYPERLINK("https://wa.me/6285721880444?text=*[PERINGATAN DARURAT SBU TEGAR]*%0A%0AYth. Pimpinan TEGAR,%0AMasa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7">
      <c r="A247" t="inlineStr">
        <is>
          <t>TEKNIKA JAYA MANDIRI</t>
        </is>
      </c>
      <c r="B247" t="inlineStr">
        <is>
          <t>Kota Kupang</t>
        </is>
      </c>
      <c r="C247" t="inlineStr">
        <is>
          <t>082145275001</t>
        </is>
      </c>
      <c r="D247" t="inlineStr">
        <is>
          <t>teknikajayamandiri@gmail.com</t>
        </is>
      </c>
      <c r="E247" t="inlineStr">
        <is>
          <t>https://lpjk.pu.go.id/search-badan-usaha-detail/ek5JY1diNzYzTTFZSjR6cTROUzZEZz09</t>
        </is>
      </c>
      <c r="F247" t="n">
        <v>2</v>
      </c>
      <c r="G247" t="inlineStr">
        <is>
          <t>BG009</t>
        </is>
      </c>
      <c r="H247" t="inlineStr">
        <is>
          <t>10 Desember 2018</t>
        </is>
      </c>
      <c r="I247" s="2" t="n">
        <v>46194</v>
      </c>
      <c r="J247" t="inlineStr">
        <is>
          <t>Pencabutan</t>
        </is>
      </c>
      <c r="K247" t="n">
        <v>30</v>
      </c>
      <c r="L247" t="inlineStr">
        <is>
          <t>21 Juni 2026</t>
        </is>
      </c>
      <c r="M247" t="inlineStr">
        <is>
          <t>Konstruksi Gedung Lainnya</t>
        </is>
      </c>
      <c r="N247" t="inlineStr">
        <is>
          <t>K</t>
        </is>
      </c>
      <c r="O247" t="inlineStr">
        <is>
          <t>20230605</t>
        </is>
      </c>
      <c r="P247" t="inlineStr">
        <is>
          <t>Nusa Tenggara Timur</t>
        </is>
      </c>
      <c r="Q247" s="3">
        <f>HYPERLINK("https://wa.me/6282145275001?text=*[PERINGATAN DARURAT SBU TEKNIKA JAYA MANDIRI]*%0A%0AYth. Pimpinan TEKNIKA JAYA MANDIRI,%0AMasa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8">
      <c r="A248" t="inlineStr">
        <is>
          <t>TERAPAN NILAIOSILASI INDONESIA</t>
        </is>
      </c>
      <c r="B248" t="inlineStr">
        <is>
          <t>Kota Surabaya</t>
        </is>
      </c>
      <c r="C248" t="inlineStr">
        <is>
          <t>0315936240</t>
        </is>
      </c>
      <c r="D248" t="inlineStr">
        <is>
          <t>hrd.tenoindo@gmail.com</t>
        </is>
      </c>
      <c r="E248" t="inlineStr">
        <is>
          <t>https://lpjk.pu.go.id/search-badan-usaha-detail/Rmxld0hVd1VmNWV2TU1ZN2tMa1NpZz09</t>
        </is>
      </c>
      <c r="F248" t="n">
        <v>2</v>
      </c>
      <c r="G248" t="inlineStr">
        <is>
          <t>BS002, KK001</t>
        </is>
      </c>
      <c r="H248" t="inlineStr">
        <is>
          <t>24 Juni 1994</t>
        </is>
      </c>
      <c r="I248" s="2" t="n">
        <v>46194</v>
      </c>
      <c r="J248" t="inlineStr">
        <is>
          <t>Disetujui</t>
        </is>
      </c>
      <c r="K248" t="n">
        <v>30</v>
      </c>
      <c r="L248" t="inlineStr">
        <is>
          <t>21 Juni 2026</t>
        </is>
      </c>
      <c r="M248" t="inlineStr">
        <is>
          <t>Bangunan Sipil Jembatan, Jalan Layang, Fly Over, dan Underpass, Pondasi Konstruksi</t>
        </is>
      </c>
      <c r="N248" t="inlineStr">
        <is>
          <t>K, Spesialis</t>
        </is>
      </c>
      <c r="O248" t="inlineStr">
        <is>
          <t>20230321, 20230621</t>
        </is>
      </c>
      <c r="P248" t="inlineStr">
        <is>
          <t>Jawa Timur</t>
        </is>
      </c>
      <c r="Q248" s="3">
        <f>HYPERLINK("https://wa.me/62315936240?text=*[PERINGATAN DARURAT SBU TERAPAN NILAIOSILASI INDONESIA]*%0A%0AYth. Pimpinan TERAPAN NILAIOSILASI INDONESIA,%0AMasa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49">
      <c r="A249" t="inlineStr">
        <is>
          <t>TERATAI ABADI JAYA</t>
        </is>
      </c>
      <c r="B249" t="inlineStr">
        <is>
          <t>Kota Bandar Lampung</t>
        </is>
      </c>
      <c r="C249" t="inlineStr">
        <is>
          <t>082279995766</t>
        </is>
      </c>
      <c r="D249" t="inlineStr">
        <is>
          <t>terataiabadijaya2023@gmail.com</t>
        </is>
      </c>
      <c r="E249" t="inlineStr">
        <is>
          <t>https://lpjk.pu.go.id/search-badan-usaha-detail/L0lYRytrWEZ0NFowV0pBcCtkYnI3UT09</t>
        </is>
      </c>
      <c r="F249" t="n">
        <v>1</v>
      </c>
      <c r="G249" t="inlineStr">
        <is>
          <t>BS001</t>
        </is>
      </c>
      <c r="H249" t="inlineStr">
        <is>
          <t>3 Februari 2023</t>
        </is>
      </c>
      <c r="I249" s="2" t="n">
        <v>46194</v>
      </c>
      <c r="J249" t="inlineStr">
        <is>
          <t>Disetujui</t>
        </is>
      </c>
      <c r="K249" t="n">
        <v>30</v>
      </c>
      <c r="L249" t="inlineStr">
        <is>
          <t>21 Juni 2026</t>
        </is>
      </c>
      <c r="M249" t="inlineStr">
        <is>
          <t>Konstruksi Bangunan Sipil Jalan</t>
        </is>
      </c>
      <c r="N249" t="inlineStr">
        <is>
          <t>K</t>
        </is>
      </c>
      <c r="O249" t="inlineStr">
        <is>
          <t>20230505</t>
        </is>
      </c>
      <c r="P249" t="inlineStr">
        <is>
          <t>Lampung</t>
        </is>
      </c>
      <c r="Q249" s="3">
        <f>HYPERLINK("https://wa.me/6282279995766?text=*[PERINGATAN DARURAT SBU TERATAI ABADI JAYA]*%0A%0AYth. Pimpinan TERATAI ABADI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0">
      <c r="A250" t="inlineStr">
        <is>
          <t>TERATAI YONOKONG</t>
        </is>
      </c>
      <c r="B250" t="inlineStr">
        <is>
          <t>Kab. Jayapura</t>
        </is>
      </c>
      <c r="C250" t="inlineStr">
        <is>
          <t>081343059494</t>
        </is>
      </c>
      <c r="D250" t="inlineStr">
        <is>
          <t>yonokongcvteratai@gmail.com</t>
        </is>
      </c>
      <c r="E250" t="inlineStr">
        <is>
          <t>https://lpjk.pu.go.id/search-badan-usaha-detail/bk1FRWNrVER1L1FkWFAzQnZLVFNNQT09</t>
        </is>
      </c>
      <c r="F250" t="n">
        <v>1</v>
      </c>
      <c r="G250" t="inlineStr">
        <is>
          <t>BG006</t>
        </is>
      </c>
      <c r="H250" t="inlineStr">
        <is>
          <t>22 Juni 2012</t>
        </is>
      </c>
      <c r="I250" s="2" t="n">
        <v>46194</v>
      </c>
      <c r="J250" t="inlineStr">
        <is>
          <t>Disetujui</t>
        </is>
      </c>
      <c r="K250" t="n">
        <v>30</v>
      </c>
      <c r="L250" t="inlineStr">
        <is>
          <t>21 Juni 2026</t>
        </is>
      </c>
      <c r="M250" t="inlineStr">
        <is>
          <t>Konstruksi Gedung Pendidikan</t>
        </is>
      </c>
      <c r="N250" t="inlineStr">
        <is>
          <t>K</t>
        </is>
      </c>
      <c r="O250" t="inlineStr">
        <is>
          <t>20230518</t>
        </is>
      </c>
      <c r="P250" t="inlineStr">
        <is>
          <t>Papua</t>
        </is>
      </c>
      <c r="Q250" s="3">
        <f>HYPERLINK("https://wa.me/6281343059494?text=*[PERINGATAN DARURAT SBU TERATAI YONOKONG]*%0A%0AYth. Pimpinan TERATAI YONOKONG,%0AMasa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1">
      <c r="A251" t="inlineStr">
        <is>
          <t>TIRTA MITRA JAYA</t>
        </is>
      </c>
      <c r="B251" t="inlineStr">
        <is>
          <t>Kab. Sleman</t>
        </is>
      </c>
      <c r="C251" t="inlineStr">
        <is>
          <t>081904134626</t>
        </is>
      </c>
      <c r="D251" t="inlineStr">
        <is>
          <t>cvtirtamitra.jaya@yahoo.com</t>
        </is>
      </c>
      <c r="E251" t="inlineStr">
        <is>
          <t>https://lpjk.pu.go.id/search-badan-usaha-detail/TXZzQkwxaHdYQVJwZStaeVloYXMxdz09</t>
        </is>
      </c>
      <c r="F251" t="n">
        <v>1</v>
      </c>
      <c r="G251" t="inlineStr">
        <is>
          <t>BG009</t>
        </is>
      </c>
      <c r="H251" t="inlineStr">
        <is>
          <t>22 Juni 2012</t>
        </is>
      </c>
      <c r="I251" s="2" t="n">
        <v>46194</v>
      </c>
      <c r="J251" t="inlineStr">
        <is>
          <t>Disetujui</t>
        </is>
      </c>
      <c r="K251" t="n">
        <v>30</v>
      </c>
      <c r="L251" t="inlineStr">
        <is>
          <t>21 Juni 2026</t>
        </is>
      </c>
      <c r="M251" t="inlineStr">
        <is>
          <t>Konstruksi Gedung Lainnya</t>
        </is>
      </c>
      <c r="N251" t="inlineStr">
        <is>
          <t>K</t>
        </is>
      </c>
      <c r="O251" t="inlineStr">
        <is>
          <t>20230530</t>
        </is>
      </c>
      <c r="P251" t="inlineStr">
        <is>
          <t>DI Yogyakarta</t>
        </is>
      </c>
      <c r="Q251" s="3">
        <f>HYPERLINK("https://wa.me/6281904134626?text=*[PERINGATAN DARURAT SBU TIRTA MITRA JAYA]*%0A%0AYth. Pimpinan TIRTA MITRA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2">
      <c r="A252" t="inlineStr">
        <is>
          <t>TRAMA KARYA KONSULTAN</t>
        </is>
      </c>
      <c r="B252" t="inlineStr">
        <is>
          <t>Kab. Garut</t>
        </is>
      </c>
      <c r="C252" t="inlineStr">
        <is>
          <t>081312536689</t>
        </is>
      </c>
      <c r="D252" t="inlineStr">
        <is>
          <t>tramakarya@gmail.com</t>
        </is>
      </c>
      <c r="E252" t="inlineStr">
        <is>
          <t>https://lpjk.pu.go.id/search-badan-usaha-detail/SWloazBSNHpmMW1KNjM5QTNQN1QxZz09</t>
        </is>
      </c>
      <c r="F252" t="n">
        <v>1</v>
      </c>
      <c r="G252" t="inlineStr">
        <is>
          <t>RK002</t>
        </is>
      </c>
      <c r="H252" t="inlineStr">
        <is>
          <t>24 November 2022</t>
        </is>
      </c>
      <c r="I252" s="2" t="n">
        <v>46194</v>
      </c>
      <c r="J252" t="inlineStr">
        <is>
          <t>Disetujui</t>
        </is>
      </c>
      <c r="K252" t="n">
        <v>30</v>
      </c>
      <c r="L252" t="inlineStr">
        <is>
          <t>21 Juni 2026</t>
        </is>
      </c>
      <c r="M252" t="inlineStr">
        <is>
          <t>Jasa Rekayasa Pekerjaan Teknik Sipil Sumber Daya Air</t>
        </is>
      </c>
      <c r="N252" t="inlineStr">
        <is>
          <t>K</t>
        </is>
      </c>
      <c r="O252" t="inlineStr">
        <is>
          <t>20230511</t>
        </is>
      </c>
      <c r="P252" t="inlineStr">
        <is>
          <t>Jawa Barat</t>
        </is>
      </c>
      <c r="Q252" s="3">
        <f>HYPERLINK("https://wa.me/6281312536689?text=*[PERINGATAN DARURAT SBU TRAMA KARYA KONSULTAN]*%0A%0AYth. Pimpinan TRAMA KARYA KONSULTAN,%0AMasa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3">
      <c r="A253" t="inlineStr">
        <is>
          <t>TRI LAKSANA</t>
        </is>
      </c>
      <c r="B253" t="inlineStr">
        <is>
          <t>Kab. Jembrana</t>
        </is>
      </c>
      <c r="C253" t="inlineStr">
        <is>
          <t>08124669699</t>
        </is>
      </c>
      <c r="D253" t="inlineStr">
        <is>
          <t>cv_trilaksana@yahoo.co.id</t>
        </is>
      </c>
      <c r="E253" t="inlineStr">
        <is>
          <t>https://lpjk.pu.go.id/search-badan-usaha-detail/aHpyMnl1N0N5aC9CbTh1cTVYQm1Mdz09</t>
        </is>
      </c>
      <c r="F253" t="n">
        <v>1</v>
      </c>
      <c r="G253" t="inlineStr">
        <is>
          <t>BG003</t>
        </is>
      </c>
      <c r="H253" t="inlineStr">
        <is>
          <t>19 Desember 1988</t>
        </is>
      </c>
      <c r="I253" s="2" t="n">
        <v>46194</v>
      </c>
      <c r="J253" t="inlineStr">
        <is>
          <t>Disetujui</t>
        </is>
      </c>
      <c r="K253" t="n">
        <v>30</v>
      </c>
      <c r="L253" t="inlineStr">
        <is>
          <t>21 Juni 2026</t>
        </is>
      </c>
      <c r="M253" t="inlineStr">
        <is>
          <t>Konstruksi Gedung Industri</t>
        </is>
      </c>
      <c r="N253" t="inlineStr">
        <is>
          <t>K</t>
        </is>
      </c>
      <c r="O253" t="inlineStr">
        <is>
          <t>20230608</t>
        </is>
      </c>
      <c r="P253" t="inlineStr">
        <is>
          <t>Bali</t>
        </is>
      </c>
      <c r="Q253" s="3">
        <f>HYPERLINK("https://wa.me/628124669699?text=*[PERINGATAN DARURAT SBU TRI LAKSANA]*%0A%0AYth. Pimpinan TRI LAKSANA,%0AMasa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4">
      <c r="A254" t="inlineStr">
        <is>
          <t>TUAH MONEX JAYA</t>
        </is>
      </c>
      <c r="B254" t="inlineStr">
        <is>
          <t>Kab. Bengkalis</t>
        </is>
      </c>
      <c r="C254" t="inlineStr">
        <is>
          <t>082382999320</t>
        </is>
      </c>
      <c r="D254" t="inlineStr">
        <is>
          <t>tuah.monexjaya@gmail.com</t>
        </is>
      </c>
      <c r="E254" t="inlineStr">
        <is>
          <t>https://lpjk.pu.go.id/search-badan-usaha-detail/cUZwVjRKYTVGd2QvcUp3NVVYSjBvdz09</t>
        </is>
      </c>
      <c r="F254" t="n">
        <v>4</v>
      </c>
      <c r="G254" t="inlineStr">
        <is>
          <t>BG001, BG003, BS001, BS010</t>
        </is>
      </c>
      <c r="H254" t="inlineStr">
        <is>
          <t>24 Januari 2012</t>
        </is>
      </c>
      <c r="I254" s="2" t="n">
        <v>46194</v>
      </c>
      <c r="J254" t="inlineStr">
        <is>
          <t>Disetujui</t>
        </is>
      </c>
      <c r="K254" t="n">
        <v>30</v>
      </c>
      <c r="L254" t="inlineStr">
        <is>
          <t>21 Juni 2026</t>
        </is>
      </c>
      <c r="M254" t="inlineStr">
        <is>
          <t>Konstruksi Bangunan Prasarana Sumber Daya Air, Konstruksi Bangunan Sipil Jalan, Konstruksi Gedung Hunian, Konstruksi Gedung Industri</t>
        </is>
      </c>
      <c r="N254" t="inlineStr">
        <is>
          <t>K</t>
        </is>
      </c>
      <c r="O254" t="inlineStr">
        <is>
          <t>20230621, 20230622</t>
        </is>
      </c>
      <c r="P254" t="inlineStr">
        <is>
          <t>Riau</t>
        </is>
      </c>
      <c r="Q254" s="3">
        <f>HYPERLINK("https://wa.me/6282382999320?text=*[PERINGATAN DARURAT SBU TUAH MONEX JAYA]*%0A%0AYth. Pimpinan TUAH MONEX JAYA,%0AMasa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5">
      <c r="A255" t="inlineStr">
        <is>
          <t>TUNAS MANDIRI UTAMA</t>
        </is>
      </c>
      <c r="B255" t="inlineStr">
        <is>
          <t>Kota Samarinda</t>
        </is>
      </c>
      <c r="C255" t="inlineStr">
        <is>
          <t>082153252642</t>
        </is>
      </c>
      <c r="D255" t="inlineStr">
        <is>
          <t>tunasmandiriutama01@gmail.com</t>
        </is>
      </c>
      <c r="E255" t="inlineStr">
        <is>
          <t>https://lpjk.pu.go.id/search-badan-usaha-detail/aCtZenNaNU40V0lseHovSHR5R2dZQT09</t>
        </is>
      </c>
      <c r="F255" t="n">
        <v>2</v>
      </c>
      <c r="G255" t="inlineStr">
        <is>
          <t>BS001, BS004</t>
        </is>
      </c>
      <c r="H255" t="inlineStr">
        <is>
          <t>4 Juli 2020</t>
        </is>
      </c>
      <c r="I255" s="2" t="n">
        <v>46194</v>
      </c>
      <c r="J255" t="inlineStr">
        <is>
          <t>Pencabutan</t>
        </is>
      </c>
      <c r="K255" t="n">
        <v>30</v>
      </c>
      <c r="L255" t="inlineStr">
        <is>
          <t>21 Juni 2026</t>
        </is>
      </c>
      <c r="M255" t="inlineStr">
        <is>
          <t>Konstruksi Bangunan Sipil Jalan, Konstruksi Jaringan Irigasi dan Drainase</t>
        </is>
      </c>
      <c r="N255" t="inlineStr">
        <is>
          <t>K</t>
        </is>
      </c>
      <c r="O255" t="inlineStr">
        <is>
          <t>20230606, 20230620</t>
        </is>
      </c>
      <c r="P255" t="inlineStr">
        <is>
          <t>Kalimantan Timur</t>
        </is>
      </c>
      <c r="Q255" s="3">
        <f>HYPERLINK("https://wa.me/6282153252642?text=*[PERINGATAN DARURAT SBU TUNAS MANDIRI UTAMA]*%0A%0AYth. Pimpinan TUNAS MANDIRI UTAMA,%0AMasa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6">
      <c r="A256" t="inlineStr">
        <is>
          <t>UNIVERSAL MULTI DESAIN</t>
        </is>
      </c>
      <c r="B256" t="inlineStr">
        <is>
          <t>Kota Jambi</t>
        </is>
      </c>
      <c r="C256" t="inlineStr">
        <is>
          <t>082280246167</t>
        </is>
      </c>
      <c r="D256" t="inlineStr">
        <is>
          <t>legal.umdjambi@gmail.com</t>
        </is>
      </c>
      <c r="E256" t="inlineStr">
        <is>
          <t>https://lpjk.pu.go.id/search-badan-usaha-detail/YXhneTY5dXZwYzlzNW5Cd29NUkhQdz09</t>
        </is>
      </c>
      <c r="F256" t="n">
        <v>2</v>
      </c>
      <c r="G256" t="inlineStr">
        <is>
          <t>RK003</t>
        </is>
      </c>
      <c r="H256" t="inlineStr">
        <is>
          <t>1 Februari 2023</t>
        </is>
      </c>
      <c r="I256" s="2" t="n">
        <v>46194</v>
      </c>
      <c r="J256" t="inlineStr">
        <is>
          <t>Pencabutan</t>
        </is>
      </c>
      <c r="K256" t="n">
        <v>30</v>
      </c>
      <c r="L256" t="inlineStr">
        <is>
          <t>21 Juni 2026</t>
        </is>
      </c>
      <c r="M256" t="inlineStr">
        <is>
          <t>Jasa Rekayasa Pekerjaan Teknik Sipil Transportasi</t>
        </is>
      </c>
      <c r="N256" t="inlineStr">
        <is>
          <t>K</t>
        </is>
      </c>
      <c r="O256" t="inlineStr">
        <is>
          <t>20230606</t>
        </is>
      </c>
      <c r="P256" t="inlineStr">
        <is>
          <t>Jambi</t>
        </is>
      </c>
      <c r="Q256" s="3">
        <f>HYPERLINK("https://wa.me/6282280246167?text=*[PERINGATAN DARURAT SBU UNIVERSAL MULTI DESAIN]*%0A%0AYth. Pimpinan UNIVERSAL MULTI DESAIN,%0AMasa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7">
      <c r="A257" t="inlineStr">
        <is>
          <t>WIDYA</t>
        </is>
      </c>
      <c r="B257" t="inlineStr">
        <is>
          <t>Kab. Sintang</t>
        </is>
      </c>
      <c r="C257" t="inlineStr">
        <is>
          <t>082255915777</t>
        </is>
      </c>
      <c r="D257" t="inlineStr">
        <is>
          <t>cv.widyastg@gmail.com</t>
        </is>
      </c>
      <c r="E257" t="inlineStr">
        <is>
          <t>https://lpjk.pu.go.id/search-badan-usaha-detail/VUJ4MTZXbVBRNW1rWGtXZHFoWVFCZz09</t>
        </is>
      </c>
      <c r="F257" t="n">
        <v>1</v>
      </c>
      <c r="G257" t="inlineStr">
        <is>
          <t>BS004</t>
        </is>
      </c>
      <c r="H257" t="inlineStr">
        <is>
          <t>18 Oktober 1999</t>
        </is>
      </c>
      <c r="I257" s="2" t="n">
        <v>46194</v>
      </c>
      <c r="J257" t="inlineStr">
        <is>
          <t>Disetujui</t>
        </is>
      </c>
      <c r="K257" t="n">
        <v>30</v>
      </c>
      <c r="L257" t="inlineStr">
        <is>
          <t>21 Juni 2026</t>
        </is>
      </c>
      <c r="M257" t="inlineStr">
        <is>
          <t>Konstruksi Jaringan Irigasi dan Drainase</t>
        </is>
      </c>
      <c r="N257" t="inlineStr">
        <is>
          <t>K</t>
        </is>
      </c>
      <c r="O257" t="inlineStr">
        <is>
          <t>20230511</t>
        </is>
      </c>
      <c r="P257" t="inlineStr">
        <is>
          <t>Kalimantan Barat</t>
        </is>
      </c>
      <c r="Q257" s="3">
        <f>HYPERLINK("https://wa.me/6282255915777?text=*[PERINGATAN DARURAT SBU WIDYA]*%0A%0AYth. Pimpinan WIDYA,%0AMasa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8">
      <c r="A258" t="inlineStr">
        <is>
          <t>WIJAYA BERSAMA</t>
        </is>
      </c>
      <c r="B258" t="inlineStr">
        <is>
          <t>Kab. Kuningan</t>
        </is>
      </c>
      <c r="C258" t="inlineStr">
        <is>
          <t>082120959292</t>
        </is>
      </c>
      <c r="D258" t="inlineStr">
        <is>
          <t>bersama.wijaya@yahoo.com</t>
        </is>
      </c>
      <c r="E258" t="inlineStr">
        <is>
          <t>https://lpjk.pu.go.id/search-badan-usaha-detail/dUxkbUt4a01sL1NXN0dkWmZlMFJRUT09</t>
        </is>
      </c>
      <c r="F258" t="n">
        <v>2</v>
      </c>
      <c r="G258" t="inlineStr">
        <is>
          <t>BS004</t>
        </is>
      </c>
      <c r="H258" t="inlineStr">
        <is>
          <t>28 April 2003</t>
        </is>
      </c>
      <c r="I258" s="2" t="n">
        <v>46194</v>
      </c>
      <c r="J258" t="inlineStr">
        <is>
          <t>Disetujui</t>
        </is>
      </c>
      <c r="K258" t="n">
        <v>30</v>
      </c>
      <c r="L258" t="inlineStr">
        <is>
          <t>21 Juni 2026</t>
        </is>
      </c>
      <c r="M258" t="inlineStr">
        <is>
          <t>Konstruksi Jaringan Irigasi dan Drainase</t>
        </is>
      </c>
      <c r="N258" t="inlineStr">
        <is>
          <t>K</t>
        </is>
      </c>
      <c r="O258" t="inlineStr">
        <is>
          <t>20230620</t>
        </is>
      </c>
      <c r="P258" t="inlineStr">
        <is>
          <t>Jawa Barat</t>
        </is>
      </c>
      <c r="Q258" s="3">
        <f>HYPERLINK("https://wa.me/6282120959292?text=*[PERINGATAN DARURAT SBU WIJAYA BERSAMA]*%0A%0AYth. Pimpinan WIJAYA BERSAMA,%0AMasa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59">
      <c r="A259" t="inlineStr">
        <is>
          <t>WIJAYA KARYA</t>
        </is>
      </c>
      <c r="B259" t="inlineStr">
        <is>
          <t>Kab. Rejang Lebong</t>
        </is>
      </c>
      <c r="C259" t="inlineStr">
        <is>
          <t>0732</t>
        </is>
      </c>
      <c r="D259" t="inlineStr">
        <is>
          <t>wijayakarya89@gmail.com</t>
        </is>
      </c>
      <c r="E259" t="inlineStr">
        <is>
          <t>https://lpjk.pu.go.id/search-badan-usaha-detail/R0xBSnBNT3BZRllkaXV1TGdQVXd6UT09</t>
        </is>
      </c>
      <c r="F259" t="n">
        <v>2</v>
      </c>
      <c r="G259" t="inlineStr">
        <is>
          <t>BS004</t>
        </is>
      </c>
      <c r="H259" t="inlineStr">
        <is>
          <t>17 Februari 2018</t>
        </is>
      </c>
      <c r="I259" s="2" t="n">
        <v>46194</v>
      </c>
      <c r="J259" t="inlineStr">
        <is>
          <t>Disetujui</t>
        </is>
      </c>
      <c r="K259" t="n">
        <v>30</v>
      </c>
      <c r="L259" t="inlineStr">
        <is>
          <t>21 Juni 2026</t>
        </is>
      </c>
      <c r="M259" t="inlineStr">
        <is>
          <t>Konstruksi Jaringan Irigasi dan Drainase</t>
        </is>
      </c>
      <c r="N259" t="inlineStr">
        <is>
          <t>K</t>
        </is>
      </c>
      <c r="O259" t="inlineStr">
        <is>
          <t>20230620</t>
        </is>
      </c>
      <c r="P259" t="inlineStr">
        <is>
          <t>Bengkulu</t>
        </is>
      </c>
      <c r="Q259" s="3">
        <f>HYPERLINK("https://wa.me/62732?text=*[PERINGATAN DARURAT SBU WIJAYA KARYA]*%0A%0AYth. Pimpinan WIJAYA KARYA,%0AMasa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60">
      <c r="A260" t="inlineStr">
        <is>
          <t>WIJAYA PUSAKA KONSTRUKSI</t>
        </is>
      </c>
      <c r="B260" t="inlineStr">
        <is>
          <t>Kota Surabaya</t>
        </is>
      </c>
      <c r="C260" t="inlineStr">
        <is>
          <t>087854122359</t>
        </is>
      </c>
      <c r="D260" t="inlineStr">
        <is>
          <t>wijayapusaka@gmail.com</t>
        </is>
      </c>
      <c r="E260" t="inlineStr">
        <is>
          <t>https://lpjk.pu.go.id/search-badan-usaha-detail/QjMvTVIza0JWNXBKUmJnaVFTa3U2Zz09</t>
        </is>
      </c>
      <c r="F260" t="n">
        <v>2</v>
      </c>
      <c r="G260" t="inlineStr">
        <is>
          <t>BG009</t>
        </is>
      </c>
      <c r="H260" t="inlineStr">
        <is>
          <t>8 April 2022</t>
        </is>
      </c>
      <c r="I260" s="2" t="n">
        <v>46194</v>
      </c>
      <c r="J260" t="inlineStr">
        <is>
          <t>Disetujui</t>
        </is>
      </c>
      <c r="K260" t="n">
        <v>30</v>
      </c>
      <c r="L260" t="inlineStr">
        <is>
          <t>21 Juni 2026</t>
        </is>
      </c>
      <c r="M260" t="inlineStr">
        <is>
          <t>Konstruksi Gedung Lainnya</t>
        </is>
      </c>
      <c r="N260" t="inlineStr">
        <is>
          <t>K</t>
        </is>
      </c>
      <c r="O260" t="inlineStr">
        <is>
          <t>20230609</t>
        </is>
      </c>
      <c r="P260" t="inlineStr">
        <is>
          <t>Jawa Timur</t>
        </is>
      </c>
      <c r="Q260" s="3">
        <f>HYPERLINK("https://wa.me/6287854122359?text=*[PERINGATAN DARURAT SBU WIJAYA PUSAKA KONSTRUKSI]*%0A%0AYth. Pimpinan WIJAYA PUSAKA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61">
      <c r="A261" t="inlineStr">
        <is>
          <t>WIRA BHUANA</t>
        </is>
      </c>
      <c r="B261" t="inlineStr">
        <is>
          <t>Kab. Jembrana</t>
        </is>
      </c>
      <c r="C261" t="inlineStr">
        <is>
          <t>081936605455</t>
        </is>
      </c>
      <c r="D261" t="inlineStr">
        <is>
          <t>wirabhuana@ymail.com</t>
        </is>
      </c>
      <c r="E261" t="inlineStr">
        <is>
          <t>https://lpjk.pu.go.id/search-badan-usaha-detail/QmVqK2JxTThhWHNieGIwWUkxa3M3dz09</t>
        </is>
      </c>
      <c r="F261" t="n">
        <v>2</v>
      </c>
      <c r="G261" t="inlineStr">
        <is>
          <t>BG006, BG009</t>
        </is>
      </c>
      <c r="H261" t="inlineStr">
        <is>
          <t>4 November 1993</t>
        </is>
      </c>
      <c r="I261" s="2" t="n">
        <v>46194</v>
      </c>
      <c r="J261" t="inlineStr">
        <is>
          <t>Disetujui</t>
        </is>
      </c>
      <c r="K261" t="n">
        <v>30</v>
      </c>
      <c r="L261" t="inlineStr">
        <is>
          <t>21 Juni 2026</t>
        </is>
      </c>
      <c r="M261" t="inlineStr">
        <is>
          <t>Konstruksi Gedung Lainnya, Konstruksi Gedung Pendidikan</t>
        </is>
      </c>
      <c r="N261" t="inlineStr">
        <is>
          <t>K</t>
        </is>
      </c>
      <c r="O261" t="inlineStr">
        <is>
          <t>20230612, 20230615</t>
        </is>
      </c>
      <c r="P261" t="inlineStr">
        <is>
          <t>Bali</t>
        </is>
      </c>
      <c r="Q261" s="3">
        <f>HYPERLINK("https://wa.me/6281936605455?text=*[PERINGATAN DARURAT SBU WIRA BHUANA]*%0A%0AYth. Pimpinan WIRA BHUANA,%0AMasa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62">
      <c r="A262" t="inlineStr">
        <is>
          <t>WIRATHA JASA</t>
        </is>
      </c>
      <c r="B262" t="inlineStr">
        <is>
          <t>Kab. Indramayu</t>
        </is>
      </c>
      <c r="C262" t="inlineStr">
        <is>
          <t>081312008232</t>
        </is>
      </c>
      <c r="D262" t="inlineStr">
        <is>
          <t>wirathajasa.cv@yahoo.com</t>
        </is>
      </c>
      <c r="E262" t="inlineStr">
        <is>
          <t>https://lpjk.pu.go.id/search-badan-usaha-detail/NG5PaVFSYXBrdzJSSk5pZjFsQ25zZz09</t>
        </is>
      </c>
      <c r="F262" t="n">
        <v>2</v>
      </c>
      <c r="G262" t="inlineStr">
        <is>
          <t>BS001</t>
        </is>
      </c>
      <c r="H262" t="inlineStr">
        <is>
          <t>25 Mei 1993</t>
        </is>
      </c>
      <c r="I262" s="2" t="n">
        <v>46194</v>
      </c>
      <c r="J262" t="inlineStr">
        <is>
          <t>Disetujui</t>
        </is>
      </c>
      <c r="K262" t="n">
        <v>30</v>
      </c>
      <c r="L262" t="inlineStr">
        <is>
          <t>21 Juni 2026</t>
        </is>
      </c>
      <c r="M262" t="inlineStr">
        <is>
          <t>Konstruksi Bangunan Sipil Jalan</t>
        </is>
      </c>
      <c r="N262" t="inlineStr">
        <is>
          <t>K</t>
        </is>
      </c>
      <c r="O262" t="inlineStr">
        <is>
          <t>20230620</t>
        </is>
      </c>
      <c r="P262" t="inlineStr">
        <is>
          <t>Jawa Barat</t>
        </is>
      </c>
      <c r="Q262" s="3">
        <f>HYPERLINK("https://wa.me/6281312008232?text=*[PERINGATAN DARURAT SBU WIRATHA JASA]*%0A%0AYth. Pimpinan WIRATHA JASA,%0AMasa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63">
      <c r="A263" t="inlineStr">
        <is>
          <t>WULAN PERKASA</t>
        </is>
      </c>
      <c r="B263" t="inlineStr">
        <is>
          <t>Kab. Pati</t>
        </is>
      </c>
      <c r="C263" t="inlineStr">
        <is>
          <t>081220151530</t>
        </is>
      </c>
      <c r="D263" t="inlineStr">
        <is>
          <t>wulanperkasa2019@gmail.com</t>
        </is>
      </c>
      <c r="E263" t="inlineStr">
        <is>
          <t>https://lpjk.pu.go.id/search-badan-usaha-detail/Z3lpMkI1ekRHSldhY1B4eXUrL3d5ZVRWUmphOEphYWRVRDlzbHNqQ3YzYz0</t>
        </is>
      </c>
      <c r="F263" t="n">
        <v>2</v>
      </c>
      <c r="G263" t="inlineStr">
        <is>
          <t>BG002, BS004</t>
        </is>
      </c>
      <c r="H263" t="inlineStr">
        <is>
          <t>4 Februari 2026</t>
        </is>
      </c>
      <c r="I263" s="2" t="n">
        <v>46194</v>
      </c>
      <c r="J263" t="inlineStr">
        <is>
          <t>Disetujui</t>
        </is>
      </c>
      <c r="K263" t="n">
        <v>30</v>
      </c>
      <c r="L263" t="inlineStr">
        <is>
          <t>21 Juni 2026</t>
        </is>
      </c>
      <c r="M263" t="inlineStr">
        <is>
          <t>Konstruksi Gedung Perkantoran, Konstruksi Jaringan Irigasi dan Drainase</t>
        </is>
      </c>
      <c r="N263" t="inlineStr">
        <is>
          <t>K</t>
        </is>
      </c>
      <c r="O263" t="inlineStr">
        <is>
          <t>20230616</t>
        </is>
      </c>
      <c r="P263" t="inlineStr">
        <is>
          <t>Jawa Tengah</t>
        </is>
      </c>
      <c r="Q263" s="3">
        <f>HYPERLINK("https://wa.me/6281220151530?text=*[PERINGATAN DARURAT SBU WULAN PERKASA]*%0A%0AYth. Pimpinan WULAN PERKASA,%0AMasa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64">
      <c r="A264" t="inlineStr">
        <is>
          <t>YADA WASISTA KONSTRUKSI</t>
        </is>
      </c>
      <c r="B264" t="inlineStr">
        <is>
          <t>Kota Jayapura</t>
        </is>
      </c>
      <c r="C264" t="inlineStr">
        <is>
          <t>0</t>
        </is>
      </c>
      <c r="D264" t="inlineStr">
        <is>
          <t>pt.mkijayapura@gmail.com</t>
        </is>
      </c>
      <c r="E264" t="inlineStr">
        <is>
          <t>https://lpjk.pu.go.id/search-badan-usaha-detail/YTVZVFNRbVF5UFgxTWh4SkI4N2pJZz09</t>
        </is>
      </c>
      <c r="F264" t="n">
        <v>1</v>
      </c>
      <c r="G264" t="inlineStr">
        <is>
          <t>BG005</t>
        </is>
      </c>
      <c r="H264" t="inlineStr">
        <is>
          <t>23 Juli 2016</t>
        </is>
      </c>
      <c r="I264" s="2" t="n">
        <v>46194</v>
      </c>
      <c r="J264" t="inlineStr">
        <is>
          <t>Disetujui</t>
        </is>
      </c>
      <c r="K264" t="n">
        <v>30</v>
      </c>
      <c r="L264" t="inlineStr">
        <is>
          <t>21 Juni 2026</t>
        </is>
      </c>
      <c r="M264" t="inlineStr">
        <is>
          <t>Konstruksi Gedung Kesehatan</t>
        </is>
      </c>
      <c r="N264" t="inlineStr">
        <is>
          <t>M</t>
        </is>
      </c>
      <c r="O264" t="inlineStr">
        <is>
          <t>20230616</t>
        </is>
      </c>
      <c r="P264" t="inlineStr">
        <is>
          <t>Papua</t>
        </is>
      </c>
      <c r="Q264" s="3">
        <f>HYPERLINK("https://wa.me/62?text=*[PERINGATAN DARURAT SBU YADA WASISTA KONSTRUKSI]*%0A%0AYth. Pimpinan YADA WASISTA KONSTRUKSI,%0AMasa berlaku SBU Anda akan HABIS DALAM 30 HARI (pada 21 Juni 2026).%0A%0ASangat disarankan untuk segera memproses perpanjangan agar tidak terkena sanksi atau terhapus dari sistem SIKI LPJK.%0A%0AKami menyediakan layanan EXPRESS untuk membantu Anda. Hubungi kami segera!", "Hubungi")</f>
        <v/>
      </c>
    </row>
    <row r="265">
      <c r="A265" t="inlineStr">
        <is>
          <t>YANARI PUTRA</t>
        </is>
      </c>
      <c r="B265" t="inlineStr">
        <is>
          <t>Kab. Serang</t>
        </is>
      </c>
      <c r="C265" t="inlineStr">
        <is>
          <t>087877333133</t>
        </is>
      </c>
      <c r="D265" t="inlineStr">
        <is>
          <t>putrayanari@yahoo.com</t>
        </is>
      </c>
      <c r="E265" t="inlineStr">
        <is>
          <t>https://lpjk.pu.go.id/search-badan-usaha-detail/RkNCMnpxWGtFQkVVbkFiY0NscTladz09</t>
        </is>
      </c>
      <c r="F265" t="n">
        <v>1</v>
      </c>
      <c r="G265" t="inlineStr">
        <is>
          <t>BS002</t>
        </is>
      </c>
      <c r="H265" t="inlineStr">
        <is>
          <t>18 April 2000</t>
        </is>
      </c>
      <c r="I265" s="2" t="n">
        <v>46194</v>
      </c>
      <c r="J265" t="inlineStr">
        <is>
          <t>Pencabutan</t>
        </is>
      </c>
      <c r="K265" t="n">
        <v>30</v>
      </c>
      <c r="L265" t="inlineStr">
        <is>
          <t>21 Juni 2026</t>
        </is>
      </c>
      <c r="M265" t="inlineStr">
        <is>
          <t>Bangunan Sipil Jembatan, Jalan Layang, Fly Over, dan Underpass</t>
        </is>
      </c>
      <c r="N265" t="inlineStr">
        <is>
          <t>K</t>
        </is>
      </c>
      <c r="O265" t="inlineStr">
        <is>
          <t>20230621</t>
        </is>
      </c>
      <c r="P265" t="inlineStr">
        <is>
          <t>Banten</t>
        </is>
      </c>
      <c r="Q265" s="3">
        <f>HYPERLINK("https://wa.me/6287877333133?text=*[PERINGATAN DARURAT SBU YANARI PUTRA]*%0A%0AYth. Pimpinan YANARI PUTRA,%0AMasa berlaku SBU Anda akan HABIS DALAM 30 HARI (pada 21 Juni 2026).%0A%0ASangat disarankan untuk segera memproses perpanjangan agar tidak terkena sanksi atau terhapus dari sistem SIKI LPJK.%0A%0AKami menyediakan layanan EXPRESS untuk membantu Anda. Hubungi kami segera!", "Hubungi")</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2026-05-22T01:11:58Z</dcterms:created>
  <dcterms:modified xsi:type="dcterms:W3CDTF">2026-05-22T01:11:58Z</dcterms:modified>
</cp:coreProperties>
</file>