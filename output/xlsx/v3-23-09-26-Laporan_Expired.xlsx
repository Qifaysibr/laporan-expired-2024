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87_Hari_Expired" sheetId="1" state="visible" r:id="rId1"/>
    <sheet name="60_Hari_Expired" sheetId="2" state="visible" r:id="rId2"/>
    <sheet name="30_Hari_Expired" sheetId="3" state="visible" r:id="rId3"/>
  </sheets>
  <definedNames/>
  <calcPr calcId="124519" fullCalcOnLoad="1"/>
</workbook>
</file>

<file path=xl/styles.xml><?xml version="1.0" encoding="utf-8"?>
<styleSheet xmlns="http://schemas.openxmlformats.org/spreadsheetml/2006/main">
  <numFmts count="1">
    <numFmt numFmtId="164" formatCode="yyyy-mm-dd"/>
  </numFmts>
  <fonts count="3">
    <font>
      <name val="Calibri"/>
      <family val="2"/>
      <color theme="1"/>
      <sz val="11"/>
      <scheme val="minor"/>
    </font>
    <font>
      <b val="1"/>
      <color rgb="00FFFFFF"/>
    </font>
    <font>
      <color rgb="000000FF"/>
      <u val="single"/>
    </font>
  </fonts>
  <fills count="3">
    <fill>
      <patternFill/>
    </fill>
    <fill>
      <patternFill patternType="gray125"/>
    </fill>
    <fill>
      <patternFill patternType="solid">
        <fgColor rgb="00366092"/>
        <bgColor rgb="00366092"/>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wrapText="1"/>
    </xf>
    <xf numFmtId="164" fontId="0" fillId="0"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01"/>
  <sheetViews>
    <sheetView workbookViewId="0">
      <selection activeCell="A1" sqref="A1"/>
    </sheetView>
  </sheetViews>
  <sheetFormatPr baseColWidth="8" defaultRowHeight="15"/>
  <cols>
    <col width="50" customWidth="1" min="1" max="1"/>
    <col width="27" customWidth="1" min="2" max="2"/>
    <col width="15" customWidth="1" min="3" max="3"/>
    <col width="39" customWidth="1" min="4" max="4"/>
    <col width="50" customWidth="1" min="5" max="5"/>
    <col width="18" customWidth="1" min="6" max="6"/>
    <col width="49" customWidth="1" min="7" max="7"/>
    <col width="20" customWidth="1" min="8" max="8"/>
    <col width="28" customWidth="1" min="9" max="9"/>
    <col width="23" customWidth="1" min="10" max="10"/>
    <col width="11" customWidth="1" min="11" max="11"/>
    <col width="18" customWidth="1" min="12" max="12"/>
    <col width="50" customWidth="1" min="13" max="13"/>
    <col width="17" customWidth="1" min="14" max="14"/>
    <col width="40" customWidth="1" min="15" max="15"/>
    <col width="21" customWidth="1" min="16" max="16"/>
    <col width="50" customWidth="1" min="17" max="17"/>
  </cols>
  <sheetData>
    <row r="1">
      <c r="A1" s="1" t="inlineStr">
        <is>
          <t>Nama Perusahaan</t>
        </is>
      </c>
      <c r="B1" s="1" t="inlineStr">
        <is>
          <t>Kabupaten/Kota</t>
        </is>
      </c>
      <c r="C1" s="1" t="inlineStr">
        <is>
          <t>Telepon</t>
        </is>
      </c>
      <c r="D1" s="1" t="inlineStr">
        <is>
          <t>Email</t>
        </is>
      </c>
      <c r="E1" s="1" t="inlineStr">
        <is>
          <t>Link</t>
        </is>
      </c>
      <c r="F1" s="1" t="inlineStr">
        <is>
          <t>Jumlah KBLI 2020</t>
        </is>
      </c>
      <c r="G1" s="1" t="inlineStr">
        <is>
          <t>Kode Subklasifikasi</t>
        </is>
      </c>
      <c r="H1" s="1" t="inlineStr">
        <is>
          <t>Tanggal Ditetapkan</t>
        </is>
      </c>
      <c r="I1" s="1" t="inlineStr">
        <is>
          <t>Tanggal Habis Masa Berlaku</t>
        </is>
      </c>
      <c r="J1" s="1" t="inlineStr">
        <is>
          <t>Status</t>
        </is>
      </c>
      <c r="K1" s="1" t="inlineStr">
        <is>
          <t>Sisa Hari</t>
        </is>
      </c>
      <c r="L1" s="1" t="inlineStr">
        <is>
          <t>Tanggal Expired</t>
        </is>
      </c>
      <c r="M1" s="1" t="inlineStr">
        <is>
          <t>Subklasifikasi</t>
        </is>
      </c>
      <c r="N1" s="1" t="inlineStr">
        <is>
          <t>Kualifikasi</t>
        </is>
      </c>
      <c r="O1" s="1" t="inlineStr">
        <is>
          <t>ID Subklasifikasi</t>
        </is>
      </c>
      <c r="P1" s="1" t="inlineStr">
        <is>
          <t>Provinsi</t>
        </is>
      </c>
      <c r="Q1" s="1" t="inlineStr">
        <is>
          <t>Link WhatsApp</t>
        </is>
      </c>
    </row>
    <row r="2">
      <c r="A2" t="inlineStr">
        <is>
          <t>JAGAD INTI SEMESTA</t>
        </is>
      </c>
      <c r="B2" t="inlineStr">
        <is>
          <t>Kota Bekasi</t>
        </is>
      </c>
      <c r="C2" t="inlineStr">
        <is>
          <t>081285628235</t>
        </is>
      </c>
      <c r="D2" t="inlineStr">
        <is>
          <t>jagad.intisemesta@gmail.com</t>
        </is>
      </c>
      <c r="E2" t="inlineStr">
        <is>
          <t>https://lpjk.pu.go.id/search-badan-usaha-detail/aFQzTkxzamxUamlkbVZ0SEZyUmtYZz09</t>
        </is>
      </c>
      <c r="F2" t="n">
        <v>1</v>
      </c>
      <c r="G2" t="inlineStr">
        <is>
          <t>BG001</t>
        </is>
      </c>
      <c r="H2" t="inlineStr">
        <is>
          <t>13 Juli 2023</t>
        </is>
      </c>
      <c r="I2" s="2" t="n">
        <v>46375</v>
      </c>
      <c r="J2" t="inlineStr">
        <is>
          <t>Disetujui</t>
        </is>
      </c>
      <c r="K2" t="n">
        <v>87</v>
      </c>
      <c r="L2" t="inlineStr">
        <is>
          <t>19 Desember 2026</t>
        </is>
      </c>
      <c r="M2" t="inlineStr">
        <is>
          <t>Konstruksi Gedung Hunian</t>
        </is>
      </c>
      <c r="N2" t="inlineStr">
        <is>
          <t>K</t>
        </is>
      </c>
      <c r="O2" t="inlineStr">
        <is>
          <t>20231220</t>
        </is>
      </c>
      <c r="P2" t="inlineStr">
        <is>
          <t>Jawa Barat</t>
        </is>
      </c>
      <c r="Q2" s="3">
        <f>HYPERLINK("https://wa.me/6281285628235?text=Selamat siang Bapak/Ibu pimpinan JAGAD INTI SEMESTA,%0A%0ASemoga Bapak/Ibu dalam keadaan baik.%0ABerdasarkan data LPJK, masa berlaku SBU perusahaan Bapak/Ibu akan berakhir sekitar 3 bulan lagi (pada 19 Desember 2026).%0ASaya Ibrahim dari PT. Esdea Assistance Management. Kami berfokus membantu perusahaan seperti perusahaan Bapak/Ibu agar urusan legalitas dan perizinan bisa berjalan lancar dan efisien.%0A%0AOleh karena itu, kami hadir untuk membantu tim Bapak/Ibu, baik untuk:%0A- Penerbitan dan perpanjangan SBU%0A- Sertifikasi Kompetensi Kerja (SKK)%0A- Sertifikasi ISO (Akreditasi dan Non Akreditasi)%0A- Sertifikasi SNI%0A- Sertifikasi K3, SIO, SILO%0A- Audit Akuntan Publik (LAI)%0A- Laporan keuangan dan pajak (Bulanan/tahunan)%0A%0AApakah saat ini ada kebutuhan terkait layanan di atas yang sedang menjadi prioritas perusahaan Bapak/Ibu?%0ABoleh info ke siapa saya bisa kirimkan company profile kami?%0A%0AIbrahim%0APT Esdea Assistance Management%0Ahttps://esdeassistance.com", "Hubungi")</f>
        <v/>
      </c>
    </row>
    <row r="3">
      <c r="A3" t="inlineStr">
        <is>
          <t>KAIZEN PANAME IDOTAMA</t>
        </is>
      </c>
      <c r="B3" t="inlineStr">
        <is>
          <t>Kota Adm. Jakarta Timur</t>
        </is>
      </c>
      <c r="C3" t="inlineStr">
        <is>
          <t>628138344153</t>
        </is>
      </c>
      <c r="D3" t="inlineStr">
        <is>
          <t>ptkaizen2023@gmail.com</t>
        </is>
      </c>
      <c r="E3" t="inlineStr">
        <is>
          <t>https://lpjk.pu.go.id/search-badan-usaha-detail/OWdaZ25KUEEyNTJ6aXZLNnhMb2ZZdz09</t>
        </is>
      </c>
      <c r="F3" t="n">
        <v>1</v>
      </c>
      <c r="G3" t="inlineStr">
        <is>
          <t>BS004</t>
        </is>
      </c>
      <c r="H3" t="inlineStr">
        <is>
          <t>24 Agustus 2023</t>
        </is>
      </c>
      <c r="I3" s="2" t="n">
        <v>46375</v>
      </c>
      <c r="J3" t="inlineStr">
        <is>
          <t>Pencabutan</t>
        </is>
      </c>
      <c r="K3" t="n">
        <v>87</v>
      </c>
      <c r="L3" t="inlineStr">
        <is>
          <t>19 Desember 2026</t>
        </is>
      </c>
      <c r="M3" t="inlineStr">
        <is>
          <t>Konstruksi Jaringan Irigasi dan Drainase</t>
        </is>
      </c>
      <c r="N3" t="inlineStr">
        <is>
          <t>K</t>
        </is>
      </c>
      <c r="O3" t="inlineStr">
        <is>
          <t>20231128</t>
        </is>
      </c>
      <c r="P3" t="inlineStr">
        <is>
          <t>DKI Jakarta</t>
        </is>
      </c>
      <c r="Q3" s="3">
        <f>HYPERLINK("https://wa.me/628138344153?text=Selamat siang Bapak/Ibu pimpinan KAIZEN PANAME IDOTAMA,%0A%0ASemoga Bapak/Ibu dalam keadaan baik.%0ABerdasarkan data LPJK, masa berlaku SBU perusahaan Bapak/Ibu akan berakhir sekitar 3 bulan lagi (pada 19 Desember 2026).%0ASaya Ibrahim dari PT. Esdea Assistance Management. Kami berfokus membantu perusahaan seperti perusahaan Bapak/Ibu agar urusan legalitas dan perizinan bisa berjalan lancar dan efisien.%0A%0AOleh karena itu, kami hadir untuk membantu tim Bapak/Ibu, baik untuk:%0A- Penerbitan dan perpanjangan SBU%0A- Sertifikasi Kompetensi Kerja (SKK)%0A- Sertifikasi ISO (Akreditasi dan Non Akreditasi)%0A- Sertifikasi SNI%0A- Sertifikasi K3, SIO, SILO%0A- Audit Akuntan Publik (LAI)%0A- Laporan keuangan dan pajak (Bulanan/tahunan)%0A%0AApakah saat ini ada kebutuhan terkait layanan di atas yang sedang menjadi prioritas perusahaan Bapak/Ibu?%0ABoleh info ke siapa saya bisa kirimkan company profile kami?%0A%0AIbrahim%0APT Esdea Assistance Management%0Ahttps://esdeassistance.com", "Hubungi")</f>
        <v/>
      </c>
    </row>
    <row r="4">
      <c r="A4" t="inlineStr">
        <is>
          <t>PERUSAHAAN PERSEROAN (PERSERO) PT AGRINAS PALMA NUSANTARA</t>
        </is>
      </c>
      <c r="B4" t="inlineStr">
        <is>
          <t>Kota Adm. Jakarta Timur</t>
        </is>
      </c>
      <c r="C4" t="inlineStr">
        <is>
          <t>0218192636</t>
        </is>
      </c>
      <c r="D4" t="inlineStr">
        <is>
          <t>direktorat.legal@agrinaspalma.id</t>
        </is>
      </c>
      <c r="E4" t="inlineStr">
        <is>
          <t>https://lpjk.pu.go.id/search-badan-usaha-detail/bGtOS2NjREttcDFMSEhGVmJGTnd1Tm0vVGNBdDIzTGEwbEhCMHdYZXJuWT0</t>
        </is>
      </c>
      <c r="F4" t="n">
        <v>4</v>
      </c>
      <c r="G4" t="inlineStr">
        <is>
          <t>AR001, AR003, AT001, AT003</t>
        </is>
      </c>
      <c r="H4" t="inlineStr">
        <is>
          <t>27 Maret 2025</t>
        </is>
      </c>
      <c r="I4" s="2" t="n">
        <v>46375</v>
      </c>
      <c r="J4" t="inlineStr">
        <is>
          <t>Disetujui</t>
        </is>
      </c>
      <c r="K4" t="n">
        <v>87</v>
      </c>
      <c r="L4" t="inlineStr">
        <is>
          <t>19 Desember 2026</t>
        </is>
      </c>
      <c r="M4" t="inlineStr">
        <is>
          <t>Jasa Arsitektural Bangunan Gedung Hunian dan Non Hunian, Jasa Desain Interior pada Bangunan Gedung dan Bangunan Sipil, Jasa Pengujian Hasil Pekerjaan Konstruksi dan Fasilitas Laboratorium, Jasa Pengujian dan Analisis Teknis Geologi, Geofisika dan Geokimia</t>
        </is>
      </c>
      <c r="N4" t="inlineStr">
        <is>
          <t>B, M, Spesialis</t>
        </is>
      </c>
      <c r="O4" t="inlineStr">
        <is>
          <t>20231206</t>
        </is>
      </c>
      <c r="P4" t="inlineStr">
        <is>
          <t>DKI Jakarta</t>
        </is>
      </c>
      <c r="Q4" t="inlineStr"/>
    </row>
    <row r="5">
      <c r="A5" t="inlineStr">
        <is>
          <t>ROYAL KONSTRUKSI JAYA</t>
        </is>
      </c>
      <c r="B5" t="inlineStr">
        <is>
          <t>Kota Adm. Jakarta Timur</t>
        </is>
      </c>
      <c r="C5" t="inlineStr">
        <is>
          <t>081311112337</t>
        </is>
      </c>
      <c r="D5" t="inlineStr">
        <is>
          <t>ptroyalkonstruksijaya@gmail.com</t>
        </is>
      </c>
      <c r="E5" t="inlineStr">
        <is>
          <t>https://lpjk.pu.go.id/search-badan-usaha-detail/RkNSY1NSMjExelNJbG9KMTJhTGxhdz09</t>
        </is>
      </c>
      <c r="F5" t="n">
        <v>1</v>
      </c>
      <c r="G5" t="inlineStr">
        <is>
          <t>BS010</t>
        </is>
      </c>
      <c r="H5" t="inlineStr">
        <is>
          <t>7 Maret 2023</t>
        </is>
      </c>
      <c r="I5" s="2" t="n">
        <v>46375</v>
      </c>
      <c r="J5" t="inlineStr">
        <is>
          <t>Disetujui</t>
        </is>
      </c>
      <c r="K5" t="n">
        <v>87</v>
      </c>
      <c r="L5" t="inlineStr">
        <is>
          <t>19 Desember 2026</t>
        </is>
      </c>
      <c r="M5" t="inlineStr">
        <is>
          <t>Konstruksi Bangunan Prasarana Sumber Daya Air</t>
        </is>
      </c>
      <c r="N5" t="inlineStr">
        <is>
          <t>K</t>
        </is>
      </c>
      <c r="O5" t="inlineStr">
        <is>
          <t>20231219</t>
        </is>
      </c>
      <c r="P5" t="inlineStr">
        <is>
          <t>DKI Jakarta</t>
        </is>
      </c>
      <c r="Q5" s="3">
        <f>HYPERLINK("https://wa.me/6281311112337?text=Selamat siang Bapak/Ibu pimpinan ROYAL KONSTRUKSI JAYA,%0A%0ASemoga Bapak/Ibu dalam keadaan baik.%0ABerdasarkan data LPJK, masa berlaku SBU perusahaan Bapak/Ibu akan berakhir sekitar 3 bulan lagi (pada 19 Desember 2026).%0ASaya Ibrahim dari PT. Esdea Assistance Management. Kami berfokus membantu perusahaan seperti perusahaan Bapak/Ibu agar urusan legalitas dan perizinan bisa berjalan lancar dan efisien.%0A%0AOleh karena itu, kami hadir untuk membantu tim Bapak/Ibu, baik untuk:%0A- Penerbitan dan perpanjangan SBU%0A- Sertifikasi Kompetensi Kerja (SKK)%0A- Sertifikasi ISO (Akreditasi dan Non Akreditasi)%0A- Sertifikasi SNI%0A- Sertifikasi K3, SIO, SILO%0A- Audit Akuntan Publik (LAI)%0A- Laporan keuangan dan pajak (Bulanan/tahunan)%0A%0AApakah saat ini ada kebutuhan terkait layanan di atas yang sedang menjadi prioritas perusahaan Bapak/Ibu?%0ABoleh info ke siapa saya bisa kirimkan company profile kami?%0A%0AIbrahim%0APT Esdea Assistance Management%0Ahttps://esdeassistance.com", "Hubungi")</f>
        <v/>
      </c>
    </row>
    <row r="6">
      <c r="A6" t="inlineStr">
        <is>
          <t>SINAR RANGGA HASTAPURUSA</t>
        </is>
      </c>
      <c r="B6" t="inlineStr">
        <is>
          <t>Kota Bekasi</t>
        </is>
      </c>
      <c r="C6" t="inlineStr">
        <is>
          <t>081283780827</t>
        </is>
      </c>
      <c r="D6" t="inlineStr">
        <is>
          <t>henaka.pajak@gmail.com</t>
        </is>
      </c>
      <c r="E6" t="inlineStr">
        <is>
          <t>https://lpjk.pu.go.id/search-badan-usaha-detail/REZUVjZoNkhLSWhvT2JnWWp5bGl5dz09</t>
        </is>
      </c>
      <c r="F6" t="n">
        <v>1</v>
      </c>
      <c r="G6" t="inlineStr">
        <is>
          <t>IN007</t>
        </is>
      </c>
      <c r="H6" t="inlineStr">
        <is>
          <t>28 Oktober 1987</t>
        </is>
      </c>
      <c r="I6" s="2" t="n">
        <v>46375</v>
      </c>
      <c r="J6" t="inlineStr">
        <is>
          <t>Disetujui</t>
        </is>
      </c>
      <c r="K6" t="n">
        <v>87</v>
      </c>
      <c r="L6" t="inlineStr">
        <is>
          <t>19 Desember 2026</t>
        </is>
      </c>
      <c r="M6" t="inlineStr">
        <is>
          <t>Instalasi Saluran Air (Plambing)</t>
        </is>
      </c>
      <c r="N6" t="inlineStr">
        <is>
          <t>Spesialis</t>
        </is>
      </c>
      <c r="O6" t="inlineStr">
        <is>
          <t>20231214</t>
        </is>
      </c>
      <c r="P6" t="inlineStr">
        <is>
          <t>Jawa Barat</t>
        </is>
      </c>
      <c r="Q6" s="3">
        <f>HYPERLINK("https://wa.me/6281283780827?text=Selamat siang Bapak/Ibu pimpinan SINAR RANGGA HASTAPURUSA,%0A%0ASemoga Bapak/Ibu dalam keadaan baik.%0ABerdasarkan data LPJK, masa berlaku SBU perusahaan Bapak/Ibu akan berakhir sekitar 3 bulan lagi (pada 19 Desember 2026).%0ASaya Ibrahim dari PT. Esdea Assistance Management. Kami berfokus membantu perusahaan seperti perusahaan Bapak/Ibu agar urusan legalitas dan perizinan bisa berjalan lancar dan efisien.%0A%0AOleh karena itu, kami hadir untuk membantu tim Bapak/Ibu, baik untuk:%0A- Penerbitan dan perpanjangan SBU%0A- Sertifikasi Kompetensi Kerja (SKK)%0A- Sertifikasi ISO (Akreditasi dan Non Akreditasi)%0A- Sertifikasi SNI%0A- Sertifikasi K3, SIO, SILO%0A- Audit Akuntan Publik (LAI)%0A- Laporan keuangan dan pajak (Bulanan/tahunan)%0A%0AApakah saat ini ada kebutuhan terkait layanan di atas yang sedang menjadi prioritas perusahaan Bapak/Ibu?%0ABoleh info ke siapa saya bisa kirimkan company profile kami?%0A%0AIbrahim%0APT Esdea Assistance Management%0Ahttps://esdeassistance.com", "Hubungi")</f>
        <v/>
      </c>
    </row>
    <row r="7">
      <c r="A7" t="inlineStr">
        <is>
          <t>ALBANY INDONESIA</t>
        </is>
      </c>
      <c r="B7" t="inlineStr">
        <is>
          <t>Kab. Tuban</t>
        </is>
      </c>
      <c r="C7" t="inlineStr">
        <is>
          <t>081216239999</t>
        </is>
      </c>
      <c r="D7" t="inlineStr">
        <is>
          <t>albanyray@yahoo.com</t>
        </is>
      </c>
      <c r="E7" t="inlineStr">
        <is>
          <t>https://lpjk.pu.go.id/search-badan-usaha-detail/dnRDUEM4N0kwSTR6THkwMEtiL2VjUT09</t>
        </is>
      </c>
      <c r="F7" t="n">
        <v>1</v>
      </c>
      <c r="G7" t="inlineStr">
        <is>
          <t>BS017</t>
        </is>
      </c>
      <c r="H7" t="inlineStr">
        <is>
          <t>22 Oktober 2013</t>
        </is>
      </c>
      <c r="I7" s="2" t="n">
        <v>46375</v>
      </c>
      <c r="J7" t="inlineStr">
        <is>
          <t>Disetujui</t>
        </is>
      </c>
      <c r="K7" t="n">
        <v>87</v>
      </c>
      <c r="L7" t="inlineStr">
        <is>
          <t>19 Desember 2026</t>
        </is>
      </c>
      <c r="M7" t="inlineStr">
        <is>
          <t>Konstruksi Bangunan Sipil Lainnya Ytdl</t>
        </is>
      </c>
      <c r="N7" t="inlineStr">
        <is>
          <t>K</t>
        </is>
      </c>
      <c r="O7" t="inlineStr">
        <is>
          <t>20231219</t>
        </is>
      </c>
      <c r="P7" t="inlineStr">
        <is>
          <t>Jawa Timur</t>
        </is>
      </c>
      <c r="Q7" t="inlineStr"/>
    </row>
    <row r="8">
      <c r="A8" t="inlineStr">
        <is>
          <t>ALMA CIPTA SEJAHTERA</t>
        </is>
      </c>
      <c r="B8" t="inlineStr">
        <is>
          <t>Kota Adm. Jakarta Selatan</t>
        </is>
      </c>
      <c r="C8" t="inlineStr">
        <is>
          <t>02183708292</t>
        </is>
      </c>
      <c r="D8" t="inlineStr">
        <is>
          <t>alma_cipta.sejahtera@yahoo.co.id</t>
        </is>
      </c>
      <c r="E8" t="inlineStr">
        <is>
          <t>https://lpjk.pu.go.id/search-badan-usaha-detail/R0JHWlcwc2V0UzhaRWIrM0g0dEhmUT09</t>
        </is>
      </c>
      <c r="F8" t="n">
        <v>1</v>
      </c>
      <c r="G8" t="inlineStr">
        <is>
          <t>BS009</t>
        </is>
      </c>
      <c r="H8" t="inlineStr">
        <is>
          <t>11 Januari 1983</t>
        </is>
      </c>
      <c r="I8" s="2" t="n">
        <v>46375</v>
      </c>
      <c r="J8" t="inlineStr">
        <is>
          <t>Pembekuan</t>
        </is>
      </c>
      <c r="K8" t="n">
        <v>87</v>
      </c>
      <c r="L8" t="inlineStr">
        <is>
          <t>19 Desember 2026</t>
        </is>
      </c>
      <c r="M8" t="inlineStr">
        <is>
          <t>Konstruksi Sentral Telekomunikasi</t>
        </is>
      </c>
      <c r="N8" t="inlineStr">
        <is>
          <t>M</t>
        </is>
      </c>
      <c r="O8" t="inlineStr">
        <is>
          <t>20231219</t>
        </is>
      </c>
      <c r="P8" t="inlineStr">
        <is>
          <t>DKI Jakarta</t>
        </is>
      </c>
      <c r="Q8" t="inlineStr"/>
    </row>
    <row r="9">
      <c r="A9" t="inlineStr">
        <is>
          <t>AMAR AFIFAH PERDANA</t>
        </is>
      </c>
      <c r="B9" t="inlineStr">
        <is>
          <t>Kota Bandar Lampung</t>
        </is>
      </c>
      <c r="C9" t="inlineStr">
        <is>
          <t>085363916553</t>
        </is>
      </c>
      <c r="D9" t="inlineStr">
        <is>
          <t>amarafifahperdanacv@gmail.com</t>
        </is>
      </c>
      <c r="E9" t="inlineStr">
        <is>
          <t>https://lpjk.pu.go.id/search-badan-usaha-detail/Y2JqVTl5NzVXNWN5UXMvbFVOK1UzQT09</t>
        </is>
      </c>
      <c r="F9" t="n">
        <v>2</v>
      </c>
      <c r="G9" t="inlineStr">
        <is>
          <t>BG005, BG006</t>
        </is>
      </c>
      <c r="H9" t="inlineStr">
        <is>
          <t>18 Mei 2012</t>
        </is>
      </c>
      <c r="I9" s="2" t="n">
        <v>46375</v>
      </c>
      <c r="J9" t="inlineStr">
        <is>
          <t>Disetujui</t>
        </is>
      </c>
      <c r="K9" t="n">
        <v>87</v>
      </c>
      <c r="L9" t="inlineStr">
        <is>
          <t>19 Desember 2026</t>
        </is>
      </c>
      <c r="M9" t="inlineStr">
        <is>
          <t>Konstruksi Gedung Kesehatan, Konstruksi Gedung Pendidikan</t>
        </is>
      </c>
      <c r="N9" t="inlineStr">
        <is>
          <t>K</t>
        </is>
      </c>
      <c r="O9" t="inlineStr">
        <is>
          <t>20231005</t>
        </is>
      </c>
      <c r="P9" t="inlineStr">
        <is>
          <t>Lampung</t>
        </is>
      </c>
      <c r="Q9" t="inlineStr"/>
    </row>
    <row r="10">
      <c r="A10" t="inlineStr">
        <is>
          <t>AMOGA SAKTI PRATAMA</t>
        </is>
      </c>
      <c r="B10" t="inlineStr">
        <is>
          <t>Kab. Karawang</t>
        </is>
      </c>
      <c r="C10" t="inlineStr">
        <is>
          <t>081213148645</t>
        </is>
      </c>
      <c r="D10" t="inlineStr">
        <is>
          <t>amogasaktipratama@gmail.com</t>
        </is>
      </c>
      <c r="E10" t="inlineStr">
        <is>
          <t>https://lpjk.pu.go.id/search-badan-usaha-detail/TDNmYTlUblZtU1RxZ2Z6a3pYWkVEdz09</t>
        </is>
      </c>
      <c r="F10" t="n">
        <v>1</v>
      </c>
      <c r="G10" t="inlineStr">
        <is>
          <t>BS001</t>
        </is>
      </c>
      <c r="H10" t="inlineStr">
        <is>
          <t>25 Januari 2023</t>
        </is>
      </c>
      <c r="I10" s="2" t="n">
        <v>46375</v>
      </c>
      <c r="J10" t="inlineStr">
        <is>
          <t>Pencabutan</t>
        </is>
      </c>
      <c r="K10" t="n">
        <v>87</v>
      </c>
      <c r="L10" t="inlineStr">
        <is>
          <t>19 Desember 2026</t>
        </is>
      </c>
      <c r="M10" t="inlineStr">
        <is>
          <t>Konstruksi Bangunan Sipil Jalan</t>
        </is>
      </c>
      <c r="N10" t="inlineStr">
        <is>
          <t>K</t>
        </is>
      </c>
      <c r="O10" t="inlineStr">
        <is>
          <t>20231219</t>
        </is>
      </c>
      <c r="P10" t="inlineStr">
        <is>
          <t>Jawa Barat</t>
        </is>
      </c>
      <c r="Q10" t="inlineStr"/>
    </row>
    <row r="11">
      <c r="A11" t="inlineStr">
        <is>
          <t>ANNUR PUTRA</t>
        </is>
      </c>
      <c r="B11" t="inlineStr">
        <is>
          <t>Kab. Kutai Kartanegara</t>
        </is>
      </c>
      <c r="C11" t="inlineStr">
        <is>
          <t>08115999759</t>
        </is>
      </c>
      <c r="D11" t="inlineStr">
        <is>
          <t>annur_putra75@yahoo.com</t>
        </is>
      </c>
      <c r="E11" t="inlineStr">
        <is>
          <t>https://lpjk.pu.go.id/search-badan-usaha-detail/bU1DeDhWaFRlOVVoQjArdWVneS94dz09</t>
        </is>
      </c>
      <c r="F11" t="n">
        <v>1</v>
      </c>
      <c r="G11" t="inlineStr">
        <is>
          <t>BG005</t>
        </is>
      </c>
      <c r="H11" t="inlineStr">
        <is>
          <t>15 Januari 2010</t>
        </is>
      </c>
      <c r="I11" s="2" t="n">
        <v>46375</v>
      </c>
      <c r="J11" t="inlineStr">
        <is>
          <t>Disetujui</t>
        </is>
      </c>
      <c r="K11" t="n">
        <v>87</v>
      </c>
      <c r="L11" t="inlineStr">
        <is>
          <t>19 Desember 2026</t>
        </is>
      </c>
      <c r="M11" t="inlineStr">
        <is>
          <t>Konstruksi Gedung Kesehatan</t>
        </is>
      </c>
      <c r="N11" t="inlineStr">
        <is>
          <t>K</t>
        </is>
      </c>
      <c r="O11" t="inlineStr">
        <is>
          <t>20231220</t>
        </is>
      </c>
      <c r="P11" t="inlineStr">
        <is>
          <t>Kalimantan Timur</t>
        </is>
      </c>
      <c r="Q11" t="inlineStr"/>
    </row>
    <row r="12">
      <c r="A12" t="inlineStr">
        <is>
          <t>ANUGERAH JAYA MAJU</t>
        </is>
      </c>
      <c r="B12" t="inlineStr">
        <is>
          <t>Kab. Kutai Timur</t>
        </is>
      </c>
      <c r="C12" t="inlineStr">
        <is>
          <t>085248883533</t>
        </is>
      </c>
      <c r="D12" t="inlineStr">
        <is>
          <t>cv.anugerahjayamaju@gmail.com</t>
        </is>
      </c>
      <c r="E12" t="inlineStr">
        <is>
          <t>https://lpjk.pu.go.id/search-badan-usaha-detail/SDMvRHhqaTFmekw4Q0pUM29UYjRvZz09</t>
        </is>
      </c>
      <c r="F12" t="n">
        <v>6</v>
      </c>
      <c r="G12" t="inlineStr">
        <is>
          <t>BG001, BG002, BG009, BS001, BS002, BS004</t>
        </is>
      </c>
      <c r="H12" t="inlineStr">
        <is>
          <t>18 Oktober 2023</t>
        </is>
      </c>
      <c r="I12" s="2" t="n">
        <v>46375</v>
      </c>
      <c r="J12" t="inlineStr">
        <is>
          <t>Disetujui</t>
        </is>
      </c>
      <c r="K12" t="n">
        <v>87</v>
      </c>
      <c r="L12" t="inlineStr">
        <is>
          <t>19 Desember 2026</t>
        </is>
      </c>
      <c r="M12" t="inlineStr">
        <is>
          <t>Bangunan Sipil Jembatan, Jalan Layang, Fly Over, dan Underpass, Konstruksi Bangunan Sipil Jalan, Konstruksi Gedung Hunian, Konstruksi Gedung Lainnya, Konstruksi Gedung Perkantoran, Konstruksi Jaringan Irigasi dan Drainase</t>
        </is>
      </c>
      <c r="N12" t="inlineStr">
        <is>
          <t>K</t>
        </is>
      </c>
      <c r="O12" t="inlineStr">
        <is>
          <t>20231214, 20231215, 20231219</t>
        </is>
      </c>
      <c r="P12" t="inlineStr">
        <is>
          <t>Kalimantan Timur</t>
        </is>
      </c>
      <c r="Q12" t="inlineStr"/>
    </row>
    <row r="13">
      <c r="A13" t="inlineStr">
        <is>
          <t>ANUGRA SEJAHTERA RAYA</t>
        </is>
      </c>
      <c r="B13" t="inlineStr">
        <is>
          <t>Kab. Lamongan</t>
        </is>
      </c>
      <c r="C13" t="inlineStr">
        <is>
          <t>085733675999</t>
        </is>
      </c>
      <c r="D13" t="inlineStr">
        <is>
          <t>cv.anugrasejahtera@yahoo.com</t>
        </is>
      </c>
      <c r="E13" t="inlineStr">
        <is>
          <t>https://lpjk.pu.go.id/search-badan-usaha-detail/cVFvWXRpSUxOcWk1bGRPMzR4eDBEQT09</t>
        </is>
      </c>
      <c r="F13" t="n">
        <v>1</v>
      </c>
      <c r="G13" t="inlineStr">
        <is>
          <t>BG003</t>
        </is>
      </c>
      <c r="H13" t="inlineStr">
        <is>
          <t>6 Desember 2019</t>
        </is>
      </c>
      <c r="I13" s="2" t="n">
        <v>46375</v>
      </c>
      <c r="J13" t="inlineStr">
        <is>
          <t>Disetujui</t>
        </is>
      </c>
      <c r="K13" t="n">
        <v>87</v>
      </c>
      <c r="L13" t="inlineStr">
        <is>
          <t>19 Desember 2026</t>
        </is>
      </c>
      <c r="M13" t="inlineStr">
        <is>
          <t>Konstruksi Gedung Industri</t>
        </is>
      </c>
      <c r="N13" t="inlineStr">
        <is>
          <t>K</t>
        </is>
      </c>
      <c r="O13" t="inlineStr">
        <is>
          <t>20231219</t>
        </is>
      </c>
      <c r="P13" t="inlineStr">
        <is>
          <t>Jawa Timur</t>
        </is>
      </c>
      <c r="Q13" t="inlineStr"/>
    </row>
    <row r="14">
      <c r="A14" t="inlineStr">
        <is>
          <t>ARAS BERKARYA MANDIRI</t>
        </is>
      </c>
      <c r="B14" t="inlineStr">
        <is>
          <t>Kota Manado</t>
        </is>
      </c>
      <c r="C14" t="inlineStr">
        <is>
          <t>081524326568</t>
        </is>
      </c>
      <c r="D14" t="inlineStr">
        <is>
          <t>ptarasberkaryamandiri@gmail.com</t>
        </is>
      </c>
      <c r="E14" t="inlineStr">
        <is>
          <t>https://lpjk.pu.go.id/search-badan-usaha-detail/QjRLY1BzNjhRTEFwVyswUnd3ZE90Zz09</t>
        </is>
      </c>
      <c r="F14" t="n">
        <v>1</v>
      </c>
      <c r="G14" t="inlineStr">
        <is>
          <t>RK001</t>
        </is>
      </c>
      <c r="H14" t="inlineStr">
        <is>
          <t>22 Juni 2023</t>
        </is>
      </c>
      <c r="I14" s="2" t="n">
        <v>46375</v>
      </c>
      <c r="J14" t="inlineStr">
        <is>
          <t>Disetujui</t>
        </is>
      </c>
      <c r="K14" t="n">
        <v>87</v>
      </c>
      <c r="L14" t="inlineStr">
        <is>
          <t>19 Desember 2026</t>
        </is>
      </c>
      <c r="M14" t="inlineStr">
        <is>
          <t>Jasa Rekayasa Konstruksi Bangunan Gedung Hunian dan Non Hunian</t>
        </is>
      </c>
      <c r="N14" t="inlineStr">
        <is>
          <t>K</t>
        </is>
      </c>
      <c r="O14" t="inlineStr">
        <is>
          <t>20231205</t>
        </is>
      </c>
      <c r="P14" t="inlineStr">
        <is>
          <t>Sulawesi Utara</t>
        </is>
      </c>
      <c r="Q14" t="inlineStr"/>
    </row>
    <row r="15">
      <c r="A15" t="inlineStr">
        <is>
          <t>ARIFIN JAYA MANDIRI</t>
        </is>
      </c>
      <c r="B15" t="inlineStr">
        <is>
          <t>Kab. Serang</t>
        </is>
      </c>
      <c r="C15" t="inlineStr">
        <is>
          <t>087881006483</t>
        </is>
      </c>
      <c r="D15" t="inlineStr">
        <is>
          <t>cvarifinjayamandiri@gmail.com</t>
        </is>
      </c>
      <c r="E15" t="inlineStr">
        <is>
          <t>https://lpjk.pu.go.id/search-badan-usaha-detail/RUJ1NEoyVUtWRUUvQWU4aTUzSWdBZz09</t>
        </is>
      </c>
      <c r="F15" t="n">
        <v>6</v>
      </c>
      <c r="G15" t="inlineStr">
        <is>
          <t>BG006, BS001, BS004</t>
        </is>
      </c>
      <c r="H15" t="inlineStr">
        <is>
          <t>28 Juli 2022</t>
        </is>
      </c>
      <c r="I15" s="2" t="n">
        <v>46375</v>
      </c>
      <c r="J15" t="inlineStr">
        <is>
          <t>Disetujui</t>
        </is>
      </c>
      <c r="K15" t="n">
        <v>87</v>
      </c>
      <c r="L15" t="inlineStr">
        <is>
          <t>19 Desember 2026</t>
        </is>
      </c>
      <c r="M15" t="inlineStr">
        <is>
          <t>Konstruksi Bangunan Sipil Jalan, Konstruksi Gedung Pendidikan, Konstruksi Jaringan Irigasi dan Drainase</t>
        </is>
      </c>
      <c r="N15" t="inlineStr">
        <is>
          <t>K</t>
        </is>
      </c>
      <c r="O15" t="inlineStr">
        <is>
          <t>20231219</t>
        </is>
      </c>
      <c r="P15" t="inlineStr">
        <is>
          <t>Banten</t>
        </is>
      </c>
      <c r="Q15" t="inlineStr"/>
    </row>
    <row r="16">
      <c r="A16" t="inlineStr">
        <is>
          <t>ASA SAMPOERNA ABADI</t>
        </is>
      </c>
      <c r="B16" t="inlineStr">
        <is>
          <t>Kab. Kutai Timur</t>
        </is>
      </c>
      <c r="C16" t="inlineStr">
        <is>
          <t>085396396660</t>
        </is>
      </c>
      <c r="D16" t="inlineStr">
        <is>
          <t>cv.asa2mpoerna@gmail.com</t>
        </is>
      </c>
      <c r="E16" t="inlineStr">
        <is>
          <t>https://lpjk.pu.go.id/search-badan-usaha-detail/c2NFVzRJa1ZTQks0Rk5KVHFhYzlidz09</t>
        </is>
      </c>
      <c r="F16" t="n">
        <v>5</v>
      </c>
      <c r="G16" t="inlineStr">
        <is>
          <t>BG002, BG006, BG009, BS001, BS004</t>
        </is>
      </c>
      <c r="H16" t="inlineStr">
        <is>
          <t>24 Januari 2023</t>
        </is>
      </c>
      <c r="I16" s="2" t="n">
        <v>46375</v>
      </c>
      <c r="J16" t="inlineStr">
        <is>
          <t>Disetujui</t>
        </is>
      </c>
      <c r="K16" t="n">
        <v>87</v>
      </c>
      <c r="L16" t="inlineStr">
        <is>
          <t>19 Desember 2026</t>
        </is>
      </c>
      <c r="M16" t="inlineStr">
        <is>
          <t>Konstruksi Bangunan Sipil Jalan, Konstruksi Gedung Lainnya, Konstruksi Gedung Pendidikan, Konstruksi Gedung Perkantoran, Konstruksi Jaringan Irigasi dan Drainase</t>
        </is>
      </c>
      <c r="N16" t="inlineStr">
        <is>
          <t>K</t>
        </is>
      </c>
      <c r="O16" t="inlineStr">
        <is>
          <t>20231220, 20231221</t>
        </is>
      </c>
      <c r="P16" t="inlineStr">
        <is>
          <t>Kalimantan Timur</t>
        </is>
      </c>
      <c r="Q16" t="inlineStr"/>
    </row>
    <row r="17">
      <c r="A17" t="inlineStr">
        <is>
          <t>ASPRINDO PERKASA</t>
        </is>
      </c>
      <c r="B17" t="inlineStr">
        <is>
          <t>Kota Payakumbuh</t>
        </is>
      </c>
      <c r="C17" t="inlineStr">
        <is>
          <t>082386977446</t>
        </is>
      </c>
      <c r="D17" t="inlineStr">
        <is>
          <t>asparindoperkasa@gmail.com</t>
        </is>
      </c>
      <c r="E17" t="inlineStr">
        <is>
          <t>https://lpjk.pu.go.id/search-badan-usaha-detail/MDVEMVVrUWdxaWFkMkFoZFl0STlDUT09</t>
        </is>
      </c>
      <c r="F17" t="n">
        <v>1</v>
      </c>
      <c r="G17" t="inlineStr">
        <is>
          <t>BS004</t>
        </is>
      </c>
      <c r="H17" t="inlineStr">
        <is>
          <t>21 November 2016</t>
        </is>
      </c>
      <c r="I17" s="2" t="n">
        <v>46375</v>
      </c>
      <c r="J17" t="inlineStr">
        <is>
          <t>Disetujui</t>
        </is>
      </c>
      <c r="K17" t="n">
        <v>87</v>
      </c>
      <c r="L17" t="inlineStr">
        <is>
          <t>19 Desember 2026</t>
        </is>
      </c>
      <c r="M17" t="inlineStr">
        <is>
          <t>Konstruksi Jaringan Irigasi dan Drainase</t>
        </is>
      </c>
      <c r="N17" t="inlineStr">
        <is>
          <t>K</t>
        </is>
      </c>
      <c r="O17" t="inlineStr">
        <is>
          <t>20231220</t>
        </is>
      </c>
      <c r="P17" t="inlineStr">
        <is>
          <t>Sumatera Barat</t>
        </is>
      </c>
      <c r="Q17" t="inlineStr"/>
    </row>
    <row r="18">
      <c r="A18" t="inlineStr">
        <is>
          <t>AZKAJAYA MUDA PERKASA</t>
        </is>
      </c>
      <c r="B18" t="inlineStr">
        <is>
          <t>Kab. Kampar</t>
        </is>
      </c>
      <c r="C18" t="inlineStr">
        <is>
          <t>089654778788</t>
        </is>
      </c>
      <c r="D18" t="inlineStr">
        <is>
          <t>azkajaya5@gmail.com</t>
        </is>
      </c>
      <c r="E18" t="inlineStr">
        <is>
          <t>https://lpjk.pu.go.id/search-badan-usaha-detail/b1VYalZmVGpkbjFFMCtBcVJQelNJdz09</t>
        </is>
      </c>
      <c r="F18" t="n">
        <v>1</v>
      </c>
      <c r="G18" t="inlineStr">
        <is>
          <t>BS010</t>
        </is>
      </c>
      <c r="H18" t="inlineStr">
        <is>
          <t>22 Juni 2012</t>
        </is>
      </c>
      <c r="I18" s="2" t="n">
        <v>46375</v>
      </c>
      <c r="J18" t="inlineStr">
        <is>
          <t>Disetujui</t>
        </is>
      </c>
      <c r="K18" t="n">
        <v>87</v>
      </c>
      <c r="L18" t="inlineStr">
        <is>
          <t>19 Desember 2026</t>
        </is>
      </c>
      <c r="M18" t="inlineStr">
        <is>
          <t>Konstruksi Bangunan Prasarana Sumber Daya Air</t>
        </is>
      </c>
      <c r="N18" t="inlineStr">
        <is>
          <t>K</t>
        </is>
      </c>
      <c r="O18" t="inlineStr">
        <is>
          <t>20231220</t>
        </is>
      </c>
      <c r="P18" t="inlineStr">
        <is>
          <t>Riau</t>
        </is>
      </c>
      <c r="Q18" t="inlineStr"/>
    </row>
    <row r="19">
      <c r="A19" t="inlineStr">
        <is>
          <t>BANGUNAN INDAH</t>
        </is>
      </c>
      <c r="B19" t="inlineStr">
        <is>
          <t>Kab. Grobogan</t>
        </is>
      </c>
      <c r="C19" t="inlineStr">
        <is>
          <t>08112742270</t>
        </is>
      </c>
      <c r="D19" t="inlineStr">
        <is>
          <t>cv.bangunanindah1@gmail.com</t>
        </is>
      </c>
      <c r="E19" t="inlineStr">
        <is>
          <t>https://lpjk.pu.go.id/search-badan-usaha-detail/a0tHWWdYRTdUNUNOZWE0QzFXWTM1UT09</t>
        </is>
      </c>
      <c r="F19" t="n">
        <v>4</v>
      </c>
      <c r="G19" t="inlineStr">
        <is>
          <t>BG005, BG006, BS001, BS004</t>
        </is>
      </c>
      <c r="H19" t="inlineStr">
        <is>
          <t>21 Februari 2011</t>
        </is>
      </c>
      <c r="I19" s="2" t="n">
        <v>46375</v>
      </c>
      <c r="J19" t="inlineStr">
        <is>
          <t>Disetujui</t>
        </is>
      </c>
      <c r="K19" t="n">
        <v>87</v>
      </c>
      <c r="L19" t="inlineStr">
        <is>
          <t>19 Desember 2026</t>
        </is>
      </c>
      <c r="M19" t="inlineStr">
        <is>
          <t>Konstruksi Bangunan Sipil Jalan, Konstruksi Gedung Kesehatan, Konstruksi Gedung Pendidikan, Konstruksi Jaringan Irigasi dan Drainase</t>
        </is>
      </c>
      <c r="N19" t="inlineStr">
        <is>
          <t>K</t>
        </is>
      </c>
      <c r="O19" t="inlineStr">
        <is>
          <t>20231123, 20231215, 20231218</t>
        </is>
      </c>
      <c r="P19" t="inlineStr">
        <is>
          <t>Jawa Tengah</t>
        </is>
      </c>
      <c r="Q19" t="inlineStr"/>
    </row>
    <row r="20">
      <c r="A20" t="inlineStr">
        <is>
          <t>BANJAR HULU KONSULTAN</t>
        </is>
      </c>
      <c r="B20" t="inlineStr">
        <is>
          <t>Kab. Balangan</t>
        </is>
      </c>
      <c r="C20" t="inlineStr">
        <is>
          <t>082365890253</t>
        </is>
      </c>
      <c r="D20" t="inlineStr">
        <is>
          <t>banjarhulukonsultan@gmail.com</t>
        </is>
      </c>
      <c r="E20" t="inlineStr">
        <is>
          <t>https://lpjk.pu.go.id/search-badan-usaha-detail/NjRTRlBRdVJ6VmphYmdhRlMyT2ErUT09</t>
        </is>
      </c>
      <c r="F20" t="n">
        <v>3</v>
      </c>
      <c r="G20" t="inlineStr">
        <is>
          <t>RK001, RK002, RK003</t>
        </is>
      </c>
      <c r="H20" t="inlineStr">
        <is>
          <t>24 November 2023</t>
        </is>
      </c>
      <c r="I20" s="2" t="n">
        <v>46375</v>
      </c>
      <c r="J20" t="inlineStr">
        <is>
          <t>Disetujui</t>
        </is>
      </c>
      <c r="K20" t="n">
        <v>87</v>
      </c>
      <c r="L20" t="inlineStr">
        <is>
          <t>19 Desember 2026</t>
        </is>
      </c>
      <c r="M20" t="inlineStr">
        <is>
          <t>Jasa Rekayasa Konstruksi Bangunan Gedung Hunian dan Non Hunian, Jasa Rekayasa Pekerjaan Teknik Sipil Sumber Daya Air, Jasa Rekayasa Pekerjaan Teknik Sipil Transportasi</t>
        </is>
      </c>
      <c r="N20" t="inlineStr">
        <is>
          <t>K</t>
        </is>
      </c>
      <c r="O20" t="inlineStr">
        <is>
          <t>20231204</t>
        </is>
      </c>
      <c r="P20" t="inlineStr">
        <is>
          <t>Kalimantan Selatan</t>
        </is>
      </c>
      <c r="Q20" t="inlineStr"/>
    </row>
    <row r="21">
      <c r="A21" t="inlineStr">
        <is>
          <t>BANUA ABADI JAYA</t>
        </is>
      </c>
      <c r="B21" t="inlineStr">
        <is>
          <t>Kab. Tanah Bumbu</t>
        </is>
      </c>
      <c r="C21" t="inlineStr">
        <is>
          <t>085278304004</t>
        </is>
      </c>
      <c r="D21" t="inlineStr">
        <is>
          <t>banuaabadijaya@gmail.com</t>
        </is>
      </c>
      <c r="E21" t="inlineStr">
        <is>
          <t>https://lpjk.pu.go.id/search-badan-usaha-detail/MHY2RUFYRkZIVithMGUrQXBUUFc1UT09</t>
        </is>
      </c>
      <c r="F21" t="n">
        <v>1</v>
      </c>
      <c r="G21" t="inlineStr">
        <is>
          <t>BS007</t>
        </is>
      </c>
      <c r="H21" t="inlineStr">
        <is>
          <t>31 Januari 2022</t>
        </is>
      </c>
      <c r="I21" s="2" t="n">
        <v>46375</v>
      </c>
      <c r="J21" t="inlineStr">
        <is>
          <t>Disetujui</t>
        </is>
      </c>
      <c r="K21" t="n">
        <v>87</v>
      </c>
      <c r="L21" t="inlineStr">
        <is>
          <t>19 Desember 2026</t>
        </is>
      </c>
      <c r="M21" t="inlineStr">
        <is>
          <t>Konstruksi Bangunan Sipil Elektrikal</t>
        </is>
      </c>
      <c r="N21" t="inlineStr">
        <is>
          <t>K</t>
        </is>
      </c>
      <c r="O21" t="inlineStr">
        <is>
          <t>20231014</t>
        </is>
      </c>
      <c r="P21" t="inlineStr">
        <is>
          <t>Kalimantan Selatan</t>
        </is>
      </c>
      <c r="Q21" t="inlineStr"/>
    </row>
    <row r="22">
      <c r="A22" t="inlineStr">
        <is>
          <t>BARRA PUTRA REZEKI</t>
        </is>
      </c>
      <c r="B22" t="inlineStr">
        <is>
          <t>Kota Langsa</t>
        </is>
      </c>
      <c r="C22" t="inlineStr">
        <is>
          <t>081265555786</t>
        </is>
      </c>
      <c r="D22" t="inlineStr">
        <is>
          <t>barraputra.cv@gmail.com</t>
        </is>
      </c>
      <c r="E22" t="inlineStr">
        <is>
          <t>https://lpjk.pu.go.id/search-badan-usaha-detail/d1FUNS92YUduVzJmcVc5OFBGVUh4dz09</t>
        </is>
      </c>
      <c r="F22" t="n">
        <v>5</v>
      </c>
      <c r="G22" t="inlineStr">
        <is>
          <t>BG001, BG002, BG003, BG009, BS002</t>
        </is>
      </c>
      <c r="H22" t="inlineStr">
        <is>
          <t>17 November 2023</t>
        </is>
      </c>
      <c r="I22" s="2" t="n">
        <v>46375</v>
      </c>
      <c r="J22" t="inlineStr">
        <is>
          <t>Disetujui</t>
        </is>
      </c>
      <c r="K22" t="n">
        <v>87</v>
      </c>
      <c r="L22" t="inlineStr">
        <is>
          <t>19 Desember 2026</t>
        </is>
      </c>
      <c r="M22" t="inlineStr">
        <is>
          <t>Bangunan Sipil Jembatan, Jalan Layang, Fly Over, dan Underpass, Konstruksi Gedung Hunian, Konstruksi Gedung Industri, Konstruksi Gedung Lainnya, Konstruksi Gedung Perkantoran</t>
        </is>
      </c>
      <c r="N22" t="inlineStr">
        <is>
          <t>K</t>
        </is>
      </c>
      <c r="O22" t="inlineStr">
        <is>
          <t>20231219, 20231220, 20231221</t>
        </is>
      </c>
      <c r="P22" t="inlineStr">
        <is>
          <t>Aceh</t>
        </is>
      </c>
      <c r="Q22" t="inlineStr"/>
    </row>
    <row r="23">
      <c r="A23" t="inlineStr">
        <is>
          <t>BERDIKARI BERSAMA SAHABAT</t>
        </is>
      </c>
      <c r="B23" t="inlineStr">
        <is>
          <t>Kab. Tapanuli Selatan</t>
        </is>
      </c>
      <c r="C23" t="inlineStr">
        <is>
          <t>082274844903</t>
        </is>
      </c>
      <c r="D23" t="inlineStr">
        <is>
          <t>cvberdikaribersamasahabat@gmail.com</t>
        </is>
      </c>
      <c r="E23" t="inlineStr">
        <is>
          <t>https://lpjk.pu.go.id/search-badan-usaha-detail/WXd5enRmaTZCU0ZjdG4rMmd4UWl2UT09</t>
        </is>
      </c>
      <c r="F23" t="n">
        <v>4</v>
      </c>
      <c r="G23" t="inlineStr">
        <is>
          <t>BG001, BG002, BS001, BS010</t>
        </is>
      </c>
      <c r="H23" t="inlineStr">
        <is>
          <t>26 Oktober 2023</t>
        </is>
      </c>
      <c r="I23" s="2" t="n">
        <v>46375</v>
      </c>
      <c r="J23" t="inlineStr">
        <is>
          <t>Disetujui</t>
        </is>
      </c>
      <c r="K23" t="n">
        <v>87</v>
      </c>
      <c r="L23" t="inlineStr">
        <is>
          <t>19 Desember 2026</t>
        </is>
      </c>
      <c r="M23" t="inlineStr">
        <is>
          <t>Konstruksi Bangunan Prasarana Sumber Daya Air, Konstruksi Bangunan Sipil Jalan, Konstruksi Gedung Hunian, Konstruksi Gedung Perkantoran</t>
        </is>
      </c>
      <c r="N23" t="inlineStr">
        <is>
          <t>K</t>
        </is>
      </c>
      <c r="O23" t="inlineStr">
        <is>
          <t>20231109, 20231122</t>
        </is>
      </c>
      <c r="P23" t="inlineStr">
        <is>
          <t>Sumatera Utara</t>
        </is>
      </c>
      <c r="Q23" t="inlineStr"/>
    </row>
    <row r="24">
      <c r="A24" t="inlineStr">
        <is>
          <t>BHAWANA PRASASTA</t>
        </is>
      </c>
      <c r="B24" t="inlineStr">
        <is>
          <t>Kab. Bandung</t>
        </is>
      </c>
      <c r="C24" t="inlineStr">
        <is>
          <t>0225417600</t>
        </is>
      </c>
      <c r="D24" t="inlineStr">
        <is>
          <t>ptbhawanaprasasta10@gmail.com</t>
        </is>
      </c>
      <c r="E24" t="inlineStr">
        <is>
          <t>https://lpjk.pu.go.id/search-badan-usaha-detail/RzNVRi9yazNteDBpQVdFWTJabFpxZz09</t>
        </is>
      </c>
      <c r="F24" t="n">
        <v>1</v>
      </c>
      <c r="G24" t="inlineStr">
        <is>
          <t>RK002</t>
        </is>
      </c>
      <c r="H24" t="inlineStr">
        <is>
          <t>7 Oktober 1991</t>
        </is>
      </c>
      <c r="I24" s="2" t="n">
        <v>46375</v>
      </c>
      <c r="J24" t="inlineStr">
        <is>
          <t>Disetujui</t>
        </is>
      </c>
      <c r="K24" t="n">
        <v>87</v>
      </c>
      <c r="L24" t="inlineStr">
        <is>
          <t>19 Desember 2026</t>
        </is>
      </c>
      <c r="M24" t="inlineStr">
        <is>
          <t>Jasa Rekayasa Pekerjaan Teknik Sipil Sumber Daya Air</t>
        </is>
      </c>
      <c r="N24" t="inlineStr">
        <is>
          <t>M</t>
        </is>
      </c>
      <c r="O24" t="inlineStr">
        <is>
          <t>20231208</t>
        </is>
      </c>
      <c r="P24" t="inlineStr">
        <is>
          <t>Jawa Barat</t>
        </is>
      </c>
      <c r="Q24" t="inlineStr"/>
    </row>
    <row r="25">
      <c r="A25" t="inlineStr">
        <is>
          <t>CAHAYA ANGGRA WIGUNA</t>
        </is>
      </c>
      <c r="B25" t="inlineStr">
        <is>
          <t>Kab. Bandung</t>
        </is>
      </c>
      <c r="C25" t="inlineStr">
        <is>
          <t>082128691800</t>
        </is>
      </c>
      <c r="D25" t="inlineStr">
        <is>
          <t>cvcawbdg@gmail.com</t>
        </is>
      </c>
      <c r="E25" t="inlineStr">
        <is>
          <t>https://lpjk.pu.go.id/search-badan-usaha-detail/TWtHeGpNZXFNZnlGNWRJNWZnNG9Fdz09</t>
        </is>
      </c>
      <c r="F25" t="n">
        <v>1</v>
      </c>
      <c r="G25" t="inlineStr">
        <is>
          <t>BG009</t>
        </is>
      </c>
      <c r="H25" t="inlineStr">
        <is>
          <t>23 Desember 2014</t>
        </is>
      </c>
      <c r="I25" s="2" t="n">
        <v>46375</v>
      </c>
      <c r="J25" t="inlineStr">
        <is>
          <t>Disetujui</t>
        </is>
      </c>
      <c r="K25" t="n">
        <v>87</v>
      </c>
      <c r="L25" t="inlineStr">
        <is>
          <t>19 Desember 2026</t>
        </is>
      </c>
      <c r="M25" t="inlineStr">
        <is>
          <t>Konstruksi Gedung Lainnya</t>
        </is>
      </c>
      <c r="N25" t="inlineStr">
        <is>
          <t>K</t>
        </is>
      </c>
      <c r="O25" t="inlineStr">
        <is>
          <t>20231218</t>
        </is>
      </c>
      <c r="P25" t="inlineStr">
        <is>
          <t>Jawa Barat</t>
        </is>
      </c>
      <c r="Q25" t="inlineStr"/>
    </row>
    <row r="26">
      <c r="A26" t="inlineStr">
        <is>
          <t>CAHAYA ERVIN GEMILANG</t>
        </is>
      </c>
      <c r="B26" t="inlineStr">
        <is>
          <t>Kota Jambi</t>
        </is>
      </c>
      <c r="C26" t="inlineStr">
        <is>
          <t>081274873873</t>
        </is>
      </c>
      <c r="D26" t="inlineStr">
        <is>
          <t>herryrachmayanto@gmail.com</t>
        </is>
      </c>
      <c r="E26" t="inlineStr">
        <is>
          <t>https://lpjk.pu.go.id/search-badan-usaha-detail/cUdBc1N0YmdwZTNNQ2NaZDdEY21odz09</t>
        </is>
      </c>
      <c r="F26" t="n">
        <v>3</v>
      </c>
      <c r="G26" t="inlineStr">
        <is>
          <t>BG003, BG004, BG008</t>
        </is>
      </c>
      <c r="H26" t="inlineStr">
        <is>
          <t>19 Januari 2008</t>
        </is>
      </c>
      <c r="I26" s="2" t="n">
        <v>46375</v>
      </c>
      <c r="J26" t="inlineStr">
        <is>
          <t>Disetujui</t>
        </is>
      </c>
      <c r="K26" t="n">
        <v>87</v>
      </c>
      <c r="L26" t="inlineStr">
        <is>
          <t>19 Desember 2026</t>
        </is>
      </c>
      <c r="M26" t="inlineStr">
        <is>
          <t>Konstruksi Gedung Industri, Konstruksi Gedung Perbelanjaan, Konstruksi Gedung Tempat Hiburan dan Olahraga</t>
        </is>
      </c>
      <c r="N26" t="inlineStr">
        <is>
          <t>K</t>
        </is>
      </c>
      <c r="O26" t="inlineStr">
        <is>
          <t>20231219</t>
        </is>
      </c>
      <c r="P26" t="inlineStr">
        <is>
          <t>Jambi</t>
        </is>
      </c>
      <c r="Q26" t="inlineStr"/>
    </row>
    <row r="27">
      <c r="A27" t="inlineStr">
        <is>
          <t>CIPTA MANDIRI</t>
        </is>
      </c>
      <c r="B27" t="inlineStr">
        <is>
          <t>Kab. Madiun</t>
        </is>
      </c>
      <c r="C27" t="inlineStr">
        <is>
          <t>085233565822</t>
        </is>
      </c>
      <c r="D27" t="inlineStr">
        <is>
          <t>ciptamandiricv20@gmail.com</t>
        </is>
      </c>
      <c r="E27" t="inlineStr">
        <is>
          <t>https://lpjk.pu.go.id/search-badan-usaha-detail/NStKblc2bTI5YTR4d0F0dVlrU3YyUT09</t>
        </is>
      </c>
      <c r="F27" t="n">
        <v>10</v>
      </c>
      <c r="G27" t="inlineStr">
        <is>
          <t>BG002, BG004, BG005, BG006, BG009</t>
        </is>
      </c>
      <c r="H27" t="inlineStr">
        <is>
          <t>26 April 2010</t>
        </is>
      </c>
      <c r="I27" s="2" t="n">
        <v>46375</v>
      </c>
      <c r="J27" t="inlineStr">
        <is>
          <t>Disetujui</t>
        </is>
      </c>
      <c r="K27" t="n">
        <v>87</v>
      </c>
      <c r="L27" t="inlineStr">
        <is>
          <t>19 Desember 2026</t>
        </is>
      </c>
      <c r="M27" t="inlineStr">
        <is>
          <t>Konstruksi Gedung Kesehatan, Konstruksi Gedung Lainnya, Konstruksi Gedung Pendidikan, Konstruksi Gedung Perbelanjaan, Konstruksi Gedung Perkantoran</t>
        </is>
      </c>
      <c r="N27" t="inlineStr">
        <is>
          <t>K</t>
        </is>
      </c>
      <c r="O27" t="inlineStr">
        <is>
          <t>20231205, 20231207</t>
        </is>
      </c>
      <c r="P27" t="inlineStr">
        <is>
          <t>Jawa Timur</t>
        </is>
      </c>
      <c r="Q27" t="inlineStr"/>
    </row>
    <row r="28">
      <c r="A28" t="inlineStr">
        <is>
          <t>CIPTA RAYA MANDIRI</t>
        </is>
      </c>
      <c r="B28" t="inlineStr">
        <is>
          <t>Kab. Karawang</t>
        </is>
      </c>
      <c r="C28" t="inlineStr">
        <is>
          <t>08567437779</t>
        </is>
      </c>
      <c r="D28" t="inlineStr">
        <is>
          <t>ciptarayamandiri.cv@gmail.com</t>
        </is>
      </c>
      <c r="E28" t="inlineStr">
        <is>
          <t>https://lpjk.pu.go.id/search-badan-usaha-detail/OHV2RjVHUDIvN2xYdnVSdjlEN2NiUT09</t>
        </is>
      </c>
      <c r="F28" t="n">
        <v>4</v>
      </c>
      <c r="G28" t="inlineStr">
        <is>
          <t>BG001, BG009</t>
        </is>
      </c>
      <c r="H28" t="inlineStr">
        <is>
          <t>10 Desember 2014</t>
        </is>
      </c>
      <c r="I28" s="2" t="n">
        <v>46375</v>
      </c>
      <c r="J28" t="inlineStr">
        <is>
          <t>Disetujui</t>
        </is>
      </c>
      <c r="K28" t="n">
        <v>87</v>
      </c>
      <c r="L28" t="inlineStr">
        <is>
          <t>19 Desember 2026</t>
        </is>
      </c>
      <c r="M28" t="inlineStr">
        <is>
          <t>Konstruksi Gedung Hunian, Konstruksi Gedung Lainnya</t>
        </is>
      </c>
      <c r="N28" t="inlineStr">
        <is>
          <t>K</t>
        </is>
      </c>
      <c r="O28" t="inlineStr">
        <is>
          <t>20231218</t>
        </is>
      </c>
      <c r="P28" t="inlineStr">
        <is>
          <t>Jawa Barat</t>
        </is>
      </c>
      <c r="Q28" t="inlineStr"/>
    </row>
    <row r="29">
      <c r="A29" t="inlineStr">
        <is>
          <t>CIPTA REVORMA BERSAMA</t>
        </is>
      </c>
      <c r="B29" t="inlineStr">
        <is>
          <t>Kota Adm. Jakarta Selatan</t>
        </is>
      </c>
      <c r="C29" t="inlineStr">
        <is>
          <t>02122902722</t>
        </is>
      </c>
      <c r="D29" t="inlineStr">
        <is>
          <t>ciptarevormabersama@gmail.com</t>
        </is>
      </c>
      <c r="E29" t="inlineStr">
        <is>
          <t>https://lpjk.pu.go.id/search-badan-usaha-detail/L0kwSjJ6TUxoUnZwSGVLU3EzRGx5Zz09</t>
        </is>
      </c>
      <c r="F29" t="n">
        <v>2</v>
      </c>
      <c r="G29" t="inlineStr">
        <is>
          <t>RK001</t>
        </is>
      </c>
      <c r="H29" t="inlineStr">
        <is>
          <t>8 September 2020</t>
        </is>
      </c>
      <c r="I29" s="2" t="n">
        <v>46375</v>
      </c>
      <c r="J29" t="inlineStr">
        <is>
          <t>Disetujui</t>
        </is>
      </c>
      <c r="K29" t="n">
        <v>87</v>
      </c>
      <c r="L29" t="inlineStr">
        <is>
          <t>19 Desember 2026</t>
        </is>
      </c>
      <c r="M29" t="inlineStr">
        <is>
          <t>Jasa Rekayasa Konstruksi Bangunan Gedung Hunian dan Non Hunian</t>
        </is>
      </c>
      <c r="N29" t="inlineStr">
        <is>
          <t>K</t>
        </is>
      </c>
      <c r="O29" t="inlineStr">
        <is>
          <t>20231214</t>
        </is>
      </c>
      <c r="P29" t="inlineStr">
        <is>
          <t>DKI Jakarta</t>
        </is>
      </c>
      <c r="Q29" t="inlineStr"/>
    </row>
    <row r="30">
      <c r="A30" t="inlineStr">
        <is>
          <t>CIPTA SEJATI</t>
        </is>
      </c>
      <c r="B30" t="inlineStr">
        <is>
          <t>Kab. Buol</t>
        </is>
      </c>
      <c r="C30" t="inlineStr">
        <is>
          <t>-</t>
        </is>
      </c>
      <c r="D30" t="inlineStr">
        <is>
          <t>ciptasejati42@gmail.com</t>
        </is>
      </c>
      <c r="E30" t="inlineStr">
        <is>
          <t>https://lpjk.pu.go.id/search-badan-usaha-detail/Zys4bGRBakNwbmxrcHlGQjFwQlM2Zz09</t>
        </is>
      </c>
      <c r="F30" t="n">
        <v>12</v>
      </c>
      <c r="G30" t="inlineStr">
        <is>
          <t>BG002, BG005, BG006, BG009, BS001, BS004</t>
        </is>
      </c>
      <c r="H30" t="inlineStr">
        <is>
          <t>4 Oktober 2001</t>
        </is>
      </c>
      <c r="I30" s="2" t="n">
        <v>46375</v>
      </c>
      <c r="J30" t="inlineStr">
        <is>
          <t>Disetujui</t>
        </is>
      </c>
      <c r="K30" t="n">
        <v>87</v>
      </c>
      <c r="L30" t="inlineStr">
        <is>
          <t>19 Desember 2026</t>
        </is>
      </c>
      <c r="M30" t="inlineStr">
        <is>
          <t>Konstruksi Bangunan Sipil Jalan, Konstruksi Gedung Kesehatan, Konstruksi Gedung Lainnya, Konstruksi Gedung Pendidikan, Konstruksi Gedung Perkantoran, Konstruksi Jaringan Irigasi dan Drainase</t>
        </is>
      </c>
      <c r="N30" t="inlineStr">
        <is>
          <t>K</t>
        </is>
      </c>
      <c r="O30" t="inlineStr">
        <is>
          <t>20231212</t>
        </is>
      </c>
      <c r="P30" t="inlineStr">
        <is>
          <t>Sulawesi Tengah</t>
        </is>
      </c>
      <c r="Q30" t="inlineStr"/>
    </row>
    <row r="31">
      <c r="A31" t="inlineStr">
        <is>
          <t>CV. BINTANG SAGO JAYA</t>
        </is>
      </c>
      <c r="B31" t="inlineStr">
        <is>
          <t>Kab. Padang Pariaman</t>
        </is>
      </c>
      <c r="C31" t="inlineStr">
        <is>
          <t>085355676793</t>
        </is>
      </c>
      <c r="D31" t="inlineStr">
        <is>
          <t>bintangsagojaya@gmail.com</t>
        </is>
      </c>
      <c r="E31" t="inlineStr">
        <is>
          <t>https://lpjk.pu.go.id/search-badan-usaha-detail/c2FzeVcvaUdZU3A3ODNnZXlURXUvZz09</t>
        </is>
      </c>
      <c r="F31" t="n">
        <v>2</v>
      </c>
      <c r="G31" t="inlineStr">
        <is>
          <t>BS004, BS010</t>
        </is>
      </c>
      <c r="H31" t="inlineStr">
        <is>
          <t>4 November 2011</t>
        </is>
      </c>
      <c r="I31" s="2" t="n">
        <v>46375</v>
      </c>
      <c r="J31" t="inlineStr">
        <is>
          <t>Disetujui</t>
        </is>
      </c>
      <c r="K31" t="n">
        <v>87</v>
      </c>
      <c r="L31" t="inlineStr">
        <is>
          <t>19 Desember 2026</t>
        </is>
      </c>
      <c r="M31" t="inlineStr">
        <is>
          <t>Konstruksi Bangunan Prasarana Sumber Daya Air, Konstruksi Jaringan Irigasi dan Drainase</t>
        </is>
      </c>
      <c r="N31" t="inlineStr">
        <is>
          <t>K</t>
        </is>
      </c>
      <c r="O31" t="inlineStr">
        <is>
          <t>20231218</t>
        </is>
      </c>
      <c r="P31" t="inlineStr">
        <is>
          <t>Sumatera Barat</t>
        </is>
      </c>
      <c r="Q31" t="inlineStr"/>
    </row>
    <row r="32">
      <c r="A32" t="inlineStr">
        <is>
          <t>DIGDAYA CIPTA HARJITA</t>
        </is>
      </c>
      <c r="B32" t="inlineStr">
        <is>
          <t>Kota Jambi</t>
        </is>
      </c>
      <c r="C32" t="inlineStr">
        <is>
          <t>08117446144</t>
        </is>
      </c>
      <c r="D32" t="inlineStr">
        <is>
          <t>digdayaciptaharjita@gmail.com</t>
        </is>
      </c>
      <c r="E32" t="inlineStr">
        <is>
          <t>https://lpjk.pu.go.id/search-badan-usaha-detail/NVZ4eUZrRE8wUndWMHFUckkvK1pKdz09</t>
        </is>
      </c>
      <c r="F32" t="n">
        <v>2</v>
      </c>
      <c r="G32" t="inlineStr">
        <is>
          <t>BG001, BS001</t>
        </is>
      </c>
      <c r="H32" t="inlineStr">
        <is>
          <t>23 Juli 2019</t>
        </is>
      </c>
      <c r="I32" s="2" t="n">
        <v>46375</v>
      </c>
      <c r="J32" t="inlineStr">
        <is>
          <t>Disetujui</t>
        </is>
      </c>
      <c r="K32" t="n">
        <v>87</v>
      </c>
      <c r="L32" t="inlineStr">
        <is>
          <t>19 Desember 2026</t>
        </is>
      </c>
      <c r="M32" t="inlineStr">
        <is>
          <t>Konstruksi Bangunan Sipil Jalan, Konstruksi Gedung Hunian</t>
        </is>
      </c>
      <c r="N32" t="inlineStr">
        <is>
          <t>K</t>
        </is>
      </c>
      <c r="O32" t="inlineStr">
        <is>
          <t>20231218, 20231219</t>
        </is>
      </c>
      <c r="P32" t="inlineStr">
        <is>
          <t>Jambi</t>
        </is>
      </c>
      <c r="Q32" t="inlineStr"/>
    </row>
    <row r="33">
      <c r="A33" t="inlineStr">
        <is>
          <t>DIVA JAYA POTONS</t>
        </is>
      </c>
      <c r="B33" t="inlineStr">
        <is>
          <t>Kab. Mamberamo Raya</t>
        </is>
      </c>
      <c r="C33" t="inlineStr">
        <is>
          <t>081344044445</t>
        </is>
      </c>
      <c r="D33" t="inlineStr">
        <is>
          <t>ossdivajayapotons@gmail.com</t>
        </is>
      </c>
      <c r="E33" t="inlineStr">
        <is>
          <t>https://lpjk.pu.go.id/search-badan-usaha-detail/d2JIQXFUZTJiODlXcUNra1ZsaUVhZz09</t>
        </is>
      </c>
      <c r="F33" t="n">
        <v>1</v>
      </c>
      <c r="G33" t="inlineStr">
        <is>
          <t>BS001</t>
        </is>
      </c>
      <c r="H33" t="inlineStr">
        <is>
          <t>12 Februari 2014</t>
        </is>
      </c>
      <c r="I33" s="2" t="n">
        <v>46375</v>
      </c>
      <c r="J33" t="inlineStr">
        <is>
          <t>Disetujui</t>
        </is>
      </c>
      <c r="K33" t="n">
        <v>87</v>
      </c>
      <c r="L33" t="inlineStr">
        <is>
          <t>19 Desember 2026</t>
        </is>
      </c>
      <c r="M33" t="inlineStr">
        <is>
          <t>Konstruksi Bangunan Sipil Jalan</t>
        </is>
      </c>
      <c r="N33" t="inlineStr">
        <is>
          <t>M</t>
        </is>
      </c>
      <c r="O33" t="inlineStr">
        <is>
          <t>20231215</t>
        </is>
      </c>
      <c r="P33" t="inlineStr">
        <is>
          <t>Papua</t>
        </is>
      </c>
      <c r="Q33" t="inlineStr"/>
    </row>
    <row r="34">
      <c r="A34" t="inlineStr">
        <is>
          <t>DWI PUTERI</t>
        </is>
      </c>
      <c r="B34" t="inlineStr">
        <is>
          <t>Kota Bandung</t>
        </is>
      </c>
      <c r="C34" t="inlineStr">
        <is>
          <t>082219853941</t>
        </is>
      </c>
      <c r="D34" t="inlineStr">
        <is>
          <t>dwiputrinew2025@gmail.com</t>
        </is>
      </c>
      <c r="E34" t="inlineStr">
        <is>
          <t>https://lpjk.pu.go.id/search-badan-usaha-detail/TG1FYVQwMjM2bXE2V0ZicDh3bmtac1J2eXdqR1dNblIvT1NyYWVoSTdETT0</t>
        </is>
      </c>
      <c r="F34" t="n">
        <v>3</v>
      </c>
      <c r="G34" t="inlineStr">
        <is>
          <t>BG005, BG006, BG009</t>
        </is>
      </c>
      <c r="H34" t="inlineStr">
        <is>
          <t>14 Juli 2025</t>
        </is>
      </c>
      <c r="I34" s="2" t="n">
        <v>46375</v>
      </c>
      <c r="J34" t="inlineStr">
        <is>
          <t>Disetujui</t>
        </is>
      </c>
      <c r="K34" t="n">
        <v>87</v>
      </c>
      <c r="L34" t="inlineStr">
        <is>
          <t>19 Desember 2026</t>
        </is>
      </c>
      <c r="M34" t="inlineStr">
        <is>
          <t>Konstruksi Gedung Kesehatan, Konstruksi Gedung Lainnya, Konstruksi Gedung Pendidikan</t>
        </is>
      </c>
      <c r="N34" t="inlineStr">
        <is>
          <t>K</t>
        </is>
      </c>
      <c r="O34" t="inlineStr">
        <is>
          <t>20231213, 20231219</t>
        </is>
      </c>
      <c r="P34" t="inlineStr">
        <is>
          <t>Jawa Barat</t>
        </is>
      </c>
      <c r="Q34" t="inlineStr"/>
    </row>
    <row r="35">
      <c r="A35" t="inlineStr">
        <is>
          <t>DWIFARITA FAJARKHARISMA</t>
        </is>
      </c>
      <c r="B35" t="inlineStr">
        <is>
          <t>Kota Adm. Jakarta Selatan</t>
        </is>
      </c>
      <c r="C35" t="inlineStr">
        <is>
          <t>02179193158</t>
        </is>
      </c>
      <c r="D35" t="inlineStr">
        <is>
          <t>hkm_dfk@yahoo.com</t>
        </is>
      </c>
      <c r="E35" t="inlineStr">
        <is>
          <t>https://lpjk.pu.go.id/search-badan-usaha-detail/YWRNTS9LdWVldlRNTGNoVjYyTEpvZz09</t>
        </is>
      </c>
      <c r="F35" t="n">
        <v>6</v>
      </c>
      <c r="G35" t="inlineStr">
        <is>
          <t>BG001, BG003, BG009, BS001, BS003, BS010</t>
        </is>
      </c>
      <c r="H35" t="inlineStr">
        <is>
          <t>24 November 1989</t>
        </is>
      </c>
      <c r="I35" s="2" t="n">
        <v>46375</v>
      </c>
      <c r="J35" t="inlineStr">
        <is>
          <t>Disetujui, Pencabutan</t>
        </is>
      </c>
      <c r="K35" t="n">
        <v>87</v>
      </c>
      <c r="L35" t="inlineStr">
        <is>
          <t>19 Desember 2026</t>
        </is>
      </c>
      <c r="M35" t="inlineStr">
        <is>
          <t>Konstruksi Bangunan Prasarana Sumber Daya Air, Konstruksi Bangunan Sipil Jalan, Konstruksi Gedung Hunian, Konstruksi Gedung Industri, Konstruksi Gedung Lainnya, Konstruksi Jalan Rel</t>
        </is>
      </c>
      <c r="N35" t="inlineStr">
        <is>
          <t>K, M</t>
        </is>
      </c>
      <c r="O35" t="inlineStr">
        <is>
          <t>20231212, 20231213</t>
        </is>
      </c>
      <c r="P35" t="inlineStr">
        <is>
          <t>DKI Jakarta</t>
        </is>
      </c>
      <c r="Q35" t="inlineStr"/>
    </row>
    <row r="36">
      <c r="A36" t="inlineStr">
        <is>
          <t>ERA GLOBAL KONSTRUKSI</t>
        </is>
      </c>
      <c r="B36" t="inlineStr">
        <is>
          <t>Kota Batam</t>
        </is>
      </c>
      <c r="C36" t="inlineStr">
        <is>
          <t>081266228821</t>
        </is>
      </c>
      <c r="D36" t="inlineStr">
        <is>
          <t>pteraglobalkonstruksi@gmail.com</t>
        </is>
      </c>
      <c r="E36" t="inlineStr">
        <is>
          <t>https://lpjk.pu.go.id/search-badan-usaha-detail/cURpdXRXeDVUQkdDZS90UG9IVjFZdz09</t>
        </is>
      </c>
      <c r="F36" t="n">
        <v>1</v>
      </c>
      <c r="G36" t="inlineStr">
        <is>
          <t>BG004</t>
        </is>
      </c>
      <c r="H36" t="inlineStr">
        <is>
          <t>17 Februari 2023</t>
        </is>
      </c>
      <c r="I36" s="2" t="n">
        <v>46375</v>
      </c>
      <c r="J36" t="inlineStr">
        <is>
          <t>Disetujui</t>
        </is>
      </c>
      <c r="K36" t="n">
        <v>87</v>
      </c>
      <c r="L36" t="inlineStr">
        <is>
          <t>19 Desember 2026</t>
        </is>
      </c>
      <c r="M36" t="inlineStr">
        <is>
          <t>Konstruksi Gedung Perbelanjaan</t>
        </is>
      </c>
      <c r="N36" t="inlineStr">
        <is>
          <t>K</t>
        </is>
      </c>
      <c r="O36" t="inlineStr">
        <is>
          <t>20231207</t>
        </is>
      </c>
      <c r="P36" t="inlineStr">
        <is>
          <t>Kepulauan Riau</t>
        </is>
      </c>
      <c r="Q36" t="inlineStr"/>
    </row>
    <row r="37">
      <c r="A37" t="inlineStr">
        <is>
          <t>FARHAN LIMA TUJUH</t>
        </is>
      </c>
      <c r="B37" t="inlineStr">
        <is>
          <t>Kab. Tanah Bumbu</t>
        </is>
      </c>
      <c r="C37" t="inlineStr">
        <is>
          <t>081289405477</t>
        </is>
      </c>
      <c r="D37" t="inlineStr">
        <is>
          <t>cv.farhan57@gmail.com</t>
        </is>
      </c>
      <c r="E37" t="inlineStr">
        <is>
          <t>https://lpjk.pu.go.id/search-badan-usaha-detail/L2srblU2Wk50OGFoOFdUcjhGamZ3UT09</t>
        </is>
      </c>
      <c r="F37" t="n">
        <v>4</v>
      </c>
      <c r="G37" t="inlineStr">
        <is>
          <t>BG009, BS001, BS002, BS004</t>
        </is>
      </c>
      <c r="H37" t="inlineStr">
        <is>
          <t>5 Agustus 2022</t>
        </is>
      </c>
      <c r="I37" s="2" t="n">
        <v>46375</v>
      </c>
      <c r="J37" t="inlineStr">
        <is>
          <t>Disetujui</t>
        </is>
      </c>
      <c r="K37" t="n">
        <v>87</v>
      </c>
      <c r="L37" t="inlineStr">
        <is>
          <t>19 Desember 2026</t>
        </is>
      </c>
      <c r="M37" t="inlineStr">
        <is>
          <t>Bangunan Sipil Jembatan, Jalan Layang, Fly Over, dan Underpass, Konstruksi Bangunan Sipil Jalan, Konstruksi Gedung Lainnya, Konstruksi Jaringan Irigasi dan Drainase</t>
        </is>
      </c>
      <c r="N37" t="inlineStr">
        <is>
          <t>K</t>
        </is>
      </c>
      <c r="O37" t="inlineStr">
        <is>
          <t>20231024, 20231218</t>
        </is>
      </c>
      <c r="P37" t="inlineStr">
        <is>
          <t>Kalimantan Selatan</t>
        </is>
      </c>
      <c r="Q37" t="inlineStr"/>
    </row>
    <row r="38">
      <c r="A38" t="inlineStr">
        <is>
          <t>FATIMAH</t>
        </is>
      </c>
      <c r="B38" t="inlineStr">
        <is>
          <t>Kab. Bone</t>
        </is>
      </c>
      <c r="C38" t="inlineStr">
        <is>
          <t>085343824678</t>
        </is>
      </c>
      <c r="D38" t="inlineStr">
        <is>
          <t>fatimahcv45@gmail.com</t>
        </is>
      </c>
      <c r="E38" t="inlineStr">
        <is>
          <t>https://lpjk.pu.go.id/search-badan-usaha-detail/Zm9JaEJUeGNTR2hJNFA5bFBRaUxyUT09</t>
        </is>
      </c>
      <c r="F38" t="n">
        <v>5</v>
      </c>
      <c r="G38" t="inlineStr">
        <is>
          <t>BG001, BG002, BG005, BG009, BS001</t>
        </is>
      </c>
      <c r="H38" t="inlineStr">
        <is>
          <t>1 Agustus 1996</t>
        </is>
      </c>
      <c r="I38" s="2" t="n">
        <v>46375</v>
      </c>
      <c r="J38" t="inlineStr">
        <is>
          <t>Disetujui</t>
        </is>
      </c>
      <c r="K38" t="n">
        <v>87</v>
      </c>
      <c r="L38" t="inlineStr">
        <is>
          <t>19 Desember 2026</t>
        </is>
      </c>
      <c r="M38" t="inlineStr">
        <is>
          <t>Konstruksi Bangunan Sipil Jalan, Konstruksi Gedung Hunian, Konstruksi Gedung Kesehatan, Konstruksi Gedung Lainnya, Konstruksi Gedung Perkantoran</t>
        </is>
      </c>
      <c r="N38" t="inlineStr">
        <is>
          <t>K</t>
        </is>
      </c>
      <c r="O38" t="inlineStr">
        <is>
          <t>20231213, 20231214</t>
        </is>
      </c>
      <c r="P38" t="inlineStr">
        <is>
          <t>Sulawesi Selatan</t>
        </is>
      </c>
      <c r="Q38" t="inlineStr"/>
    </row>
    <row r="39">
      <c r="A39" t="inlineStr">
        <is>
          <t>GENESIS REKA CIPTA</t>
        </is>
      </c>
      <c r="B39" t="inlineStr">
        <is>
          <t>Kota Pekanbaru</t>
        </is>
      </c>
      <c r="C39" t="inlineStr">
        <is>
          <t>085288814448</t>
        </is>
      </c>
      <c r="D39" t="inlineStr">
        <is>
          <t>genesisrekacipta@gmail.com</t>
        </is>
      </c>
      <c r="E39" t="inlineStr">
        <is>
          <t>https://lpjk.pu.go.id/search-badan-usaha-detail/TFptOXMzU1g5eDQ4MEpXbFEvQTQvUT09</t>
        </is>
      </c>
      <c r="F39" t="n">
        <v>1</v>
      </c>
      <c r="G39" t="inlineStr">
        <is>
          <t>RK001</t>
        </is>
      </c>
      <c r="H39" t="inlineStr">
        <is>
          <t>19 Agustus 2022</t>
        </is>
      </c>
      <c r="I39" s="2" t="n">
        <v>46375</v>
      </c>
      <c r="J39" t="inlineStr">
        <is>
          <t>Disetujui</t>
        </is>
      </c>
      <c r="K39" t="n">
        <v>87</v>
      </c>
      <c r="L39" t="inlineStr">
        <is>
          <t>19 Desember 2026</t>
        </is>
      </c>
      <c r="M39" t="inlineStr">
        <is>
          <t>Jasa Rekayasa Konstruksi Bangunan Gedung Hunian dan Non Hunian</t>
        </is>
      </c>
      <c r="N39" t="inlineStr">
        <is>
          <t>K</t>
        </is>
      </c>
      <c r="O39" t="inlineStr">
        <is>
          <t>20231213</t>
        </is>
      </c>
      <c r="P39" t="inlineStr">
        <is>
          <t>Riau</t>
        </is>
      </c>
      <c r="Q39" t="inlineStr"/>
    </row>
    <row r="40">
      <c r="A40" t="inlineStr">
        <is>
          <t>GERBANG MULTINDO NUSANTARA</t>
        </is>
      </c>
      <c r="B40" t="inlineStr">
        <is>
          <t>Kota Adm. Jakarta Barat</t>
        </is>
      </c>
      <c r="C40" t="inlineStr">
        <is>
          <t>0217651824</t>
        </is>
      </c>
      <c r="D40" t="inlineStr">
        <is>
          <t>gmultindonusantara@gmail.com</t>
        </is>
      </c>
      <c r="E40" t="inlineStr">
        <is>
          <t>https://lpjk.pu.go.id/search-badan-usaha-detail/U0cwOHlWTzM3SEJ4Q3lHbFdyTHA4Zz09</t>
        </is>
      </c>
      <c r="F40" t="n">
        <v>1</v>
      </c>
      <c r="G40" t="inlineStr">
        <is>
          <t>BS007</t>
        </is>
      </c>
      <c r="H40" t="inlineStr">
        <is>
          <t>2 September 1994</t>
        </is>
      </c>
      <c r="I40" s="2" t="n">
        <v>46375</v>
      </c>
      <c r="J40" t="inlineStr">
        <is>
          <t>Pembekuan</t>
        </is>
      </c>
      <c r="K40" t="n">
        <v>87</v>
      </c>
      <c r="L40" t="inlineStr">
        <is>
          <t>19 Desember 2026</t>
        </is>
      </c>
      <c r="M40" t="inlineStr">
        <is>
          <t>Konstruksi Bangunan Sipil Elektrikal</t>
        </is>
      </c>
      <c r="N40" t="inlineStr">
        <is>
          <t>M</t>
        </is>
      </c>
      <c r="O40" t="inlineStr">
        <is>
          <t>20231212</t>
        </is>
      </c>
      <c r="P40" t="inlineStr">
        <is>
          <t>DKI Jakarta</t>
        </is>
      </c>
      <c r="Q40" t="inlineStr"/>
    </row>
    <row r="41">
      <c r="A41" t="inlineStr">
        <is>
          <t>GLOBAL MULTI DESAIN CONSULTANT</t>
        </is>
      </c>
      <c r="B41" t="inlineStr">
        <is>
          <t>Kab. Lombok Timur</t>
        </is>
      </c>
      <c r="C41" t="inlineStr">
        <is>
          <t>081918375888</t>
        </is>
      </c>
      <c r="D41" t="inlineStr">
        <is>
          <t>globalmultidesain@gmail.com</t>
        </is>
      </c>
      <c r="E41" t="inlineStr">
        <is>
          <t>https://lpjk.pu.go.id/search-badan-usaha-detail/ZVdNU3lFeGNraE9oNWNDWTBzYmtZQT09</t>
        </is>
      </c>
      <c r="F41" t="n">
        <v>1</v>
      </c>
      <c r="G41" t="inlineStr">
        <is>
          <t>RK003</t>
        </is>
      </c>
      <c r="H41" t="inlineStr">
        <is>
          <t>14 Desember 2016</t>
        </is>
      </c>
      <c r="I41" s="2" t="n">
        <v>46375</v>
      </c>
      <c r="J41" t="inlineStr">
        <is>
          <t>Disetujui</t>
        </is>
      </c>
      <c r="K41" t="n">
        <v>87</v>
      </c>
      <c r="L41" t="inlineStr">
        <is>
          <t>19 Desember 2026</t>
        </is>
      </c>
      <c r="M41" t="inlineStr">
        <is>
          <t>Jasa Rekayasa Pekerjaan Teknik Sipil Transportasi</t>
        </is>
      </c>
      <c r="N41" t="inlineStr">
        <is>
          <t>K</t>
        </is>
      </c>
      <c r="O41" t="inlineStr">
        <is>
          <t>20231205</t>
        </is>
      </c>
      <c r="P41" t="inlineStr">
        <is>
          <t>Nusa Tenggara Barat</t>
        </is>
      </c>
      <c r="Q41" t="inlineStr"/>
    </row>
    <row r="42">
      <c r="A42" t="inlineStr">
        <is>
          <t>GUNUNG HERMON</t>
        </is>
      </c>
      <c r="B42" t="inlineStr">
        <is>
          <t>Kota Medan</t>
        </is>
      </c>
      <c r="C42" t="inlineStr">
        <is>
          <t>081260858892</t>
        </is>
      </c>
      <c r="D42" t="inlineStr">
        <is>
          <t>cv.gununghermon@gmail.com</t>
        </is>
      </c>
      <c r="E42" t="inlineStr">
        <is>
          <t>https://lpjk.pu.go.id/search-badan-usaha-detail/TlZycnlTNEkzUHp2TTA4SDVVQUV6Zz09</t>
        </is>
      </c>
      <c r="F42" t="n">
        <v>2</v>
      </c>
      <c r="G42" t="inlineStr">
        <is>
          <t>BG006, BG009</t>
        </is>
      </c>
      <c r="H42" t="inlineStr">
        <is>
          <t>17 Mei 2016</t>
        </is>
      </c>
      <c r="I42" s="2" t="n">
        <v>46375</v>
      </c>
      <c r="J42" t="inlineStr">
        <is>
          <t>Disetujui</t>
        </is>
      </c>
      <c r="K42" t="n">
        <v>87</v>
      </c>
      <c r="L42" t="inlineStr">
        <is>
          <t>19 Desember 2026</t>
        </is>
      </c>
      <c r="M42" t="inlineStr">
        <is>
          <t>Konstruksi Gedung Lainnya, Konstruksi Gedung Pendidikan</t>
        </is>
      </c>
      <c r="N42" t="inlineStr">
        <is>
          <t>K</t>
        </is>
      </c>
      <c r="O42" t="inlineStr">
        <is>
          <t>20231218</t>
        </is>
      </c>
      <c r="P42" t="inlineStr">
        <is>
          <t>Sumatera Utara</t>
        </is>
      </c>
      <c r="Q42" t="inlineStr"/>
    </row>
    <row r="43">
      <c r="A43" t="inlineStr">
        <is>
          <t>HOKINDO GEMILANG</t>
        </is>
      </c>
      <c r="B43" t="inlineStr">
        <is>
          <t>Kota Jambi</t>
        </is>
      </c>
      <c r="C43" t="inlineStr">
        <is>
          <t>074132421</t>
        </is>
      </c>
      <c r="D43" t="inlineStr">
        <is>
          <t>hokindogemilang.jambi@gmail.com</t>
        </is>
      </c>
      <c r="E43" t="inlineStr">
        <is>
          <t>https://lpjk.pu.go.id/search-badan-usaha-detail/ZTBvdVJtY3dGN3BMdkpySDJRM3lGQT09</t>
        </is>
      </c>
      <c r="F43" t="n">
        <v>1</v>
      </c>
      <c r="G43" t="inlineStr">
        <is>
          <t>PL003</t>
        </is>
      </c>
      <c r="H43" t="inlineStr">
        <is>
          <t>25 Februari 2010</t>
        </is>
      </c>
      <c r="I43" s="2" t="n">
        <v>46375</v>
      </c>
      <c r="J43" t="inlineStr">
        <is>
          <t>Pencabutan</t>
        </is>
      </c>
      <c r="K43" t="n">
        <v>87</v>
      </c>
      <c r="L43" t="inlineStr">
        <is>
          <t>19 Desember 2026</t>
        </is>
      </c>
      <c r="M43" t="inlineStr">
        <is>
          <t>Penyiapan Lahan Konstruksi</t>
        </is>
      </c>
      <c r="N43" t="inlineStr">
        <is>
          <t>Spesialis</t>
        </is>
      </c>
      <c r="O43" t="inlineStr">
        <is>
          <t>20231128</t>
        </is>
      </c>
      <c r="P43" t="inlineStr">
        <is>
          <t>Jambi</t>
        </is>
      </c>
      <c r="Q43" t="inlineStr"/>
    </row>
    <row r="44">
      <c r="A44" t="inlineStr">
        <is>
          <t>INSAN KARYA MANDIRI</t>
        </is>
      </c>
      <c r="B44" t="inlineStr">
        <is>
          <t>Kota Sukabumi</t>
        </is>
      </c>
      <c r="C44" t="inlineStr">
        <is>
          <t>08158876380</t>
        </is>
      </c>
      <c r="D44" t="inlineStr">
        <is>
          <t>insan_karya_mandiri@yahoo.co.id</t>
        </is>
      </c>
      <c r="E44" t="inlineStr">
        <is>
          <t>https://lpjk.pu.go.id/search-badan-usaha-detail/ajNRRDYxZ1d1RW5KZU0zWUVPalBJVXR2MW50SWdnZ3ZrcHIwWWhQNXpRYz0</t>
        </is>
      </c>
      <c r="F44" t="n">
        <v>4</v>
      </c>
      <c r="G44" t="inlineStr">
        <is>
          <t>BG004, BG005, BG006, BG009</t>
        </is>
      </c>
      <c r="H44" t="inlineStr">
        <is>
          <t>17 April 2025</t>
        </is>
      </c>
      <c r="I44" s="2" t="n">
        <v>46375</v>
      </c>
      <c r="J44" t="inlineStr">
        <is>
          <t>Disetujui</t>
        </is>
      </c>
      <c r="K44" t="n">
        <v>87</v>
      </c>
      <c r="L44" t="inlineStr">
        <is>
          <t>19 Desember 2026</t>
        </is>
      </c>
      <c r="M44" t="inlineStr">
        <is>
          <t>Konstruksi Gedung Kesehatan, Konstruksi Gedung Lainnya, Konstruksi Gedung Pendidikan, Konstruksi Gedung Perbelanjaan</t>
        </is>
      </c>
      <c r="N44" t="inlineStr">
        <is>
          <t>K</t>
        </is>
      </c>
      <c r="O44" t="inlineStr">
        <is>
          <t>20231204</t>
        </is>
      </c>
      <c r="P44" t="inlineStr">
        <is>
          <t>Jawa Barat</t>
        </is>
      </c>
      <c r="Q44" t="inlineStr"/>
    </row>
    <row r="45">
      <c r="A45" t="inlineStr">
        <is>
          <t>JAYA KESATRIA</t>
        </is>
      </c>
      <c r="B45" t="inlineStr">
        <is>
          <t>Kota Surabaya</t>
        </is>
      </c>
      <c r="C45" t="inlineStr">
        <is>
          <t>081216686363</t>
        </is>
      </c>
      <c r="D45" t="inlineStr">
        <is>
          <t>jayakesatria2023@gmail.com</t>
        </is>
      </c>
      <c r="E45" t="inlineStr">
        <is>
          <t>https://lpjk.pu.go.id/search-badan-usaha-detail/LzV6aFpyaTYrak1yTm5IbXA0VS9jZz09</t>
        </is>
      </c>
      <c r="F45" t="n">
        <v>1</v>
      </c>
      <c r="G45" t="inlineStr">
        <is>
          <t>BS001</t>
        </is>
      </c>
      <c r="H45" t="inlineStr">
        <is>
          <t>25 Agustus 2023</t>
        </is>
      </c>
      <c r="I45" s="2" t="n">
        <v>46375</v>
      </c>
      <c r="J45" t="inlineStr">
        <is>
          <t>Disetujui</t>
        </is>
      </c>
      <c r="K45" t="n">
        <v>87</v>
      </c>
      <c r="L45" t="inlineStr">
        <is>
          <t>19 Desember 2026</t>
        </is>
      </c>
      <c r="M45" t="inlineStr">
        <is>
          <t>Konstruksi Bangunan Sipil Jalan</t>
        </is>
      </c>
      <c r="N45" t="inlineStr">
        <is>
          <t>K</t>
        </is>
      </c>
      <c r="O45" t="inlineStr">
        <is>
          <t>20231218</t>
        </is>
      </c>
      <c r="P45" t="inlineStr">
        <is>
          <t>Jawa Timur</t>
        </is>
      </c>
      <c r="Q45" t="inlineStr"/>
    </row>
    <row r="46">
      <c r="A46" t="inlineStr">
        <is>
          <t>KARISMA SINAR BANTEN</t>
        </is>
      </c>
      <c r="B46" t="inlineStr">
        <is>
          <t>Kota Serang</t>
        </is>
      </c>
      <c r="C46" t="inlineStr">
        <is>
          <t>089616321982</t>
        </is>
      </c>
      <c r="D46" t="inlineStr">
        <is>
          <t>karismasinarbanten@gmail.com</t>
        </is>
      </c>
      <c r="E46" t="inlineStr">
        <is>
          <t>https://lpjk.pu.go.id/search-badan-usaha-detail/d1BYVTZRazZBcTdndWZabUxzUUpPdz09</t>
        </is>
      </c>
      <c r="F46" t="n">
        <v>1</v>
      </c>
      <c r="G46" t="inlineStr">
        <is>
          <t>BS004</t>
        </is>
      </c>
      <c r="H46" t="inlineStr">
        <is>
          <t>11 April 2023</t>
        </is>
      </c>
      <c r="I46" s="2" t="n">
        <v>46375</v>
      </c>
      <c r="J46" t="inlineStr">
        <is>
          <t>Disetujui</t>
        </is>
      </c>
      <c r="K46" t="n">
        <v>87</v>
      </c>
      <c r="L46" t="inlineStr">
        <is>
          <t>19 Desember 2026</t>
        </is>
      </c>
      <c r="M46" t="inlineStr">
        <is>
          <t>Konstruksi Jaringan Irigasi dan Drainase</t>
        </is>
      </c>
      <c r="N46" t="inlineStr">
        <is>
          <t>K</t>
        </is>
      </c>
      <c r="O46" t="inlineStr">
        <is>
          <t>20231218</t>
        </is>
      </c>
      <c r="P46" t="inlineStr">
        <is>
          <t>Banten</t>
        </is>
      </c>
      <c r="Q46" t="inlineStr"/>
    </row>
    <row r="47">
      <c r="A47" t="inlineStr">
        <is>
          <t>KARYA BERSAMA SEJAHTERA</t>
        </is>
      </c>
      <c r="B47" t="inlineStr">
        <is>
          <t>Kota Medan</t>
        </is>
      </c>
      <c r="C47" t="inlineStr">
        <is>
          <t>081376791999</t>
        </is>
      </c>
      <c r="D47" t="inlineStr">
        <is>
          <t>cv.karya_bersamasejahtera@yahoo.co.id</t>
        </is>
      </c>
      <c r="E47" t="inlineStr">
        <is>
          <t>https://lpjk.pu.go.id/search-badan-usaha-detail/aHozSFpxZ3g3S2pCYlhEMGJPK01zUT09</t>
        </is>
      </c>
      <c r="F47" t="n">
        <v>4</v>
      </c>
      <c r="G47" t="inlineStr">
        <is>
          <t>BG005, BG006, BS001, BS004</t>
        </is>
      </c>
      <c r="H47" t="inlineStr">
        <is>
          <t>13 November 1993</t>
        </is>
      </c>
      <c r="I47" s="2" t="n">
        <v>46375</v>
      </c>
      <c r="J47" t="inlineStr">
        <is>
          <t>Disetujui</t>
        </is>
      </c>
      <c r="K47" t="n">
        <v>87</v>
      </c>
      <c r="L47" t="inlineStr">
        <is>
          <t>19 Desember 2026</t>
        </is>
      </c>
      <c r="M47" t="inlineStr">
        <is>
          <t>Konstruksi Bangunan Sipil Jalan, Konstruksi Gedung Kesehatan, Konstruksi Gedung Pendidikan, Konstruksi Jaringan Irigasi dan Drainase</t>
        </is>
      </c>
      <c r="N47" t="inlineStr">
        <is>
          <t>K</t>
        </is>
      </c>
      <c r="O47" t="inlineStr">
        <is>
          <t>20231216, 20231220</t>
        </is>
      </c>
      <c r="P47" t="inlineStr">
        <is>
          <t>Sumatera Utara</t>
        </is>
      </c>
      <c r="Q47" t="inlineStr"/>
    </row>
    <row r="48">
      <c r="A48" t="inlineStr">
        <is>
          <t>KARYA BUANA MANDIRI</t>
        </is>
      </c>
      <c r="B48" t="inlineStr">
        <is>
          <t>Kab. Soppeng</t>
        </is>
      </c>
      <c r="C48" t="inlineStr">
        <is>
          <t>081343888772</t>
        </is>
      </c>
      <c r="D48" t="inlineStr">
        <is>
          <t>cvkaryabuanamandiri323@gmail.com</t>
        </is>
      </c>
      <c r="E48" t="inlineStr">
        <is>
          <t>https://lpjk.pu.go.id/search-badan-usaha-detail/VkZEVzRLYVd5YzlvWkppZHdoTVZDZz09</t>
        </is>
      </c>
      <c r="F48" t="n">
        <v>1</v>
      </c>
      <c r="G48" t="inlineStr">
        <is>
          <t>PL005</t>
        </is>
      </c>
      <c r="H48" t="inlineStr">
        <is>
          <t>23 Juli 2019</t>
        </is>
      </c>
      <c r="I48" s="2" t="n">
        <v>46375</v>
      </c>
      <c r="J48" t="inlineStr">
        <is>
          <t>Pembekuan</t>
        </is>
      </c>
      <c r="K48" t="n">
        <v>87</v>
      </c>
      <c r="L48" t="inlineStr">
        <is>
          <t>19 Desember 2026</t>
        </is>
      </c>
      <c r="M48" t="inlineStr">
        <is>
          <t>Pembuatan/Pengeboran Sumur Air Tanah</t>
        </is>
      </c>
      <c r="N48" t="inlineStr">
        <is>
          <t>Spesialis</t>
        </is>
      </c>
      <c r="O48" t="inlineStr">
        <is>
          <t>20231218</t>
        </is>
      </c>
      <c r="P48" t="inlineStr">
        <is>
          <t>Sulawesi Selatan</t>
        </is>
      </c>
      <c r="Q48" t="inlineStr"/>
    </row>
    <row r="49">
      <c r="A49" t="inlineStr">
        <is>
          <t>KARYA INDAH</t>
        </is>
      </c>
      <c r="B49" t="inlineStr">
        <is>
          <t>Kota Palangkaraya</t>
        </is>
      </c>
      <c r="C49" t="inlineStr">
        <is>
          <t>081349202526</t>
        </is>
      </c>
      <c r="D49" t="inlineStr">
        <is>
          <t>karya.indah723@gmail.com</t>
        </is>
      </c>
      <c r="E49" t="inlineStr">
        <is>
          <t>https://lpjk.pu.go.id/search-badan-usaha-detail/aEpmSHVjWjA4M3Vaa0RDRVpMYnlvUT09</t>
        </is>
      </c>
      <c r="F49" t="n">
        <v>2</v>
      </c>
      <c r="G49" t="inlineStr">
        <is>
          <t>AR001, RK001</t>
        </is>
      </c>
      <c r="H49" t="inlineStr">
        <is>
          <t>4 Agustus 1977</t>
        </is>
      </c>
      <c r="I49" s="2" t="n">
        <v>46375</v>
      </c>
      <c r="J49" t="inlineStr">
        <is>
          <t>Disetujui</t>
        </is>
      </c>
      <c r="K49" t="n">
        <v>87</v>
      </c>
      <c r="L49" t="inlineStr">
        <is>
          <t>19 Desember 2026</t>
        </is>
      </c>
      <c r="M49" t="inlineStr">
        <is>
          <t>Jasa Arsitektural Bangunan Gedung Hunian dan Non Hunian, Jasa Rekayasa Konstruksi Bangunan Gedung Hunian dan Non Hunian</t>
        </is>
      </c>
      <c r="N49" t="inlineStr">
        <is>
          <t>K</t>
        </is>
      </c>
      <c r="O49" t="inlineStr">
        <is>
          <t>20231214</t>
        </is>
      </c>
      <c r="P49" t="inlineStr">
        <is>
          <t>Kalimantan Tengah</t>
        </is>
      </c>
      <c r="Q49" t="inlineStr"/>
    </row>
    <row r="50">
      <c r="A50" t="inlineStr">
        <is>
          <t>KARYA PONDASI PERSADA</t>
        </is>
      </c>
      <c r="B50" t="inlineStr">
        <is>
          <t>Kota Surabaya</t>
        </is>
      </c>
      <c r="C50" t="inlineStr">
        <is>
          <t>031-5043730</t>
        </is>
      </c>
      <c r="D50" t="inlineStr">
        <is>
          <t>pt.kpp01@gmail.com</t>
        </is>
      </c>
      <c r="E50" t="inlineStr">
        <is>
          <t>https://lpjk.pu.go.id/search-badan-usaha-detail/cENuc2xZUnVzNjB6Z1V1NGdveUt6bDlTaHVkRTJsRjd4c0dTNjdKUTZoYz0</t>
        </is>
      </c>
      <c r="F50" t="n">
        <v>1</v>
      </c>
      <c r="G50" t="inlineStr">
        <is>
          <t>KK001</t>
        </is>
      </c>
      <c r="H50" t="inlineStr">
        <is>
          <t>8 Februari 2023</t>
        </is>
      </c>
      <c r="I50" s="2" t="n">
        <v>46375</v>
      </c>
      <c r="J50" t="inlineStr">
        <is>
          <t>Disetujui</t>
        </is>
      </c>
      <c r="K50" t="n">
        <v>87</v>
      </c>
      <c r="L50" t="inlineStr">
        <is>
          <t>19 Desember 2026</t>
        </is>
      </c>
      <c r="M50" t="inlineStr">
        <is>
          <t>Pondasi Konstruksi</t>
        </is>
      </c>
      <c r="N50" t="inlineStr">
        <is>
          <t>Spesialis</t>
        </is>
      </c>
      <c r="O50" t="inlineStr">
        <is>
          <t>20231218</t>
        </is>
      </c>
      <c r="P50" t="inlineStr">
        <is>
          <t>Jawa Timur</t>
        </is>
      </c>
      <c r="Q50" t="inlineStr"/>
    </row>
    <row r="51">
      <c r="A51" t="inlineStr">
        <is>
          <t>KING AND QUEEN</t>
        </is>
      </c>
      <c r="B51" t="inlineStr">
        <is>
          <t>Kab. Tanah Bumbu</t>
        </is>
      </c>
      <c r="C51" t="inlineStr">
        <is>
          <t>08115111586</t>
        </is>
      </c>
      <c r="D51" t="inlineStr">
        <is>
          <t>cvkingandqueen@gmail.com</t>
        </is>
      </c>
      <c r="E51" t="inlineStr">
        <is>
          <t>https://lpjk.pu.go.id/search-badan-usaha-detail/VkNFYS9Va293bFA4dDFzdHdEOVJtZz09</t>
        </is>
      </c>
      <c r="F51" t="n">
        <v>6</v>
      </c>
      <c r="G51" t="inlineStr">
        <is>
          <t>BG001, BG002, BG006, BG009, BS001, BS004</t>
        </is>
      </c>
      <c r="H51" t="inlineStr">
        <is>
          <t>2 November 2023</t>
        </is>
      </c>
      <c r="I51" s="2" t="n">
        <v>46375</v>
      </c>
      <c r="J51" t="inlineStr">
        <is>
          <t>Disetujui</t>
        </is>
      </c>
      <c r="K51" t="n">
        <v>87</v>
      </c>
      <c r="L51" t="inlineStr">
        <is>
          <t>19 Desember 2026</t>
        </is>
      </c>
      <c r="M51" t="inlineStr">
        <is>
          <t>Konstruksi Bangunan Sipil Jalan, Konstruksi Gedung Hunian, Konstruksi Gedung Lainnya, Konstruksi Gedung Pendidikan, Konstruksi Gedung Perkantoran, Konstruksi Jaringan Irigasi dan Drainase</t>
        </is>
      </c>
      <c r="N51" t="inlineStr">
        <is>
          <t>K</t>
        </is>
      </c>
      <c r="O51" t="inlineStr">
        <is>
          <t>20231218, 20231220</t>
        </is>
      </c>
      <c r="P51" t="inlineStr">
        <is>
          <t>Kalimantan Selatan</t>
        </is>
      </c>
      <c r="Q51" t="inlineStr"/>
    </row>
    <row r="52">
      <c r="A52" t="inlineStr">
        <is>
          <t>KREASI BINUANG MUDA</t>
        </is>
      </c>
      <c r="B52" t="inlineStr">
        <is>
          <t>Kab. Tapin</t>
        </is>
      </c>
      <c r="C52" t="inlineStr">
        <is>
          <t>082153788627</t>
        </is>
      </c>
      <c r="D52" t="inlineStr">
        <is>
          <t>kreasibinuang.muda@yahoo.com</t>
        </is>
      </c>
      <c r="E52" t="inlineStr">
        <is>
          <t>https://lpjk.pu.go.id/search-badan-usaha-detail/R0gwTUxBYVRvbENaZEUrSm9GR0xZdz09</t>
        </is>
      </c>
      <c r="F52" t="n">
        <v>2</v>
      </c>
      <c r="G52" t="inlineStr">
        <is>
          <t>RK001, RK003</t>
        </is>
      </c>
      <c r="H52" t="inlineStr">
        <is>
          <t>11 Maret 2015</t>
        </is>
      </c>
      <c r="I52" s="2" t="n">
        <v>46375</v>
      </c>
      <c r="J52" t="inlineStr">
        <is>
          <t>Disetujui</t>
        </is>
      </c>
      <c r="K52" t="n">
        <v>87</v>
      </c>
      <c r="L52" t="inlineStr">
        <is>
          <t>19 Desember 2026</t>
        </is>
      </c>
      <c r="M52" t="inlineStr">
        <is>
          <t>Jasa Rekayasa Konstruksi Bangunan Gedung Hunian dan Non Hunian, Jasa Rekayasa Pekerjaan Teknik Sipil Transportasi</t>
        </is>
      </c>
      <c r="N52" t="inlineStr">
        <is>
          <t>K</t>
        </is>
      </c>
      <c r="O52" t="inlineStr">
        <is>
          <t>20230706, 20231027</t>
        </is>
      </c>
      <c r="P52" t="inlineStr">
        <is>
          <t>Kalimantan Selatan</t>
        </is>
      </c>
      <c r="Q52" t="inlineStr"/>
    </row>
    <row r="53">
      <c r="A53" t="inlineStr">
        <is>
          <t>LIN CITRA WAHANA</t>
        </is>
      </c>
      <c r="B53" t="inlineStr">
        <is>
          <t>Kota Jambi</t>
        </is>
      </c>
      <c r="C53" t="inlineStr">
        <is>
          <t>085266023190</t>
        </is>
      </c>
      <c r="D53" t="inlineStr">
        <is>
          <t>lin_citra_wahana@yahoo.co.id</t>
        </is>
      </c>
      <c r="E53" t="inlineStr">
        <is>
          <t>https://lpjk.pu.go.id/search-badan-usaha-detail/aFhqZzg1MGxxUStoeXJiREdjZjZidz09</t>
        </is>
      </c>
      <c r="F53" t="n">
        <v>3</v>
      </c>
      <c r="G53" t="inlineStr">
        <is>
          <t>BG009, BS001, BS004</t>
        </is>
      </c>
      <c r="H53" t="inlineStr">
        <is>
          <t>5 Juli 1999</t>
        </is>
      </c>
      <c r="I53" s="2" t="n">
        <v>46375</v>
      </c>
      <c r="J53" t="inlineStr">
        <is>
          <t>Disetujui</t>
        </is>
      </c>
      <c r="K53" t="n">
        <v>87</v>
      </c>
      <c r="L53" t="inlineStr">
        <is>
          <t>19 Desember 2026</t>
        </is>
      </c>
      <c r="M53" t="inlineStr">
        <is>
          <t>Konstruksi Bangunan Sipil Jalan, Konstruksi Gedung Lainnya, Konstruksi Jaringan Irigasi dan Drainase</t>
        </is>
      </c>
      <c r="N53" t="inlineStr">
        <is>
          <t>K</t>
        </is>
      </c>
      <c r="O53" t="inlineStr">
        <is>
          <t>20231215</t>
        </is>
      </c>
      <c r="P53" t="inlineStr">
        <is>
          <t>Jambi</t>
        </is>
      </c>
      <c r="Q53" t="inlineStr"/>
    </row>
    <row r="54">
      <c r="A54" t="inlineStr">
        <is>
          <t>MAHAKARYA PALMA CONSTRUCTION</t>
        </is>
      </c>
      <c r="B54" t="inlineStr">
        <is>
          <t>Kota Medan</t>
        </is>
      </c>
      <c r="C54" t="inlineStr">
        <is>
          <t>08170009899</t>
        </is>
      </c>
      <c r="D54" t="inlineStr">
        <is>
          <t>mahakaryapc@yahoo.com</t>
        </is>
      </c>
      <c r="E54" t="inlineStr">
        <is>
          <t>https://lpjk.pu.go.id/search-badan-usaha-detail/Q09PdHp1ZnBBNWdEUWdhWjlvVFRrUT09</t>
        </is>
      </c>
      <c r="F54" t="n">
        <v>6</v>
      </c>
      <c r="G54" t="inlineStr">
        <is>
          <t>BG003, BS004</t>
        </is>
      </c>
      <c r="H54" t="inlineStr">
        <is>
          <t>26 Mei 2023</t>
        </is>
      </c>
      <c r="I54" s="2" t="n">
        <v>46375</v>
      </c>
      <c r="J54" t="inlineStr">
        <is>
          <t>Disetujui</t>
        </is>
      </c>
      <c r="K54" t="n">
        <v>87</v>
      </c>
      <c r="L54" t="inlineStr">
        <is>
          <t>19 Desember 2026</t>
        </is>
      </c>
      <c r="M54" t="inlineStr">
        <is>
          <t>Konstruksi Gedung Industri, Konstruksi Jaringan Irigasi dan Drainase</t>
        </is>
      </c>
      <c r="N54" t="inlineStr">
        <is>
          <t>K</t>
        </is>
      </c>
      <c r="O54" t="inlineStr">
        <is>
          <t>20231220</t>
        </is>
      </c>
      <c r="P54" t="inlineStr">
        <is>
          <t>Sumatera Utara</t>
        </is>
      </c>
      <c r="Q54" t="inlineStr"/>
    </row>
    <row r="55">
      <c r="A55" t="inlineStr">
        <is>
          <t>MARINA UTAMA</t>
        </is>
      </c>
      <c r="B55" t="inlineStr">
        <is>
          <t>Kab. Banyuwangi</t>
        </is>
      </c>
      <c r="C55" t="inlineStr">
        <is>
          <t>081233106985</t>
        </is>
      </c>
      <c r="D55" t="inlineStr">
        <is>
          <t>marinautama.cv@gmail.com</t>
        </is>
      </c>
      <c r="E55" t="inlineStr">
        <is>
          <t>https://lpjk.pu.go.id/search-badan-usaha-detail/R3JidU5XQ2tURmZvYlVZKzVLOVgzZz09</t>
        </is>
      </c>
      <c r="F55" t="n">
        <v>1</v>
      </c>
      <c r="G55" t="inlineStr">
        <is>
          <t>BG009</t>
        </is>
      </c>
      <c r="H55" t="inlineStr">
        <is>
          <t>15 Juni 2021</t>
        </is>
      </c>
      <c r="I55" s="2" t="n">
        <v>46375</v>
      </c>
      <c r="J55" t="inlineStr">
        <is>
          <t>Disetujui</t>
        </is>
      </c>
      <c r="K55" t="n">
        <v>87</v>
      </c>
      <c r="L55" t="inlineStr">
        <is>
          <t>19 Desember 2026</t>
        </is>
      </c>
      <c r="M55" t="inlineStr">
        <is>
          <t>Konstruksi Gedung Lainnya</t>
        </is>
      </c>
      <c r="N55" t="inlineStr">
        <is>
          <t>K</t>
        </is>
      </c>
      <c r="O55" t="inlineStr">
        <is>
          <t>20231214</t>
        </is>
      </c>
      <c r="P55" t="inlineStr">
        <is>
          <t>Jawa Timur</t>
        </is>
      </c>
      <c r="Q55" t="inlineStr"/>
    </row>
    <row r="56">
      <c r="A56" t="inlineStr">
        <is>
          <t>MAWAR MEKAR</t>
        </is>
      </c>
      <c r="B56" t="inlineStr">
        <is>
          <t>Kab. Grobogan</t>
        </is>
      </c>
      <c r="C56" t="inlineStr">
        <is>
          <t>082133917373</t>
        </is>
      </c>
      <c r="D56" t="inlineStr">
        <is>
          <t>mawarmekar987@yahoo.com</t>
        </is>
      </c>
      <c r="E56" t="inlineStr">
        <is>
          <t>https://lpjk.pu.go.id/search-badan-usaha-detail/dGdoZkp6cUIwbVlCT2pFMjA0S1NrQT09</t>
        </is>
      </c>
      <c r="F56" t="n">
        <v>6</v>
      </c>
      <c r="G56" t="inlineStr">
        <is>
          <t>BG002, BG003, BG005, BG006, BG009, BS004</t>
        </is>
      </c>
      <c r="H56" t="inlineStr">
        <is>
          <t>7 Februari 1985</t>
        </is>
      </c>
      <c r="I56" s="2" t="n">
        <v>46375</v>
      </c>
      <c r="J56" t="inlineStr">
        <is>
          <t>Disetujui</t>
        </is>
      </c>
      <c r="K56" t="n">
        <v>87</v>
      </c>
      <c r="L56" t="inlineStr">
        <is>
          <t>19 Desember 2026</t>
        </is>
      </c>
      <c r="M56" t="inlineStr">
        <is>
          <t>Konstruksi Gedung Industri, Konstruksi Gedung Kesehatan, Konstruksi Gedung Lainnya, Konstruksi Gedung Pendidikan, Konstruksi Gedung Perkantoran, Konstruksi Jaringan Irigasi dan Drainase</t>
        </is>
      </c>
      <c r="N56" t="inlineStr">
        <is>
          <t>K</t>
        </is>
      </c>
      <c r="O56" t="inlineStr">
        <is>
          <t>20231218</t>
        </is>
      </c>
      <c r="P56" t="inlineStr">
        <is>
          <t>Jawa Tengah</t>
        </is>
      </c>
      <c r="Q56" t="inlineStr"/>
    </row>
    <row r="57">
      <c r="A57" t="inlineStr">
        <is>
          <t>MITRA ECLAT GUNUNG ARTA</t>
        </is>
      </c>
      <c r="B57" t="inlineStr">
        <is>
          <t>Kota Bandar Lampung</t>
        </is>
      </c>
      <c r="C57" t="inlineStr">
        <is>
          <t>085273829406</t>
        </is>
      </c>
      <c r="D57" t="inlineStr">
        <is>
          <t>mitraeclatgunungarta@gmail.com</t>
        </is>
      </c>
      <c r="E57" t="inlineStr">
        <is>
          <t>https://lpjk.pu.go.id/search-badan-usaha-detail/bVFleXV5cFkxWVpmWHQvcjdoQ3YyQT09</t>
        </is>
      </c>
      <c r="F57" t="n">
        <v>2</v>
      </c>
      <c r="G57" t="inlineStr">
        <is>
          <t>BG002, BG006</t>
        </is>
      </c>
      <c r="H57" t="inlineStr">
        <is>
          <t>14 Mei 2014</t>
        </is>
      </c>
      <c r="I57" s="2" t="n">
        <v>46375</v>
      </c>
      <c r="J57" t="inlineStr">
        <is>
          <t>Pencabutan</t>
        </is>
      </c>
      <c r="K57" t="n">
        <v>87</v>
      </c>
      <c r="L57" t="inlineStr">
        <is>
          <t>19 Desember 2026</t>
        </is>
      </c>
      <c r="M57" t="inlineStr">
        <is>
          <t>Konstruksi Gedung Pendidikan, Konstruksi Gedung Perkantoran</t>
        </is>
      </c>
      <c r="N57" t="inlineStr">
        <is>
          <t>B</t>
        </is>
      </c>
      <c r="O57" t="inlineStr">
        <is>
          <t>20231106, 20231219</t>
        </is>
      </c>
      <c r="P57" t="inlineStr">
        <is>
          <t>Lampung</t>
        </is>
      </c>
      <c r="Q57" t="inlineStr"/>
    </row>
    <row r="58">
      <c r="A58" t="inlineStr">
        <is>
          <t>MITRA TEHNIK</t>
        </is>
      </c>
      <c r="B58" t="inlineStr">
        <is>
          <t>Kab. Madiun</t>
        </is>
      </c>
      <c r="C58" t="inlineStr">
        <is>
          <t>089616714400</t>
        </is>
      </c>
      <c r="D58" t="inlineStr">
        <is>
          <t>mtehnik75@gmail.com</t>
        </is>
      </c>
      <c r="E58" t="inlineStr">
        <is>
          <t>https://lpjk.pu.go.id/search-badan-usaha-detail/NDE4aGVrTldFemowMUwyc3Ixd0R4UT09</t>
        </is>
      </c>
      <c r="F58" t="n">
        <v>1</v>
      </c>
      <c r="G58" t="inlineStr">
        <is>
          <t>BS001</t>
        </is>
      </c>
      <c r="H58" t="inlineStr">
        <is>
          <t>6 Agustus 2016</t>
        </is>
      </c>
      <c r="I58" s="2" t="n">
        <v>46375</v>
      </c>
      <c r="J58" t="inlineStr">
        <is>
          <t>Disetujui</t>
        </is>
      </c>
      <c r="K58" t="n">
        <v>87</v>
      </c>
      <c r="L58" t="inlineStr">
        <is>
          <t>19 Desember 2026</t>
        </is>
      </c>
      <c r="M58" t="inlineStr">
        <is>
          <t>Konstruksi Bangunan Sipil Jalan</t>
        </is>
      </c>
      <c r="N58" t="inlineStr">
        <is>
          <t>K</t>
        </is>
      </c>
      <c r="O58" t="inlineStr">
        <is>
          <t>20231130</t>
        </is>
      </c>
      <c r="P58" t="inlineStr">
        <is>
          <t>Jawa Timur</t>
        </is>
      </c>
      <c r="Q58" t="inlineStr"/>
    </row>
    <row r="59">
      <c r="A59" t="inlineStr">
        <is>
          <t>MUGI JAYA</t>
        </is>
      </c>
      <c r="B59" t="inlineStr">
        <is>
          <t>Kab. Karawang</t>
        </is>
      </c>
      <c r="C59" t="inlineStr">
        <is>
          <t>082246269480</t>
        </is>
      </c>
      <c r="D59" t="inlineStr">
        <is>
          <t>agung_mugijaya@yahoo.co.id</t>
        </is>
      </c>
      <c r="E59" t="inlineStr">
        <is>
          <t>https://lpjk.pu.go.id/search-badan-usaha-detail/MTgvRlIrZGp1MUVHK1RNNUN0L1ppQT09</t>
        </is>
      </c>
      <c r="F59" t="n">
        <v>3</v>
      </c>
      <c r="G59" t="inlineStr">
        <is>
          <t>BG009, BS001, BS004</t>
        </is>
      </c>
      <c r="H59" t="inlineStr">
        <is>
          <t>14 Desember 1992</t>
        </is>
      </c>
      <c r="I59" s="2" t="n">
        <v>46375</v>
      </c>
      <c r="J59" t="inlineStr">
        <is>
          <t>Disetujui</t>
        </is>
      </c>
      <c r="K59" t="n">
        <v>87</v>
      </c>
      <c r="L59" t="inlineStr">
        <is>
          <t>19 Desember 2026</t>
        </is>
      </c>
      <c r="M59" t="inlineStr">
        <is>
          <t>Konstruksi Bangunan Sipil Jalan, Konstruksi Gedung Lainnya, Konstruksi Jaringan Irigasi dan Drainase</t>
        </is>
      </c>
      <c r="N59" t="inlineStr">
        <is>
          <t>K</t>
        </is>
      </c>
      <c r="O59" t="inlineStr">
        <is>
          <t>20231215</t>
        </is>
      </c>
      <c r="P59" t="inlineStr">
        <is>
          <t>Jawa Barat</t>
        </is>
      </c>
      <c r="Q59" t="inlineStr"/>
    </row>
    <row r="60">
      <c r="A60" t="inlineStr">
        <is>
          <t>NAGABE JAYA MANDIRI</t>
        </is>
      </c>
      <c r="B60" t="inlineStr">
        <is>
          <t>Kota Padang Sidempuan</t>
        </is>
      </c>
      <c r="C60" t="inlineStr">
        <is>
          <t>082260211854</t>
        </is>
      </c>
      <c r="D60" t="inlineStr">
        <is>
          <t>nagabejayamandiripsp@gmail.com</t>
        </is>
      </c>
      <c r="E60" t="inlineStr">
        <is>
          <t>https://lpjk.pu.go.id/search-badan-usaha-detail/ZktaNE1TSjlhb0twU0psWGVkNm9OUT09</t>
        </is>
      </c>
      <c r="F60" t="n">
        <v>1</v>
      </c>
      <c r="G60" t="inlineStr">
        <is>
          <t>BG005</t>
        </is>
      </c>
      <c r="H60" t="inlineStr">
        <is>
          <t>15 Juli 2023</t>
        </is>
      </c>
      <c r="I60" s="2" t="n">
        <v>46375</v>
      </c>
      <c r="J60" t="inlineStr">
        <is>
          <t>Pencabutan</t>
        </is>
      </c>
      <c r="K60" t="n">
        <v>87</v>
      </c>
      <c r="L60" t="inlineStr">
        <is>
          <t>19 Desember 2026</t>
        </is>
      </c>
      <c r="M60" t="inlineStr">
        <is>
          <t>Konstruksi Gedung Kesehatan</t>
        </is>
      </c>
      <c r="N60" t="inlineStr">
        <is>
          <t>K</t>
        </is>
      </c>
      <c r="O60" t="inlineStr">
        <is>
          <t>20231219</t>
        </is>
      </c>
      <c r="P60" t="inlineStr">
        <is>
          <t>Sumatera Utara</t>
        </is>
      </c>
      <c r="Q60" t="inlineStr"/>
    </row>
    <row r="61">
      <c r="A61" t="inlineStr">
        <is>
          <t>NAUFAL</t>
        </is>
      </c>
      <c r="B61" t="inlineStr">
        <is>
          <t>Kota Medan</t>
        </is>
      </c>
      <c r="C61" t="inlineStr">
        <is>
          <t>082364720088</t>
        </is>
      </c>
      <c r="D61" t="inlineStr">
        <is>
          <t>cvnaufal2016@gmail.com</t>
        </is>
      </c>
      <c r="E61" t="inlineStr">
        <is>
          <t>https://lpjk.pu.go.id/search-badan-usaha-detail/aW1TOWhhaTNtUy80cTlYNnExMGRwQT09</t>
        </is>
      </c>
      <c r="F61" t="n">
        <v>3</v>
      </c>
      <c r="G61" t="inlineStr">
        <is>
          <t>BG002, BG005, BG007</t>
        </is>
      </c>
      <c r="H61" t="inlineStr">
        <is>
          <t>31 Januari 2002</t>
        </is>
      </c>
      <c r="I61" s="2" t="n">
        <v>46375</v>
      </c>
      <c r="J61" t="inlineStr">
        <is>
          <t>Disetujui</t>
        </is>
      </c>
      <c r="K61" t="n">
        <v>87</v>
      </c>
      <c r="L61" t="inlineStr">
        <is>
          <t>19 Desember 2026</t>
        </is>
      </c>
      <c r="M61" t="inlineStr">
        <is>
          <t>Konstruksi Gedung Kesehatan, Konstruksi Gedung Penginapan, Konstruksi Gedung Perkantoran</t>
        </is>
      </c>
      <c r="N61" t="inlineStr">
        <is>
          <t>K</t>
        </is>
      </c>
      <c r="O61" t="inlineStr">
        <is>
          <t>20231212, 20231213, 20231220</t>
        </is>
      </c>
      <c r="P61" t="inlineStr">
        <is>
          <t>Sumatera Utara</t>
        </is>
      </c>
      <c r="Q61" t="inlineStr"/>
    </row>
    <row r="62">
      <c r="A62" t="inlineStr">
        <is>
          <t>NINA &amp; CO</t>
        </is>
      </c>
      <c r="B62" t="inlineStr">
        <is>
          <t>Kota Tangerang</t>
        </is>
      </c>
      <c r="C62" t="inlineStr">
        <is>
          <t>0215524284</t>
        </is>
      </c>
      <c r="D62" t="inlineStr">
        <is>
          <t>nina_n_co@yahoo.co.id</t>
        </is>
      </c>
      <c r="E62" t="inlineStr">
        <is>
          <t>https://lpjk.pu.go.id/search-badan-usaha-detail/cW1HRnNiRlZwdk1qTTkxSmlkbmc2UT09</t>
        </is>
      </c>
      <c r="F62" t="n">
        <v>2</v>
      </c>
      <c r="G62" t="inlineStr">
        <is>
          <t>BS001, BS004</t>
        </is>
      </c>
      <c r="H62" t="inlineStr">
        <is>
          <t>24 Maret 1990</t>
        </is>
      </c>
      <c r="I62" s="2" t="n">
        <v>46375</v>
      </c>
      <c r="J62" t="inlineStr">
        <is>
          <t>Disetujui</t>
        </is>
      </c>
      <c r="K62" t="n">
        <v>87</v>
      </c>
      <c r="L62" t="inlineStr">
        <is>
          <t>19 Desember 2026</t>
        </is>
      </c>
      <c r="M62" t="inlineStr">
        <is>
          <t>Konstruksi Bangunan Sipil Jalan, Konstruksi Jaringan Irigasi dan Drainase</t>
        </is>
      </c>
      <c r="N62" t="inlineStr">
        <is>
          <t>K</t>
        </is>
      </c>
      <c r="O62" t="inlineStr">
        <is>
          <t>20230809, 20231216</t>
        </is>
      </c>
      <c r="P62" t="inlineStr">
        <is>
          <t>Banten</t>
        </is>
      </c>
      <c r="Q62" t="inlineStr"/>
    </row>
    <row r="63">
      <c r="A63" t="inlineStr">
        <is>
          <t>NURANI JAYA</t>
        </is>
      </c>
      <c r="B63" t="inlineStr">
        <is>
          <t>Kab. Jember</t>
        </is>
      </c>
      <c r="C63" t="inlineStr">
        <is>
          <t>082228008883</t>
        </is>
      </c>
      <c r="D63" t="inlineStr">
        <is>
          <t>nuranijayajember@gmail.com</t>
        </is>
      </c>
      <c r="E63" t="inlineStr">
        <is>
          <t>https://lpjk.pu.go.id/search-badan-usaha-detail/MWQwNFRLVFZOOXNPY1Y0eGoxZFRzQT09</t>
        </is>
      </c>
      <c r="F63" t="n">
        <v>3</v>
      </c>
      <c r="G63" t="inlineStr">
        <is>
          <t>BG004</t>
        </is>
      </c>
      <c r="H63" t="inlineStr">
        <is>
          <t>1 November 1994</t>
        </is>
      </c>
      <c r="I63" s="2" t="n">
        <v>46375</v>
      </c>
      <c r="J63" t="inlineStr">
        <is>
          <t>Disetujui</t>
        </is>
      </c>
      <c r="K63" t="n">
        <v>87</v>
      </c>
      <c r="L63" t="inlineStr">
        <is>
          <t>19 Desember 2026</t>
        </is>
      </c>
      <c r="M63" t="inlineStr">
        <is>
          <t>Konstruksi Gedung Perbelanjaan</t>
        </is>
      </c>
      <c r="N63" t="inlineStr">
        <is>
          <t>K</t>
        </is>
      </c>
      <c r="O63" t="inlineStr">
        <is>
          <t>20231214</t>
        </is>
      </c>
      <c r="P63" t="inlineStr">
        <is>
          <t>Jawa Timur</t>
        </is>
      </c>
      <c r="Q63" t="inlineStr"/>
    </row>
    <row r="64">
      <c r="A64" t="inlineStr">
        <is>
          <t>PAKAR PRIANGAN TIMUR</t>
        </is>
      </c>
      <c r="B64" t="inlineStr">
        <is>
          <t>Kota Adm. Jakarta Selatan</t>
        </is>
      </c>
      <c r="C64" t="inlineStr">
        <is>
          <t>02182850645</t>
        </is>
      </c>
      <c r="D64" t="inlineStr">
        <is>
          <t>urangpriangan@gmail.com</t>
        </is>
      </c>
      <c r="E64" t="inlineStr">
        <is>
          <t>https://lpjk.pu.go.id/search-badan-usaha-detail/MVNIT0VWZHFIVDFpYlVWV1liMVFnQT09</t>
        </is>
      </c>
      <c r="F64" t="n">
        <v>2</v>
      </c>
      <c r="G64" t="inlineStr">
        <is>
          <t>RK001, RK003</t>
        </is>
      </c>
      <c r="H64" t="inlineStr">
        <is>
          <t>16 Oktober 2023</t>
        </is>
      </c>
      <c r="I64" s="2" t="n">
        <v>46375</v>
      </c>
      <c r="J64" t="inlineStr">
        <is>
          <t>Disetujui</t>
        </is>
      </c>
      <c r="K64" t="n">
        <v>87</v>
      </c>
      <c r="L64" t="inlineStr">
        <is>
          <t>19 Desember 2026</t>
        </is>
      </c>
      <c r="M64" t="inlineStr">
        <is>
          <t>Jasa Rekayasa Konstruksi Bangunan Gedung Hunian dan Non Hunian, Jasa Rekayasa Pekerjaan Teknik Sipil Transportasi</t>
        </is>
      </c>
      <c r="N64" t="inlineStr">
        <is>
          <t>K</t>
        </is>
      </c>
      <c r="O64" t="inlineStr">
        <is>
          <t>20231212</t>
        </is>
      </c>
      <c r="P64" t="inlineStr">
        <is>
          <t>DKI Jakarta</t>
        </is>
      </c>
      <c r="Q64" t="inlineStr"/>
    </row>
    <row r="65">
      <c r="A65" t="inlineStr">
        <is>
          <t>PALAPA BUANA</t>
        </is>
      </c>
      <c r="B65" t="inlineStr">
        <is>
          <t>Kab. Lampung Utara</t>
        </is>
      </c>
      <c r="C65" t="inlineStr">
        <is>
          <t>085267414145</t>
        </is>
      </c>
      <c r="D65" t="inlineStr">
        <is>
          <t>cvpalapabuana12@gmail.com</t>
        </is>
      </c>
      <c r="E65" t="inlineStr">
        <is>
          <t>https://lpjk.pu.go.id/search-badan-usaha-detail/Y3l3Szk4QURFTEZZR3F4dHRNZ2ppUT09</t>
        </is>
      </c>
      <c r="F65" t="n">
        <v>2</v>
      </c>
      <c r="G65" t="inlineStr">
        <is>
          <t>BG005, BG006</t>
        </is>
      </c>
      <c r="H65" t="inlineStr">
        <is>
          <t>14 November 2016</t>
        </is>
      </c>
      <c r="I65" s="2" t="n">
        <v>46375</v>
      </c>
      <c r="J65" t="inlineStr">
        <is>
          <t>Disetujui</t>
        </is>
      </c>
      <c r="K65" t="n">
        <v>87</v>
      </c>
      <c r="L65" t="inlineStr">
        <is>
          <t>19 Desember 2026</t>
        </is>
      </c>
      <c r="M65" t="inlineStr">
        <is>
          <t>Konstruksi Gedung Kesehatan, Konstruksi Gedung Pendidikan</t>
        </is>
      </c>
      <c r="N65" t="inlineStr">
        <is>
          <t>K</t>
        </is>
      </c>
      <c r="O65" t="inlineStr">
        <is>
          <t>20231215</t>
        </is>
      </c>
      <c r="P65" t="inlineStr">
        <is>
          <t>Lampung</t>
        </is>
      </c>
      <c r="Q65" t="inlineStr"/>
    </row>
    <row r="66">
      <c r="A66" t="inlineStr">
        <is>
          <t>PANCA LINGGA PERKASA</t>
        </is>
      </c>
      <c r="B66" t="inlineStr">
        <is>
          <t>Kab. Tangerang</t>
        </is>
      </c>
      <c r="C66" t="inlineStr">
        <is>
          <t>081390506150</t>
        </is>
      </c>
      <c r="D66" t="inlineStr">
        <is>
          <t>pancalinggaperkasa@gmail.com</t>
        </is>
      </c>
      <c r="E66" t="inlineStr">
        <is>
          <t>https://lpjk.pu.go.id/search-badan-usaha-detail/RXZwbkFsWmFReExwVVUrWmNFejB0UT09</t>
        </is>
      </c>
      <c r="F66" t="n">
        <v>1</v>
      </c>
      <c r="G66" t="inlineStr">
        <is>
          <t>BG005</t>
        </is>
      </c>
      <c r="H66" t="inlineStr">
        <is>
          <t>27 Agustus 2015</t>
        </is>
      </c>
      <c r="I66" s="2" t="n">
        <v>46375</v>
      </c>
      <c r="J66" t="inlineStr">
        <is>
          <t>Disetujui</t>
        </is>
      </c>
      <c r="K66" t="n">
        <v>87</v>
      </c>
      <c r="L66" t="inlineStr">
        <is>
          <t>19 Desember 2026</t>
        </is>
      </c>
      <c r="M66" t="inlineStr">
        <is>
          <t>Konstruksi Gedung Kesehatan</t>
        </is>
      </c>
      <c r="N66" t="inlineStr">
        <is>
          <t>K</t>
        </is>
      </c>
      <c r="O66" t="inlineStr">
        <is>
          <t>20231204</t>
        </is>
      </c>
      <c r="P66" t="inlineStr">
        <is>
          <t>Banten</t>
        </is>
      </c>
      <c r="Q66" t="inlineStr"/>
    </row>
    <row r="67">
      <c r="A67" t="inlineStr">
        <is>
          <t>PANCAR KREASI ABADI</t>
        </is>
      </c>
      <c r="B67" t="inlineStr">
        <is>
          <t>Kota Adm. Jakarta Barat</t>
        </is>
      </c>
      <c r="C67" t="inlineStr">
        <is>
          <t>0215667276</t>
        </is>
      </c>
      <c r="D67" t="inlineStr">
        <is>
          <t>slamet.pka@gmail.com</t>
        </is>
      </c>
      <c r="E67" t="inlineStr">
        <is>
          <t>https://lpjk.pu.go.id/search-badan-usaha-detail/cER3dFRNVzdwZkhlZU1WSUUvRHpUUT09</t>
        </is>
      </c>
      <c r="F67" t="n">
        <v>3</v>
      </c>
      <c r="G67" t="inlineStr">
        <is>
          <t>KK016</t>
        </is>
      </c>
      <c r="H67" t="inlineStr">
        <is>
          <t>4 Desember 2007</t>
        </is>
      </c>
      <c r="I67" s="2" t="n">
        <v>46375</v>
      </c>
      <c r="J67" t="inlineStr">
        <is>
          <t>Disetujui</t>
        </is>
      </c>
      <c r="K67" t="n">
        <v>87</v>
      </c>
      <c r="L67" t="inlineStr">
        <is>
          <t>19 Desember 2026</t>
        </is>
      </c>
      <c r="M67" t="inlineStr">
        <is>
          <t>Pemasangan Kerangka Baja</t>
        </is>
      </c>
      <c r="N67" t="inlineStr">
        <is>
          <t>Spesialis</t>
        </is>
      </c>
      <c r="O67" t="inlineStr">
        <is>
          <t>20231211</t>
        </is>
      </c>
      <c r="P67" t="inlineStr">
        <is>
          <t>DKI Jakarta</t>
        </is>
      </c>
      <c r="Q67" t="inlineStr"/>
    </row>
    <row r="68">
      <c r="A68" t="inlineStr">
        <is>
          <t>PANDUNAWI</t>
        </is>
      </c>
      <c r="B68" t="inlineStr">
        <is>
          <t>Kab. Bangkalan</t>
        </is>
      </c>
      <c r="C68" t="inlineStr">
        <is>
          <t>085232356269</t>
        </is>
      </c>
      <c r="D68" t="inlineStr">
        <is>
          <t>cvpandunawi@gmail.com</t>
        </is>
      </c>
      <c r="E68" t="inlineStr">
        <is>
          <t>https://lpjk.pu.go.id/search-badan-usaha-detail/T05BTzRWdFEyalJhTnVWbnltK1F4UT09</t>
        </is>
      </c>
      <c r="F68" t="n">
        <v>2</v>
      </c>
      <c r="G68" t="inlineStr">
        <is>
          <t>BG005, BG009</t>
        </is>
      </c>
      <c r="H68" t="inlineStr">
        <is>
          <t>22 Agustus 2023</t>
        </is>
      </c>
      <c r="I68" s="2" t="n">
        <v>46375</v>
      </c>
      <c r="J68" t="inlineStr">
        <is>
          <t>Disetujui</t>
        </is>
      </c>
      <c r="K68" t="n">
        <v>87</v>
      </c>
      <c r="L68" t="inlineStr">
        <is>
          <t>19 Desember 2026</t>
        </is>
      </c>
      <c r="M68" t="inlineStr">
        <is>
          <t>Konstruksi Gedung Kesehatan, Konstruksi Gedung Lainnya</t>
        </is>
      </c>
      <c r="N68" t="inlineStr">
        <is>
          <t>K</t>
        </is>
      </c>
      <c r="O68" t="inlineStr">
        <is>
          <t>20231219</t>
        </is>
      </c>
      <c r="P68" t="inlineStr">
        <is>
          <t>Jawa Timur</t>
        </is>
      </c>
      <c r="Q68" t="inlineStr"/>
    </row>
    <row r="69">
      <c r="A69" t="inlineStr">
        <is>
          <t>PRANASTA KARYA UTAMA</t>
        </is>
      </c>
      <c r="B69" t="inlineStr">
        <is>
          <t>Kota Denpasar</t>
        </is>
      </c>
      <c r="C69" t="inlineStr">
        <is>
          <t>08123978669</t>
        </is>
      </c>
      <c r="D69" t="inlineStr">
        <is>
          <t>ptpranatakaryautama@gmail.com</t>
        </is>
      </c>
      <c r="E69" t="inlineStr">
        <is>
          <t>https://lpjk.pu.go.id/search-badan-usaha-detail/NjlFLzNDZngvZTY4bWN4d1RTMFZKQT09</t>
        </is>
      </c>
      <c r="F69" t="n">
        <v>5</v>
      </c>
      <c r="G69" t="inlineStr">
        <is>
          <t>BG001, BG002, BG006, BG007, BG008</t>
        </is>
      </c>
      <c r="H69" t="inlineStr">
        <is>
          <t>10 Juni 2021</t>
        </is>
      </c>
      <c r="I69" s="2" t="n">
        <v>46375</v>
      </c>
      <c r="J69" t="inlineStr">
        <is>
          <t>Disetujui</t>
        </is>
      </c>
      <c r="K69" t="n">
        <v>87</v>
      </c>
      <c r="L69" t="inlineStr">
        <is>
          <t>19 Desember 2026</t>
        </is>
      </c>
      <c r="M69" t="inlineStr">
        <is>
          <t>Konstruksi Gedung Hunian, Konstruksi Gedung Pendidikan, Konstruksi Gedung Penginapan, Konstruksi Gedung Perkantoran, Konstruksi Gedung Tempat Hiburan dan Olahraga</t>
        </is>
      </c>
      <c r="N69" t="inlineStr">
        <is>
          <t>K</t>
        </is>
      </c>
      <c r="O69" t="inlineStr">
        <is>
          <t>20231206</t>
        </is>
      </c>
      <c r="P69" t="inlineStr">
        <is>
          <t>Bali</t>
        </is>
      </c>
      <c r="Q69" t="inlineStr"/>
    </row>
    <row r="70">
      <c r="A70" t="inlineStr">
        <is>
          <t>PRIMA LESTARI BAROKAH</t>
        </is>
      </c>
      <c r="B70" t="inlineStr">
        <is>
          <t>Kab. Cianjur</t>
        </is>
      </c>
      <c r="C70" t="inlineStr">
        <is>
          <t>081905034159</t>
        </is>
      </c>
      <c r="D70" t="inlineStr">
        <is>
          <t>primalestaribarokah@gmail.com</t>
        </is>
      </c>
      <c r="E70" t="inlineStr">
        <is>
          <t>https://lpjk.pu.go.id/search-badan-usaha-detail/bzJzd3JXRHYraGhVRHRoNFVDeklLQT09</t>
        </is>
      </c>
      <c r="F70" t="n">
        <v>1</v>
      </c>
      <c r="G70" t="inlineStr">
        <is>
          <t>BG004</t>
        </is>
      </c>
      <c r="H70" t="inlineStr">
        <is>
          <t>25 Oktober 2023</t>
        </is>
      </c>
      <c r="I70" s="2" t="n">
        <v>46375</v>
      </c>
      <c r="J70" t="inlineStr">
        <is>
          <t>Disetujui</t>
        </is>
      </c>
      <c r="K70" t="n">
        <v>87</v>
      </c>
      <c r="L70" t="inlineStr">
        <is>
          <t>19 Desember 2026</t>
        </is>
      </c>
      <c r="M70" t="inlineStr">
        <is>
          <t>Konstruksi Gedung Perbelanjaan</t>
        </is>
      </c>
      <c r="N70" t="inlineStr">
        <is>
          <t>K</t>
        </is>
      </c>
      <c r="O70" t="inlineStr">
        <is>
          <t>20231220</t>
        </is>
      </c>
      <c r="P70" t="inlineStr">
        <is>
          <t>Jawa Barat</t>
        </is>
      </c>
      <c r="Q70" t="inlineStr"/>
    </row>
    <row r="71">
      <c r="A71" t="inlineStr">
        <is>
          <t>PUTERA JAYA ANDALAN</t>
        </is>
      </c>
      <c r="B71" t="inlineStr">
        <is>
          <t>Kab. Bantul</t>
        </is>
      </c>
      <c r="C71" t="inlineStr">
        <is>
          <t>02744399825</t>
        </is>
      </c>
      <c r="D71" t="inlineStr">
        <is>
          <t>pja_jogjakarta@yahoo.co.id</t>
        </is>
      </c>
      <c r="E71" t="inlineStr">
        <is>
          <t>https://lpjk.pu.go.id/search-badan-usaha-detail/QTc3Vm5CZi9xSHp4TU40bFN1R2hkQT09</t>
        </is>
      </c>
      <c r="F71" t="n">
        <v>2</v>
      </c>
      <c r="G71" t="inlineStr">
        <is>
          <t>BG001, BS016</t>
        </is>
      </c>
      <c r="H71" t="inlineStr">
        <is>
          <t>5 Juli 2010</t>
        </is>
      </c>
      <c r="I71" s="2" t="n">
        <v>46375</v>
      </c>
      <c r="J71" t="inlineStr">
        <is>
          <t>Disetujui</t>
        </is>
      </c>
      <c r="K71" t="n">
        <v>87</v>
      </c>
      <c r="L71" t="inlineStr">
        <is>
          <t>19 Desember 2026</t>
        </is>
      </c>
      <c r="M71" t="inlineStr">
        <is>
          <t>Konstruksi Bangunan Sipil Fasilitas Olah Raga, Konstruksi Gedung Hunian</t>
        </is>
      </c>
      <c r="N71" t="inlineStr">
        <is>
          <t>M</t>
        </is>
      </c>
      <c r="O71" t="inlineStr">
        <is>
          <t>20231120, 20231213</t>
        </is>
      </c>
      <c r="P71" t="inlineStr">
        <is>
          <t>DI Yogyakarta</t>
        </is>
      </c>
      <c r="Q71" t="inlineStr"/>
    </row>
    <row r="72">
      <c r="A72" t="inlineStr">
        <is>
          <t>PUTRA ANDALAS PERKASA</t>
        </is>
      </c>
      <c r="B72" t="inlineStr">
        <is>
          <t>Kab. Deli Serdang</t>
        </is>
      </c>
      <c r="C72" t="inlineStr">
        <is>
          <t>082274245577</t>
        </is>
      </c>
      <c r="D72" t="inlineStr">
        <is>
          <t>cv.putraandalasperkasa@gmail.com</t>
        </is>
      </c>
      <c r="E72" t="inlineStr">
        <is>
          <t>https://lpjk.pu.go.id/search-badan-usaha-detail/S2Y4UkZNRFphWGNMMFRRNXpxSjZyZz09</t>
        </is>
      </c>
      <c r="F72" t="n">
        <v>2</v>
      </c>
      <c r="G72" t="inlineStr">
        <is>
          <t>BS005, PB009</t>
        </is>
      </c>
      <c r="H72" t="inlineStr">
        <is>
          <t>28 Mei 2021</t>
        </is>
      </c>
      <c r="I72" s="2" t="n">
        <v>46375</v>
      </c>
      <c r="J72" t="inlineStr">
        <is>
          <t>Disetujui, Pembekuan</t>
        </is>
      </c>
      <c r="K72" t="n">
        <v>87</v>
      </c>
      <c r="L72" t="inlineStr">
        <is>
          <t>19 Desember 2026</t>
        </is>
      </c>
      <c r="M72" t="inlineStr">
        <is>
          <t>Konstruksi Bangunan Sipil Pengolahan Air Bersih, Pembersihan dan Perapihan Bangunan Gedung dan/atau Bangunan Sipil</t>
        </is>
      </c>
      <c r="N72" t="inlineStr">
        <is>
          <t>K, Spesialis</t>
        </is>
      </c>
      <c r="O72" t="inlineStr">
        <is>
          <t>20231211, 20231221</t>
        </is>
      </c>
      <c r="P72" t="inlineStr">
        <is>
          <t>Sumatera Utara</t>
        </is>
      </c>
      <c r="Q72" t="inlineStr"/>
    </row>
    <row r="73">
      <c r="A73" t="inlineStr">
        <is>
          <t>PUTRA BAHAGIA BERSAMA</t>
        </is>
      </c>
      <c r="B73" t="inlineStr">
        <is>
          <t>Kota Banjarmasin</t>
        </is>
      </c>
      <c r="C73" t="inlineStr">
        <is>
          <t>082151773688</t>
        </is>
      </c>
      <c r="D73" t="inlineStr">
        <is>
          <t>putrabahagia_cv@yahoo.co.id</t>
        </is>
      </c>
      <c r="E73" t="inlineStr">
        <is>
          <t>https://lpjk.pu.go.id/search-badan-usaha-detail/Uk1IZ2toRW4vYU5oam56YkdnK3o5QT09</t>
        </is>
      </c>
      <c r="F73" t="n">
        <v>2</v>
      </c>
      <c r="G73" t="inlineStr">
        <is>
          <t>BG005, BG006</t>
        </is>
      </c>
      <c r="H73" t="inlineStr">
        <is>
          <t>15 Desember 2000</t>
        </is>
      </c>
      <c r="I73" s="2" t="n">
        <v>46375</v>
      </c>
      <c r="J73" t="inlineStr">
        <is>
          <t>Disetujui</t>
        </is>
      </c>
      <c r="K73" t="n">
        <v>87</v>
      </c>
      <c r="L73" t="inlineStr">
        <is>
          <t>19 Desember 2026</t>
        </is>
      </c>
      <c r="M73" t="inlineStr">
        <is>
          <t>Konstruksi Gedung Kesehatan, Konstruksi Gedung Pendidikan</t>
        </is>
      </c>
      <c r="N73" t="inlineStr">
        <is>
          <t>K</t>
        </is>
      </c>
      <c r="O73" t="inlineStr">
        <is>
          <t>20231218</t>
        </is>
      </c>
      <c r="P73" t="inlineStr">
        <is>
          <t>Kalimantan Selatan</t>
        </is>
      </c>
      <c r="Q73" t="inlineStr"/>
    </row>
    <row r="74">
      <c r="A74" t="inlineStr">
        <is>
          <t>PUTRA SUMATERA BARU</t>
        </is>
      </c>
      <c r="B74" t="inlineStr">
        <is>
          <t>Kota Medan</t>
        </is>
      </c>
      <c r="C74" t="inlineStr">
        <is>
          <t>082277072896</t>
        </is>
      </c>
      <c r="D74" t="inlineStr">
        <is>
          <t>putrasumaterab@gmail.com</t>
        </is>
      </c>
      <c r="E74" t="inlineStr">
        <is>
          <t>https://lpjk.pu.go.id/search-badan-usaha-detail/TTNNZjdKOWNwcnh4Q3VEZ2llSFUvQT09</t>
        </is>
      </c>
      <c r="F74" t="n">
        <v>2</v>
      </c>
      <c r="G74" t="inlineStr">
        <is>
          <t>BS001, BS005</t>
        </is>
      </c>
      <c r="H74" t="inlineStr">
        <is>
          <t>19 Desember 2019</t>
        </is>
      </c>
      <c r="I74" s="2" t="n">
        <v>46375</v>
      </c>
      <c r="J74" t="inlineStr">
        <is>
          <t>Disetujui</t>
        </is>
      </c>
      <c r="K74" t="n">
        <v>87</v>
      </c>
      <c r="L74" t="inlineStr">
        <is>
          <t>19 Desember 2026</t>
        </is>
      </c>
      <c r="M74" t="inlineStr">
        <is>
          <t>Konstruksi Bangunan Sipil Jalan, Konstruksi Bangunan Sipil Pengolahan Air Bersih</t>
        </is>
      </c>
      <c r="N74" t="inlineStr">
        <is>
          <t>K</t>
        </is>
      </c>
      <c r="O74" t="inlineStr">
        <is>
          <t>20231218, 20231219</t>
        </is>
      </c>
      <c r="P74" t="inlineStr">
        <is>
          <t>Sumatera Utara</t>
        </is>
      </c>
      <c r="Q74" t="inlineStr"/>
    </row>
    <row r="75">
      <c r="A75" t="inlineStr">
        <is>
          <t>RAFI HUTAMA KARYA</t>
        </is>
      </c>
      <c r="B75" t="inlineStr">
        <is>
          <t>Kab. Garut</t>
        </is>
      </c>
      <c r="C75" t="inlineStr">
        <is>
          <t>081319317485</t>
        </is>
      </c>
      <c r="D75" t="inlineStr">
        <is>
          <t>rafihutamakarya.cv@gmail.com</t>
        </is>
      </c>
      <c r="E75" t="inlineStr">
        <is>
          <t>https://lpjk.pu.go.id/search-badan-usaha-detail/d2FPdGJyajR5VW43SHBWQ0xSc1RYQT09</t>
        </is>
      </c>
      <c r="F75" t="n">
        <v>5</v>
      </c>
      <c r="G75" t="inlineStr">
        <is>
          <t>BG005, BG006, BG009, BS002, BS004</t>
        </is>
      </c>
      <c r="H75" t="inlineStr">
        <is>
          <t>14 Juli 2017</t>
        </is>
      </c>
      <c r="I75" s="2" t="n">
        <v>46375</v>
      </c>
      <c r="J75" t="inlineStr">
        <is>
          <t>Disetujui</t>
        </is>
      </c>
      <c r="K75" t="n">
        <v>87</v>
      </c>
      <c r="L75" t="inlineStr">
        <is>
          <t>19 Desember 2026</t>
        </is>
      </c>
      <c r="M75" t="inlineStr">
        <is>
          <t>Bangunan Sipil Jembatan, Jalan Layang, Fly Over, dan Underpass, Konstruksi Gedung Kesehatan, Konstruksi Gedung Lainnya, Konstruksi Gedung Pendidikan, Konstruksi Jaringan Irigasi dan Drainase</t>
        </is>
      </c>
      <c r="N75" t="inlineStr">
        <is>
          <t>K</t>
        </is>
      </c>
      <c r="O75" t="inlineStr">
        <is>
          <t>20231214</t>
        </is>
      </c>
      <c r="P75" t="inlineStr">
        <is>
          <t>Jawa Barat</t>
        </is>
      </c>
      <c r="Q75" t="inlineStr"/>
    </row>
    <row r="76">
      <c r="A76" t="inlineStr">
        <is>
          <t>RAHAYU MITRA ABADI</t>
        </is>
      </c>
      <c r="B76" t="inlineStr">
        <is>
          <t>Kab. Banjarnegara</t>
        </is>
      </c>
      <c r="C76" t="inlineStr">
        <is>
          <t>088228744667</t>
        </is>
      </c>
      <c r="D76" t="inlineStr">
        <is>
          <t>rahayumitraabadi@gmail.com</t>
        </is>
      </c>
      <c r="E76" t="inlineStr">
        <is>
          <t>https://lpjk.pu.go.id/search-badan-usaha-detail/NzhJWTNVeHZvZDgwUXlETFBNV080UT09</t>
        </is>
      </c>
      <c r="F76" t="n">
        <v>5</v>
      </c>
      <c r="G76" t="inlineStr">
        <is>
          <t>BG001, BG005, BS001, BS002, BS004</t>
        </is>
      </c>
      <c r="H76" t="inlineStr">
        <is>
          <t>17 September 2021</t>
        </is>
      </c>
      <c r="I76" s="2" t="n">
        <v>46375</v>
      </c>
      <c r="J76" t="inlineStr">
        <is>
          <t>Disetujui, Pencabutan</t>
        </is>
      </c>
      <c r="K76" t="n">
        <v>87</v>
      </c>
      <c r="L76" t="inlineStr">
        <is>
          <t>19 Desember 2026</t>
        </is>
      </c>
      <c r="M76" t="inlineStr">
        <is>
          <t>Bangunan Sipil Jembatan, Jalan Layang, Fly Over, dan Underpass, Konstruksi Bangunan Sipil Jalan, Konstruksi Gedung Hunian, Konstruksi Gedung Kesehatan, Konstruksi Jaringan Irigasi dan Drainase</t>
        </is>
      </c>
      <c r="N76" t="inlineStr">
        <is>
          <t>K</t>
        </is>
      </c>
      <c r="O76" t="inlineStr">
        <is>
          <t>20231211</t>
        </is>
      </c>
      <c r="P76" t="inlineStr">
        <is>
          <t>Jawa Tengah</t>
        </is>
      </c>
      <c r="Q76" t="inlineStr"/>
    </row>
    <row r="77">
      <c r="A77" t="inlineStr">
        <is>
          <t>RAKARYA TEKNIK CONSULTANT</t>
        </is>
      </c>
      <c r="B77" t="inlineStr">
        <is>
          <t>Kab. Berau</t>
        </is>
      </c>
      <c r="C77" t="inlineStr">
        <is>
          <t>085393588768</t>
        </is>
      </c>
      <c r="D77" t="inlineStr">
        <is>
          <t>cv.rakaryateknikconsultant@gmail.com</t>
        </is>
      </c>
      <c r="E77" t="inlineStr">
        <is>
          <t>https://lpjk.pu.go.id/search-badan-usaha-detail/QWs2aXpiTVZ1cWRVQXlJKy9oTEVCdz09</t>
        </is>
      </c>
      <c r="F77" t="n">
        <v>3</v>
      </c>
      <c r="G77" t="inlineStr">
        <is>
          <t>RK001, RK002, RK003</t>
        </is>
      </c>
      <c r="H77" t="inlineStr">
        <is>
          <t>21 November 2023</t>
        </is>
      </c>
      <c r="I77" s="2" t="n">
        <v>46375</v>
      </c>
      <c r="J77" t="inlineStr">
        <is>
          <t>Disetujui</t>
        </is>
      </c>
      <c r="K77" t="n">
        <v>87</v>
      </c>
      <c r="L77" t="inlineStr">
        <is>
          <t>19 Desember 2026</t>
        </is>
      </c>
      <c r="M77" t="inlineStr">
        <is>
          <t>Jasa Rekayasa Konstruksi Bangunan Gedung Hunian dan Non Hunian, Jasa Rekayasa Pekerjaan Teknik Sipil Sumber Daya Air, Jasa Rekayasa Pekerjaan Teknik Sipil Transportasi</t>
        </is>
      </c>
      <c r="N77" t="inlineStr">
        <is>
          <t>K</t>
        </is>
      </c>
      <c r="O77" t="inlineStr">
        <is>
          <t>20231209, 20231211, 20231214</t>
        </is>
      </c>
      <c r="P77" t="inlineStr">
        <is>
          <t>Kalimantan Timur</t>
        </is>
      </c>
      <c r="Q77" t="inlineStr"/>
    </row>
    <row r="78">
      <c r="A78" t="inlineStr">
        <is>
          <t>RATU JOYO WANGI</t>
        </is>
      </c>
      <c r="B78" t="inlineStr">
        <is>
          <t>Kota Surabaya</t>
        </is>
      </c>
      <c r="C78" t="inlineStr">
        <is>
          <t>081232461318</t>
        </is>
      </c>
      <c r="D78" t="inlineStr">
        <is>
          <t>ratujoyowangi99@gmail.com</t>
        </is>
      </c>
      <c r="E78" t="inlineStr">
        <is>
          <t>https://lpjk.pu.go.id/search-badan-usaha-detail/SGVSVjBNVkJ2S2M0dFB1Wms3elNrZz09</t>
        </is>
      </c>
      <c r="F78" t="n">
        <v>1</v>
      </c>
      <c r="G78" t="inlineStr">
        <is>
          <t>BS005</t>
        </is>
      </c>
      <c r="H78" t="inlineStr">
        <is>
          <t>29 Mei 2023</t>
        </is>
      </c>
      <c r="I78" s="2" t="n">
        <v>46375</v>
      </c>
      <c r="J78" t="inlineStr">
        <is>
          <t>Disetujui</t>
        </is>
      </c>
      <c r="K78" t="n">
        <v>87</v>
      </c>
      <c r="L78" t="inlineStr">
        <is>
          <t>19 Desember 2026</t>
        </is>
      </c>
      <c r="M78" t="inlineStr">
        <is>
          <t>Konstruksi Bangunan Sipil Pengolahan Air Bersih</t>
        </is>
      </c>
      <c r="N78" t="inlineStr">
        <is>
          <t>K</t>
        </is>
      </c>
      <c r="O78" t="inlineStr">
        <is>
          <t>20231220</t>
        </is>
      </c>
      <c r="P78" t="inlineStr">
        <is>
          <t>Jawa Timur</t>
        </is>
      </c>
      <c r="Q78" t="inlineStr"/>
    </row>
    <row r="79">
      <c r="A79" t="inlineStr">
        <is>
          <t>REKADAYA PRATAMA ABADI</t>
        </is>
      </c>
      <c r="B79" t="inlineStr">
        <is>
          <t>Kab. Bojonegoro</t>
        </is>
      </c>
      <c r="C79" t="inlineStr">
        <is>
          <t>81264205122</t>
        </is>
      </c>
      <c r="D79" t="inlineStr">
        <is>
          <t>cvrekadayapratamaabadi@gmail.com</t>
        </is>
      </c>
      <c r="E79" t="inlineStr">
        <is>
          <t>https://lpjk.pu.go.id/search-badan-usaha-detail/Qk1WMGNrTDBJWjB2YVFkeVhCVHNJUT09</t>
        </is>
      </c>
      <c r="F79" t="n">
        <v>6</v>
      </c>
      <c r="G79" t="inlineStr">
        <is>
          <t>RK001, RK002, RK003</t>
        </is>
      </c>
      <c r="H79" t="inlineStr">
        <is>
          <t>13 Juli 2023</t>
        </is>
      </c>
      <c r="I79" s="2" t="n">
        <v>46375</v>
      </c>
      <c r="J79" t="inlineStr">
        <is>
          <t>Disetujui</t>
        </is>
      </c>
      <c r="K79" t="n">
        <v>87</v>
      </c>
      <c r="L79" t="inlineStr">
        <is>
          <t>19 Desember 2026</t>
        </is>
      </c>
      <c r="M79" t="inlineStr">
        <is>
          <t>Jasa Rekayasa Konstruksi Bangunan Gedung Hunian dan Non Hunian, Jasa Rekayasa Pekerjaan Teknik Sipil Sumber Daya Air, Jasa Rekayasa Pekerjaan Teknik Sipil Transportasi</t>
        </is>
      </c>
      <c r="N79" t="inlineStr">
        <is>
          <t>K</t>
        </is>
      </c>
      <c r="O79" t="inlineStr">
        <is>
          <t>20231207</t>
        </is>
      </c>
      <c r="P79" t="inlineStr">
        <is>
          <t>Jawa Timur</t>
        </is>
      </c>
      <c r="Q79" t="inlineStr"/>
    </row>
    <row r="80">
      <c r="A80" t="inlineStr">
        <is>
          <t>REKAYASA TEKNIK CONSULTAN</t>
        </is>
      </c>
      <c r="B80" t="inlineStr">
        <is>
          <t>Kota Bandar Lampung</t>
        </is>
      </c>
      <c r="C80" t="inlineStr">
        <is>
          <t>081369055699</t>
        </is>
      </c>
      <c r="D80" t="inlineStr">
        <is>
          <t>rekayasateknikconsultan@yahoo.com</t>
        </is>
      </c>
      <c r="E80" t="inlineStr">
        <is>
          <t>https://lpjk.pu.go.id/search-badan-usaha-detail/azlKQ2xURnBkMXZndE5MR3Y5dlFPUT09</t>
        </is>
      </c>
      <c r="F80" t="n">
        <v>2</v>
      </c>
      <c r="G80" t="inlineStr">
        <is>
          <t>RK003</t>
        </is>
      </c>
      <c r="H80" t="inlineStr">
        <is>
          <t>1 Februari 2007</t>
        </is>
      </c>
      <c r="I80" s="2" t="n">
        <v>46375</v>
      </c>
      <c r="J80" t="inlineStr">
        <is>
          <t>Disetujui</t>
        </is>
      </c>
      <c r="K80" t="n">
        <v>87</v>
      </c>
      <c r="L80" t="inlineStr">
        <is>
          <t>19 Desember 2026</t>
        </is>
      </c>
      <c r="M80" t="inlineStr">
        <is>
          <t>Jasa Rekayasa Pekerjaan Teknik Sipil Transportasi</t>
        </is>
      </c>
      <c r="N80" t="inlineStr">
        <is>
          <t>K</t>
        </is>
      </c>
      <c r="O80" t="inlineStr">
        <is>
          <t>20231205</t>
        </is>
      </c>
      <c r="P80" t="inlineStr">
        <is>
          <t>Lampung</t>
        </is>
      </c>
      <c r="Q80" t="inlineStr"/>
    </row>
    <row r="81">
      <c r="A81" t="inlineStr">
        <is>
          <t>RESWARA CONSULTANT</t>
        </is>
      </c>
      <c r="B81" t="inlineStr">
        <is>
          <t>Kota Bandung</t>
        </is>
      </c>
      <c r="C81" t="inlineStr">
        <is>
          <t>082194883733</t>
        </is>
      </c>
      <c r="D81" t="inlineStr">
        <is>
          <t>reswaraconsultant@gmail.com</t>
        </is>
      </c>
      <c r="E81" t="inlineStr">
        <is>
          <t>https://lpjk.pu.go.id/search-badan-usaha-detail/ME1IVkM2RkwwQ2JWK0NFaTE4RUlYZz09</t>
        </is>
      </c>
      <c r="F81" t="n">
        <v>2</v>
      </c>
      <c r="G81" t="inlineStr">
        <is>
          <t>RK002, RK003</t>
        </is>
      </c>
      <c r="H81" t="inlineStr">
        <is>
          <t>20 Februari 2008</t>
        </is>
      </c>
      <c r="I81" s="2" t="n">
        <v>46375</v>
      </c>
      <c r="J81" t="inlineStr">
        <is>
          <t>Disetujui</t>
        </is>
      </c>
      <c r="K81" t="n">
        <v>87</v>
      </c>
      <c r="L81" t="inlineStr">
        <is>
          <t>19 Desember 2026</t>
        </is>
      </c>
      <c r="M81" t="inlineStr">
        <is>
          <t>Jasa Rekayasa Pekerjaan Teknik Sipil Sumber Daya Air, Jasa Rekayasa Pekerjaan Teknik Sipil Transportasi</t>
        </is>
      </c>
      <c r="N81" t="inlineStr">
        <is>
          <t>K</t>
        </is>
      </c>
      <c r="O81" t="inlineStr">
        <is>
          <t>20231130</t>
        </is>
      </c>
      <c r="P81" t="inlineStr">
        <is>
          <t>Jawa Barat</t>
        </is>
      </c>
      <c r="Q81" t="inlineStr"/>
    </row>
    <row r="82">
      <c r="A82" t="inlineStr">
        <is>
          <t>RESWARA PRAPTAMA</t>
        </is>
      </c>
      <c r="B82" t="inlineStr">
        <is>
          <t>Kota Semarang</t>
        </is>
      </c>
      <c r="C82" t="inlineStr">
        <is>
          <t>085225704613</t>
        </is>
      </c>
      <c r="D82" t="inlineStr">
        <is>
          <t>reswarapraptama2019@gmail.com</t>
        </is>
      </c>
      <c r="E82" t="inlineStr">
        <is>
          <t>https://lpjk.pu.go.id/search-badan-usaha-detail/OWZiUkduY0FuZkpxRWJtNGQwOUQxUT09</t>
        </is>
      </c>
      <c r="F82" t="n">
        <v>7</v>
      </c>
      <c r="G82" t="inlineStr">
        <is>
          <t>AL001, AL002, AL003, AL004, AR001, AR002, AR003</t>
        </is>
      </c>
      <c r="H82" t="inlineStr">
        <is>
          <t>20 Februari 2019</t>
        </is>
      </c>
      <c r="I82" s="2" t="n">
        <v>46375</v>
      </c>
      <c r="J82" t="inlineStr">
        <is>
          <t>Pencabutan</t>
        </is>
      </c>
      <c r="K82" t="n">
        <v>87</v>
      </c>
      <c r="L82" t="inlineStr">
        <is>
          <t>19 Desember 2026</t>
        </is>
      </c>
      <c r="M82" t="inlineStr">
        <is>
          <t>Jasa Arsitektural Bangunan Gedung Hunian dan Non Hunian, Jasa Arsitektural Lainnya, Jasa Desain Interior pada Bangunan Gedung dan Bangunan Sipil, Jasa Pengembangan Lingkungan Bangunan dan Lanskap, Jasa Pengembangan Pemanfaatan Ruang, Jasa Pengembangan Perkotaan, Jasa Pengembangan Wilayah</t>
        </is>
      </c>
      <c r="N82" t="inlineStr">
        <is>
          <t>K</t>
        </is>
      </c>
      <c r="O82" t="inlineStr">
        <is>
          <t>20231211, 20231212, 20231213, 20231215</t>
        </is>
      </c>
      <c r="P82" t="inlineStr">
        <is>
          <t>Jawa Tengah</t>
        </is>
      </c>
      <c r="Q82" t="inlineStr"/>
    </row>
    <row r="83">
      <c r="A83" t="inlineStr">
        <is>
          <t>ROMAS RAYA</t>
        </is>
      </c>
      <c r="B83" t="inlineStr">
        <is>
          <t>Kota Palu</t>
        </is>
      </c>
      <c r="C83" t="inlineStr">
        <is>
          <t>085397707796</t>
        </is>
      </c>
      <c r="D83" t="inlineStr">
        <is>
          <t>cvromasraya22@gmail.com</t>
        </is>
      </c>
      <c r="E83" t="inlineStr">
        <is>
          <t>https://lpjk.pu.go.id/search-badan-usaha-detail/QlI0K3F4YWczaUJyM0hLRjJ1OUFnZz09</t>
        </is>
      </c>
      <c r="F83" t="n">
        <v>1</v>
      </c>
      <c r="G83" t="inlineStr">
        <is>
          <t>PL004</t>
        </is>
      </c>
      <c r="H83" t="inlineStr">
        <is>
          <t>9 Januari 2013</t>
        </is>
      </c>
      <c r="I83" s="2" t="n">
        <v>46375</v>
      </c>
      <c r="J83" t="inlineStr">
        <is>
          <t>Pembekuan</t>
        </is>
      </c>
      <c r="K83" t="n">
        <v>87</v>
      </c>
      <c r="L83" t="inlineStr">
        <is>
          <t>19 Desember 2026</t>
        </is>
      </c>
      <c r="M83" t="inlineStr">
        <is>
          <t>Pekerjaan Tanah</t>
        </is>
      </c>
      <c r="N83" t="inlineStr">
        <is>
          <t>Spesialis</t>
        </is>
      </c>
      <c r="O83" t="inlineStr">
        <is>
          <t>20231219</t>
        </is>
      </c>
      <c r="P83" t="inlineStr">
        <is>
          <t>Sulawesi Tengah</t>
        </is>
      </c>
      <c r="Q83" t="inlineStr"/>
    </row>
    <row r="84">
      <c r="A84" t="inlineStr">
        <is>
          <t>SANDRA BUANA</t>
        </is>
      </c>
      <c r="B84" t="inlineStr">
        <is>
          <t>Kab. Sukabumi</t>
        </is>
      </c>
      <c r="C84" t="inlineStr">
        <is>
          <t>085861238818</t>
        </is>
      </c>
      <c r="D84" t="inlineStr">
        <is>
          <t>cvsandrabuana@gmail.com</t>
        </is>
      </c>
      <c r="E84" t="inlineStr">
        <is>
          <t>https://lpjk.pu.go.id/search-badan-usaha-detail/VWtpMXpRTlJna0RXd1lNOU1xV0lPUT09</t>
        </is>
      </c>
      <c r="F84" t="n">
        <v>1</v>
      </c>
      <c r="G84" t="inlineStr">
        <is>
          <t>BG009</t>
        </is>
      </c>
      <c r="H84" t="inlineStr">
        <is>
          <t>18 Januari 2016</t>
        </is>
      </c>
      <c r="I84" s="2" t="n">
        <v>46375</v>
      </c>
      <c r="J84" t="inlineStr">
        <is>
          <t>Disetujui</t>
        </is>
      </c>
      <c r="K84" t="n">
        <v>87</v>
      </c>
      <c r="L84" t="inlineStr">
        <is>
          <t>19 Desember 2026</t>
        </is>
      </c>
      <c r="M84" t="inlineStr">
        <is>
          <t>Konstruksi Gedung Lainnya</t>
        </is>
      </c>
      <c r="N84" t="inlineStr">
        <is>
          <t>K</t>
        </is>
      </c>
      <c r="O84" t="inlineStr">
        <is>
          <t>20230615</t>
        </is>
      </c>
      <c r="P84" t="inlineStr">
        <is>
          <t>Jawa Barat</t>
        </is>
      </c>
      <c r="Q84" t="inlineStr"/>
    </row>
    <row r="85">
      <c r="A85" t="inlineStr">
        <is>
          <t>SENTRAL SEJAHTERA</t>
        </is>
      </c>
      <c r="B85" t="inlineStr">
        <is>
          <t>Kota Kendari</t>
        </is>
      </c>
      <c r="C85" t="inlineStr">
        <is>
          <t>082346421190</t>
        </is>
      </c>
      <c r="D85" t="inlineStr">
        <is>
          <t>sentralsejahtera1@gmail.com</t>
        </is>
      </c>
      <c r="E85" t="inlineStr">
        <is>
          <t>https://lpjk.pu.go.id/search-badan-usaha-detail/RVUrQ24ybjNHcFRYMmRUemhqeUZOTER5T2xzVkZzZDg1Qm1NVWVySWFRVT0</t>
        </is>
      </c>
      <c r="F85" t="n">
        <v>4</v>
      </c>
      <c r="G85" t="inlineStr">
        <is>
          <t>BG005, BG006</t>
        </is>
      </c>
      <c r="H85" t="inlineStr">
        <is>
          <t>14 September 2020</t>
        </is>
      </c>
      <c r="I85" s="2" t="n">
        <v>46375</v>
      </c>
      <c r="J85" t="inlineStr">
        <is>
          <t>Disetujui</t>
        </is>
      </c>
      <c r="K85" t="n">
        <v>87</v>
      </c>
      <c r="L85" t="inlineStr">
        <is>
          <t>19 Desember 2026</t>
        </is>
      </c>
      <c r="M85" t="inlineStr">
        <is>
          <t>Konstruksi Gedung Kesehatan, Konstruksi Gedung Pendidikan</t>
        </is>
      </c>
      <c r="N85" t="inlineStr">
        <is>
          <t>K</t>
        </is>
      </c>
      <c r="O85" t="inlineStr">
        <is>
          <t>20231220</t>
        </is>
      </c>
      <c r="P85" t="inlineStr">
        <is>
          <t>Sulawesi Tenggara</t>
        </is>
      </c>
      <c r="Q85" t="inlineStr"/>
    </row>
    <row r="86">
      <c r="A86" t="inlineStr">
        <is>
          <t>SERUNI SURYA MEGA JAYA</t>
        </is>
      </c>
      <c r="B86" t="inlineStr">
        <is>
          <t>Kab. Tangerang</t>
        </is>
      </c>
      <c r="C86" t="inlineStr">
        <is>
          <t>0215532269</t>
        </is>
      </c>
      <c r="D86" t="inlineStr">
        <is>
          <t>serunismj@yahoo.com</t>
        </is>
      </c>
      <c r="E86" t="inlineStr">
        <is>
          <t>https://lpjk.pu.go.id/search-badan-usaha-detail/bk5odWVEUXBGY1piTitMYURZZExqdz09</t>
        </is>
      </c>
      <c r="F86" t="n">
        <v>2</v>
      </c>
      <c r="G86" t="inlineStr">
        <is>
          <t>IN004, IN007</t>
        </is>
      </c>
      <c r="H86" t="inlineStr">
        <is>
          <t>14 Januari 1998</t>
        </is>
      </c>
      <c r="I86" s="2" t="n">
        <v>46375</v>
      </c>
      <c r="J86" t="inlineStr">
        <is>
          <t>Pembekuan</t>
        </is>
      </c>
      <c r="K86" t="n">
        <v>87</v>
      </c>
      <c r="L86" t="inlineStr">
        <is>
          <t>19 Desember 2026</t>
        </is>
      </c>
      <c r="M86" t="inlineStr">
        <is>
          <t>Instalasi Minyak dan Gas, Instalasi Saluran Air (Plambing)</t>
        </is>
      </c>
      <c r="N86" t="inlineStr">
        <is>
          <t>Spesialis</t>
        </is>
      </c>
      <c r="O86" t="inlineStr">
        <is>
          <t>20231219, 20231220</t>
        </is>
      </c>
      <c r="P86" t="inlineStr">
        <is>
          <t>Banten</t>
        </is>
      </c>
      <c r="Q86" t="inlineStr"/>
    </row>
    <row r="87">
      <c r="A87" t="inlineStr">
        <is>
          <t>SINARAN GEMILANG</t>
        </is>
      </c>
      <c r="B87" t="inlineStr">
        <is>
          <t>Kab. Indramayu</t>
        </is>
      </c>
      <c r="C87" t="inlineStr">
        <is>
          <t>082217727887</t>
        </is>
      </c>
      <c r="D87" t="inlineStr">
        <is>
          <t>cv.sinarangemilang@gmail.com</t>
        </is>
      </c>
      <c r="E87" t="inlineStr">
        <is>
          <t>https://lpjk.pu.go.id/search-badan-usaha-detail/WDZRQTZDTmZLV1lZOEtHUDgyR3BNZz09</t>
        </is>
      </c>
      <c r="F87" t="n">
        <v>6</v>
      </c>
      <c r="G87" t="inlineStr">
        <is>
          <t>BG006, BS001</t>
        </is>
      </c>
      <c r="H87" t="inlineStr">
        <is>
          <t>12 Oktober 2023</t>
        </is>
      </c>
      <c r="I87" s="2" t="n">
        <v>46375</v>
      </c>
      <c r="J87" t="inlineStr">
        <is>
          <t>Disetujui</t>
        </is>
      </c>
      <c r="K87" t="n">
        <v>87</v>
      </c>
      <c r="L87" t="inlineStr">
        <is>
          <t>19 Desember 2026</t>
        </is>
      </c>
      <c r="M87" t="inlineStr">
        <is>
          <t>Konstruksi Bangunan Sipil Jalan, Konstruksi Gedung Pendidikan</t>
        </is>
      </c>
      <c r="N87" t="inlineStr">
        <is>
          <t>K</t>
        </is>
      </c>
      <c r="O87" t="inlineStr">
        <is>
          <t>20231215, 20231220</t>
        </is>
      </c>
      <c r="P87" t="inlineStr">
        <is>
          <t>Jawa Barat</t>
        </is>
      </c>
      <c r="Q87" t="inlineStr"/>
    </row>
    <row r="88">
      <c r="A88" t="inlineStr">
        <is>
          <t>SKETSA PRISMA KONSULTAN</t>
        </is>
      </c>
      <c r="B88" t="inlineStr">
        <is>
          <t>Kab. Blora</t>
        </is>
      </c>
      <c r="C88" t="inlineStr">
        <is>
          <t>0895375573796</t>
        </is>
      </c>
      <c r="D88" t="inlineStr">
        <is>
          <t>sketsaprismakonslt@gmail.com</t>
        </is>
      </c>
      <c r="E88" t="inlineStr">
        <is>
          <t>https://lpjk.pu.go.id/search-badan-usaha-detail/alh4VWhrWng1cUJ0aVgweXZIaGpSdz09</t>
        </is>
      </c>
      <c r="F88" t="n">
        <v>2</v>
      </c>
      <c r="G88" t="inlineStr">
        <is>
          <t>RK001, RK003</t>
        </is>
      </c>
      <c r="H88" t="inlineStr">
        <is>
          <t>24 Oktober 2023</t>
        </is>
      </c>
      <c r="I88" s="2" t="n">
        <v>46375</v>
      </c>
      <c r="J88" t="inlineStr">
        <is>
          <t>Disetujui</t>
        </is>
      </c>
      <c r="K88" t="n">
        <v>87</v>
      </c>
      <c r="L88" t="inlineStr">
        <is>
          <t>19 Desember 2026</t>
        </is>
      </c>
      <c r="M88" t="inlineStr">
        <is>
          <t>Jasa Rekayasa Konstruksi Bangunan Gedung Hunian dan Non Hunian, Jasa Rekayasa Pekerjaan Teknik Sipil Transportasi</t>
        </is>
      </c>
      <c r="N88" t="inlineStr">
        <is>
          <t>K</t>
        </is>
      </c>
      <c r="O88" t="inlineStr">
        <is>
          <t>20231213</t>
        </is>
      </c>
      <c r="P88" t="inlineStr">
        <is>
          <t>Jawa Tengah</t>
        </is>
      </c>
      <c r="Q88" t="inlineStr"/>
    </row>
    <row r="89">
      <c r="A89" t="inlineStr">
        <is>
          <t>SUMBER KARYA ABADI</t>
        </is>
      </c>
      <c r="B89" t="inlineStr">
        <is>
          <t>Kota Jayapura</t>
        </is>
      </c>
      <c r="C89" t="inlineStr">
        <is>
          <t>081247150771</t>
        </is>
      </c>
      <c r="D89" t="inlineStr">
        <is>
          <t>csumberkaryaabadi@gmail.com</t>
        </is>
      </c>
      <c r="E89" t="inlineStr">
        <is>
          <t>https://lpjk.pu.go.id/search-badan-usaha-detail/NUp2cmx1aDcrbkhycFJ3MGhjR0k0QT09</t>
        </is>
      </c>
      <c r="F89" t="n">
        <v>2</v>
      </c>
      <c r="G89" t="inlineStr">
        <is>
          <t>BG001, BG009</t>
        </is>
      </c>
      <c r="H89" t="inlineStr">
        <is>
          <t>29 Mei 2013</t>
        </is>
      </c>
      <c r="I89" s="2" t="n">
        <v>46375</v>
      </c>
      <c r="J89" t="inlineStr">
        <is>
          <t>Disetujui</t>
        </is>
      </c>
      <c r="K89" t="n">
        <v>87</v>
      </c>
      <c r="L89" t="inlineStr">
        <is>
          <t>19 Desember 2026</t>
        </is>
      </c>
      <c r="M89" t="inlineStr">
        <is>
          <t>Konstruksi Gedung Hunian, Konstruksi Gedung Lainnya</t>
        </is>
      </c>
      <c r="N89" t="inlineStr">
        <is>
          <t>K</t>
        </is>
      </c>
      <c r="O89" t="inlineStr">
        <is>
          <t>20231213</t>
        </is>
      </c>
      <c r="P89" t="inlineStr">
        <is>
          <t>Papua</t>
        </is>
      </c>
      <c r="Q89" t="inlineStr"/>
    </row>
    <row r="90">
      <c r="A90" t="inlineStr">
        <is>
          <t>SUMBER POMPA PASURUAN</t>
        </is>
      </c>
      <c r="B90" t="inlineStr">
        <is>
          <t>Kab. Pasuruan</t>
        </is>
      </c>
      <c r="C90" t="inlineStr">
        <is>
          <t>082358950445</t>
        </is>
      </c>
      <c r="D90" t="inlineStr">
        <is>
          <t>sumberpompapasuruan@gmail.com</t>
        </is>
      </c>
      <c r="E90" t="inlineStr">
        <is>
          <t>https://lpjk.pu.go.id/search-badan-usaha-detail/N1p2eFpQMkM3RE5qek4yendKeTBjUT09</t>
        </is>
      </c>
      <c r="F90" t="n">
        <v>1</v>
      </c>
      <c r="G90" t="inlineStr">
        <is>
          <t>BG008</t>
        </is>
      </c>
      <c r="H90" t="inlineStr">
        <is>
          <t>1 September 2022</t>
        </is>
      </c>
      <c r="I90" s="2" t="n">
        <v>46375</v>
      </c>
      <c r="J90" t="inlineStr">
        <is>
          <t>Disetujui</t>
        </is>
      </c>
      <c r="K90" t="n">
        <v>87</v>
      </c>
      <c r="L90" t="inlineStr">
        <is>
          <t>19 Desember 2026</t>
        </is>
      </c>
      <c r="M90" t="inlineStr">
        <is>
          <t>Konstruksi Gedung Tempat Hiburan dan Olahraga</t>
        </is>
      </c>
      <c r="N90" t="inlineStr">
        <is>
          <t>K</t>
        </is>
      </c>
      <c r="O90" t="inlineStr">
        <is>
          <t>20231218</t>
        </is>
      </c>
      <c r="P90" t="inlineStr">
        <is>
          <t>Jawa Timur</t>
        </is>
      </c>
      <c r="Q90" t="inlineStr"/>
    </row>
    <row r="91">
      <c r="A91" t="inlineStr">
        <is>
          <t>SUMBERDAYA PEMBANGUNAN ENERGI</t>
        </is>
      </c>
      <c r="B91" t="inlineStr">
        <is>
          <t>Kota Adm. Jakarta Pusat</t>
        </is>
      </c>
      <c r="C91" t="inlineStr">
        <is>
          <t>02129926770</t>
        </is>
      </c>
      <c r="D91" t="inlineStr">
        <is>
          <t>SPEFinacc@gmail.com</t>
        </is>
      </c>
      <c r="E91" t="inlineStr">
        <is>
          <t>https://lpjk.pu.go.id/search-badan-usaha-detail/SkZpbkl6cTZRcEF3NldPTW9ZSy9WUT09</t>
        </is>
      </c>
      <c r="F91" t="n">
        <v>1</v>
      </c>
      <c r="G91" t="inlineStr">
        <is>
          <t>IN007</t>
        </is>
      </c>
      <c r="H91" t="inlineStr">
        <is>
          <t>3 Maret 2023</t>
        </is>
      </c>
      <c r="I91" s="2" t="n">
        <v>46375</v>
      </c>
      <c r="J91" t="inlineStr">
        <is>
          <t>Disetujui</t>
        </is>
      </c>
      <c r="K91" t="n">
        <v>87</v>
      </c>
      <c r="L91" t="inlineStr">
        <is>
          <t>19 Desember 2026</t>
        </is>
      </c>
      <c r="M91" t="inlineStr">
        <is>
          <t>Instalasi Saluran Air (Plambing)</t>
        </is>
      </c>
      <c r="N91" t="inlineStr">
        <is>
          <t>Spesialis</t>
        </is>
      </c>
      <c r="O91" t="inlineStr">
        <is>
          <t>20231218</t>
        </is>
      </c>
      <c r="P91" t="inlineStr">
        <is>
          <t>DKI Jakarta</t>
        </is>
      </c>
      <c r="Q91" t="inlineStr"/>
    </row>
    <row r="92">
      <c r="A92" t="inlineStr">
        <is>
          <t>TATA GUNA PATRIA</t>
        </is>
      </c>
      <c r="B92" t="inlineStr">
        <is>
          <t>Kota Adm. Jakarta Selatan</t>
        </is>
      </c>
      <c r="C92" t="inlineStr">
        <is>
          <t>02175916012</t>
        </is>
      </c>
      <c r="D92" t="inlineStr">
        <is>
          <t>tata@cbn.net.id</t>
        </is>
      </c>
      <c r="E92" t="inlineStr">
        <is>
          <t>https://lpjk.pu.go.id/search-badan-usaha-detail/azJ4OHhFVzhRWDYxaElCSVpzV2VhZz09</t>
        </is>
      </c>
      <c r="F92" t="n">
        <v>2</v>
      </c>
      <c r="G92" t="inlineStr">
        <is>
          <t>AR001, RK001</t>
        </is>
      </c>
      <c r="H92" t="inlineStr">
        <is>
          <t>21 Februari 1989</t>
        </is>
      </c>
      <c r="I92" s="2" t="n">
        <v>46375</v>
      </c>
      <c r="J92" t="inlineStr">
        <is>
          <t>Disetujui</t>
        </is>
      </c>
      <c r="K92" t="n">
        <v>87</v>
      </c>
      <c r="L92" t="inlineStr">
        <is>
          <t>19 Desember 2026</t>
        </is>
      </c>
      <c r="M92" t="inlineStr">
        <is>
          <t>Jasa Arsitektural Bangunan Gedung Hunian dan Non Hunian, Jasa Rekayasa Konstruksi Bangunan Gedung Hunian dan Non Hunian</t>
        </is>
      </c>
      <c r="N92" t="inlineStr">
        <is>
          <t>B</t>
        </is>
      </c>
      <c r="O92" t="inlineStr">
        <is>
          <t>20231212</t>
        </is>
      </c>
      <c r="P92" t="inlineStr">
        <is>
          <t>DKI Jakarta</t>
        </is>
      </c>
      <c r="Q92" t="inlineStr"/>
    </row>
    <row r="93">
      <c r="A93" t="inlineStr">
        <is>
          <t>TIRTA BERLIAN</t>
        </is>
      </c>
      <c r="B93" t="inlineStr">
        <is>
          <t>Kab. Sumba Timur</t>
        </is>
      </c>
      <c r="C93" t="inlineStr">
        <is>
          <t>08124602125</t>
        </is>
      </c>
      <c r="D93" t="inlineStr">
        <is>
          <t>tirtaberlianwgp@gmail.com</t>
        </is>
      </c>
      <c r="E93" t="inlineStr">
        <is>
          <t>https://lpjk.pu.go.id/search-badan-usaha-detail/eCtCb21OdVZjTi9qUlpxQm5RZGUwQT09</t>
        </is>
      </c>
      <c r="F93" t="n">
        <v>1</v>
      </c>
      <c r="G93" t="inlineStr">
        <is>
          <t>BS010</t>
        </is>
      </c>
      <c r="H93" t="inlineStr">
        <is>
          <t>14 Oktober 1991</t>
        </is>
      </c>
      <c r="I93" s="2" t="n">
        <v>46375</v>
      </c>
      <c r="J93" t="inlineStr">
        <is>
          <t>Disetujui</t>
        </is>
      </c>
      <c r="K93" t="n">
        <v>87</v>
      </c>
      <c r="L93" t="inlineStr">
        <is>
          <t>19 Desember 2026</t>
        </is>
      </c>
      <c r="M93" t="inlineStr">
        <is>
          <t>Konstruksi Bangunan Prasarana Sumber Daya Air</t>
        </is>
      </c>
      <c r="N93" t="inlineStr">
        <is>
          <t>K</t>
        </is>
      </c>
      <c r="O93" t="inlineStr">
        <is>
          <t>20231220</t>
        </is>
      </c>
      <c r="P93" t="inlineStr">
        <is>
          <t>Nusa Tenggara Timur</t>
        </is>
      </c>
      <c r="Q93" t="inlineStr"/>
    </row>
    <row r="94">
      <c r="A94" t="inlineStr">
        <is>
          <t>TOTAL SOLUSINDO PRATAMA</t>
        </is>
      </c>
      <c r="B94" t="inlineStr">
        <is>
          <t>Kota Pekanbaru</t>
        </is>
      </c>
      <c r="C94" t="inlineStr">
        <is>
          <t>08127586688</t>
        </is>
      </c>
      <c r="D94" t="inlineStr">
        <is>
          <t>tsolusindo.pratama@gmail.com</t>
        </is>
      </c>
      <c r="E94" t="inlineStr">
        <is>
          <t>https://lpjk.pu.go.id/search-badan-usaha-detail/MlpoRjEvUTRSbFlHOGxJMVN0ajh0UT09</t>
        </is>
      </c>
      <c r="F94" t="n">
        <v>2</v>
      </c>
      <c r="G94" t="inlineStr">
        <is>
          <t>BG004, BG009</t>
        </is>
      </c>
      <c r="H94" t="inlineStr">
        <is>
          <t>31 Januari 2018</t>
        </is>
      </c>
      <c r="I94" s="2" t="n">
        <v>46375</v>
      </c>
      <c r="J94" t="inlineStr">
        <is>
          <t>Disetujui</t>
        </is>
      </c>
      <c r="K94" t="n">
        <v>87</v>
      </c>
      <c r="L94" t="inlineStr">
        <is>
          <t>19 Desember 2026</t>
        </is>
      </c>
      <c r="M94" t="inlineStr">
        <is>
          <t>Konstruksi Gedung Lainnya, Konstruksi Gedung Perbelanjaan</t>
        </is>
      </c>
      <c r="N94" t="inlineStr">
        <is>
          <t>K</t>
        </is>
      </c>
      <c r="O94" t="inlineStr">
        <is>
          <t>20231214</t>
        </is>
      </c>
      <c r="P94" t="inlineStr">
        <is>
          <t>Riau</t>
        </is>
      </c>
      <c r="Q94" t="inlineStr"/>
    </row>
    <row r="95">
      <c r="A95" t="inlineStr">
        <is>
          <t>TUANKU MELAYU BERJAYA</t>
        </is>
      </c>
      <c r="B95" t="inlineStr">
        <is>
          <t>Kab. Kepulauan Meranti</t>
        </is>
      </c>
      <c r="C95" t="inlineStr">
        <is>
          <t>085264013335</t>
        </is>
      </c>
      <c r="D95" t="inlineStr">
        <is>
          <t>tuankumelayuberjaya@gmail.com</t>
        </is>
      </c>
      <c r="E95" t="inlineStr">
        <is>
          <t>https://lpjk.pu.go.id/search-badan-usaha-detail/Z25ySmpqek9MbExhUDhueks5cUNyQT09</t>
        </is>
      </c>
      <c r="F95" t="n">
        <v>1</v>
      </c>
      <c r="G95" t="inlineStr">
        <is>
          <t>BS001</t>
        </is>
      </c>
      <c r="H95" t="inlineStr">
        <is>
          <t>19 Maret 2010</t>
        </is>
      </c>
      <c r="I95" s="2" t="n">
        <v>46375</v>
      </c>
      <c r="J95" t="inlineStr">
        <is>
          <t>Disetujui</t>
        </is>
      </c>
      <c r="K95" t="n">
        <v>87</v>
      </c>
      <c r="L95" t="inlineStr">
        <is>
          <t>19 Desember 2026</t>
        </is>
      </c>
      <c r="M95" t="inlineStr">
        <is>
          <t>Konstruksi Bangunan Sipil Jalan</t>
        </is>
      </c>
      <c r="N95" t="inlineStr">
        <is>
          <t>K</t>
        </is>
      </c>
      <c r="O95" t="inlineStr">
        <is>
          <t>20231129</t>
        </is>
      </c>
      <c r="P95" t="inlineStr">
        <is>
          <t>Riau</t>
        </is>
      </c>
      <c r="Q95" t="inlineStr"/>
    </row>
    <row r="96">
      <c r="A96" t="inlineStr">
        <is>
          <t>TUJUH PILAR SAUDARA</t>
        </is>
      </c>
      <c r="B96" t="inlineStr">
        <is>
          <t>Kab. Kutai Timur</t>
        </is>
      </c>
      <c r="C96" t="inlineStr">
        <is>
          <t>08218807889</t>
        </is>
      </c>
      <c r="D96" t="inlineStr">
        <is>
          <t>cv.tujuhpilarsaudara@gmail.com</t>
        </is>
      </c>
      <c r="E96" t="inlineStr">
        <is>
          <t>https://lpjk.pu.go.id/search-badan-usaha-detail/c25aQ2tvaEc0TjUwT1pGS2pRVFM3QT09</t>
        </is>
      </c>
      <c r="F96" t="n">
        <v>2</v>
      </c>
      <c r="G96" t="inlineStr">
        <is>
          <t>BS001, BS004</t>
        </is>
      </c>
      <c r="H96" t="inlineStr">
        <is>
          <t>16 Oktober 2023</t>
        </is>
      </c>
      <c r="I96" s="2" t="n">
        <v>46375</v>
      </c>
      <c r="J96" t="inlineStr">
        <is>
          <t>Pencabutan</t>
        </is>
      </c>
      <c r="K96" t="n">
        <v>87</v>
      </c>
      <c r="L96" t="inlineStr">
        <is>
          <t>19 Desember 2026</t>
        </is>
      </c>
      <c r="M96" t="inlineStr">
        <is>
          <t>Konstruksi Bangunan Sipil Jalan, Konstruksi Jaringan Irigasi dan Drainase</t>
        </is>
      </c>
      <c r="N96" t="inlineStr">
        <is>
          <t>K</t>
        </is>
      </c>
      <c r="O96" t="inlineStr">
        <is>
          <t>20231220</t>
        </is>
      </c>
      <c r="P96" t="inlineStr">
        <is>
          <t>Kalimantan Timur</t>
        </is>
      </c>
      <c r="Q96" t="inlineStr"/>
    </row>
    <row r="97">
      <c r="A97" t="inlineStr">
        <is>
          <t>UNIVERSAL INTI KONSTRUKSI</t>
        </is>
      </c>
      <c r="B97" t="inlineStr">
        <is>
          <t>Kab. Bantul</t>
        </is>
      </c>
      <c r="C97" t="inlineStr">
        <is>
          <t>087770517477</t>
        </is>
      </c>
      <c r="D97" t="inlineStr">
        <is>
          <t>unikonstruksi@yahoo.com</t>
        </is>
      </c>
      <c r="E97" t="inlineStr">
        <is>
          <t>https://lpjk.pu.go.id/search-badan-usaha-detail/TzR3V29JbVg2emE3SnFESkFXbXo2dz09</t>
        </is>
      </c>
      <c r="F97" t="n">
        <v>4</v>
      </c>
      <c r="G97" t="inlineStr">
        <is>
          <t>BG006, BG009</t>
        </is>
      </c>
      <c r="H97" t="inlineStr">
        <is>
          <t>21 Januari 2011</t>
        </is>
      </c>
      <c r="I97" s="2" t="n">
        <v>46375</v>
      </c>
      <c r="J97" t="inlineStr">
        <is>
          <t>Disetujui</t>
        </is>
      </c>
      <c r="K97" t="n">
        <v>87</v>
      </c>
      <c r="L97" t="inlineStr">
        <is>
          <t>19 Desember 2026</t>
        </is>
      </c>
      <c r="M97" t="inlineStr">
        <is>
          <t>Konstruksi Gedung Lainnya, Konstruksi Gedung Pendidikan</t>
        </is>
      </c>
      <c r="N97" t="inlineStr">
        <is>
          <t>K</t>
        </is>
      </c>
      <c r="O97" t="inlineStr">
        <is>
          <t>20231215</t>
        </is>
      </c>
      <c r="P97" t="inlineStr">
        <is>
          <t>DI Yogyakarta</t>
        </is>
      </c>
      <c r="Q97" t="inlineStr"/>
    </row>
    <row r="98">
      <c r="A98" t="inlineStr">
        <is>
          <t>VAN OORD INDONESIA</t>
        </is>
      </c>
      <c r="B98" t="inlineStr">
        <is>
          <t>Kota Adm. Jakarta Selatan</t>
        </is>
      </c>
      <c r="C98" t="inlineStr">
        <is>
          <t>02126962788</t>
        </is>
      </c>
      <c r="D98" t="inlineStr">
        <is>
          <t>off-ind@vanoord.com</t>
        </is>
      </c>
      <c r="E98" t="inlineStr">
        <is>
          <t>https://lpjk.pu.go.id/search-badan-usaha-detail/NjlkU1M1TC9oZFkvMkRzODlTT1kydz09</t>
        </is>
      </c>
      <c r="F98" t="n">
        <v>2</v>
      </c>
      <c r="G98" t="inlineStr">
        <is>
          <t>PL003, PL004</t>
        </is>
      </c>
      <c r="H98" t="inlineStr">
        <is>
          <t>13 September 1978</t>
        </is>
      </c>
      <c r="I98" s="2" t="n">
        <v>46375</v>
      </c>
      <c r="J98" t="inlineStr">
        <is>
          <t>Pembekuan</t>
        </is>
      </c>
      <c r="K98" t="n">
        <v>87</v>
      </c>
      <c r="L98" t="inlineStr">
        <is>
          <t>19 Desember 2026</t>
        </is>
      </c>
      <c r="M98" t="inlineStr">
        <is>
          <t>Pekerjaan Tanah, Penyiapan Lahan Konstruksi</t>
        </is>
      </c>
      <c r="N98" t="inlineStr">
        <is>
          <t>Spesialis</t>
        </is>
      </c>
      <c r="O98" t="inlineStr">
        <is>
          <t>20231216</t>
        </is>
      </c>
      <c r="P98" t="inlineStr">
        <is>
          <t>DKI Jakarta</t>
        </is>
      </c>
      <c r="Q98" t="inlineStr"/>
    </row>
    <row r="99">
      <c r="A99" t="inlineStr">
        <is>
          <t>WANGKANG JAYA</t>
        </is>
      </c>
      <c r="B99" t="inlineStr">
        <is>
          <t>Kab. Barito Kuala</t>
        </is>
      </c>
      <c r="C99" t="inlineStr">
        <is>
          <t>081271797680</t>
        </is>
      </c>
      <c r="D99" t="inlineStr">
        <is>
          <t>cv.wangkangjaya@gmail.com</t>
        </is>
      </c>
      <c r="E99" t="inlineStr">
        <is>
          <t>https://lpjk.pu.go.id/search-badan-usaha-detail/OS9pWWo0bE5NNm5MSEY0SFBpMGFPUT09</t>
        </is>
      </c>
      <c r="F99" t="n">
        <v>1</v>
      </c>
      <c r="G99" t="inlineStr">
        <is>
          <t>BG006</t>
        </is>
      </c>
      <c r="H99" t="inlineStr">
        <is>
          <t>11 Januari 1982</t>
        </is>
      </c>
      <c r="I99" s="2" t="n">
        <v>46375</v>
      </c>
      <c r="J99" t="inlineStr">
        <is>
          <t>Disetujui</t>
        </is>
      </c>
      <c r="K99" t="n">
        <v>87</v>
      </c>
      <c r="L99" t="inlineStr">
        <is>
          <t>19 Desember 2026</t>
        </is>
      </c>
      <c r="M99" t="inlineStr">
        <is>
          <t>Konstruksi Gedung Pendidikan</t>
        </is>
      </c>
      <c r="N99" t="inlineStr">
        <is>
          <t>K</t>
        </is>
      </c>
      <c r="O99" t="inlineStr">
        <is>
          <t>20230921</t>
        </is>
      </c>
      <c r="P99" t="inlineStr">
        <is>
          <t>Kalimantan Selatan</t>
        </is>
      </c>
      <c r="Q99" t="inlineStr"/>
    </row>
    <row r="100">
      <c r="A100" t="inlineStr">
        <is>
          <t>WIRA DARMA NUSA</t>
        </is>
      </c>
      <c r="B100" t="inlineStr">
        <is>
          <t>Kab. Sleman</t>
        </is>
      </c>
      <c r="C100" t="inlineStr">
        <is>
          <t>0274418255</t>
        </is>
      </c>
      <c r="D100" t="inlineStr">
        <is>
          <t>wiradarmanusa@gmail.com</t>
        </is>
      </c>
      <c r="E100" t="inlineStr">
        <is>
          <t>https://lpjk.pu.go.id/search-badan-usaha-detail/ZzUxbHB3S09iVFhYUWkzODhxQVZQZz09</t>
        </is>
      </c>
      <c r="F100" t="n">
        <v>1</v>
      </c>
      <c r="G100" t="inlineStr">
        <is>
          <t>RK002</t>
        </is>
      </c>
      <c r="H100" t="inlineStr">
        <is>
          <t>12 Januari 2008</t>
        </is>
      </c>
      <c r="I100" s="2" t="n">
        <v>46375</v>
      </c>
      <c r="J100" t="inlineStr">
        <is>
          <t>Disetujui</t>
        </is>
      </c>
      <c r="K100" t="n">
        <v>87</v>
      </c>
      <c r="L100" t="inlineStr">
        <is>
          <t>19 Desember 2026</t>
        </is>
      </c>
      <c r="M100" t="inlineStr">
        <is>
          <t>Jasa Rekayasa Pekerjaan Teknik Sipil Sumber Daya Air</t>
        </is>
      </c>
      <c r="N100" t="inlineStr">
        <is>
          <t>K</t>
        </is>
      </c>
      <c r="O100" t="inlineStr">
        <is>
          <t>20230908</t>
        </is>
      </c>
      <c r="P100" t="inlineStr">
        <is>
          <t>DI Yogyakarta</t>
        </is>
      </c>
      <c r="Q100" t="inlineStr"/>
    </row>
    <row r="101">
      <c r="A101" t="inlineStr">
        <is>
          <t>WIRYA PUTRA</t>
        </is>
      </c>
      <c r="B101" t="inlineStr">
        <is>
          <t>Kota Sukabumi</t>
        </is>
      </c>
      <c r="C101" t="inlineStr">
        <is>
          <t>089501347296</t>
        </is>
      </c>
      <c r="D101" t="inlineStr">
        <is>
          <t>wiryaputra.cv@gmail.com</t>
        </is>
      </c>
      <c r="E101" t="inlineStr">
        <is>
          <t>https://lpjk.pu.go.id/search-badan-usaha-detail/NEpuL0VxUU5tYXg0Y244eGUvYlV1QT09</t>
        </is>
      </c>
      <c r="F101" t="n">
        <v>1</v>
      </c>
      <c r="G101" t="inlineStr">
        <is>
          <t>BG009</t>
        </is>
      </c>
      <c r="H101" t="inlineStr">
        <is>
          <t>22 Januari 2001</t>
        </is>
      </c>
      <c r="I101" s="2" t="n">
        <v>46375</v>
      </c>
      <c r="J101" t="inlineStr">
        <is>
          <t>Disetujui</t>
        </is>
      </c>
      <c r="K101" t="n">
        <v>87</v>
      </c>
      <c r="L101" t="inlineStr">
        <is>
          <t>19 Desember 2026</t>
        </is>
      </c>
      <c r="M101" t="inlineStr">
        <is>
          <t>Konstruksi Gedung Lainnya</t>
        </is>
      </c>
      <c r="N101" t="inlineStr">
        <is>
          <t>K</t>
        </is>
      </c>
      <c r="O101" t="inlineStr">
        <is>
          <t>20231219</t>
        </is>
      </c>
      <c r="P101" t="inlineStr">
        <is>
          <t>Jawa Barat</t>
        </is>
      </c>
      <c r="Q10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115"/>
  <sheetViews>
    <sheetView workbookViewId="0">
      <selection activeCell="A1" sqref="A1"/>
    </sheetView>
  </sheetViews>
  <sheetFormatPr baseColWidth="8" defaultRowHeight="15"/>
  <cols>
    <col width="33" customWidth="1" min="1" max="1"/>
    <col width="27" customWidth="1" min="2" max="2"/>
    <col width="16" customWidth="1" min="3" max="3"/>
    <col width="39" customWidth="1" min="4" max="4"/>
    <col width="50" customWidth="1" min="5" max="5"/>
    <col width="18" customWidth="1" min="6" max="6"/>
    <col width="49" customWidth="1" min="7" max="7"/>
    <col width="20" customWidth="1" min="8" max="8"/>
    <col width="28" customWidth="1" min="9" max="9"/>
    <col width="31" customWidth="1" min="10" max="10"/>
    <col width="11" customWidth="1" min="11" max="11"/>
    <col width="18" customWidth="1" min="12" max="12"/>
    <col width="50" customWidth="1" min="13" max="13"/>
    <col width="14" customWidth="1" min="14" max="14"/>
    <col width="40" customWidth="1" min="15" max="15"/>
    <col width="21" customWidth="1" min="16" max="16"/>
    <col width="50" customWidth="1" min="17" max="17"/>
  </cols>
  <sheetData>
    <row r="1">
      <c r="A1" s="1" t="inlineStr">
        <is>
          <t>Nama Perusahaan</t>
        </is>
      </c>
      <c r="B1" s="1" t="inlineStr">
        <is>
          <t>Kabupaten/Kota</t>
        </is>
      </c>
      <c r="C1" s="1" t="inlineStr">
        <is>
          <t>Telepon</t>
        </is>
      </c>
      <c r="D1" s="1" t="inlineStr">
        <is>
          <t>Email</t>
        </is>
      </c>
      <c r="E1" s="1" t="inlineStr">
        <is>
          <t>Link</t>
        </is>
      </c>
      <c r="F1" s="1" t="inlineStr">
        <is>
          <t>Jumlah KBLI 2020</t>
        </is>
      </c>
      <c r="G1" s="1" t="inlineStr">
        <is>
          <t>Kode Subklasifikasi</t>
        </is>
      </c>
      <c r="H1" s="1" t="inlineStr">
        <is>
          <t>Tanggal Ditetapkan</t>
        </is>
      </c>
      <c r="I1" s="1" t="inlineStr">
        <is>
          <t>Tanggal Habis Masa Berlaku</t>
        </is>
      </c>
      <c r="J1" s="1" t="inlineStr">
        <is>
          <t>Status</t>
        </is>
      </c>
      <c r="K1" s="1" t="inlineStr">
        <is>
          <t>Sisa Hari</t>
        </is>
      </c>
      <c r="L1" s="1" t="inlineStr">
        <is>
          <t>Tanggal Expired</t>
        </is>
      </c>
      <c r="M1" s="1" t="inlineStr">
        <is>
          <t>Subklasifikasi</t>
        </is>
      </c>
      <c r="N1" s="1" t="inlineStr">
        <is>
          <t>Kualifikasi</t>
        </is>
      </c>
      <c r="O1" s="1" t="inlineStr">
        <is>
          <t>ID Subklasifikasi</t>
        </is>
      </c>
      <c r="P1" s="1" t="inlineStr">
        <is>
          <t>Provinsi</t>
        </is>
      </c>
      <c r="Q1" s="1" t="inlineStr">
        <is>
          <t>Link WhatsApp</t>
        </is>
      </c>
    </row>
    <row r="2">
      <c r="A2" t="inlineStr">
        <is>
          <t>ADINDA ANUGRAH PRATAMA</t>
        </is>
      </c>
      <c r="B2" t="inlineStr">
        <is>
          <t>Kab. Bekasi</t>
        </is>
      </c>
      <c r="C2" t="inlineStr">
        <is>
          <t>087771911119</t>
        </is>
      </c>
      <c r="D2" t="inlineStr">
        <is>
          <t>cv.adindaanugrahpratama@gmail.com</t>
        </is>
      </c>
      <c r="E2" t="inlineStr">
        <is>
          <t>https://lpjk.pu.go.id/search-badan-usaha-detail/cWZEZVdMNnIrYUpqclFoMHkxdFI0dz09</t>
        </is>
      </c>
      <c r="F2" t="n">
        <v>2</v>
      </c>
      <c r="G2" t="inlineStr">
        <is>
          <t>BS010</t>
        </is>
      </c>
      <c r="H2" t="inlineStr">
        <is>
          <t>6 Februari 2017</t>
        </is>
      </c>
      <c r="I2" s="2" t="n">
        <v>46348</v>
      </c>
      <c r="J2" t="inlineStr">
        <is>
          <t>Disetujui</t>
        </is>
      </c>
      <c r="K2" t="n">
        <v>60</v>
      </c>
      <c r="L2" t="inlineStr">
        <is>
          <t>22 November 2026</t>
        </is>
      </c>
      <c r="M2" t="inlineStr">
        <is>
          <t>Konstruksi Bangunan Prasarana Sumber Daya Air</t>
        </is>
      </c>
      <c r="N2" t="inlineStr">
        <is>
          <t>K</t>
        </is>
      </c>
      <c r="O2" t="inlineStr">
        <is>
          <t>20231114</t>
        </is>
      </c>
      <c r="P2" t="inlineStr">
        <is>
          <t>Jawa Barat</t>
        </is>
      </c>
      <c r="Q2" s="3">
        <f>HYPERLINK("https://wa.me/6287771911119?text=*[PENGINGAT MASA BERLAKU SBU ADINDA ANUGRAH PRATAMA]*%0A%0AYth. Pimpinan ADINDA ANUGRAH PRATAMA,%0AMohon izin menginformasikan status SBU Anda di sistem LPJK:%0A%0A📄 SBU: BS010%0A📅 Expired: 22 November 2026 (60 Hari Lagi)%0A%0AKami tim PT. ESDEA Assistance Management siap men-support proses perpanjangan segera agar administrasi proyek tidak terhambat%0A%0AApakah boleh saya bantu siapkan estimasi biaya dan waktu pengerjaannya?.", "Hubungi")</f>
        <v/>
      </c>
    </row>
    <row r="3">
      <c r="A3" t="inlineStr">
        <is>
          <t>ANDI BERKAH KARYA</t>
        </is>
      </c>
      <c r="B3" t="inlineStr">
        <is>
          <t>Kab. Bekasi</t>
        </is>
      </c>
      <c r="C3" t="inlineStr">
        <is>
          <t>081284885075</t>
        </is>
      </c>
      <c r="D3" t="inlineStr">
        <is>
          <t>abk.berkahkarya@gmail.com</t>
        </is>
      </c>
      <c r="E3" t="inlineStr">
        <is>
          <t>https://lpjk.pu.go.id/search-badan-usaha-detail/M0twWUFJTnlkcUwwZElxZ1lEVHdodz09</t>
        </is>
      </c>
      <c r="F3" t="n">
        <v>4</v>
      </c>
      <c r="G3" t="inlineStr">
        <is>
          <t>BG002, BG003, BG004, BG007</t>
        </is>
      </c>
      <c r="H3" t="inlineStr">
        <is>
          <t>7 November 2023</t>
        </is>
      </c>
      <c r="I3" s="2" t="n">
        <v>46348</v>
      </c>
      <c r="J3" t="inlineStr">
        <is>
          <t>Disetujui</t>
        </is>
      </c>
      <c r="K3" t="n">
        <v>60</v>
      </c>
      <c r="L3" t="inlineStr">
        <is>
          <t>22 November 2026</t>
        </is>
      </c>
      <c r="M3" t="inlineStr">
        <is>
          <t>Konstruksi Gedung Industri, Konstruksi Gedung Penginapan, Konstruksi Gedung Perbelanjaan, Konstruksi Gedung Perkantoran</t>
        </is>
      </c>
      <c r="N3" t="inlineStr">
        <is>
          <t>K</t>
        </is>
      </c>
      <c r="O3" t="inlineStr">
        <is>
          <t>20231121, 20231123, 20231124</t>
        </is>
      </c>
      <c r="P3" t="inlineStr">
        <is>
          <t>Jawa Barat</t>
        </is>
      </c>
      <c r="Q3" s="3">
        <f>HYPERLINK("https://wa.me/6281284885075?text=*[PENGINGAT MASA BERLAKU SBU ANDI BERKAH KARYA]*%0A%0AYth. Pimpinan ANDI BERKAH KARYA,%0AMohon izin menginformasikan status SBU Anda di sistem LPJK:%0A%0A📄 SBU: BG002, BG003, BG004, BG007%0A📅 Expired: 22 November 2026 (60 Hari Lagi)%0A%0AKami tim PT. ESDEA Assistance Management siap men-support proses perpanjangan segera agar administrasi proyek tidak terhambat%0A%0AApakah boleh saya bantu siapkan estimasi biaya dan waktu pengerjaannya?.", "Hubungi")</f>
        <v/>
      </c>
    </row>
    <row r="4">
      <c r="A4" t="inlineStr">
        <is>
          <t>ASHRAF AIDHAM PUTRA PERKASA</t>
        </is>
      </c>
      <c r="B4" t="inlineStr">
        <is>
          <t>Kota Bekasi</t>
        </is>
      </c>
      <c r="C4" t="inlineStr">
        <is>
          <t>0811130859</t>
        </is>
      </c>
      <c r="D4" t="inlineStr">
        <is>
          <t>cv.ashrafaidhamputraperkasa@gmail.com</t>
        </is>
      </c>
      <c r="E4" t="inlineStr">
        <is>
          <t>https://lpjk.pu.go.id/search-badan-usaha-detail/dVlkSUhKSTUzSjgxQ1NncE1HTnMrUT09</t>
        </is>
      </c>
      <c r="F4" t="n">
        <v>1</v>
      </c>
      <c r="G4" t="inlineStr">
        <is>
          <t>BG001</t>
        </is>
      </c>
      <c r="H4" t="inlineStr">
        <is>
          <t>4 Juli 2022</t>
        </is>
      </c>
      <c r="I4" s="2" t="n">
        <v>46348</v>
      </c>
      <c r="J4" t="inlineStr">
        <is>
          <t>Disetujui</t>
        </is>
      </c>
      <c r="K4" t="n">
        <v>60</v>
      </c>
      <c r="L4" t="inlineStr">
        <is>
          <t>22 November 2026</t>
        </is>
      </c>
      <c r="M4" t="inlineStr">
        <is>
          <t>Konstruksi Gedung Hunian</t>
        </is>
      </c>
      <c r="N4" t="inlineStr">
        <is>
          <t>K</t>
        </is>
      </c>
      <c r="O4" t="inlineStr">
        <is>
          <t>20231121</t>
        </is>
      </c>
      <c r="P4" t="inlineStr">
        <is>
          <t>Jawa Barat</t>
        </is>
      </c>
      <c r="Q4" s="3">
        <f>HYPERLINK("https://wa.me/62811130859?text=*[PENGINGAT MASA BERLAKU SBU ASHRAF AIDHAM PUTRA PERKASA]*%0A%0AYth. Pimpinan ASHRAF AIDHAM PUTRA PERKASA,%0AMohon izin menginformasikan status SBU Anda di sistem LPJK:%0A%0A📄 SBU: BG001%0A📅 Expired: 22 November 2026 (60 Hari Lagi)%0A%0AKami tim PT. ESDEA Assistance Management siap men-support proses perpanjangan segera agar administrasi proyek tidak terhambat%0A%0AApakah boleh saya bantu siapkan estimasi biaya dan waktu pengerjaannya?.", "Hubungi")</f>
        <v/>
      </c>
    </row>
    <row r="5">
      <c r="A5" t="inlineStr">
        <is>
          <t>JIFS MARSADA PERKASA</t>
        </is>
      </c>
      <c r="B5" t="inlineStr">
        <is>
          <t>Kab. Bekasi</t>
        </is>
      </c>
      <c r="C5" t="inlineStr">
        <is>
          <t>081314502696</t>
        </is>
      </c>
      <c r="D5" t="inlineStr">
        <is>
          <t>marsadaperkasa@gmail.com</t>
        </is>
      </c>
      <c r="E5" t="inlineStr">
        <is>
          <t>https://lpjk.pu.go.id/search-badan-usaha-detail/anpRdEhIL0VFcTA5NmlWZU5ON3VjZz09</t>
        </is>
      </c>
      <c r="F5" t="n">
        <v>2</v>
      </c>
      <c r="G5" t="inlineStr">
        <is>
          <t>BG002, BG009</t>
        </is>
      </c>
      <c r="H5" t="inlineStr">
        <is>
          <t>2 Januari 2023</t>
        </is>
      </c>
      <c r="I5" s="2" t="n">
        <v>46348</v>
      </c>
      <c r="J5" t="inlineStr">
        <is>
          <t>Disetujui</t>
        </is>
      </c>
      <c r="K5" t="n">
        <v>60</v>
      </c>
      <c r="L5" t="inlineStr">
        <is>
          <t>22 November 2026</t>
        </is>
      </c>
      <c r="M5" t="inlineStr">
        <is>
          <t>Konstruksi Gedung Lainnya, Konstruksi Gedung Perkantoran</t>
        </is>
      </c>
      <c r="N5" t="inlineStr">
        <is>
          <t>K</t>
        </is>
      </c>
      <c r="O5" t="inlineStr">
        <is>
          <t>20231123</t>
        </is>
      </c>
      <c r="P5" t="inlineStr">
        <is>
          <t>Jawa Barat</t>
        </is>
      </c>
      <c r="Q5" s="3">
        <f>HYPERLINK("https://wa.me/6281314502696?text=*[PENGINGAT MASA BERLAKU SBU JIFS MARSADA PERKASA]*%0A%0AYth. Pimpinan JIFS MARSADA PERKASA,%0AMohon izin menginformasikan status SBU Anda di sistem LPJK:%0A%0A📄 SBU: BG002, BG009%0A📅 Expired: 22 November 2026 (60 Hari Lagi)%0A%0AKami tim PT. ESDEA Assistance Management siap men-support proses perpanjangan segera agar administrasi proyek tidak terhambat%0A%0AApakah boleh saya bantu siapkan estimasi biaya dan waktu pengerjaannya?.", "Hubungi")</f>
        <v/>
      </c>
    </row>
    <row r="6">
      <c r="A6" t="inlineStr">
        <is>
          <t>KHOMSA ADYATMA SANTARA</t>
        </is>
      </c>
      <c r="B6" t="inlineStr">
        <is>
          <t>Kota Bogor</t>
        </is>
      </c>
      <c r="C6" t="inlineStr">
        <is>
          <t>02518366135</t>
        </is>
      </c>
      <c r="D6" t="inlineStr">
        <is>
          <t>khomsa.adyatmasantara@gmail.com</t>
        </is>
      </c>
      <c r="E6" t="inlineStr">
        <is>
          <t>https://lpjk.pu.go.id/search-badan-usaha-detail/VllEOFdVMHhOMTI4MEJvc25sWU9sQT09</t>
        </is>
      </c>
      <c r="F6" t="n">
        <v>4</v>
      </c>
      <c r="G6" t="inlineStr">
        <is>
          <t>RK001, RK002, RK003, RK005</t>
        </is>
      </c>
      <c r="H6" t="inlineStr">
        <is>
          <t>12 Oktober 2019</t>
        </is>
      </c>
      <c r="I6" s="2" t="n">
        <v>46348</v>
      </c>
      <c r="J6" t="inlineStr">
        <is>
          <t>Disetujui</t>
        </is>
      </c>
      <c r="K6" t="n">
        <v>60</v>
      </c>
      <c r="L6" t="inlineStr">
        <is>
          <t>22 November 2026</t>
        </is>
      </c>
      <c r="M6" t="inlineStr">
        <is>
          <t>Jasa Rekayasa Konstruksi Bangunan Gedung Hunian dan Non Hunian, Jasa Rekayasa Lainnya, Jasa Rekayasa Pekerjaan Teknik Sipil Sumber Daya Air, Jasa Rekayasa Pekerjaan Teknik Sipil Transportasi</t>
        </is>
      </c>
      <c r="N6" t="inlineStr">
        <is>
          <t>K</t>
        </is>
      </c>
      <c r="O6" t="inlineStr">
        <is>
          <t>20231115</t>
        </is>
      </c>
      <c r="P6" t="inlineStr">
        <is>
          <t>Jawa Barat</t>
        </is>
      </c>
      <c r="Q6" s="3">
        <f>HYPERLINK("https://wa.me/622518366135?text=*[PENGINGAT MASA BERLAKU SBU KHOMSA ADYATMA SANTARA]*%0A%0AYth. Pimpinan KHOMSA ADYATMA SANTARA,%0AMohon izin menginformasikan status SBU Anda di sistem LPJK:%0A%0A📄 SBU: RK001, RK002, RK003, RK005%0A📅 Expired: 22 November 2026 (60 Hari Lagi)%0A%0AKami tim PT. ESDEA Assistance Management siap men-support proses perpanjangan segera agar administrasi proyek tidak terhambat%0A%0AApakah boleh saya bantu siapkan estimasi biaya dan waktu pengerjaannya?.", "Hubungi")</f>
        <v/>
      </c>
    </row>
    <row r="7">
      <c r="A7" t="inlineStr">
        <is>
          <t>MINARTA DUTAHUTAMA</t>
        </is>
      </c>
      <c r="B7" t="inlineStr">
        <is>
          <t>Kota Adm. Jakarta Timur</t>
        </is>
      </c>
      <c r="C7" t="inlineStr">
        <is>
          <t>02121016788</t>
        </is>
      </c>
      <c r="D7" t="inlineStr">
        <is>
          <t>sdm@minarta.com</t>
        </is>
      </c>
      <c r="E7" t="inlineStr">
        <is>
          <t>https://lpjk.pu.go.id/search-badan-usaha-detail/RndpQTltcDhlVzdOSkJ1OHlEZVN6Zz09</t>
        </is>
      </c>
      <c r="F7" t="n">
        <v>2</v>
      </c>
      <c r="G7" t="inlineStr">
        <is>
          <t>IN001</t>
        </is>
      </c>
      <c r="H7" t="inlineStr">
        <is>
          <t>21 Juli 1994</t>
        </is>
      </c>
      <c r="I7" s="2" t="n">
        <v>46348</v>
      </c>
      <c r="J7" t="inlineStr">
        <is>
          <t>Pencabutan</t>
        </is>
      </c>
      <c r="K7" t="n">
        <v>60</v>
      </c>
      <c r="L7" t="inlineStr">
        <is>
          <t>22 November 2026</t>
        </is>
      </c>
      <c r="M7" t="inlineStr">
        <is>
          <t>Instalasi Mekanikal</t>
        </is>
      </c>
      <c r="N7" t="inlineStr">
        <is>
          <t>Spesialis</t>
        </is>
      </c>
      <c r="O7" t="inlineStr">
        <is>
          <t>20231122</t>
        </is>
      </c>
      <c r="P7" t="inlineStr">
        <is>
          <t>DKI Jakarta</t>
        </is>
      </c>
      <c r="Q7" t="inlineStr"/>
    </row>
    <row r="8">
      <c r="A8" t="inlineStr">
        <is>
          <t>PILAR ABDI WIJAYA</t>
        </is>
      </c>
      <c r="B8" t="inlineStr">
        <is>
          <t>Kab. Bogor</t>
        </is>
      </c>
      <c r="C8" t="inlineStr">
        <is>
          <t>02518600181</t>
        </is>
      </c>
      <c r="D8" t="inlineStr">
        <is>
          <t>pilar_abdiwijaya@yahoo.com</t>
        </is>
      </c>
      <c r="E8" t="inlineStr">
        <is>
          <t>https://lpjk.pu.go.id/search-badan-usaha-detail/a3pvTkcyRUZ4SmJ4ZVVzZFQxZWYvZz09</t>
        </is>
      </c>
      <c r="F8" t="n">
        <v>7</v>
      </c>
      <c r="G8" t="inlineStr">
        <is>
          <t>BG001, BG002, BG003, BG006, BG009, BS001, BS004</t>
        </is>
      </c>
      <c r="H8" t="inlineStr">
        <is>
          <t>13 Juli 2010</t>
        </is>
      </c>
      <c r="I8" s="2" t="n">
        <v>46348</v>
      </c>
      <c r="J8" t="inlineStr">
        <is>
          <t>Disetujui</t>
        </is>
      </c>
      <c r="K8" t="n">
        <v>60</v>
      </c>
      <c r="L8" t="inlineStr">
        <is>
          <t>22 November 2026</t>
        </is>
      </c>
      <c r="M8" t="inlineStr">
        <is>
          <t>Konstruksi Bangunan Sipil Jalan, Konstruksi Gedung Hunian, Konstruksi Gedung Industri, Konstruksi Gedung Lainnya, Konstruksi Gedung Pendidikan, Konstruksi Gedung Perkantoran, Konstruksi Jaringan Irigasi dan Drainase</t>
        </is>
      </c>
      <c r="N8" t="inlineStr">
        <is>
          <t>K</t>
        </is>
      </c>
      <c r="O8" t="inlineStr">
        <is>
          <t>20231116, 20231120</t>
        </is>
      </c>
      <c r="P8" t="inlineStr">
        <is>
          <t>Jawa Barat</t>
        </is>
      </c>
      <c r="Q8" s="3">
        <f>HYPERLINK("https://wa.me/622518600181?text=*[PENGINGAT MASA BERLAKU SBU PILAR ABDI WIJAYA]*%0A%0AYth. Pimpinan PILAR ABDI WIJAYA,%0AMohon izin menginformasikan status SBU Anda di sistem LPJK:%0A%0A📄 SBU: BG001, BG002, BG003, BG006, BG009, BS001, BS004%0A📅 Expired: 22 November 2026 (60 Hari Lagi)%0A%0AKami tim PT. ESDEA Assistance Management siap men-support proses perpanjangan segera agar administrasi proyek tidak terhambat%0A%0AApakah boleh saya bantu siapkan estimasi biaya dan waktu pengerjaannya?.", "Hubungi")</f>
        <v/>
      </c>
    </row>
    <row r="9">
      <c r="A9" t="inlineStr">
        <is>
          <t>SHIVA ARDHYANESHA ESTETIKA</t>
        </is>
      </c>
      <c r="B9" t="inlineStr">
        <is>
          <t>Kab. Bogor</t>
        </is>
      </c>
      <c r="C9" t="inlineStr">
        <is>
          <t>082110357060</t>
        </is>
      </c>
      <c r="D9" t="inlineStr">
        <is>
          <t>design.saestudio@gmail.com</t>
        </is>
      </c>
      <c r="E9" t="inlineStr">
        <is>
          <t>https://lpjk.pu.go.id/search-badan-usaha-detail/b1V2eThUUVZnR0RINkhyUnJxU3c5UT09</t>
        </is>
      </c>
      <c r="F9" t="n">
        <v>1</v>
      </c>
      <c r="G9" t="inlineStr">
        <is>
          <t>AR001</t>
        </is>
      </c>
      <c r="H9" t="inlineStr">
        <is>
          <t>18 Agustus 2016</t>
        </is>
      </c>
      <c r="I9" s="2" t="n">
        <v>46348</v>
      </c>
      <c r="J9" t="inlineStr">
        <is>
          <t>Disetujui</t>
        </is>
      </c>
      <c r="K9" t="n">
        <v>60</v>
      </c>
      <c r="L9" t="inlineStr">
        <is>
          <t>22 November 2026</t>
        </is>
      </c>
      <c r="M9" t="inlineStr">
        <is>
          <t>Jasa Arsitektural Bangunan Gedung Hunian dan Non Hunian</t>
        </is>
      </c>
      <c r="N9" t="inlineStr">
        <is>
          <t>K</t>
        </is>
      </c>
      <c r="O9" t="inlineStr">
        <is>
          <t>20231106</t>
        </is>
      </c>
      <c r="P9" t="inlineStr">
        <is>
          <t>Jawa Barat</t>
        </is>
      </c>
      <c r="Q9" s="3">
        <f>HYPERLINK("https://wa.me/6282110357060?text=*[PENGINGAT MASA BERLAKU SBU SHIVA ARDHYANESHA ESTETIKA]*%0A%0AYth. Pimpinan SHIVA ARDHYANESHA ESTETIKA,%0AMohon izin menginformasikan status SBU Anda di sistem LPJK:%0A%0A📄 SBU: AR001%0A📅 Expired: 22 November 2026 (60 Hari Lagi)%0A%0AKami tim PT. ESDEA Assistance Management siap men-support proses perpanjangan segera agar administrasi proyek tidak terhambat%0A%0AApakah boleh saya bantu siapkan estimasi biaya dan waktu pengerjaannya?.", "Hubungi")</f>
        <v/>
      </c>
    </row>
    <row r="10">
      <c r="A10" t="inlineStr">
        <is>
          <t>VARAS RATUBADIS PRAMBANAN</t>
        </is>
      </c>
      <c r="B10" t="inlineStr">
        <is>
          <t>Kota Adm. Jakarta Timur</t>
        </is>
      </c>
      <c r="C10" t="inlineStr">
        <is>
          <t>02121012510</t>
        </is>
      </c>
      <c r="D10" t="inlineStr">
        <is>
          <t>varasratubadisprambanan@yahoo.com</t>
        </is>
      </c>
      <c r="E10" t="inlineStr">
        <is>
          <t>https://lpjk.pu.go.id/search-badan-usaha-detail/aURlU1YyRDEwVjh5YmZyWTFiYUp1clhvbkQ2cG1pZmQ1OVNialRKejE3cz0</t>
        </is>
      </c>
      <c r="F10" t="n">
        <v>2</v>
      </c>
      <c r="G10" t="inlineStr">
        <is>
          <t>BS001, BS004</t>
        </is>
      </c>
      <c r="H10" t="inlineStr">
        <is>
          <t>11 September 2025</t>
        </is>
      </c>
      <c r="I10" s="2" t="n">
        <v>46348</v>
      </c>
      <c r="J10" t="inlineStr">
        <is>
          <t>Disetujui</t>
        </is>
      </c>
      <c r="K10" t="n">
        <v>60</v>
      </c>
      <c r="L10" t="inlineStr">
        <is>
          <t>22 November 2026</t>
        </is>
      </c>
      <c r="M10" t="inlineStr">
        <is>
          <t>Konstruksi Bangunan Sipil Jalan, Konstruksi Jaringan Irigasi dan Drainase</t>
        </is>
      </c>
      <c r="N10" t="inlineStr">
        <is>
          <t>M</t>
        </is>
      </c>
      <c r="O10" t="inlineStr">
        <is>
          <t>20230504, 20230505</t>
        </is>
      </c>
      <c r="P10" t="inlineStr">
        <is>
          <t>DKI Jakarta</t>
        </is>
      </c>
      <c r="Q10" t="inlineStr"/>
    </row>
    <row r="11">
      <c r="A11" t="inlineStr">
        <is>
          <t>ABADI PERKASA KONSTRUKSI</t>
        </is>
      </c>
      <c r="B11" t="inlineStr">
        <is>
          <t>Kota Batam</t>
        </is>
      </c>
      <c r="C11" t="inlineStr">
        <is>
          <t>081285136565</t>
        </is>
      </c>
      <c r="D11" t="inlineStr">
        <is>
          <t>ptabadiperkasakonstruksi@gmail.com</t>
        </is>
      </c>
      <c r="E11" t="inlineStr">
        <is>
          <t>https://lpjk.pu.go.id/search-badan-usaha-detail/TTQvUmRXNEFGWXg5R3hrakR1c3JTdz09</t>
        </is>
      </c>
      <c r="F11" t="n">
        <v>12</v>
      </c>
      <c r="G11" t="inlineStr">
        <is>
          <t>BG001, BG006, BG009, PB004, PB007, PB009</t>
        </is>
      </c>
      <c r="H11" t="inlineStr">
        <is>
          <t>16 Agustus 2023</t>
        </is>
      </c>
      <c r="I11" s="2" t="n">
        <v>46348</v>
      </c>
      <c r="J11" t="inlineStr">
        <is>
          <t>Disetujui</t>
        </is>
      </c>
      <c r="K11" t="n">
        <v>60</v>
      </c>
      <c r="L11" t="inlineStr">
        <is>
          <t>22 November 2026</t>
        </is>
      </c>
      <c r="M11" t="inlineStr">
        <is>
          <t>Dekorasi Interior, Konstruksi Gedung Hunian, Konstruksi Gedung Lainnya, Konstruksi Gedung Pendidikan, Pembersihan dan Perapihan Bangunan Gedung dan/atau Bangunan Sipil, Pengecatan</t>
        </is>
      </c>
      <c r="N11" t="inlineStr">
        <is>
          <t>K, Spesialis</t>
        </is>
      </c>
      <c r="O11" t="inlineStr">
        <is>
          <t>20231122</t>
        </is>
      </c>
      <c r="P11" t="inlineStr">
        <is>
          <t>Kepulauan Riau</t>
        </is>
      </c>
      <c r="Q11" t="inlineStr"/>
    </row>
    <row r="12">
      <c r="A12" t="inlineStr">
        <is>
          <t>ABHIMATA ACME INDONESIA</t>
        </is>
      </c>
      <c r="B12" t="inlineStr">
        <is>
          <t>Kota Adm. Jakarta Pusat</t>
        </is>
      </c>
      <c r="C12" t="inlineStr">
        <is>
          <t>02157930304</t>
        </is>
      </c>
      <c r="D12" t="inlineStr">
        <is>
          <t>christina.loho@abhimata.co.id</t>
        </is>
      </c>
      <c r="E12" t="inlineStr">
        <is>
          <t>https://lpjk.pu.go.id/search-badan-usaha-detail/d2FMWnN0Qmp5Rlg5UXR5bTNBQjNTMHNsZ2VkSUJ6VFVYOG1xa3BTWXJ0WT0</t>
        </is>
      </c>
      <c r="F12" t="n">
        <v>1</v>
      </c>
      <c r="G12" t="inlineStr">
        <is>
          <t>IN007</t>
        </is>
      </c>
      <c r="H12" t="inlineStr">
        <is>
          <t>15 Mei 2024</t>
        </is>
      </c>
      <c r="I12" s="2" t="n">
        <v>46348</v>
      </c>
      <c r="J12" t="inlineStr">
        <is>
          <t>Disetujui</t>
        </is>
      </c>
      <c r="K12" t="n">
        <v>60</v>
      </c>
      <c r="L12" t="inlineStr">
        <is>
          <t>22 November 2026</t>
        </is>
      </c>
      <c r="M12" t="inlineStr">
        <is>
          <t>Instalasi Saluran Air (Plambing)</t>
        </is>
      </c>
      <c r="N12" t="inlineStr">
        <is>
          <t>Spesialis</t>
        </is>
      </c>
      <c r="O12" t="inlineStr">
        <is>
          <t>20231123</t>
        </is>
      </c>
      <c r="P12" t="inlineStr">
        <is>
          <t>DKI Jakarta</t>
        </is>
      </c>
      <c r="Q12" t="inlineStr"/>
    </row>
    <row r="13">
      <c r="A13" t="inlineStr">
        <is>
          <t>ADHI MULYA PRATAMA</t>
        </is>
      </c>
      <c r="B13" t="inlineStr">
        <is>
          <t>Kota Palu</t>
        </is>
      </c>
      <c r="C13" t="inlineStr">
        <is>
          <t>082193453880</t>
        </is>
      </c>
      <c r="D13" t="inlineStr">
        <is>
          <t>cvadhimulyapratama@yahoo.com</t>
        </is>
      </c>
      <c r="E13" t="inlineStr">
        <is>
          <t>https://lpjk.pu.go.id/search-badan-usaha-detail/UkY2ckhzNEdDcXpZU2lNWHc2NnB0Zz09</t>
        </is>
      </c>
      <c r="F13" t="n">
        <v>5</v>
      </c>
      <c r="G13" t="inlineStr">
        <is>
          <t>BG001, BG002, BG003, BG006, BG009</t>
        </is>
      </c>
      <c r="H13" t="inlineStr">
        <is>
          <t>21 Mei 2010</t>
        </is>
      </c>
      <c r="I13" s="2" t="n">
        <v>46348</v>
      </c>
      <c r="J13" t="inlineStr">
        <is>
          <t>Disetujui</t>
        </is>
      </c>
      <c r="K13" t="n">
        <v>60</v>
      </c>
      <c r="L13" t="inlineStr">
        <is>
          <t>22 November 2026</t>
        </is>
      </c>
      <c r="M13" t="inlineStr">
        <is>
          <t>Konstruksi Gedung Hunian, Konstruksi Gedung Industri, Konstruksi Gedung Lainnya, Konstruksi Gedung Pendidikan, Konstruksi Gedung Perkantoran</t>
        </is>
      </c>
      <c r="N13" t="inlineStr">
        <is>
          <t>K</t>
        </is>
      </c>
      <c r="O13" t="inlineStr">
        <is>
          <t>20231119</t>
        </is>
      </c>
      <c r="P13" t="inlineStr">
        <is>
          <t>Sulawesi Tengah</t>
        </is>
      </c>
      <c r="Q13" t="inlineStr"/>
    </row>
    <row r="14">
      <c r="A14" t="inlineStr">
        <is>
          <t>AMIN SEJATI PERKASA MUDA</t>
        </is>
      </c>
      <c r="B14" t="inlineStr">
        <is>
          <t>Kab. Jombang</t>
        </is>
      </c>
      <c r="C14" t="inlineStr">
        <is>
          <t>081216072264</t>
        </is>
      </c>
      <c r="D14" t="inlineStr">
        <is>
          <t>aminjombangdea1994@gmail.com</t>
        </is>
      </c>
      <c r="E14" t="inlineStr">
        <is>
          <t>https://lpjk.pu.go.id/search-badan-usaha-detail/cFlzY0dIaUxGQnNtanh0YTk2RGFNQT09</t>
        </is>
      </c>
      <c r="F14" t="n">
        <v>1</v>
      </c>
      <c r="G14" t="inlineStr">
        <is>
          <t>BS001</t>
        </is>
      </c>
      <c r="H14" t="inlineStr">
        <is>
          <t>21 Januari 2003</t>
        </is>
      </c>
      <c r="I14" s="2" t="n">
        <v>46348</v>
      </c>
      <c r="J14" t="inlineStr">
        <is>
          <t>Disetujui</t>
        </is>
      </c>
      <c r="K14" t="n">
        <v>60</v>
      </c>
      <c r="L14" t="inlineStr">
        <is>
          <t>22 November 2026</t>
        </is>
      </c>
      <c r="M14" t="inlineStr">
        <is>
          <t>Konstruksi Bangunan Sipil Jalan</t>
        </is>
      </c>
      <c r="N14" t="inlineStr">
        <is>
          <t>K</t>
        </is>
      </c>
      <c r="O14" t="inlineStr">
        <is>
          <t>20231122</t>
        </is>
      </c>
      <c r="P14" t="inlineStr">
        <is>
          <t>Jawa Timur</t>
        </is>
      </c>
      <c r="Q14" t="inlineStr"/>
    </row>
    <row r="15">
      <c r="A15" t="inlineStr">
        <is>
          <t>ANUGRAH KARYA GANESHA</t>
        </is>
      </c>
      <c r="B15" t="inlineStr">
        <is>
          <t>Kab. Kepulauan Sangihe</t>
        </is>
      </c>
      <c r="C15" t="inlineStr">
        <is>
          <t>082344096456</t>
        </is>
      </c>
      <c r="D15" t="inlineStr">
        <is>
          <t>Anugrahkaryaganesha@gmail.com</t>
        </is>
      </c>
      <c r="E15" t="inlineStr">
        <is>
          <t>https://lpjk.pu.go.id/search-badan-usaha-detail/SW5jQzlHbTRLRHRSUUtVRGNORDFyZz09</t>
        </is>
      </c>
      <c r="F15" t="n">
        <v>4</v>
      </c>
      <c r="G15" t="inlineStr">
        <is>
          <t>BG001, BG002</t>
        </is>
      </c>
      <c r="H15" t="inlineStr">
        <is>
          <t>18 Agustus 2016</t>
        </is>
      </c>
      <c r="I15" s="2" t="n">
        <v>46348</v>
      </c>
      <c r="J15" t="inlineStr">
        <is>
          <t>Disetujui</t>
        </is>
      </c>
      <c r="K15" t="n">
        <v>60</v>
      </c>
      <c r="L15" t="inlineStr">
        <is>
          <t>22 November 2026</t>
        </is>
      </c>
      <c r="M15" t="inlineStr">
        <is>
          <t>Konstruksi Gedung Hunian, Konstruksi Gedung Perkantoran</t>
        </is>
      </c>
      <c r="N15" t="inlineStr">
        <is>
          <t>K</t>
        </is>
      </c>
      <c r="O15" t="inlineStr">
        <is>
          <t>20231123</t>
        </is>
      </c>
      <c r="P15" t="inlineStr">
        <is>
          <t>Sulawesi Utara</t>
        </is>
      </c>
      <c r="Q15" t="inlineStr"/>
    </row>
    <row r="16">
      <c r="A16" t="inlineStr">
        <is>
          <t>ARKA MANDIRI SEJAHTERA</t>
        </is>
      </c>
      <c r="B16" t="inlineStr">
        <is>
          <t>Kota Ambon</t>
        </is>
      </c>
      <c r="C16" t="inlineStr">
        <is>
          <t>08114791901</t>
        </is>
      </c>
      <c r="D16" t="inlineStr">
        <is>
          <t>cvarkamandirisejaterah@gmail.com</t>
        </is>
      </c>
      <c r="E16" t="inlineStr">
        <is>
          <t>https://lpjk.pu.go.id/search-badan-usaha-detail/M3c3V1VmeDhCRTQzczkvMDVBUmRFZz09</t>
        </is>
      </c>
      <c r="F16" t="n">
        <v>1</v>
      </c>
      <c r="G16" t="inlineStr">
        <is>
          <t>BS001</t>
        </is>
      </c>
      <c r="H16" t="inlineStr">
        <is>
          <t>31 Januari 2022</t>
        </is>
      </c>
      <c r="I16" s="2" t="n">
        <v>46348</v>
      </c>
      <c r="J16" t="inlineStr">
        <is>
          <t>Pencabutan</t>
        </is>
      </c>
      <c r="K16" t="n">
        <v>60</v>
      </c>
      <c r="L16" t="inlineStr">
        <is>
          <t>22 November 2026</t>
        </is>
      </c>
      <c r="M16" t="inlineStr">
        <is>
          <t>Konstruksi Bangunan Sipil Jalan</t>
        </is>
      </c>
      <c r="N16" t="inlineStr">
        <is>
          <t>K</t>
        </is>
      </c>
      <c r="O16" t="inlineStr">
        <is>
          <t>20231123</t>
        </is>
      </c>
      <c r="P16" t="inlineStr">
        <is>
          <t>Maluku</t>
        </is>
      </c>
      <c r="Q16" t="inlineStr"/>
    </row>
    <row r="17">
      <c r="A17" t="inlineStr">
        <is>
          <t>ARSYILA NUR RIA</t>
        </is>
      </c>
      <c r="B17" t="inlineStr">
        <is>
          <t>Kab. Nunukan</t>
        </is>
      </c>
      <c r="C17" t="inlineStr">
        <is>
          <t>081258198743</t>
        </is>
      </c>
      <c r="D17" t="inlineStr">
        <is>
          <t>cvarsyilanurria@gmail.com</t>
        </is>
      </c>
      <c r="E17" t="inlineStr">
        <is>
          <t>https://lpjk.pu.go.id/search-badan-usaha-detail/ckdmNUFYZkllUUZxb1NPY2JhQkl1dz09</t>
        </is>
      </c>
      <c r="F17" t="n">
        <v>2</v>
      </c>
      <c r="G17" t="inlineStr">
        <is>
          <t>BS005</t>
        </is>
      </c>
      <c r="H17" t="inlineStr">
        <is>
          <t>13 Januari 2020</t>
        </is>
      </c>
      <c r="I17" s="2" t="n">
        <v>46348</v>
      </c>
      <c r="J17" t="inlineStr">
        <is>
          <t>Pencabutan</t>
        </is>
      </c>
      <c r="K17" t="n">
        <v>60</v>
      </c>
      <c r="L17" t="inlineStr">
        <is>
          <t>22 November 2026</t>
        </is>
      </c>
      <c r="M17" t="inlineStr">
        <is>
          <t>Konstruksi Bangunan Sipil Pengolahan Air Bersih</t>
        </is>
      </c>
      <c r="N17" t="inlineStr">
        <is>
          <t>K</t>
        </is>
      </c>
      <c r="O17" t="inlineStr">
        <is>
          <t>20231120</t>
        </is>
      </c>
      <c r="P17" t="inlineStr">
        <is>
          <t>Kalimantan Utara</t>
        </is>
      </c>
      <c r="Q17" t="inlineStr"/>
    </row>
    <row r="18">
      <c r="A18" t="inlineStr">
        <is>
          <t>ARUMAN ENGINEERING</t>
        </is>
      </c>
      <c r="B18" t="inlineStr">
        <is>
          <t>Kab. Pangandaran</t>
        </is>
      </c>
      <c r="C18" t="inlineStr">
        <is>
          <t>081224132290</t>
        </is>
      </c>
      <c r="D18" t="inlineStr">
        <is>
          <t>cvarumanengineering@gmail.com</t>
        </is>
      </c>
      <c r="E18" t="inlineStr">
        <is>
          <t>https://lpjk.pu.go.id/search-badan-usaha-detail/bDhCNkNmSnVxWXZxN1JJdi9tQk1LQT09</t>
        </is>
      </c>
      <c r="F18" t="n">
        <v>2</v>
      </c>
      <c r="G18" t="inlineStr">
        <is>
          <t>RK003</t>
        </is>
      </c>
      <c r="H18" t="inlineStr">
        <is>
          <t>27 Oktober 2022</t>
        </is>
      </c>
      <c r="I18" s="2" t="n">
        <v>46348</v>
      </c>
      <c r="J18" t="inlineStr">
        <is>
          <t>Disetujui</t>
        </is>
      </c>
      <c r="K18" t="n">
        <v>60</v>
      </c>
      <c r="L18" t="inlineStr">
        <is>
          <t>22 November 2026</t>
        </is>
      </c>
      <c r="M18" t="inlineStr">
        <is>
          <t>Jasa Rekayasa Pekerjaan Teknik Sipil Transportasi</t>
        </is>
      </c>
      <c r="N18" t="inlineStr">
        <is>
          <t>K</t>
        </is>
      </c>
      <c r="O18" t="inlineStr">
        <is>
          <t>20231115</t>
        </is>
      </c>
      <c r="P18" t="inlineStr">
        <is>
          <t>Jawa Barat</t>
        </is>
      </c>
      <c r="Q18" t="inlineStr"/>
    </row>
    <row r="19">
      <c r="A19" t="inlineStr">
        <is>
          <t>ARVIN ENGINEERING</t>
        </is>
      </c>
      <c r="B19" t="inlineStr">
        <is>
          <t>Kota Surabaya</t>
        </is>
      </c>
      <c r="C19" t="inlineStr">
        <is>
          <t>081333545663</t>
        </is>
      </c>
      <c r="D19" t="inlineStr">
        <is>
          <t>interlok88@gmail.com</t>
        </is>
      </c>
      <c r="E19" t="inlineStr">
        <is>
          <t>https://lpjk.pu.go.id/search-badan-usaha-detail/MWFzVGNTZytXSUtMSkNoZElEaTdzUT09</t>
        </is>
      </c>
      <c r="F19" t="n">
        <v>1</v>
      </c>
      <c r="G19" t="inlineStr">
        <is>
          <t>BG009</t>
        </is>
      </c>
      <c r="H19" t="inlineStr">
        <is>
          <t>11 Juli 2023</t>
        </is>
      </c>
      <c r="I19" s="2" t="n">
        <v>46348</v>
      </c>
      <c r="J19" t="inlineStr">
        <is>
          <t>Disetujui</t>
        </is>
      </c>
      <c r="K19" t="n">
        <v>60</v>
      </c>
      <c r="L19" t="inlineStr">
        <is>
          <t>22 November 2026</t>
        </is>
      </c>
      <c r="M19" t="inlineStr">
        <is>
          <t>Konstruksi Gedung Lainnya</t>
        </is>
      </c>
      <c r="N19" t="inlineStr">
        <is>
          <t>K</t>
        </is>
      </c>
      <c r="O19" t="inlineStr">
        <is>
          <t>20231122</t>
        </is>
      </c>
      <c r="P19" t="inlineStr">
        <is>
          <t>Jawa Timur</t>
        </is>
      </c>
      <c r="Q19" t="inlineStr"/>
    </row>
    <row r="20">
      <c r="A20" t="inlineStr">
        <is>
          <t>ARYA VIRA SAKTI</t>
        </is>
      </c>
      <c r="B20" t="inlineStr">
        <is>
          <t>Kota Surabaya</t>
        </is>
      </c>
      <c r="C20" t="inlineStr">
        <is>
          <t>081331273636</t>
        </is>
      </c>
      <c r="D20" t="inlineStr">
        <is>
          <t>arya_virasakti@yahoo.com</t>
        </is>
      </c>
      <c r="E20" t="inlineStr">
        <is>
          <t>https://lpjk.pu.go.id/search-badan-usaha-detail/WnRtWEpqbUZWUFZhMEk3QVVzZG1mdz09</t>
        </is>
      </c>
      <c r="F20" t="n">
        <v>1</v>
      </c>
      <c r="G20" t="inlineStr">
        <is>
          <t>BG009</t>
        </is>
      </c>
      <c r="H20" t="inlineStr">
        <is>
          <t>7 Februari 2005</t>
        </is>
      </c>
      <c r="I20" s="2" t="n">
        <v>46348</v>
      </c>
      <c r="J20" t="inlineStr">
        <is>
          <t>Disetujui</t>
        </is>
      </c>
      <c r="K20" t="n">
        <v>60</v>
      </c>
      <c r="L20" t="inlineStr">
        <is>
          <t>22 November 2026</t>
        </is>
      </c>
      <c r="M20" t="inlineStr">
        <is>
          <t>Konstruksi Gedung Lainnya</t>
        </is>
      </c>
      <c r="N20" t="inlineStr">
        <is>
          <t>K</t>
        </is>
      </c>
      <c r="O20" t="inlineStr">
        <is>
          <t>20231122</t>
        </is>
      </c>
      <c r="P20" t="inlineStr">
        <is>
          <t>Jawa Timur</t>
        </is>
      </c>
      <c r="Q20" t="inlineStr"/>
    </row>
    <row r="21">
      <c r="A21" t="inlineStr">
        <is>
          <t>ASKAR BINA RUKMALIA</t>
        </is>
      </c>
      <c r="B21" t="inlineStr">
        <is>
          <t>Kab. Demak</t>
        </is>
      </c>
      <c r="C21" t="inlineStr">
        <is>
          <t>081575329675</t>
        </is>
      </c>
      <c r="D21" t="inlineStr">
        <is>
          <t>askarbr.cv@gmail.com</t>
        </is>
      </c>
      <c r="E21" t="inlineStr">
        <is>
          <t>https://lpjk.pu.go.id/search-badan-usaha-detail/UVBDeVpBKzZHZjRUVVFHUG05VGU0dz09</t>
        </is>
      </c>
      <c r="F21" t="n">
        <v>3</v>
      </c>
      <c r="G21" t="inlineStr">
        <is>
          <t>BG005, BG006, BG009</t>
        </is>
      </c>
      <c r="H21" t="inlineStr">
        <is>
          <t>15 Oktober 2010</t>
        </is>
      </c>
      <c r="I21" s="2" t="n">
        <v>46348</v>
      </c>
      <c r="J21" t="inlineStr">
        <is>
          <t>Disetujui</t>
        </is>
      </c>
      <c r="K21" t="n">
        <v>60</v>
      </c>
      <c r="L21" t="inlineStr">
        <is>
          <t>22 November 2026</t>
        </is>
      </c>
      <c r="M21" t="inlineStr">
        <is>
          <t>Konstruksi Gedung Kesehatan, Konstruksi Gedung Lainnya, Konstruksi Gedung Pendidikan</t>
        </is>
      </c>
      <c r="N21" t="inlineStr">
        <is>
          <t>K</t>
        </is>
      </c>
      <c r="O21" t="inlineStr">
        <is>
          <t>20231109, 20231121</t>
        </is>
      </c>
      <c r="P21" t="inlineStr">
        <is>
          <t>Jawa Tengah</t>
        </is>
      </c>
      <c r="Q21" t="inlineStr"/>
    </row>
    <row r="22">
      <c r="A22" t="inlineStr">
        <is>
          <t>ASSYIFA</t>
        </is>
      </c>
      <c r="B22" t="inlineStr">
        <is>
          <t>Kab. Karawang</t>
        </is>
      </c>
      <c r="C22" t="inlineStr">
        <is>
          <t>081316098188</t>
        </is>
      </c>
      <c r="D22" t="inlineStr">
        <is>
          <t>oss.assyifa@gmail.com</t>
        </is>
      </c>
      <c r="E22" t="inlineStr">
        <is>
          <t>https://lpjk.pu.go.id/search-badan-usaha-detail/UGdSdUYrbFFtRVkvNTRzb3JxSzZIZz09</t>
        </is>
      </c>
      <c r="F22" t="n">
        <v>3</v>
      </c>
      <c r="G22" t="inlineStr">
        <is>
          <t>BG009, BS001, BS004</t>
        </is>
      </c>
      <c r="H22" t="inlineStr">
        <is>
          <t>24 Maret 2014</t>
        </is>
      </c>
      <c r="I22" s="2" t="n">
        <v>46348</v>
      </c>
      <c r="J22" t="inlineStr">
        <is>
          <t>Pencabutan</t>
        </is>
      </c>
      <c r="K22" t="n">
        <v>60</v>
      </c>
      <c r="L22" t="inlineStr">
        <is>
          <t>22 November 2026</t>
        </is>
      </c>
      <c r="M22" t="inlineStr">
        <is>
          <t>Konstruksi Bangunan Sipil Jalan, Konstruksi Gedung Lainnya, Konstruksi Jaringan Irigasi dan Drainase</t>
        </is>
      </c>
      <c r="N22" t="inlineStr">
        <is>
          <t>K</t>
        </is>
      </c>
      <c r="O22" t="inlineStr">
        <is>
          <t>20231121, 20231122</t>
        </is>
      </c>
      <c r="P22" t="inlineStr">
        <is>
          <t>Jawa Barat</t>
        </is>
      </c>
      <c r="Q22" t="inlineStr"/>
    </row>
    <row r="23">
      <c r="A23" t="inlineStr">
        <is>
          <t>ATRA AWAY</t>
        </is>
      </c>
      <c r="B23" t="inlineStr">
        <is>
          <t>Kab. Aceh Besar</t>
        </is>
      </c>
      <c r="C23" t="inlineStr">
        <is>
          <t>085261829997</t>
        </is>
      </c>
      <c r="D23" t="inlineStr">
        <is>
          <t>cv.atra.away@gmail.com</t>
        </is>
      </c>
      <c r="E23" t="inlineStr">
        <is>
          <t>https://lpjk.pu.go.id/search-badan-usaha-detail/ZDNqYmd1ZklXNXJwVkh6QllYditCdz09</t>
        </is>
      </c>
      <c r="F23" t="n">
        <v>5</v>
      </c>
      <c r="G23" t="inlineStr">
        <is>
          <t>BG001, BG002, BG004, BG006, BG009</t>
        </is>
      </c>
      <c r="H23" t="inlineStr">
        <is>
          <t>27 Agustus 1999</t>
        </is>
      </c>
      <c r="I23" s="2" t="n">
        <v>46348</v>
      </c>
      <c r="J23" t="inlineStr">
        <is>
          <t>Disetujui</t>
        </is>
      </c>
      <c r="K23" t="n">
        <v>60</v>
      </c>
      <c r="L23" t="inlineStr">
        <is>
          <t>22 November 2026</t>
        </is>
      </c>
      <c r="M23" t="inlineStr">
        <is>
          <t>Konstruksi Gedung Hunian, Konstruksi Gedung Lainnya, Konstruksi Gedung Pendidikan, Konstruksi Gedung Perbelanjaan, Konstruksi Gedung Perkantoran</t>
        </is>
      </c>
      <c r="N23" t="inlineStr">
        <is>
          <t>K</t>
        </is>
      </c>
      <c r="O23" t="inlineStr">
        <is>
          <t>20231018, 20231123</t>
        </is>
      </c>
      <c r="P23" t="inlineStr">
        <is>
          <t>Aceh</t>
        </is>
      </c>
      <c r="Q23" t="inlineStr"/>
    </row>
    <row r="24">
      <c r="A24" t="inlineStr">
        <is>
          <t>AURORA MOUNTAIN</t>
        </is>
      </c>
      <c r="B24" t="inlineStr">
        <is>
          <t>Kab. Kuningan</t>
        </is>
      </c>
      <c r="C24" t="inlineStr">
        <is>
          <t>087782411903</t>
        </is>
      </c>
      <c r="D24" t="inlineStr">
        <is>
          <t>cvauroramountain@gmail.com</t>
        </is>
      </c>
      <c r="E24" t="inlineStr">
        <is>
          <t>https://lpjk.pu.go.id/search-badan-usaha-detail/bzliMzB5eTQ5ckR5cENNZFEwcVBXUT09</t>
        </is>
      </c>
      <c r="F24" t="n">
        <v>5</v>
      </c>
      <c r="G24" t="inlineStr">
        <is>
          <t>BG002, BG006, BG009, BS001, BS004</t>
        </is>
      </c>
      <c r="H24" t="inlineStr">
        <is>
          <t>25 Oktober 2023</t>
        </is>
      </c>
      <c r="I24" s="2" t="n">
        <v>46348</v>
      </c>
      <c r="J24" t="inlineStr">
        <is>
          <t>Pencabutan</t>
        </is>
      </c>
      <c r="K24" t="n">
        <v>60</v>
      </c>
      <c r="L24" t="inlineStr">
        <is>
          <t>22 November 2026</t>
        </is>
      </c>
      <c r="M24" t="inlineStr">
        <is>
          <t>Konstruksi Bangunan Sipil Jalan, Konstruksi Gedung Lainnya, Konstruksi Gedung Pendidikan, Konstruksi Gedung Perkantoran, Konstruksi Jaringan Irigasi dan Drainase</t>
        </is>
      </c>
      <c r="N24" t="inlineStr">
        <is>
          <t>K</t>
        </is>
      </c>
      <c r="O24" t="inlineStr">
        <is>
          <t>20231122, 20231123, 20231124</t>
        </is>
      </c>
      <c r="P24" t="inlineStr">
        <is>
          <t>Jawa Barat</t>
        </is>
      </c>
      <c r="Q24" t="inlineStr"/>
    </row>
    <row r="25">
      <c r="A25" t="inlineStr">
        <is>
          <t>AUTO TRANS JAYA</t>
        </is>
      </c>
      <c r="B25" t="inlineStr">
        <is>
          <t>Kota Semarang</t>
        </is>
      </c>
      <c r="C25" t="inlineStr">
        <is>
          <t>081214799990</t>
        </is>
      </c>
      <c r="D25" t="inlineStr">
        <is>
          <t>ptautotransjaya77@gmail.com</t>
        </is>
      </c>
      <c r="E25" t="inlineStr">
        <is>
          <t>https://lpjk.pu.go.id/search-badan-usaha-detail/eGRwdDRzR083ZmlSYndrQ0dFTE5IQT09</t>
        </is>
      </c>
      <c r="F25" t="n">
        <v>5</v>
      </c>
      <c r="G25" t="inlineStr">
        <is>
          <t>BG001, BG002, BG005, BG006, BG009</t>
        </is>
      </c>
      <c r="H25" t="inlineStr">
        <is>
          <t>27 Juli 2023</t>
        </is>
      </c>
      <c r="I25" s="2" t="n">
        <v>46348</v>
      </c>
      <c r="J25" t="inlineStr">
        <is>
          <t>Disetujui</t>
        </is>
      </c>
      <c r="K25" t="n">
        <v>60</v>
      </c>
      <c r="L25" t="inlineStr">
        <is>
          <t>22 November 2026</t>
        </is>
      </c>
      <c r="M25" t="inlineStr">
        <is>
          <t>Konstruksi Gedung Hunian, Konstruksi Gedung Kesehatan, Konstruksi Gedung Lainnya, Konstruksi Gedung Pendidikan, Konstruksi Gedung Perkantoran</t>
        </is>
      </c>
      <c r="N25" t="inlineStr">
        <is>
          <t>K</t>
        </is>
      </c>
      <c r="O25" t="inlineStr">
        <is>
          <t>20231002, 20231120</t>
        </is>
      </c>
      <c r="P25" t="inlineStr">
        <is>
          <t>Jawa Tengah</t>
        </is>
      </c>
      <c r="Q25" t="inlineStr"/>
    </row>
    <row r="26">
      <c r="A26" t="inlineStr">
        <is>
          <t>AZZAHRA</t>
        </is>
      </c>
      <c r="B26" t="inlineStr">
        <is>
          <t>Kab. Lombok Tengah</t>
        </is>
      </c>
      <c r="C26" t="inlineStr">
        <is>
          <t>87854370517</t>
        </is>
      </c>
      <c r="D26" t="inlineStr">
        <is>
          <t>cvazzahra111@gmail.com</t>
        </is>
      </c>
      <c r="E26" t="inlineStr">
        <is>
          <t>https://lpjk.pu.go.id/search-badan-usaha-detail/MmRIUkdISFdJd2hIRlBWemd3TGdLQT09</t>
        </is>
      </c>
      <c r="F26" t="n">
        <v>2</v>
      </c>
      <c r="G26" t="inlineStr">
        <is>
          <t>BG005, BG006</t>
        </is>
      </c>
      <c r="H26" t="inlineStr">
        <is>
          <t>23 Mei 2016</t>
        </is>
      </c>
      <c r="I26" s="2" t="n">
        <v>46348</v>
      </c>
      <c r="J26" t="inlineStr">
        <is>
          <t>Disetujui</t>
        </is>
      </c>
      <c r="K26" t="n">
        <v>60</v>
      </c>
      <c r="L26" t="inlineStr">
        <is>
          <t>22 November 2026</t>
        </is>
      </c>
      <c r="M26" t="inlineStr">
        <is>
          <t>Konstruksi Gedung Kesehatan, Konstruksi Gedung Pendidikan</t>
        </is>
      </c>
      <c r="N26" t="inlineStr">
        <is>
          <t>K</t>
        </is>
      </c>
      <c r="O26" t="inlineStr">
        <is>
          <t>20231123</t>
        </is>
      </c>
      <c r="P26" t="inlineStr">
        <is>
          <t>Nusa Tenggara Barat</t>
        </is>
      </c>
      <c r="Q26" t="inlineStr"/>
    </row>
    <row r="27">
      <c r="A27" t="inlineStr">
        <is>
          <t>BAKRIE CONSTRUCTION</t>
        </is>
      </c>
      <c r="B27" t="inlineStr">
        <is>
          <t>Kota Adm. Jakarta Selatan</t>
        </is>
      </c>
      <c r="C27" t="inlineStr">
        <is>
          <t>02129912030</t>
        </is>
      </c>
      <c r="D27" t="inlineStr">
        <is>
          <t>legal.bcon@bakrie.co.id</t>
        </is>
      </c>
      <c r="E27" t="inlineStr">
        <is>
          <t>https://lpjk.pu.go.id/search-badan-usaha-detail/NzIrVTlJYmg4MTRWbjVzbFlWcytpZDlxZm1YakxkNElYdkJTVWM2aUFHZz0</t>
        </is>
      </c>
      <c r="F27" t="n">
        <v>2</v>
      </c>
      <c r="G27" t="inlineStr">
        <is>
          <t>ST006</t>
        </is>
      </c>
      <c r="H27" t="inlineStr">
        <is>
          <t>8 Agustus 1985</t>
        </is>
      </c>
      <c r="I27" s="2" t="n">
        <v>46348</v>
      </c>
      <c r="J27" t="inlineStr">
        <is>
          <t>Disetujui</t>
        </is>
      </c>
      <c r="K27" t="n">
        <v>60</v>
      </c>
      <c r="L27" t="inlineStr">
        <is>
          <t>22 November 2026</t>
        </is>
      </c>
      <c r="M27" t="inlineStr">
        <is>
          <t>Konstruksi Bangunan Sipil Minyak dan Gas Bumi</t>
        </is>
      </c>
      <c r="N27" t="inlineStr">
        <is>
          <t>B</t>
        </is>
      </c>
      <c r="O27" t="inlineStr">
        <is>
          <t>20231107</t>
        </is>
      </c>
      <c r="P27" t="inlineStr">
        <is>
          <t>DKI Jakarta</t>
        </is>
      </c>
      <c r="Q27" t="inlineStr"/>
    </row>
    <row r="28">
      <c r="A28" t="inlineStr">
        <is>
          <t>BANGUN ARYA</t>
        </is>
      </c>
      <c r="B28" t="inlineStr">
        <is>
          <t>Kota Serang</t>
        </is>
      </c>
      <c r="C28" t="inlineStr">
        <is>
          <t>081744848962</t>
        </is>
      </c>
      <c r="D28" t="inlineStr">
        <is>
          <t>cv.bangunarya@gmail.com</t>
        </is>
      </c>
      <c r="E28" t="inlineStr">
        <is>
          <t>https://lpjk.pu.go.id/search-badan-usaha-detail/MEtjWVFoeWlJa0VnbEhmOUxFUE95dz09</t>
        </is>
      </c>
      <c r="F28" t="n">
        <v>1</v>
      </c>
      <c r="G28" t="inlineStr">
        <is>
          <t>BG009</t>
        </is>
      </c>
      <c r="H28" t="inlineStr">
        <is>
          <t>28 Januari 2013</t>
        </is>
      </c>
      <c r="I28" s="2" t="n">
        <v>46348</v>
      </c>
      <c r="J28" t="inlineStr">
        <is>
          <t>Disetujui</t>
        </is>
      </c>
      <c r="K28" t="n">
        <v>60</v>
      </c>
      <c r="L28" t="inlineStr">
        <is>
          <t>22 November 2026</t>
        </is>
      </c>
      <c r="M28" t="inlineStr">
        <is>
          <t>Konstruksi Gedung Lainnya</t>
        </is>
      </c>
      <c r="N28" t="inlineStr">
        <is>
          <t>K</t>
        </is>
      </c>
      <c r="O28" t="inlineStr">
        <is>
          <t>20231121</t>
        </is>
      </c>
      <c r="P28" t="inlineStr">
        <is>
          <t>Banten</t>
        </is>
      </c>
      <c r="Q28" t="inlineStr"/>
    </row>
    <row r="29">
      <c r="A29" t="inlineStr">
        <is>
          <t>BANGUN JAYA KHATULISTIWA</t>
        </is>
      </c>
      <c r="B29" t="inlineStr">
        <is>
          <t>Kota Pontianak</t>
        </is>
      </c>
      <c r="C29" t="inlineStr">
        <is>
          <t>08115757997</t>
        </is>
      </c>
      <c r="D29" t="inlineStr">
        <is>
          <t>bjs.bersaudara@gmail.com</t>
        </is>
      </c>
      <c r="E29" t="inlineStr">
        <is>
          <t>https://lpjk.pu.go.id/search-badan-usaha-detail/Vk1TSTN4RkMxNEpKNVB0QW1IakxpZz09</t>
        </is>
      </c>
      <c r="F29" t="n">
        <v>1</v>
      </c>
      <c r="G29" t="inlineStr">
        <is>
          <t>RK002</t>
        </is>
      </c>
      <c r="H29" t="inlineStr">
        <is>
          <t>9 Juli 2020</t>
        </is>
      </c>
      <c r="I29" s="2" t="n">
        <v>46348</v>
      </c>
      <c r="J29" t="inlineStr">
        <is>
          <t>Disetujui</t>
        </is>
      </c>
      <c r="K29" t="n">
        <v>60</v>
      </c>
      <c r="L29" t="inlineStr">
        <is>
          <t>22 November 2026</t>
        </is>
      </c>
      <c r="M29" t="inlineStr">
        <is>
          <t>Jasa Rekayasa Pekerjaan Teknik Sipil Sumber Daya Air</t>
        </is>
      </c>
      <c r="N29" t="inlineStr">
        <is>
          <t>K</t>
        </is>
      </c>
      <c r="O29" t="inlineStr">
        <is>
          <t>20231114</t>
        </is>
      </c>
      <c r="P29" t="inlineStr">
        <is>
          <t>Kalimantan Barat</t>
        </is>
      </c>
      <c r="Q29" t="inlineStr"/>
    </row>
    <row r="30">
      <c r="A30" t="inlineStr">
        <is>
          <t>BANGUN MULTI BERKAT</t>
        </is>
      </c>
      <c r="B30" t="inlineStr">
        <is>
          <t>Kota Medan</t>
        </is>
      </c>
      <c r="C30" t="inlineStr">
        <is>
          <t>08116555589</t>
        </is>
      </c>
      <c r="D30" t="inlineStr">
        <is>
          <t>bmberkat2018@gmail.com</t>
        </is>
      </c>
      <c r="E30" t="inlineStr">
        <is>
          <t>https://lpjk.pu.go.id/search-badan-usaha-detail/RGlGNHBnaERvRC82bE5zTHhHRDdHUT09</t>
        </is>
      </c>
      <c r="F30" t="n">
        <v>1</v>
      </c>
      <c r="G30" t="inlineStr">
        <is>
          <t>BG009</t>
        </is>
      </c>
      <c r="H30" t="inlineStr">
        <is>
          <t>20 November 2017</t>
        </is>
      </c>
      <c r="I30" s="2" t="n">
        <v>46348</v>
      </c>
      <c r="J30" t="inlineStr">
        <is>
          <t>Disetujui</t>
        </is>
      </c>
      <c r="K30" t="n">
        <v>60</v>
      </c>
      <c r="L30" t="inlineStr">
        <is>
          <t>22 November 2026</t>
        </is>
      </c>
      <c r="M30" t="inlineStr">
        <is>
          <t>Konstruksi Gedung Lainnya</t>
        </is>
      </c>
      <c r="N30" t="inlineStr">
        <is>
          <t>K</t>
        </is>
      </c>
      <c r="O30" t="inlineStr">
        <is>
          <t>20231122</t>
        </is>
      </c>
      <c r="P30" t="inlineStr">
        <is>
          <t>Sumatera Utara</t>
        </is>
      </c>
      <c r="Q30" t="inlineStr"/>
    </row>
    <row r="31">
      <c r="A31" t="inlineStr">
        <is>
          <t>BANGUN PILAR MULIA</t>
        </is>
      </c>
      <c r="B31" t="inlineStr">
        <is>
          <t>Kota Surabaya</t>
        </is>
      </c>
      <c r="C31" t="inlineStr">
        <is>
          <t>081313131179</t>
        </is>
      </c>
      <c r="D31" t="inlineStr">
        <is>
          <t>bangunpilarmulia@gmail.com</t>
        </is>
      </c>
      <c r="E31" t="inlineStr">
        <is>
          <t>https://lpjk.pu.go.id/search-badan-usaha-detail/WVM0MWEvcCtBdTVwOEF6K3cydSsvZz09</t>
        </is>
      </c>
      <c r="F31" t="n">
        <v>2</v>
      </c>
      <c r="G31" t="inlineStr">
        <is>
          <t>BG002, BG009</t>
        </is>
      </c>
      <c r="H31" t="inlineStr">
        <is>
          <t>5 Juni 2023</t>
        </is>
      </c>
      <c r="I31" s="2" t="n">
        <v>46348</v>
      </c>
      <c r="J31" t="inlineStr">
        <is>
          <t>Pencabutan</t>
        </is>
      </c>
      <c r="K31" t="n">
        <v>60</v>
      </c>
      <c r="L31" t="inlineStr">
        <is>
          <t>22 November 2026</t>
        </is>
      </c>
      <c r="M31" t="inlineStr">
        <is>
          <t>Konstruksi Gedung Lainnya, Konstruksi Gedung Perkantoran</t>
        </is>
      </c>
      <c r="N31" t="inlineStr">
        <is>
          <t>K</t>
        </is>
      </c>
      <c r="O31" t="inlineStr">
        <is>
          <t>20231116</t>
        </is>
      </c>
      <c r="P31" t="inlineStr">
        <is>
          <t>Jawa Timur</t>
        </is>
      </c>
      <c r="Q31" t="inlineStr"/>
    </row>
    <row r="32">
      <c r="A32" t="inlineStr">
        <is>
          <t>BENING NURAY KONSTRUKSI</t>
        </is>
      </c>
      <c r="B32" t="inlineStr">
        <is>
          <t>Kota Kendari</t>
        </is>
      </c>
      <c r="C32" t="inlineStr">
        <is>
          <t>082259517776</t>
        </is>
      </c>
      <c r="D32" t="inlineStr">
        <is>
          <t>beningnuraykonstruksi@gmail.com</t>
        </is>
      </c>
      <c r="E32" t="inlineStr">
        <is>
          <t>https://lpjk.pu.go.id/search-badan-usaha-detail/SFlwUVhKSzlxMGN2Sm5CNEx2WnYwUT09</t>
        </is>
      </c>
      <c r="F32" t="n">
        <v>2</v>
      </c>
      <c r="G32" t="inlineStr">
        <is>
          <t>BS001, BS010</t>
        </is>
      </c>
      <c r="H32" t="inlineStr">
        <is>
          <t>31 Mei 2023</t>
        </is>
      </c>
      <c r="I32" s="2" t="n">
        <v>46348</v>
      </c>
      <c r="J32" t="inlineStr">
        <is>
          <t>Disetujui</t>
        </is>
      </c>
      <c r="K32" t="n">
        <v>60</v>
      </c>
      <c r="L32" t="inlineStr">
        <is>
          <t>22 November 2026</t>
        </is>
      </c>
      <c r="M32" t="inlineStr">
        <is>
          <t>Konstruksi Bangunan Prasarana Sumber Daya Air, Konstruksi Bangunan Sipil Jalan</t>
        </is>
      </c>
      <c r="N32" t="inlineStr">
        <is>
          <t>K</t>
        </is>
      </c>
      <c r="O32" t="inlineStr">
        <is>
          <t>20231120</t>
        </is>
      </c>
      <c r="P32" t="inlineStr">
        <is>
          <t>Sulawesi Tenggara</t>
        </is>
      </c>
      <c r="Q32" t="inlineStr"/>
    </row>
    <row r="33">
      <c r="A33" t="inlineStr">
        <is>
          <t>BERKAH FATIH BERSAUDARA</t>
        </is>
      </c>
      <c r="B33" t="inlineStr">
        <is>
          <t>Kota Samarinda</t>
        </is>
      </c>
      <c r="C33" t="inlineStr">
        <is>
          <t>085244494794</t>
        </is>
      </c>
      <c r="D33" t="inlineStr">
        <is>
          <t>BERKAHFATIHBERSAUDARA@GMAIL.COM</t>
        </is>
      </c>
      <c r="E33" t="inlineStr">
        <is>
          <t>https://lpjk.pu.go.id/search-badan-usaha-detail/VEtoZ1ZSL3VTY0pCRE15Rm4ya2U5UT09</t>
        </is>
      </c>
      <c r="F33" t="n">
        <v>12</v>
      </c>
      <c r="G33" t="inlineStr">
        <is>
          <t>BG001, BG002, BG009, BS001, BS002, BS004</t>
        </is>
      </c>
      <c r="H33" t="inlineStr">
        <is>
          <t>2 November 2023</t>
        </is>
      </c>
      <c r="I33" s="2" t="n">
        <v>46348</v>
      </c>
      <c r="J33" t="inlineStr">
        <is>
          <t>Disetujui</t>
        </is>
      </c>
      <c r="K33" t="n">
        <v>60</v>
      </c>
      <c r="L33" t="inlineStr">
        <is>
          <t>22 November 2026</t>
        </is>
      </c>
      <c r="M33" t="inlineStr">
        <is>
          <t>Bangunan Sipil Jembatan, Jalan Layang, Fly Over, dan Underpass, Konstruksi Bangunan Sipil Jalan, Konstruksi Gedung Hunian, Konstruksi Gedung Lainnya, Konstruksi Gedung Perkantoran, Konstruksi Jaringan Irigasi dan Drainase</t>
        </is>
      </c>
      <c r="N33" t="inlineStr">
        <is>
          <t>K</t>
        </is>
      </c>
      <c r="O33" t="inlineStr">
        <is>
          <t>20231122</t>
        </is>
      </c>
      <c r="P33" t="inlineStr">
        <is>
          <t>Kalimantan Timur</t>
        </is>
      </c>
      <c r="Q33" t="inlineStr"/>
    </row>
    <row r="34">
      <c r="A34" t="inlineStr">
        <is>
          <t>BERKAH KARYA MANDIRI</t>
        </is>
      </c>
      <c r="B34" t="inlineStr">
        <is>
          <t>Kab. Karanganyar</t>
        </is>
      </c>
      <c r="C34" t="inlineStr">
        <is>
          <t>088220162979</t>
        </is>
      </c>
      <c r="D34" t="inlineStr">
        <is>
          <t>berkahkaryamandiricv11@gmail.com</t>
        </is>
      </c>
      <c r="E34" t="inlineStr">
        <is>
          <t>https://lpjk.pu.go.id/search-badan-usaha-detail/YUpKVndoTmZxUkRMbWtXWXBQcmorZz09</t>
        </is>
      </c>
      <c r="F34" t="n">
        <v>10</v>
      </c>
      <c r="G34" t="inlineStr">
        <is>
          <t>BG005, BG006, BG009, BS001, BS004</t>
        </is>
      </c>
      <c r="H34" t="inlineStr">
        <is>
          <t>2 Februari 2015</t>
        </is>
      </c>
      <c r="I34" s="2" t="n">
        <v>46348</v>
      </c>
      <c r="J34" t="inlineStr">
        <is>
          <t>Disetujui, Pencabutan</t>
        </is>
      </c>
      <c r="K34" t="n">
        <v>60</v>
      </c>
      <c r="L34" t="inlineStr">
        <is>
          <t>22 November 2026</t>
        </is>
      </c>
      <c r="M34" t="inlineStr">
        <is>
          <t>Konstruksi Bangunan Sipil Jalan, Konstruksi Gedung Kesehatan, Konstruksi Gedung Lainnya, Konstruksi Gedung Pendidikan, Konstruksi Jaringan Irigasi dan Drainase</t>
        </is>
      </c>
      <c r="N34" t="inlineStr">
        <is>
          <t>K</t>
        </is>
      </c>
      <c r="O34" t="inlineStr">
        <is>
          <t>20231122, 20231124</t>
        </is>
      </c>
      <c r="P34" t="inlineStr">
        <is>
          <t>Jawa Tengah</t>
        </is>
      </c>
      <c r="Q34" t="inlineStr"/>
    </row>
    <row r="35">
      <c r="A35" t="inlineStr">
        <is>
          <t>BERKAT POLBIN</t>
        </is>
      </c>
      <c r="B35" t="inlineStr">
        <is>
          <t>Kota Pematangsiantar</t>
        </is>
      </c>
      <c r="C35" t="inlineStr">
        <is>
          <t>082163381554</t>
        </is>
      </c>
      <c r="D35" t="inlineStr">
        <is>
          <t>cv.berkatpolbin@gmail.com</t>
        </is>
      </c>
      <c r="E35" t="inlineStr">
        <is>
          <t>https://lpjk.pu.go.id/search-badan-usaha-detail/RWh1UVMyazFuUjQ0ZXc3ME92VVVXUT09</t>
        </is>
      </c>
      <c r="F35" t="n">
        <v>2</v>
      </c>
      <c r="G35" t="inlineStr">
        <is>
          <t>BS004</t>
        </is>
      </c>
      <c r="H35" t="inlineStr">
        <is>
          <t>14 Februari 2023</t>
        </is>
      </c>
      <c r="I35" s="2" t="n">
        <v>46348</v>
      </c>
      <c r="J35" t="inlineStr">
        <is>
          <t>Disetujui</t>
        </is>
      </c>
      <c r="K35" t="n">
        <v>60</v>
      </c>
      <c r="L35" t="inlineStr">
        <is>
          <t>22 November 2026</t>
        </is>
      </c>
      <c r="M35" t="inlineStr">
        <is>
          <t>Konstruksi Jaringan Irigasi dan Drainase</t>
        </is>
      </c>
      <c r="N35" t="inlineStr">
        <is>
          <t>K</t>
        </is>
      </c>
      <c r="O35" t="inlineStr">
        <is>
          <t>20231115</t>
        </is>
      </c>
      <c r="P35" t="inlineStr">
        <is>
          <t>Sumatera Utara</t>
        </is>
      </c>
      <c r="Q35" t="inlineStr"/>
    </row>
    <row r="36">
      <c r="A36" t="inlineStr">
        <is>
          <t>BINTANG BUMI PERKASA</t>
        </is>
      </c>
      <c r="B36" t="inlineStr">
        <is>
          <t>Kab. Pati</t>
        </is>
      </c>
      <c r="C36" t="inlineStr">
        <is>
          <t>081326463900</t>
        </is>
      </c>
      <c r="D36" t="inlineStr">
        <is>
          <t>cv.bintangbumiperkasapati@yahoo.com</t>
        </is>
      </c>
      <c r="E36" t="inlineStr">
        <is>
          <t>https://lpjk.pu.go.id/search-badan-usaha-detail/Z1FCSnFBOGpqZEZnNk9iZHJCcHZ0dz09</t>
        </is>
      </c>
      <c r="F36" t="n">
        <v>2</v>
      </c>
      <c r="G36" t="inlineStr">
        <is>
          <t>BS001</t>
        </is>
      </c>
      <c r="H36" t="inlineStr">
        <is>
          <t>18 Oktober 2013</t>
        </is>
      </c>
      <c r="I36" s="2" t="n">
        <v>46348</v>
      </c>
      <c r="J36" t="inlineStr">
        <is>
          <t>Disetujui</t>
        </is>
      </c>
      <c r="K36" t="n">
        <v>60</v>
      </c>
      <c r="L36" t="inlineStr">
        <is>
          <t>22 November 2026</t>
        </is>
      </c>
      <c r="M36" t="inlineStr">
        <is>
          <t>Konstruksi Bangunan Sipil Jalan</t>
        </is>
      </c>
      <c r="N36" t="inlineStr">
        <is>
          <t>K</t>
        </is>
      </c>
      <c r="O36" t="inlineStr">
        <is>
          <t>20231123</t>
        </is>
      </c>
      <c r="P36" t="inlineStr">
        <is>
          <t>Jawa Tengah</t>
        </is>
      </c>
      <c r="Q36" t="inlineStr"/>
    </row>
    <row r="37">
      <c r="A37" t="inlineStr">
        <is>
          <t>BORNEO JAYA GEMILANG KONSTRUKSI</t>
        </is>
      </c>
      <c r="B37" t="inlineStr">
        <is>
          <t>Kab. Bulungan</t>
        </is>
      </c>
      <c r="C37" t="inlineStr">
        <is>
          <t>082354512884</t>
        </is>
      </c>
      <c r="D37" t="inlineStr">
        <is>
          <t>bjgk2020@gmail.com</t>
        </is>
      </c>
      <c r="E37" t="inlineStr">
        <is>
          <t>https://lpjk.pu.go.id/search-badan-usaha-detail/M3JYSTNGV2RSRUFKRmZOUkYzcHAwUT09</t>
        </is>
      </c>
      <c r="F37" t="n">
        <v>3</v>
      </c>
      <c r="G37" t="inlineStr">
        <is>
          <t>BG003, BG009, IN004</t>
        </is>
      </c>
      <c r="H37" t="inlineStr">
        <is>
          <t>3 Januari 2020</t>
        </is>
      </c>
      <c r="I37" s="2" t="n">
        <v>46348</v>
      </c>
      <c r="J37" t="inlineStr">
        <is>
          <t>Pencabutan</t>
        </is>
      </c>
      <c r="K37" t="n">
        <v>60</v>
      </c>
      <c r="L37" t="inlineStr">
        <is>
          <t>22 November 2026</t>
        </is>
      </c>
      <c r="M37" t="inlineStr">
        <is>
          <t>Instalasi Minyak dan Gas, Konstruksi Gedung Industri, Konstruksi Gedung Lainnya</t>
        </is>
      </c>
      <c r="N37" t="inlineStr">
        <is>
          <t>B, Spesialis</t>
        </is>
      </c>
      <c r="O37" t="inlineStr">
        <is>
          <t>20231116, 20231117, 20231124</t>
        </is>
      </c>
      <c r="P37" t="inlineStr">
        <is>
          <t>Kalimantan Utara</t>
        </is>
      </c>
      <c r="Q37" t="inlineStr"/>
    </row>
    <row r="38">
      <c r="A38" t="inlineStr">
        <is>
          <t>BUMI RAYA INDAH</t>
        </is>
      </c>
      <c r="B38" t="inlineStr">
        <is>
          <t>Kota Samarinda</t>
        </is>
      </c>
      <c r="C38" t="inlineStr">
        <is>
          <t>081217059004</t>
        </is>
      </c>
      <c r="D38" t="inlineStr">
        <is>
          <t>mattsyamsudin84@gmail.com</t>
        </is>
      </c>
      <c r="E38" t="inlineStr">
        <is>
          <t>https://lpjk.pu.go.id/search-badan-usaha-detail/aWdSaWVIV0U1VG55OG5NazFKY0YwQT09</t>
        </is>
      </c>
      <c r="F38" t="n">
        <v>2</v>
      </c>
      <c r="G38" t="inlineStr">
        <is>
          <t>BS001, BS004</t>
        </is>
      </c>
      <c r="H38" t="inlineStr">
        <is>
          <t>31 Desember 2001</t>
        </is>
      </c>
      <c r="I38" s="2" t="n">
        <v>46348</v>
      </c>
      <c r="J38" t="inlineStr">
        <is>
          <t>Pencabutan</t>
        </is>
      </c>
      <c r="K38" t="n">
        <v>60</v>
      </c>
      <c r="L38" t="inlineStr">
        <is>
          <t>22 November 2026</t>
        </is>
      </c>
      <c r="M38" t="inlineStr">
        <is>
          <t>Konstruksi Bangunan Sipil Jalan, Konstruksi Jaringan Irigasi dan Drainase</t>
        </is>
      </c>
      <c r="N38" t="inlineStr">
        <is>
          <t>K</t>
        </is>
      </c>
      <c r="O38" t="inlineStr">
        <is>
          <t>20231120</t>
        </is>
      </c>
      <c r="P38" t="inlineStr">
        <is>
          <t>Kalimantan Timur</t>
        </is>
      </c>
      <c r="Q38" t="inlineStr"/>
    </row>
    <row r="39">
      <c r="A39" t="inlineStr">
        <is>
          <t>BUMINDO MULTICULTURE</t>
        </is>
      </c>
      <c r="B39" t="inlineStr">
        <is>
          <t>Kab. Tanjung Jabung Barat</t>
        </is>
      </c>
      <c r="C39" t="inlineStr">
        <is>
          <t>085266188886</t>
        </is>
      </c>
      <c r="D39" t="inlineStr">
        <is>
          <t>bumindomulticulture2022@gmail.com</t>
        </is>
      </c>
      <c r="E39" t="inlineStr">
        <is>
          <t>https://lpjk.pu.go.id/search-badan-usaha-detail/OEtuczBqS2FUQWd4WUF0RS9ncGQrZz09</t>
        </is>
      </c>
      <c r="F39" t="n">
        <v>2</v>
      </c>
      <c r="G39" t="inlineStr">
        <is>
          <t>BS001</t>
        </is>
      </c>
      <c r="H39" t="inlineStr">
        <is>
          <t>22 April 2022</t>
        </is>
      </c>
      <c r="I39" s="2" t="n">
        <v>46348</v>
      </c>
      <c r="J39" t="inlineStr">
        <is>
          <t>Disetujui</t>
        </is>
      </c>
      <c r="K39" t="n">
        <v>60</v>
      </c>
      <c r="L39" t="inlineStr">
        <is>
          <t>22 November 2026</t>
        </is>
      </c>
      <c r="M39" t="inlineStr">
        <is>
          <t>Konstruksi Bangunan Sipil Jalan</t>
        </is>
      </c>
      <c r="N39" t="inlineStr">
        <is>
          <t>K</t>
        </is>
      </c>
      <c r="O39" t="inlineStr">
        <is>
          <t>20230607</t>
        </is>
      </c>
      <c r="P39" t="inlineStr">
        <is>
          <t>Jambi</t>
        </is>
      </c>
      <c r="Q39" t="inlineStr"/>
    </row>
    <row r="40">
      <c r="A40" t="inlineStr">
        <is>
          <t>CATUR GUNA KARYA</t>
        </is>
      </c>
      <c r="B40" t="inlineStr">
        <is>
          <t>Kab. Cilacap</t>
        </is>
      </c>
      <c r="C40" t="inlineStr">
        <is>
          <t>0282 546634</t>
        </is>
      </c>
      <c r="D40" t="inlineStr">
        <is>
          <t>cv.caturgunakarya@gmail.com</t>
        </is>
      </c>
      <c r="E40" t="inlineStr">
        <is>
          <t>https://lpjk.pu.go.id/search-badan-usaha-detail/VDVBaFE5U0cxbTJVWjlFaWFIbVdNQT09</t>
        </is>
      </c>
      <c r="F40" t="n">
        <v>2</v>
      </c>
      <c r="G40" t="inlineStr">
        <is>
          <t>BS001, BS004</t>
        </is>
      </c>
      <c r="H40" t="inlineStr">
        <is>
          <t>7 Februari 1990</t>
        </is>
      </c>
      <c r="I40" s="2" t="n">
        <v>46348</v>
      </c>
      <c r="J40" t="inlineStr">
        <is>
          <t>Disetujui</t>
        </is>
      </c>
      <c r="K40" t="n">
        <v>60</v>
      </c>
      <c r="L40" t="inlineStr">
        <is>
          <t>22 November 2026</t>
        </is>
      </c>
      <c r="M40" t="inlineStr">
        <is>
          <t>Konstruksi Bangunan Sipil Jalan, Konstruksi Jaringan Irigasi dan Drainase</t>
        </is>
      </c>
      <c r="N40" t="inlineStr">
        <is>
          <t>K</t>
        </is>
      </c>
      <c r="O40" t="inlineStr">
        <is>
          <t>20231121, 20231122</t>
        </is>
      </c>
      <c r="P40" t="inlineStr">
        <is>
          <t>Jawa Tengah</t>
        </is>
      </c>
      <c r="Q40" t="inlineStr"/>
    </row>
    <row r="41">
      <c r="A41" t="inlineStr">
        <is>
          <t>CEMPAKA JAYANINDO</t>
        </is>
      </c>
      <c r="B41" t="inlineStr">
        <is>
          <t>Kota Adm. Jakarta Selatan</t>
        </is>
      </c>
      <c r="C41" t="inlineStr">
        <is>
          <t>02183786076</t>
        </is>
      </c>
      <c r="D41" t="inlineStr">
        <is>
          <t>cempaka_jayanindo@hotmail.com</t>
        </is>
      </c>
      <c r="E41" t="inlineStr">
        <is>
          <t>https://lpjk.pu.go.id/search-badan-usaha-detail/SjQ5WnphRzdhM1VBSGJXL3pYMjBOQT09</t>
        </is>
      </c>
      <c r="F41" t="n">
        <v>1</v>
      </c>
      <c r="G41" t="inlineStr">
        <is>
          <t>BG009</t>
        </is>
      </c>
      <c r="H41" t="inlineStr">
        <is>
          <t>23 Januari 2006</t>
        </is>
      </c>
      <c r="I41" s="2" t="n">
        <v>46348</v>
      </c>
      <c r="J41" t="inlineStr">
        <is>
          <t>Disetujui</t>
        </is>
      </c>
      <c r="K41" t="n">
        <v>60</v>
      </c>
      <c r="L41" t="inlineStr">
        <is>
          <t>22 November 2026</t>
        </is>
      </c>
      <c r="M41" t="inlineStr">
        <is>
          <t>Konstruksi Gedung Lainnya</t>
        </is>
      </c>
      <c r="N41" t="inlineStr">
        <is>
          <t>K</t>
        </is>
      </c>
      <c r="O41" t="inlineStr">
        <is>
          <t>20231025</t>
        </is>
      </c>
      <c r="P41" t="inlineStr">
        <is>
          <t>DKI Jakarta</t>
        </is>
      </c>
      <c r="Q41" t="inlineStr"/>
    </row>
    <row r="42">
      <c r="A42" t="inlineStr">
        <is>
          <t>CV. CINDY</t>
        </is>
      </c>
      <c r="B42" t="inlineStr">
        <is>
          <t>Kota Ambon</t>
        </is>
      </c>
      <c r="C42" t="inlineStr">
        <is>
          <t>082274784181</t>
        </is>
      </c>
      <c r="D42" t="inlineStr">
        <is>
          <t>cvcindy16@gmail.com</t>
        </is>
      </c>
      <c r="E42" t="inlineStr">
        <is>
          <t>https://lpjk.pu.go.id/search-badan-usaha-detail/VmRoUDFZZ1lzY1ZTTExGSnJXZVh3Zz09</t>
        </is>
      </c>
      <c r="F42" t="n">
        <v>2</v>
      </c>
      <c r="G42" t="inlineStr">
        <is>
          <t>BS004, BS010</t>
        </is>
      </c>
      <c r="H42" t="inlineStr">
        <is>
          <t>8 Agustus 1994</t>
        </is>
      </c>
      <c r="I42" s="2" t="n">
        <v>46348</v>
      </c>
      <c r="J42" t="inlineStr">
        <is>
          <t>Disetujui</t>
        </is>
      </c>
      <c r="K42" t="n">
        <v>60</v>
      </c>
      <c r="L42" t="inlineStr">
        <is>
          <t>22 November 2026</t>
        </is>
      </c>
      <c r="M42" t="inlineStr">
        <is>
          <t>Konstruksi Bangunan Prasarana Sumber Daya Air, Konstruksi Jaringan Irigasi dan Drainase</t>
        </is>
      </c>
      <c r="N42" t="inlineStr">
        <is>
          <t>K</t>
        </is>
      </c>
      <c r="O42" t="inlineStr">
        <is>
          <t>20231121</t>
        </is>
      </c>
      <c r="P42" t="inlineStr">
        <is>
          <t>Maluku</t>
        </is>
      </c>
      <c r="Q42" t="inlineStr"/>
    </row>
    <row r="43">
      <c r="A43" t="inlineStr">
        <is>
          <t>DAFFA ALVARO</t>
        </is>
      </c>
      <c r="B43" t="inlineStr">
        <is>
          <t>Kota Singkawang</t>
        </is>
      </c>
      <c r="C43" t="inlineStr">
        <is>
          <t>-</t>
        </is>
      </c>
      <c r="D43" t="inlineStr">
        <is>
          <t>asuhamdi69@gmail.com</t>
        </is>
      </c>
      <c r="E43" t="inlineStr">
        <is>
          <t>https://lpjk.pu.go.id/search-badan-usaha-detail/K094SGhjbDdjd2t4ekRxMVY0RDVyZz09</t>
        </is>
      </c>
      <c r="F43" t="n">
        <v>2</v>
      </c>
      <c r="G43" t="inlineStr">
        <is>
          <t>BS004</t>
        </is>
      </c>
      <c r="H43" t="inlineStr">
        <is>
          <t>10 Januari 2014</t>
        </is>
      </c>
      <c r="I43" s="2" t="n">
        <v>46348</v>
      </c>
      <c r="J43" t="inlineStr">
        <is>
          <t>Disetujui</t>
        </is>
      </c>
      <c r="K43" t="n">
        <v>60</v>
      </c>
      <c r="L43" t="inlineStr">
        <is>
          <t>22 November 2026</t>
        </is>
      </c>
      <c r="M43" t="inlineStr">
        <is>
          <t>Konstruksi Jaringan Irigasi dan Drainase</t>
        </is>
      </c>
      <c r="N43" t="inlineStr">
        <is>
          <t>K</t>
        </is>
      </c>
      <c r="O43" t="inlineStr">
        <is>
          <t>20231123</t>
        </is>
      </c>
      <c r="P43" t="inlineStr">
        <is>
          <t>Kalimantan Barat</t>
        </is>
      </c>
      <c r="Q43" t="inlineStr"/>
    </row>
    <row r="44">
      <c r="A44" t="inlineStr">
        <is>
          <t>DAKSA RESWARA PRAKASA</t>
        </is>
      </c>
      <c r="B44" t="inlineStr">
        <is>
          <t>Kota Palangkaraya</t>
        </is>
      </c>
      <c r="C44" t="inlineStr">
        <is>
          <t>082153943930</t>
        </is>
      </c>
      <c r="D44" t="inlineStr">
        <is>
          <t>cv.daksareswaraprakasa@gmail.com</t>
        </is>
      </c>
      <c r="E44" t="inlineStr">
        <is>
          <t>https://lpjk.pu.go.id/search-badan-usaha-detail/OVJmQllJbEUvaEkwTFQ5SzJEcGR5UT09</t>
        </is>
      </c>
      <c r="F44" t="n">
        <v>3</v>
      </c>
      <c r="G44" t="inlineStr">
        <is>
          <t>AR001, AR002, RK001</t>
        </is>
      </c>
      <c r="H44" t="inlineStr">
        <is>
          <t>12 Mei 2022</t>
        </is>
      </c>
      <c r="I44" s="2" t="n">
        <v>46348</v>
      </c>
      <c r="J44" t="inlineStr">
        <is>
          <t>Disetujui</t>
        </is>
      </c>
      <c r="K44" t="n">
        <v>60</v>
      </c>
      <c r="L44" t="inlineStr">
        <is>
          <t>22 November 2026</t>
        </is>
      </c>
      <c r="M44" t="inlineStr">
        <is>
          <t>Jasa Arsitektural Bangunan Gedung Hunian dan Non Hunian, Jasa Arsitektural Lainnya, Jasa Rekayasa Konstruksi Bangunan Gedung Hunian dan Non Hunian</t>
        </is>
      </c>
      <c r="N44" t="inlineStr">
        <is>
          <t>K</t>
        </is>
      </c>
      <c r="O44" t="inlineStr">
        <is>
          <t>20231110</t>
        </is>
      </c>
      <c r="P44" t="inlineStr">
        <is>
          <t>Kalimantan Tengah</t>
        </is>
      </c>
      <c r="Q44" t="inlineStr"/>
    </row>
    <row r="45">
      <c r="A45" t="inlineStr">
        <is>
          <t>DEKA JAYA PRATAMA</t>
        </is>
      </c>
      <c r="B45" t="inlineStr">
        <is>
          <t>Kab. Sukoharjo</t>
        </is>
      </c>
      <c r="C45" t="inlineStr">
        <is>
          <t>0857 4002 0023</t>
        </is>
      </c>
      <c r="D45" t="inlineStr">
        <is>
          <t>pratamadekajaya@gmail.com</t>
        </is>
      </c>
      <c r="E45" t="inlineStr">
        <is>
          <t>https://lpjk.pu.go.id/search-badan-usaha-detail/LzFXRXdtMUlsdHF0L0hISnZqMGZuZz09</t>
        </is>
      </c>
      <c r="F45" t="n">
        <v>1</v>
      </c>
      <c r="G45" t="inlineStr">
        <is>
          <t>BS001</t>
        </is>
      </c>
      <c r="H45" t="inlineStr">
        <is>
          <t>1 Januari 2018</t>
        </is>
      </c>
      <c r="I45" s="2" t="n">
        <v>46348</v>
      </c>
      <c r="J45" t="inlineStr">
        <is>
          <t>Disetujui</t>
        </is>
      </c>
      <c r="K45" t="n">
        <v>60</v>
      </c>
      <c r="L45" t="inlineStr">
        <is>
          <t>22 November 2026</t>
        </is>
      </c>
      <c r="M45" t="inlineStr">
        <is>
          <t>Konstruksi Bangunan Sipil Jalan</t>
        </is>
      </c>
      <c r="N45" t="inlineStr">
        <is>
          <t>K</t>
        </is>
      </c>
      <c r="O45" t="inlineStr">
        <is>
          <t>20231030</t>
        </is>
      </c>
      <c r="P45" t="inlineStr">
        <is>
          <t>Jawa Tengah</t>
        </is>
      </c>
      <c r="Q45" t="inlineStr"/>
    </row>
    <row r="46">
      <c r="A46" t="inlineStr">
        <is>
          <t>DIAN SARANA</t>
        </is>
      </c>
      <c r="B46" t="inlineStr">
        <is>
          <t>Kab. Kuningan</t>
        </is>
      </c>
      <c r="C46" t="inlineStr">
        <is>
          <t>08112244050</t>
        </is>
      </c>
      <c r="D46" t="inlineStr">
        <is>
          <t>gm.winduhaji@yahoo.co.id</t>
        </is>
      </c>
      <c r="E46" t="inlineStr">
        <is>
          <t>https://lpjk.pu.go.id/search-badan-usaha-detail/OEE0d2wxNjVMdkN5SDFWcklNZk00dz09</t>
        </is>
      </c>
      <c r="F46" t="n">
        <v>1</v>
      </c>
      <c r="G46" t="inlineStr">
        <is>
          <t>BS005</t>
        </is>
      </c>
      <c r="H46" t="inlineStr">
        <is>
          <t>16 Februari 1987</t>
        </is>
      </c>
      <c r="I46" s="2" t="n">
        <v>46348</v>
      </c>
      <c r="J46" t="inlineStr">
        <is>
          <t>Disetujui</t>
        </is>
      </c>
      <c r="K46" t="n">
        <v>60</v>
      </c>
      <c r="L46" t="inlineStr">
        <is>
          <t>22 November 2026</t>
        </is>
      </c>
      <c r="M46" t="inlineStr">
        <is>
          <t>Konstruksi Bangunan Sipil Pengolahan Air Bersih</t>
        </is>
      </c>
      <c r="N46" t="inlineStr">
        <is>
          <t>K</t>
        </is>
      </c>
      <c r="O46" t="inlineStr">
        <is>
          <t>20231121</t>
        </is>
      </c>
      <c r="P46" t="inlineStr">
        <is>
          <t>Jawa Barat</t>
        </is>
      </c>
      <c r="Q46" t="inlineStr"/>
    </row>
    <row r="47">
      <c r="A47" t="inlineStr">
        <is>
          <t>DORO SANOLO</t>
        </is>
      </c>
      <c r="B47" t="inlineStr">
        <is>
          <t>Kota Bima</t>
        </is>
      </c>
      <c r="C47" t="inlineStr">
        <is>
          <t>081339783777</t>
        </is>
      </c>
      <c r="D47" t="inlineStr">
        <is>
          <t>dorosanolocv@gmail.com</t>
        </is>
      </c>
      <c r="E47" t="inlineStr">
        <is>
          <t>https://lpjk.pu.go.id/search-badan-usaha-detail/WVpKUk9TaGZLRnRlM2MzZERiQVZIZz09</t>
        </is>
      </c>
      <c r="F47" t="n">
        <v>1</v>
      </c>
      <c r="G47" t="inlineStr">
        <is>
          <t>BG008</t>
        </is>
      </c>
      <c r="H47" t="inlineStr">
        <is>
          <t>13 Februari 2023</t>
        </is>
      </c>
      <c r="I47" s="2" t="n">
        <v>46348</v>
      </c>
      <c r="J47" t="inlineStr">
        <is>
          <t>Disetujui</t>
        </is>
      </c>
      <c r="K47" t="n">
        <v>60</v>
      </c>
      <c r="L47" t="inlineStr">
        <is>
          <t>22 November 2026</t>
        </is>
      </c>
      <c r="M47" t="inlineStr">
        <is>
          <t>Konstruksi Gedung Tempat Hiburan dan Olahraga</t>
        </is>
      </c>
      <c r="N47" t="inlineStr">
        <is>
          <t>K</t>
        </is>
      </c>
      <c r="O47" t="inlineStr">
        <is>
          <t>20231123</t>
        </is>
      </c>
      <c r="P47" t="inlineStr">
        <is>
          <t>Nusa Tenggara Barat</t>
        </is>
      </c>
      <c r="Q47" t="inlineStr"/>
    </row>
    <row r="48">
      <c r="A48" t="inlineStr">
        <is>
          <t>EKATAMA MEGAH KONSTRUKSI</t>
        </is>
      </c>
      <c r="B48" t="inlineStr">
        <is>
          <t>Kab. Sumbawa</t>
        </is>
      </c>
      <c r="C48" t="inlineStr">
        <is>
          <t>081917617147</t>
        </is>
      </c>
      <c r="D48" t="inlineStr">
        <is>
          <t>pt.emk2017@gmail.com</t>
        </is>
      </c>
      <c r="E48" t="inlineStr">
        <is>
          <t>https://lpjk.pu.go.id/search-badan-usaha-detail/d1UzTmlzb2pPUFg2d3ArdkZMVXlrdz09</t>
        </is>
      </c>
      <c r="F48" t="n">
        <v>2</v>
      </c>
      <c r="G48" t="inlineStr">
        <is>
          <t>BS001, BS002</t>
        </is>
      </c>
      <c r="H48" t="inlineStr">
        <is>
          <t>21 Desember 2016</t>
        </is>
      </c>
      <c r="I48" s="2" t="n">
        <v>46348</v>
      </c>
      <c r="J48" t="inlineStr">
        <is>
          <t>Disetujui</t>
        </is>
      </c>
      <c r="K48" t="n">
        <v>60</v>
      </c>
      <c r="L48" t="inlineStr">
        <is>
          <t>22 November 2026</t>
        </is>
      </c>
      <c r="M48" t="inlineStr">
        <is>
          <t>Bangunan Sipil Jembatan, Jalan Layang, Fly Over, dan Underpass, Konstruksi Bangunan Sipil Jalan</t>
        </is>
      </c>
      <c r="N48" t="inlineStr">
        <is>
          <t>K</t>
        </is>
      </c>
      <c r="O48" t="inlineStr">
        <is>
          <t>20231120</t>
        </is>
      </c>
      <c r="P48" t="inlineStr">
        <is>
          <t>Nusa Tenggara Barat</t>
        </is>
      </c>
      <c r="Q48" t="inlineStr"/>
    </row>
    <row r="49">
      <c r="A49" t="inlineStr">
        <is>
          <t>ELANG EKA PERKASA</t>
        </is>
      </c>
      <c r="B49" t="inlineStr">
        <is>
          <t>Kab. Tegal</t>
        </is>
      </c>
      <c r="C49" t="inlineStr">
        <is>
          <t>081224240812</t>
        </is>
      </c>
      <c r="D49" t="inlineStr">
        <is>
          <t>pt.elangekaperkasa@gmail.com</t>
        </is>
      </c>
      <c r="E49" t="inlineStr">
        <is>
          <t>https://lpjk.pu.go.id/search-badan-usaha-detail/ZExIS0NzNE9uWFFvWWZHSWlpb1JvZz09</t>
        </is>
      </c>
      <c r="F49" t="n">
        <v>10</v>
      </c>
      <c r="G49" t="inlineStr">
        <is>
          <t>BG001, BG002, BG003, BG004, BG009</t>
        </is>
      </c>
      <c r="H49" t="inlineStr">
        <is>
          <t>16 Oktober 2023</t>
        </is>
      </c>
      <c r="I49" s="2" t="n">
        <v>46348</v>
      </c>
      <c r="J49" t="inlineStr">
        <is>
          <t>Disetujui</t>
        </is>
      </c>
      <c r="K49" t="n">
        <v>60</v>
      </c>
      <c r="L49" t="inlineStr">
        <is>
          <t>22 November 2026</t>
        </is>
      </c>
      <c r="M49" t="inlineStr">
        <is>
          <t>Konstruksi Gedung Hunian, Konstruksi Gedung Industri, Konstruksi Gedung Lainnya, Konstruksi Gedung Perbelanjaan, Konstruksi Gedung Perkantoran</t>
        </is>
      </c>
      <c r="N49" t="inlineStr">
        <is>
          <t>K</t>
        </is>
      </c>
      <c r="O49" t="inlineStr">
        <is>
          <t>20231109, 20231110</t>
        </is>
      </c>
      <c r="P49" t="inlineStr">
        <is>
          <t>Jawa Tengah</t>
        </is>
      </c>
      <c r="Q49" t="inlineStr"/>
    </row>
    <row r="50">
      <c r="A50" t="inlineStr">
        <is>
          <t>ELTRAN INDONESIA</t>
        </is>
      </c>
      <c r="B50" t="inlineStr">
        <is>
          <t>Kota Bandung</t>
        </is>
      </c>
      <c r="C50" t="inlineStr">
        <is>
          <t>02273517098</t>
        </is>
      </c>
      <c r="D50" t="inlineStr">
        <is>
          <t>marketing@eltran.co.id</t>
        </is>
      </c>
      <c r="E50" t="inlineStr">
        <is>
          <t>https://lpjk.pu.go.id/search-badan-usaha-detail/cGNYemM3UTMweEpxbWJvOFh5cHcwZz09</t>
        </is>
      </c>
      <c r="F50" t="n">
        <v>2</v>
      </c>
      <c r="G50" t="inlineStr">
        <is>
          <t>BG009, BS009</t>
        </is>
      </c>
      <c r="H50" t="inlineStr">
        <is>
          <t>24 Mei 1997</t>
        </is>
      </c>
      <c r="I50" s="2" t="n">
        <v>46348</v>
      </c>
      <c r="J50" t="inlineStr">
        <is>
          <t>Pembekuan</t>
        </is>
      </c>
      <c r="K50" t="n">
        <v>60</v>
      </c>
      <c r="L50" t="inlineStr">
        <is>
          <t>22 November 2026</t>
        </is>
      </c>
      <c r="M50" t="inlineStr">
        <is>
          <t>Konstruksi Gedung Lainnya, Konstruksi Sentral Telekomunikasi</t>
        </is>
      </c>
      <c r="N50" t="inlineStr">
        <is>
          <t>B</t>
        </is>
      </c>
      <c r="O50" t="inlineStr">
        <is>
          <t>20231122</t>
        </is>
      </c>
      <c r="P50" t="inlineStr">
        <is>
          <t>Jawa Barat</t>
        </is>
      </c>
      <c r="Q50" t="inlineStr"/>
    </row>
    <row r="51">
      <c r="A51" t="inlineStr">
        <is>
          <t>ELVANNARA DWIDAYA SAKTI</t>
        </is>
      </c>
      <c r="B51" t="inlineStr">
        <is>
          <t>Kab. Cirebon</t>
        </is>
      </c>
      <c r="C51" t="inlineStr">
        <is>
          <t>08122340328</t>
        </is>
      </c>
      <c r="D51" t="inlineStr">
        <is>
          <t>elvannara.ds@gmail.com</t>
        </is>
      </c>
      <c r="E51" t="inlineStr">
        <is>
          <t>https://lpjk.pu.go.id/search-badan-usaha-detail/dTNRTm9lWVB4T1lnbXUvaUUraFBRQT09</t>
        </is>
      </c>
      <c r="F51" t="n">
        <v>2</v>
      </c>
      <c r="G51" t="inlineStr">
        <is>
          <t>BG004, BG005</t>
        </is>
      </c>
      <c r="H51" t="inlineStr">
        <is>
          <t>15 Januari 2021</t>
        </is>
      </c>
      <c r="I51" s="2" t="n">
        <v>46348</v>
      </c>
      <c r="J51" t="inlineStr">
        <is>
          <t>Disetujui</t>
        </is>
      </c>
      <c r="K51" t="n">
        <v>60</v>
      </c>
      <c r="L51" t="inlineStr">
        <is>
          <t>22 November 2026</t>
        </is>
      </c>
      <c r="M51" t="inlineStr">
        <is>
          <t>Konstruksi Gedung Kesehatan, Konstruksi Gedung Perbelanjaan</t>
        </is>
      </c>
      <c r="N51" t="inlineStr">
        <is>
          <t>K</t>
        </is>
      </c>
      <c r="O51" t="inlineStr">
        <is>
          <t>20231122</t>
        </is>
      </c>
      <c r="P51" t="inlineStr">
        <is>
          <t>Jawa Barat</t>
        </is>
      </c>
      <c r="Q51" t="inlineStr"/>
    </row>
    <row r="52">
      <c r="A52" t="inlineStr">
        <is>
          <t>FAZA PERSADA INDONESIA</t>
        </is>
      </c>
      <c r="B52" t="inlineStr">
        <is>
          <t>Kab. Bandung Barat</t>
        </is>
      </c>
      <c r="C52" t="inlineStr">
        <is>
          <t>0816627455</t>
        </is>
      </c>
      <c r="D52" t="inlineStr">
        <is>
          <t>pt.faza.persada@gmail.com</t>
        </is>
      </c>
      <c r="E52" t="inlineStr">
        <is>
          <t>https://lpjk.pu.go.id/search-badan-usaha-detail/VGhldWMyMStaTlZCb1UrUTJvN0txdz09</t>
        </is>
      </c>
      <c r="F52" t="n">
        <v>2</v>
      </c>
      <c r="G52" t="inlineStr">
        <is>
          <t>BS001, BS004</t>
        </is>
      </c>
      <c r="H52" t="inlineStr">
        <is>
          <t>15 Desember 2015</t>
        </is>
      </c>
      <c r="I52" s="2" t="n">
        <v>46348</v>
      </c>
      <c r="J52" t="inlineStr">
        <is>
          <t>Disetujui</t>
        </is>
      </c>
      <c r="K52" t="n">
        <v>60</v>
      </c>
      <c r="L52" t="inlineStr">
        <is>
          <t>22 November 2026</t>
        </is>
      </c>
      <c r="M52" t="inlineStr">
        <is>
          <t>Konstruksi Bangunan Sipil Jalan, Konstruksi Jaringan Irigasi dan Drainase</t>
        </is>
      </c>
      <c r="N52" t="inlineStr">
        <is>
          <t>K</t>
        </is>
      </c>
      <c r="O52" t="inlineStr">
        <is>
          <t>20231114, 20231121</t>
        </is>
      </c>
      <c r="P52" t="inlineStr">
        <is>
          <t>Jawa Barat</t>
        </is>
      </c>
      <c r="Q52" t="inlineStr"/>
    </row>
    <row r="53">
      <c r="A53" t="inlineStr">
        <is>
          <t>GALIH PERKASA</t>
        </is>
      </c>
      <c r="B53" t="inlineStr">
        <is>
          <t>Kab. Jombang</t>
        </is>
      </c>
      <c r="C53" t="inlineStr">
        <is>
          <t>082245897453</t>
        </is>
      </c>
      <c r="D53" t="inlineStr">
        <is>
          <t>cvgalih27@gmail.com</t>
        </is>
      </c>
      <c r="E53" t="inlineStr">
        <is>
          <t>https://lpjk.pu.go.id/search-badan-usaha-detail/RXYxczVoM3NPOFpvRlljcXdkb1VQdz09</t>
        </is>
      </c>
      <c r="F53" t="n">
        <v>2</v>
      </c>
      <c r="G53" t="inlineStr">
        <is>
          <t>BS001</t>
        </is>
      </c>
      <c r="H53" t="inlineStr">
        <is>
          <t>19 Mei 1992</t>
        </is>
      </c>
      <c r="I53" s="2" t="n">
        <v>46348</v>
      </c>
      <c r="J53" t="inlineStr">
        <is>
          <t>Disetujui</t>
        </is>
      </c>
      <c r="K53" t="n">
        <v>60</v>
      </c>
      <c r="L53" t="inlineStr">
        <is>
          <t>22 November 2026</t>
        </is>
      </c>
      <c r="M53" t="inlineStr">
        <is>
          <t>Konstruksi Bangunan Sipil Jalan</t>
        </is>
      </c>
      <c r="N53" t="inlineStr">
        <is>
          <t>K</t>
        </is>
      </c>
      <c r="O53" t="inlineStr">
        <is>
          <t>20231123</t>
        </is>
      </c>
      <c r="P53" t="inlineStr">
        <is>
          <t>Jawa Timur</t>
        </is>
      </c>
      <c r="Q53" t="inlineStr"/>
    </row>
    <row r="54">
      <c r="A54" t="inlineStr">
        <is>
          <t>GARUDA MAS SAKTI</t>
        </is>
      </c>
      <c r="B54" t="inlineStr">
        <is>
          <t>Kota Medan</t>
        </is>
      </c>
      <c r="C54" t="inlineStr">
        <is>
          <t>081260318668</t>
        </is>
      </c>
      <c r="D54" t="inlineStr">
        <is>
          <t>gmassakti@gmail.com</t>
        </is>
      </c>
      <c r="E54" t="inlineStr">
        <is>
          <t>https://lpjk.pu.go.id/search-badan-usaha-detail/RGhEOFNvUklBVEoxNkVraDhaWXRZUT09</t>
        </is>
      </c>
      <c r="F54" t="n">
        <v>2</v>
      </c>
      <c r="G54" t="inlineStr">
        <is>
          <t>IN001, IN013</t>
        </is>
      </c>
      <c r="H54" t="inlineStr">
        <is>
          <t>18 Oktober 1995</t>
        </is>
      </c>
      <c r="I54" s="2" t="n">
        <v>46348</v>
      </c>
      <c r="J54" t="inlineStr">
        <is>
          <t>Pembekuan</t>
        </is>
      </c>
      <c r="K54" t="n">
        <v>60</v>
      </c>
      <c r="L54" t="inlineStr">
        <is>
          <t>22 November 2026</t>
        </is>
      </c>
      <c r="M54" t="inlineStr">
        <is>
          <t>Instalasi Mekanikal, Instalasi Pemanas dan Geotermal</t>
        </is>
      </c>
      <c r="N54" t="inlineStr">
        <is>
          <t>Spesialis</t>
        </is>
      </c>
      <c r="O54" t="inlineStr">
        <is>
          <t>20231122</t>
        </is>
      </c>
      <c r="P54" t="inlineStr">
        <is>
          <t>Sumatera Utara</t>
        </is>
      </c>
      <c r="Q54" t="inlineStr"/>
    </row>
    <row r="55">
      <c r="A55" t="inlineStr">
        <is>
          <t>GRAHA SAFIRA</t>
        </is>
      </c>
      <c r="B55" t="inlineStr">
        <is>
          <t>Kab. Pemalang</t>
        </is>
      </c>
      <c r="C55" t="inlineStr">
        <is>
          <t>081328722953</t>
        </is>
      </c>
      <c r="D55" t="inlineStr">
        <is>
          <t>grahasafira.cv@gmail.com</t>
        </is>
      </c>
      <c r="E55" t="inlineStr">
        <is>
          <t>https://lpjk.pu.go.id/search-badan-usaha-detail/YmpueXlYNkxyVmo4WGpCNE8yZTN0QT09</t>
        </is>
      </c>
      <c r="F55" t="n">
        <v>1</v>
      </c>
      <c r="G55" t="inlineStr">
        <is>
          <t>RK005</t>
        </is>
      </c>
      <c r="H55" t="inlineStr">
        <is>
          <t>24 Februari 2004</t>
        </is>
      </c>
      <c r="I55" s="2" t="n">
        <v>46348</v>
      </c>
      <c r="J55" t="inlineStr">
        <is>
          <t>Pencabutan</t>
        </is>
      </c>
      <c r="K55" t="n">
        <v>60</v>
      </c>
      <c r="L55" t="inlineStr">
        <is>
          <t>22 November 2026</t>
        </is>
      </c>
      <c r="M55" t="inlineStr">
        <is>
          <t>Jasa Rekayasa Lainnya</t>
        </is>
      </c>
      <c r="N55" t="inlineStr">
        <is>
          <t>K</t>
        </is>
      </c>
      <c r="O55" t="inlineStr">
        <is>
          <t>20231116</t>
        </is>
      </c>
      <c r="P55" t="inlineStr">
        <is>
          <t>Jawa Tengah</t>
        </is>
      </c>
      <c r="Q55" t="inlineStr"/>
    </row>
    <row r="56">
      <c r="A56" t="inlineStr">
        <is>
          <t>HANA RIZKYA</t>
        </is>
      </c>
      <c r="B56" t="inlineStr">
        <is>
          <t>Kab. Tapin</t>
        </is>
      </c>
      <c r="C56" t="inlineStr">
        <is>
          <t>085250913069</t>
        </is>
      </c>
      <c r="D56" t="inlineStr">
        <is>
          <t>cv.hanarizkya@gmail.com</t>
        </is>
      </c>
      <c r="E56" t="inlineStr">
        <is>
          <t>https://lpjk.pu.go.id/search-badan-usaha-detail/ZFVOUVNTSWtXYVV4WTR3Q2dEU0phZz09</t>
        </is>
      </c>
      <c r="F56" t="n">
        <v>3</v>
      </c>
      <c r="G56" t="inlineStr">
        <is>
          <t>BG009, BS001, BS004</t>
        </is>
      </c>
      <c r="H56" t="inlineStr">
        <is>
          <t>6 November 2024</t>
        </is>
      </c>
      <c r="I56" s="2" t="n">
        <v>46348</v>
      </c>
      <c r="J56" t="inlineStr">
        <is>
          <t>Disetujui, Pencabutan</t>
        </is>
      </c>
      <c r="K56" t="n">
        <v>60</v>
      </c>
      <c r="L56" t="inlineStr">
        <is>
          <t>22 November 2026</t>
        </is>
      </c>
      <c r="M56" t="inlineStr">
        <is>
          <t>Konstruksi Bangunan Sipil Jalan, Konstruksi Gedung Lainnya, Konstruksi Jaringan Irigasi dan Drainase</t>
        </is>
      </c>
      <c r="N56" t="inlineStr">
        <is>
          <t>K</t>
        </is>
      </c>
      <c r="O56" t="inlineStr">
        <is>
          <t>20231122</t>
        </is>
      </c>
      <c r="P56" t="inlineStr">
        <is>
          <t>Kalimantan Selatan</t>
        </is>
      </c>
      <c r="Q56" t="inlineStr"/>
    </row>
    <row r="57">
      <c r="A57" t="inlineStr">
        <is>
          <t>HEKAL PRATAMA BOR</t>
        </is>
      </c>
      <c r="B57" t="inlineStr">
        <is>
          <t>Kab. Kaur</t>
        </is>
      </c>
      <c r="C57" t="inlineStr">
        <is>
          <t>0</t>
        </is>
      </c>
      <c r="D57" t="inlineStr">
        <is>
          <t>herikuspi@yahoo.com</t>
        </is>
      </c>
      <c r="E57" t="inlineStr">
        <is>
          <t>https://lpjk.pu.go.id/search-badan-usaha-detail/Z01nLzJWN0xIUXRnWExydVBXNjZTQT09</t>
        </is>
      </c>
      <c r="F57" t="n">
        <v>1</v>
      </c>
      <c r="G57" t="inlineStr">
        <is>
          <t>PL005</t>
        </is>
      </c>
      <c r="H57" t="inlineStr">
        <is>
          <t>5 April 2020</t>
        </is>
      </c>
      <c r="I57" s="2" t="n">
        <v>46348</v>
      </c>
      <c r="J57" t="inlineStr">
        <is>
          <t>Disetujui</t>
        </is>
      </c>
      <c r="K57" t="n">
        <v>60</v>
      </c>
      <c r="L57" t="inlineStr">
        <is>
          <t>22 November 2026</t>
        </is>
      </c>
      <c r="M57" t="inlineStr">
        <is>
          <t>Pembuatan/Pengeboran Sumur Air Tanah</t>
        </is>
      </c>
      <c r="N57" t="inlineStr">
        <is>
          <t>Spesialis</t>
        </is>
      </c>
      <c r="O57" t="inlineStr">
        <is>
          <t>20231113</t>
        </is>
      </c>
      <c r="P57" t="inlineStr">
        <is>
          <t>Bengkulu</t>
        </is>
      </c>
      <c r="Q57" t="inlineStr"/>
    </row>
    <row r="58">
      <c r="A58" t="inlineStr">
        <is>
          <t>INTAN BATODUO</t>
        </is>
      </c>
      <c r="B58" t="inlineStr">
        <is>
          <t>Kab. Kampar</t>
        </is>
      </c>
      <c r="C58" t="inlineStr">
        <is>
          <t>085210319985</t>
        </is>
      </c>
      <c r="D58" t="inlineStr">
        <is>
          <t>cv.intanbatoduo@yahoo.com</t>
        </is>
      </c>
      <c r="E58" t="inlineStr">
        <is>
          <t>https://lpjk.pu.go.id/search-badan-usaha-detail/ZXhSdjUyRjlSdnV2UVRWdGtmcnV0dz09</t>
        </is>
      </c>
      <c r="F58" t="n">
        <v>1</v>
      </c>
      <c r="G58" t="inlineStr">
        <is>
          <t>PB010</t>
        </is>
      </c>
      <c r="H58" t="inlineStr">
        <is>
          <t>19 Desember 2014</t>
        </is>
      </c>
      <c r="I58" s="2" t="n">
        <v>46348</v>
      </c>
      <c r="J58" t="inlineStr">
        <is>
          <t>Pencabutan</t>
        </is>
      </c>
      <c r="K58" t="n">
        <v>60</v>
      </c>
      <c r="L58" t="inlineStr">
        <is>
          <t>22 November 2026</t>
        </is>
      </c>
      <c r="M58" t="inlineStr">
        <is>
          <t>Pekerjaan Lanskap, Pertamanan, dan Penanaman Vegetasi</t>
        </is>
      </c>
      <c r="N58" t="inlineStr">
        <is>
          <t>Spesialis</t>
        </is>
      </c>
      <c r="O58" t="inlineStr">
        <is>
          <t>20231122</t>
        </is>
      </c>
      <c r="P58" t="inlineStr">
        <is>
          <t>Riau</t>
        </is>
      </c>
      <c r="Q58" t="inlineStr"/>
    </row>
    <row r="59">
      <c r="A59" t="inlineStr">
        <is>
          <t>ISTIQOMAH</t>
        </is>
      </c>
      <c r="B59" t="inlineStr">
        <is>
          <t>Kab. Deli Serdang</t>
        </is>
      </c>
      <c r="C59" t="inlineStr">
        <is>
          <t>085345498800</t>
        </is>
      </c>
      <c r="D59" t="inlineStr">
        <is>
          <t>cvistiqomah0202@gmail.com</t>
        </is>
      </c>
      <c r="E59" t="inlineStr">
        <is>
          <t>https://lpjk.pu.go.id/search-badan-usaha-detail/WTdISnBFVUZMWDUyOHJnMlpzRjUydz09</t>
        </is>
      </c>
      <c r="F59" t="n">
        <v>2</v>
      </c>
      <c r="G59" t="inlineStr">
        <is>
          <t>BG005</t>
        </is>
      </c>
      <c r="H59" t="inlineStr">
        <is>
          <t>14 Februari 2017</t>
        </is>
      </c>
      <c r="I59" s="2" t="n">
        <v>46348</v>
      </c>
      <c r="J59" t="inlineStr">
        <is>
          <t>Pencabutan</t>
        </is>
      </c>
      <c r="K59" t="n">
        <v>60</v>
      </c>
      <c r="L59" t="inlineStr">
        <is>
          <t>22 November 2026</t>
        </is>
      </c>
      <c r="M59" t="inlineStr">
        <is>
          <t>Konstruksi Gedung Kesehatan</t>
        </is>
      </c>
      <c r="N59" t="inlineStr">
        <is>
          <t>K</t>
        </is>
      </c>
      <c r="O59" t="inlineStr">
        <is>
          <t>20231110</t>
        </is>
      </c>
      <c r="P59" t="inlineStr">
        <is>
          <t>Sumatera Utara</t>
        </is>
      </c>
      <c r="Q59" t="inlineStr"/>
    </row>
    <row r="60">
      <c r="A60" t="inlineStr">
        <is>
          <t>JAGAD BANYU NETES</t>
        </is>
      </c>
      <c r="B60" t="inlineStr">
        <is>
          <t>Kab. Klaten</t>
        </is>
      </c>
      <c r="C60" t="inlineStr">
        <is>
          <t>081227809279</t>
        </is>
      </c>
      <c r="D60" t="inlineStr">
        <is>
          <t>jagadbanyunetes@gmail.com</t>
        </is>
      </c>
      <c r="E60" t="inlineStr">
        <is>
          <t>https://lpjk.pu.go.id/search-badan-usaha-detail/RlhHdEJIek1GQVVtSHplQmdhTndoZz09</t>
        </is>
      </c>
      <c r="F60" t="n">
        <v>1</v>
      </c>
      <c r="G60" t="inlineStr">
        <is>
          <t>BG001</t>
        </is>
      </c>
      <c r="H60" t="inlineStr">
        <is>
          <t>27 Oktober 2023</t>
        </is>
      </c>
      <c r="I60" s="2" t="n">
        <v>46348</v>
      </c>
      <c r="J60" t="inlineStr">
        <is>
          <t>Disetujui</t>
        </is>
      </c>
      <c r="K60" t="n">
        <v>60</v>
      </c>
      <c r="L60" t="inlineStr">
        <is>
          <t>22 November 2026</t>
        </is>
      </c>
      <c r="M60" t="inlineStr">
        <is>
          <t>Konstruksi Gedung Hunian</t>
        </is>
      </c>
      <c r="N60" t="inlineStr">
        <is>
          <t>K</t>
        </is>
      </c>
      <c r="O60" t="inlineStr">
        <is>
          <t>20231123</t>
        </is>
      </c>
      <c r="P60" t="inlineStr">
        <is>
          <t>Jawa Tengah</t>
        </is>
      </c>
      <c r="Q60" t="inlineStr"/>
    </row>
    <row r="61">
      <c r="A61" t="inlineStr">
        <is>
          <t>KALIMANTAN ENAM ENAM</t>
        </is>
      </c>
      <c r="B61" t="inlineStr">
        <is>
          <t>Kota Pontianak</t>
        </is>
      </c>
      <c r="C61" t="inlineStr">
        <is>
          <t>081352625868</t>
        </is>
      </c>
      <c r="D61" t="inlineStr">
        <is>
          <t>cvkalimantan66@gmail.com</t>
        </is>
      </c>
      <c r="E61" t="inlineStr">
        <is>
          <t>https://lpjk.pu.go.id/search-badan-usaha-detail/K2RVSnhiKzhTQldwMlBqcWNlK0doQT09</t>
        </is>
      </c>
      <c r="F61" t="n">
        <v>10</v>
      </c>
      <c r="G61" t="inlineStr">
        <is>
          <t>BG001, BG002, BG005, BG006, BG009</t>
        </is>
      </c>
      <c r="H61" t="inlineStr">
        <is>
          <t>11 Februari 2020</t>
        </is>
      </c>
      <c r="I61" s="2" t="n">
        <v>46348</v>
      </c>
      <c r="J61" t="inlineStr">
        <is>
          <t>Disetujui</t>
        </is>
      </c>
      <c r="K61" t="n">
        <v>60</v>
      </c>
      <c r="L61" t="inlineStr">
        <is>
          <t>22 November 2026</t>
        </is>
      </c>
      <c r="M61" t="inlineStr">
        <is>
          <t>Konstruksi Gedung Hunian, Konstruksi Gedung Kesehatan, Konstruksi Gedung Lainnya, Konstruksi Gedung Pendidikan, Konstruksi Gedung Perkantoran</t>
        </is>
      </c>
      <c r="N61" t="inlineStr">
        <is>
          <t>K</t>
        </is>
      </c>
      <c r="O61" t="inlineStr">
        <is>
          <t>20231122</t>
        </is>
      </c>
      <c r="P61" t="inlineStr">
        <is>
          <t>Kalimantan Barat</t>
        </is>
      </c>
      <c r="Q61" t="inlineStr"/>
    </row>
    <row r="62">
      <c r="A62" t="inlineStr">
        <is>
          <t>KARYA BIMA</t>
        </is>
      </c>
      <c r="B62" t="inlineStr">
        <is>
          <t>Kab. Indramayu</t>
        </is>
      </c>
      <c r="C62" t="inlineStr">
        <is>
          <t>081802778189</t>
        </is>
      </c>
      <c r="D62" t="inlineStr">
        <is>
          <t>karyabima.cv@gmail.com</t>
        </is>
      </c>
      <c r="E62" t="inlineStr">
        <is>
          <t>https://lpjk.pu.go.id/search-badan-usaha-detail/K2lEZjljQm8wWWFReHJBYWFhc3Y2Zz09</t>
        </is>
      </c>
      <c r="F62" t="n">
        <v>2</v>
      </c>
      <c r="G62" t="inlineStr">
        <is>
          <t>BS001, BS004</t>
        </is>
      </c>
      <c r="H62" t="inlineStr">
        <is>
          <t>18 Juli 1994</t>
        </is>
      </c>
      <c r="I62" s="2" t="n">
        <v>46348</v>
      </c>
      <c r="J62" t="inlineStr">
        <is>
          <t>Disetujui</t>
        </is>
      </c>
      <c r="K62" t="n">
        <v>60</v>
      </c>
      <c r="L62" t="inlineStr">
        <is>
          <t>22 November 2026</t>
        </is>
      </c>
      <c r="M62" t="inlineStr">
        <is>
          <t>Konstruksi Bangunan Sipil Jalan, Konstruksi Jaringan Irigasi dan Drainase</t>
        </is>
      </c>
      <c r="N62" t="inlineStr">
        <is>
          <t>K</t>
        </is>
      </c>
      <c r="O62" t="inlineStr">
        <is>
          <t>20231117</t>
        </is>
      </c>
      <c r="P62" t="inlineStr">
        <is>
          <t>Jawa Barat</t>
        </is>
      </c>
      <c r="Q62" t="inlineStr"/>
    </row>
    <row r="63">
      <c r="A63" t="inlineStr">
        <is>
          <t>KARYA MULYA INDAH</t>
        </is>
      </c>
      <c r="B63" t="inlineStr">
        <is>
          <t>Kota Ambon</t>
        </is>
      </c>
      <c r="C63" t="inlineStr">
        <is>
          <t>082197919337</t>
        </is>
      </c>
      <c r="D63" t="inlineStr">
        <is>
          <t>kmiambon@gmail.com</t>
        </is>
      </c>
      <c r="E63" t="inlineStr">
        <is>
          <t>https://lpjk.pu.go.id/search-badan-usaha-detail/NEk0WjRaUllXak1mOU9DdDh4QlpHdz09</t>
        </is>
      </c>
      <c r="F63" t="n">
        <v>2</v>
      </c>
      <c r="G63" t="inlineStr">
        <is>
          <t>BG006, BS002</t>
        </is>
      </c>
      <c r="H63" t="inlineStr">
        <is>
          <t>7 September 1992</t>
        </is>
      </c>
      <c r="I63" s="2" t="n">
        <v>46348</v>
      </c>
      <c r="J63" t="inlineStr">
        <is>
          <t>Disetujui</t>
        </is>
      </c>
      <c r="K63" t="n">
        <v>60</v>
      </c>
      <c r="L63" t="inlineStr">
        <is>
          <t>22 November 2026</t>
        </is>
      </c>
      <c r="M63" t="inlineStr">
        <is>
          <t>Bangunan Sipil Jembatan, Jalan Layang, Fly Over, dan Underpass, Konstruksi Gedung Pendidikan</t>
        </is>
      </c>
      <c r="N63" t="inlineStr">
        <is>
          <t>K</t>
        </is>
      </c>
      <c r="O63" t="inlineStr">
        <is>
          <t>20231123</t>
        </is>
      </c>
      <c r="P63" t="inlineStr">
        <is>
          <t>Maluku</t>
        </is>
      </c>
      <c r="Q63" t="inlineStr"/>
    </row>
    <row r="64">
      <c r="A64" t="inlineStr">
        <is>
          <t>KARYA NUGRAHA</t>
        </is>
      </c>
      <c r="B64" t="inlineStr">
        <is>
          <t>Kab. Cilacap</t>
        </is>
      </c>
      <c r="C64" t="inlineStr">
        <is>
          <t>085227634863</t>
        </is>
      </c>
      <c r="D64" t="inlineStr">
        <is>
          <t>karyanugraha89@yahoo.com</t>
        </is>
      </c>
      <c r="E64" t="inlineStr">
        <is>
          <t>https://lpjk.pu.go.id/search-badan-usaha-detail/dmxuY0FIUlFnMUVMZzVKZlNQVmV1UT09</t>
        </is>
      </c>
      <c r="F64" t="n">
        <v>3</v>
      </c>
      <c r="G64" t="inlineStr">
        <is>
          <t>BS001, BS002, BS004</t>
        </is>
      </c>
      <c r="H64" t="inlineStr">
        <is>
          <t>3 Mei 1993</t>
        </is>
      </c>
      <c r="I64" s="2" t="n">
        <v>46348</v>
      </c>
      <c r="J64" t="inlineStr">
        <is>
          <t>Disetujui</t>
        </is>
      </c>
      <c r="K64" t="n">
        <v>60</v>
      </c>
      <c r="L64" t="inlineStr">
        <is>
          <t>22 November 2026</t>
        </is>
      </c>
      <c r="M64" t="inlineStr">
        <is>
          <t>Bangunan Sipil Jembatan, Jalan Layang, Fly Over, dan Underpass, Konstruksi Bangunan Sipil Jalan, Konstruksi Jaringan Irigasi dan Drainase</t>
        </is>
      </c>
      <c r="N64" t="inlineStr">
        <is>
          <t>K</t>
        </is>
      </c>
      <c r="O64" t="inlineStr">
        <is>
          <t>20231122</t>
        </is>
      </c>
      <c r="P64" t="inlineStr">
        <is>
          <t>Jawa Tengah</t>
        </is>
      </c>
      <c r="Q64" t="inlineStr"/>
    </row>
    <row r="65">
      <c r="A65" t="inlineStr">
        <is>
          <t>KENCANA ALAM PUTRA</t>
        </is>
      </c>
      <c r="B65" t="inlineStr">
        <is>
          <t>Kota Surabaya</t>
        </is>
      </c>
      <c r="C65" t="inlineStr">
        <is>
          <t>0315939609</t>
        </is>
      </c>
      <c r="D65" t="inlineStr">
        <is>
          <t>admin@kencana-alam.com</t>
        </is>
      </c>
      <c r="E65" t="inlineStr">
        <is>
          <t>https://lpjk.pu.go.id/search-badan-usaha-detail/c3BnZkkyYTZRdkE4dDhTbzROTDBmdz09</t>
        </is>
      </c>
      <c r="F65" t="n">
        <v>3</v>
      </c>
      <c r="G65" t="inlineStr">
        <is>
          <t>IN001, KK001, PL008</t>
        </is>
      </c>
      <c r="H65" t="inlineStr">
        <is>
          <t>24 November 1994</t>
        </is>
      </c>
      <c r="I65" s="2" t="n">
        <v>46348</v>
      </c>
      <c r="J65" t="inlineStr">
        <is>
          <t>Disetujui</t>
        </is>
      </c>
      <c r="K65" t="n">
        <v>60</v>
      </c>
      <c r="L65" t="inlineStr">
        <is>
          <t>22 November 2026</t>
        </is>
      </c>
      <c r="M65" t="inlineStr">
        <is>
          <t>Instalasi Mekanikal, Pemasangan Perancah (Steiger), Pondasi Konstruksi</t>
        </is>
      </c>
      <c r="N65" t="inlineStr">
        <is>
          <t>Spesialis</t>
        </is>
      </c>
      <c r="O65" t="inlineStr">
        <is>
          <t>20231120, 20231123</t>
        </is>
      </c>
      <c r="P65" t="inlineStr">
        <is>
          <t>Jawa Timur</t>
        </is>
      </c>
      <c r="Q65" t="inlineStr"/>
    </row>
    <row r="66">
      <c r="A66" t="inlineStr">
        <is>
          <t>KRAKATAU KONSULTAN</t>
        </is>
      </c>
      <c r="B66" t="inlineStr">
        <is>
          <t>Kota Cilegon</t>
        </is>
      </c>
      <c r="C66" t="inlineStr">
        <is>
          <t>0254315620</t>
        </is>
      </c>
      <c r="D66" t="inlineStr">
        <is>
          <t>legal.ptkk@gmail.com</t>
        </is>
      </c>
      <c r="E66" t="inlineStr">
        <is>
          <t>https://lpjk.pu.go.id/search-badan-usaha-detail/cDlpNVAxYlFTT255VEIvWktNQ3RSdz09</t>
        </is>
      </c>
      <c r="F66" t="n">
        <v>1</v>
      </c>
      <c r="G66" t="inlineStr">
        <is>
          <t>RK005</t>
        </is>
      </c>
      <c r="H66" t="inlineStr">
        <is>
          <t>22 Februari 2013</t>
        </is>
      </c>
      <c r="I66" s="2" t="n">
        <v>46348</v>
      </c>
      <c r="J66" t="inlineStr">
        <is>
          <t>Disetujui</t>
        </is>
      </c>
      <c r="K66" t="n">
        <v>60</v>
      </c>
      <c r="L66" t="inlineStr">
        <is>
          <t>22 November 2026</t>
        </is>
      </c>
      <c r="M66" t="inlineStr">
        <is>
          <t>Jasa Rekayasa Lainnya</t>
        </is>
      </c>
      <c r="N66" t="inlineStr">
        <is>
          <t>K</t>
        </is>
      </c>
      <c r="O66" t="inlineStr">
        <is>
          <t>20231113</t>
        </is>
      </c>
      <c r="P66" t="inlineStr">
        <is>
          <t>Banten</t>
        </is>
      </c>
      <c r="Q66" t="inlineStr"/>
    </row>
    <row r="67">
      <c r="A67" t="inlineStr">
        <is>
          <t>KUDA HITAM KONTRAKTOR</t>
        </is>
      </c>
      <c r="B67" t="inlineStr">
        <is>
          <t>Kab. Kampar</t>
        </is>
      </c>
      <c r="C67" t="inlineStr">
        <is>
          <t>085263049599</t>
        </is>
      </c>
      <c r="D67" t="inlineStr">
        <is>
          <t>cvkudahitamkontraktor@yahoo.com</t>
        </is>
      </c>
      <c r="E67" t="inlineStr">
        <is>
          <t>https://lpjk.pu.go.id/search-badan-usaha-detail/bVBsSG1uTysyaTRKays2QkVHVFQ0QT09</t>
        </is>
      </c>
      <c r="F67" t="n">
        <v>1</v>
      </c>
      <c r="G67" t="inlineStr">
        <is>
          <t>PB010</t>
        </is>
      </c>
      <c r="H67" t="inlineStr">
        <is>
          <t>2 Juni 2022</t>
        </is>
      </c>
      <c r="I67" s="2" t="n">
        <v>46348</v>
      </c>
      <c r="J67" t="inlineStr">
        <is>
          <t>Pencabutan</t>
        </is>
      </c>
      <c r="K67" t="n">
        <v>60</v>
      </c>
      <c r="L67" t="inlineStr">
        <is>
          <t>22 November 2026</t>
        </is>
      </c>
      <c r="M67" t="inlineStr">
        <is>
          <t>Pekerjaan Lanskap, Pertamanan, dan Penanaman Vegetasi</t>
        </is>
      </c>
      <c r="N67" t="inlineStr">
        <is>
          <t>Spesialis</t>
        </is>
      </c>
      <c r="O67" t="inlineStr">
        <is>
          <t>20231115</t>
        </is>
      </c>
      <c r="P67" t="inlineStr">
        <is>
          <t>Riau</t>
        </is>
      </c>
      <c r="Q67" t="inlineStr"/>
    </row>
    <row r="68">
      <c r="A68" t="inlineStr">
        <is>
          <t>KURNIA MULIA MANDIRI</t>
        </is>
      </c>
      <c r="B68" t="inlineStr">
        <is>
          <t>Kab. Luwu Utara</t>
        </is>
      </c>
      <c r="C68" t="inlineStr">
        <is>
          <t>085214966068</t>
        </is>
      </c>
      <c r="D68" t="inlineStr">
        <is>
          <t>pt_kurnia_mulia_mandiri@yahoo.com</t>
        </is>
      </c>
      <c r="E68" t="inlineStr">
        <is>
          <t>https://lpjk.pu.go.id/search-badan-usaha-detail/NGlZTzM5QmlJVkN5SEFiSGl2cUlRT3VkUnpxNDVBVmJMdkM2R1pQZmZhcz0</t>
        </is>
      </c>
      <c r="F68" t="n">
        <v>2</v>
      </c>
      <c r="G68" t="inlineStr">
        <is>
          <t>BS001, BS002</t>
        </is>
      </c>
      <c r="H68" t="inlineStr">
        <is>
          <t>17 Oktober 2022</t>
        </is>
      </c>
      <c r="I68" s="2" t="n">
        <v>46348</v>
      </c>
      <c r="J68" t="inlineStr">
        <is>
          <t>Disetujui</t>
        </is>
      </c>
      <c r="K68" t="n">
        <v>60</v>
      </c>
      <c r="L68" t="inlineStr">
        <is>
          <t>22 November 2026</t>
        </is>
      </c>
      <c r="M68" t="inlineStr">
        <is>
          <t>Bangunan Sipil Jembatan, Jalan Layang, Fly Over, dan Underpass, Konstruksi Bangunan Sipil Jalan</t>
        </is>
      </c>
      <c r="N68" t="inlineStr">
        <is>
          <t>M</t>
        </is>
      </c>
      <c r="O68" t="inlineStr">
        <is>
          <t>20231122, 20231123</t>
        </is>
      </c>
      <c r="P68" t="inlineStr">
        <is>
          <t>Sulawesi Selatan</t>
        </is>
      </c>
      <c r="Q68" t="inlineStr"/>
    </row>
    <row r="69">
      <c r="A69" t="inlineStr">
        <is>
          <t>LEN REKAPRIMA SEMESTA</t>
        </is>
      </c>
      <c r="B69" t="inlineStr">
        <is>
          <t>Kota Bandung</t>
        </is>
      </c>
      <c r="C69" t="inlineStr">
        <is>
          <t>0225202682</t>
        </is>
      </c>
      <c r="D69" t="inlineStr">
        <is>
          <t>marketing@lenrekaprima.co.id</t>
        </is>
      </c>
      <c r="E69" t="inlineStr">
        <is>
          <t>https://lpjk.pu.go.id/search-badan-usaha-detail/TnBhclZFSzVLMWxtdGFEdnpZUUdrNWhrQ04xckJsUGg2aXBScW9ucGRTbz0</t>
        </is>
      </c>
      <c r="F69" t="n">
        <v>3</v>
      </c>
      <c r="G69" t="inlineStr">
        <is>
          <t>BS009, IN001, IN012</t>
        </is>
      </c>
      <c r="H69" t="inlineStr">
        <is>
          <t>6 Mei 2025</t>
        </is>
      </c>
      <c r="I69" s="2" t="n">
        <v>46348</v>
      </c>
      <c r="J69" t="inlineStr">
        <is>
          <t>Disetujui</t>
        </is>
      </c>
      <c r="K69" t="n">
        <v>60</v>
      </c>
      <c r="L69" t="inlineStr">
        <is>
          <t>22 November 2026</t>
        </is>
      </c>
      <c r="M69" t="inlineStr">
        <is>
          <t>Instalasi Mekanikal, Instalasi Sinyal dan Telekomunikasi Kereta Api, Konstruksi Sentral Telekomunikasi</t>
        </is>
      </c>
      <c r="N69" t="inlineStr">
        <is>
          <t>M, Spesialis</t>
        </is>
      </c>
      <c r="O69" t="inlineStr">
        <is>
          <t>20231121, 20231122, 20231123</t>
        </is>
      </c>
      <c r="P69" t="inlineStr">
        <is>
          <t>Jawa Barat</t>
        </is>
      </c>
      <c r="Q69" t="inlineStr"/>
    </row>
    <row r="70">
      <c r="A70" t="inlineStr">
        <is>
          <t>LIMA SERANGKAI MANDIRI</t>
        </is>
      </c>
      <c r="B70" t="inlineStr">
        <is>
          <t>Kota Jayapura</t>
        </is>
      </c>
      <c r="C70" t="inlineStr">
        <is>
          <t>082197810848</t>
        </is>
      </c>
      <c r="D70" t="inlineStr">
        <is>
          <t>serangkai510@gmail.com</t>
        </is>
      </c>
      <c r="E70" t="inlineStr">
        <is>
          <t>https://lpjk.pu.go.id/search-badan-usaha-detail/bkRHTGQ2ajdMejNBRllha2JnbWRBZz09</t>
        </is>
      </c>
      <c r="F70" t="n">
        <v>1</v>
      </c>
      <c r="G70" t="inlineStr">
        <is>
          <t>BS004</t>
        </is>
      </c>
      <c r="H70" t="inlineStr">
        <is>
          <t>23 Maret 2010</t>
        </is>
      </c>
      <c r="I70" s="2" t="n">
        <v>46348</v>
      </c>
      <c r="J70" t="inlineStr">
        <is>
          <t>Disetujui</t>
        </is>
      </c>
      <c r="K70" t="n">
        <v>60</v>
      </c>
      <c r="L70" t="inlineStr">
        <is>
          <t>22 November 2026</t>
        </is>
      </c>
      <c r="M70" t="inlineStr">
        <is>
          <t>Konstruksi Jaringan Irigasi dan Drainase</t>
        </is>
      </c>
      <c r="N70" t="inlineStr">
        <is>
          <t>K</t>
        </is>
      </c>
      <c r="O70" t="inlineStr">
        <is>
          <t>20231122</t>
        </is>
      </c>
      <c r="P70" t="inlineStr">
        <is>
          <t>Papua</t>
        </is>
      </c>
      <c r="Q70" t="inlineStr"/>
    </row>
    <row r="71">
      <c r="A71" t="inlineStr">
        <is>
          <t>MADYA UTAMA</t>
        </is>
      </c>
      <c r="B71" t="inlineStr">
        <is>
          <t>Kab. Badung</t>
        </is>
      </c>
      <c r="C71" t="inlineStr">
        <is>
          <t>082144081811</t>
        </is>
      </c>
      <c r="D71" t="inlineStr">
        <is>
          <t>cvmadyautamabadung@gmail.com</t>
        </is>
      </c>
      <c r="E71" t="inlineStr">
        <is>
          <t>https://lpjk.pu.go.id/search-badan-usaha-detail/Z0tqelRrYWpuNTJiaDlSTklLbStrdz09</t>
        </is>
      </c>
      <c r="F71" t="n">
        <v>1</v>
      </c>
      <c r="G71" t="inlineStr">
        <is>
          <t>BG009</t>
        </is>
      </c>
      <c r="H71" t="inlineStr">
        <is>
          <t>2 Oktober 1991</t>
        </is>
      </c>
      <c r="I71" s="2" t="n">
        <v>46348</v>
      </c>
      <c r="J71" t="inlineStr">
        <is>
          <t>Disetujui</t>
        </is>
      </c>
      <c r="K71" t="n">
        <v>60</v>
      </c>
      <c r="L71" t="inlineStr">
        <is>
          <t>22 November 2026</t>
        </is>
      </c>
      <c r="M71" t="inlineStr">
        <is>
          <t>Konstruksi Gedung Lainnya</t>
        </is>
      </c>
      <c r="N71" t="inlineStr">
        <is>
          <t>K</t>
        </is>
      </c>
      <c r="O71" t="inlineStr">
        <is>
          <t>20231121</t>
        </is>
      </c>
      <c r="P71" t="inlineStr">
        <is>
          <t>Bali</t>
        </is>
      </c>
      <c r="Q71" t="inlineStr"/>
    </row>
    <row r="72">
      <c r="A72" t="inlineStr">
        <is>
          <t>MALINDO</t>
        </is>
      </c>
      <c r="B72" t="inlineStr">
        <is>
          <t>Kab. Bondowoso</t>
        </is>
      </c>
      <c r="C72" t="inlineStr">
        <is>
          <t>085253871456</t>
        </is>
      </c>
      <c r="D72" t="inlineStr">
        <is>
          <t>cheve_malindo@yahoo.com</t>
        </is>
      </c>
      <c r="E72" t="inlineStr">
        <is>
          <t>https://lpjk.pu.go.id/search-badan-usaha-detail/cTJpQ0NYWDEydUkwTHJuVHlGYlovQT09</t>
        </is>
      </c>
      <c r="F72" t="n">
        <v>1</v>
      </c>
      <c r="G72" t="inlineStr">
        <is>
          <t>BS001</t>
        </is>
      </c>
      <c r="H72" t="inlineStr">
        <is>
          <t>5 Januari 2009</t>
        </is>
      </c>
      <c r="I72" s="2" t="n">
        <v>46348</v>
      </c>
      <c r="J72" t="inlineStr">
        <is>
          <t>Disetujui</t>
        </is>
      </c>
      <c r="K72" t="n">
        <v>60</v>
      </c>
      <c r="L72" t="inlineStr">
        <is>
          <t>22 November 2026</t>
        </is>
      </c>
      <c r="M72" t="inlineStr">
        <is>
          <t>Konstruksi Bangunan Sipil Jalan</t>
        </is>
      </c>
      <c r="N72" t="inlineStr">
        <is>
          <t>K</t>
        </is>
      </c>
      <c r="O72" t="inlineStr">
        <is>
          <t>20230807</t>
        </is>
      </c>
      <c r="P72" t="inlineStr">
        <is>
          <t>Jawa Timur</t>
        </is>
      </c>
      <c r="Q72" t="inlineStr"/>
    </row>
    <row r="73">
      <c r="A73" t="inlineStr">
        <is>
          <t>MAMI STORE LESTARY</t>
        </is>
      </c>
      <c r="B73" t="inlineStr">
        <is>
          <t>Kab. Banggai</t>
        </is>
      </c>
      <c r="C73" t="inlineStr">
        <is>
          <t>085242890593</t>
        </is>
      </c>
      <c r="D73" t="inlineStr">
        <is>
          <t>mamistorelestary@gmail.com</t>
        </is>
      </c>
      <c r="E73" t="inlineStr">
        <is>
          <t>https://lpjk.pu.go.id/search-badan-usaha-detail/bmwwSkwvNGpuUStNK3NWazlaWjZVUT09</t>
        </is>
      </c>
      <c r="F73" t="n">
        <v>2</v>
      </c>
      <c r="G73" t="inlineStr">
        <is>
          <t>BS002, BS004</t>
        </is>
      </c>
      <c r="H73" t="inlineStr">
        <is>
          <t>31 Juli 2023</t>
        </is>
      </c>
      <c r="I73" s="2" t="n">
        <v>46348</v>
      </c>
      <c r="J73" t="inlineStr">
        <is>
          <t>Disetujui</t>
        </is>
      </c>
      <c r="K73" t="n">
        <v>60</v>
      </c>
      <c r="L73" t="inlineStr">
        <is>
          <t>22 November 2026</t>
        </is>
      </c>
      <c r="M73" t="inlineStr">
        <is>
          <t>Bangunan Sipil Jembatan, Jalan Layang, Fly Over, dan Underpass, Konstruksi Jaringan Irigasi dan Drainase</t>
        </is>
      </c>
      <c r="N73" t="inlineStr">
        <is>
          <t>K</t>
        </is>
      </c>
      <c r="O73" t="inlineStr">
        <is>
          <t>20231122</t>
        </is>
      </c>
      <c r="P73" t="inlineStr">
        <is>
          <t>Sulawesi Tengah</t>
        </is>
      </c>
      <c r="Q73" t="inlineStr"/>
    </row>
    <row r="74">
      <c r="A74" t="inlineStr">
        <is>
          <t>MASSA CIPTA SARANA</t>
        </is>
      </c>
      <c r="B74" t="inlineStr">
        <is>
          <t>Kota Bandung</t>
        </is>
      </c>
      <c r="C74" t="inlineStr">
        <is>
          <t>081802279108</t>
        </is>
      </c>
      <c r="D74" t="inlineStr">
        <is>
          <t>cv_massaciptasarana@yahoo.co.id</t>
        </is>
      </c>
      <c r="E74" t="inlineStr">
        <is>
          <t>https://lpjk.pu.go.id/search-badan-usaha-detail/ampnTzVNMFJESjlDN0VscUVSbGJkdz09</t>
        </is>
      </c>
      <c r="F74" t="n">
        <v>3</v>
      </c>
      <c r="G74" t="inlineStr">
        <is>
          <t>BG002, BG005, BG006</t>
        </is>
      </c>
      <c r="H74" t="inlineStr">
        <is>
          <t>17 Desember 1984</t>
        </is>
      </c>
      <c r="I74" s="2" t="n">
        <v>46348</v>
      </c>
      <c r="J74" t="inlineStr">
        <is>
          <t>Disetujui</t>
        </is>
      </c>
      <c r="K74" t="n">
        <v>60</v>
      </c>
      <c r="L74" t="inlineStr">
        <is>
          <t>22 November 2026</t>
        </is>
      </c>
      <c r="M74" t="inlineStr">
        <is>
          <t>Konstruksi Gedung Kesehatan, Konstruksi Gedung Pendidikan, Konstruksi Gedung Perkantoran</t>
        </is>
      </c>
      <c r="N74" t="inlineStr">
        <is>
          <t>K</t>
        </is>
      </c>
      <c r="O74" t="inlineStr">
        <is>
          <t>20231120, 20231121</t>
        </is>
      </c>
      <c r="P74" t="inlineStr">
        <is>
          <t>Jawa Barat</t>
        </is>
      </c>
      <c r="Q74" t="inlineStr"/>
    </row>
    <row r="75">
      <c r="A75" t="inlineStr">
        <is>
          <t>MILENIUM 2001</t>
        </is>
      </c>
      <c r="B75" t="inlineStr">
        <is>
          <t>Kab. Tapanuli Utara</t>
        </is>
      </c>
      <c r="C75" t="inlineStr">
        <is>
          <t>081265077980</t>
        </is>
      </c>
      <c r="D75" t="inlineStr">
        <is>
          <t>sosionggalon.hutabarat@gmail.com</t>
        </is>
      </c>
      <c r="E75" t="inlineStr">
        <is>
          <t>https://lpjk.pu.go.id/search-badan-usaha-detail/T21icmN1TUtZZXc5NnFCcmQwMWRxdz09</t>
        </is>
      </c>
      <c r="F75" t="n">
        <v>3</v>
      </c>
      <c r="G75" t="inlineStr">
        <is>
          <t>BG002, BG004, BG009</t>
        </is>
      </c>
      <c r="H75" t="inlineStr">
        <is>
          <t>1 September 2020</t>
        </is>
      </c>
      <c r="I75" s="2" t="n">
        <v>46348</v>
      </c>
      <c r="J75" t="inlineStr">
        <is>
          <t>Disetujui</t>
        </is>
      </c>
      <c r="K75" t="n">
        <v>60</v>
      </c>
      <c r="L75" t="inlineStr">
        <is>
          <t>22 November 2026</t>
        </is>
      </c>
      <c r="M75" t="inlineStr">
        <is>
          <t>Konstruksi Gedung Lainnya, Konstruksi Gedung Perbelanjaan, Konstruksi Gedung Perkantoran</t>
        </is>
      </c>
      <c r="N75" t="inlineStr">
        <is>
          <t>K</t>
        </is>
      </c>
      <c r="O75" t="inlineStr">
        <is>
          <t>20231117, 20231120, 20231121</t>
        </is>
      </c>
      <c r="P75" t="inlineStr">
        <is>
          <t>Sumatera Utara</t>
        </is>
      </c>
      <c r="Q75" t="inlineStr"/>
    </row>
    <row r="76">
      <c r="A76" t="inlineStr">
        <is>
          <t>MITRA MANDIRI</t>
        </is>
      </c>
      <c r="B76" t="inlineStr">
        <is>
          <t>Kab. Pekalongan</t>
        </is>
      </c>
      <c r="C76" t="inlineStr">
        <is>
          <t>085226382679</t>
        </is>
      </c>
      <c r="D76" t="inlineStr">
        <is>
          <t>mitra_mandiri9ku@yahoo.co.id</t>
        </is>
      </c>
      <c r="E76" t="inlineStr">
        <is>
          <t>https://lpjk.pu.go.id/search-badan-usaha-detail/ZTYvWnY5VlYrRHJUNmpUVzNpZnFhQT09</t>
        </is>
      </c>
      <c r="F76" t="n">
        <v>1</v>
      </c>
      <c r="G76" t="inlineStr">
        <is>
          <t>BS004</t>
        </is>
      </c>
      <c r="H76" t="inlineStr">
        <is>
          <t>10 Mei 2007</t>
        </is>
      </c>
      <c r="I76" s="2" t="n">
        <v>46348</v>
      </c>
      <c r="J76" t="inlineStr">
        <is>
          <t>Disetujui</t>
        </is>
      </c>
      <c r="K76" t="n">
        <v>60</v>
      </c>
      <c r="L76" t="inlineStr">
        <is>
          <t>22 November 2026</t>
        </is>
      </c>
      <c r="M76" t="inlineStr">
        <is>
          <t>Konstruksi Jaringan Irigasi dan Drainase</t>
        </is>
      </c>
      <c r="N76" t="inlineStr">
        <is>
          <t>K</t>
        </is>
      </c>
      <c r="O76" t="inlineStr">
        <is>
          <t>20231119</t>
        </is>
      </c>
      <c r="P76" t="inlineStr">
        <is>
          <t>Jawa Tengah</t>
        </is>
      </c>
      <c r="Q76" t="inlineStr"/>
    </row>
    <row r="77">
      <c r="A77" t="inlineStr">
        <is>
          <t>MUARA YATRA</t>
        </is>
      </c>
      <c r="B77" t="inlineStr">
        <is>
          <t>Kab. Banyumas</t>
        </is>
      </c>
      <c r="C77" t="inlineStr">
        <is>
          <t>08999009625</t>
        </is>
      </c>
      <c r="D77" t="inlineStr">
        <is>
          <t>cvmuarayatra@gmail.com</t>
        </is>
      </c>
      <c r="E77" t="inlineStr">
        <is>
          <t>https://lpjk.pu.go.id/search-badan-usaha-detail/R1J6L0dWa2M5c0hsK1VXdksrdVVIQT09</t>
        </is>
      </c>
      <c r="F77" t="n">
        <v>2</v>
      </c>
      <c r="G77" t="inlineStr">
        <is>
          <t>BS001, BS004</t>
        </is>
      </c>
      <c r="H77" t="inlineStr">
        <is>
          <t>8 Agustus 2023</t>
        </is>
      </c>
      <c r="I77" s="2" t="n">
        <v>46348</v>
      </c>
      <c r="J77" t="inlineStr">
        <is>
          <t>Disetujui</t>
        </is>
      </c>
      <c r="K77" t="n">
        <v>60</v>
      </c>
      <c r="L77" t="inlineStr">
        <is>
          <t>22 November 2026</t>
        </is>
      </c>
      <c r="M77" t="inlineStr">
        <is>
          <t>Konstruksi Bangunan Sipil Jalan, Konstruksi Jaringan Irigasi dan Drainase</t>
        </is>
      </c>
      <c r="N77" t="inlineStr">
        <is>
          <t>K</t>
        </is>
      </c>
      <c r="O77" t="inlineStr">
        <is>
          <t>20231118</t>
        </is>
      </c>
      <c r="P77" t="inlineStr">
        <is>
          <t>Jawa Tengah</t>
        </is>
      </c>
      <c r="Q77" t="inlineStr"/>
    </row>
    <row r="78">
      <c r="A78" t="inlineStr">
        <is>
          <t>NILAP REKAYASA KONSTRUKSI</t>
        </is>
      </c>
      <c r="B78" t="inlineStr">
        <is>
          <t>Kab. Rokan Hilir</t>
        </is>
      </c>
      <c r="C78" t="inlineStr">
        <is>
          <t>082172902424</t>
        </is>
      </c>
      <c r="D78" t="inlineStr">
        <is>
          <t>cvnilaprekayasakonstruksi@yahoo.co.id</t>
        </is>
      </c>
      <c r="E78" t="inlineStr">
        <is>
          <t>https://lpjk.pu.go.id/search-badan-usaha-detail/RUErbExkWXdaZDN3aDdIRlI5cFpCQT09</t>
        </is>
      </c>
      <c r="F78" t="n">
        <v>4</v>
      </c>
      <c r="G78" t="inlineStr">
        <is>
          <t>BG001, BG009, BS001, BS004</t>
        </is>
      </c>
      <c r="H78" t="inlineStr">
        <is>
          <t>30 April 1999</t>
        </is>
      </c>
      <c r="I78" s="2" t="n">
        <v>46348</v>
      </c>
      <c r="J78" t="inlineStr">
        <is>
          <t>Pencabutan</t>
        </is>
      </c>
      <c r="K78" t="n">
        <v>60</v>
      </c>
      <c r="L78" t="inlineStr">
        <is>
          <t>22 November 2026</t>
        </is>
      </c>
      <c r="M78" t="inlineStr">
        <is>
          <t>Konstruksi Bangunan Sipil Jalan, Konstruksi Gedung Hunian, Konstruksi Gedung Lainnya, Konstruksi Jaringan Irigasi dan Drainase</t>
        </is>
      </c>
      <c r="N78" t="inlineStr">
        <is>
          <t>K</t>
        </is>
      </c>
      <c r="O78" t="inlineStr">
        <is>
          <t>20231123</t>
        </is>
      </c>
      <c r="P78" t="inlineStr">
        <is>
          <t>Riau</t>
        </is>
      </c>
      <c r="Q78" t="inlineStr"/>
    </row>
    <row r="79">
      <c r="A79" t="inlineStr">
        <is>
          <t>NOBELLINDO</t>
        </is>
      </c>
      <c r="B79" t="inlineStr">
        <is>
          <t>Kab. Banyumas</t>
        </is>
      </c>
      <c r="C79" t="inlineStr">
        <is>
          <t>02817656200</t>
        </is>
      </c>
      <c r="D79" t="inlineStr">
        <is>
          <t>cvnobellindopwt@gmail.com</t>
        </is>
      </c>
      <c r="E79" t="inlineStr">
        <is>
          <t>https://lpjk.pu.go.id/search-badan-usaha-detail/MTluK25Pd2twQjNEUE40bWZLMFgxQT09</t>
        </is>
      </c>
      <c r="F79" t="n">
        <v>1</v>
      </c>
      <c r="G79" t="inlineStr">
        <is>
          <t>BG004</t>
        </is>
      </c>
      <c r="H79" t="inlineStr">
        <is>
          <t>8 Juni 2000</t>
        </is>
      </c>
      <c r="I79" s="2" t="n">
        <v>46348</v>
      </c>
      <c r="J79" t="inlineStr">
        <is>
          <t>Disetujui</t>
        </is>
      </c>
      <c r="K79" t="n">
        <v>60</v>
      </c>
      <c r="L79" t="inlineStr">
        <is>
          <t>22 November 2026</t>
        </is>
      </c>
      <c r="M79" t="inlineStr">
        <is>
          <t>Konstruksi Gedung Perbelanjaan</t>
        </is>
      </c>
      <c r="N79" t="inlineStr">
        <is>
          <t>K</t>
        </is>
      </c>
      <c r="O79" t="inlineStr">
        <is>
          <t>20231110</t>
        </is>
      </c>
      <c r="P79" t="inlineStr">
        <is>
          <t>Jawa Tengah</t>
        </is>
      </c>
      <c r="Q79" t="inlineStr"/>
    </row>
    <row r="80">
      <c r="A80" t="inlineStr">
        <is>
          <t>NUSA BORNEO INFINITY</t>
        </is>
      </c>
      <c r="B80" t="inlineStr">
        <is>
          <t>Kab. Kutai Timur</t>
        </is>
      </c>
      <c r="C80" t="inlineStr">
        <is>
          <t>082157843744</t>
        </is>
      </c>
      <c r="D80" t="inlineStr">
        <is>
          <t>Nusaborneoinfinity@gmail.com</t>
        </is>
      </c>
      <c r="E80" t="inlineStr">
        <is>
          <t>https://lpjk.pu.go.id/search-badan-usaha-detail/cVdxbXZzWTJhZHl5amxHTHd4OWtGQT09</t>
        </is>
      </c>
      <c r="F80" t="n">
        <v>2</v>
      </c>
      <c r="G80" t="inlineStr">
        <is>
          <t>BS001, BS004</t>
        </is>
      </c>
      <c r="H80" t="inlineStr">
        <is>
          <t>19 Oktober 2022</t>
        </is>
      </c>
      <c r="I80" s="2" t="n">
        <v>46348</v>
      </c>
      <c r="J80" t="inlineStr">
        <is>
          <t>Disetujui</t>
        </is>
      </c>
      <c r="K80" t="n">
        <v>60</v>
      </c>
      <c r="L80" t="inlineStr">
        <is>
          <t>22 November 2026</t>
        </is>
      </c>
      <c r="M80" t="inlineStr">
        <is>
          <t>Konstruksi Bangunan Sipil Jalan, Konstruksi Jaringan Irigasi dan Drainase</t>
        </is>
      </c>
      <c r="N80" t="inlineStr">
        <is>
          <t>K</t>
        </is>
      </c>
      <c r="O80" t="inlineStr">
        <is>
          <t>20231123</t>
        </is>
      </c>
      <c r="P80" t="inlineStr">
        <is>
          <t>Kalimantan Timur</t>
        </is>
      </c>
      <c r="Q80" t="inlineStr"/>
    </row>
    <row r="81">
      <c r="A81" t="inlineStr">
        <is>
          <t>PAHALA AGUNG</t>
        </is>
      </c>
      <c r="B81" t="inlineStr">
        <is>
          <t>Kota Semarang</t>
        </is>
      </c>
      <c r="C81" t="inlineStr">
        <is>
          <t>024-7602072</t>
        </is>
      </c>
      <c r="D81" t="inlineStr">
        <is>
          <t>pahalaagung.smg@gmail.com</t>
        </is>
      </c>
      <c r="E81" t="inlineStr">
        <is>
          <t>https://lpjk.pu.go.id/search-badan-usaha-detail/VXBaOXpHem95S1JzalF5NytnU0k2UT09</t>
        </is>
      </c>
      <c r="F81" t="n">
        <v>2</v>
      </c>
      <c r="G81" t="inlineStr">
        <is>
          <t>BG002, BG009</t>
        </is>
      </c>
      <c r="H81" t="inlineStr">
        <is>
          <t>21 Agustus 1997</t>
        </is>
      </c>
      <c r="I81" s="2" t="n">
        <v>46348</v>
      </c>
      <c r="J81" t="inlineStr">
        <is>
          <t>Disetujui</t>
        </is>
      </c>
      <c r="K81" t="n">
        <v>60</v>
      </c>
      <c r="L81" t="inlineStr">
        <is>
          <t>22 November 2026</t>
        </is>
      </c>
      <c r="M81" t="inlineStr">
        <is>
          <t>Konstruksi Gedung Lainnya, Konstruksi Gedung Perkantoran</t>
        </is>
      </c>
      <c r="N81" t="inlineStr">
        <is>
          <t>K</t>
        </is>
      </c>
      <c r="O81" t="inlineStr">
        <is>
          <t>20231122, 20231123</t>
        </is>
      </c>
      <c r="P81" t="inlineStr">
        <is>
          <t>Jawa Tengah</t>
        </is>
      </c>
      <c r="Q81" t="inlineStr"/>
    </row>
    <row r="82">
      <c r="A82" t="inlineStr">
        <is>
          <t>PARADIGMA NUSANTARA</t>
        </is>
      </c>
      <c r="B82" t="inlineStr">
        <is>
          <t>Kota Pekanbaru</t>
        </is>
      </c>
      <c r="C82" t="inlineStr">
        <is>
          <t>0811764433</t>
        </is>
      </c>
      <c r="D82" t="inlineStr">
        <is>
          <t>cv.paradigma1993@gmail.com</t>
        </is>
      </c>
      <c r="E82" t="inlineStr">
        <is>
          <t>https://lpjk.pu.go.id/search-badan-usaha-detail/U0R1VFRyRnZRZjFYWDRlNnlWclArUT09</t>
        </is>
      </c>
      <c r="F82" t="n">
        <v>1</v>
      </c>
      <c r="G82" t="inlineStr">
        <is>
          <t>BS001</t>
        </is>
      </c>
      <c r="H82" t="inlineStr">
        <is>
          <t>22 Juni 2012</t>
        </is>
      </c>
      <c r="I82" s="2" t="n">
        <v>46348</v>
      </c>
      <c r="J82" t="inlineStr">
        <is>
          <t>Disetujui</t>
        </is>
      </c>
      <c r="K82" t="n">
        <v>60</v>
      </c>
      <c r="L82" t="inlineStr">
        <is>
          <t>22 November 2026</t>
        </is>
      </c>
      <c r="M82" t="inlineStr">
        <is>
          <t>Konstruksi Bangunan Sipil Jalan</t>
        </is>
      </c>
      <c r="N82" t="inlineStr">
        <is>
          <t>K</t>
        </is>
      </c>
      <c r="O82" t="inlineStr">
        <is>
          <t>20231122</t>
        </is>
      </c>
      <c r="P82" t="inlineStr">
        <is>
          <t>Riau</t>
        </is>
      </c>
      <c r="Q82" t="inlineStr"/>
    </row>
    <row r="83">
      <c r="A83" t="inlineStr">
        <is>
          <t>PASTI MAKMUR BERSAMA</t>
        </is>
      </c>
      <c r="B83" t="inlineStr">
        <is>
          <t>Kota Batam</t>
        </is>
      </c>
      <c r="C83" t="inlineStr">
        <is>
          <t>07788096115</t>
        </is>
      </c>
      <c r="D83" t="inlineStr">
        <is>
          <t>batam_pmb@yahoo.com</t>
        </is>
      </c>
      <c r="E83" t="inlineStr">
        <is>
          <t>https://lpjk.pu.go.id/search-badan-usaha-detail/K3M3dXpha1RiSlg3cnpFVFhPRUZGQT09</t>
        </is>
      </c>
      <c r="F83" t="n">
        <v>1</v>
      </c>
      <c r="G83" t="inlineStr">
        <is>
          <t>BG009</t>
        </is>
      </c>
      <c r="H83" t="inlineStr">
        <is>
          <t>11 Juni 2013</t>
        </is>
      </c>
      <c r="I83" s="2" t="n">
        <v>46348</v>
      </c>
      <c r="J83" t="inlineStr">
        <is>
          <t>Disetujui</t>
        </is>
      </c>
      <c r="K83" t="n">
        <v>60</v>
      </c>
      <c r="L83" t="inlineStr">
        <is>
          <t>22 November 2026</t>
        </is>
      </c>
      <c r="M83" t="inlineStr">
        <is>
          <t>Konstruksi Gedung Lainnya</t>
        </is>
      </c>
      <c r="N83" t="inlineStr">
        <is>
          <t>K</t>
        </is>
      </c>
      <c r="O83" t="inlineStr">
        <is>
          <t>20231113</t>
        </is>
      </c>
      <c r="P83" t="inlineStr">
        <is>
          <t>Kepulauan Riau</t>
        </is>
      </c>
      <c r="Q83" t="inlineStr"/>
    </row>
    <row r="84">
      <c r="A84" t="inlineStr">
        <is>
          <t>PILAR LINTANG PRATAMA</t>
        </is>
      </c>
      <c r="B84" t="inlineStr">
        <is>
          <t>Kab. Gresik</t>
        </is>
      </c>
      <c r="C84" t="inlineStr">
        <is>
          <t>082169034352</t>
        </is>
      </c>
      <c r="D84" t="inlineStr">
        <is>
          <t>pilar_plp@yahoo.com</t>
        </is>
      </c>
      <c r="E84" t="inlineStr">
        <is>
          <t>https://lpjk.pu.go.id/search-badan-usaha-detail/WS9mZWQ1Y3Qwek94aWcwQVlxOVoxdz09</t>
        </is>
      </c>
      <c r="F84" t="n">
        <v>1</v>
      </c>
      <c r="G84" t="inlineStr">
        <is>
          <t>BG009</t>
        </is>
      </c>
      <c r="H84" t="inlineStr">
        <is>
          <t>14 November 2011</t>
        </is>
      </c>
      <c r="I84" s="2" t="n">
        <v>46348</v>
      </c>
      <c r="J84" t="inlineStr">
        <is>
          <t>Disetujui</t>
        </is>
      </c>
      <c r="K84" t="n">
        <v>60</v>
      </c>
      <c r="L84" t="inlineStr">
        <is>
          <t>22 November 2026</t>
        </is>
      </c>
      <c r="M84" t="inlineStr">
        <is>
          <t>Konstruksi Gedung Lainnya</t>
        </is>
      </c>
      <c r="N84" t="inlineStr">
        <is>
          <t>M</t>
        </is>
      </c>
      <c r="O84" t="inlineStr">
        <is>
          <t>20231101</t>
        </is>
      </c>
      <c r="P84" t="inlineStr">
        <is>
          <t>Jawa Timur</t>
        </is>
      </c>
      <c r="Q84" t="inlineStr"/>
    </row>
    <row r="85">
      <c r="A85" t="inlineStr">
        <is>
          <t>POLAWES RAYA</t>
        </is>
      </c>
      <c r="B85" t="inlineStr">
        <is>
          <t>Kota Adm. Jakarta Selatan</t>
        </is>
      </c>
      <c r="C85" t="inlineStr">
        <is>
          <t>0218305481</t>
        </is>
      </c>
      <c r="D85" t="inlineStr">
        <is>
          <t>polawesraya@gmail.com</t>
        </is>
      </c>
      <c r="E85" t="inlineStr">
        <is>
          <t>https://lpjk.pu.go.id/search-badan-usaha-detail/WjN0TnVDZytvTURwdGtqayt3RUVYUT09</t>
        </is>
      </c>
      <c r="F85" t="n">
        <v>1</v>
      </c>
      <c r="G85" t="inlineStr">
        <is>
          <t>BG005</t>
        </is>
      </c>
      <c r="H85" t="inlineStr">
        <is>
          <t>24 September 1987</t>
        </is>
      </c>
      <c r="I85" s="2" t="n">
        <v>46348</v>
      </c>
      <c r="J85" t="inlineStr">
        <is>
          <t>Pencabutan</t>
        </is>
      </c>
      <c r="K85" t="n">
        <v>60</v>
      </c>
      <c r="L85" t="inlineStr">
        <is>
          <t>22 November 2026</t>
        </is>
      </c>
      <c r="M85" t="inlineStr">
        <is>
          <t>Konstruksi Gedung Kesehatan</t>
        </is>
      </c>
      <c r="N85" t="inlineStr">
        <is>
          <t>K</t>
        </is>
      </c>
      <c r="O85" t="inlineStr">
        <is>
          <t>20231122</t>
        </is>
      </c>
      <c r="P85" t="inlineStr">
        <is>
          <t>DKI Jakarta</t>
        </is>
      </c>
      <c r="Q85" t="inlineStr"/>
    </row>
    <row r="86">
      <c r="A86" t="inlineStr">
        <is>
          <t>PRAMES WARA</t>
        </is>
      </c>
      <c r="B86" t="inlineStr">
        <is>
          <t>Kab. Toba Samosir</t>
        </is>
      </c>
      <c r="C86" t="inlineStr">
        <is>
          <t>081260089016</t>
        </is>
      </c>
      <c r="D86" t="inlineStr">
        <is>
          <t>cvprameswara@gmail.com</t>
        </is>
      </c>
      <c r="E86" t="inlineStr">
        <is>
          <t>https://lpjk.pu.go.id/search-badan-usaha-detail/R2N4R2pHdmtidnZtcTBoZ1ozUWpmQT09</t>
        </is>
      </c>
      <c r="F86" t="n">
        <v>1</v>
      </c>
      <c r="G86" t="inlineStr">
        <is>
          <t>BS004</t>
        </is>
      </c>
      <c r="H86" t="inlineStr">
        <is>
          <t>23 Agustus 2023</t>
        </is>
      </c>
      <c r="I86" s="2" t="n">
        <v>46348</v>
      </c>
      <c r="J86" t="inlineStr">
        <is>
          <t>Disetujui</t>
        </is>
      </c>
      <c r="K86" t="n">
        <v>60</v>
      </c>
      <c r="L86" t="inlineStr">
        <is>
          <t>22 November 2026</t>
        </is>
      </c>
      <c r="M86" t="inlineStr">
        <is>
          <t>Konstruksi Jaringan Irigasi dan Drainase</t>
        </is>
      </c>
      <c r="N86" t="inlineStr">
        <is>
          <t>K</t>
        </is>
      </c>
      <c r="O86" t="inlineStr">
        <is>
          <t>20231120</t>
        </is>
      </c>
      <c r="P86" t="inlineStr">
        <is>
          <t>Sumatera Utara</t>
        </is>
      </c>
      <c r="Q86" t="inlineStr"/>
    </row>
    <row r="87">
      <c r="A87" t="inlineStr">
        <is>
          <t>PUTRA ABADI JAYA</t>
        </is>
      </c>
      <c r="B87" t="inlineStr">
        <is>
          <t>Kab. Cilacap</t>
        </is>
      </c>
      <c r="C87" t="inlineStr">
        <is>
          <t>081903870617</t>
        </is>
      </c>
      <c r="D87" t="inlineStr">
        <is>
          <t>cvputraabadijaya2020@gmail.com</t>
        </is>
      </c>
      <c r="E87" t="inlineStr">
        <is>
          <t>https://lpjk.pu.go.id/search-badan-usaha-detail/M3U5NG5TVmpTeU8rSlYvL0IzRTNYUT09</t>
        </is>
      </c>
      <c r="F87" t="n">
        <v>3</v>
      </c>
      <c r="G87" t="inlineStr">
        <is>
          <t>BG005, BG006, BS004</t>
        </is>
      </c>
      <c r="H87" t="inlineStr">
        <is>
          <t>19 Februari 2020</t>
        </is>
      </c>
      <c r="I87" s="2" t="n">
        <v>46348</v>
      </c>
      <c r="J87" t="inlineStr">
        <is>
          <t>Disetujui</t>
        </is>
      </c>
      <c r="K87" t="n">
        <v>60</v>
      </c>
      <c r="L87" t="inlineStr">
        <is>
          <t>22 November 2026</t>
        </is>
      </c>
      <c r="M87" t="inlineStr">
        <is>
          <t>Konstruksi Gedung Kesehatan, Konstruksi Gedung Pendidikan, Konstruksi Jaringan Irigasi dan Drainase</t>
        </is>
      </c>
      <c r="N87" t="inlineStr">
        <is>
          <t>K</t>
        </is>
      </c>
      <c r="O87" t="inlineStr">
        <is>
          <t>20231005</t>
        </is>
      </c>
      <c r="P87" t="inlineStr">
        <is>
          <t>Jawa Tengah</t>
        </is>
      </c>
      <c r="Q87" t="inlineStr"/>
    </row>
    <row r="88">
      <c r="A88" t="inlineStr">
        <is>
          <t>PUTRA MITRA PERDANA</t>
        </is>
      </c>
      <c r="B88" t="inlineStr">
        <is>
          <t>Kab. Ogan Komering Ulu</t>
        </is>
      </c>
      <c r="C88" t="inlineStr">
        <is>
          <t>081524390681</t>
        </is>
      </c>
      <c r="D88" t="inlineStr">
        <is>
          <t>cvputramitraperdana@gmail.com</t>
        </is>
      </c>
      <c r="E88" t="inlineStr">
        <is>
          <t>https://lpjk.pu.go.id/search-badan-usaha-detail/VnFpV2JqczhUUTdOY241RUhzS1RCdz09</t>
        </is>
      </c>
      <c r="F88" t="n">
        <v>2</v>
      </c>
      <c r="G88" t="inlineStr">
        <is>
          <t>BS001, BS004</t>
        </is>
      </c>
      <c r="H88" t="inlineStr">
        <is>
          <t>30 November 2021</t>
        </is>
      </c>
      <c r="I88" s="2" t="n">
        <v>46348</v>
      </c>
      <c r="J88" t="inlineStr">
        <is>
          <t>Disetujui</t>
        </is>
      </c>
      <c r="K88" t="n">
        <v>60</v>
      </c>
      <c r="L88" t="inlineStr">
        <is>
          <t>22 November 2026</t>
        </is>
      </c>
      <c r="M88" t="inlineStr">
        <is>
          <t>Konstruksi Bangunan Sipil Jalan, Konstruksi Jaringan Irigasi dan Drainase</t>
        </is>
      </c>
      <c r="N88" t="inlineStr">
        <is>
          <t>K</t>
        </is>
      </c>
      <c r="O88" t="inlineStr">
        <is>
          <t>20231122, 20231123</t>
        </is>
      </c>
      <c r="P88" t="inlineStr">
        <is>
          <t>Sumatera Selatan</t>
        </is>
      </c>
      <c r="Q88" t="inlineStr"/>
    </row>
    <row r="89">
      <c r="A89" t="inlineStr">
        <is>
          <t>PUTRA OI</t>
        </is>
      </c>
      <c r="B89" t="inlineStr">
        <is>
          <t>Kab. Banyuwangi</t>
        </is>
      </c>
      <c r="C89" t="inlineStr">
        <is>
          <t>081233106985</t>
        </is>
      </c>
      <c r="D89" t="inlineStr">
        <is>
          <t>putraoi.cv@gmail.com</t>
        </is>
      </c>
      <c r="E89" t="inlineStr">
        <is>
          <t>https://lpjk.pu.go.id/search-badan-usaha-detail/L3JPTldici9vSVZWZXFOQWUwQW81dz09</t>
        </is>
      </c>
      <c r="F89" t="n">
        <v>2</v>
      </c>
      <c r="G89" t="inlineStr">
        <is>
          <t>BG006, BG009</t>
        </is>
      </c>
      <c r="H89" t="inlineStr">
        <is>
          <t>31 Maret 2016</t>
        </is>
      </c>
      <c r="I89" s="2" t="n">
        <v>46348</v>
      </c>
      <c r="J89" t="inlineStr">
        <is>
          <t>Disetujui</t>
        </is>
      </c>
      <c r="K89" t="n">
        <v>60</v>
      </c>
      <c r="L89" t="inlineStr">
        <is>
          <t>22 November 2026</t>
        </is>
      </c>
      <c r="M89" t="inlineStr">
        <is>
          <t>Konstruksi Gedung Lainnya, Konstruksi Gedung Pendidikan</t>
        </is>
      </c>
      <c r="N89" t="inlineStr">
        <is>
          <t>K</t>
        </is>
      </c>
      <c r="O89" t="inlineStr">
        <is>
          <t>20231120, 20231127</t>
        </is>
      </c>
      <c r="P89" t="inlineStr">
        <is>
          <t>Jawa Timur</t>
        </is>
      </c>
      <c r="Q89" t="inlineStr"/>
    </row>
    <row r="90">
      <c r="A90" t="inlineStr">
        <is>
          <t>PUTRA RAMBAH</t>
        </is>
      </c>
      <c r="B90" t="inlineStr">
        <is>
          <t>Kab. Pacitan</t>
        </is>
      </c>
      <c r="C90" t="inlineStr">
        <is>
          <t>085233960052</t>
        </is>
      </c>
      <c r="D90" t="inlineStr">
        <is>
          <t>cv.putrarambah@yahoo.com</t>
        </is>
      </c>
      <c r="E90" t="inlineStr">
        <is>
          <t>https://lpjk.pu.go.id/search-badan-usaha-detail/cFNEQUYwT2NiS04wQ2hpNVJweTlaZz09</t>
        </is>
      </c>
      <c r="F90" t="n">
        <v>4</v>
      </c>
      <c r="G90" t="inlineStr">
        <is>
          <t>BG002, BG006, BS001, BS010</t>
        </is>
      </c>
      <c r="H90" t="inlineStr">
        <is>
          <t>25 November 2014</t>
        </is>
      </c>
      <c r="I90" s="2" t="n">
        <v>46348</v>
      </c>
      <c r="J90" t="inlineStr">
        <is>
          <t>Disetujui, Pencabutan</t>
        </is>
      </c>
      <c r="K90" t="n">
        <v>60</v>
      </c>
      <c r="L90" t="inlineStr">
        <is>
          <t>22 November 2026</t>
        </is>
      </c>
      <c r="M90" t="inlineStr">
        <is>
          <t>Konstruksi Bangunan Prasarana Sumber Daya Air, Konstruksi Bangunan Sipil Jalan, Konstruksi Gedung Pendidikan, Konstruksi Gedung Perkantoran</t>
        </is>
      </c>
      <c r="N90" t="inlineStr">
        <is>
          <t>K</t>
        </is>
      </c>
      <c r="O90" t="inlineStr">
        <is>
          <t>20231123</t>
        </is>
      </c>
      <c r="P90" t="inlineStr">
        <is>
          <t>Jawa Timur</t>
        </is>
      </c>
      <c r="Q90" t="inlineStr"/>
    </row>
    <row r="91">
      <c r="A91" t="inlineStr">
        <is>
          <t>PUTRA SANTOSO</t>
        </is>
      </c>
      <c r="B91" t="inlineStr">
        <is>
          <t>Kota Surabaya</t>
        </is>
      </c>
      <c r="C91" t="inlineStr">
        <is>
          <t>0315942033</t>
        </is>
      </c>
      <c r="D91" t="inlineStr">
        <is>
          <t>new.putrasantoso@gmail.com</t>
        </is>
      </c>
      <c r="E91" t="inlineStr">
        <is>
          <t>https://lpjk.pu.go.id/search-badan-usaha-detail/Tm5hSkJicXo0ODZ0SllKbUNWS3hiQT09</t>
        </is>
      </c>
      <c r="F91" t="n">
        <v>4</v>
      </c>
      <c r="G91" t="inlineStr">
        <is>
          <t>BG001, BG002, BG005, BG009</t>
        </is>
      </c>
      <c r="H91" t="inlineStr">
        <is>
          <t>18 Desember 2008</t>
        </is>
      </c>
      <c r="I91" s="2" t="n">
        <v>46348</v>
      </c>
      <c r="J91" t="inlineStr">
        <is>
          <t>Disetujui</t>
        </is>
      </c>
      <c r="K91" t="n">
        <v>60</v>
      </c>
      <c r="L91" t="inlineStr">
        <is>
          <t>22 November 2026</t>
        </is>
      </c>
      <c r="M91" t="inlineStr">
        <is>
          <t>Konstruksi Gedung Hunian, Konstruksi Gedung Kesehatan, Konstruksi Gedung Lainnya, Konstruksi Gedung Perkantoran</t>
        </is>
      </c>
      <c r="N91" t="inlineStr">
        <is>
          <t>K</t>
        </is>
      </c>
      <c r="O91" t="inlineStr">
        <is>
          <t>20231122, 20231124, 20231127, 20231128</t>
        </is>
      </c>
      <c r="P91" t="inlineStr">
        <is>
          <t>Jawa Timur</t>
        </is>
      </c>
      <c r="Q91" t="inlineStr"/>
    </row>
    <row r="92">
      <c r="A92" t="inlineStr">
        <is>
          <t>PUTRA TUNGGAL MANDIRI</t>
        </is>
      </c>
      <c r="B92" t="inlineStr">
        <is>
          <t>Kab. Morowali</t>
        </is>
      </c>
      <c r="C92" t="inlineStr">
        <is>
          <t>082259601580</t>
        </is>
      </c>
      <c r="D92" t="inlineStr">
        <is>
          <t>hasimptm@yahoo.co.id</t>
        </is>
      </c>
      <c r="E92" t="inlineStr">
        <is>
          <t>https://lpjk.pu.go.id/search-badan-usaha-detail/VTVwbHlUaSsxb1prYVBKV2t0QkREUT09</t>
        </is>
      </c>
      <c r="F92" t="n">
        <v>2</v>
      </c>
      <c r="G92" t="inlineStr">
        <is>
          <t>BS005, BS010</t>
        </is>
      </c>
      <c r="H92" t="inlineStr">
        <is>
          <t>3 Oktober 2000</t>
        </is>
      </c>
      <c r="I92" s="2" t="n">
        <v>46348</v>
      </c>
      <c r="J92" t="inlineStr">
        <is>
          <t>Disetujui</t>
        </is>
      </c>
      <c r="K92" t="n">
        <v>60</v>
      </c>
      <c r="L92" t="inlineStr">
        <is>
          <t>22 November 2026</t>
        </is>
      </c>
      <c r="M92" t="inlineStr">
        <is>
          <t>Konstruksi Bangunan Prasarana Sumber Daya Air, Konstruksi Bangunan Sipil Pengolahan Air Bersih</t>
        </is>
      </c>
      <c r="N92" t="inlineStr">
        <is>
          <t>K</t>
        </is>
      </c>
      <c r="O92" t="inlineStr">
        <is>
          <t>20231122</t>
        </is>
      </c>
      <c r="P92" t="inlineStr">
        <is>
          <t>Sulawesi Tengah</t>
        </is>
      </c>
      <c r="Q92" t="inlineStr"/>
    </row>
    <row r="93">
      <c r="A93" t="inlineStr">
        <is>
          <t>RAFLESIA JAYA</t>
        </is>
      </c>
      <c r="B93" t="inlineStr">
        <is>
          <t>Kota Mataram</t>
        </is>
      </c>
      <c r="C93" t="inlineStr">
        <is>
          <t>085937019563</t>
        </is>
      </c>
      <c r="D93" t="inlineStr">
        <is>
          <t>jayaraflesia@gmail.com</t>
        </is>
      </c>
      <c r="E93" t="inlineStr">
        <is>
          <t>https://lpjk.pu.go.id/search-badan-usaha-detail/SERGY3RYR0RHanJzZHZPUmtGZHNhQT09</t>
        </is>
      </c>
      <c r="F93" t="n">
        <v>1</v>
      </c>
      <c r="G93" t="inlineStr">
        <is>
          <t>BG003</t>
        </is>
      </c>
      <c r="H93" t="inlineStr">
        <is>
          <t>12 Agustus 2020</t>
        </is>
      </c>
      <c r="I93" s="2" t="n">
        <v>46348</v>
      </c>
      <c r="J93" t="inlineStr">
        <is>
          <t>Disetujui</t>
        </is>
      </c>
      <c r="K93" t="n">
        <v>60</v>
      </c>
      <c r="L93" t="inlineStr">
        <is>
          <t>22 November 2026</t>
        </is>
      </c>
      <c r="M93" t="inlineStr">
        <is>
          <t>Konstruksi Gedung Industri</t>
        </is>
      </c>
      <c r="N93" t="inlineStr">
        <is>
          <t>K</t>
        </is>
      </c>
      <c r="O93" t="inlineStr">
        <is>
          <t>20231120</t>
        </is>
      </c>
      <c r="P93" t="inlineStr">
        <is>
          <t>Nusa Tenggara Barat</t>
        </is>
      </c>
      <c r="Q93" t="inlineStr"/>
    </row>
    <row r="94">
      <c r="A94" t="inlineStr">
        <is>
          <t>RASTY</t>
        </is>
      </c>
      <c r="B94" t="inlineStr">
        <is>
          <t>Kab. Sumedang</t>
        </is>
      </c>
      <c r="C94" t="inlineStr">
        <is>
          <t>082319106222</t>
        </is>
      </c>
      <c r="D94" t="inlineStr">
        <is>
          <t>cv.rasty@gmail.cpm</t>
        </is>
      </c>
      <c r="E94" t="inlineStr">
        <is>
          <t>https://lpjk.pu.go.id/search-badan-usaha-detail/TS9hU2swcDhvcnc5OFIyMzUxVUNTZz09</t>
        </is>
      </c>
      <c r="F94" t="n">
        <v>4</v>
      </c>
      <c r="G94" t="inlineStr">
        <is>
          <t>BG006, BG009, BS001, BS004</t>
        </is>
      </c>
      <c r="H94" t="inlineStr">
        <is>
          <t>9 Januari 2012</t>
        </is>
      </c>
      <c r="I94" s="2" t="n">
        <v>46348</v>
      </c>
      <c r="J94" t="inlineStr">
        <is>
          <t>Disetujui</t>
        </is>
      </c>
      <c r="K94" t="n">
        <v>60</v>
      </c>
      <c r="L94" t="inlineStr">
        <is>
          <t>22 November 2026</t>
        </is>
      </c>
      <c r="M94" t="inlineStr">
        <is>
          <t>Konstruksi Bangunan Sipil Jalan, Konstruksi Gedung Lainnya, Konstruksi Gedung Pendidikan, Konstruksi Jaringan Irigasi dan Drainase</t>
        </is>
      </c>
      <c r="N94" t="inlineStr">
        <is>
          <t>K</t>
        </is>
      </c>
      <c r="O94" t="inlineStr">
        <is>
          <t>20231120</t>
        </is>
      </c>
      <c r="P94" t="inlineStr">
        <is>
          <t>Jawa Barat</t>
        </is>
      </c>
      <c r="Q94" t="inlineStr"/>
    </row>
    <row r="95">
      <c r="A95" t="inlineStr">
        <is>
          <t>RATU BINTANG</t>
        </is>
      </c>
      <c r="B95" t="inlineStr">
        <is>
          <t>Kota Samarinda</t>
        </is>
      </c>
      <c r="C95" t="inlineStr">
        <is>
          <t>081345375389</t>
        </is>
      </c>
      <c r="D95" t="inlineStr">
        <is>
          <t>ratubintang75cv@gmail.com</t>
        </is>
      </c>
      <c r="E95" t="inlineStr">
        <is>
          <t>https://lpjk.pu.go.id/search-badan-usaha-detail/MXQ3aC8yckplUGVZb3JhbmtjV3JLZz09</t>
        </is>
      </c>
      <c r="F95" t="n">
        <v>1</v>
      </c>
      <c r="G95" t="inlineStr">
        <is>
          <t>BS001</t>
        </is>
      </c>
      <c r="H95" t="inlineStr">
        <is>
          <t>7 November 2023</t>
        </is>
      </c>
      <c r="I95" s="2" t="n">
        <v>46348</v>
      </c>
      <c r="J95" t="inlineStr">
        <is>
          <t>Disetujui</t>
        </is>
      </c>
      <c r="K95" t="n">
        <v>60</v>
      </c>
      <c r="L95" t="inlineStr">
        <is>
          <t>22 November 2026</t>
        </is>
      </c>
      <c r="M95" t="inlineStr">
        <is>
          <t>Konstruksi Bangunan Sipil Jalan</t>
        </is>
      </c>
      <c r="N95" t="inlineStr">
        <is>
          <t>K</t>
        </is>
      </c>
      <c r="O95" t="inlineStr">
        <is>
          <t>20231116</t>
        </is>
      </c>
      <c r="P95" t="inlineStr">
        <is>
          <t>Kalimantan Timur</t>
        </is>
      </c>
      <c r="Q95" t="inlineStr"/>
    </row>
    <row r="96">
      <c r="A96" t="inlineStr">
        <is>
          <t>RAVINDO ANUGRAHA KOKAR</t>
        </is>
      </c>
      <c r="B96" t="inlineStr">
        <is>
          <t>Kab. Kampar</t>
        </is>
      </c>
      <c r="C96" t="inlineStr">
        <is>
          <t>082170319702</t>
        </is>
      </c>
      <c r="D96" t="inlineStr">
        <is>
          <t>ravindoanugrahakokar@gmail.com</t>
        </is>
      </c>
      <c r="E96" t="inlineStr">
        <is>
          <t>https://lpjk.pu.go.id/search-badan-usaha-detail/c3VSZVNiWHE0d0tPYkY3YTdRYWJYZz09</t>
        </is>
      </c>
      <c r="F96" t="n">
        <v>3</v>
      </c>
      <c r="G96" t="inlineStr">
        <is>
          <t>BG001, BG002, BG006</t>
        </is>
      </c>
      <c r="H96" t="inlineStr">
        <is>
          <t>3 Juli 2023</t>
        </is>
      </c>
      <c r="I96" s="2" t="n">
        <v>46348</v>
      </c>
      <c r="J96" t="inlineStr">
        <is>
          <t>Disetujui</t>
        </is>
      </c>
      <c r="K96" t="n">
        <v>60</v>
      </c>
      <c r="L96" t="inlineStr">
        <is>
          <t>22 November 2026</t>
        </is>
      </c>
      <c r="M96" t="inlineStr">
        <is>
          <t>Konstruksi Gedung Hunian, Konstruksi Gedung Pendidikan, Konstruksi Gedung Perkantoran</t>
        </is>
      </c>
      <c r="N96" t="inlineStr">
        <is>
          <t>K</t>
        </is>
      </c>
      <c r="O96" t="inlineStr">
        <is>
          <t>20231114</t>
        </is>
      </c>
      <c r="P96" t="inlineStr">
        <is>
          <t>Riau</t>
        </is>
      </c>
      <c r="Q96" t="inlineStr"/>
    </row>
    <row r="97">
      <c r="A97" t="inlineStr">
        <is>
          <t>SAHRIL PRATAMA PUTRA</t>
        </is>
      </c>
      <c r="B97" t="inlineStr">
        <is>
          <t>Kab. Garut</t>
        </is>
      </c>
      <c r="C97" t="inlineStr">
        <is>
          <t>081322762118</t>
        </is>
      </c>
      <c r="D97" t="inlineStr">
        <is>
          <t>sahril.pratama.putra12@gmail.com</t>
        </is>
      </c>
      <c r="E97" t="inlineStr">
        <is>
          <t>https://lpjk.pu.go.id/search-badan-usaha-detail/Zy92RktycTVLa2FCZlc3eFRheURvUT09</t>
        </is>
      </c>
      <c r="F97" t="n">
        <v>5</v>
      </c>
      <c r="G97" t="inlineStr">
        <is>
          <t>BG001, BG002, BG005, BG006, BG009</t>
        </is>
      </c>
      <c r="H97" t="inlineStr">
        <is>
          <t>1 November 2023</t>
        </is>
      </c>
      <c r="I97" s="2" t="n">
        <v>46348</v>
      </c>
      <c r="J97" t="inlineStr">
        <is>
          <t>Disetujui</t>
        </is>
      </c>
      <c r="K97" t="n">
        <v>60</v>
      </c>
      <c r="L97" t="inlineStr">
        <is>
          <t>22 November 2026</t>
        </is>
      </c>
      <c r="M97" t="inlineStr">
        <is>
          <t>Konstruksi Gedung Hunian, Konstruksi Gedung Kesehatan, Konstruksi Gedung Lainnya, Konstruksi Gedung Pendidikan, Konstruksi Gedung Perkantoran</t>
        </is>
      </c>
      <c r="N97" t="inlineStr">
        <is>
          <t>K</t>
        </is>
      </c>
      <c r="O97" t="inlineStr">
        <is>
          <t>20231113, 20231123</t>
        </is>
      </c>
      <c r="P97" t="inlineStr">
        <is>
          <t>Jawa Barat</t>
        </is>
      </c>
      <c r="Q97" t="inlineStr"/>
    </row>
    <row r="98">
      <c r="A98" t="inlineStr">
        <is>
          <t>SAMI JAGA PURNA</t>
        </is>
      </c>
      <c r="B98" t="inlineStr">
        <is>
          <t>Kota Denpasar</t>
        </is>
      </c>
      <c r="C98" t="inlineStr">
        <is>
          <t>08155776855</t>
        </is>
      </c>
      <c r="D98" t="inlineStr">
        <is>
          <t>samijagapurna.pt@gmail.com</t>
        </is>
      </c>
      <c r="E98" t="inlineStr">
        <is>
          <t>https://lpjk.pu.go.id/search-badan-usaha-detail/NVlGTVVadHk0NFdyRUlNK0orWkxqQT09</t>
        </is>
      </c>
      <c r="F98" t="n">
        <v>1</v>
      </c>
      <c r="G98" t="inlineStr">
        <is>
          <t>BG009</t>
        </is>
      </c>
      <c r="H98" t="inlineStr">
        <is>
          <t>20 Juni 2016</t>
        </is>
      </c>
      <c r="I98" s="2" t="n">
        <v>46348</v>
      </c>
      <c r="J98" t="inlineStr">
        <is>
          <t>Disetujui</t>
        </is>
      </c>
      <c r="K98" t="n">
        <v>60</v>
      </c>
      <c r="L98" t="inlineStr">
        <is>
          <t>22 November 2026</t>
        </is>
      </c>
      <c r="M98" t="inlineStr">
        <is>
          <t>Konstruksi Gedung Lainnya</t>
        </is>
      </c>
      <c r="N98" t="inlineStr">
        <is>
          <t>K</t>
        </is>
      </c>
      <c r="O98" t="inlineStr">
        <is>
          <t>20231122</t>
        </is>
      </c>
      <c r="P98" t="inlineStr">
        <is>
          <t>Bali</t>
        </is>
      </c>
      <c r="Q98" t="inlineStr"/>
    </row>
    <row r="99">
      <c r="A99" t="inlineStr">
        <is>
          <t>SAMODRA MEGA TEHNIKA</t>
        </is>
      </c>
      <c r="B99" t="inlineStr">
        <is>
          <t>Kab. Boyolali</t>
        </is>
      </c>
      <c r="C99" t="inlineStr">
        <is>
          <t>0819673788</t>
        </is>
      </c>
      <c r="D99" t="inlineStr">
        <is>
          <t>samodramegatehnikapt@gmail.com</t>
        </is>
      </c>
      <c r="E99" t="inlineStr">
        <is>
          <t>https://lpjk.pu.go.id/search-badan-usaha-detail/NWlMbm84d2VuNEo1MlNlOStza2xtUT09</t>
        </is>
      </c>
      <c r="F99" t="n">
        <v>2</v>
      </c>
      <c r="G99" t="inlineStr">
        <is>
          <t>BS005, BS010</t>
        </is>
      </c>
      <c r="H99" t="inlineStr">
        <is>
          <t>22 Oktober 2003</t>
        </is>
      </c>
      <c r="I99" s="2" t="n">
        <v>46348</v>
      </c>
      <c r="J99" t="inlineStr">
        <is>
          <t>Disetujui, Pencabutan</t>
        </is>
      </c>
      <c r="K99" t="n">
        <v>60</v>
      </c>
      <c r="L99" t="inlineStr">
        <is>
          <t>22 November 2026</t>
        </is>
      </c>
      <c r="M99" t="inlineStr">
        <is>
          <t>Konstruksi Bangunan Prasarana Sumber Daya Air, Konstruksi Bangunan Sipil Pengolahan Air Bersih</t>
        </is>
      </c>
      <c r="N99" t="inlineStr">
        <is>
          <t>M</t>
        </is>
      </c>
      <c r="O99" t="inlineStr">
        <is>
          <t>20231004, 20231013</t>
        </is>
      </c>
      <c r="P99" t="inlineStr">
        <is>
          <t>Jawa Tengah</t>
        </is>
      </c>
      <c r="Q99" t="inlineStr"/>
    </row>
    <row r="100">
      <c r="A100" t="inlineStr">
        <is>
          <t>SARANA BERJAYA PRIMA</t>
        </is>
      </c>
      <c r="B100" t="inlineStr">
        <is>
          <t>Kota Adm. Jakarta Pusat</t>
        </is>
      </c>
      <c r="C100" t="inlineStr">
        <is>
          <t>081370197656</t>
        </is>
      </c>
      <c r="D100" t="inlineStr">
        <is>
          <t>ptsaranaberjayaprima9@gmail.com</t>
        </is>
      </c>
      <c r="E100" t="inlineStr">
        <is>
          <t>https://lpjk.pu.go.id/search-badan-usaha-detail/TWNIdDNLTVFvRU5CZEFkYW9pdnBBQT09</t>
        </is>
      </c>
      <c r="F100" t="n">
        <v>1</v>
      </c>
      <c r="G100" t="inlineStr">
        <is>
          <t>BG001</t>
        </is>
      </c>
      <c r="H100" t="inlineStr">
        <is>
          <t>1 Juni 2016</t>
        </is>
      </c>
      <c r="I100" s="2" t="n">
        <v>46348</v>
      </c>
      <c r="J100" t="inlineStr">
        <is>
          <t>Disetujui</t>
        </is>
      </c>
      <c r="K100" t="n">
        <v>60</v>
      </c>
      <c r="L100" t="inlineStr">
        <is>
          <t>22 November 2026</t>
        </is>
      </c>
      <c r="M100" t="inlineStr">
        <is>
          <t>Konstruksi Gedung Hunian</t>
        </is>
      </c>
      <c r="N100" t="inlineStr">
        <is>
          <t>K</t>
        </is>
      </c>
      <c r="O100" t="inlineStr">
        <is>
          <t>20231122</t>
        </is>
      </c>
      <c r="P100" t="inlineStr">
        <is>
          <t>DKI Jakarta</t>
        </is>
      </c>
      <c r="Q100" t="inlineStr"/>
    </row>
    <row r="101">
      <c r="A101" t="inlineStr">
        <is>
          <t>SEKAWAN UTAMA</t>
        </is>
      </c>
      <c r="B101" t="inlineStr">
        <is>
          <t>Kab. Tabanan</t>
        </is>
      </c>
      <c r="C101" t="inlineStr">
        <is>
          <t>0361811974</t>
        </is>
      </c>
      <c r="D101" t="inlineStr">
        <is>
          <t>wayanmudiasa198@gmail.com</t>
        </is>
      </c>
      <c r="E101" t="inlineStr">
        <is>
          <t>https://lpjk.pu.go.id/search-badan-usaha-detail/RlpYNUhkSVlMRkRPU2pJbzEvb1JBdz09</t>
        </is>
      </c>
      <c r="F101" t="n">
        <v>2</v>
      </c>
      <c r="G101" t="inlineStr">
        <is>
          <t>BG009</t>
        </is>
      </c>
      <c r="H101" t="inlineStr">
        <is>
          <t>18 Februari 2004</t>
        </is>
      </c>
      <c r="I101" s="2" t="n">
        <v>46348</v>
      </c>
      <c r="J101" t="inlineStr">
        <is>
          <t>Disetujui</t>
        </is>
      </c>
      <c r="K101" t="n">
        <v>60</v>
      </c>
      <c r="L101" t="inlineStr">
        <is>
          <t>22 November 2026</t>
        </is>
      </c>
      <c r="M101" t="inlineStr">
        <is>
          <t>Konstruksi Gedung Lainnya</t>
        </is>
      </c>
      <c r="N101" t="inlineStr">
        <is>
          <t>K</t>
        </is>
      </c>
      <c r="O101" t="inlineStr">
        <is>
          <t>20231120</t>
        </is>
      </c>
      <c r="P101" t="inlineStr">
        <is>
          <t>Bali</t>
        </is>
      </c>
      <c r="Q101" t="inlineStr"/>
    </row>
    <row r="102">
      <c r="A102" t="inlineStr">
        <is>
          <t>SINAR AGUNG MANDIRI</t>
        </is>
      </c>
      <c r="B102" t="inlineStr">
        <is>
          <t>Kota Adm. Jakarta Selatan</t>
        </is>
      </c>
      <c r="C102" t="inlineStr">
        <is>
          <t>08129993402</t>
        </is>
      </c>
      <c r="D102" t="inlineStr">
        <is>
          <t>sinaragung.mandiri17@gmail.com</t>
        </is>
      </c>
      <c r="E102" t="inlineStr">
        <is>
          <t>https://lpjk.pu.go.id/search-badan-usaha-detail/NXE5c2dRNkFHUjdFRXZ1VTB4NVB2QT09</t>
        </is>
      </c>
      <c r="F102" t="n">
        <v>1</v>
      </c>
      <c r="G102" t="inlineStr">
        <is>
          <t>BG004</t>
        </is>
      </c>
      <c r="H102" t="inlineStr">
        <is>
          <t>7 Januari 2002</t>
        </is>
      </c>
      <c r="I102" s="2" t="n">
        <v>46348</v>
      </c>
      <c r="J102" t="inlineStr">
        <is>
          <t>Disetujui</t>
        </is>
      </c>
      <c r="K102" t="n">
        <v>60</v>
      </c>
      <c r="L102" t="inlineStr">
        <is>
          <t>22 November 2026</t>
        </is>
      </c>
      <c r="M102" t="inlineStr">
        <is>
          <t>Konstruksi Gedung Perbelanjaan</t>
        </is>
      </c>
      <c r="N102" t="inlineStr">
        <is>
          <t>K</t>
        </is>
      </c>
      <c r="O102" t="inlineStr">
        <is>
          <t>20231122</t>
        </is>
      </c>
      <c r="P102" t="inlineStr">
        <is>
          <t>DKI Jakarta</t>
        </is>
      </c>
      <c r="Q102" t="inlineStr"/>
    </row>
    <row r="103">
      <c r="A103" t="inlineStr">
        <is>
          <t>SINAR PRATAMA AGZA</t>
        </is>
      </c>
      <c r="B103" t="inlineStr">
        <is>
          <t>Kab. Cilacap</t>
        </is>
      </c>
      <c r="C103" t="inlineStr">
        <is>
          <t>0282540131</t>
        </is>
      </c>
      <c r="D103" t="inlineStr">
        <is>
          <t>sinarpratamaagza@gmail.com</t>
        </is>
      </c>
      <c r="E103" t="inlineStr">
        <is>
          <t>https://lpjk.pu.go.id/search-badan-usaha-detail/SGpGbXA4RVdwVnFybjFDbDR1aTJpUT09</t>
        </is>
      </c>
      <c r="F103" t="n">
        <v>1</v>
      </c>
      <c r="G103" t="inlineStr">
        <is>
          <t>ST006</t>
        </is>
      </c>
      <c r="H103" t="inlineStr">
        <is>
          <t>8 Agustus 2015</t>
        </is>
      </c>
      <c r="I103" s="2" t="n">
        <v>46348</v>
      </c>
      <c r="J103" t="inlineStr">
        <is>
          <t>Disetujui</t>
        </is>
      </c>
      <c r="K103" t="n">
        <v>60</v>
      </c>
      <c r="L103" t="inlineStr">
        <is>
          <t>22 November 2026</t>
        </is>
      </c>
      <c r="M103" t="inlineStr">
        <is>
          <t>Konstruksi Bangunan Sipil Minyak dan Gas Bumi</t>
        </is>
      </c>
      <c r="N103" t="inlineStr">
        <is>
          <t>B</t>
        </is>
      </c>
      <c r="O103" t="inlineStr">
        <is>
          <t>20230803</t>
        </is>
      </c>
      <c r="P103" t="inlineStr">
        <is>
          <t>Jawa Tengah</t>
        </is>
      </c>
      <c r="Q103" t="inlineStr"/>
    </row>
    <row r="104">
      <c r="A104" t="inlineStr">
        <is>
          <t>SUMBER BERKAT</t>
        </is>
      </c>
      <c r="B104" t="inlineStr">
        <is>
          <t>Kab. Banyuwangi</t>
        </is>
      </c>
      <c r="C104" t="inlineStr">
        <is>
          <t>081233106985</t>
        </is>
      </c>
      <c r="D104" t="inlineStr">
        <is>
          <t>sumberberkat6@gmail.com</t>
        </is>
      </c>
      <c r="E104" t="inlineStr">
        <is>
          <t>https://lpjk.pu.go.id/search-badan-usaha-detail/LzlHYWp0dDhGODBsZ2VIMzQ2aUphUT09</t>
        </is>
      </c>
      <c r="F104" t="n">
        <v>1</v>
      </c>
      <c r="G104" t="inlineStr">
        <is>
          <t>BG009</t>
        </is>
      </c>
      <c r="H104" t="inlineStr">
        <is>
          <t>31 Maret 2016</t>
        </is>
      </c>
      <c r="I104" s="2" t="n">
        <v>46348</v>
      </c>
      <c r="J104" t="inlineStr">
        <is>
          <t>Disetujui</t>
        </is>
      </c>
      <c r="K104" t="n">
        <v>60</v>
      </c>
      <c r="L104" t="inlineStr">
        <is>
          <t>22 November 2026</t>
        </is>
      </c>
      <c r="M104" t="inlineStr">
        <is>
          <t>Konstruksi Gedung Lainnya</t>
        </is>
      </c>
      <c r="N104" t="inlineStr">
        <is>
          <t>K</t>
        </is>
      </c>
      <c r="O104" t="inlineStr">
        <is>
          <t>20231120</t>
        </is>
      </c>
      <c r="P104" t="inlineStr">
        <is>
          <t>Jawa Timur</t>
        </is>
      </c>
      <c r="Q104" t="inlineStr"/>
    </row>
    <row r="105">
      <c r="A105" t="inlineStr">
        <is>
          <t>SYIFAH JAYA KALTIM</t>
        </is>
      </c>
      <c r="B105" t="inlineStr">
        <is>
          <t>Kota Samarinda</t>
        </is>
      </c>
      <c r="C105" t="inlineStr">
        <is>
          <t>081335372138</t>
        </is>
      </c>
      <c r="D105" t="inlineStr">
        <is>
          <t>syifahjayakaltim@gmail.com</t>
        </is>
      </c>
      <c r="E105" t="inlineStr">
        <is>
          <t>https://lpjk.pu.go.id/search-badan-usaha-detail/QjVKRzg1R0IvaWJPVHhoSWVXcm02QT09</t>
        </is>
      </c>
      <c r="F105" t="n">
        <v>7</v>
      </c>
      <c r="G105" t="inlineStr">
        <is>
          <t>BG002, BG006, BG009, PB001, PB004, PB007, PB009</t>
        </is>
      </c>
      <c r="H105" t="inlineStr">
        <is>
          <t>4 Mei 2020</t>
        </is>
      </c>
      <c r="I105" s="2" t="n">
        <v>46348</v>
      </c>
      <c r="J105" t="inlineStr">
        <is>
          <t>Disetujui</t>
        </is>
      </c>
      <c r="K105" t="n">
        <v>60</v>
      </c>
      <c r="L105" t="inlineStr">
        <is>
          <t>22 November 2026</t>
        </is>
      </c>
      <c r="M105" t="inlineStr">
        <is>
          <t>Dekorasi Interior, Konstruksi Gedung Lainnya, Konstruksi Gedung Pendidikan, Konstruksi Gedung Perkantoran, Pembersihan dan Perapihan Bangunan Gedung dan/atau Bangunan Sipil, Pengecatan, Pengerjaan Pemasangan Kaca dan Alumunium</t>
        </is>
      </c>
      <c r="N105" t="inlineStr">
        <is>
          <t>K, Spesialis</t>
        </is>
      </c>
      <c r="O105" t="inlineStr">
        <is>
          <t>20231121</t>
        </is>
      </c>
      <c r="P105" t="inlineStr">
        <is>
          <t>Kalimantan Timur</t>
        </is>
      </c>
      <c r="Q105" t="inlineStr"/>
    </row>
    <row r="106">
      <c r="A106" t="inlineStr">
        <is>
          <t>TATA SINERGY VIGULAND</t>
        </is>
      </c>
      <c r="B106" t="inlineStr">
        <is>
          <t>Kota Semarang</t>
        </is>
      </c>
      <c r="C106" t="inlineStr">
        <is>
          <t>081229341954</t>
        </is>
      </c>
      <c r="D106" t="inlineStr">
        <is>
          <t>tatasinergy58@gmail.com</t>
        </is>
      </c>
      <c r="E106" t="inlineStr">
        <is>
          <t>https://lpjk.pu.go.id/search-badan-usaha-detail/QURLSHRmT05zL1g4TTlyWGpSUzI1dz09</t>
        </is>
      </c>
      <c r="F106" t="n">
        <v>7</v>
      </c>
      <c r="G106" t="inlineStr">
        <is>
          <t>BG001, BG003, BG007, BG009, BS001, BS002, BS004</t>
        </is>
      </c>
      <c r="H106" t="inlineStr">
        <is>
          <t>22 Januari 2021</t>
        </is>
      </c>
      <c r="I106" s="2" t="n">
        <v>46348</v>
      </c>
      <c r="J106" t="inlineStr">
        <is>
          <t>Pencabutan</t>
        </is>
      </c>
      <c r="K106" t="n">
        <v>60</v>
      </c>
      <c r="L106" t="inlineStr">
        <is>
          <t>22 November 2026</t>
        </is>
      </c>
      <c r="M106" t="inlineStr">
        <is>
          <t>Bangunan Sipil Jembatan, Jalan Layang, Fly Over, dan Underpass, Konstruksi Bangunan Sipil Jalan, Konstruksi Gedung Hunian, Konstruksi Gedung Industri, Konstruksi Gedung Lainnya, Konstruksi Gedung Penginapan, Konstruksi Jaringan Irigasi dan Drainase</t>
        </is>
      </c>
      <c r="N106" t="inlineStr">
        <is>
          <t>K</t>
        </is>
      </c>
      <c r="O106" t="inlineStr">
        <is>
          <t>20231121, 20231122, 20231123</t>
        </is>
      </c>
      <c r="P106" t="inlineStr">
        <is>
          <t>Jawa Tengah</t>
        </is>
      </c>
      <c r="Q106" t="inlineStr"/>
    </row>
    <row r="107">
      <c r="A107" t="inlineStr">
        <is>
          <t>TEKNIK JAYA UTAMI</t>
        </is>
      </c>
      <c r="B107" t="inlineStr">
        <is>
          <t>Kab. Sidoarjo</t>
        </is>
      </c>
      <c r="C107" t="inlineStr">
        <is>
          <t>082223338931</t>
        </is>
      </c>
      <c r="D107" t="inlineStr">
        <is>
          <t>teknikjayautami57@gmail.com</t>
        </is>
      </c>
      <c r="E107" t="inlineStr">
        <is>
          <t>https://lpjk.pu.go.id/search-badan-usaha-detail/eS9qb2FOdGh0YmFtYTkxTWtOMWxQdz09</t>
        </is>
      </c>
      <c r="F107" t="n">
        <v>2</v>
      </c>
      <c r="G107" t="inlineStr">
        <is>
          <t>IN013</t>
        </is>
      </c>
      <c r="H107" t="inlineStr">
        <is>
          <t>31 Juli 2017</t>
        </is>
      </c>
      <c r="I107" s="2" t="n">
        <v>46348</v>
      </c>
      <c r="J107" t="inlineStr">
        <is>
          <t>Disetujui, Permohonan Ditolak</t>
        </is>
      </c>
      <c r="K107" t="n">
        <v>60</v>
      </c>
      <c r="L107" t="inlineStr">
        <is>
          <t>22 November 2026</t>
        </is>
      </c>
      <c r="M107" t="inlineStr">
        <is>
          <t>Instalasi Pemanas dan Geotermal</t>
        </is>
      </c>
      <c r="N107" t="inlineStr">
        <is>
          <t>Spesialis</t>
        </is>
      </c>
      <c r="O107" t="inlineStr">
        <is>
          <t>20231121, 20231124</t>
        </is>
      </c>
      <c r="P107" t="inlineStr">
        <is>
          <t>Jawa Timur</t>
        </is>
      </c>
      <c r="Q107" t="inlineStr"/>
    </row>
    <row r="108">
      <c r="A108" t="inlineStr">
        <is>
          <t>TEKNIKAL GLOBAL KONSULTAN</t>
        </is>
      </c>
      <c r="B108" t="inlineStr">
        <is>
          <t>Kota Samarinda</t>
        </is>
      </c>
      <c r="C108" t="inlineStr">
        <is>
          <t>082151820900</t>
        </is>
      </c>
      <c r="D108" t="inlineStr">
        <is>
          <t>teknikalglobalkonsultan@gmail.com</t>
        </is>
      </c>
      <c r="E108" t="inlineStr">
        <is>
          <t>https://lpjk.pu.go.id/search-badan-usaha-detail/RHlERC9sZkFrOWc2a1pTZ0w4NlF2QT09</t>
        </is>
      </c>
      <c r="F108" t="n">
        <v>2</v>
      </c>
      <c r="G108" t="inlineStr">
        <is>
          <t>RK003</t>
        </is>
      </c>
      <c r="H108" t="inlineStr">
        <is>
          <t>10 Januari 2014</t>
        </is>
      </c>
      <c r="I108" s="2" t="n">
        <v>46348</v>
      </c>
      <c r="J108" t="inlineStr">
        <is>
          <t>Disetujui</t>
        </is>
      </c>
      <c r="K108" t="n">
        <v>60</v>
      </c>
      <c r="L108" t="inlineStr">
        <is>
          <t>22 November 2026</t>
        </is>
      </c>
      <c r="M108" t="inlineStr">
        <is>
          <t>Jasa Rekayasa Pekerjaan Teknik Sipil Transportasi</t>
        </is>
      </c>
      <c r="N108" t="inlineStr">
        <is>
          <t>K</t>
        </is>
      </c>
      <c r="O108" t="inlineStr">
        <is>
          <t>20231113</t>
        </is>
      </c>
      <c r="P108" t="inlineStr">
        <is>
          <t>Kalimantan Timur</t>
        </is>
      </c>
      <c r="Q108" t="inlineStr"/>
    </row>
    <row r="109">
      <c r="A109" t="inlineStr">
        <is>
          <t>TIGA DEWA INTERNUSA</t>
        </is>
      </c>
      <c r="B109" t="inlineStr">
        <is>
          <t>Kota Bandung</t>
        </is>
      </c>
      <c r="C109" t="inlineStr">
        <is>
          <t>081233232370</t>
        </is>
      </c>
      <c r="D109" t="inlineStr">
        <is>
          <t>admin@3dewainternusa.id</t>
        </is>
      </c>
      <c r="E109" t="inlineStr">
        <is>
          <t>https://lpjk.pu.go.id/search-badan-usaha-detail/ZXZqWXhXbHAyM0NicDZOTmV5QzhqZz09</t>
        </is>
      </c>
      <c r="F109" t="n">
        <v>3</v>
      </c>
      <c r="G109" t="inlineStr">
        <is>
          <t>BG002, BG006, BG009</t>
        </is>
      </c>
      <c r="H109" t="inlineStr">
        <is>
          <t>22 September 2023</t>
        </is>
      </c>
      <c r="I109" s="2" t="n">
        <v>46348</v>
      </c>
      <c r="J109" t="inlineStr">
        <is>
          <t>Disetujui</t>
        </is>
      </c>
      <c r="K109" t="n">
        <v>60</v>
      </c>
      <c r="L109" t="inlineStr">
        <is>
          <t>22 November 2026</t>
        </is>
      </c>
      <c r="M109" t="inlineStr">
        <is>
          <t>Konstruksi Gedung Lainnya, Konstruksi Gedung Pendidikan, Konstruksi Gedung Perkantoran</t>
        </is>
      </c>
      <c r="N109" t="inlineStr">
        <is>
          <t>K</t>
        </is>
      </c>
      <c r="O109" t="inlineStr">
        <is>
          <t>20231121</t>
        </is>
      </c>
      <c r="P109" t="inlineStr">
        <is>
          <t>Jawa Barat</t>
        </is>
      </c>
      <c r="Q109" t="inlineStr"/>
    </row>
    <row r="110">
      <c r="A110" t="inlineStr">
        <is>
          <t>TJIPTAKALANG BAJAUTAMA</t>
        </is>
      </c>
      <c r="B110" t="inlineStr">
        <is>
          <t>Kota Adm. Jakarta Utara</t>
        </is>
      </c>
      <c r="C110" t="inlineStr">
        <is>
          <t>08129921819</t>
        </is>
      </c>
      <c r="D110" t="inlineStr">
        <is>
          <t>ferrykhie@gmail.com</t>
        </is>
      </c>
      <c r="E110" t="inlineStr">
        <is>
          <t>https://lpjk.pu.go.id/search-badan-usaha-detail/VUw0aGl1UFQrS1RGT1FNQ2s0Mm5rdz09</t>
        </is>
      </c>
      <c r="F110" t="n">
        <v>1</v>
      </c>
      <c r="G110" t="inlineStr">
        <is>
          <t>BG003</t>
        </is>
      </c>
      <c r="H110" t="inlineStr">
        <is>
          <t>28 Februari 1990</t>
        </is>
      </c>
      <c r="I110" s="2" t="n">
        <v>46348</v>
      </c>
      <c r="J110" t="inlineStr">
        <is>
          <t>Pembekuan</t>
        </is>
      </c>
      <c r="K110" t="n">
        <v>60</v>
      </c>
      <c r="L110" t="inlineStr">
        <is>
          <t>22 November 2026</t>
        </is>
      </c>
      <c r="M110" t="inlineStr">
        <is>
          <t>Konstruksi Gedung Industri</t>
        </is>
      </c>
      <c r="N110" t="inlineStr">
        <is>
          <t>M</t>
        </is>
      </c>
      <c r="O110" t="inlineStr">
        <is>
          <t>20231121</t>
        </is>
      </c>
      <c r="P110" t="inlineStr">
        <is>
          <t>DKI Jakarta</t>
        </is>
      </c>
      <c r="Q110" t="inlineStr"/>
    </row>
    <row r="111">
      <c r="A111" t="inlineStr">
        <is>
          <t>TRIMATRA JASA PRAKASA</t>
        </is>
      </c>
      <c r="B111" t="inlineStr">
        <is>
          <t>Kota Adm. Jakarta Selatan</t>
        </is>
      </c>
      <c r="C111" t="inlineStr">
        <is>
          <t>0217258521</t>
        </is>
      </c>
      <c r="D111" t="inlineStr">
        <is>
          <t>trimatra@trimatrajasaprakasa.co.id</t>
        </is>
      </c>
      <c r="E111" t="inlineStr">
        <is>
          <t>https://lpjk.pu.go.id/search-badan-usaha-detail/Wkd3VmZ4eVNrLzh0WWg1UUR4V0VrUT09</t>
        </is>
      </c>
      <c r="F111" t="n">
        <v>2</v>
      </c>
      <c r="G111" t="inlineStr">
        <is>
          <t>RK001</t>
        </is>
      </c>
      <c r="H111" t="inlineStr">
        <is>
          <t>14 Oktober 2016</t>
        </is>
      </c>
      <c r="I111" s="2" t="n">
        <v>46348</v>
      </c>
      <c r="J111" t="inlineStr">
        <is>
          <t>Disetujui</t>
        </is>
      </c>
      <c r="K111" t="n">
        <v>60</v>
      </c>
      <c r="L111" t="inlineStr">
        <is>
          <t>22 November 2026</t>
        </is>
      </c>
      <c r="M111" t="inlineStr">
        <is>
          <t>Jasa Rekayasa Konstruksi Bangunan Gedung Hunian dan Non Hunian</t>
        </is>
      </c>
      <c r="N111" t="inlineStr">
        <is>
          <t>B</t>
        </is>
      </c>
      <c r="O111" t="inlineStr">
        <is>
          <t>20231113</t>
        </is>
      </c>
      <c r="P111" t="inlineStr">
        <is>
          <t>DKI Jakarta</t>
        </is>
      </c>
      <c r="Q111" t="inlineStr"/>
    </row>
    <row r="112">
      <c r="A112" t="inlineStr">
        <is>
          <t>WAHYU PUTRA JAYA</t>
        </is>
      </c>
      <c r="B112" t="inlineStr">
        <is>
          <t>Kab. Kudus</t>
        </is>
      </c>
      <c r="C112" t="inlineStr">
        <is>
          <t>088989816100</t>
        </is>
      </c>
      <c r="D112" t="inlineStr">
        <is>
          <t>cv.wahyuputrajaya@yahoo.com</t>
        </is>
      </c>
      <c r="E112" t="inlineStr">
        <is>
          <t>https://lpjk.pu.go.id/search-badan-usaha-detail/SmJ0bmhxaGplSFNVcnkyaXRGa0ZBQT09</t>
        </is>
      </c>
      <c r="F112" t="n">
        <v>1</v>
      </c>
      <c r="G112" t="inlineStr">
        <is>
          <t>BS001</t>
        </is>
      </c>
      <c r="H112" t="inlineStr">
        <is>
          <t>17 Maret 2014</t>
        </is>
      </c>
      <c r="I112" s="2" t="n">
        <v>46348</v>
      </c>
      <c r="J112" t="inlineStr">
        <is>
          <t>Disetujui</t>
        </is>
      </c>
      <c r="K112" t="n">
        <v>60</v>
      </c>
      <c r="L112" t="inlineStr">
        <is>
          <t>22 November 2026</t>
        </is>
      </c>
      <c r="M112" t="inlineStr">
        <is>
          <t>Konstruksi Bangunan Sipil Jalan</t>
        </is>
      </c>
      <c r="N112" t="inlineStr">
        <is>
          <t>K</t>
        </is>
      </c>
      <c r="O112" t="inlineStr">
        <is>
          <t>20231121</t>
        </is>
      </c>
      <c r="P112" t="inlineStr">
        <is>
          <t>Jawa Tengah</t>
        </is>
      </c>
      <c r="Q112" t="inlineStr"/>
    </row>
    <row r="113">
      <c r="A113" t="inlineStr">
        <is>
          <t>WANA BAKTI NUSANTARA</t>
        </is>
      </c>
      <c r="B113" t="inlineStr">
        <is>
          <t>Kota Tangerang Selatan</t>
        </is>
      </c>
      <c r="C113" t="inlineStr">
        <is>
          <t>02138901216</t>
        </is>
      </c>
      <c r="D113" t="inlineStr">
        <is>
          <t>wanasurety@yahoo.com</t>
        </is>
      </c>
      <c r="E113" t="inlineStr">
        <is>
          <t>https://lpjk.pu.go.id/search-badan-usaha-detail/MkovQVdnd3lQVXN3TmRhaWVCWDRGUT09</t>
        </is>
      </c>
      <c r="F113" t="n">
        <v>1</v>
      </c>
      <c r="G113" t="inlineStr">
        <is>
          <t>BG002</t>
        </is>
      </c>
      <c r="H113" t="inlineStr">
        <is>
          <t>12 Desember 2012</t>
        </is>
      </c>
      <c r="I113" s="2" t="n">
        <v>46348</v>
      </c>
      <c r="J113" t="inlineStr">
        <is>
          <t>Disetujui</t>
        </is>
      </c>
      <c r="K113" t="n">
        <v>60</v>
      </c>
      <c r="L113" t="inlineStr">
        <is>
          <t>22 November 2026</t>
        </is>
      </c>
      <c r="M113" t="inlineStr">
        <is>
          <t>Konstruksi Gedung Perkantoran</t>
        </is>
      </c>
      <c r="N113" t="inlineStr">
        <is>
          <t>K</t>
        </is>
      </c>
      <c r="O113" t="inlineStr">
        <is>
          <t>20231123</t>
        </is>
      </c>
      <c r="P113" t="inlineStr">
        <is>
          <t>Banten</t>
        </is>
      </c>
      <c r="Q113" t="inlineStr"/>
    </row>
    <row r="114">
      <c r="A114" t="inlineStr">
        <is>
          <t>WIRYA KRENINDO PERKASA</t>
        </is>
      </c>
      <c r="B114" t="inlineStr">
        <is>
          <t>Kota Adm. Jakarta Utara</t>
        </is>
      </c>
      <c r="C114" t="inlineStr">
        <is>
          <t>081337705417</t>
        </is>
      </c>
      <c r="D114" t="inlineStr">
        <is>
          <t>hrga2@ekatamagroup.com</t>
        </is>
      </c>
      <c r="E114" t="inlineStr">
        <is>
          <t>https://lpjk.pu.go.id/search-badan-usaha-detail/K0hYMm9UZUNGQkNtSUJ6ZFI4Y1ZoQT09</t>
        </is>
      </c>
      <c r="F114" t="n">
        <v>1</v>
      </c>
      <c r="G114" t="inlineStr">
        <is>
          <t>KK016</t>
        </is>
      </c>
      <c r="H114" t="inlineStr">
        <is>
          <t>5 Februari 1997</t>
        </is>
      </c>
      <c r="I114" s="2" t="n">
        <v>46348</v>
      </c>
      <c r="J114" t="inlineStr">
        <is>
          <t>Disetujui</t>
        </is>
      </c>
      <c r="K114" t="n">
        <v>60</v>
      </c>
      <c r="L114" t="inlineStr">
        <is>
          <t>22 November 2026</t>
        </is>
      </c>
      <c r="M114" t="inlineStr">
        <is>
          <t>Pemasangan Kerangka Baja</t>
        </is>
      </c>
      <c r="N114" t="inlineStr">
        <is>
          <t>Spesialis</t>
        </is>
      </c>
      <c r="O114" t="inlineStr">
        <is>
          <t>20230712</t>
        </is>
      </c>
      <c r="P114" t="inlineStr">
        <is>
          <t>DKI Jakarta</t>
        </is>
      </c>
      <c r="Q114" t="inlineStr"/>
    </row>
    <row r="115">
      <c r="A115" t="inlineStr">
        <is>
          <t>YOGA KRIDA PRATAMA</t>
        </is>
      </c>
      <c r="B115" t="inlineStr">
        <is>
          <t>Kab. Bantul</t>
        </is>
      </c>
      <c r="C115" t="inlineStr">
        <is>
          <t>0818268821</t>
        </is>
      </c>
      <c r="D115" t="inlineStr">
        <is>
          <t>kridapratama321@gmail.com</t>
        </is>
      </c>
      <c r="E115" t="inlineStr">
        <is>
          <t>https://lpjk.pu.go.id/search-badan-usaha-detail/RmgxV1hpV2VFNTdoZXkwSFZPTDJKUT09</t>
        </is>
      </c>
      <c r="F115" t="n">
        <v>1</v>
      </c>
      <c r="G115" t="inlineStr">
        <is>
          <t>BG006</t>
        </is>
      </c>
      <c r="H115" t="inlineStr">
        <is>
          <t>22 Agustus 2022</t>
        </is>
      </c>
      <c r="I115" s="2" t="n">
        <v>46348</v>
      </c>
      <c r="J115" t="inlineStr">
        <is>
          <t>Disetujui</t>
        </is>
      </c>
      <c r="K115" t="n">
        <v>60</v>
      </c>
      <c r="L115" t="inlineStr">
        <is>
          <t>22 November 2026</t>
        </is>
      </c>
      <c r="M115" t="inlineStr">
        <is>
          <t>Konstruksi Gedung Pendidikan</t>
        </is>
      </c>
      <c r="N115" t="inlineStr">
        <is>
          <t>K</t>
        </is>
      </c>
      <c r="O115" t="inlineStr">
        <is>
          <t>20231108</t>
        </is>
      </c>
      <c r="P115" t="inlineStr">
        <is>
          <t>DI Yogyakarta</t>
        </is>
      </c>
      <c r="Q115"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112"/>
  <sheetViews>
    <sheetView workbookViewId="0">
      <selection activeCell="A1" sqref="A1"/>
    </sheetView>
  </sheetViews>
  <sheetFormatPr baseColWidth="8" defaultRowHeight="15"/>
  <cols>
    <col width="31" customWidth="1" min="1" max="1"/>
    <col width="27" customWidth="1" min="2" max="2"/>
    <col width="15" customWidth="1" min="3" max="3"/>
    <col width="41" customWidth="1" min="4" max="4"/>
    <col width="50" customWidth="1" min="5" max="5"/>
    <col width="18" customWidth="1" min="6" max="6"/>
    <col width="49" customWidth="1" min="7" max="7"/>
    <col width="20" customWidth="1" min="8" max="8"/>
    <col width="28" customWidth="1" min="9" max="9"/>
    <col width="23" customWidth="1" min="10" max="10"/>
    <col width="11" customWidth="1" min="11" max="11"/>
    <col width="17" customWidth="1" min="12" max="12"/>
    <col width="50" customWidth="1" min="13" max="13"/>
    <col width="13" customWidth="1" min="14" max="14"/>
    <col width="40" customWidth="1" min="15" max="15"/>
    <col width="21" customWidth="1" min="16" max="16"/>
    <col width="50" customWidth="1" min="17" max="17"/>
  </cols>
  <sheetData>
    <row r="1">
      <c r="A1" s="1" t="inlineStr">
        <is>
          <t>Nama Perusahaan</t>
        </is>
      </c>
      <c r="B1" s="1" t="inlineStr">
        <is>
          <t>Kabupaten/Kota</t>
        </is>
      </c>
      <c r="C1" s="1" t="inlineStr">
        <is>
          <t>Telepon</t>
        </is>
      </c>
      <c r="D1" s="1" t="inlineStr">
        <is>
          <t>Email</t>
        </is>
      </c>
      <c r="E1" s="1" t="inlineStr">
        <is>
          <t>Link</t>
        </is>
      </c>
      <c r="F1" s="1" t="inlineStr">
        <is>
          <t>Jumlah KBLI 2020</t>
        </is>
      </c>
      <c r="G1" s="1" t="inlineStr">
        <is>
          <t>Kode Subklasifikasi</t>
        </is>
      </c>
      <c r="H1" s="1" t="inlineStr">
        <is>
          <t>Tanggal Ditetapkan</t>
        </is>
      </c>
      <c r="I1" s="1" t="inlineStr">
        <is>
          <t>Tanggal Habis Masa Berlaku</t>
        </is>
      </c>
      <c r="J1" s="1" t="inlineStr">
        <is>
          <t>Status</t>
        </is>
      </c>
      <c r="K1" s="1" t="inlineStr">
        <is>
          <t>Sisa Hari</t>
        </is>
      </c>
      <c r="L1" s="1" t="inlineStr">
        <is>
          <t>Tanggal Expired</t>
        </is>
      </c>
      <c r="M1" s="1" t="inlineStr">
        <is>
          <t>Subklasifikasi</t>
        </is>
      </c>
      <c r="N1" s="1" t="inlineStr">
        <is>
          <t>Kualifikasi</t>
        </is>
      </c>
      <c r="O1" s="1" t="inlineStr">
        <is>
          <t>ID Subklasifikasi</t>
        </is>
      </c>
      <c r="P1" s="1" t="inlineStr">
        <is>
          <t>Provinsi</t>
        </is>
      </c>
      <c r="Q1" s="1" t="inlineStr">
        <is>
          <t>Link WhatsApp</t>
        </is>
      </c>
    </row>
    <row r="2">
      <c r="A2" t="inlineStr">
        <is>
          <t>ANUGRAH SAHABAT JAYA</t>
        </is>
      </c>
      <c r="B2" t="inlineStr">
        <is>
          <t>Kota Depok</t>
        </is>
      </c>
      <c r="C2" t="inlineStr">
        <is>
          <t>0217546513</t>
        </is>
      </c>
      <c r="D2" t="inlineStr">
        <is>
          <t>anugrah.sahabat.jaya@gmail.com</t>
        </is>
      </c>
      <c r="E2" t="inlineStr">
        <is>
          <t>https://lpjk.pu.go.id/search-badan-usaha-detail/ZG5pdm51c2FSTk9ma0xlUEJLWEdzUT09</t>
        </is>
      </c>
      <c r="F2" t="n">
        <v>2</v>
      </c>
      <c r="G2" t="inlineStr">
        <is>
          <t>BG009</t>
        </is>
      </c>
      <c r="H2" t="inlineStr">
        <is>
          <t>15 Desember 2010</t>
        </is>
      </c>
      <c r="I2" s="2" t="n">
        <v>46318</v>
      </c>
      <c r="J2" t="inlineStr">
        <is>
          <t>Disetujui</t>
        </is>
      </c>
      <c r="K2" t="n">
        <v>30</v>
      </c>
      <c r="L2" t="inlineStr">
        <is>
          <t>23 Oktober 2026</t>
        </is>
      </c>
      <c r="M2" t="inlineStr">
        <is>
          <t>Konstruksi Gedung Lainnya</t>
        </is>
      </c>
      <c r="N2" t="inlineStr">
        <is>
          <t>K</t>
        </is>
      </c>
      <c r="O2" t="inlineStr">
        <is>
          <t>20231019</t>
        </is>
      </c>
      <c r="P2" t="inlineStr">
        <is>
          <t>Jawa Barat</t>
        </is>
      </c>
      <c r="Q2" t="inlineStr"/>
    </row>
    <row r="3">
      <c r="A3" t="inlineStr">
        <is>
          <t>BAHANA SUPRINDO KREASI</t>
        </is>
      </c>
      <c r="B3" t="inlineStr">
        <is>
          <t>Kab. Bogor</t>
        </is>
      </c>
      <c r="C3" t="inlineStr">
        <is>
          <t>02183716418</t>
        </is>
      </c>
      <c r="D3" t="inlineStr">
        <is>
          <t>bsk.generalcontractor@gmail.com</t>
        </is>
      </c>
      <c r="E3" t="inlineStr">
        <is>
          <t>https://lpjk.pu.go.id/search-badan-usaha-detail/eithR1pnMkg1bDNENWZLZW8vSmNjQT09</t>
        </is>
      </c>
      <c r="F3" t="n">
        <v>3</v>
      </c>
      <c r="G3" t="inlineStr">
        <is>
          <t>BG001, BG002, BG006</t>
        </is>
      </c>
      <c r="H3" t="inlineStr">
        <is>
          <t>9 September 2016</t>
        </is>
      </c>
      <c r="I3" s="2" t="n">
        <v>46318</v>
      </c>
      <c r="J3" t="inlineStr">
        <is>
          <t>Disetujui</t>
        </is>
      </c>
      <c r="K3" t="n">
        <v>30</v>
      </c>
      <c r="L3" t="inlineStr">
        <is>
          <t>23 Oktober 2026</t>
        </is>
      </c>
      <c r="M3" t="inlineStr">
        <is>
          <t>Konstruksi Gedung Hunian, Konstruksi Gedung Pendidikan, Konstruksi Gedung Perkantoran</t>
        </is>
      </c>
      <c r="N3" t="inlineStr">
        <is>
          <t>K</t>
        </is>
      </c>
      <c r="O3" t="inlineStr">
        <is>
          <t>20231014</t>
        </is>
      </c>
      <c r="P3" t="inlineStr">
        <is>
          <t>Jawa Barat</t>
        </is>
      </c>
      <c r="Q3" t="inlineStr"/>
    </row>
    <row r="4">
      <c r="A4" t="inlineStr">
        <is>
          <t>CIPTA TRANS SARANA</t>
        </is>
      </c>
      <c r="B4" t="inlineStr">
        <is>
          <t>Kota Depok</t>
        </is>
      </c>
      <c r="C4" t="inlineStr">
        <is>
          <t>081288238832</t>
        </is>
      </c>
      <c r="D4" t="inlineStr">
        <is>
          <t>ciptatrans.sarana@gmail.com</t>
        </is>
      </c>
      <c r="E4" t="inlineStr">
        <is>
          <t>https://lpjk.pu.go.id/search-badan-usaha-detail/b296S1B3dW42Z1pKY1RwenN1a3k1Zz09</t>
        </is>
      </c>
      <c r="F4" t="n">
        <v>10</v>
      </c>
      <c r="G4" t="inlineStr">
        <is>
          <t>BG001, BG005, BG009, BS001, BS004</t>
        </is>
      </c>
      <c r="H4" t="inlineStr">
        <is>
          <t>30 Mei 2016</t>
        </is>
      </c>
      <c r="I4" s="2" t="n">
        <v>46318</v>
      </c>
      <c r="J4" t="inlineStr">
        <is>
          <t>Disetujui</t>
        </is>
      </c>
      <c r="K4" t="n">
        <v>30</v>
      </c>
      <c r="L4" t="inlineStr">
        <is>
          <t>23 Oktober 2026</t>
        </is>
      </c>
      <c r="M4" t="inlineStr">
        <is>
          <t>Konstruksi Bangunan Sipil Jalan, Konstruksi Gedung Hunian, Konstruksi Gedung Kesehatan, Konstruksi Gedung Lainnya, Konstruksi Jaringan Irigasi dan Drainase</t>
        </is>
      </c>
      <c r="N4" t="inlineStr">
        <is>
          <t>K</t>
        </is>
      </c>
      <c r="O4" t="inlineStr">
        <is>
          <t>20231019, 20231023, 20231025</t>
        </is>
      </c>
      <c r="P4" t="inlineStr">
        <is>
          <t>Jawa Barat</t>
        </is>
      </c>
      <c r="Q4" s="3">
        <f>HYPERLINK("https://wa.me/6281288238832?text=*[Pengingat Masa Berlaku SBU CIPTA TRANS SARANA]*%0A%0AYth. Pimpinan CIPTA TRANS SARANA,%0AMohon izin menginformasikan status SBU Anda:%0A%0A📄 SBU: BG001, BG005, BG009, BS001, BS004%0A📅 Expired: 23 Oktober 2026 (30 Hari Lagi)%0A%0AKami tim PT. ESDEA Assistance Management siap men-support proses perpanjangan segera agar administrasi proyek tidak terhambat%0A%0AApakah boleh saya bantu siapkan estimasi biaya dan waktu pengerjaannya?.", "Hubungi")</f>
        <v/>
      </c>
    </row>
    <row r="5">
      <c r="A5" t="inlineStr">
        <is>
          <t>GUNUNG PANGRANGO</t>
        </is>
      </c>
      <c r="B5" t="inlineStr">
        <is>
          <t>Kab. Bogor</t>
        </is>
      </c>
      <c r="C5" t="inlineStr">
        <is>
          <t>081318824392</t>
        </is>
      </c>
      <c r="D5" t="inlineStr">
        <is>
          <t>cvgunung.pangrango@yahoo.com</t>
        </is>
      </c>
      <c r="E5" t="inlineStr">
        <is>
          <t>https://lpjk.pu.go.id/search-badan-usaha-detail/TlNIOU50d2p4a3ZkWVptbC9rTGNWZz09</t>
        </is>
      </c>
      <c r="F5" t="n">
        <v>3</v>
      </c>
      <c r="G5" t="inlineStr">
        <is>
          <t>BG002, BG006, BG009</t>
        </is>
      </c>
      <c r="H5" t="inlineStr">
        <is>
          <t>17 Desember 1974</t>
        </is>
      </c>
      <c r="I5" s="2" t="n">
        <v>46318</v>
      </c>
      <c r="J5" t="inlineStr">
        <is>
          <t>Disetujui</t>
        </is>
      </c>
      <c r="K5" t="n">
        <v>30</v>
      </c>
      <c r="L5" t="inlineStr">
        <is>
          <t>23 Oktober 2026</t>
        </is>
      </c>
      <c r="M5" t="inlineStr">
        <is>
          <t>Konstruksi Gedung Lainnya, Konstruksi Gedung Pendidikan, Konstruksi Gedung Perkantoran</t>
        </is>
      </c>
      <c r="N5" t="inlineStr">
        <is>
          <t>K</t>
        </is>
      </c>
      <c r="O5" t="inlineStr">
        <is>
          <t>20231013</t>
        </is>
      </c>
      <c r="P5" t="inlineStr">
        <is>
          <t>Jawa Barat</t>
        </is>
      </c>
      <c r="Q5" s="3">
        <f>HYPERLINK("https://wa.me/6281318824392?text=*[Pengingat Masa Berlaku SBU GUNUNG PANGRANGO]*%0A%0AYth. Pimpinan GUNUNG PANGRANGO,%0AMohon izin menginformasikan status SBU Anda:%0A%0A📄 SBU: BG002, BG006, BG009%0A📅 Expired: 23 Oktober 2026 (30 Hari Lagi)%0A%0AKami tim PT. ESDEA Assistance Management siap men-support proses perpanjangan segera agar administrasi proyek tidak terhambat%0A%0AApakah boleh saya bantu siapkan estimasi biaya dan waktu pengerjaannya?.", "Hubungi")</f>
        <v/>
      </c>
    </row>
    <row r="6">
      <c r="A6" t="inlineStr">
        <is>
          <t>HALLIM PRECISION</t>
        </is>
      </c>
      <c r="B6" t="inlineStr">
        <is>
          <t>Kab. Bekasi</t>
        </is>
      </c>
      <c r="C6" t="inlineStr">
        <is>
          <t>02189119099</t>
        </is>
      </c>
      <c r="D6" t="inlineStr">
        <is>
          <t>hallimpre.indonesia@gmail.com</t>
        </is>
      </c>
      <c r="E6" t="inlineStr">
        <is>
          <t>https://lpjk.pu.go.id/search-badan-usaha-detail/NzZFcGx1amhGZUhCL0NucFp5b05hUT09</t>
        </is>
      </c>
      <c r="F6" t="n">
        <v>1</v>
      </c>
      <c r="G6" t="inlineStr">
        <is>
          <t>BG003</t>
        </is>
      </c>
      <c r="H6" t="inlineStr">
        <is>
          <t>27 Mei 1983</t>
        </is>
      </c>
      <c r="I6" s="2" t="n">
        <v>46318</v>
      </c>
      <c r="J6" t="inlineStr">
        <is>
          <t>Disetujui</t>
        </is>
      </c>
      <c r="K6" t="n">
        <v>30</v>
      </c>
      <c r="L6" t="inlineStr">
        <is>
          <t>23 Oktober 2026</t>
        </is>
      </c>
      <c r="M6" t="inlineStr">
        <is>
          <t>Konstruksi Gedung Industri</t>
        </is>
      </c>
      <c r="N6" t="inlineStr">
        <is>
          <t>B</t>
        </is>
      </c>
      <c r="O6" t="inlineStr">
        <is>
          <t>20231023</t>
        </is>
      </c>
      <c r="P6" t="inlineStr">
        <is>
          <t>Jawa Barat</t>
        </is>
      </c>
      <c r="Q6" t="inlineStr"/>
    </row>
    <row r="7">
      <c r="A7" t="inlineStr">
        <is>
          <t>MUKTI WIJAYA FIBRETECH</t>
        </is>
      </c>
      <c r="B7" t="inlineStr">
        <is>
          <t>Kota Bekasi</t>
        </is>
      </c>
      <c r="C7" t="inlineStr">
        <is>
          <t>081381252715</t>
        </is>
      </c>
      <c r="D7" t="inlineStr">
        <is>
          <t>muktiwijayafibretech@gmail.com</t>
        </is>
      </c>
      <c r="E7" t="inlineStr">
        <is>
          <t>https://lpjk.pu.go.id/search-badan-usaha-detail/S1ZJNmVpZHQ0K1FrQzVXWHNNaDdpQT09</t>
        </is>
      </c>
      <c r="F7" t="n">
        <v>1</v>
      </c>
      <c r="G7" t="inlineStr">
        <is>
          <t>BS006</t>
        </is>
      </c>
      <c r="H7" t="inlineStr">
        <is>
          <t>26 Januari 2019</t>
        </is>
      </c>
      <c r="I7" s="2" t="n">
        <v>46318</v>
      </c>
      <c r="J7" t="inlineStr">
        <is>
          <t>Disetujui</t>
        </is>
      </c>
      <c r="K7" t="n">
        <v>30</v>
      </c>
      <c r="L7" t="inlineStr">
        <is>
          <t>23 Oktober 2026</t>
        </is>
      </c>
      <c r="M7" t="inlineStr">
        <is>
          <t>Konstruksi Bangunan Sipil Prasarana dan Sarana Sistem Pengolahan Limbah Padat, Cair, dan Gas</t>
        </is>
      </c>
      <c r="N7" t="inlineStr">
        <is>
          <t>K</t>
        </is>
      </c>
      <c r="O7" t="inlineStr">
        <is>
          <t>20231023</t>
        </is>
      </c>
      <c r="P7" t="inlineStr">
        <is>
          <t>Jawa Barat</t>
        </is>
      </c>
      <c r="Q7" s="3">
        <f>HYPERLINK("https://wa.me/6281381252715?text=*[Pengingat Masa Berlaku SBU MUKTI WIJAYA FIBRETECH]*%0A%0AYth. Pimpinan MUKTI WIJAYA FIBRETECH,%0AMohon izin menginformasikan status SBU Anda:%0A%0A📄 SBU: BS006%0A📅 Expired: 23 Oktober 2026 (30 Hari Lagi)%0A%0AKami tim PT. ESDEA Assistance Management siap men-support proses perpanjangan segera agar administrasi proyek tidak terhambat%0A%0AApakah boleh saya bantu siapkan estimasi biaya dan waktu pengerjaannya?.", "Hubungi")</f>
        <v/>
      </c>
    </row>
    <row r="8">
      <c r="A8" t="inlineStr">
        <is>
          <t>RIVADA SEJAHTERA ABADI</t>
        </is>
      </c>
      <c r="B8" t="inlineStr">
        <is>
          <t>Kota Adm. Jakarta Timur</t>
        </is>
      </c>
      <c r="C8" t="inlineStr">
        <is>
          <t>02122865859</t>
        </is>
      </c>
      <c r="D8" t="inlineStr">
        <is>
          <t>pt_rivadasejahteraabadi@yahoo.com</t>
        </is>
      </c>
      <c r="E8" t="inlineStr">
        <is>
          <t>https://lpjk.pu.go.id/search-badan-usaha-detail/RmYyQVJ6TmgrblZRRnF6WHY0N2hPdz09</t>
        </is>
      </c>
      <c r="F8" t="n">
        <v>5</v>
      </c>
      <c r="G8" t="inlineStr">
        <is>
          <t>BG001, BG003, BG006, BG009, BS001</t>
        </is>
      </c>
      <c r="H8" t="inlineStr">
        <is>
          <t>28 Oktober 2014</t>
        </is>
      </c>
      <c r="I8" s="2" t="n">
        <v>46318</v>
      </c>
      <c r="J8" t="inlineStr">
        <is>
          <t>Disetujui</t>
        </is>
      </c>
      <c r="K8" t="n">
        <v>30</v>
      </c>
      <c r="L8" t="inlineStr">
        <is>
          <t>23 Oktober 2026</t>
        </is>
      </c>
      <c r="M8" t="inlineStr">
        <is>
          <t>Konstruksi Bangunan Sipil Jalan, Konstruksi Gedung Hunian, Konstruksi Gedung Industri, Konstruksi Gedung Lainnya, Konstruksi Gedung Pendidikan</t>
        </is>
      </c>
      <c r="N8" t="inlineStr">
        <is>
          <t>K</t>
        </is>
      </c>
      <c r="O8" t="inlineStr">
        <is>
          <t>20231020</t>
        </is>
      </c>
      <c r="P8" t="inlineStr">
        <is>
          <t>DKI Jakarta</t>
        </is>
      </c>
      <c r="Q8" t="inlineStr"/>
    </row>
    <row r="9">
      <c r="A9" t="inlineStr">
        <is>
          <t>ADHYSTIE PRATAMA</t>
        </is>
      </c>
      <c r="B9" t="inlineStr">
        <is>
          <t>Kab. Tangerang</t>
        </is>
      </c>
      <c r="C9" t="inlineStr">
        <is>
          <t>0215523612</t>
        </is>
      </c>
      <c r="D9" t="inlineStr">
        <is>
          <t>adhystie.pratama@gmail.com</t>
        </is>
      </c>
      <c r="E9" t="inlineStr">
        <is>
          <t>https://lpjk.pu.go.id/search-badan-usaha-detail/bUpnMzBhVFlFZmw3bXNOZVhRaHhBZz09</t>
        </is>
      </c>
      <c r="F9" t="n">
        <v>1</v>
      </c>
      <c r="G9" t="inlineStr">
        <is>
          <t>BS001</t>
        </is>
      </c>
      <c r="H9" t="inlineStr">
        <is>
          <t>11 Juni 2020</t>
        </is>
      </c>
      <c r="I9" s="2" t="n">
        <v>46318</v>
      </c>
      <c r="J9" t="inlineStr">
        <is>
          <t>Disetujui</t>
        </is>
      </c>
      <c r="K9" t="n">
        <v>30</v>
      </c>
      <c r="L9" t="inlineStr">
        <is>
          <t>23 Oktober 2026</t>
        </is>
      </c>
      <c r="M9" t="inlineStr">
        <is>
          <t>Konstruksi Bangunan Sipil Jalan</t>
        </is>
      </c>
      <c r="N9" t="inlineStr">
        <is>
          <t>K</t>
        </is>
      </c>
      <c r="O9" t="inlineStr">
        <is>
          <t>20231003</t>
        </is>
      </c>
      <c r="P9" t="inlineStr">
        <is>
          <t>Banten</t>
        </is>
      </c>
      <c r="Q9" t="inlineStr"/>
    </row>
    <row r="10">
      <c r="A10" t="inlineStr">
        <is>
          <t>ADITAMA WIJAYA MANDIRI</t>
        </is>
      </c>
      <c r="B10" t="inlineStr">
        <is>
          <t>Kota Padang</t>
        </is>
      </c>
      <c r="C10" t="inlineStr">
        <is>
          <t>081374522973</t>
        </is>
      </c>
      <c r="D10" t="inlineStr">
        <is>
          <t>aditamawijayamandiri@gmail.com</t>
        </is>
      </c>
      <c r="E10" t="inlineStr">
        <is>
          <t>https://lpjk.pu.go.id/search-badan-usaha-detail/V0FqS1MzUlU0aG1LTm5TWXVwbWt1UT09</t>
        </is>
      </c>
      <c r="F10" t="n">
        <v>3</v>
      </c>
      <c r="G10" t="inlineStr">
        <is>
          <t>BG006, BG009, BS004</t>
        </is>
      </c>
      <c r="H10" t="inlineStr">
        <is>
          <t>8 September 2020</t>
        </is>
      </c>
      <c r="I10" s="2" t="n">
        <v>46318</v>
      </c>
      <c r="J10" t="inlineStr">
        <is>
          <t>Disetujui</t>
        </is>
      </c>
      <c r="K10" t="n">
        <v>30</v>
      </c>
      <c r="L10" t="inlineStr">
        <is>
          <t>23 Oktober 2026</t>
        </is>
      </c>
      <c r="M10" t="inlineStr">
        <is>
          <t>Konstruksi Gedung Lainnya, Konstruksi Gedung Pendidikan, Konstruksi Jaringan Irigasi dan Drainase</t>
        </is>
      </c>
      <c r="N10" t="inlineStr">
        <is>
          <t>K</t>
        </is>
      </c>
      <c r="O10" t="inlineStr">
        <is>
          <t>20231022, 20231025</t>
        </is>
      </c>
      <c r="P10" t="inlineStr">
        <is>
          <t>Sumatera Barat</t>
        </is>
      </c>
      <c r="Q10" t="inlineStr"/>
    </row>
    <row r="11">
      <c r="A11" t="inlineStr">
        <is>
          <t>ALFADIL JAYA</t>
        </is>
      </c>
      <c r="B11" t="inlineStr">
        <is>
          <t>Kab. Deli Serdang</t>
        </is>
      </c>
      <c r="C11" t="inlineStr">
        <is>
          <t>085371114212</t>
        </is>
      </c>
      <c r="D11" t="inlineStr">
        <is>
          <t>cvalfadiljaya@gmail.com</t>
        </is>
      </c>
      <c r="E11" t="inlineStr">
        <is>
          <t>https://lpjk.pu.go.id/search-badan-usaha-detail/OFpTVEVROVhSWUJMbzU0UkQ0aEQwdz09</t>
        </is>
      </c>
      <c r="F11" t="n">
        <v>3</v>
      </c>
      <c r="G11" t="inlineStr">
        <is>
          <t>BG005, BG006, BG009</t>
        </is>
      </c>
      <c r="H11" t="inlineStr">
        <is>
          <t>1 April 2019</t>
        </is>
      </c>
      <c r="I11" s="2" t="n">
        <v>46318</v>
      </c>
      <c r="J11" t="inlineStr">
        <is>
          <t>Disetujui</t>
        </is>
      </c>
      <c r="K11" t="n">
        <v>30</v>
      </c>
      <c r="L11" t="inlineStr">
        <is>
          <t>23 Oktober 2026</t>
        </is>
      </c>
      <c r="M11" t="inlineStr">
        <is>
          <t>Konstruksi Gedung Kesehatan, Konstruksi Gedung Lainnya, Konstruksi Gedung Pendidikan</t>
        </is>
      </c>
      <c r="N11" t="inlineStr">
        <is>
          <t>K</t>
        </is>
      </c>
      <c r="O11" t="inlineStr">
        <is>
          <t>20231023, 20231024</t>
        </is>
      </c>
      <c r="P11" t="inlineStr">
        <is>
          <t>Sumatera Utara</t>
        </is>
      </c>
      <c r="Q11" t="inlineStr"/>
    </row>
    <row r="12">
      <c r="A12" t="inlineStr">
        <is>
          <t>ALIFA JAYA CONTRUCTION</t>
        </is>
      </c>
      <c r="B12" t="inlineStr">
        <is>
          <t>Kab. Pidie</t>
        </is>
      </c>
      <c r="C12" t="inlineStr">
        <is>
          <t>08126979441</t>
        </is>
      </c>
      <c r="D12" t="inlineStr">
        <is>
          <t>alifajayacontruction@gmail.com</t>
        </is>
      </c>
      <c r="E12" t="inlineStr">
        <is>
          <t>https://lpjk.pu.go.id/search-badan-usaha-detail/RmZuUmRGeGVSWFB6SjVLRmpJREE1QT09</t>
        </is>
      </c>
      <c r="F12" t="n">
        <v>2</v>
      </c>
      <c r="G12" t="inlineStr">
        <is>
          <t>BS001, BS004</t>
        </is>
      </c>
      <c r="H12" t="inlineStr">
        <is>
          <t>11 Desember 2019</t>
        </is>
      </c>
      <c r="I12" s="2" t="n">
        <v>46318</v>
      </c>
      <c r="J12" t="inlineStr">
        <is>
          <t>Disetujui</t>
        </is>
      </c>
      <c r="K12" t="n">
        <v>30</v>
      </c>
      <c r="L12" t="inlineStr">
        <is>
          <t>23 Oktober 2026</t>
        </is>
      </c>
      <c r="M12" t="inlineStr">
        <is>
          <t>Konstruksi Bangunan Sipil Jalan, Konstruksi Jaringan Irigasi dan Drainase</t>
        </is>
      </c>
      <c r="N12" t="inlineStr">
        <is>
          <t>K</t>
        </is>
      </c>
      <c r="O12" t="inlineStr">
        <is>
          <t>20231017, 20231019</t>
        </is>
      </c>
      <c r="P12" t="inlineStr">
        <is>
          <t>Aceh</t>
        </is>
      </c>
      <c r="Q12" t="inlineStr"/>
    </row>
    <row r="13">
      <c r="A13" t="inlineStr">
        <is>
          <t>ANDRE LINE HUTAMA</t>
        </is>
      </c>
      <c r="B13" t="inlineStr">
        <is>
          <t>Kab. Tabalong</t>
        </is>
      </c>
      <c r="C13" t="inlineStr">
        <is>
          <t>081346849095</t>
        </is>
      </c>
      <c r="D13" t="inlineStr">
        <is>
          <t>andrelinehutama@gmail.com</t>
        </is>
      </c>
      <c r="E13" t="inlineStr">
        <is>
          <t>https://lpjk.pu.go.id/search-badan-usaha-detail/K0g0ckloUHorcTVTcS9Kb0hiNDBZZz09</t>
        </is>
      </c>
      <c r="F13" t="n">
        <v>1</v>
      </c>
      <c r="G13" t="inlineStr">
        <is>
          <t>RK001</t>
        </is>
      </c>
      <c r="H13" t="inlineStr">
        <is>
          <t>28 September 2020</t>
        </is>
      </c>
      <c r="I13" s="2" t="n">
        <v>46318</v>
      </c>
      <c r="J13" t="inlineStr">
        <is>
          <t>Disetujui</t>
        </is>
      </c>
      <c r="K13" t="n">
        <v>30</v>
      </c>
      <c r="L13" t="inlineStr">
        <is>
          <t>23 Oktober 2026</t>
        </is>
      </c>
      <c r="M13" t="inlineStr">
        <is>
          <t>Jasa Rekayasa Konstruksi Bangunan Gedung Hunian dan Non Hunian</t>
        </is>
      </c>
      <c r="N13" t="inlineStr">
        <is>
          <t>K</t>
        </is>
      </c>
      <c r="O13" t="inlineStr">
        <is>
          <t>20231018</t>
        </is>
      </c>
      <c r="P13" t="inlineStr">
        <is>
          <t>Kalimantan Selatan</t>
        </is>
      </c>
      <c r="Q13" t="inlineStr"/>
    </row>
    <row r="14">
      <c r="A14" t="inlineStr">
        <is>
          <t>ANUGRAH PUTRA JAYA</t>
        </is>
      </c>
      <c r="B14" t="inlineStr">
        <is>
          <t>Kota Sukabumi</t>
        </is>
      </c>
      <c r="C14" t="inlineStr">
        <is>
          <t>085779455925</t>
        </is>
      </c>
      <c r="D14" t="inlineStr">
        <is>
          <t>cvanugrahjayaputra@gmail.com</t>
        </is>
      </c>
      <c r="E14" t="inlineStr">
        <is>
          <t>https://lpjk.pu.go.id/search-badan-usaha-detail/aWJxNExKQ3AvSllRVmg3Z0swaGhnUT09</t>
        </is>
      </c>
      <c r="F14" t="n">
        <v>10</v>
      </c>
      <c r="G14" t="inlineStr">
        <is>
          <t>BG008, BG009, BS001, BS002, BS004</t>
        </is>
      </c>
      <c r="H14" t="inlineStr">
        <is>
          <t>27 September 2023</t>
        </is>
      </c>
      <c r="I14" s="2" t="n">
        <v>46318</v>
      </c>
      <c r="J14" t="inlineStr">
        <is>
          <t>Pencabutan</t>
        </is>
      </c>
      <c r="K14" t="n">
        <v>30</v>
      </c>
      <c r="L14" t="inlineStr">
        <is>
          <t>23 Oktober 2026</t>
        </is>
      </c>
      <c r="M14" t="inlineStr">
        <is>
          <t>Bangunan Sipil Jembatan, Jalan Layang, Fly Over, dan Underpass, Konstruksi Bangunan Sipil Jalan, Konstruksi Gedung Lainnya, Konstruksi Gedung Tempat Hiburan dan Olahraga, Konstruksi Jaringan Irigasi dan Drainase</t>
        </is>
      </c>
      <c r="N14" t="inlineStr">
        <is>
          <t>K</t>
        </is>
      </c>
      <c r="O14" t="inlineStr">
        <is>
          <t>20231017, 20231018, 20231023</t>
        </is>
      </c>
      <c r="P14" t="inlineStr">
        <is>
          <t>Jawa Barat</t>
        </is>
      </c>
      <c r="Q14" t="inlineStr"/>
    </row>
    <row r="15">
      <c r="A15" t="inlineStr">
        <is>
          <t>ARIAPUTRA DWI PRIMA</t>
        </is>
      </c>
      <c r="B15" t="inlineStr">
        <is>
          <t>Kota Pontianak</t>
        </is>
      </c>
      <c r="C15" t="inlineStr">
        <is>
          <t>081345985550</t>
        </is>
      </c>
      <c r="D15" t="inlineStr">
        <is>
          <t>ariaputradwip@gmail.com</t>
        </is>
      </c>
      <c r="E15" t="inlineStr">
        <is>
          <t>https://lpjk.pu.go.id/search-badan-usaha-detail/R1R6MlA0aTZRTmxjWEtGMHpHWU83QT09</t>
        </is>
      </c>
      <c r="F15" t="n">
        <v>1</v>
      </c>
      <c r="G15" t="inlineStr">
        <is>
          <t>BS001</t>
        </is>
      </c>
      <c r="H15" t="inlineStr">
        <is>
          <t>11 Januari 2012</t>
        </is>
      </c>
      <c r="I15" s="2" t="n">
        <v>46318</v>
      </c>
      <c r="J15" t="inlineStr">
        <is>
          <t>Disetujui</t>
        </is>
      </c>
      <c r="K15" t="n">
        <v>30</v>
      </c>
      <c r="L15" t="inlineStr">
        <is>
          <t>23 Oktober 2026</t>
        </is>
      </c>
      <c r="M15" t="inlineStr">
        <is>
          <t>Konstruksi Bangunan Sipil Jalan</t>
        </is>
      </c>
      <c r="N15" t="inlineStr">
        <is>
          <t>M</t>
        </is>
      </c>
      <c r="O15" t="inlineStr">
        <is>
          <t>20230918</t>
        </is>
      </c>
      <c r="P15" t="inlineStr">
        <is>
          <t>Kalimantan Barat</t>
        </is>
      </c>
      <c r="Q15" t="inlineStr"/>
    </row>
    <row r="16">
      <c r="A16" t="inlineStr">
        <is>
          <t>ARJUNA GRUP</t>
        </is>
      </c>
      <c r="B16" t="inlineStr">
        <is>
          <t>Kab. Bangkalan</t>
        </is>
      </c>
      <c r="C16" t="inlineStr">
        <is>
          <t>087750994224</t>
        </is>
      </c>
      <c r="D16" t="inlineStr">
        <is>
          <t>arjunagrup.cv@gmail.com</t>
        </is>
      </c>
      <c r="E16" t="inlineStr">
        <is>
          <t>https://lpjk.pu.go.id/search-badan-usaha-detail/RFdKVjRHbXNwcjg2V2dsV1BWMHk1QT09</t>
        </is>
      </c>
      <c r="F16" t="n">
        <v>2</v>
      </c>
      <c r="G16" t="inlineStr">
        <is>
          <t>BG006, BG009</t>
        </is>
      </c>
      <c r="H16" t="inlineStr">
        <is>
          <t>30 Mei 2022</t>
        </is>
      </c>
      <c r="I16" s="2" t="n">
        <v>46318</v>
      </c>
      <c r="J16" t="inlineStr">
        <is>
          <t>Disetujui</t>
        </is>
      </c>
      <c r="K16" t="n">
        <v>30</v>
      </c>
      <c r="L16" t="inlineStr">
        <is>
          <t>23 Oktober 2026</t>
        </is>
      </c>
      <c r="M16" t="inlineStr">
        <is>
          <t>Konstruksi Gedung Lainnya, Konstruksi Gedung Pendidikan</t>
        </is>
      </c>
      <c r="N16" t="inlineStr">
        <is>
          <t>K</t>
        </is>
      </c>
      <c r="O16" t="inlineStr">
        <is>
          <t>20231023</t>
        </is>
      </c>
      <c r="P16" t="inlineStr">
        <is>
          <t>Jawa Timur</t>
        </is>
      </c>
      <c r="Q16" t="inlineStr"/>
    </row>
    <row r="17">
      <c r="A17" t="inlineStr">
        <is>
          <t>AYU TENAN</t>
        </is>
      </c>
      <c r="B17" t="inlineStr">
        <is>
          <t>Kota Kediri</t>
        </is>
      </c>
      <c r="C17" t="inlineStr">
        <is>
          <t>081553514335</t>
        </is>
      </c>
      <c r="D17" t="inlineStr">
        <is>
          <t>cvayutenankdr@gmail.com</t>
        </is>
      </c>
      <c r="E17" t="inlineStr">
        <is>
          <t>https://lpjk.pu.go.id/search-badan-usaha-detail/ajRKQTdpM3JGamI5TFFjNnRCb3U3Zz09</t>
        </is>
      </c>
      <c r="F17" t="n">
        <v>7</v>
      </c>
      <c r="G17" t="inlineStr">
        <is>
          <t>BG001, BG002, BG006, BG009, BS001, BS002, BS004</t>
        </is>
      </c>
      <c r="H17" t="inlineStr">
        <is>
          <t>21 Februari 2011</t>
        </is>
      </c>
      <c r="I17" s="2" t="n">
        <v>46318</v>
      </c>
      <c r="J17" t="inlineStr">
        <is>
          <t>Disetujui</t>
        </is>
      </c>
      <c r="K17" t="n">
        <v>30</v>
      </c>
      <c r="L17" t="inlineStr">
        <is>
          <t>23 Oktober 2026</t>
        </is>
      </c>
      <c r="M17" t="inlineStr">
        <is>
          <t>Bangunan Sipil Jembatan, Jalan Layang, Fly Over, dan Underpass, Konstruksi Bangunan Sipil Jalan, Konstruksi Gedung Hunian, Konstruksi Gedung Lainnya, Konstruksi Gedung Pendidikan, Konstruksi Gedung Perkantoran, Konstruksi Jaringan Irigasi dan Drainase</t>
        </is>
      </c>
      <c r="N17" t="inlineStr">
        <is>
          <t>K</t>
        </is>
      </c>
      <c r="O17" t="inlineStr">
        <is>
          <t>20220608, 20231020, 20231021, 20231022</t>
        </is>
      </c>
      <c r="P17" t="inlineStr">
        <is>
          <t>Jawa Timur</t>
        </is>
      </c>
      <c r="Q17" t="inlineStr"/>
    </row>
    <row r="18">
      <c r="A18" t="inlineStr">
        <is>
          <t>AZZAM RAJASA UTAMA</t>
        </is>
      </c>
      <c r="B18" t="inlineStr">
        <is>
          <t>Kota Bandung</t>
        </is>
      </c>
      <c r="C18" t="inlineStr">
        <is>
          <t>087723783916</t>
        </is>
      </c>
      <c r="D18" t="inlineStr">
        <is>
          <t>aru.konsultan@gmail.com</t>
        </is>
      </c>
      <c r="E18" t="inlineStr">
        <is>
          <t>https://lpjk.pu.go.id/search-badan-usaha-detail/U0FzZXR4bTI3bm9ROE9GSmdoMHU3dz09</t>
        </is>
      </c>
      <c r="F18" t="n">
        <v>4</v>
      </c>
      <c r="G18" t="inlineStr">
        <is>
          <t>RK001, RK002, RK003, RK005</t>
        </is>
      </c>
      <c r="H18" t="inlineStr">
        <is>
          <t>25 Agustus 2023</t>
        </is>
      </c>
      <c r="I18" s="2" t="n">
        <v>46318</v>
      </c>
      <c r="J18" t="inlineStr">
        <is>
          <t>Disetujui</t>
        </is>
      </c>
      <c r="K18" t="n">
        <v>30</v>
      </c>
      <c r="L18" t="inlineStr">
        <is>
          <t>23 Oktober 2026</t>
        </is>
      </c>
      <c r="M18" t="inlineStr">
        <is>
          <t>Jasa Rekayasa Konstruksi Bangunan Gedung Hunian dan Non Hunian, Jasa Rekayasa Lainnya, Jasa Rekayasa Pekerjaan Teknik Sipil Sumber Daya Air, Jasa Rekayasa Pekerjaan Teknik Sipil Transportasi</t>
        </is>
      </c>
      <c r="N18" t="inlineStr">
        <is>
          <t>K</t>
        </is>
      </c>
      <c r="O18" t="inlineStr">
        <is>
          <t>20231014, 20231018</t>
        </is>
      </c>
      <c r="P18" t="inlineStr">
        <is>
          <t>Jawa Barat</t>
        </is>
      </c>
      <c r="Q18" t="inlineStr"/>
    </row>
    <row r="19">
      <c r="A19" t="inlineStr">
        <is>
          <t>BANGUN ESTETIKA SANTOSO</t>
        </is>
      </c>
      <c r="B19" t="inlineStr">
        <is>
          <t>Kota Surabaya</t>
        </is>
      </c>
      <c r="C19" t="inlineStr">
        <is>
          <t>0856109963333</t>
        </is>
      </c>
      <c r="D19" t="inlineStr">
        <is>
          <t>ptbangunestetikasantoso@gmail.com</t>
        </is>
      </c>
      <c r="E19" t="inlineStr">
        <is>
          <t>https://lpjk.pu.go.id/search-badan-usaha-detail/NktKaXcwQmV1ODhQaFluN2Y2c3pIdz09</t>
        </is>
      </c>
      <c r="F19" t="n">
        <v>1</v>
      </c>
      <c r="G19" t="inlineStr">
        <is>
          <t>BG001</t>
        </is>
      </c>
      <c r="H19" t="inlineStr">
        <is>
          <t>11 Mei 2023</t>
        </is>
      </c>
      <c r="I19" s="2" t="n">
        <v>46318</v>
      </c>
      <c r="J19" t="inlineStr">
        <is>
          <t>Disetujui</t>
        </is>
      </c>
      <c r="K19" t="n">
        <v>30</v>
      </c>
      <c r="L19" t="inlineStr">
        <is>
          <t>23 Oktober 2026</t>
        </is>
      </c>
      <c r="M19" t="inlineStr">
        <is>
          <t>Konstruksi Gedung Hunian</t>
        </is>
      </c>
      <c r="N19" t="inlineStr">
        <is>
          <t>K</t>
        </is>
      </c>
      <c r="O19" t="inlineStr">
        <is>
          <t>20231024</t>
        </is>
      </c>
      <c r="P19" t="inlineStr">
        <is>
          <t>Jawa Timur</t>
        </is>
      </c>
      <c r="Q19" t="inlineStr"/>
    </row>
    <row r="20">
      <c r="A20" t="inlineStr">
        <is>
          <t>BERKAH JAYA HARUM</t>
        </is>
      </c>
      <c r="B20" t="inlineStr">
        <is>
          <t>Kab. Banyuwangi</t>
        </is>
      </c>
      <c r="C20" t="inlineStr">
        <is>
          <t>081336161357</t>
        </is>
      </c>
      <c r="D20" t="inlineStr">
        <is>
          <t>cvberkahjayaharum@gmail.com</t>
        </is>
      </c>
      <c r="E20" t="inlineStr">
        <is>
          <t>https://lpjk.pu.go.id/search-badan-usaha-detail/WGdTTnB3eTRneUtIZDUrWmh1NzdtQT09</t>
        </is>
      </c>
      <c r="F20" t="n">
        <v>2</v>
      </c>
      <c r="G20" t="inlineStr">
        <is>
          <t>BG005</t>
        </is>
      </c>
      <c r="H20" t="inlineStr">
        <is>
          <t>7 Januari 2020</t>
        </is>
      </c>
      <c r="I20" s="2" t="n">
        <v>46318</v>
      </c>
      <c r="J20" t="inlineStr">
        <is>
          <t>Disetujui</t>
        </is>
      </c>
      <c r="K20" t="n">
        <v>30</v>
      </c>
      <c r="L20" t="inlineStr">
        <is>
          <t>23 Oktober 2026</t>
        </is>
      </c>
      <c r="M20" t="inlineStr">
        <is>
          <t>Konstruksi Gedung Kesehatan</t>
        </is>
      </c>
      <c r="N20" t="inlineStr">
        <is>
          <t>K</t>
        </is>
      </c>
      <c r="O20" t="inlineStr">
        <is>
          <t>20231023</t>
        </is>
      </c>
      <c r="P20" t="inlineStr">
        <is>
          <t>Jawa Timur</t>
        </is>
      </c>
      <c r="Q20" t="inlineStr"/>
    </row>
    <row r="21">
      <c r="A21" t="inlineStr">
        <is>
          <t>BERKAH REKAYASA TEKNIKA</t>
        </is>
      </c>
      <c r="B21" t="inlineStr">
        <is>
          <t>Kota Adm. Jakarta Pusat</t>
        </is>
      </c>
      <c r="C21" t="inlineStr">
        <is>
          <t>081258014806</t>
        </is>
      </c>
      <c r="D21" t="inlineStr">
        <is>
          <t>pt.berkahrekayasateknika@gmail.com</t>
        </is>
      </c>
      <c r="E21" t="inlineStr">
        <is>
          <t>https://lpjk.pu.go.id/search-badan-usaha-detail/QUVGL241bTFjd3dOQitNN013R1dKUT09</t>
        </is>
      </c>
      <c r="F21" t="n">
        <v>6</v>
      </c>
      <c r="G21" t="inlineStr">
        <is>
          <t>RK001, RK002, RK003</t>
        </is>
      </c>
      <c r="H21" t="inlineStr">
        <is>
          <t>1 September 2023</t>
        </is>
      </c>
      <c r="I21" s="2" t="n">
        <v>46318</v>
      </c>
      <c r="J21" t="inlineStr">
        <is>
          <t>Disetujui</t>
        </is>
      </c>
      <c r="K21" t="n">
        <v>30</v>
      </c>
      <c r="L21" t="inlineStr">
        <is>
          <t>23 Oktober 2026</t>
        </is>
      </c>
      <c r="M21" t="inlineStr">
        <is>
          <t>Jasa Rekayasa Konstruksi Bangunan Gedung Hunian dan Non Hunian, Jasa Rekayasa Pekerjaan Teknik Sipil Sumber Daya Air, Jasa Rekayasa Pekerjaan Teknik Sipil Transportasi</t>
        </is>
      </c>
      <c r="N21" t="inlineStr">
        <is>
          <t>K</t>
        </is>
      </c>
      <c r="O21" t="inlineStr">
        <is>
          <t>20230908, 20230911</t>
        </is>
      </c>
      <c r="P21" t="inlineStr">
        <is>
          <t>DKI Jakarta</t>
        </is>
      </c>
      <c r="Q21" t="inlineStr"/>
    </row>
    <row r="22">
      <c r="A22" t="inlineStr">
        <is>
          <t>BINTANG REZEKI SULAWESI</t>
        </is>
      </c>
      <c r="B22" t="inlineStr">
        <is>
          <t>Kota Palu</t>
        </is>
      </c>
      <c r="C22" t="inlineStr">
        <is>
          <t>082246730162</t>
        </is>
      </c>
      <c r="D22" t="inlineStr">
        <is>
          <t>cvbintangrezekisulawesi@gmail.com</t>
        </is>
      </c>
      <c r="E22" t="inlineStr">
        <is>
          <t>https://lpjk.pu.go.id/search-badan-usaha-detail/a2VtZmYwV3FGekZxYm5LRmRCTThiUT09</t>
        </is>
      </c>
      <c r="F22" t="n">
        <v>8</v>
      </c>
      <c r="G22" t="inlineStr">
        <is>
          <t>BG006, BG009, BS001, BS010</t>
        </is>
      </c>
      <c r="H22" t="inlineStr">
        <is>
          <t>28 Maret 2020</t>
        </is>
      </c>
      <c r="I22" s="2" t="n">
        <v>46318</v>
      </c>
      <c r="J22" t="inlineStr">
        <is>
          <t>Disetujui</t>
        </is>
      </c>
      <c r="K22" t="n">
        <v>30</v>
      </c>
      <c r="L22" t="inlineStr">
        <is>
          <t>23 Oktober 2026</t>
        </is>
      </c>
      <c r="M22" t="inlineStr">
        <is>
          <t>Konstruksi Bangunan Prasarana Sumber Daya Air, Konstruksi Bangunan Sipil Jalan, Konstruksi Gedung Lainnya, Konstruksi Gedung Pendidikan</t>
        </is>
      </c>
      <c r="N22" t="inlineStr">
        <is>
          <t>K</t>
        </is>
      </c>
      <c r="O22" t="inlineStr">
        <is>
          <t>20231019, 20231022</t>
        </is>
      </c>
      <c r="P22" t="inlineStr">
        <is>
          <t>Sulawesi Tengah</t>
        </is>
      </c>
      <c r="Q22" t="inlineStr"/>
    </row>
    <row r="23">
      <c r="A23" t="inlineStr">
        <is>
          <t>BUNGASAW DHALLS</t>
        </is>
      </c>
      <c r="B23" t="inlineStr">
        <is>
          <t>Kota Palu</t>
        </is>
      </c>
      <c r="C23" t="inlineStr">
        <is>
          <t>08114500231</t>
        </is>
      </c>
      <c r="D23" t="inlineStr">
        <is>
          <t>bungasaw@yahoo.com</t>
        </is>
      </c>
      <c r="E23" t="inlineStr">
        <is>
          <t>https://lpjk.pu.go.id/search-badan-usaha-detail/bGFnWm9uUnJ0czZQd0xFd2hQMlhSdz09</t>
        </is>
      </c>
      <c r="F23" t="n">
        <v>1</v>
      </c>
      <c r="G23" t="inlineStr">
        <is>
          <t>BG001</t>
        </is>
      </c>
      <c r="H23" t="inlineStr">
        <is>
          <t>7 September 2019</t>
        </is>
      </c>
      <c r="I23" s="2" t="n">
        <v>46318</v>
      </c>
      <c r="J23" t="inlineStr">
        <is>
          <t>Disetujui</t>
        </is>
      </c>
      <c r="K23" t="n">
        <v>30</v>
      </c>
      <c r="L23" t="inlineStr">
        <is>
          <t>23 Oktober 2026</t>
        </is>
      </c>
      <c r="M23" t="inlineStr">
        <is>
          <t>Konstruksi Gedung Hunian</t>
        </is>
      </c>
      <c r="N23" t="inlineStr">
        <is>
          <t>K</t>
        </is>
      </c>
      <c r="O23" t="inlineStr">
        <is>
          <t>20231023</t>
        </is>
      </c>
      <c r="P23" t="inlineStr">
        <is>
          <t>Sulawesi Tengah</t>
        </is>
      </c>
      <c r="Q23" t="inlineStr"/>
    </row>
    <row r="24">
      <c r="A24" t="inlineStr">
        <is>
          <t>CAHAYA ABADI</t>
        </is>
      </c>
      <c r="B24" t="inlineStr">
        <is>
          <t>Kab. Nganjuk</t>
        </is>
      </c>
      <c r="C24" t="inlineStr">
        <is>
          <t>081335024997</t>
        </is>
      </c>
      <c r="D24" t="inlineStr">
        <is>
          <t>diyaprobodp@gmail.com</t>
        </is>
      </c>
      <c r="E24" t="inlineStr">
        <is>
          <t>https://lpjk.pu.go.id/search-badan-usaha-detail/YSsxeDhFVWNweDBwS3FKbExHMGdYQT09</t>
        </is>
      </c>
      <c r="F24" t="n">
        <v>5</v>
      </c>
      <c r="G24" t="inlineStr">
        <is>
          <t>BG005, BG006, BG009, BS001, BS004</t>
        </is>
      </c>
      <c r="H24" t="inlineStr">
        <is>
          <t>20 Oktober 2005</t>
        </is>
      </c>
      <c r="I24" s="2" t="n">
        <v>46318</v>
      </c>
      <c r="J24" t="inlineStr">
        <is>
          <t>Disetujui</t>
        </is>
      </c>
      <c r="K24" t="n">
        <v>30</v>
      </c>
      <c r="L24" t="inlineStr">
        <is>
          <t>23 Oktober 2026</t>
        </is>
      </c>
      <c r="M24" t="inlineStr">
        <is>
          <t>Konstruksi Bangunan Sipil Jalan, Konstruksi Gedung Kesehatan, Konstruksi Gedung Lainnya, Konstruksi Gedung Pendidikan, Konstruksi Jaringan Irigasi dan Drainase</t>
        </is>
      </c>
      <c r="N24" t="inlineStr">
        <is>
          <t>K</t>
        </is>
      </c>
      <c r="O24" t="inlineStr">
        <is>
          <t>20231019, 20231023</t>
        </is>
      </c>
      <c r="P24" t="inlineStr">
        <is>
          <t>Jawa Timur</t>
        </is>
      </c>
      <c r="Q24" t="inlineStr"/>
    </row>
    <row r="25">
      <c r="A25" t="inlineStr">
        <is>
          <t>CAHAYA AGHIF SINERGY</t>
        </is>
      </c>
      <c r="B25" t="inlineStr">
        <is>
          <t>Kota Adm. Jakarta Selatan</t>
        </is>
      </c>
      <c r="C25" t="inlineStr">
        <is>
          <t>081213333220</t>
        </is>
      </c>
      <c r="D25" t="inlineStr">
        <is>
          <t>ptcahayaaghifsinergy@gmail.com</t>
        </is>
      </c>
      <c r="E25" t="inlineStr">
        <is>
          <t>https://lpjk.pu.go.id/search-badan-usaha-detail/NDYyTFdsRkxsci83a2pHNWRwbDJDQT09</t>
        </is>
      </c>
      <c r="F25" t="n">
        <v>5</v>
      </c>
      <c r="G25" t="inlineStr">
        <is>
          <t>BG001, BG002, BG005, BG006, BG009</t>
        </is>
      </c>
      <c r="H25" t="inlineStr">
        <is>
          <t>21 September 2023</t>
        </is>
      </c>
      <c r="I25" s="2" t="n">
        <v>46318</v>
      </c>
      <c r="J25" t="inlineStr">
        <is>
          <t>Disetujui, Pencabutan</t>
        </is>
      </c>
      <c r="K25" t="n">
        <v>30</v>
      </c>
      <c r="L25" t="inlineStr">
        <is>
          <t>23 Oktober 2026</t>
        </is>
      </c>
      <c r="M25" t="inlineStr">
        <is>
          <t>Konstruksi Gedung Hunian, Konstruksi Gedung Kesehatan, Konstruksi Gedung Lainnya, Konstruksi Gedung Pendidikan, Konstruksi Gedung Perkantoran</t>
        </is>
      </c>
      <c r="N25" t="inlineStr">
        <is>
          <t>K</t>
        </is>
      </c>
      <c r="O25" t="inlineStr">
        <is>
          <t>20231023</t>
        </is>
      </c>
      <c r="P25" t="inlineStr">
        <is>
          <t>DKI Jakarta</t>
        </is>
      </c>
      <c r="Q25" t="inlineStr"/>
    </row>
    <row r="26">
      <c r="A26" t="inlineStr">
        <is>
          <t>CAHAYA BINAFSIY ABADI</t>
        </is>
      </c>
      <c r="B26" t="inlineStr">
        <is>
          <t>Kota Palu</t>
        </is>
      </c>
      <c r="C26" t="inlineStr">
        <is>
          <t>082293390938</t>
        </is>
      </c>
      <c r="D26" t="inlineStr">
        <is>
          <t>cvcba1982@gmail.com</t>
        </is>
      </c>
      <c r="E26" t="inlineStr">
        <is>
          <t>https://lpjk.pu.go.id/search-badan-usaha-detail/b2paZlhYRTdDdVlDK3E5bHR1azgzQT09</t>
        </is>
      </c>
      <c r="F26" t="n">
        <v>1</v>
      </c>
      <c r="G26" t="inlineStr">
        <is>
          <t>BS001</t>
        </is>
      </c>
      <c r="H26" t="inlineStr">
        <is>
          <t>4 September 2023</t>
        </is>
      </c>
      <c r="I26" s="2" t="n">
        <v>46318</v>
      </c>
      <c r="J26" t="inlineStr">
        <is>
          <t>Disetujui</t>
        </is>
      </c>
      <c r="K26" t="n">
        <v>30</v>
      </c>
      <c r="L26" t="inlineStr">
        <is>
          <t>23 Oktober 2026</t>
        </is>
      </c>
      <c r="M26" t="inlineStr">
        <is>
          <t>Konstruksi Bangunan Sipil Jalan</t>
        </is>
      </c>
      <c r="N26" t="inlineStr">
        <is>
          <t>K</t>
        </is>
      </c>
      <c r="O26" t="inlineStr">
        <is>
          <t>20231013</t>
        </is>
      </c>
      <c r="P26" t="inlineStr">
        <is>
          <t>Sulawesi Tengah</t>
        </is>
      </c>
      <c r="Q26" t="inlineStr"/>
    </row>
    <row r="27">
      <c r="A27" t="inlineStr">
        <is>
          <t>CAHAYA SEDAYU GEMILANG</t>
        </is>
      </c>
      <c r="B27" t="inlineStr">
        <is>
          <t>Kota Adm. Jakarta Barat</t>
        </is>
      </c>
      <c r="C27" t="inlineStr">
        <is>
          <t>02129725192</t>
        </is>
      </c>
      <c r="D27" t="inlineStr">
        <is>
          <t>cahayasedayugemilang@worldmailserve.com</t>
        </is>
      </c>
      <c r="E27" t="inlineStr">
        <is>
          <t>https://lpjk.pu.go.id/search-badan-usaha-detail/RzROVUhaMmgzTzhiNE1JME4ycEt0UT09</t>
        </is>
      </c>
      <c r="F27" t="n">
        <v>2</v>
      </c>
      <c r="G27" t="inlineStr">
        <is>
          <t>BG001, BG002</t>
        </is>
      </c>
      <c r="H27" t="inlineStr">
        <is>
          <t>7 Juni 2008</t>
        </is>
      </c>
      <c r="I27" s="2" t="n">
        <v>46318</v>
      </c>
      <c r="J27" t="inlineStr">
        <is>
          <t>Disetujui</t>
        </is>
      </c>
      <c r="K27" t="n">
        <v>30</v>
      </c>
      <c r="L27" t="inlineStr">
        <is>
          <t>23 Oktober 2026</t>
        </is>
      </c>
      <c r="M27" t="inlineStr">
        <is>
          <t>Konstruksi Gedung Hunian, Konstruksi Gedung Perkantoran</t>
        </is>
      </c>
      <c r="N27" t="inlineStr">
        <is>
          <t>K</t>
        </is>
      </c>
      <c r="O27" t="inlineStr">
        <is>
          <t>20231018, 20231023</t>
        </is>
      </c>
      <c r="P27" t="inlineStr">
        <is>
          <t>DKI Jakarta</t>
        </is>
      </c>
      <c r="Q27" t="inlineStr"/>
    </row>
    <row r="28">
      <c r="A28" t="inlineStr">
        <is>
          <t>CAHAYA SRIWIJAYA ABADI</t>
        </is>
      </c>
      <c r="B28" t="inlineStr">
        <is>
          <t>Kota Palembang</t>
        </is>
      </c>
      <c r="C28" t="inlineStr">
        <is>
          <t>085381907222</t>
        </is>
      </c>
      <c r="D28" t="inlineStr">
        <is>
          <t>cahayasriwijayaabadi@gmail.com</t>
        </is>
      </c>
      <c r="E28" t="inlineStr">
        <is>
          <t>https://lpjk.pu.go.id/search-badan-usaha-detail/WU9VSUp3UVVVeUxLQjJkbkIrV0RTY1ZYUDZzOEFQcWszSTFDZW1IZHlTdz0</t>
        </is>
      </c>
      <c r="F28" t="n">
        <v>2</v>
      </c>
      <c r="G28" t="inlineStr">
        <is>
          <t>BG002, BS001</t>
        </is>
      </c>
      <c r="H28" t="inlineStr">
        <is>
          <t>26 Agustus 2025</t>
        </is>
      </c>
      <c r="I28" s="2" t="n">
        <v>46318</v>
      </c>
      <c r="J28" t="inlineStr">
        <is>
          <t>Disetujui</t>
        </is>
      </c>
      <c r="K28" t="n">
        <v>30</v>
      </c>
      <c r="L28" t="inlineStr">
        <is>
          <t>23 Oktober 2026</t>
        </is>
      </c>
      <c r="M28" t="inlineStr">
        <is>
          <t>Konstruksi Bangunan Sipil Jalan, Konstruksi Gedung Perkantoran</t>
        </is>
      </c>
      <c r="N28" t="inlineStr">
        <is>
          <t>M</t>
        </is>
      </c>
      <c r="O28" t="inlineStr">
        <is>
          <t>20231022</t>
        </is>
      </c>
      <c r="P28" t="inlineStr">
        <is>
          <t>Sumatera Selatan</t>
        </is>
      </c>
      <c r="Q28" t="inlineStr"/>
    </row>
    <row r="29">
      <c r="A29" t="inlineStr">
        <is>
          <t>DANAMAS CITRA ASIA</t>
        </is>
      </c>
      <c r="B29" t="inlineStr">
        <is>
          <t>Kota Bengkulu</t>
        </is>
      </c>
      <c r="C29" t="inlineStr">
        <is>
          <t>08117310303</t>
        </is>
      </c>
      <c r="D29" t="inlineStr">
        <is>
          <t>D.citrasia@gmail.com</t>
        </is>
      </c>
      <c r="E29" t="inlineStr">
        <is>
          <t>https://lpjk.pu.go.id/search-badan-usaha-detail/SmpCUUJyRzY1bkYzYmVsbC8rMUNwdz09</t>
        </is>
      </c>
      <c r="F29" t="n">
        <v>3</v>
      </c>
      <c r="G29" t="inlineStr">
        <is>
          <t>BG001, BS001, BS011</t>
        </is>
      </c>
      <c r="H29" t="inlineStr">
        <is>
          <t>10 Agustus 2023</t>
        </is>
      </c>
      <c r="I29" s="2" t="n">
        <v>46318</v>
      </c>
      <c r="J29" t="inlineStr">
        <is>
          <t>Disetujui</t>
        </is>
      </c>
      <c r="K29" t="n">
        <v>30</v>
      </c>
      <c r="L29" t="inlineStr">
        <is>
          <t>23 Oktober 2026</t>
        </is>
      </c>
      <c r="M29" t="inlineStr">
        <is>
          <t>Konstruksi Bangunan Pelabuhan Bukan Perikanan, Konstruksi Bangunan Sipil Jalan, Konstruksi Gedung Hunian</t>
        </is>
      </c>
      <c r="N29" t="inlineStr">
        <is>
          <t>K</t>
        </is>
      </c>
      <c r="O29" t="inlineStr">
        <is>
          <t>20231020, 20231021, 20231023</t>
        </is>
      </c>
      <c r="P29" t="inlineStr">
        <is>
          <t>Bengkulu</t>
        </is>
      </c>
      <c r="Q29" t="inlineStr"/>
    </row>
    <row r="30">
      <c r="A30" t="inlineStr">
        <is>
          <t>DELIMA KURNIA PRATAMA</t>
        </is>
      </c>
      <c r="B30" t="inlineStr">
        <is>
          <t>Kota Cilegon</t>
        </is>
      </c>
      <c r="C30" t="inlineStr">
        <is>
          <t>0254601284</t>
        </is>
      </c>
      <c r="D30" t="inlineStr">
        <is>
          <t>delimakurniapratama@yahoo.com</t>
        </is>
      </c>
      <c r="E30" t="inlineStr">
        <is>
          <t>https://lpjk.pu.go.id/search-badan-usaha-detail/WXozUW9nUk1iRG93RlpkakpCdk1Zdz09</t>
        </is>
      </c>
      <c r="F30" t="n">
        <v>2</v>
      </c>
      <c r="G30" t="inlineStr">
        <is>
          <t>IN001</t>
        </is>
      </c>
      <c r="H30" t="inlineStr">
        <is>
          <t>26 Februari 2015</t>
        </is>
      </c>
      <c r="I30" s="2" t="n">
        <v>46318</v>
      </c>
      <c r="J30" t="inlineStr">
        <is>
          <t>Pembekuan</t>
        </is>
      </c>
      <c r="K30" t="n">
        <v>30</v>
      </c>
      <c r="L30" t="inlineStr">
        <is>
          <t>23 Oktober 2026</t>
        </is>
      </c>
      <c r="M30" t="inlineStr">
        <is>
          <t>Instalasi Mekanikal</t>
        </is>
      </c>
      <c r="N30" t="inlineStr">
        <is>
          <t>Spesialis</t>
        </is>
      </c>
      <c r="O30" t="inlineStr">
        <is>
          <t>20231023</t>
        </is>
      </c>
      <c r="P30" t="inlineStr">
        <is>
          <t>Banten</t>
        </is>
      </c>
      <c r="Q30" t="inlineStr"/>
    </row>
    <row r="31">
      <c r="A31" t="inlineStr">
        <is>
          <t>DEMANG AGENG</t>
        </is>
      </c>
      <c r="B31" t="inlineStr">
        <is>
          <t>Kab. Ponorogo</t>
        </is>
      </c>
      <c r="C31" t="inlineStr">
        <is>
          <t>08113312661</t>
        </is>
      </c>
      <c r="D31" t="inlineStr">
        <is>
          <t>cv.demangageng@gmail.com</t>
        </is>
      </c>
      <c r="E31" t="inlineStr">
        <is>
          <t>https://lpjk.pu.go.id/search-badan-usaha-detail/a0VJMUJWcStXOG9sdThCVk51OUlEQT09</t>
        </is>
      </c>
      <c r="F31" t="n">
        <v>2</v>
      </c>
      <c r="G31" t="inlineStr">
        <is>
          <t>BS001</t>
        </is>
      </c>
      <c r="H31" t="inlineStr">
        <is>
          <t>3 Januari 1983</t>
        </is>
      </c>
      <c r="I31" s="2" t="n">
        <v>46318</v>
      </c>
      <c r="J31" t="inlineStr">
        <is>
          <t>Disetujui</t>
        </is>
      </c>
      <c r="K31" t="n">
        <v>30</v>
      </c>
      <c r="L31" t="inlineStr">
        <is>
          <t>23 Oktober 2026</t>
        </is>
      </c>
      <c r="M31" t="inlineStr">
        <is>
          <t>Konstruksi Bangunan Sipil Jalan</t>
        </is>
      </c>
      <c r="N31" t="inlineStr">
        <is>
          <t>K</t>
        </is>
      </c>
      <c r="O31" t="inlineStr">
        <is>
          <t>20231020</t>
        </is>
      </c>
      <c r="P31" t="inlineStr">
        <is>
          <t>Jawa Timur</t>
        </is>
      </c>
      <c r="Q31" t="inlineStr"/>
    </row>
    <row r="32">
      <c r="A32" t="inlineStr">
        <is>
          <t>DIMENSI RUANG</t>
        </is>
      </c>
      <c r="B32" t="inlineStr">
        <is>
          <t>Kab. Toraja Utara</t>
        </is>
      </c>
      <c r="C32" t="inlineStr">
        <is>
          <t>081343945358</t>
        </is>
      </c>
      <c r="D32" t="inlineStr">
        <is>
          <t>dimensiruang2016@gmail.com</t>
        </is>
      </c>
      <c r="E32" t="inlineStr">
        <is>
          <t>https://lpjk.pu.go.id/search-badan-usaha-detail/ekZNQ0VRT3AwL3hsVkphNkVlSU9Edz09</t>
        </is>
      </c>
      <c r="F32" t="n">
        <v>2</v>
      </c>
      <c r="G32" t="inlineStr">
        <is>
          <t>AL002, AL004</t>
        </is>
      </c>
      <c r="H32" t="inlineStr">
        <is>
          <t>22 Juni 2012</t>
        </is>
      </c>
      <c r="I32" s="2" t="n">
        <v>46318</v>
      </c>
      <c r="J32" t="inlineStr">
        <is>
          <t>Disetujui</t>
        </is>
      </c>
      <c r="K32" t="n">
        <v>30</v>
      </c>
      <c r="L32" t="inlineStr">
        <is>
          <t>23 Oktober 2026</t>
        </is>
      </c>
      <c r="M32" t="inlineStr">
        <is>
          <t>Jasa Pengembangan Lingkungan Bangunan dan Lanskap, Jasa Pengembangan Wilayah</t>
        </is>
      </c>
      <c r="N32" t="inlineStr">
        <is>
          <t>K</t>
        </is>
      </c>
      <c r="O32" t="inlineStr">
        <is>
          <t>20231013, 20231017</t>
        </is>
      </c>
      <c r="P32" t="inlineStr">
        <is>
          <t>Sulawesi Selatan</t>
        </is>
      </c>
      <c r="Q32" t="inlineStr"/>
    </row>
    <row r="33">
      <c r="A33" t="inlineStr">
        <is>
          <t>DITA KONTRAKTOR</t>
        </is>
      </c>
      <c r="B33" t="inlineStr">
        <is>
          <t>Kab. Muaro Jambi</t>
        </is>
      </c>
      <c r="C33" t="inlineStr">
        <is>
          <t>085273900537</t>
        </is>
      </c>
      <c r="D33" t="inlineStr">
        <is>
          <t>dita_kontraktor@yahoo.com</t>
        </is>
      </c>
      <c r="E33" t="inlineStr">
        <is>
          <t>https://lpjk.pu.go.id/search-badan-usaha-detail/dGxtNUJJcDk0YnVSN3BVMFBOb2JBdz09</t>
        </is>
      </c>
      <c r="F33" t="n">
        <v>5</v>
      </c>
      <c r="G33" t="inlineStr">
        <is>
          <t>BG002, BG005, BG006, BG009, BS001</t>
        </is>
      </c>
      <c r="H33" t="inlineStr">
        <is>
          <t>30 Maret 2000</t>
        </is>
      </c>
      <c r="I33" s="2" t="n">
        <v>46318</v>
      </c>
      <c r="J33" t="inlineStr">
        <is>
          <t>Disetujui</t>
        </is>
      </c>
      <c r="K33" t="n">
        <v>30</v>
      </c>
      <c r="L33" t="inlineStr">
        <is>
          <t>23 Oktober 2026</t>
        </is>
      </c>
      <c r="M33" t="inlineStr">
        <is>
          <t>Konstruksi Bangunan Sipil Jalan, Konstruksi Gedung Kesehatan, Konstruksi Gedung Lainnya, Konstruksi Gedung Pendidikan, Konstruksi Gedung Perkantoran</t>
        </is>
      </c>
      <c r="N33" t="inlineStr">
        <is>
          <t>K</t>
        </is>
      </c>
      <c r="O33" t="inlineStr">
        <is>
          <t>20231016</t>
        </is>
      </c>
      <c r="P33" t="inlineStr">
        <is>
          <t>Jambi</t>
        </is>
      </c>
      <c r="Q33" t="inlineStr"/>
    </row>
    <row r="34">
      <c r="A34" t="inlineStr">
        <is>
          <t>DORO SANOLO</t>
        </is>
      </c>
      <c r="B34" t="inlineStr">
        <is>
          <t>Kota Bima</t>
        </is>
      </c>
      <c r="C34" t="inlineStr">
        <is>
          <t>081339783777</t>
        </is>
      </c>
      <c r="D34" t="inlineStr">
        <is>
          <t>dorosanolocv@gmail.com</t>
        </is>
      </c>
      <c r="E34" t="inlineStr">
        <is>
          <t>https://lpjk.pu.go.id/search-badan-usaha-detail/WVpKUk9TaGZLRnRlM2MzZERiQVZIZz09</t>
        </is>
      </c>
      <c r="F34" t="n">
        <v>4</v>
      </c>
      <c r="G34" t="inlineStr">
        <is>
          <t>BG005, BG006, BS001, BS004</t>
        </is>
      </c>
      <c r="H34" t="inlineStr">
        <is>
          <t>13 Februari 2023</t>
        </is>
      </c>
      <c r="I34" s="2" t="n">
        <v>46318</v>
      </c>
      <c r="J34" t="inlineStr">
        <is>
          <t>Disetujui</t>
        </is>
      </c>
      <c r="K34" t="n">
        <v>30</v>
      </c>
      <c r="L34" t="inlineStr">
        <is>
          <t>23 Oktober 2026</t>
        </is>
      </c>
      <c r="M34" t="inlineStr">
        <is>
          <t>Konstruksi Bangunan Sipil Jalan, Konstruksi Gedung Kesehatan, Konstruksi Gedung Pendidikan, Konstruksi Jaringan Irigasi dan Drainase</t>
        </is>
      </c>
      <c r="N34" t="inlineStr">
        <is>
          <t>K</t>
        </is>
      </c>
      <c r="O34" t="inlineStr">
        <is>
          <t>20231022, 20231023, 20231024</t>
        </is>
      </c>
      <c r="P34" t="inlineStr">
        <is>
          <t>Nusa Tenggara Barat</t>
        </is>
      </c>
      <c r="Q34" t="inlineStr"/>
    </row>
    <row r="35">
      <c r="A35" t="inlineStr">
        <is>
          <t>DUTA ANGKASA ALLISIONE</t>
        </is>
      </c>
      <c r="B35" t="inlineStr">
        <is>
          <t>Kota Binjai</t>
        </is>
      </c>
      <c r="C35" t="inlineStr">
        <is>
          <t>085762025968</t>
        </is>
      </c>
      <c r="D35" t="inlineStr">
        <is>
          <t>dutaangkasaallisionept@gmail.com</t>
        </is>
      </c>
      <c r="E35" t="inlineStr">
        <is>
          <t>https://lpjk.pu.go.id/search-badan-usaha-detail/TE9YQzBFL1lnZmtXK2pkVjZRaHJnZz09</t>
        </is>
      </c>
      <c r="F35" t="n">
        <v>2</v>
      </c>
      <c r="G35" t="inlineStr">
        <is>
          <t>BS001, BS002</t>
        </is>
      </c>
      <c r="H35" t="inlineStr">
        <is>
          <t>25 November 2016</t>
        </is>
      </c>
      <c r="I35" s="2" t="n">
        <v>46318</v>
      </c>
      <c r="J35" t="inlineStr">
        <is>
          <t>Disetujui</t>
        </is>
      </c>
      <c r="K35" t="n">
        <v>30</v>
      </c>
      <c r="L35" t="inlineStr">
        <is>
          <t>23 Oktober 2026</t>
        </is>
      </c>
      <c r="M35" t="inlineStr">
        <is>
          <t>Bangunan Sipil Jembatan, Jalan Layang, Fly Over, dan Underpass, Konstruksi Bangunan Sipil Jalan</t>
        </is>
      </c>
      <c r="N35" t="inlineStr">
        <is>
          <t>K</t>
        </is>
      </c>
      <c r="O35" t="inlineStr">
        <is>
          <t>20231024</t>
        </is>
      </c>
      <c r="P35" t="inlineStr">
        <is>
          <t>Sumatera Utara</t>
        </is>
      </c>
      <c r="Q35" t="inlineStr"/>
    </row>
    <row r="36">
      <c r="A36" t="inlineStr">
        <is>
          <t>EMERALD GROUP</t>
        </is>
      </c>
      <c r="B36" t="inlineStr">
        <is>
          <t>Kab. Aceh Utara</t>
        </is>
      </c>
      <c r="C36" t="inlineStr">
        <is>
          <t>082277540166</t>
        </is>
      </c>
      <c r="D36" t="inlineStr">
        <is>
          <t>cv.emeraldgroup@yahoo.com</t>
        </is>
      </c>
      <c r="E36" t="inlineStr">
        <is>
          <t>https://lpjk.pu.go.id/search-badan-usaha-detail/M3ZuYm5CaEpNRTdWUFBzNU8ydkpKdz09</t>
        </is>
      </c>
      <c r="F36" t="n">
        <v>2</v>
      </c>
      <c r="G36" t="inlineStr">
        <is>
          <t>BS001</t>
        </is>
      </c>
      <c r="H36" t="inlineStr">
        <is>
          <t>4 Februari 2015</t>
        </is>
      </c>
      <c r="I36" s="2" t="n">
        <v>46318</v>
      </c>
      <c r="J36" t="inlineStr">
        <is>
          <t>Disetujui</t>
        </is>
      </c>
      <c r="K36" t="n">
        <v>30</v>
      </c>
      <c r="L36" t="inlineStr">
        <is>
          <t>23 Oktober 2026</t>
        </is>
      </c>
      <c r="M36" t="inlineStr">
        <is>
          <t>Konstruksi Bangunan Sipil Jalan</t>
        </is>
      </c>
      <c r="N36" t="inlineStr">
        <is>
          <t>K</t>
        </is>
      </c>
      <c r="O36" t="inlineStr">
        <is>
          <t>20231014</t>
        </is>
      </c>
      <c r="P36" t="inlineStr">
        <is>
          <t>Aceh</t>
        </is>
      </c>
      <c r="Q36" t="inlineStr"/>
    </row>
    <row r="37">
      <c r="A37" t="inlineStr">
        <is>
          <t>ERA GLOBAL MAKMUR</t>
        </is>
      </c>
      <c r="B37" t="inlineStr">
        <is>
          <t>Kota Tangerang</t>
        </is>
      </c>
      <c r="C37" t="inlineStr">
        <is>
          <t>085656098683</t>
        </is>
      </c>
      <c r="D37" t="inlineStr">
        <is>
          <t>egm2012@yahoo.co.id</t>
        </is>
      </c>
      <c r="E37" t="inlineStr">
        <is>
          <t>https://lpjk.pu.go.id/search-badan-usaha-detail/RmdSUWhaWk1vZWtTamJkU2Vmb0Mxdz09</t>
        </is>
      </c>
      <c r="F37" t="n">
        <v>2</v>
      </c>
      <c r="G37" t="inlineStr">
        <is>
          <t>BG009, BS001</t>
        </is>
      </c>
      <c r="H37" t="inlineStr">
        <is>
          <t>2 Maret 2004</t>
        </is>
      </c>
      <c r="I37" s="2" t="n">
        <v>46318</v>
      </c>
      <c r="J37" t="inlineStr">
        <is>
          <t>Disetujui</t>
        </is>
      </c>
      <c r="K37" t="n">
        <v>30</v>
      </c>
      <c r="L37" t="inlineStr">
        <is>
          <t>23 Oktober 2026</t>
        </is>
      </c>
      <c r="M37" t="inlineStr">
        <is>
          <t>Konstruksi Bangunan Sipil Jalan, Konstruksi Gedung Lainnya</t>
        </is>
      </c>
      <c r="N37" t="inlineStr">
        <is>
          <t>K</t>
        </is>
      </c>
      <c r="O37" t="inlineStr">
        <is>
          <t>20231023, 20231024</t>
        </is>
      </c>
      <c r="P37" t="inlineStr">
        <is>
          <t>Banten</t>
        </is>
      </c>
      <c r="Q37" t="inlineStr"/>
    </row>
    <row r="38">
      <c r="A38" t="inlineStr">
        <is>
          <t>FAJAR BUMI MAS</t>
        </is>
      </c>
      <c r="B38" t="inlineStr">
        <is>
          <t>Kab. Garut</t>
        </is>
      </c>
      <c r="C38" t="inlineStr">
        <is>
          <t>085211871024</t>
        </is>
      </c>
      <c r="D38" t="inlineStr">
        <is>
          <t>pt.fbm21@gmail.com</t>
        </is>
      </c>
      <c r="E38" t="inlineStr">
        <is>
          <t>https://lpjk.pu.go.id/search-badan-usaha-detail/OWlYUjVHSHZ4RVUydWdFUktXV2tNQT09</t>
        </is>
      </c>
      <c r="F38" t="n">
        <v>4</v>
      </c>
      <c r="G38" t="inlineStr">
        <is>
          <t>BG001, BG002, BS001, BS002</t>
        </is>
      </c>
      <c r="H38" t="inlineStr">
        <is>
          <t>10 Agustus 2021</t>
        </is>
      </c>
      <c r="I38" s="2" t="n">
        <v>46318</v>
      </c>
      <c r="J38" t="inlineStr">
        <is>
          <t>Disetujui</t>
        </is>
      </c>
      <c r="K38" t="n">
        <v>30</v>
      </c>
      <c r="L38" t="inlineStr">
        <is>
          <t>23 Oktober 2026</t>
        </is>
      </c>
      <c r="M38" t="inlineStr">
        <is>
          <t>Bangunan Sipil Jembatan, Jalan Layang, Fly Over, dan Underpass, Konstruksi Bangunan Sipil Jalan, Konstruksi Gedung Hunian, Konstruksi Gedung Perkantoran</t>
        </is>
      </c>
      <c r="N38" t="inlineStr">
        <is>
          <t>K</t>
        </is>
      </c>
      <c r="O38" t="inlineStr">
        <is>
          <t>20231018, 20231019, 20231020</t>
        </is>
      </c>
      <c r="P38" t="inlineStr">
        <is>
          <t>Jawa Barat</t>
        </is>
      </c>
      <c r="Q38" t="inlineStr"/>
    </row>
    <row r="39">
      <c r="A39" t="inlineStr">
        <is>
          <t>FAJAR HARAPAN</t>
        </is>
      </c>
      <c r="B39" t="inlineStr">
        <is>
          <t>Kab. Labuhanbatu Selatan</t>
        </is>
      </c>
      <c r="C39" t="inlineStr">
        <is>
          <t>082169721976</t>
        </is>
      </c>
      <c r="D39" t="inlineStr">
        <is>
          <t>harapancvfajar@gmail.com</t>
        </is>
      </c>
      <c r="E39" t="inlineStr">
        <is>
          <t>https://lpjk.pu.go.id/search-badan-usaha-detail/VWtyTzVub1hEZS9ZNDNMMjhEL3R5QT09</t>
        </is>
      </c>
      <c r="F39" t="n">
        <v>5</v>
      </c>
      <c r="G39" t="inlineStr">
        <is>
          <t>BG001, BG002, BG004, BG006, BG009</t>
        </is>
      </c>
      <c r="H39" t="inlineStr">
        <is>
          <t>3 Juli 2019</t>
        </is>
      </c>
      <c r="I39" s="2" t="n">
        <v>46318</v>
      </c>
      <c r="J39" t="inlineStr">
        <is>
          <t>Disetujui</t>
        </is>
      </c>
      <c r="K39" t="n">
        <v>30</v>
      </c>
      <c r="L39" t="inlineStr">
        <is>
          <t>23 Oktober 2026</t>
        </is>
      </c>
      <c r="M39" t="inlineStr">
        <is>
          <t>Konstruksi Gedung Hunian, Konstruksi Gedung Lainnya, Konstruksi Gedung Pendidikan, Konstruksi Gedung Perbelanjaan, Konstruksi Gedung Perkantoran</t>
        </is>
      </c>
      <c r="N39" t="inlineStr">
        <is>
          <t>K</t>
        </is>
      </c>
      <c r="O39" t="inlineStr">
        <is>
          <t>20231023</t>
        </is>
      </c>
      <c r="P39" t="inlineStr">
        <is>
          <t>Sumatera Utara</t>
        </is>
      </c>
      <c r="Q39" t="inlineStr"/>
    </row>
    <row r="40">
      <c r="A40" t="inlineStr">
        <is>
          <t>GESANG LANGGENG PANGESTU</t>
        </is>
      </c>
      <c r="B40" t="inlineStr">
        <is>
          <t>Kota Surabaya</t>
        </is>
      </c>
      <c r="C40" t="inlineStr">
        <is>
          <t>081236669615</t>
        </is>
      </c>
      <c r="D40" t="inlineStr">
        <is>
          <t>totokriadi@yahoo.com</t>
        </is>
      </c>
      <c r="E40" t="inlineStr">
        <is>
          <t>https://lpjk.pu.go.id/search-badan-usaha-detail/VVViR1VyT2wwOXV1MmJhOXFQZDJndz09</t>
        </is>
      </c>
      <c r="F40" t="n">
        <v>2</v>
      </c>
      <c r="G40" t="inlineStr">
        <is>
          <t>BG009, BS004</t>
        </is>
      </c>
      <c r="H40" t="inlineStr">
        <is>
          <t>3 Juli 2023</t>
        </is>
      </c>
      <c r="I40" s="2" t="n">
        <v>46318</v>
      </c>
      <c r="J40" t="inlineStr">
        <is>
          <t>Disetujui</t>
        </is>
      </c>
      <c r="K40" t="n">
        <v>30</v>
      </c>
      <c r="L40" t="inlineStr">
        <is>
          <t>23 Oktober 2026</t>
        </is>
      </c>
      <c r="M40" t="inlineStr">
        <is>
          <t>Konstruksi Gedung Lainnya, Konstruksi Jaringan Irigasi dan Drainase</t>
        </is>
      </c>
      <c r="N40" t="inlineStr">
        <is>
          <t>K</t>
        </is>
      </c>
      <c r="O40" t="inlineStr">
        <is>
          <t>20230712, 20231019</t>
        </is>
      </c>
      <c r="P40" t="inlineStr">
        <is>
          <t>Jawa Timur</t>
        </is>
      </c>
      <c r="Q40" t="inlineStr"/>
    </row>
    <row r="41">
      <c r="A41" t="inlineStr">
        <is>
          <t>GLOBAL MADANINDO KONSULTAN</t>
        </is>
      </c>
      <c r="B41" t="inlineStr">
        <is>
          <t>Kota Makassar</t>
        </is>
      </c>
      <c r="C41" t="inlineStr">
        <is>
          <t>081355857755</t>
        </is>
      </c>
      <c r="D41" t="inlineStr">
        <is>
          <t>global98.consultant.cv@gmail.com</t>
        </is>
      </c>
      <c r="E41" t="inlineStr">
        <is>
          <t>https://lpjk.pu.go.id/search-badan-usaha-detail/aGJZbStwRlBoWkNNWE9EeitQYWlQZz09</t>
        </is>
      </c>
      <c r="F41" t="n">
        <v>1</v>
      </c>
      <c r="G41" t="inlineStr">
        <is>
          <t>RK002</t>
        </is>
      </c>
      <c r="H41" t="inlineStr">
        <is>
          <t>13 November 2008</t>
        </is>
      </c>
      <c r="I41" s="2" t="n">
        <v>46318</v>
      </c>
      <c r="J41" t="inlineStr">
        <is>
          <t>Disetujui</t>
        </is>
      </c>
      <c r="K41" t="n">
        <v>30</v>
      </c>
      <c r="L41" t="inlineStr">
        <is>
          <t>23 Oktober 2026</t>
        </is>
      </c>
      <c r="M41" t="inlineStr">
        <is>
          <t>Jasa Rekayasa Pekerjaan Teknik Sipil Sumber Daya Air</t>
        </is>
      </c>
      <c r="N41" t="inlineStr">
        <is>
          <t>K</t>
        </is>
      </c>
      <c r="O41" t="inlineStr">
        <is>
          <t>20231005</t>
        </is>
      </c>
      <c r="P41" t="inlineStr">
        <is>
          <t>Sulawesi Selatan</t>
        </is>
      </c>
      <c r="Q41" t="inlineStr"/>
    </row>
    <row r="42">
      <c r="A42" t="inlineStr">
        <is>
          <t>GORGA MARGA MANDIRI</t>
        </is>
      </c>
      <c r="B42" t="inlineStr">
        <is>
          <t>Kota Surabaya</t>
        </is>
      </c>
      <c r="C42" t="inlineStr">
        <is>
          <t>081232648227</t>
        </is>
      </c>
      <c r="D42" t="inlineStr">
        <is>
          <t>gorga_britamandiri@yahoo.co.id</t>
        </is>
      </c>
      <c r="E42" t="inlineStr">
        <is>
          <t>https://lpjk.pu.go.id/search-badan-usaha-detail/cDJPOHFlQmtlRGhVUE9CMjR6NGE4Zz09</t>
        </is>
      </c>
      <c r="F42" t="n">
        <v>1</v>
      </c>
      <c r="G42" t="inlineStr">
        <is>
          <t>BS001</t>
        </is>
      </c>
      <c r="H42" t="inlineStr">
        <is>
          <t>9 September 1999</t>
        </is>
      </c>
      <c r="I42" s="2" t="n">
        <v>46318</v>
      </c>
      <c r="J42" t="inlineStr">
        <is>
          <t>Pembekuan</t>
        </is>
      </c>
      <c r="K42" t="n">
        <v>30</v>
      </c>
      <c r="L42" t="inlineStr">
        <is>
          <t>23 Oktober 2026</t>
        </is>
      </c>
      <c r="M42" t="inlineStr">
        <is>
          <t>Konstruksi Bangunan Sipil Jalan</t>
        </is>
      </c>
      <c r="N42" t="inlineStr">
        <is>
          <t>M</t>
        </is>
      </c>
      <c r="O42" t="inlineStr">
        <is>
          <t>20231023</t>
        </is>
      </c>
      <c r="P42" t="inlineStr">
        <is>
          <t>Jawa Timur</t>
        </is>
      </c>
      <c r="Q42" t="inlineStr"/>
    </row>
    <row r="43">
      <c r="A43" t="inlineStr">
        <is>
          <t>GRAHATAMA KARYA KONSTRUKSI</t>
        </is>
      </c>
      <c r="B43" t="inlineStr">
        <is>
          <t>Kota Adm. Jakarta Pusat</t>
        </is>
      </c>
      <c r="C43" t="inlineStr">
        <is>
          <t>02163858931</t>
        </is>
      </c>
      <c r="D43" t="inlineStr">
        <is>
          <t>grahatamagkk@gmail.com</t>
        </is>
      </c>
      <c r="E43" t="inlineStr">
        <is>
          <t>https://lpjk.pu.go.id/search-badan-usaha-detail/YVFLSXY3SDVXQ2ZjeVhsTUpmTy9sUT09</t>
        </is>
      </c>
      <c r="F43" t="n">
        <v>1</v>
      </c>
      <c r="G43" t="inlineStr">
        <is>
          <t>BG001</t>
        </is>
      </c>
      <c r="H43" t="inlineStr">
        <is>
          <t>7 Oktober 2016</t>
        </is>
      </c>
      <c r="I43" s="2" t="n">
        <v>46318</v>
      </c>
      <c r="J43" t="inlineStr">
        <is>
          <t>Pencabutan</t>
        </is>
      </c>
      <c r="K43" t="n">
        <v>30</v>
      </c>
      <c r="L43" t="inlineStr">
        <is>
          <t>23 Oktober 2026</t>
        </is>
      </c>
      <c r="M43" t="inlineStr">
        <is>
          <t>Konstruksi Gedung Hunian</t>
        </is>
      </c>
      <c r="N43" t="inlineStr">
        <is>
          <t>K</t>
        </is>
      </c>
      <c r="O43" t="inlineStr">
        <is>
          <t>20231018</t>
        </is>
      </c>
      <c r="P43" t="inlineStr">
        <is>
          <t>DKI Jakarta</t>
        </is>
      </c>
      <c r="Q43" t="inlineStr"/>
    </row>
    <row r="44">
      <c r="A44" t="inlineStr">
        <is>
          <t>GUNTUR ABADI</t>
        </is>
      </c>
      <c r="B44" t="inlineStr">
        <is>
          <t>Kab. Sidoarjo</t>
        </is>
      </c>
      <c r="C44" t="inlineStr">
        <is>
          <t>081252968769</t>
        </is>
      </c>
      <c r="D44" t="inlineStr">
        <is>
          <t>gunturabadi.cv@gmail.com</t>
        </is>
      </c>
      <c r="E44" t="inlineStr">
        <is>
          <t>https://lpjk.pu.go.id/search-badan-usaha-detail/eXM3b3JaUCtoTUJFWSszQ2ZGcENrdz09</t>
        </is>
      </c>
      <c r="F44" t="n">
        <v>2</v>
      </c>
      <c r="G44" t="inlineStr">
        <is>
          <t>BG004, BG005</t>
        </is>
      </c>
      <c r="H44" t="inlineStr">
        <is>
          <t>18 Juni 2020</t>
        </is>
      </c>
      <c r="I44" s="2" t="n">
        <v>46318</v>
      </c>
      <c r="J44" t="inlineStr">
        <is>
          <t>Disetujui</t>
        </is>
      </c>
      <c r="K44" t="n">
        <v>30</v>
      </c>
      <c r="L44" t="inlineStr">
        <is>
          <t>23 Oktober 2026</t>
        </is>
      </c>
      <c r="M44" t="inlineStr">
        <is>
          <t>Konstruksi Gedung Kesehatan, Konstruksi Gedung Perbelanjaan</t>
        </is>
      </c>
      <c r="N44" t="inlineStr">
        <is>
          <t>K</t>
        </is>
      </c>
      <c r="O44" t="inlineStr">
        <is>
          <t>20231023</t>
        </is>
      </c>
      <c r="P44" t="inlineStr">
        <is>
          <t>Jawa Timur</t>
        </is>
      </c>
      <c r="Q44" t="inlineStr"/>
    </row>
    <row r="45">
      <c r="A45" t="inlineStr">
        <is>
          <t>GUNTUR SEJAGAT</t>
        </is>
      </c>
      <c r="B45" t="inlineStr">
        <is>
          <t>Kab. Lombok Timur</t>
        </is>
      </c>
      <c r="C45" t="inlineStr">
        <is>
          <t>085338244094</t>
        </is>
      </c>
      <c r="D45" t="inlineStr">
        <is>
          <t>cvguntursejagat@gmail.com</t>
        </is>
      </c>
      <c r="E45" t="inlineStr">
        <is>
          <t>https://lpjk.pu.go.id/search-badan-usaha-detail/WWRQb3hpQVNHd2lCYi9NSE9ZZThqdz09</t>
        </is>
      </c>
      <c r="F45" t="n">
        <v>1</v>
      </c>
      <c r="G45" t="inlineStr">
        <is>
          <t>BG006</t>
        </is>
      </c>
      <c r="H45" t="inlineStr">
        <is>
          <t>10 Juli 2020</t>
        </is>
      </c>
      <c r="I45" s="2" t="n">
        <v>46318</v>
      </c>
      <c r="J45" t="inlineStr">
        <is>
          <t>Disetujui</t>
        </is>
      </c>
      <c r="K45" t="n">
        <v>30</v>
      </c>
      <c r="L45" t="inlineStr">
        <is>
          <t>23 Oktober 2026</t>
        </is>
      </c>
      <c r="M45" t="inlineStr">
        <is>
          <t>Konstruksi Gedung Pendidikan</t>
        </is>
      </c>
      <c r="N45" t="inlineStr">
        <is>
          <t>K</t>
        </is>
      </c>
      <c r="O45" t="inlineStr">
        <is>
          <t>20231018</t>
        </is>
      </c>
      <c r="P45" t="inlineStr">
        <is>
          <t>Nusa Tenggara Barat</t>
        </is>
      </c>
      <c r="Q45" t="inlineStr"/>
    </row>
    <row r="46">
      <c r="A46" t="inlineStr">
        <is>
          <t>HAMPARAN HIJAU</t>
        </is>
      </c>
      <c r="B46" t="inlineStr">
        <is>
          <t>Kab. Sekadau</t>
        </is>
      </c>
      <c r="C46" t="inlineStr">
        <is>
          <t>085393757116</t>
        </is>
      </c>
      <c r="D46" t="inlineStr">
        <is>
          <t>hamparanhijau26@gmail.com</t>
        </is>
      </c>
      <c r="E46" t="inlineStr">
        <is>
          <t>https://lpjk.pu.go.id/search-badan-usaha-detail/WDlYNEdmdDhlTlJGbkpaYjJtY29lUT09</t>
        </is>
      </c>
      <c r="F46" t="n">
        <v>1</v>
      </c>
      <c r="G46" t="inlineStr">
        <is>
          <t>PL003</t>
        </is>
      </c>
      <c r="H46" t="inlineStr">
        <is>
          <t>19 Juli 2019</t>
        </is>
      </c>
      <c r="I46" s="2" t="n">
        <v>46318</v>
      </c>
      <c r="J46" t="inlineStr">
        <is>
          <t>Disetujui</t>
        </is>
      </c>
      <c r="K46" t="n">
        <v>30</v>
      </c>
      <c r="L46" t="inlineStr">
        <is>
          <t>23 Oktober 2026</t>
        </is>
      </c>
      <c r="M46" t="inlineStr">
        <is>
          <t>Penyiapan Lahan Konstruksi</t>
        </is>
      </c>
      <c r="N46" t="inlineStr">
        <is>
          <t>Spesialis</t>
        </is>
      </c>
      <c r="O46" t="inlineStr">
        <is>
          <t>20231009</t>
        </is>
      </c>
      <c r="P46" t="inlineStr">
        <is>
          <t>Kalimantan Barat</t>
        </is>
      </c>
      <c r="Q46" t="inlineStr"/>
    </row>
    <row r="47">
      <c r="A47" t="inlineStr">
        <is>
          <t>HERANDASS ENGINEERING SYSTEM</t>
        </is>
      </c>
      <c r="B47" t="inlineStr">
        <is>
          <t>Kab. Bandung</t>
        </is>
      </c>
      <c r="C47" t="inlineStr">
        <is>
          <t>081388155304</t>
        </is>
      </c>
      <c r="D47" t="inlineStr">
        <is>
          <t>herandassystem@yahoo.com</t>
        </is>
      </c>
      <c r="E47" t="inlineStr">
        <is>
          <t>https://lpjk.pu.go.id/search-badan-usaha-detail/UDNYRE9FVW5WSE1Ed0h4WEdIUzFrQT09</t>
        </is>
      </c>
      <c r="F47" t="n">
        <v>9</v>
      </c>
      <c r="G47" t="inlineStr">
        <is>
          <t>RK001, RK002, RK003</t>
        </is>
      </c>
      <c r="H47" t="inlineStr">
        <is>
          <t>1 Juni 2010</t>
        </is>
      </c>
      <c r="I47" s="2" t="n">
        <v>46318</v>
      </c>
      <c r="J47" t="inlineStr">
        <is>
          <t>Pencabutan</t>
        </is>
      </c>
      <c r="K47" t="n">
        <v>30</v>
      </c>
      <c r="L47" t="inlineStr">
        <is>
          <t>23 Oktober 2026</t>
        </is>
      </c>
      <c r="M47" t="inlineStr">
        <is>
          <t>Jasa Rekayasa Konstruksi Bangunan Gedung Hunian dan Non Hunian, Jasa Rekayasa Pekerjaan Teknik Sipil Sumber Daya Air, Jasa Rekayasa Pekerjaan Teknik Sipil Transportasi</t>
        </is>
      </c>
      <c r="N47" t="inlineStr">
        <is>
          <t>K</t>
        </is>
      </c>
      <c r="O47" t="inlineStr">
        <is>
          <t>20231016</t>
        </is>
      </c>
      <c r="P47" t="inlineStr">
        <is>
          <t>Jawa Barat</t>
        </is>
      </c>
      <c r="Q47" t="inlineStr"/>
    </row>
    <row r="48">
      <c r="A48" t="inlineStr">
        <is>
          <t>HISYAM PUTRA</t>
        </is>
      </c>
      <c r="B48" t="inlineStr">
        <is>
          <t>Kota Kediri</t>
        </is>
      </c>
      <c r="C48" t="inlineStr">
        <is>
          <t>081235522368</t>
        </is>
      </c>
      <c r="D48" t="inlineStr">
        <is>
          <t>hisyamputra72@gmail.com</t>
        </is>
      </c>
      <c r="E48" t="inlineStr">
        <is>
          <t>https://lpjk.pu.go.id/search-badan-usaha-detail/bDB5STVnaFVOVXhRZVVsRTBEc2M2Zz09</t>
        </is>
      </c>
      <c r="F48" t="n">
        <v>2</v>
      </c>
      <c r="G48" t="inlineStr">
        <is>
          <t>BS002, BS004</t>
        </is>
      </c>
      <c r="H48" t="inlineStr">
        <is>
          <t>15 Agustus 2002</t>
        </is>
      </c>
      <c r="I48" s="2" t="n">
        <v>46318</v>
      </c>
      <c r="J48" t="inlineStr">
        <is>
          <t>Disetujui</t>
        </is>
      </c>
      <c r="K48" t="n">
        <v>30</v>
      </c>
      <c r="L48" t="inlineStr">
        <is>
          <t>23 Oktober 2026</t>
        </is>
      </c>
      <c r="M48" t="inlineStr">
        <is>
          <t>Bangunan Sipil Jembatan, Jalan Layang, Fly Over, dan Underpass, Konstruksi Jaringan Irigasi dan Drainase</t>
        </is>
      </c>
      <c r="N48" t="inlineStr">
        <is>
          <t>K</t>
        </is>
      </c>
      <c r="O48" t="inlineStr">
        <is>
          <t>20231017</t>
        </is>
      </c>
      <c r="P48" t="inlineStr">
        <is>
          <t>Jawa Timur</t>
        </is>
      </c>
      <c r="Q48" t="inlineStr"/>
    </row>
    <row r="49">
      <c r="A49" t="inlineStr">
        <is>
          <t>HUNIAN KARYA NUSANTARA</t>
        </is>
      </c>
      <c r="B49" t="inlineStr">
        <is>
          <t>Kab. Serang</t>
        </is>
      </c>
      <c r="C49" t="inlineStr">
        <is>
          <t>081210119462</t>
        </is>
      </c>
      <c r="D49" t="inlineStr">
        <is>
          <t>huniankaryanusantara@gmail.com</t>
        </is>
      </c>
      <c r="E49" t="inlineStr">
        <is>
          <t>https://lpjk.pu.go.id/search-badan-usaha-detail/eG1STVNoZXF3UzFDV3F6elNIVmo4dz09</t>
        </is>
      </c>
      <c r="F49" t="n">
        <v>2</v>
      </c>
      <c r="G49" t="inlineStr">
        <is>
          <t>BG009, BS001</t>
        </is>
      </c>
      <c r="H49" t="inlineStr">
        <is>
          <t>22 September 2022</t>
        </is>
      </c>
      <c r="I49" s="2" t="n">
        <v>46318</v>
      </c>
      <c r="J49" t="inlineStr">
        <is>
          <t>Disetujui, Pencabutan</t>
        </is>
      </c>
      <c r="K49" t="n">
        <v>30</v>
      </c>
      <c r="L49" t="inlineStr">
        <is>
          <t>23 Oktober 2026</t>
        </is>
      </c>
      <c r="M49" t="inlineStr">
        <is>
          <t>Konstruksi Bangunan Sipil Jalan, Konstruksi Gedung Lainnya</t>
        </is>
      </c>
      <c r="N49" t="inlineStr">
        <is>
          <t>K</t>
        </is>
      </c>
      <c r="O49" t="inlineStr">
        <is>
          <t>20231020, 20231023</t>
        </is>
      </c>
      <c r="P49" t="inlineStr">
        <is>
          <t>Banten</t>
        </is>
      </c>
      <c r="Q49" t="inlineStr"/>
    </row>
    <row r="50">
      <c r="A50" t="inlineStr">
        <is>
          <t>IDE KONSTRUKSI</t>
        </is>
      </c>
      <c r="B50" t="inlineStr">
        <is>
          <t>Kab. Malang</t>
        </is>
      </c>
      <c r="C50" t="inlineStr">
        <is>
          <t>087847077264</t>
        </is>
      </c>
      <c r="D50" t="inlineStr">
        <is>
          <t>cv.idekonstruksi23@gmail.com</t>
        </is>
      </c>
      <c r="E50" t="inlineStr">
        <is>
          <t>https://lpjk.pu.go.id/search-badan-usaha-detail/Yk1hbUE0WkYrRkVxZ1g2cWlCdWdzUT09</t>
        </is>
      </c>
      <c r="F50" t="n">
        <v>1</v>
      </c>
      <c r="G50" t="inlineStr">
        <is>
          <t>BG006</t>
        </is>
      </c>
      <c r="H50" t="inlineStr">
        <is>
          <t>16 Agustus 2023</t>
        </is>
      </c>
      <c r="I50" s="2" t="n">
        <v>46318</v>
      </c>
      <c r="J50" t="inlineStr">
        <is>
          <t>Disetujui</t>
        </is>
      </c>
      <c r="K50" t="n">
        <v>30</v>
      </c>
      <c r="L50" t="inlineStr">
        <is>
          <t>23 Oktober 2026</t>
        </is>
      </c>
      <c r="M50" t="inlineStr">
        <is>
          <t>Konstruksi Gedung Pendidikan</t>
        </is>
      </c>
      <c r="N50" t="inlineStr">
        <is>
          <t>K</t>
        </is>
      </c>
      <c r="O50" t="inlineStr">
        <is>
          <t>20231021</t>
        </is>
      </c>
      <c r="P50" t="inlineStr">
        <is>
          <t>Jawa Timur</t>
        </is>
      </c>
      <c r="Q50" t="inlineStr"/>
    </row>
    <row r="51">
      <c r="A51" t="inlineStr">
        <is>
          <t>INDOTELKO CEMERLANG ABADI</t>
        </is>
      </c>
      <c r="B51" t="inlineStr">
        <is>
          <t>Kab. Tegal</t>
        </is>
      </c>
      <c r="C51" t="inlineStr">
        <is>
          <t>08157717734</t>
        </is>
      </c>
      <c r="D51" t="inlineStr">
        <is>
          <t>admin@indotelkocemerlang.id</t>
        </is>
      </c>
      <c r="E51" t="inlineStr">
        <is>
          <t>https://lpjk.pu.go.id/search-badan-usaha-detail/RDkzd2krcmhCUnFIeFpONHVhWWo5UT09</t>
        </is>
      </c>
      <c r="F51" t="n">
        <v>1</v>
      </c>
      <c r="G51" t="inlineStr">
        <is>
          <t>BS008</t>
        </is>
      </c>
      <c r="H51" t="inlineStr">
        <is>
          <t>25 April 2022</t>
        </is>
      </c>
      <c r="I51" s="2" t="n">
        <v>46318</v>
      </c>
      <c r="J51" t="inlineStr">
        <is>
          <t>Disetujui</t>
        </is>
      </c>
      <c r="K51" t="n">
        <v>30</v>
      </c>
      <c r="L51" t="inlineStr">
        <is>
          <t>23 Oktober 2026</t>
        </is>
      </c>
      <c r="M51" t="inlineStr">
        <is>
          <t>Konstruksi Bangunan Sipil Telekomunikasi untuk Prasarana Transportasi</t>
        </is>
      </c>
      <c r="N51" t="inlineStr">
        <is>
          <t>K</t>
        </is>
      </c>
      <c r="O51" t="inlineStr">
        <is>
          <t>20231020</t>
        </is>
      </c>
      <c r="P51" t="inlineStr">
        <is>
          <t>Jawa Tengah</t>
        </is>
      </c>
      <c r="Q51" t="inlineStr"/>
    </row>
    <row r="52">
      <c r="A52" t="inlineStr">
        <is>
          <t>INDUSTRINDO MAJU MANDIRI</t>
        </is>
      </c>
      <c r="B52" t="inlineStr">
        <is>
          <t>Kota Adm. Jakarta Barat</t>
        </is>
      </c>
      <c r="C52" t="inlineStr">
        <is>
          <t>08126572085</t>
        </is>
      </c>
      <c r="D52" t="inlineStr">
        <is>
          <t>industrindo.imm@gmail.com</t>
        </is>
      </c>
      <c r="E52" t="inlineStr">
        <is>
          <t>https://lpjk.pu.go.id/search-badan-usaha-detail/WHhPcDhnSzVEUnRXSXJOOVpnbnFPdz09</t>
        </is>
      </c>
      <c r="F52" t="n">
        <v>4</v>
      </c>
      <c r="G52" t="inlineStr">
        <is>
          <t>BG002, BG003, BG004, BG007</t>
        </is>
      </c>
      <c r="H52" t="inlineStr">
        <is>
          <t>11 Juli 2014</t>
        </is>
      </c>
      <c r="I52" s="2" t="n">
        <v>46318</v>
      </c>
      <c r="J52" t="inlineStr">
        <is>
          <t>Disetujui</t>
        </is>
      </c>
      <c r="K52" t="n">
        <v>30</v>
      </c>
      <c r="L52" t="inlineStr">
        <is>
          <t>23 Oktober 2026</t>
        </is>
      </c>
      <c r="M52" t="inlineStr">
        <is>
          <t>Konstruksi Gedung Industri, Konstruksi Gedung Penginapan, Konstruksi Gedung Perbelanjaan, Konstruksi Gedung Perkantoran</t>
        </is>
      </c>
      <c r="N52" t="inlineStr">
        <is>
          <t>K</t>
        </is>
      </c>
      <c r="O52" t="inlineStr">
        <is>
          <t>20231012, 20231023</t>
        </is>
      </c>
      <c r="P52" t="inlineStr">
        <is>
          <t>DKI Jakarta</t>
        </is>
      </c>
      <c r="Q52" t="inlineStr"/>
    </row>
    <row r="53">
      <c r="A53" t="inlineStr">
        <is>
          <t>INFRA SOLUSI INDONESIA</t>
        </is>
      </c>
      <c r="B53" t="inlineStr">
        <is>
          <t>Kota Tangerang</t>
        </is>
      </c>
      <c r="C53" t="inlineStr">
        <is>
          <t>02129536841</t>
        </is>
      </c>
      <c r="D53" t="inlineStr">
        <is>
          <t>perizinan@i-solution.co.id</t>
        </is>
      </c>
      <c r="E53" t="inlineStr">
        <is>
          <t>https://lpjk.pu.go.id/search-badan-usaha-detail/cldQMzYyM3NSRTBMMXprb05wS0dSQT09</t>
        </is>
      </c>
      <c r="F53" t="n">
        <v>1</v>
      </c>
      <c r="G53" t="inlineStr">
        <is>
          <t>IN002</t>
        </is>
      </c>
      <c r="H53" t="inlineStr">
        <is>
          <t>5 Agustus 2019</t>
        </is>
      </c>
      <c r="I53" s="2" t="n">
        <v>46318</v>
      </c>
      <c r="J53" t="inlineStr">
        <is>
          <t>Pembekuan</t>
        </is>
      </c>
      <c r="K53" t="n">
        <v>30</v>
      </c>
      <c r="L53" t="inlineStr">
        <is>
          <t>23 Oktober 2026</t>
        </is>
      </c>
      <c r="M53" t="inlineStr">
        <is>
          <t>Instalasi Telekomunikasi</t>
        </is>
      </c>
      <c r="N53" t="inlineStr">
        <is>
          <t>Spesialis</t>
        </is>
      </c>
      <c r="O53" t="inlineStr">
        <is>
          <t>20231024</t>
        </is>
      </c>
      <c r="P53" t="inlineStr">
        <is>
          <t>Banten</t>
        </is>
      </c>
      <c r="Q53" t="inlineStr"/>
    </row>
    <row r="54">
      <c r="A54" t="inlineStr">
        <is>
          <t>JASA FAMILI KONSTRUKSI</t>
        </is>
      </c>
      <c r="B54" t="inlineStr">
        <is>
          <t>Kota Langsa</t>
        </is>
      </c>
      <c r="C54" t="inlineStr">
        <is>
          <t>08116801605</t>
        </is>
      </c>
      <c r="D54" t="inlineStr">
        <is>
          <t>cvjfk18@gmail.com</t>
        </is>
      </c>
      <c r="E54" t="inlineStr">
        <is>
          <t>https://lpjk.pu.go.id/search-badan-usaha-detail/SCtnZjlkZFM5NlE2WUNYTW9kOXVEUT09</t>
        </is>
      </c>
      <c r="F54" t="n">
        <v>2</v>
      </c>
      <c r="G54" t="inlineStr">
        <is>
          <t>PB009, PB010</t>
        </is>
      </c>
      <c r="H54" t="inlineStr">
        <is>
          <t>1 Februari 2018</t>
        </is>
      </c>
      <c r="I54" s="2" t="n">
        <v>46318</v>
      </c>
      <c r="J54" t="inlineStr">
        <is>
          <t>Disetujui</t>
        </is>
      </c>
      <c r="K54" t="n">
        <v>30</v>
      </c>
      <c r="L54" t="inlineStr">
        <is>
          <t>23 Oktober 2026</t>
        </is>
      </c>
      <c r="M54" t="inlineStr">
        <is>
          <t>Pekerjaan Lanskap, Pertamanan, dan Penanaman Vegetasi, Pembersihan dan Perapihan Bangunan Gedung dan/atau Bangunan Sipil</t>
        </is>
      </c>
      <c r="N54" t="inlineStr">
        <is>
          <t>Spesialis</t>
        </is>
      </c>
      <c r="O54" t="inlineStr">
        <is>
          <t>20231024, 20231025</t>
        </is>
      </c>
      <c r="P54" t="inlineStr">
        <is>
          <t>Aceh</t>
        </is>
      </c>
      <c r="Q54" t="inlineStr"/>
    </row>
    <row r="55">
      <c r="A55" t="inlineStr">
        <is>
          <t>JATI MAS</t>
        </is>
      </c>
      <c r="B55" t="inlineStr">
        <is>
          <t>Kab. Jember</t>
        </is>
      </c>
      <c r="C55" t="inlineStr">
        <is>
          <t>081249672030</t>
        </is>
      </c>
      <c r="D55" t="inlineStr">
        <is>
          <t>cvjatimas121@gmail.com</t>
        </is>
      </c>
      <c r="E55" t="inlineStr">
        <is>
          <t>https://lpjk.pu.go.id/search-badan-usaha-detail/MWhTdTVGZ0xUcm9SN3U2a2ZvSkNKRlEwV0pyeXRLQVRjeHFRL21QczNsaz0</t>
        </is>
      </c>
      <c r="F55" t="n">
        <v>4</v>
      </c>
      <c r="G55" t="inlineStr">
        <is>
          <t>BG005, BG006, BS001, BS004</t>
        </is>
      </c>
      <c r="H55" t="inlineStr">
        <is>
          <t>7 Februari 2025</t>
        </is>
      </c>
      <c r="I55" s="2" t="n">
        <v>46318</v>
      </c>
      <c r="J55" t="inlineStr">
        <is>
          <t>Disetujui</t>
        </is>
      </c>
      <c r="K55" t="n">
        <v>30</v>
      </c>
      <c r="L55" t="inlineStr">
        <is>
          <t>23 Oktober 2026</t>
        </is>
      </c>
      <c r="M55" t="inlineStr">
        <is>
          <t>Konstruksi Bangunan Sipil Jalan, Konstruksi Gedung Kesehatan, Konstruksi Gedung Pendidikan, Konstruksi Jaringan Irigasi dan Drainase</t>
        </is>
      </c>
      <c r="N55" t="inlineStr">
        <is>
          <t>K</t>
        </is>
      </c>
      <c r="O55" t="inlineStr">
        <is>
          <t>20231018, 20231023</t>
        </is>
      </c>
      <c r="P55" t="inlineStr">
        <is>
          <t>Jawa Timur</t>
        </is>
      </c>
      <c r="Q55" t="inlineStr"/>
    </row>
    <row r="56">
      <c r="A56" t="inlineStr">
        <is>
          <t>JAYA ABADI</t>
        </is>
      </c>
      <c r="B56" t="inlineStr">
        <is>
          <t>Kab. Sanggau</t>
        </is>
      </c>
      <c r="C56" t="inlineStr">
        <is>
          <t>085245250869</t>
        </is>
      </c>
      <c r="D56" t="inlineStr">
        <is>
          <t>cvjayaabadi797@gmail.com</t>
        </is>
      </c>
      <c r="E56" t="inlineStr">
        <is>
          <t>https://lpjk.pu.go.id/search-badan-usaha-detail/QVJ1QnRtZkVDZlc2MStlRURsRlZEUT09</t>
        </is>
      </c>
      <c r="F56" t="n">
        <v>1</v>
      </c>
      <c r="G56" t="inlineStr">
        <is>
          <t>BS002</t>
        </is>
      </c>
      <c r="H56" t="inlineStr">
        <is>
          <t>22 Juni 2012</t>
        </is>
      </c>
      <c r="I56" s="2" t="n">
        <v>46318</v>
      </c>
      <c r="J56" t="inlineStr">
        <is>
          <t>Pencabutan</t>
        </is>
      </c>
      <c r="K56" t="n">
        <v>30</v>
      </c>
      <c r="L56" t="inlineStr">
        <is>
          <t>23 Oktober 2026</t>
        </is>
      </c>
      <c r="M56" t="inlineStr">
        <is>
          <t>Bangunan Sipil Jembatan, Jalan Layang, Fly Over, dan Underpass</t>
        </is>
      </c>
      <c r="N56" t="inlineStr">
        <is>
          <t>K</t>
        </is>
      </c>
      <c r="O56" t="inlineStr">
        <is>
          <t>20231010</t>
        </is>
      </c>
      <c r="P56" t="inlineStr">
        <is>
          <t>Kalimantan Barat</t>
        </is>
      </c>
      <c r="Q56" t="inlineStr"/>
    </row>
    <row r="57">
      <c r="A57" t="inlineStr">
        <is>
          <t>JMD PERKASA TEKNIK</t>
        </is>
      </c>
      <c r="B57" t="inlineStr">
        <is>
          <t>Kab. Subang</t>
        </is>
      </c>
      <c r="C57" t="inlineStr">
        <is>
          <t>085269244444</t>
        </is>
      </c>
      <c r="D57" t="inlineStr">
        <is>
          <t>jmdperkasa@gmail.com</t>
        </is>
      </c>
      <c r="E57" t="inlineStr">
        <is>
          <t>https://lpjk.pu.go.id/search-badan-usaha-detail/M2FadnVRQzFDaDZTVU9MVTh5Z0JJZz09</t>
        </is>
      </c>
      <c r="F57" t="n">
        <v>5</v>
      </c>
      <c r="G57" t="inlineStr">
        <is>
          <t>BG003, BG006, BG009, BS001, BS004</t>
        </is>
      </c>
      <c r="H57" t="inlineStr">
        <is>
          <t>3 Desember 2019</t>
        </is>
      </c>
      <c r="I57" s="2" t="n">
        <v>46318</v>
      </c>
      <c r="J57" t="inlineStr">
        <is>
          <t>Disetujui</t>
        </is>
      </c>
      <c r="K57" t="n">
        <v>30</v>
      </c>
      <c r="L57" t="inlineStr">
        <is>
          <t>23 Oktober 2026</t>
        </is>
      </c>
      <c r="M57" t="inlineStr">
        <is>
          <t>Konstruksi Bangunan Sipil Jalan, Konstruksi Gedung Industri, Konstruksi Gedung Lainnya, Konstruksi Gedung Pendidikan, Konstruksi Jaringan Irigasi dan Drainase</t>
        </is>
      </c>
      <c r="N57" t="inlineStr">
        <is>
          <t>K</t>
        </is>
      </c>
      <c r="O57" t="inlineStr">
        <is>
          <t>20231023</t>
        </is>
      </c>
      <c r="P57" t="inlineStr">
        <is>
          <t>Jawa Barat</t>
        </is>
      </c>
      <c r="Q57" t="inlineStr"/>
    </row>
    <row r="58">
      <c r="A58" t="inlineStr">
        <is>
          <t>KAILA SEJAHTERA</t>
        </is>
      </c>
      <c r="B58" t="inlineStr">
        <is>
          <t>Kab. Bandung</t>
        </is>
      </c>
      <c r="C58" t="inlineStr">
        <is>
          <t>085795268168</t>
        </is>
      </c>
      <c r="D58" t="inlineStr">
        <is>
          <t>kailasejahtera20@yahoo.com</t>
        </is>
      </c>
      <c r="E58" t="inlineStr">
        <is>
          <t>https://lpjk.pu.go.id/search-badan-usaha-detail/SG95dFQ2cUIrblRNSThzM1BzMHhyQT09</t>
        </is>
      </c>
      <c r="F58" t="n">
        <v>1</v>
      </c>
      <c r="G58" t="inlineStr">
        <is>
          <t>PB003</t>
        </is>
      </c>
      <c r="H58" t="inlineStr">
        <is>
          <t>18 Januari 2013</t>
        </is>
      </c>
      <c r="I58" s="2" t="n">
        <v>46318</v>
      </c>
      <c r="J58" t="inlineStr">
        <is>
          <t>Pembekuan</t>
        </is>
      </c>
      <c r="K58" t="n">
        <v>30</v>
      </c>
      <c r="L58" t="inlineStr">
        <is>
          <t>23 Oktober 2026</t>
        </is>
      </c>
      <c r="M58" t="inlineStr">
        <is>
          <t>Pengerjaan Lantai, Dinding, Peralatan Saniter dan Plafon</t>
        </is>
      </c>
      <c r="N58" t="inlineStr">
        <is>
          <t>Spesialis</t>
        </is>
      </c>
      <c r="O58" t="inlineStr">
        <is>
          <t>20231016</t>
        </is>
      </c>
      <c r="P58" t="inlineStr">
        <is>
          <t>Jawa Barat</t>
        </is>
      </c>
      <c r="Q58" t="inlineStr"/>
    </row>
    <row r="59">
      <c r="A59" t="inlineStr">
        <is>
          <t>KARYA ANUGRAH JAYA ABADI</t>
        </is>
      </c>
      <c r="B59" t="inlineStr">
        <is>
          <t>Kota Surabaya</t>
        </is>
      </c>
      <c r="C59" t="inlineStr">
        <is>
          <t>0318701654</t>
        </is>
      </c>
      <c r="D59" t="inlineStr">
        <is>
          <t>ptkaja.sby@gmail.com</t>
        </is>
      </c>
      <c r="E59" t="inlineStr">
        <is>
          <t>https://lpjk.pu.go.id/search-badan-usaha-detail/Y3NQR2QzdVJGbW90cm1FSUh6c2tHQT09</t>
        </is>
      </c>
      <c r="F59" t="n">
        <v>2</v>
      </c>
      <c r="G59" t="inlineStr">
        <is>
          <t>BG001, BS011</t>
        </is>
      </c>
      <c r="H59" t="inlineStr">
        <is>
          <t>26 Januari 2008</t>
        </is>
      </c>
      <c r="I59" s="2" t="n">
        <v>46318</v>
      </c>
      <c r="J59" t="inlineStr">
        <is>
          <t>Pencabutan</t>
        </is>
      </c>
      <c r="K59" t="n">
        <v>30</v>
      </c>
      <c r="L59" t="inlineStr">
        <is>
          <t>23 Oktober 2026</t>
        </is>
      </c>
      <c r="M59" t="inlineStr">
        <is>
          <t>Konstruksi Bangunan Pelabuhan Bukan Perikanan, Konstruksi Gedung Hunian</t>
        </is>
      </c>
      <c r="N59" t="inlineStr">
        <is>
          <t>M</t>
        </is>
      </c>
      <c r="O59" t="inlineStr">
        <is>
          <t>20231013, 20231018</t>
        </is>
      </c>
      <c r="P59" t="inlineStr">
        <is>
          <t>Jawa Timur</t>
        </is>
      </c>
      <c r="Q59" t="inlineStr"/>
    </row>
    <row r="60">
      <c r="A60" t="inlineStr">
        <is>
          <t>KARYA IRA ABADI</t>
        </is>
      </c>
      <c r="B60" t="inlineStr">
        <is>
          <t>Kab. Halmahera Tengah</t>
        </is>
      </c>
      <c r="C60" t="inlineStr">
        <is>
          <t>08122595060</t>
        </is>
      </c>
      <c r="D60" t="inlineStr">
        <is>
          <t>cv.karyairaabadi@gmail.com</t>
        </is>
      </c>
      <c r="E60" t="inlineStr">
        <is>
          <t>https://lpjk.pu.go.id/search-badan-usaha-detail/b2pEaFY5Q3owdG12aGJyaW9GTHVBdz09</t>
        </is>
      </c>
      <c r="F60" t="n">
        <v>2</v>
      </c>
      <c r="G60" t="inlineStr">
        <is>
          <t>BG001, BS004</t>
        </is>
      </c>
      <c r="H60" t="inlineStr">
        <is>
          <t>13 September 2023</t>
        </is>
      </c>
      <c r="I60" s="2" t="n">
        <v>46318</v>
      </c>
      <c r="J60" t="inlineStr">
        <is>
          <t>Disetujui</t>
        </is>
      </c>
      <c r="K60" t="n">
        <v>30</v>
      </c>
      <c r="L60" t="inlineStr">
        <is>
          <t>23 Oktober 2026</t>
        </is>
      </c>
      <c r="M60" t="inlineStr">
        <is>
          <t>Konstruksi Gedung Hunian, Konstruksi Jaringan Irigasi dan Drainase</t>
        </is>
      </c>
      <c r="N60" t="inlineStr">
        <is>
          <t>K</t>
        </is>
      </c>
      <c r="O60" t="inlineStr">
        <is>
          <t>20231021</t>
        </is>
      </c>
      <c r="P60" t="inlineStr">
        <is>
          <t>Maluku Utara</t>
        </is>
      </c>
      <c r="Q60" t="inlineStr"/>
    </row>
    <row r="61">
      <c r="A61" t="inlineStr">
        <is>
          <t>KARYA MANDIRI</t>
        </is>
      </c>
      <c r="B61" t="inlineStr">
        <is>
          <t>Kab. Sampang</t>
        </is>
      </c>
      <c r="C61" t="inlineStr">
        <is>
          <t>081937292440</t>
        </is>
      </c>
      <c r="D61" t="inlineStr">
        <is>
          <t>cvmandiri739@gmail.com</t>
        </is>
      </c>
      <c r="E61" t="inlineStr">
        <is>
          <t>https://lpjk.pu.go.id/search-badan-usaha-detail/aWx4d0w3YjlZQ1pVT2ZheHJNYndGdz09</t>
        </is>
      </c>
      <c r="F61" t="n">
        <v>1</v>
      </c>
      <c r="G61" t="inlineStr">
        <is>
          <t>BS004</t>
        </is>
      </c>
      <c r="H61" t="inlineStr">
        <is>
          <t>22 Januari 2008</t>
        </is>
      </c>
      <c r="I61" s="2" t="n">
        <v>46318</v>
      </c>
      <c r="J61" t="inlineStr">
        <is>
          <t>Pencabutan</t>
        </is>
      </c>
      <c r="K61" t="n">
        <v>30</v>
      </c>
      <c r="L61" t="inlineStr">
        <is>
          <t>23 Oktober 2026</t>
        </is>
      </c>
      <c r="M61" t="inlineStr">
        <is>
          <t>Konstruksi Jaringan Irigasi dan Drainase</t>
        </is>
      </c>
      <c r="N61" t="inlineStr">
        <is>
          <t>K</t>
        </is>
      </c>
      <c r="O61" t="inlineStr">
        <is>
          <t>20231024</t>
        </is>
      </c>
      <c r="P61" t="inlineStr">
        <is>
          <t>Jawa Timur</t>
        </is>
      </c>
      <c r="Q61" t="inlineStr"/>
    </row>
    <row r="62">
      <c r="A62" t="inlineStr">
        <is>
          <t>KARYA MANDIRI ANABEL</t>
        </is>
      </c>
      <c r="B62" t="inlineStr">
        <is>
          <t>Kab. Tangerang</t>
        </is>
      </c>
      <c r="C62" t="inlineStr">
        <is>
          <t>02150105210</t>
        </is>
      </c>
      <c r="D62" t="inlineStr">
        <is>
          <t>info@anabelconsultant.co.id</t>
        </is>
      </c>
      <c r="E62" t="inlineStr">
        <is>
          <t>https://lpjk.pu.go.id/search-badan-usaha-detail/LzVaZ2pGUnhsTmRkSGNxbnpjRjJzQT09</t>
        </is>
      </c>
      <c r="F62" t="n">
        <v>2</v>
      </c>
      <c r="G62" t="inlineStr">
        <is>
          <t>AR001, AR002</t>
        </is>
      </c>
      <c r="H62" t="inlineStr">
        <is>
          <t>7 Mei 2019</t>
        </is>
      </c>
      <c r="I62" s="2" t="n">
        <v>46318</v>
      </c>
      <c r="J62" t="inlineStr">
        <is>
          <t>Disetujui</t>
        </is>
      </c>
      <c r="K62" t="n">
        <v>30</v>
      </c>
      <c r="L62" t="inlineStr">
        <is>
          <t>23 Oktober 2026</t>
        </is>
      </c>
      <c r="M62" t="inlineStr">
        <is>
          <t>Jasa Arsitektural Bangunan Gedung Hunian dan Non Hunian, Jasa Arsitektural Lainnya</t>
        </is>
      </c>
      <c r="N62" t="inlineStr">
        <is>
          <t>K</t>
        </is>
      </c>
      <c r="O62" t="inlineStr">
        <is>
          <t>20231009</t>
        </is>
      </c>
      <c r="P62" t="inlineStr">
        <is>
          <t>Banten</t>
        </is>
      </c>
      <c r="Q62" t="inlineStr"/>
    </row>
    <row r="63">
      <c r="A63" t="inlineStr">
        <is>
          <t>KARYA PRIMA SEJATI</t>
        </is>
      </c>
      <c r="B63" t="inlineStr">
        <is>
          <t>Kab. Banyuwangi</t>
        </is>
      </c>
      <c r="C63" t="inlineStr">
        <is>
          <t>085231374140</t>
        </is>
      </c>
      <c r="D63" t="inlineStr">
        <is>
          <t>megakaryaprimasejati@gmail.com</t>
        </is>
      </c>
      <c r="E63" t="inlineStr">
        <is>
          <t>https://lpjk.pu.go.id/search-badan-usaha-detail/emV0NE9PR25kZTRWRVhpdHY2aitMUT09</t>
        </is>
      </c>
      <c r="F63" t="n">
        <v>5</v>
      </c>
      <c r="G63" t="inlineStr">
        <is>
          <t>BG004, BG005, BG006, BS001, BS004</t>
        </is>
      </c>
      <c r="H63" t="inlineStr">
        <is>
          <t>21 Maret 2019</t>
        </is>
      </c>
      <c r="I63" s="2" t="n">
        <v>46318</v>
      </c>
      <c r="J63" t="inlineStr">
        <is>
          <t>Disetujui</t>
        </is>
      </c>
      <c r="K63" t="n">
        <v>30</v>
      </c>
      <c r="L63" t="inlineStr">
        <is>
          <t>23 Oktober 2026</t>
        </is>
      </c>
      <c r="M63" t="inlineStr">
        <is>
          <t>Konstruksi Bangunan Sipil Jalan, Konstruksi Gedung Kesehatan, Konstruksi Gedung Pendidikan, Konstruksi Gedung Perbelanjaan, Konstruksi Jaringan Irigasi dan Drainase</t>
        </is>
      </c>
      <c r="N63" t="inlineStr">
        <is>
          <t>K</t>
        </is>
      </c>
      <c r="O63" t="inlineStr">
        <is>
          <t>20231019, 20231020, 20231022</t>
        </is>
      </c>
      <c r="P63" t="inlineStr">
        <is>
          <t>Jawa Timur</t>
        </is>
      </c>
      <c r="Q63" t="inlineStr"/>
    </row>
    <row r="64">
      <c r="A64" t="inlineStr">
        <is>
          <t>KEDUNG PANCURAN MAS</t>
        </is>
      </c>
      <c r="B64" t="inlineStr">
        <is>
          <t>Kota Adm. Jakarta Utara</t>
        </is>
      </c>
      <c r="C64" t="inlineStr">
        <is>
          <t>081284000797</t>
        </is>
      </c>
      <c r="D64" t="inlineStr">
        <is>
          <t>pt.kpmtrading.oss@gmail.com</t>
        </is>
      </c>
      <c r="E64" t="inlineStr">
        <is>
          <t>https://lpjk.pu.go.id/search-badan-usaha-detail/S3FqeWdrRUZHamVuTDdDSVNoU0hTZz09</t>
        </is>
      </c>
      <c r="F64" t="n">
        <v>2</v>
      </c>
      <c r="G64" t="inlineStr">
        <is>
          <t>BG009, BS001</t>
        </is>
      </c>
      <c r="H64" t="inlineStr">
        <is>
          <t>12 Oktober 2023</t>
        </is>
      </c>
      <c r="I64" s="2" t="n">
        <v>46318</v>
      </c>
      <c r="J64" t="inlineStr">
        <is>
          <t>Disetujui</t>
        </is>
      </c>
      <c r="K64" t="n">
        <v>30</v>
      </c>
      <c r="L64" t="inlineStr">
        <is>
          <t>23 Oktober 2026</t>
        </is>
      </c>
      <c r="M64" t="inlineStr">
        <is>
          <t>Konstruksi Bangunan Sipil Jalan, Konstruksi Gedung Lainnya</t>
        </is>
      </c>
      <c r="N64" t="inlineStr">
        <is>
          <t>K</t>
        </is>
      </c>
      <c r="O64" t="inlineStr">
        <is>
          <t>20231021</t>
        </is>
      </c>
      <c r="P64" t="inlineStr">
        <is>
          <t>DKI Jakarta</t>
        </is>
      </c>
      <c r="Q64" t="inlineStr"/>
    </row>
    <row r="65">
      <c r="A65" t="inlineStr">
        <is>
          <t>KENCANA UTAMA JAYA</t>
        </is>
      </c>
      <c r="B65" t="inlineStr">
        <is>
          <t>Kab. Banyuwangi</t>
        </is>
      </c>
      <c r="C65" t="inlineStr">
        <is>
          <t>081311091737</t>
        </is>
      </c>
      <c r="D65" t="inlineStr">
        <is>
          <t>kencanautamajaya@gmail.com</t>
        </is>
      </c>
      <c r="E65" t="inlineStr">
        <is>
          <t>https://lpjk.pu.go.id/search-badan-usaha-detail/ZFU2M1c0aEF2Zi9ZV2ozUzBLbnhKdz09</t>
        </is>
      </c>
      <c r="F65" t="n">
        <v>4</v>
      </c>
      <c r="G65" t="inlineStr">
        <is>
          <t>BG006, BG009, BS001, BS004</t>
        </is>
      </c>
      <c r="H65" t="inlineStr">
        <is>
          <t>11 Februari 2019</t>
        </is>
      </c>
      <c r="I65" s="2" t="n">
        <v>46318</v>
      </c>
      <c r="J65" t="inlineStr">
        <is>
          <t>Disetujui</t>
        </is>
      </c>
      <c r="K65" t="n">
        <v>30</v>
      </c>
      <c r="L65" t="inlineStr">
        <is>
          <t>23 Oktober 2026</t>
        </is>
      </c>
      <c r="M65" t="inlineStr">
        <is>
          <t>Konstruksi Bangunan Sipil Jalan, Konstruksi Gedung Lainnya, Konstruksi Gedung Pendidikan, Konstruksi Jaringan Irigasi dan Drainase</t>
        </is>
      </c>
      <c r="N65" t="inlineStr">
        <is>
          <t>K</t>
        </is>
      </c>
      <c r="O65" t="inlineStr">
        <is>
          <t>20231021, 20231024</t>
        </is>
      </c>
      <c r="P65" t="inlineStr">
        <is>
          <t>Jawa Timur</t>
        </is>
      </c>
      <c r="Q65" t="inlineStr"/>
    </row>
    <row r="66">
      <c r="A66" t="inlineStr">
        <is>
          <t>LESTARI YATRA DANUMAYA</t>
        </is>
      </c>
      <c r="B66" t="inlineStr">
        <is>
          <t>Kota Bandung</t>
        </is>
      </c>
      <c r="C66" t="inlineStr">
        <is>
          <t>081323082774</t>
        </is>
      </c>
      <c r="D66" t="inlineStr">
        <is>
          <t>lydlestari@gmail.com</t>
        </is>
      </c>
      <c r="E66" t="inlineStr">
        <is>
          <t>https://lpjk.pu.go.id/search-badan-usaha-detail/ZFlRamdKSDNvaTBjN3p4S3RXV1V2QT09</t>
        </is>
      </c>
      <c r="F66" t="n">
        <v>1</v>
      </c>
      <c r="G66" t="inlineStr">
        <is>
          <t>BS005</t>
        </is>
      </c>
      <c r="H66" t="inlineStr">
        <is>
          <t>24 Februari 2023</t>
        </is>
      </c>
      <c r="I66" s="2" t="n">
        <v>46318</v>
      </c>
      <c r="J66" t="inlineStr">
        <is>
          <t>Disetujui</t>
        </is>
      </c>
      <c r="K66" t="n">
        <v>30</v>
      </c>
      <c r="L66" t="inlineStr">
        <is>
          <t>23 Oktober 2026</t>
        </is>
      </c>
      <c r="M66" t="inlineStr">
        <is>
          <t>Konstruksi Bangunan Sipil Pengolahan Air Bersih</t>
        </is>
      </c>
      <c r="N66" t="inlineStr">
        <is>
          <t>K</t>
        </is>
      </c>
      <c r="O66" t="inlineStr">
        <is>
          <t>20231023</t>
        </is>
      </c>
      <c r="P66" t="inlineStr">
        <is>
          <t>Jawa Barat</t>
        </is>
      </c>
      <c r="Q66" t="inlineStr"/>
    </row>
    <row r="67">
      <c r="A67" t="inlineStr">
        <is>
          <t>LINKA JAYA PERSADA</t>
        </is>
      </c>
      <c r="B67" t="inlineStr">
        <is>
          <t>Kab. Buleleng</t>
        </is>
      </c>
      <c r="C67" t="inlineStr">
        <is>
          <t>085952634170</t>
        </is>
      </c>
      <c r="D67" t="inlineStr">
        <is>
          <t>rahayunamulia707@gmail.com</t>
        </is>
      </c>
      <c r="E67" t="inlineStr">
        <is>
          <t>https://lpjk.pu.go.id/search-badan-usaha-detail/aHRYWlovWFV4a3Q3NVZBbnJSc3h5Zz09</t>
        </is>
      </c>
      <c r="F67" t="n">
        <v>5</v>
      </c>
      <c r="G67" t="inlineStr">
        <is>
          <t>BG001, BG002, BG005, BG007, BG008</t>
        </is>
      </c>
      <c r="H67" t="inlineStr">
        <is>
          <t>20 Januari 2021</t>
        </is>
      </c>
      <c r="I67" s="2" t="n">
        <v>46318</v>
      </c>
      <c r="J67" t="inlineStr">
        <is>
          <t>Disetujui</t>
        </is>
      </c>
      <c r="K67" t="n">
        <v>30</v>
      </c>
      <c r="L67" t="inlineStr">
        <is>
          <t>23 Oktober 2026</t>
        </is>
      </c>
      <c r="M67" t="inlineStr">
        <is>
          <t>Konstruksi Gedung Hunian, Konstruksi Gedung Kesehatan, Konstruksi Gedung Penginapan, Konstruksi Gedung Perkantoran, Konstruksi Gedung Tempat Hiburan dan Olahraga</t>
        </is>
      </c>
      <c r="N67" t="inlineStr">
        <is>
          <t>K</t>
        </is>
      </c>
      <c r="O67" t="inlineStr">
        <is>
          <t>20231020</t>
        </is>
      </c>
      <c r="P67" t="inlineStr">
        <is>
          <t>Bali</t>
        </is>
      </c>
      <c r="Q67" t="inlineStr"/>
    </row>
    <row r="68">
      <c r="A68" t="inlineStr">
        <is>
          <t>LUCKYTA</t>
        </is>
      </c>
      <c r="B68" t="inlineStr">
        <is>
          <t>Kab. Kubu Raya</t>
        </is>
      </c>
      <c r="C68" t="inlineStr">
        <is>
          <t>081257702792</t>
        </is>
      </c>
      <c r="D68" t="inlineStr">
        <is>
          <t>cv.luckyta.2023@gmail.com</t>
        </is>
      </c>
      <c r="E68" t="inlineStr">
        <is>
          <t>https://lpjk.pu.go.id/search-badan-usaha-detail/QWY5WjlNOHljSXEvNEVhRXdnbWgrZz09</t>
        </is>
      </c>
      <c r="F68" t="n">
        <v>2</v>
      </c>
      <c r="G68" t="inlineStr">
        <is>
          <t>BG009, BS004</t>
        </is>
      </c>
      <c r="H68" t="inlineStr">
        <is>
          <t>22 Desember 2008</t>
        </is>
      </c>
      <c r="I68" s="2" t="n">
        <v>46318</v>
      </c>
      <c r="J68" t="inlineStr">
        <is>
          <t>Disetujui</t>
        </is>
      </c>
      <c r="K68" t="n">
        <v>30</v>
      </c>
      <c r="L68" t="inlineStr">
        <is>
          <t>23 Oktober 2026</t>
        </is>
      </c>
      <c r="M68" t="inlineStr">
        <is>
          <t>Konstruksi Gedung Lainnya, Konstruksi Jaringan Irigasi dan Drainase</t>
        </is>
      </c>
      <c r="N68" t="inlineStr">
        <is>
          <t>K</t>
        </is>
      </c>
      <c r="O68" t="inlineStr">
        <is>
          <t>20231017</t>
        </is>
      </c>
      <c r="P68" t="inlineStr">
        <is>
          <t>Kalimantan Barat</t>
        </is>
      </c>
      <c r="Q68" t="inlineStr"/>
    </row>
    <row r="69">
      <c r="A69" t="inlineStr">
        <is>
          <t>MAHARDHIKA INDORAYA TAMA</t>
        </is>
      </c>
      <c r="B69" t="inlineStr">
        <is>
          <t>Kota Bandung</t>
        </is>
      </c>
      <c r="C69" t="inlineStr">
        <is>
          <t>02242831709</t>
        </is>
      </c>
      <c r="D69" t="inlineStr">
        <is>
          <t>mahardhika.it@gmail.com</t>
        </is>
      </c>
      <c r="E69" t="inlineStr">
        <is>
          <t>https://lpjk.pu.go.id/search-badan-usaha-detail/OGNFeDJ6cjVDby9CbWVIZmhPc0xNdz09</t>
        </is>
      </c>
      <c r="F69" t="n">
        <v>6</v>
      </c>
      <c r="G69" t="inlineStr">
        <is>
          <t>BS002, BS007</t>
        </is>
      </c>
      <c r="H69" t="inlineStr">
        <is>
          <t>26 Februari 2015</t>
        </is>
      </c>
      <c r="I69" s="2" t="n">
        <v>46318</v>
      </c>
      <c r="J69" t="inlineStr">
        <is>
          <t>Disetujui</t>
        </is>
      </c>
      <c r="K69" t="n">
        <v>30</v>
      </c>
      <c r="L69" t="inlineStr">
        <is>
          <t>23 Oktober 2026</t>
        </is>
      </c>
      <c r="M69" t="inlineStr">
        <is>
          <t>Bangunan Sipil Jembatan, Jalan Layang, Fly Over, dan Underpass, Konstruksi Bangunan Sipil Elektrikal</t>
        </is>
      </c>
      <c r="N69" t="inlineStr">
        <is>
          <t>K</t>
        </is>
      </c>
      <c r="O69" t="inlineStr">
        <is>
          <t>20231020</t>
        </is>
      </c>
      <c r="P69" t="inlineStr">
        <is>
          <t>Jawa Barat</t>
        </is>
      </c>
      <c r="Q69" t="inlineStr"/>
    </row>
    <row r="70">
      <c r="A70" t="inlineStr">
        <is>
          <t>MARTADINAR GEMILANG SEJAHTERA</t>
        </is>
      </c>
      <c r="B70" t="inlineStr">
        <is>
          <t>Kab. Bandung Barat</t>
        </is>
      </c>
      <c r="C70" t="inlineStr">
        <is>
          <t>081321484004</t>
        </is>
      </c>
      <c r="D70" t="inlineStr">
        <is>
          <t>-</t>
        </is>
      </c>
      <c r="E70" t="inlineStr">
        <is>
          <t>https://lpjk.pu.go.id/search-badan-usaha-detail/VDBCdngxTWF3TWpFdnlGUHB3enRBQT09</t>
        </is>
      </c>
      <c r="F70" t="n">
        <v>4</v>
      </c>
      <c r="G70" t="inlineStr">
        <is>
          <t>BS005, BS006</t>
        </is>
      </c>
      <c r="H70" t="inlineStr">
        <is>
          <t>20 Agustus 2019</t>
        </is>
      </c>
      <c r="I70" s="2" t="n">
        <v>46318</v>
      </c>
      <c r="J70" t="inlineStr">
        <is>
          <t>Pencabutan</t>
        </is>
      </c>
      <c r="K70" t="n">
        <v>30</v>
      </c>
      <c r="L70" t="inlineStr">
        <is>
          <t>23 Oktober 2026</t>
        </is>
      </c>
      <c r="M70" t="inlineStr">
        <is>
          <t>Konstruksi Bangunan Sipil Pengolahan Air Bersih, Konstruksi Bangunan Sipil Prasarana dan Sarana Sistem Pengolahan Limbah Padat, Cair, dan Gas</t>
        </is>
      </c>
      <c r="N70" t="inlineStr">
        <is>
          <t>K</t>
        </is>
      </c>
      <c r="O70" t="inlineStr">
        <is>
          <t>20231023, 20231028</t>
        </is>
      </c>
      <c r="P70" t="inlineStr">
        <is>
          <t>Jawa Barat</t>
        </is>
      </c>
      <c r="Q70" t="inlineStr"/>
    </row>
    <row r="71">
      <c r="A71" t="inlineStr">
        <is>
          <t>MASTERLINK INTERNATIONAL</t>
        </is>
      </c>
      <c r="B71" t="inlineStr">
        <is>
          <t>Kab. Tangerang</t>
        </is>
      </c>
      <c r="C71" t="inlineStr">
        <is>
          <t>085966466707</t>
        </is>
      </c>
      <c r="D71" t="inlineStr">
        <is>
          <t>ptmasterlinkinternasional@gmail.com</t>
        </is>
      </c>
      <c r="E71" t="inlineStr">
        <is>
          <t>https://lpjk.pu.go.id/search-badan-usaha-detail/NkZvUk9NbVhlb1JySzgrQU1CanhuQT09</t>
        </is>
      </c>
      <c r="F71" t="n">
        <v>3</v>
      </c>
      <c r="G71" t="inlineStr">
        <is>
          <t>BG001, BG002, BG003</t>
        </is>
      </c>
      <c r="H71" t="inlineStr">
        <is>
          <t>3 Maret 2004</t>
        </is>
      </c>
      <c r="I71" s="2" t="n">
        <v>46318</v>
      </c>
      <c r="J71" t="inlineStr">
        <is>
          <t>Disetujui</t>
        </is>
      </c>
      <c r="K71" t="n">
        <v>30</v>
      </c>
      <c r="L71" t="inlineStr">
        <is>
          <t>23 Oktober 2026</t>
        </is>
      </c>
      <c r="M71" t="inlineStr">
        <is>
          <t>Konstruksi Gedung Hunian, Konstruksi Gedung Industri, Konstruksi Gedung Perkantoran</t>
        </is>
      </c>
      <c r="N71" t="inlineStr">
        <is>
          <t>K</t>
        </is>
      </c>
      <c r="O71" t="inlineStr">
        <is>
          <t>20231019</t>
        </is>
      </c>
      <c r="P71" t="inlineStr">
        <is>
          <t>Banten</t>
        </is>
      </c>
      <c r="Q71" t="inlineStr"/>
    </row>
    <row r="72">
      <c r="A72" t="inlineStr">
        <is>
          <t>MAYA ROSE</t>
        </is>
      </c>
      <c r="B72" t="inlineStr">
        <is>
          <t>Kab. Bondowoso</t>
        </is>
      </c>
      <c r="C72" t="inlineStr">
        <is>
          <t>085230426534</t>
        </is>
      </c>
      <c r="D72" t="inlineStr">
        <is>
          <t>mayarose2088@gmail.com</t>
        </is>
      </c>
      <c r="E72" t="inlineStr">
        <is>
          <t>https://lpjk.pu.go.id/search-badan-usaha-detail/ekNLTXRGbUxrRC9VdDVINGdjVHJkUT09</t>
        </is>
      </c>
      <c r="F72" t="n">
        <v>2</v>
      </c>
      <c r="G72" t="inlineStr">
        <is>
          <t>BG009, BS001</t>
        </is>
      </c>
      <c r="H72" t="inlineStr">
        <is>
          <t>14 Mei 2010</t>
        </is>
      </c>
      <c r="I72" s="2" t="n">
        <v>46318</v>
      </c>
      <c r="J72" t="inlineStr">
        <is>
          <t>Disetujui</t>
        </is>
      </c>
      <c r="K72" t="n">
        <v>30</v>
      </c>
      <c r="L72" t="inlineStr">
        <is>
          <t>23 Oktober 2026</t>
        </is>
      </c>
      <c r="M72" t="inlineStr">
        <is>
          <t>Konstruksi Bangunan Sipil Jalan, Konstruksi Gedung Lainnya</t>
        </is>
      </c>
      <c r="N72" t="inlineStr">
        <is>
          <t>K</t>
        </is>
      </c>
      <c r="O72" t="inlineStr">
        <is>
          <t>20231020</t>
        </is>
      </c>
      <c r="P72" t="inlineStr">
        <is>
          <t>Jawa Timur</t>
        </is>
      </c>
      <c r="Q72" t="inlineStr"/>
    </row>
    <row r="73">
      <c r="A73" t="inlineStr">
        <is>
          <t>MEGAH TAMA PERKASA</t>
        </is>
      </c>
      <c r="B73" t="inlineStr">
        <is>
          <t>Kab. Badung</t>
        </is>
      </c>
      <c r="C73" t="inlineStr">
        <is>
          <t>0361466076</t>
        </is>
      </c>
      <c r="D73" t="inlineStr">
        <is>
          <t>pt.megahtamaperkasa@yahoo.com</t>
        </is>
      </c>
      <c r="E73" t="inlineStr">
        <is>
          <t>https://lpjk.pu.go.id/search-badan-usaha-detail/azQwaVN6NGh2cGxkVmtITW10eEhudz09</t>
        </is>
      </c>
      <c r="F73" t="n">
        <v>10</v>
      </c>
      <c r="G73" t="inlineStr">
        <is>
          <t>BG002, BG004, BG005, BG006, BG009</t>
        </is>
      </c>
      <c r="H73" t="inlineStr">
        <is>
          <t>4 November 2015</t>
        </is>
      </c>
      <c r="I73" s="2" t="n">
        <v>46318</v>
      </c>
      <c r="J73" t="inlineStr">
        <is>
          <t>Disetujui</t>
        </is>
      </c>
      <c r="K73" t="n">
        <v>30</v>
      </c>
      <c r="L73" t="inlineStr">
        <is>
          <t>23 Oktober 2026</t>
        </is>
      </c>
      <c r="M73" t="inlineStr">
        <is>
          <t>Konstruksi Gedung Kesehatan, Konstruksi Gedung Lainnya, Konstruksi Gedung Pendidikan, Konstruksi Gedung Perbelanjaan, Konstruksi Gedung Perkantoran</t>
        </is>
      </c>
      <c r="N73" t="inlineStr">
        <is>
          <t>K</t>
        </is>
      </c>
      <c r="O73" t="inlineStr">
        <is>
          <t>20231024</t>
        </is>
      </c>
      <c r="P73" t="inlineStr">
        <is>
          <t>Bali</t>
        </is>
      </c>
      <c r="Q73" t="inlineStr"/>
    </row>
    <row r="74">
      <c r="A74" t="inlineStr">
        <is>
          <t>MEKAR JATI</t>
        </is>
      </c>
      <c r="B74" t="inlineStr">
        <is>
          <t>Kota Yogyakarta</t>
        </is>
      </c>
      <c r="C74" t="inlineStr">
        <is>
          <t>0274410019</t>
        </is>
      </c>
      <c r="D74" t="inlineStr">
        <is>
          <t>nawangningtyas@gmail.com</t>
        </is>
      </c>
      <c r="E74" t="inlineStr">
        <is>
          <t>https://lpjk.pu.go.id/search-badan-usaha-detail/N2o3cGpWVC95QXEwSHljeTRTOXVGZz09</t>
        </is>
      </c>
      <c r="F74" t="n">
        <v>4</v>
      </c>
      <c r="G74" t="inlineStr">
        <is>
          <t>BS001, BS004</t>
        </is>
      </c>
      <c r="H74" t="inlineStr">
        <is>
          <t>2 Maret 2000</t>
        </is>
      </c>
      <c r="I74" s="2" t="n">
        <v>46318</v>
      </c>
      <c r="J74" t="inlineStr">
        <is>
          <t>Disetujui</t>
        </is>
      </c>
      <c r="K74" t="n">
        <v>30</v>
      </c>
      <c r="L74" t="inlineStr">
        <is>
          <t>23 Oktober 2026</t>
        </is>
      </c>
      <c r="M74" t="inlineStr">
        <is>
          <t>Konstruksi Bangunan Sipil Jalan, Konstruksi Jaringan Irigasi dan Drainase</t>
        </is>
      </c>
      <c r="N74" t="inlineStr">
        <is>
          <t>K</t>
        </is>
      </c>
      <c r="O74" t="inlineStr">
        <is>
          <t>20231016, 20231021</t>
        </is>
      </c>
      <c r="P74" t="inlineStr">
        <is>
          <t>DI Yogyakarta</t>
        </is>
      </c>
      <c r="Q74" t="inlineStr"/>
    </row>
    <row r="75">
      <c r="A75" t="inlineStr">
        <is>
          <t>MITRA ADHI PERKASA</t>
        </is>
      </c>
      <c r="B75" t="inlineStr">
        <is>
          <t>Kota Bandung</t>
        </is>
      </c>
      <c r="C75" t="inlineStr">
        <is>
          <t>082117238755</t>
        </is>
      </c>
      <c r="D75" t="inlineStr">
        <is>
          <t>cv_mitraadhiperkasa@yahoo.com</t>
        </is>
      </c>
      <c r="E75" t="inlineStr">
        <is>
          <t>https://lpjk.pu.go.id/search-badan-usaha-detail/M2ova0M5SHdCMHlKNUttNlo5THRtQT09</t>
        </is>
      </c>
      <c r="F75" t="n">
        <v>1</v>
      </c>
      <c r="G75" t="inlineStr">
        <is>
          <t>BG009</t>
        </is>
      </c>
      <c r="H75" t="inlineStr">
        <is>
          <t>3 Mei 2017</t>
        </is>
      </c>
      <c r="I75" s="2" t="n">
        <v>46318</v>
      </c>
      <c r="J75" t="inlineStr">
        <is>
          <t>Disetujui</t>
        </is>
      </c>
      <c r="K75" t="n">
        <v>30</v>
      </c>
      <c r="L75" t="inlineStr">
        <is>
          <t>23 Oktober 2026</t>
        </is>
      </c>
      <c r="M75" t="inlineStr">
        <is>
          <t>Konstruksi Gedung Lainnya</t>
        </is>
      </c>
      <c r="N75" t="inlineStr">
        <is>
          <t>K</t>
        </is>
      </c>
      <c r="O75" t="inlineStr">
        <is>
          <t>20231020</t>
        </is>
      </c>
      <c r="P75" t="inlineStr">
        <is>
          <t>Jawa Barat</t>
        </is>
      </c>
      <c r="Q75" t="inlineStr"/>
    </row>
    <row r="76">
      <c r="A76" t="inlineStr">
        <is>
          <t>MITRA ENGGAL MANDIRI</t>
        </is>
      </c>
      <c r="B76" t="inlineStr">
        <is>
          <t>Kota Samarinda</t>
        </is>
      </c>
      <c r="C76" t="inlineStr">
        <is>
          <t>08111045016</t>
        </is>
      </c>
      <c r="D76" t="inlineStr">
        <is>
          <t>mitraenggalmandiri@gmail.com</t>
        </is>
      </c>
      <c r="E76" t="inlineStr">
        <is>
          <t>https://lpjk.pu.go.id/search-badan-usaha-detail/bUNXcGl6ZFhjZTBVZFBvUGZlNGhyUT09</t>
        </is>
      </c>
      <c r="F76" t="n">
        <v>1</v>
      </c>
      <c r="G76" t="inlineStr">
        <is>
          <t>IN001</t>
        </is>
      </c>
      <c r="H76" t="inlineStr">
        <is>
          <t>8 April 2020</t>
        </is>
      </c>
      <c r="I76" s="2" t="n">
        <v>46318</v>
      </c>
      <c r="J76" t="inlineStr">
        <is>
          <t>Pembekuan</t>
        </is>
      </c>
      <c r="K76" t="n">
        <v>30</v>
      </c>
      <c r="L76" t="inlineStr">
        <is>
          <t>23 Oktober 2026</t>
        </is>
      </c>
      <c r="M76" t="inlineStr">
        <is>
          <t>Instalasi Mekanikal</t>
        </is>
      </c>
      <c r="N76" t="inlineStr">
        <is>
          <t>Spesialis</t>
        </is>
      </c>
      <c r="O76" t="inlineStr">
        <is>
          <t>20231023</t>
        </is>
      </c>
      <c r="P76" t="inlineStr">
        <is>
          <t>Kalimantan Timur</t>
        </is>
      </c>
      <c r="Q76" t="inlineStr"/>
    </row>
    <row r="77">
      <c r="A77" t="inlineStr">
        <is>
          <t>MITRA GADING</t>
        </is>
      </c>
      <c r="B77" t="inlineStr">
        <is>
          <t>Kab. Ketapang</t>
        </is>
      </c>
      <c r="C77" t="inlineStr">
        <is>
          <t>081352541234</t>
        </is>
      </c>
      <c r="D77" t="inlineStr">
        <is>
          <t>mitra_gading86@yahoo.com</t>
        </is>
      </c>
      <c r="E77" t="inlineStr">
        <is>
          <t>https://lpjk.pu.go.id/search-badan-usaha-detail/bmVKaXdXMVpTS2pyclliQnlLSkhhdz09</t>
        </is>
      </c>
      <c r="F77" t="n">
        <v>1</v>
      </c>
      <c r="G77" t="inlineStr">
        <is>
          <t>BG008</t>
        </is>
      </c>
      <c r="H77" t="inlineStr">
        <is>
          <t>7 Januari 2015</t>
        </is>
      </c>
      <c r="I77" s="2" t="n">
        <v>46318</v>
      </c>
      <c r="J77" t="inlineStr">
        <is>
          <t>Disetujui</t>
        </is>
      </c>
      <c r="K77" t="n">
        <v>30</v>
      </c>
      <c r="L77" t="inlineStr">
        <is>
          <t>23 Oktober 2026</t>
        </is>
      </c>
      <c r="M77" t="inlineStr">
        <is>
          <t>Konstruksi Gedung Tempat Hiburan dan Olahraga</t>
        </is>
      </c>
      <c r="N77" t="inlineStr">
        <is>
          <t>K</t>
        </is>
      </c>
      <c r="O77" t="inlineStr">
        <is>
          <t>20231017</t>
        </is>
      </c>
      <c r="P77" t="inlineStr">
        <is>
          <t>Kalimantan Barat</t>
        </is>
      </c>
      <c r="Q77" t="inlineStr"/>
    </row>
    <row r="78">
      <c r="A78" t="inlineStr">
        <is>
          <t>MITRA TUJUH PRAKASA</t>
        </is>
      </c>
      <c r="B78" t="inlineStr">
        <is>
          <t>Kota Pekanbaru</t>
        </is>
      </c>
      <c r="C78" t="inlineStr">
        <is>
          <t>0761565990</t>
        </is>
      </c>
      <c r="D78" t="inlineStr">
        <is>
          <t>mitratujuhprakasa@mitraventures.com</t>
        </is>
      </c>
      <c r="E78" t="inlineStr">
        <is>
          <t>https://lpjk.pu.go.id/search-badan-usaha-detail/TklEeUU3S3RxVnNtaXlOY3d5OE9IUT09</t>
        </is>
      </c>
      <c r="F78" t="n">
        <v>1</v>
      </c>
      <c r="G78" t="inlineStr">
        <is>
          <t>BS001</t>
        </is>
      </c>
      <c r="H78" t="inlineStr">
        <is>
          <t>5 Desember 2017</t>
        </is>
      </c>
      <c r="I78" s="2" t="n">
        <v>46318</v>
      </c>
      <c r="J78" t="inlineStr">
        <is>
          <t>Disetujui</t>
        </is>
      </c>
      <c r="K78" t="n">
        <v>30</v>
      </c>
      <c r="L78" t="inlineStr">
        <is>
          <t>23 Oktober 2026</t>
        </is>
      </c>
      <c r="M78" t="inlineStr">
        <is>
          <t>Konstruksi Bangunan Sipil Jalan</t>
        </is>
      </c>
      <c r="N78" t="inlineStr">
        <is>
          <t>M</t>
        </is>
      </c>
      <c r="O78" t="inlineStr">
        <is>
          <t>20231023</t>
        </is>
      </c>
      <c r="P78" t="inlineStr">
        <is>
          <t>Riau</t>
        </is>
      </c>
      <c r="Q78" t="inlineStr"/>
    </row>
    <row r="79">
      <c r="A79" t="inlineStr">
        <is>
          <t>MODERN</t>
        </is>
      </c>
      <c r="B79" t="inlineStr">
        <is>
          <t>Kab. Bangkalan</t>
        </is>
      </c>
      <c r="C79" t="inlineStr">
        <is>
          <t>08994000499</t>
        </is>
      </c>
      <c r="D79" t="inlineStr">
        <is>
          <t>direktur.cvmodern@gmail.com</t>
        </is>
      </c>
      <c r="E79" t="inlineStr">
        <is>
          <t>https://lpjk.pu.go.id/search-badan-usaha-detail/MG9nbUxHNDJuK3luSndZUG5MbHlrUT09</t>
        </is>
      </c>
      <c r="F79" t="n">
        <v>1</v>
      </c>
      <c r="G79" t="inlineStr">
        <is>
          <t>BG009</t>
        </is>
      </c>
      <c r="H79" t="inlineStr">
        <is>
          <t>24 Januari 1983</t>
        </is>
      </c>
      <c r="I79" s="2" t="n">
        <v>46318</v>
      </c>
      <c r="J79" t="inlineStr">
        <is>
          <t>Disetujui</t>
        </is>
      </c>
      <c r="K79" t="n">
        <v>30</v>
      </c>
      <c r="L79" t="inlineStr">
        <is>
          <t>23 Oktober 2026</t>
        </is>
      </c>
      <c r="M79" t="inlineStr">
        <is>
          <t>Konstruksi Gedung Lainnya</t>
        </is>
      </c>
      <c r="N79" t="inlineStr">
        <is>
          <t>K</t>
        </is>
      </c>
      <c r="O79" t="inlineStr">
        <is>
          <t>20231017</t>
        </is>
      </c>
      <c r="P79" t="inlineStr">
        <is>
          <t>Jawa Timur</t>
        </is>
      </c>
      <c r="Q79" t="inlineStr"/>
    </row>
    <row r="80">
      <c r="A80" t="inlineStr">
        <is>
          <t>MUTIARA ALAM</t>
        </is>
      </c>
      <c r="B80" t="inlineStr">
        <is>
          <t>Kota Pontianak</t>
        </is>
      </c>
      <c r="C80" t="inlineStr">
        <is>
          <t>08125623990</t>
        </is>
      </c>
      <c r="D80" t="inlineStr">
        <is>
          <t>mutiaraalam.cv@gmail.com</t>
        </is>
      </c>
      <c r="E80" t="inlineStr">
        <is>
          <t>https://lpjk.pu.go.id/search-badan-usaha-detail/eGVMMTl2eURLKzZydlNqQVVrZFA3Zz09</t>
        </is>
      </c>
      <c r="F80" t="n">
        <v>6</v>
      </c>
      <c r="G80" t="inlineStr">
        <is>
          <t>BG001, BG006, BG009</t>
        </is>
      </c>
      <c r="H80" t="inlineStr">
        <is>
          <t>12 Desember 2009</t>
        </is>
      </c>
      <c r="I80" s="2" t="n">
        <v>46318</v>
      </c>
      <c r="J80" t="inlineStr">
        <is>
          <t>Disetujui</t>
        </is>
      </c>
      <c r="K80" t="n">
        <v>30</v>
      </c>
      <c r="L80" t="inlineStr">
        <is>
          <t>23 Oktober 2026</t>
        </is>
      </c>
      <c r="M80" t="inlineStr">
        <is>
          <t>Konstruksi Gedung Hunian, Konstruksi Gedung Lainnya, Konstruksi Gedung Pendidikan</t>
        </is>
      </c>
      <c r="N80" t="inlineStr">
        <is>
          <t>K</t>
        </is>
      </c>
      <c r="O80" t="inlineStr">
        <is>
          <t>20231023</t>
        </is>
      </c>
      <c r="P80" t="inlineStr">
        <is>
          <t>Kalimantan Barat</t>
        </is>
      </c>
      <c r="Q80" t="inlineStr"/>
    </row>
    <row r="81">
      <c r="A81" t="inlineStr">
        <is>
          <t>NANDA PUTRA</t>
        </is>
      </c>
      <c r="B81" t="inlineStr">
        <is>
          <t>Kab. Indramayu</t>
        </is>
      </c>
      <c r="C81" t="inlineStr">
        <is>
          <t>085224311111</t>
        </is>
      </c>
      <c r="D81" t="inlineStr">
        <is>
          <t>nandaputra424@yahoo.com</t>
        </is>
      </c>
      <c r="E81" t="inlineStr">
        <is>
          <t>https://lpjk.pu.go.id/search-badan-usaha-detail/VFRFODRQS1RUWTBMNjdvd29nSnNjQT09</t>
        </is>
      </c>
      <c r="F81" t="n">
        <v>5</v>
      </c>
      <c r="G81" t="inlineStr">
        <is>
          <t>BG006, BG009, BS001, BS002, BS004</t>
        </is>
      </c>
      <c r="H81" t="inlineStr">
        <is>
          <t>7 Februari 2011</t>
        </is>
      </c>
      <c r="I81" s="2" t="n">
        <v>46318</v>
      </c>
      <c r="J81" t="inlineStr">
        <is>
          <t>Disetujui</t>
        </is>
      </c>
      <c r="K81" t="n">
        <v>30</v>
      </c>
      <c r="L81" t="inlineStr">
        <is>
          <t>23 Oktober 2026</t>
        </is>
      </c>
      <c r="M81" t="inlineStr">
        <is>
          <t>Bangunan Sipil Jembatan, Jalan Layang, Fly Over, dan Underpass, Konstruksi Bangunan Sipil Jalan, Konstruksi Gedung Lainnya, Konstruksi Gedung Pendidikan, Konstruksi Jaringan Irigasi dan Drainase</t>
        </is>
      </c>
      <c r="N81" t="inlineStr">
        <is>
          <t>K</t>
        </is>
      </c>
      <c r="O81" t="inlineStr">
        <is>
          <t>20231020</t>
        </is>
      </c>
      <c r="P81" t="inlineStr">
        <is>
          <t>Jawa Barat</t>
        </is>
      </c>
      <c r="Q81" t="inlineStr"/>
    </row>
    <row r="82">
      <c r="A82" t="inlineStr">
        <is>
          <t>NUSA INDAH RAYA</t>
        </is>
      </c>
      <c r="B82" t="inlineStr">
        <is>
          <t>Kota Banjarmasin</t>
        </is>
      </c>
      <c r="C82" t="inlineStr">
        <is>
          <t>081251994739</t>
        </is>
      </c>
      <c r="D82" t="inlineStr">
        <is>
          <t>cv_nusaindahraya@yahoo.com</t>
        </is>
      </c>
      <c r="E82" t="inlineStr">
        <is>
          <t>https://lpjk.pu.go.id/search-badan-usaha-detail/SkJqSTVVZG1iUytIeEg0WlBNOFp5UT09</t>
        </is>
      </c>
      <c r="F82" t="n">
        <v>1</v>
      </c>
      <c r="G82" t="inlineStr">
        <is>
          <t>BS004</t>
        </is>
      </c>
      <c r="H82" t="inlineStr">
        <is>
          <t>18 Desember 2000</t>
        </is>
      </c>
      <c r="I82" s="2" t="n">
        <v>46318</v>
      </c>
      <c r="J82" t="inlineStr">
        <is>
          <t>Disetujui</t>
        </is>
      </c>
      <c r="K82" t="n">
        <v>30</v>
      </c>
      <c r="L82" t="inlineStr">
        <is>
          <t>23 Oktober 2026</t>
        </is>
      </c>
      <c r="M82" t="inlineStr">
        <is>
          <t>Konstruksi Jaringan Irigasi dan Drainase</t>
        </is>
      </c>
      <c r="N82" t="inlineStr">
        <is>
          <t>K</t>
        </is>
      </c>
      <c r="O82" t="inlineStr">
        <is>
          <t>20231005</t>
        </is>
      </c>
      <c r="P82" t="inlineStr">
        <is>
          <t>Kalimantan Selatan</t>
        </is>
      </c>
      <c r="Q82" t="inlineStr"/>
    </row>
    <row r="83">
      <c r="A83" t="inlineStr">
        <is>
          <t>NUSANTARA GROUP INDONESIA</t>
        </is>
      </c>
      <c r="B83" t="inlineStr">
        <is>
          <t>Kab. Jember</t>
        </is>
      </c>
      <c r="C83" t="inlineStr">
        <is>
          <t>082230168722</t>
        </is>
      </c>
      <c r="D83" t="inlineStr">
        <is>
          <t>groupindonesiacvnusantara@gmail.com</t>
        </is>
      </c>
      <c r="E83" t="inlineStr">
        <is>
          <t>https://lpjk.pu.go.id/search-badan-usaha-detail/SmhKSFVFczlaYlNYazI2VHUySWRiQT09</t>
        </is>
      </c>
      <c r="F83" t="n">
        <v>2</v>
      </c>
      <c r="G83" t="inlineStr">
        <is>
          <t>BS001, BS004</t>
        </is>
      </c>
      <c r="H83" t="inlineStr">
        <is>
          <t>27 Maret 2023</t>
        </is>
      </c>
      <c r="I83" s="2" t="n">
        <v>46318</v>
      </c>
      <c r="J83" t="inlineStr">
        <is>
          <t>Disetujui</t>
        </is>
      </c>
      <c r="K83" t="n">
        <v>30</v>
      </c>
      <c r="L83" t="inlineStr">
        <is>
          <t>23 Oktober 2026</t>
        </is>
      </c>
      <c r="M83" t="inlineStr">
        <is>
          <t>Konstruksi Bangunan Sipil Jalan, Konstruksi Jaringan Irigasi dan Drainase</t>
        </is>
      </c>
      <c r="N83" t="inlineStr">
        <is>
          <t>K</t>
        </is>
      </c>
      <c r="O83" t="inlineStr">
        <is>
          <t>20231019</t>
        </is>
      </c>
      <c r="P83" t="inlineStr">
        <is>
          <t>Jawa Timur</t>
        </is>
      </c>
      <c r="Q83" t="inlineStr"/>
    </row>
    <row r="84">
      <c r="A84" t="inlineStr">
        <is>
          <t>PARAMA LOKA CONSULTANT</t>
        </is>
      </c>
      <c r="B84" t="inlineStr">
        <is>
          <t>Kota Bengkulu</t>
        </is>
      </c>
      <c r="C84" t="inlineStr">
        <is>
          <t>089515539799</t>
        </is>
      </c>
      <c r="D84" t="inlineStr">
        <is>
          <t>paramalokaconsultant@gmail.com</t>
        </is>
      </c>
      <c r="E84" t="inlineStr">
        <is>
          <t>https://lpjk.pu.go.id/search-badan-usaha-detail/V1FvTE9tazI5VS9Kand0eG0vdnd0UT09</t>
        </is>
      </c>
      <c r="F84" t="n">
        <v>1</v>
      </c>
      <c r="G84" t="inlineStr">
        <is>
          <t>RK001</t>
        </is>
      </c>
      <c r="H84" t="inlineStr">
        <is>
          <t>4 Mei 1995</t>
        </is>
      </c>
      <c r="I84" s="2" t="n">
        <v>46318</v>
      </c>
      <c r="J84" t="inlineStr">
        <is>
          <t>Disetujui</t>
        </is>
      </c>
      <c r="K84" t="n">
        <v>30</v>
      </c>
      <c r="L84" t="inlineStr">
        <is>
          <t>23 Oktober 2026</t>
        </is>
      </c>
      <c r="M84" t="inlineStr">
        <is>
          <t>Jasa Rekayasa Konstruksi Bangunan Gedung Hunian dan Non Hunian</t>
        </is>
      </c>
      <c r="N84" t="inlineStr">
        <is>
          <t>K</t>
        </is>
      </c>
      <c r="O84" t="inlineStr">
        <is>
          <t>20231009</t>
        </is>
      </c>
      <c r="P84" t="inlineStr">
        <is>
          <t>Bengkulu</t>
        </is>
      </c>
      <c r="Q84" t="inlineStr"/>
    </row>
    <row r="85">
      <c r="A85" t="inlineStr">
        <is>
          <t>POHON BESAR</t>
        </is>
      </c>
      <c r="B85" t="inlineStr">
        <is>
          <t>Kab. Kutai Timur</t>
        </is>
      </c>
      <c r="C85" t="inlineStr">
        <is>
          <t>085163031112</t>
        </is>
      </c>
      <c r="D85" t="inlineStr">
        <is>
          <t>pohonbesarhijau@gmail.com</t>
        </is>
      </c>
      <c r="E85" t="inlineStr">
        <is>
          <t>https://lpjk.pu.go.id/search-badan-usaha-detail/ZWIzcDZtRnJsTm9OUUZzd0FOUWVuZz09</t>
        </is>
      </c>
      <c r="F85" t="n">
        <v>1</v>
      </c>
      <c r="G85" t="inlineStr">
        <is>
          <t>BS001</t>
        </is>
      </c>
      <c r="H85" t="inlineStr">
        <is>
          <t>10 Januari 2023</t>
        </is>
      </c>
      <c r="I85" s="2" t="n">
        <v>46318</v>
      </c>
      <c r="J85" t="inlineStr">
        <is>
          <t>Disetujui</t>
        </is>
      </c>
      <c r="K85" t="n">
        <v>30</v>
      </c>
      <c r="L85" t="inlineStr">
        <is>
          <t>23 Oktober 2026</t>
        </is>
      </c>
      <c r="M85" t="inlineStr">
        <is>
          <t>Konstruksi Bangunan Sipil Jalan</t>
        </is>
      </c>
      <c r="N85" t="inlineStr">
        <is>
          <t>K</t>
        </is>
      </c>
      <c r="O85" t="inlineStr">
        <is>
          <t>20231020</t>
        </is>
      </c>
      <c r="P85" t="inlineStr">
        <is>
          <t>Kalimantan Timur</t>
        </is>
      </c>
      <c r="Q85" t="inlineStr"/>
    </row>
    <row r="86">
      <c r="A86" t="inlineStr">
        <is>
          <t>PRAKASA</t>
        </is>
      </c>
      <c r="B86" t="inlineStr">
        <is>
          <t>Kab. Garut</t>
        </is>
      </c>
      <c r="C86" t="inlineStr">
        <is>
          <t>0</t>
        </is>
      </c>
      <c r="D86" t="inlineStr">
        <is>
          <t>prakasa_cv@yahoo.co.id</t>
        </is>
      </c>
      <c r="E86" t="inlineStr">
        <is>
          <t>https://lpjk.pu.go.id/search-badan-usaha-detail/YVA0NkNBdnBlYVRQcnBIQURhYWtUUT09</t>
        </is>
      </c>
      <c r="F86" t="n">
        <v>1</v>
      </c>
      <c r="G86" t="inlineStr">
        <is>
          <t>BS004</t>
        </is>
      </c>
      <c r="H86" t="inlineStr">
        <is>
          <t>22 April 1981</t>
        </is>
      </c>
      <c r="I86" s="2" t="n">
        <v>46318</v>
      </c>
      <c r="J86" t="inlineStr">
        <is>
          <t>Disetujui</t>
        </is>
      </c>
      <c r="K86" t="n">
        <v>30</v>
      </c>
      <c r="L86" t="inlineStr">
        <is>
          <t>23 Oktober 2026</t>
        </is>
      </c>
      <c r="M86" t="inlineStr">
        <is>
          <t>Konstruksi Jaringan Irigasi dan Drainase</t>
        </is>
      </c>
      <c r="N86" t="inlineStr">
        <is>
          <t>K</t>
        </is>
      </c>
      <c r="O86" t="inlineStr">
        <is>
          <t>20231019</t>
        </is>
      </c>
      <c r="P86" t="inlineStr">
        <is>
          <t>Jawa Barat</t>
        </is>
      </c>
      <c r="Q86" t="inlineStr"/>
    </row>
    <row r="87">
      <c r="A87" t="inlineStr">
        <is>
          <t>PUJI TRI DAYA</t>
        </is>
      </c>
      <c r="B87" t="inlineStr">
        <is>
          <t>Kota Bandung</t>
        </is>
      </c>
      <c r="C87" t="inlineStr">
        <is>
          <t>082121432808</t>
        </is>
      </c>
      <c r="D87" t="inlineStr">
        <is>
          <t>pt_pujitridaya@yahoo.com</t>
        </is>
      </c>
      <c r="E87" t="inlineStr">
        <is>
          <t>https://lpjk.pu.go.id/search-badan-usaha-detail/bklyWUFyam1NVkFXOUx4UmdLZkNEUT09</t>
        </is>
      </c>
      <c r="F87" t="n">
        <v>1</v>
      </c>
      <c r="G87" t="inlineStr">
        <is>
          <t>BS002</t>
        </is>
      </c>
      <c r="H87" t="inlineStr">
        <is>
          <t>28 Januari 2013</t>
        </is>
      </c>
      <c r="I87" s="2" t="n">
        <v>46318</v>
      </c>
      <c r="J87" t="inlineStr">
        <is>
          <t>Disetujui</t>
        </is>
      </c>
      <c r="K87" t="n">
        <v>30</v>
      </c>
      <c r="L87" t="inlineStr">
        <is>
          <t>23 Oktober 2026</t>
        </is>
      </c>
      <c r="M87" t="inlineStr">
        <is>
          <t>Bangunan Sipil Jembatan, Jalan Layang, Fly Over, dan Underpass</t>
        </is>
      </c>
      <c r="N87" t="inlineStr">
        <is>
          <t>K</t>
        </is>
      </c>
      <c r="O87" t="inlineStr">
        <is>
          <t>20231024</t>
        </is>
      </c>
      <c r="P87" t="inlineStr">
        <is>
          <t>Jawa Barat</t>
        </is>
      </c>
      <c r="Q87" t="inlineStr"/>
    </row>
    <row r="88">
      <c r="A88" t="inlineStr">
        <is>
          <t>PUTRA BANGSA</t>
        </is>
      </c>
      <c r="B88" t="inlineStr">
        <is>
          <t>Kab. Bondowoso</t>
        </is>
      </c>
      <c r="C88" t="inlineStr">
        <is>
          <t>6282334061317</t>
        </is>
      </c>
      <c r="D88" t="inlineStr">
        <is>
          <t>p.bangsa@yahoo.co.id</t>
        </is>
      </c>
      <c r="E88" t="inlineStr">
        <is>
          <t>https://lpjk.pu.go.id/search-badan-usaha-detail/dVVBTC8rRjlFOTJLY2Vjck1kS1Rvdz09</t>
        </is>
      </c>
      <c r="F88" t="n">
        <v>1</v>
      </c>
      <c r="G88" t="inlineStr">
        <is>
          <t>BS004</t>
        </is>
      </c>
      <c r="H88" t="inlineStr">
        <is>
          <t>29 November 2000</t>
        </is>
      </c>
      <c r="I88" s="2" t="n">
        <v>46318</v>
      </c>
      <c r="J88" t="inlineStr">
        <is>
          <t>Disetujui</t>
        </is>
      </c>
      <c r="K88" t="n">
        <v>30</v>
      </c>
      <c r="L88" t="inlineStr">
        <is>
          <t>23 Oktober 2026</t>
        </is>
      </c>
      <c r="M88" t="inlineStr">
        <is>
          <t>Konstruksi Jaringan Irigasi dan Drainase</t>
        </is>
      </c>
      <c r="N88" t="inlineStr">
        <is>
          <t>K</t>
        </is>
      </c>
      <c r="O88" t="inlineStr">
        <is>
          <t>20231022</t>
        </is>
      </c>
      <c r="P88" t="inlineStr">
        <is>
          <t>Jawa Timur</t>
        </is>
      </c>
      <c r="Q88" t="inlineStr"/>
    </row>
    <row r="89">
      <c r="A89" t="inlineStr">
        <is>
          <t>PUTRA BUNGSU</t>
        </is>
      </c>
      <c r="B89" t="inlineStr">
        <is>
          <t>Kab. Demak</t>
        </is>
      </c>
      <c r="C89" t="inlineStr">
        <is>
          <t>0895359869671</t>
        </is>
      </c>
      <c r="D89" t="inlineStr">
        <is>
          <t>putrabungsu.d21@gmail.com</t>
        </is>
      </c>
      <c r="E89" t="inlineStr">
        <is>
          <t>https://lpjk.pu.go.id/search-badan-usaha-detail/Z2pMaytZQWtjZFVHYzZiOUx6RWtEdz09</t>
        </is>
      </c>
      <c r="F89" t="n">
        <v>1</v>
      </c>
      <c r="G89" t="inlineStr">
        <is>
          <t>BS001</t>
        </is>
      </c>
      <c r="H89" t="inlineStr">
        <is>
          <t>14 November 2003</t>
        </is>
      </c>
      <c r="I89" s="2" t="n">
        <v>46318</v>
      </c>
      <c r="J89" t="inlineStr">
        <is>
          <t>Disetujui</t>
        </is>
      </c>
      <c r="K89" t="n">
        <v>30</v>
      </c>
      <c r="L89" t="inlineStr">
        <is>
          <t>23 Oktober 2026</t>
        </is>
      </c>
      <c r="M89" t="inlineStr">
        <is>
          <t>Konstruksi Bangunan Sipil Jalan</t>
        </is>
      </c>
      <c r="N89" t="inlineStr">
        <is>
          <t>K</t>
        </is>
      </c>
      <c r="O89" t="inlineStr">
        <is>
          <t>20231021</t>
        </is>
      </c>
      <c r="P89" t="inlineStr">
        <is>
          <t>Jawa Tengah</t>
        </is>
      </c>
      <c r="Q89" t="inlineStr"/>
    </row>
    <row r="90">
      <c r="A90" t="inlineStr">
        <is>
          <t>PUTRA INDONESIA INDAH</t>
        </is>
      </c>
      <c r="B90" t="inlineStr">
        <is>
          <t>Kab. Dompu</t>
        </is>
      </c>
      <c r="C90" t="inlineStr">
        <is>
          <t>085338406570</t>
        </is>
      </c>
      <c r="D90" t="inlineStr">
        <is>
          <t>cv.putraindonesiaindah0303@gmail.com</t>
        </is>
      </c>
      <c r="E90" t="inlineStr">
        <is>
          <t>https://lpjk.pu.go.id/search-badan-usaha-detail/L2tvM2RBZkxZaG1nbUxjMnFkdWx1Zz09</t>
        </is>
      </c>
      <c r="F90" t="n">
        <v>1</v>
      </c>
      <c r="G90" t="inlineStr">
        <is>
          <t>BS001</t>
        </is>
      </c>
      <c r="H90" t="inlineStr">
        <is>
          <t>14 Januari 2015</t>
        </is>
      </c>
      <c r="I90" s="2" t="n">
        <v>46318</v>
      </c>
      <c r="J90" t="inlineStr">
        <is>
          <t>Disetujui</t>
        </is>
      </c>
      <c r="K90" t="n">
        <v>30</v>
      </c>
      <c r="L90" t="inlineStr">
        <is>
          <t>23 Oktober 2026</t>
        </is>
      </c>
      <c r="M90" t="inlineStr">
        <is>
          <t>Konstruksi Bangunan Sipil Jalan</t>
        </is>
      </c>
      <c r="N90" t="inlineStr">
        <is>
          <t>K</t>
        </is>
      </c>
      <c r="O90" t="inlineStr">
        <is>
          <t>20231024</t>
        </is>
      </c>
      <c r="P90" t="inlineStr">
        <is>
          <t>Nusa Tenggara Barat</t>
        </is>
      </c>
      <c r="Q90" t="inlineStr"/>
    </row>
    <row r="91">
      <c r="A91" t="inlineStr">
        <is>
          <t>PUTRA YALIMO MANDIRI</t>
        </is>
      </c>
      <c r="B91" t="inlineStr">
        <is>
          <t>Kab. Yalimo</t>
        </is>
      </c>
      <c r="C91" t="inlineStr">
        <is>
          <t>082223518686</t>
        </is>
      </c>
      <c r="D91" t="inlineStr">
        <is>
          <t>cv.putrayalimomandiri@gmail.com</t>
        </is>
      </c>
      <c r="E91" t="inlineStr">
        <is>
          <t>https://lpjk.pu.go.id/search-badan-usaha-detail/ZTdPWWJsSEdqdVU2Ym1uTVl5UXhLZz09</t>
        </is>
      </c>
      <c r="F91" t="n">
        <v>2</v>
      </c>
      <c r="G91" t="inlineStr">
        <is>
          <t>BG005, BG006</t>
        </is>
      </c>
      <c r="H91" t="inlineStr">
        <is>
          <t>8 Agustus 2023</t>
        </is>
      </c>
      <c r="I91" s="2" t="n">
        <v>46318</v>
      </c>
      <c r="J91" t="inlineStr">
        <is>
          <t>Disetujui</t>
        </is>
      </c>
      <c r="K91" t="n">
        <v>30</v>
      </c>
      <c r="L91" t="inlineStr">
        <is>
          <t>23 Oktober 2026</t>
        </is>
      </c>
      <c r="M91" t="inlineStr">
        <is>
          <t>Konstruksi Gedung Kesehatan, Konstruksi Gedung Pendidikan</t>
        </is>
      </c>
      <c r="N91" t="inlineStr">
        <is>
          <t>K</t>
        </is>
      </c>
      <c r="O91" t="inlineStr">
        <is>
          <t>20231017, 20231018</t>
        </is>
      </c>
      <c r="P91" t="inlineStr">
        <is>
          <t>Papua</t>
        </is>
      </c>
      <c r="Q91" t="inlineStr"/>
    </row>
    <row r="92">
      <c r="A92" t="inlineStr">
        <is>
          <t>PUTRI PRINGGA BAYA</t>
        </is>
      </c>
      <c r="B92" t="inlineStr">
        <is>
          <t>Kab. Indramayu</t>
        </is>
      </c>
      <c r="C92" t="inlineStr">
        <is>
          <t>08122077031</t>
        </is>
      </c>
      <c r="D92" t="inlineStr">
        <is>
          <t>putri_pringgabaya.pt@yahoo.com</t>
        </is>
      </c>
      <c r="E92" t="inlineStr">
        <is>
          <t>https://lpjk.pu.go.id/search-badan-usaha-detail/eFNSSWhBSjJhNVFJNUQvOU9GdVdKdz09</t>
        </is>
      </c>
      <c r="F92" t="n">
        <v>1</v>
      </c>
      <c r="G92" t="inlineStr">
        <is>
          <t>BG009</t>
        </is>
      </c>
      <c r="H92" t="inlineStr">
        <is>
          <t>17 Desember 2014</t>
        </is>
      </c>
      <c r="I92" s="2" t="n">
        <v>46318</v>
      </c>
      <c r="J92" t="inlineStr">
        <is>
          <t>Disetujui</t>
        </is>
      </c>
      <c r="K92" t="n">
        <v>30</v>
      </c>
      <c r="L92" t="inlineStr">
        <is>
          <t>23 Oktober 2026</t>
        </is>
      </c>
      <c r="M92" t="inlineStr">
        <is>
          <t>Konstruksi Gedung Lainnya</t>
        </is>
      </c>
      <c r="N92" t="inlineStr">
        <is>
          <t>K</t>
        </is>
      </c>
      <c r="O92" t="inlineStr">
        <is>
          <t>20231018</t>
        </is>
      </c>
      <c r="P92" t="inlineStr">
        <is>
          <t>Jawa Barat</t>
        </is>
      </c>
      <c r="Q92" t="inlineStr"/>
    </row>
    <row r="93">
      <c r="A93" t="inlineStr">
        <is>
          <t>RAGIL PAMUNGKAS</t>
        </is>
      </c>
      <c r="B93" t="inlineStr">
        <is>
          <t>Kab. Magetan</t>
        </is>
      </c>
      <c r="C93" t="inlineStr">
        <is>
          <t>081234184199</t>
        </is>
      </c>
      <c r="D93" t="inlineStr">
        <is>
          <t>cvragilpamungkas@gmail.com</t>
        </is>
      </c>
      <c r="E93" t="inlineStr">
        <is>
          <t>https://lpjk.pu.go.id/search-badan-usaha-detail/OHNXeDhBYnpzZE9wazBqNlRoUWIzZz09</t>
        </is>
      </c>
      <c r="F93" t="n">
        <v>4</v>
      </c>
      <c r="G93" t="inlineStr">
        <is>
          <t>BG004, BG005, BG009, BS001</t>
        </is>
      </c>
      <c r="H93" t="inlineStr">
        <is>
          <t>15 November 2011</t>
        </is>
      </c>
      <c r="I93" s="2" t="n">
        <v>46318</v>
      </c>
      <c r="J93" t="inlineStr">
        <is>
          <t>Disetujui</t>
        </is>
      </c>
      <c r="K93" t="n">
        <v>30</v>
      </c>
      <c r="L93" t="inlineStr">
        <is>
          <t>23 Oktober 2026</t>
        </is>
      </c>
      <c r="M93" t="inlineStr">
        <is>
          <t>Konstruksi Bangunan Sipil Jalan, Konstruksi Gedung Kesehatan, Konstruksi Gedung Lainnya, Konstruksi Gedung Perbelanjaan</t>
        </is>
      </c>
      <c r="N93" t="inlineStr">
        <is>
          <t>K</t>
        </is>
      </c>
      <c r="O93" t="inlineStr">
        <is>
          <t>20231013, 20231024</t>
        </is>
      </c>
      <c r="P93" t="inlineStr">
        <is>
          <t>Jawa Timur</t>
        </is>
      </c>
      <c r="Q93" t="inlineStr"/>
    </row>
    <row r="94">
      <c r="A94" t="inlineStr">
        <is>
          <t>RIZKY MALIKA</t>
        </is>
      </c>
      <c r="B94" t="inlineStr">
        <is>
          <t>Kab. Madiun</t>
        </is>
      </c>
      <c r="C94" t="inlineStr">
        <is>
          <t>081335160627</t>
        </is>
      </c>
      <c r="D94" t="inlineStr">
        <is>
          <t>cv.rizkymalika@gmail.com</t>
        </is>
      </c>
      <c r="E94" t="inlineStr">
        <is>
          <t>https://lpjk.pu.go.id/search-badan-usaha-detail/WjkvK0JkOHFHZ05GY043Q3pmcXg1UT09</t>
        </is>
      </c>
      <c r="F94" t="n">
        <v>3</v>
      </c>
      <c r="G94" t="inlineStr">
        <is>
          <t>BG005, BG006, BG009</t>
        </is>
      </c>
      <c r="H94" t="inlineStr">
        <is>
          <t>26 Juni 2020</t>
        </is>
      </c>
      <c r="I94" s="2" t="n">
        <v>46318</v>
      </c>
      <c r="J94" t="inlineStr">
        <is>
          <t>Disetujui</t>
        </is>
      </c>
      <c r="K94" t="n">
        <v>30</v>
      </c>
      <c r="L94" t="inlineStr">
        <is>
          <t>23 Oktober 2026</t>
        </is>
      </c>
      <c r="M94" t="inlineStr">
        <is>
          <t>Konstruksi Gedung Kesehatan, Konstruksi Gedung Lainnya, Konstruksi Gedung Pendidikan</t>
        </is>
      </c>
      <c r="N94" t="inlineStr">
        <is>
          <t>K</t>
        </is>
      </c>
      <c r="O94" t="inlineStr">
        <is>
          <t>20231017, 20231025</t>
        </is>
      </c>
      <c r="P94" t="inlineStr">
        <is>
          <t>Jawa Timur</t>
        </is>
      </c>
      <c r="Q94" t="inlineStr"/>
    </row>
    <row r="95">
      <c r="A95" t="inlineStr">
        <is>
          <t>SALMAN MAHAJAYA</t>
        </is>
      </c>
      <c r="B95" t="inlineStr">
        <is>
          <t>Kab. Pesisir Selatan</t>
        </is>
      </c>
      <c r="C95" t="inlineStr">
        <is>
          <t>081374661754</t>
        </is>
      </c>
      <c r="D95" t="inlineStr">
        <is>
          <t>cvsalmanmahajaya23@gmail.com</t>
        </is>
      </c>
      <c r="E95" t="inlineStr">
        <is>
          <t>https://lpjk.pu.go.id/search-badan-usaha-detail/OENKaWpJQnVSQjNGWkZJTTQwSFk2dz09</t>
        </is>
      </c>
      <c r="F95" t="n">
        <v>2</v>
      </c>
      <c r="G95" t="inlineStr">
        <is>
          <t>BG004</t>
        </is>
      </c>
      <c r="H95" t="inlineStr">
        <is>
          <t>8 Agustus 2023</t>
        </is>
      </c>
      <c r="I95" s="2" t="n">
        <v>46318</v>
      </c>
      <c r="J95" t="inlineStr">
        <is>
          <t>Pencabutan</t>
        </is>
      </c>
      <c r="K95" t="n">
        <v>30</v>
      </c>
      <c r="L95" t="inlineStr">
        <is>
          <t>23 Oktober 2026</t>
        </is>
      </c>
      <c r="M95" t="inlineStr">
        <is>
          <t>Konstruksi Gedung Perbelanjaan</t>
        </is>
      </c>
      <c r="N95" t="inlineStr">
        <is>
          <t>K</t>
        </is>
      </c>
      <c r="O95" t="inlineStr">
        <is>
          <t>20231021</t>
        </is>
      </c>
      <c r="P95" t="inlineStr">
        <is>
          <t>Sumatera Barat</t>
        </is>
      </c>
      <c r="Q95" t="inlineStr"/>
    </row>
    <row r="96">
      <c r="A96" t="inlineStr">
        <is>
          <t>SANDY KARYA</t>
        </is>
      </c>
      <c r="B96" t="inlineStr">
        <is>
          <t>Kota Medan</t>
        </is>
      </c>
      <c r="C96" t="inlineStr">
        <is>
          <t>085206451806</t>
        </is>
      </c>
      <c r="D96" t="inlineStr">
        <is>
          <t>karyasandy@yahoo.com</t>
        </is>
      </c>
      <c r="E96" t="inlineStr">
        <is>
          <t>https://lpjk.pu.go.id/search-badan-usaha-detail/Z0ZCd2ZvbDZQdWRLUU9jQ2Y0cWZxUT09</t>
        </is>
      </c>
      <c r="F96" t="n">
        <v>7</v>
      </c>
      <c r="G96" t="inlineStr">
        <is>
          <t>BG001, BG002, BG003, BG009, BS001, BS002, BS004</t>
        </is>
      </c>
      <c r="H96" t="inlineStr">
        <is>
          <t>7 Desember 2011</t>
        </is>
      </c>
      <c r="I96" s="2" t="n">
        <v>46318</v>
      </c>
      <c r="J96" t="inlineStr">
        <is>
          <t>Disetujui</t>
        </is>
      </c>
      <c r="K96" t="n">
        <v>30</v>
      </c>
      <c r="L96" t="inlineStr">
        <is>
          <t>23 Oktober 2026</t>
        </is>
      </c>
      <c r="M96" t="inlineStr">
        <is>
          <t>Bangunan Sipil Jembatan, Jalan Layang, Fly Over, dan Underpass, Konstruksi Bangunan Sipil Jalan, Konstruksi Gedung Hunian, Konstruksi Gedung Industri, Konstruksi Gedung Lainnya, Konstruksi Gedung Perkantoran, Konstruksi Jaringan Irigasi dan Drainase</t>
        </is>
      </c>
      <c r="N96" t="inlineStr">
        <is>
          <t>K</t>
        </is>
      </c>
      <c r="O96" t="inlineStr">
        <is>
          <t>20231019, 20231020</t>
        </is>
      </c>
      <c r="P96" t="inlineStr">
        <is>
          <t>Sumatera Utara</t>
        </is>
      </c>
      <c r="Q96" t="inlineStr"/>
    </row>
    <row r="97">
      <c r="A97" t="inlineStr">
        <is>
          <t>SANTIKA</t>
        </is>
      </c>
      <c r="B97" t="inlineStr">
        <is>
          <t>Kab. Wonogiri</t>
        </is>
      </c>
      <c r="C97" t="inlineStr">
        <is>
          <t>081227477733</t>
        </is>
      </c>
      <c r="D97" t="inlineStr">
        <is>
          <t>santikawonogiri@gmail.com</t>
        </is>
      </c>
      <c r="E97" t="inlineStr">
        <is>
          <t>https://lpjk.pu.go.id/search-badan-usaha-detail/b1VNUnhJelpUc3lXV0VvUGpBZzRBdz09</t>
        </is>
      </c>
      <c r="F97" t="n">
        <v>2</v>
      </c>
      <c r="G97" t="inlineStr">
        <is>
          <t>BS001</t>
        </is>
      </c>
      <c r="H97" t="inlineStr">
        <is>
          <t>12 Februari 2004</t>
        </is>
      </c>
      <c r="I97" s="2" t="n">
        <v>46318</v>
      </c>
      <c r="J97" t="inlineStr">
        <is>
          <t>Disetujui</t>
        </is>
      </c>
      <c r="K97" t="n">
        <v>30</v>
      </c>
      <c r="L97" t="inlineStr">
        <is>
          <t>23 Oktober 2026</t>
        </is>
      </c>
      <c r="M97" t="inlineStr">
        <is>
          <t>Konstruksi Bangunan Sipil Jalan</t>
        </is>
      </c>
      <c r="N97" t="inlineStr">
        <is>
          <t>K</t>
        </is>
      </c>
      <c r="O97" t="inlineStr">
        <is>
          <t>20231005</t>
        </is>
      </c>
      <c r="P97" t="inlineStr">
        <is>
          <t>Jawa Tengah</t>
        </is>
      </c>
      <c r="Q97" t="inlineStr"/>
    </row>
    <row r="98">
      <c r="A98" t="inlineStr">
        <is>
          <t>SANTIKA RAYA</t>
        </is>
      </c>
      <c r="B98" t="inlineStr">
        <is>
          <t>Kab. Kulon Progo</t>
        </is>
      </c>
      <c r="C98" t="inlineStr">
        <is>
          <t>087738774948</t>
        </is>
      </c>
      <c r="D98" t="inlineStr">
        <is>
          <t>santikaraya_cv@yahoo.co.id</t>
        </is>
      </c>
      <c r="E98" t="inlineStr">
        <is>
          <t>https://lpjk.pu.go.id/search-badan-usaha-detail/RlhmR1JTWHlWNzJkLzhVNCswNnB4dz09</t>
        </is>
      </c>
      <c r="F98" t="n">
        <v>2</v>
      </c>
      <c r="G98" t="inlineStr">
        <is>
          <t>BS001</t>
        </is>
      </c>
      <c r="H98" t="inlineStr">
        <is>
          <t>10 Februari 2014</t>
        </is>
      </c>
      <c r="I98" s="2" t="n">
        <v>46318</v>
      </c>
      <c r="J98" t="inlineStr">
        <is>
          <t>Disetujui</t>
        </is>
      </c>
      <c r="K98" t="n">
        <v>30</v>
      </c>
      <c r="L98" t="inlineStr">
        <is>
          <t>23 Oktober 2026</t>
        </is>
      </c>
      <c r="M98" t="inlineStr">
        <is>
          <t>Konstruksi Bangunan Sipil Jalan</t>
        </is>
      </c>
      <c r="N98" t="inlineStr">
        <is>
          <t>K</t>
        </is>
      </c>
      <c r="O98" t="inlineStr">
        <is>
          <t>20231020</t>
        </is>
      </c>
      <c r="P98" t="inlineStr">
        <is>
          <t>DI Yogyakarta</t>
        </is>
      </c>
      <c r="Q98" t="inlineStr"/>
    </row>
    <row r="99">
      <c r="A99" t="inlineStr">
        <is>
          <t>SARI RAYA</t>
        </is>
      </c>
      <c r="B99" t="inlineStr">
        <is>
          <t>Kab. Jember</t>
        </is>
      </c>
      <c r="C99" t="inlineStr">
        <is>
          <t>082245060123</t>
        </is>
      </c>
      <c r="D99" t="inlineStr">
        <is>
          <t>sari_raya10@yahoo.co.id</t>
        </is>
      </c>
      <c r="E99" t="inlineStr">
        <is>
          <t>https://lpjk.pu.go.id/search-badan-usaha-detail/K09BeVdxZTRFU2xnZWR6dlhNTmU2QT09</t>
        </is>
      </c>
      <c r="F99" t="n">
        <v>1</v>
      </c>
      <c r="G99" t="inlineStr">
        <is>
          <t>BS004</t>
        </is>
      </c>
      <c r="H99" t="inlineStr">
        <is>
          <t>20 Juli 1989</t>
        </is>
      </c>
      <c r="I99" s="2" t="n">
        <v>46318</v>
      </c>
      <c r="J99" t="inlineStr">
        <is>
          <t>Disetujui</t>
        </is>
      </c>
      <c r="K99" t="n">
        <v>30</v>
      </c>
      <c r="L99" t="inlineStr">
        <is>
          <t>23 Oktober 2026</t>
        </is>
      </c>
      <c r="M99" t="inlineStr">
        <is>
          <t>Konstruksi Jaringan Irigasi dan Drainase</t>
        </is>
      </c>
      <c r="N99" t="inlineStr">
        <is>
          <t>K</t>
        </is>
      </c>
      <c r="O99" t="inlineStr">
        <is>
          <t>20230825</t>
        </is>
      </c>
      <c r="P99" t="inlineStr">
        <is>
          <t>Jawa Timur</t>
        </is>
      </c>
      <c r="Q99" t="inlineStr"/>
    </row>
    <row r="100">
      <c r="A100" t="inlineStr">
        <is>
          <t>SATRIA INDO PERDANA</t>
        </is>
      </c>
      <c r="B100" t="inlineStr">
        <is>
          <t>Kab. Kudus</t>
        </is>
      </c>
      <c r="C100" t="inlineStr">
        <is>
          <t>085227768827</t>
        </is>
      </c>
      <c r="D100" t="inlineStr">
        <is>
          <t>ptsatriaindoperdana@yahoo.com</t>
        </is>
      </c>
      <c r="E100" t="inlineStr">
        <is>
          <t>https://lpjk.pu.go.id/search-badan-usaha-detail/MUFacDF4YXdzd3NiZ1pEbmgwMkNTUT09</t>
        </is>
      </c>
      <c r="F100" t="n">
        <v>3</v>
      </c>
      <c r="G100" t="inlineStr">
        <is>
          <t>BG002, BG004, BG005</t>
        </is>
      </c>
      <c r="H100" t="inlineStr">
        <is>
          <t>18 Oktober 2016</t>
        </is>
      </c>
      <c r="I100" s="2" t="n">
        <v>46318</v>
      </c>
      <c r="J100" t="inlineStr">
        <is>
          <t>Disetujui</t>
        </is>
      </c>
      <c r="K100" t="n">
        <v>30</v>
      </c>
      <c r="L100" t="inlineStr">
        <is>
          <t>23 Oktober 2026</t>
        </is>
      </c>
      <c r="M100" t="inlineStr">
        <is>
          <t>Konstruksi Gedung Kesehatan, Konstruksi Gedung Perbelanjaan, Konstruksi Gedung Perkantoran</t>
        </is>
      </c>
      <c r="N100" t="inlineStr">
        <is>
          <t>K</t>
        </is>
      </c>
      <c r="O100" t="inlineStr">
        <is>
          <t>20231023</t>
        </is>
      </c>
      <c r="P100" t="inlineStr">
        <is>
          <t>Jawa Tengah</t>
        </is>
      </c>
      <c r="Q100" t="inlineStr"/>
    </row>
    <row r="101">
      <c r="A101" t="inlineStr">
        <is>
          <t>SINAR CIPTA KARYA</t>
        </is>
      </c>
      <c r="B101" t="inlineStr">
        <is>
          <t>Kota Padang</t>
        </is>
      </c>
      <c r="C101" t="inlineStr">
        <is>
          <t>081363444481</t>
        </is>
      </c>
      <c r="D101" t="inlineStr">
        <is>
          <t>sinar.cipta9999@gmail.com</t>
        </is>
      </c>
      <c r="E101" t="inlineStr">
        <is>
          <t>https://lpjk.pu.go.id/search-badan-usaha-detail/SzZwOURXT3A4UzJJT3F5dCszVW00Zz09</t>
        </is>
      </c>
      <c r="F101" t="n">
        <v>3</v>
      </c>
      <c r="G101" t="inlineStr">
        <is>
          <t>BG002, BG003, BG009</t>
        </is>
      </c>
      <c r="H101" t="inlineStr">
        <is>
          <t>3 Oktober 2013</t>
        </is>
      </c>
      <c r="I101" s="2" t="n">
        <v>46318</v>
      </c>
      <c r="J101" t="inlineStr">
        <is>
          <t>Disetujui</t>
        </is>
      </c>
      <c r="K101" t="n">
        <v>30</v>
      </c>
      <c r="L101" t="inlineStr">
        <is>
          <t>23 Oktober 2026</t>
        </is>
      </c>
      <c r="M101" t="inlineStr">
        <is>
          <t>Konstruksi Gedung Industri, Konstruksi Gedung Lainnya, Konstruksi Gedung Perkantoran</t>
        </is>
      </c>
      <c r="N101" t="inlineStr">
        <is>
          <t>K</t>
        </is>
      </c>
      <c r="O101" t="inlineStr">
        <is>
          <t>20231020, 20231024</t>
        </is>
      </c>
      <c r="P101" t="inlineStr">
        <is>
          <t>Sumatera Barat</t>
        </is>
      </c>
      <c r="Q101" t="inlineStr"/>
    </row>
    <row r="102">
      <c r="A102" t="inlineStr">
        <is>
          <t>SINAR KRENCENG UTAMA</t>
        </is>
      </c>
      <c r="B102" t="inlineStr">
        <is>
          <t>Kota Cilegon</t>
        </is>
      </c>
      <c r="C102" t="inlineStr">
        <is>
          <t>08129785755</t>
        </is>
      </c>
      <c r="D102" t="inlineStr">
        <is>
          <t>sinar.krenceng@gmail.com</t>
        </is>
      </c>
      <c r="E102" t="inlineStr">
        <is>
          <t>https://lpjk.pu.go.id/search-badan-usaha-detail/TzBzdnpQL2pOeFFQOWorbi9oSk5sQT09</t>
        </is>
      </c>
      <c r="F102" t="n">
        <v>1</v>
      </c>
      <c r="G102" t="inlineStr">
        <is>
          <t>BG009</t>
        </is>
      </c>
      <c r="H102" t="inlineStr">
        <is>
          <t>8 Februari 2005</t>
        </is>
      </c>
      <c r="I102" s="2" t="n">
        <v>46318</v>
      </c>
      <c r="J102" t="inlineStr">
        <is>
          <t>Disetujui</t>
        </is>
      </c>
      <c r="K102" t="n">
        <v>30</v>
      </c>
      <c r="L102" t="inlineStr">
        <is>
          <t>23 Oktober 2026</t>
        </is>
      </c>
      <c r="M102" t="inlineStr">
        <is>
          <t>Konstruksi Gedung Lainnya</t>
        </is>
      </c>
      <c r="N102" t="inlineStr">
        <is>
          <t>M</t>
        </is>
      </c>
      <c r="O102" t="inlineStr">
        <is>
          <t>20231021</t>
        </is>
      </c>
      <c r="P102" t="inlineStr">
        <is>
          <t>Banten</t>
        </is>
      </c>
      <c r="Q102" t="inlineStr"/>
    </row>
    <row r="103">
      <c r="A103" t="inlineStr">
        <is>
          <t>SINAR TERANG</t>
        </is>
      </c>
      <c r="B103" t="inlineStr">
        <is>
          <t>Kota Cimahi</t>
        </is>
      </c>
      <c r="C103" t="inlineStr">
        <is>
          <t>-</t>
        </is>
      </c>
      <c r="D103" t="inlineStr">
        <is>
          <t>sinar.terang.cimahi@gmail.com</t>
        </is>
      </c>
      <c r="E103" t="inlineStr">
        <is>
          <t>https://lpjk.pu.go.id/search-badan-usaha-detail/YzJMUDNGMHQzQVc4M1RuQ2IwRjN3Zz09</t>
        </is>
      </c>
      <c r="F103" t="n">
        <v>3</v>
      </c>
      <c r="G103" t="inlineStr">
        <is>
          <t>BG004, BS001, BS004</t>
        </is>
      </c>
      <c r="H103" t="inlineStr">
        <is>
          <t>12 Januari 2008</t>
        </is>
      </c>
      <c r="I103" s="2" t="n">
        <v>46318</v>
      </c>
      <c r="J103" t="inlineStr">
        <is>
          <t>Disetujui</t>
        </is>
      </c>
      <c r="K103" t="n">
        <v>30</v>
      </c>
      <c r="L103" t="inlineStr">
        <is>
          <t>23 Oktober 2026</t>
        </is>
      </c>
      <c r="M103" t="inlineStr">
        <is>
          <t>Konstruksi Bangunan Sipil Jalan, Konstruksi Gedung Perbelanjaan, Konstruksi Jaringan Irigasi dan Drainase</t>
        </is>
      </c>
      <c r="N103" t="inlineStr">
        <is>
          <t>K</t>
        </is>
      </c>
      <c r="O103" t="inlineStr">
        <is>
          <t>20231023, 20231026</t>
        </is>
      </c>
      <c r="P103" t="inlineStr">
        <is>
          <t>Jawa Barat</t>
        </is>
      </c>
      <c r="Q103" t="inlineStr"/>
    </row>
    <row r="104">
      <c r="A104" t="inlineStr">
        <is>
          <t>SOLATA MAKMUR</t>
        </is>
      </c>
      <c r="B104" t="inlineStr">
        <is>
          <t>Kab. Nunukan</t>
        </is>
      </c>
      <c r="C104" t="inlineStr">
        <is>
          <t>082349046166</t>
        </is>
      </c>
      <c r="D104" t="inlineStr">
        <is>
          <t>solatamakmur@gmail.com</t>
        </is>
      </c>
      <c r="E104" t="inlineStr">
        <is>
          <t>https://lpjk.pu.go.id/search-badan-usaha-detail/dWhxc1RmQzF4T0h3UU52UjFZeWtOQT09</t>
        </is>
      </c>
      <c r="F104" t="n">
        <v>2</v>
      </c>
      <c r="G104" t="inlineStr">
        <is>
          <t>BS001</t>
        </is>
      </c>
      <c r="H104" t="inlineStr">
        <is>
          <t>14 September 2020</t>
        </is>
      </c>
      <c r="I104" s="2" t="n">
        <v>46318</v>
      </c>
      <c r="J104" t="inlineStr">
        <is>
          <t>Disetujui</t>
        </is>
      </c>
      <c r="K104" t="n">
        <v>30</v>
      </c>
      <c r="L104" t="inlineStr">
        <is>
          <t>23 Oktober 2026</t>
        </is>
      </c>
      <c r="M104" t="inlineStr">
        <is>
          <t>Konstruksi Bangunan Sipil Jalan</t>
        </is>
      </c>
      <c r="N104" t="inlineStr">
        <is>
          <t>K</t>
        </is>
      </c>
      <c r="O104" t="inlineStr">
        <is>
          <t>20230927</t>
        </is>
      </c>
      <c r="P104" t="inlineStr">
        <is>
          <t>Kalimantan Utara</t>
        </is>
      </c>
      <c r="Q104" t="inlineStr"/>
    </row>
    <row r="105">
      <c r="A105" t="inlineStr">
        <is>
          <t>SOLUSI BANGUN KARYA</t>
        </is>
      </c>
      <c r="B105" t="inlineStr">
        <is>
          <t>Kota Surabaya</t>
        </is>
      </c>
      <c r="C105" t="inlineStr">
        <is>
          <t>0318420737</t>
        </is>
      </c>
      <c r="D105" t="inlineStr">
        <is>
          <t>pt.sbksurabaya@gmail.com</t>
        </is>
      </c>
      <c r="E105" t="inlineStr">
        <is>
          <t>https://lpjk.pu.go.id/search-badan-usaha-detail/azVBbVd5WW1pdkVEUEx5bFFTencvdz09</t>
        </is>
      </c>
      <c r="F105" t="n">
        <v>2</v>
      </c>
      <c r="G105" t="inlineStr">
        <is>
          <t>BG003</t>
        </is>
      </c>
      <c r="H105" t="inlineStr">
        <is>
          <t>11 Januari 2023</t>
        </is>
      </c>
      <c r="I105" s="2" t="n">
        <v>46318</v>
      </c>
      <c r="J105" t="inlineStr">
        <is>
          <t>Disetujui</t>
        </is>
      </c>
      <c r="K105" t="n">
        <v>30</v>
      </c>
      <c r="L105" t="inlineStr">
        <is>
          <t>23 Oktober 2026</t>
        </is>
      </c>
      <c r="M105" t="inlineStr">
        <is>
          <t>Konstruksi Gedung Industri</t>
        </is>
      </c>
      <c r="N105" t="inlineStr">
        <is>
          <t>M</t>
        </is>
      </c>
      <c r="O105" t="inlineStr">
        <is>
          <t>20231023</t>
        </is>
      </c>
      <c r="P105" t="inlineStr">
        <is>
          <t>Jawa Timur</t>
        </is>
      </c>
      <c r="Q105" t="inlineStr"/>
    </row>
    <row r="106">
      <c r="A106" t="inlineStr">
        <is>
          <t>TRI PUTRA ANDESPA</t>
        </is>
      </c>
      <c r="B106" t="inlineStr">
        <is>
          <t>Kota Pagar Alam</t>
        </is>
      </c>
      <c r="C106" t="inlineStr">
        <is>
          <t>082179391181</t>
        </is>
      </c>
      <c r="D106" t="inlineStr">
        <is>
          <t>cvtriputraandespa@gmail.com</t>
        </is>
      </c>
      <c r="E106" t="inlineStr">
        <is>
          <t>https://lpjk.pu.go.id/search-badan-usaha-detail/aTlhWWFCNCt3N1JLVVphSVZHVklDQT09</t>
        </is>
      </c>
      <c r="F106" t="n">
        <v>2</v>
      </c>
      <c r="G106" t="inlineStr">
        <is>
          <t>BS001, BS004</t>
        </is>
      </c>
      <c r="H106" t="inlineStr">
        <is>
          <t>18 September 2023</t>
        </is>
      </c>
      <c r="I106" s="2" t="n">
        <v>46318</v>
      </c>
      <c r="J106" t="inlineStr">
        <is>
          <t>Disetujui</t>
        </is>
      </c>
      <c r="K106" t="n">
        <v>30</v>
      </c>
      <c r="L106" t="inlineStr">
        <is>
          <t>23 Oktober 2026</t>
        </is>
      </c>
      <c r="M106" t="inlineStr">
        <is>
          <t>Konstruksi Bangunan Sipil Jalan, Konstruksi Jaringan Irigasi dan Drainase</t>
        </is>
      </c>
      <c r="N106" t="inlineStr">
        <is>
          <t>K</t>
        </is>
      </c>
      <c r="O106" t="inlineStr">
        <is>
          <t>20231023</t>
        </is>
      </c>
      <c r="P106" t="inlineStr">
        <is>
          <t>Sumatera Selatan</t>
        </is>
      </c>
      <c r="Q106" t="inlineStr"/>
    </row>
    <row r="107">
      <c r="A107" t="inlineStr">
        <is>
          <t>TRI TECH DESIGN</t>
        </is>
      </c>
      <c r="B107" t="inlineStr">
        <is>
          <t>Kab. Pandeglang</t>
        </is>
      </c>
      <c r="C107" t="inlineStr">
        <is>
          <t>081905001818</t>
        </is>
      </c>
      <c r="D107" t="inlineStr">
        <is>
          <t>tritechdesign99@gmail.com</t>
        </is>
      </c>
      <c r="E107" t="inlineStr">
        <is>
          <t>https://lpjk.pu.go.id/search-badan-usaha-detail/cjJXQkxsYjNmZHh1SEFRQ3dlbjVNQT09</t>
        </is>
      </c>
      <c r="F107" t="n">
        <v>2</v>
      </c>
      <c r="G107" t="inlineStr">
        <is>
          <t>RK002, RK003</t>
        </is>
      </c>
      <c r="H107" t="inlineStr">
        <is>
          <t>22 Januari 2021</t>
        </is>
      </c>
      <c r="I107" s="2" t="n">
        <v>46318</v>
      </c>
      <c r="J107" t="inlineStr">
        <is>
          <t>Disetujui</t>
        </is>
      </c>
      <c r="K107" t="n">
        <v>30</v>
      </c>
      <c r="L107" t="inlineStr">
        <is>
          <t>23 Oktober 2026</t>
        </is>
      </c>
      <c r="M107" t="inlineStr">
        <is>
          <t>Jasa Rekayasa Pekerjaan Teknik Sipil Sumber Daya Air, Jasa Rekayasa Pekerjaan Teknik Sipil Transportasi</t>
        </is>
      </c>
      <c r="N107" t="inlineStr">
        <is>
          <t>K</t>
        </is>
      </c>
      <c r="O107" t="inlineStr">
        <is>
          <t>20231008</t>
        </is>
      </c>
      <c r="P107" t="inlineStr">
        <is>
          <t>Banten</t>
        </is>
      </c>
      <c r="Q107" t="inlineStr"/>
    </row>
    <row r="108">
      <c r="A108" t="inlineStr">
        <is>
          <t>UNIVERSAL MODERN GROUP</t>
        </is>
      </c>
      <c r="B108" t="inlineStr">
        <is>
          <t>Kota Kendari</t>
        </is>
      </c>
      <c r="C108" t="inlineStr">
        <is>
          <t>085255537563</t>
        </is>
      </c>
      <c r="D108" t="inlineStr">
        <is>
          <t>Ptuniversalmoderngroup@gmail.com</t>
        </is>
      </c>
      <c r="E108" t="inlineStr">
        <is>
          <t>https://lpjk.pu.go.id/search-badan-usaha-detail/OUF3UVF6NTJGOHlOcUpBSkxqaUIzZz09</t>
        </is>
      </c>
      <c r="F108" t="n">
        <v>2</v>
      </c>
      <c r="G108" t="inlineStr">
        <is>
          <t>BG001</t>
        </is>
      </c>
      <c r="H108" t="inlineStr">
        <is>
          <t>1 November 2021</t>
        </is>
      </c>
      <c r="I108" s="2" t="n">
        <v>46318</v>
      </c>
      <c r="J108" t="inlineStr">
        <is>
          <t>Disetujui</t>
        </is>
      </c>
      <c r="K108" t="n">
        <v>30</v>
      </c>
      <c r="L108" t="inlineStr">
        <is>
          <t>23 Oktober 2026</t>
        </is>
      </c>
      <c r="M108" t="inlineStr">
        <is>
          <t>Konstruksi Gedung Hunian</t>
        </is>
      </c>
      <c r="N108" t="inlineStr">
        <is>
          <t>K</t>
        </is>
      </c>
      <c r="O108" t="inlineStr">
        <is>
          <t>20231017</t>
        </is>
      </c>
      <c r="P108" t="inlineStr">
        <is>
          <t>Sulawesi Tenggara</t>
        </is>
      </c>
      <c r="Q108" t="inlineStr"/>
    </row>
    <row r="109">
      <c r="A109" t="inlineStr">
        <is>
          <t>WINDIA PUTRA</t>
        </is>
      </c>
      <c r="B109" t="inlineStr">
        <is>
          <t>Kab. Ciamis</t>
        </is>
      </c>
      <c r="C109" t="inlineStr">
        <is>
          <t>082118118645</t>
        </is>
      </c>
      <c r="D109" t="inlineStr">
        <is>
          <t>windiaputra@yahoo.co.id</t>
        </is>
      </c>
      <c r="E109" t="inlineStr">
        <is>
          <t>https://lpjk.pu.go.id/search-badan-usaha-detail/UjV6Z3hwd0VSdXZtQm1FTVlIeTU5Zz09</t>
        </is>
      </c>
      <c r="F109" t="n">
        <v>10</v>
      </c>
      <c r="G109" t="inlineStr">
        <is>
          <t>BG006, BG009, BS001, BS002, BS004</t>
        </is>
      </c>
      <c r="H109" t="inlineStr">
        <is>
          <t>19 September 1991</t>
        </is>
      </c>
      <c r="I109" s="2" t="n">
        <v>46318</v>
      </c>
      <c r="J109" t="inlineStr">
        <is>
          <t>Disetujui</t>
        </is>
      </c>
      <c r="K109" t="n">
        <v>30</v>
      </c>
      <c r="L109" t="inlineStr">
        <is>
          <t>23 Oktober 2026</t>
        </is>
      </c>
      <c r="M109" t="inlineStr">
        <is>
          <t>Bangunan Sipil Jembatan, Jalan Layang, Fly Over, dan Underpass, Konstruksi Bangunan Sipil Jalan, Konstruksi Gedung Lainnya, Konstruksi Gedung Pendidikan, Konstruksi Jaringan Irigasi dan Drainase</t>
        </is>
      </c>
      <c r="N109" t="inlineStr">
        <is>
          <t>K</t>
        </is>
      </c>
      <c r="O109" t="inlineStr">
        <is>
          <t>20231006, 20231020</t>
        </is>
      </c>
      <c r="P109" t="inlineStr">
        <is>
          <t>Jawa Barat</t>
        </is>
      </c>
      <c r="Q109" t="inlineStr"/>
    </row>
    <row r="110">
      <c r="A110" t="inlineStr">
        <is>
          <t>WIRA JAYA KONSTRUKSI</t>
        </is>
      </c>
      <c r="B110" t="inlineStr">
        <is>
          <t>Kota Makassar</t>
        </is>
      </c>
      <c r="C110" t="inlineStr">
        <is>
          <t>081256954500</t>
        </is>
      </c>
      <c r="D110" t="inlineStr">
        <is>
          <t>wirajayakonstruksi@gmail.com</t>
        </is>
      </c>
      <c r="E110" t="inlineStr">
        <is>
          <t>https://lpjk.pu.go.id/search-badan-usaha-detail/UXRsQ3Y0ZjlLWmhlWkxZUVBJRzM2QT09</t>
        </is>
      </c>
      <c r="F110" t="n">
        <v>1</v>
      </c>
      <c r="G110" t="inlineStr">
        <is>
          <t>BG001</t>
        </is>
      </c>
      <c r="H110" t="inlineStr">
        <is>
          <t>11 Agustus 2022</t>
        </is>
      </c>
      <c r="I110" s="2" t="n">
        <v>46318</v>
      </c>
      <c r="J110" t="inlineStr">
        <is>
          <t>Disetujui</t>
        </is>
      </c>
      <c r="K110" t="n">
        <v>30</v>
      </c>
      <c r="L110" t="inlineStr">
        <is>
          <t>23 Oktober 2026</t>
        </is>
      </c>
      <c r="M110" t="inlineStr">
        <is>
          <t>Konstruksi Gedung Hunian</t>
        </is>
      </c>
      <c r="N110" t="inlineStr">
        <is>
          <t>K</t>
        </is>
      </c>
      <c r="O110" t="inlineStr">
        <is>
          <t>20230905</t>
        </is>
      </c>
      <c r="P110" t="inlineStr">
        <is>
          <t>Sulawesi Selatan</t>
        </is>
      </c>
      <c r="Q110" t="inlineStr"/>
    </row>
    <row r="111">
      <c r="A111" t="inlineStr">
        <is>
          <t>WIRA KARSA KONSTRUKSI</t>
        </is>
      </c>
      <c r="B111" t="inlineStr">
        <is>
          <t>Kota Makassar</t>
        </is>
      </c>
      <c r="C111" t="inlineStr">
        <is>
          <t>081343745874</t>
        </is>
      </c>
      <c r="D111" t="inlineStr">
        <is>
          <t>wira_karsa@yahoo.com</t>
        </is>
      </c>
      <c r="E111" t="inlineStr">
        <is>
          <t>https://lpjk.pu.go.id/search-badan-usaha-detail/R3FNeUpuR2RpOEMxd210eG9lR2Qzdz09</t>
        </is>
      </c>
      <c r="F111" t="n">
        <v>1</v>
      </c>
      <c r="G111" t="inlineStr">
        <is>
          <t>BS001</t>
        </is>
      </c>
      <c r="H111" t="inlineStr">
        <is>
          <t>27 Mei 2008</t>
        </is>
      </c>
      <c r="I111" s="2" t="n">
        <v>46318</v>
      </c>
      <c r="J111" t="inlineStr">
        <is>
          <t>Pencabutan</t>
        </is>
      </c>
      <c r="K111" t="n">
        <v>30</v>
      </c>
      <c r="L111" t="inlineStr">
        <is>
          <t>23 Oktober 2026</t>
        </is>
      </c>
      <c r="M111" t="inlineStr">
        <is>
          <t>Konstruksi Bangunan Sipil Jalan</t>
        </is>
      </c>
      <c r="N111" t="inlineStr">
        <is>
          <t>B</t>
        </is>
      </c>
      <c r="O111" t="inlineStr">
        <is>
          <t>20231024</t>
        </is>
      </c>
      <c r="P111" t="inlineStr">
        <is>
          <t>Sulawesi Selatan</t>
        </is>
      </c>
      <c r="Q111" t="inlineStr"/>
    </row>
    <row r="112">
      <c r="A112" t="inlineStr">
        <is>
          <t>YUNI KARYA KONSTRUKSI</t>
        </is>
      </c>
      <c r="B112" t="inlineStr">
        <is>
          <t>Kota Banjarmasin</t>
        </is>
      </c>
      <c r="C112" t="inlineStr">
        <is>
          <t>082350526354</t>
        </is>
      </c>
      <c r="D112" t="inlineStr">
        <is>
          <t>yunikaryakonstruksi99@gmail.com</t>
        </is>
      </c>
      <c r="E112" t="inlineStr">
        <is>
          <t>https://lpjk.pu.go.id/search-badan-usaha-detail/S0k4MTNYK01OakswL0Z1Q2dmRTRVUT09</t>
        </is>
      </c>
      <c r="F112" t="n">
        <v>2</v>
      </c>
      <c r="G112" t="inlineStr">
        <is>
          <t>BS001, BS004</t>
        </is>
      </c>
      <c r="H112" t="inlineStr">
        <is>
          <t>17 Juli 2023</t>
        </is>
      </c>
      <c r="I112" s="2" t="n">
        <v>46318</v>
      </c>
      <c r="J112" t="inlineStr">
        <is>
          <t>Disetujui</t>
        </is>
      </c>
      <c r="K112" t="n">
        <v>30</v>
      </c>
      <c r="L112" t="inlineStr">
        <is>
          <t>23 Oktober 2026</t>
        </is>
      </c>
      <c r="M112" t="inlineStr">
        <is>
          <t>Konstruksi Bangunan Sipil Jalan, Konstruksi Jaringan Irigasi dan Drainase</t>
        </is>
      </c>
      <c r="N112" t="inlineStr">
        <is>
          <t>K</t>
        </is>
      </c>
      <c r="O112" t="inlineStr">
        <is>
          <t>20231023, 20231024</t>
        </is>
      </c>
      <c r="P112" t="inlineStr">
        <is>
          <t>Kalimantan Selatan</t>
        </is>
      </c>
      <c r="Q11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2026-09-23T02:24:15Z</dcterms:created>
  <dcterms:modified xsi:type="dcterms:W3CDTF">2026-09-23T02:24:15Z</dcterms:modified>
</cp:coreProperties>
</file>